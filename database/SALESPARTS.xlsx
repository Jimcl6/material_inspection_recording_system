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firstSheet="3" activeTab="12"/>
  </bookViews>
  <sheets>
    <sheet name="MASTERCOPY" sheetId="17" r:id="rId1"/>
    <sheet name="JANUARY 2025" sheetId="45" r:id="rId2"/>
    <sheet name="FEEBRUARY 2025" sheetId="46" r:id="rId3"/>
    <sheet name="MARCH 2025" sheetId="47" r:id="rId4"/>
    <sheet name="APRIL 2025" sheetId="48" r:id="rId5"/>
    <sheet name="MAY 2025" sheetId="49" r:id="rId6"/>
    <sheet name="JUNE 2025" sheetId="50" r:id="rId7"/>
    <sheet name="JULY 2025" sheetId="51" r:id="rId8"/>
    <sheet name="AUGUST 2025" sheetId="52" r:id="rId9"/>
    <sheet name="SEPTEMBER 2025" sheetId="53" r:id="rId10"/>
    <sheet name="OCTOBER 2025" sheetId="54" r:id="rId11"/>
    <sheet name="NOVEMBER 2025" sheetId="55" r:id="rId12"/>
    <sheet name="DECEMBER 2025" sheetId="56" r:id="rId13"/>
  </sheets>
  <definedNames>
    <definedName name="A" localSheetId="4">#REF!</definedName>
    <definedName name="A" localSheetId="8">#REF!</definedName>
    <definedName name="A" localSheetId="12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5">#REF!</definedName>
    <definedName name="A" localSheetId="11">#REF!</definedName>
    <definedName name="A" localSheetId="10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12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5">#REF!</definedName>
    <definedName name="blcs" localSheetId="11">#REF!</definedName>
    <definedName name="blcs" localSheetId="10">#REF!</definedName>
    <definedName name="blcs" localSheetId="9">#REF!</definedName>
    <definedName name="blcs">#REF!</definedName>
    <definedName name="FEBUARY" localSheetId="4">#REF!</definedName>
    <definedName name="FEBUARY" localSheetId="8">#REF!</definedName>
    <definedName name="FEBUARY" localSheetId="12">#REF!</definedName>
    <definedName name="FEBUARY" localSheetId="2">#REF!</definedName>
    <definedName name="FEBUARY" localSheetId="1">#REF!</definedName>
    <definedName name="FEBUARY" localSheetId="7">#REF!</definedName>
    <definedName name="FEBUARY" localSheetId="6">#REF!</definedName>
    <definedName name="FEBUARY" localSheetId="3">#REF!</definedName>
    <definedName name="FEBUARY" localSheetId="0">#REF!</definedName>
    <definedName name="FEBUARY" localSheetId="5">#REF!</definedName>
    <definedName name="FEBUARY" localSheetId="11">#REF!</definedName>
    <definedName name="FEBUARY" localSheetId="10">#REF!</definedName>
    <definedName name="FEBUARY" localSheetId="9">#REF!</definedName>
    <definedName name="FEBUARY">#REF!</definedName>
    <definedName name="H" localSheetId="4">#REF!</definedName>
    <definedName name="H" localSheetId="8">#REF!</definedName>
    <definedName name="H" localSheetId="12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5">#REF!</definedName>
    <definedName name="H" localSheetId="11">#REF!</definedName>
    <definedName name="H" localSheetId="10">#REF!</definedName>
    <definedName name="H" localSheetId="9">#REF!</definedName>
    <definedName name="H">#REF!</definedName>
    <definedName name="JUNE2024" localSheetId="4">#REF!</definedName>
    <definedName name="JUNE2024" localSheetId="8">#REF!</definedName>
    <definedName name="JUNE2024" localSheetId="12">#REF!</definedName>
    <definedName name="JUNE2024" localSheetId="2">#REF!</definedName>
    <definedName name="JUNE2024" localSheetId="7">#REF!</definedName>
    <definedName name="JUNE2024" localSheetId="6">#REF!</definedName>
    <definedName name="JUNE2024" localSheetId="3">#REF!</definedName>
    <definedName name="JUNE2024" localSheetId="5">#REF!</definedName>
    <definedName name="JUNE2024" localSheetId="11">#REF!</definedName>
    <definedName name="JUNE2024" localSheetId="10">#REF!</definedName>
    <definedName name="JUNE2024" localSheetId="9">#REF!</definedName>
    <definedName name="JUNE2024">#REF!</definedName>
    <definedName name="K" localSheetId="4">#REF!</definedName>
    <definedName name="K" localSheetId="8">#REF!</definedName>
    <definedName name="K" localSheetId="12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5">#REF!</definedName>
    <definedName name="K" localSheetId="11">#REF!</definedName>
    <definedName name="K" localSheetId="10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12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5">#REF!</definedName>
    <definedName name="L" localSheetId="11">#REF!</definedName>
    <definedName name="L" localSheetId="10">#REF!</definedName>
    <definedName name="L" localSheetId="9">#REF!</definedName>
    <definedName name="L">#REF!</definedName>
    <definedName name="MARCH" localSheetId="4">#REF!</definedName>
    <definedName name="MARCH" localSheetId="8">#REF!</definedName>
    <definedName name="MARCH" localSheetId="12">#REF!</definedName>
    <definedName name="MARCH" localSheetId="2">#REF!</definedName>
    <definedName name="MARCH" localSheetId="1">#REF!</definedName>
    <definedName name="MARCH" localSheetId="7">#REF!</definedName>
    <definedName name="MARCH" localSheetId="6">#REF!</definedName>
    <definedName name="MARCH" localSheetId="3">#REF!</definedName>
    <definedName name="MARCH" localSheetId="0">#REF!</definedName>
    <definedName name="MARCH" localSheetId="5">#REF!</definedName>
    <definedName name="MARCH" localSheetId="11">#REF!</definedName>
    <definedName name="MARCH" localSheetId="10">#REF!</definedName>
    <definedName name="MARCH" localSheetId="9">#REF!</definedName>
    <definedName name="MARCH">#REF!</definedName>
    <definedName name="MBLINE" localSheetId="4">#REF!</definedName>
    <definedName name="MBLINE" localSheetId="8">#REF!</definedName>
    <definedName name="MBLINE" localSheetId="12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5">#REF!</definedName>
    <definedName name="MBLINE" localSheetId="11">#REF!</definedName>
    <definedName name="MBLINE" localSheetId="10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12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5">#REF!</definedName>
    <definedName name="MODEL20" localSheetId="11">#REF!</definedName>
    <definedName name="MODEL20" localSheetId="10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12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5">#REF!</definedName>
    <definedName name="MODEL30" localSheetId="11">#REF!</definedName>
    <definedName name="MODEL30" localSheetId="10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12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5">#REF!</definedName>
    <definedName name="MODEL40" localSheetId="11">#REF!</definedName>
    <definedName name="MODEL40" localSheetId="10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12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5">#REF!</definedName>
    <definedName name="MODEL80" localSheetId="11">#REF!</definedName>
    <definedName name="MODEL80" localSheetId="10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12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5">#REF!</definedName>
    <definedName name="O" localSheetId="11">#REF!</definedName>
    <definedName name="O" localSheetId="10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12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5">#REF!</definedName>
    <definedName name="P" localSheetId="11">#REF!</definedName>
    <definedName name="P" localSheetId="10">#REF!</definedName>
    <definedName name="P" localSheetId="9">#REF!</definedName>
    <definedName name="P">#REF!</definedName>
    <definedName name="_xlnm.Print_Area" localSheetId="3">'MARCH 2025'!$A$1:$Q$524</definedName>
    <definedName name="Q" localSheetId="4">#REF!</definedName>
    <definedName name="Q" localSheetId="8">#REF!</definedName>
    <definedName name="Q" localSheetId="12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5">#REF!</definedName>
    <definedName name="Q" localSheetId="11">#REF!</definedName>
    <definedName name="Q" localSheetId="10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12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5">#REF!</definedName>
    <definedName name="S" localSheetId="11">#REF!</definedName>
    <definedName name="S" localSheetId="10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12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5">#REF!</definedName>
    <definedName name="U" localSheetId="11">#REF!</definedName>
    <definedName name="U" localSheetId="10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8" i="56"/>
  <c r="N145"/>
  <c r="N144"/>
  <c r="N137"/>
  <c r="N133" l="1"/>
  <c r="N102"/>
  <c r="N90" l="1"/>
  <c r="N87"/>
  <c r="N84"/>
  <c r="N65" l="1"/>
  <c r="N29"/>
  <c r="N123" i="55"/>
  <c r="N122"/>
  <c r="N120"/>
  <c r="N118"/>
  <c r="N117"/>
  <c r="N87" l="1"/>
  <c r="N85"/>
  <c r="N72"/>
  <c r="N56"/>
  <c r="N50"/>
  <c r="N49"/>
  <c r="N48"/>
  <c r="N17" l="1"/>
  <c r="N16"/>
  <c r="N263" i="54"/>
  <c r="N258"/>
  <c r="N177" l="1"/>
  <c r="N64"/>
  <c r="N58" l="1"/>
  <c r="N50" l="1"/>
  <c r="N142" i="53" l="1"/>
  <c r="N131" l="1"/>
  <c r="N127" l="1"/>
  <c r="N128"/>
  <c r="N116" l="1"/>
  <c r="N99" l="1"/>
  <c r="N35"/>
  <c r="N153" i="52"/>
  <c r="N154"/>
  <c r="N152"/>
  <c r="N151"/>
  <c r="N113"/>
  <c r="N46" l="1"/>
  <c r="N24" l="1"/>
  <c r="N22"/>
  <c r="N196" i="51"/>
  <c r="N166"/>
  <c r="N162"/>
  <c r="N163"/>
  <c r="N137" l="1"/>
  <c r="N129"/>
  <c r="N128"/>
  <c r="N116" l="1"/>
  <c r="N86"/>
  <c r="N65"/>
  <c r="N53"/>
  <c r="N47"/>
  <c r="N10" l="1"/>
  <c r="N9"/>
  <c r="N383" i="50"/>
  <c r="N366" l="1"/>
  <c r="N349"/>
  <c r="N347"/>
  <c r="N345"/>
  <c r="N341"/>
  <c r="N340"/>
  <c r="N291"/>
  <c r="N278"/>
  <c r="N251"/>
  <c r="N233"/>
  <c r="N212"/>
  <c r="N176"/>
  <c r="N178"/>
  <c r="N170"/>
  <c r="N153"/>
  <c r="N136"/>
  <c r="N62" l="1"/>
  <c r="N57" l="1"/>
  <c r="N50"/>
  <c r="N23" l="1"/>
  <c r="N77" i="49" l="1"/>
  <c r="N68"/>
  <c r="N67"/>
  <c r="N84" i="48"/>
  <c r="N74"/>
  <c r="N59" l="1"/>
  <c r="N435" i="47"/>
  <c r="N387"/>
  <c r="N385" l="1"/>
  <c r="N363"/>
  <c r="N351"/>
  <c r="N302" l="1"/>
  <c r="N270" l="1"/>
  <c r="N269"/>
  <c r="N271"/>
  <c r="N272"/>
  <c r="N275"/>
  <c r="N15" i="46" l="1"/>
  <c r="N12" l="1"/>
</calcChain>
</file>

<file path=xl/comments1.xml><?xml version="1.0" encoding="utf-8"?>
<comments xmlns="http://schemas.openxmlformats.org/spreadsheetml/2006/main">
  <authors>
    <author>prod.welding</author>
  </authors>
  <commentList>
    <comment ref="Q24" authorId="0">
      <text>
        <r>
          <rPr>
            <b/>
            <sz val="9"/>
            <color indexed="81"/>
            <rFont val="Tahoma"/>
            <family val="2"/>
          </rPr>
          <t>prod.welding:</t>
        </r>
        <r>
          <rPr>
            <sz val="9"/>
            <color indexed="81"/>
            <rFont val="Tahoma"/>
            <family val="2"/>
          </rPr>
          <t xml:space="preserve">
1ST 500</t>
        </r>
      </text>
    </comment>
  </commentList>
</comments>
</file>

<file path=xl/sharedStrings.xml><?xml version="1.0" encoding="utf-8"?>
<sst xmlns="http://schemas.openxmlformats.org/spreadsheetml/2006/main" count="38071" uniqueCount="3730">
  <si>
    <t>MATERIAL MONITORING CHECKSHEET</t>
  </si>
  <si>
    <t>PROCESS :</t>
  </si>
  <si>
    <t>DATE</t>
  </si>
  <si>
    <t>ITEM BLOCK CODE</t>
  </si>
  <si>
    <r>
      <rPr>
        <sz val="8"/>
        <rFont val="Arial"/>
        <family val="2"/>
      </rPr>
      <t xml:space="preserve">LETTER CODE / </t>
    </r>
    <r>
      <rPr>
        <b/>
        <sz val="8"/>
        <rFont val="Arial"/>
        <family val="2"/>
      </rPr>
      <t xml:space="preserve">
</t>
    </r>
    <r>
      <rPr>
        <b/>
        <sz val="8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</si>
  <si>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</si>
  <si>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</si>
  <si>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</si>
  <si>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DF</t>
  </si>
  <si>
    <t>CASING</t>
  </si>
  <si>
    <t>ROD</t>
  </si>
  <si>
    <t>FILTERCOVER</t>
  </si>
  <si>
    <t>LOWER HOUSING</t>
  </si>
  <si>
    <t>UPPER HOUSING</t>
  </si>
  <si>
    <t>FRAME</t>
  </si>
  <si>
    <t>WASHER</t>
  </si>
  <si>
    <t>NUT</t>
  </si>
  <si>
    <t>OTHERS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</si>
  <si>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</si>
  <si>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</si>
  <si>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</si>
  <si>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</si>
  <si>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</si>
  <si>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3J73788611-0</t>
  </si>
  <si>
    <t>120PA2PK10P</t>
  </si>
  <si>
    <t>120VV20040P</t>
  </si>
  <si>
    <t>3J73788613-0</t>
  </si>
  <si>
    <t>3J73788617-0</t>
  </si>
  <si>
    <t>40PC000030P</t>
  </si>
  <si>
    <t>80PD000040P</t>
  </si>
  <si>
    <t>3J73788623-0</t>
  </si>
  <si>
    <t>PCWFI0001P</t>
  </si>
  <si>
    <t>3J73788624-0</t>
  </si>
  <si>
    <t>3J73788625-0</t>
  </si>
  <si>
    <t>3J73788626-0</t>
  </si>
  <si>
    <t>3J73788627-0</t>
  </si>
  <si>
    <t>3J73788629-0</t>
  </si>
  <si>
    <t>PCWVV0002P</t>
  </si>
  <si>
    <t>PFPGK0003P</t>
  </si>
  <si>
    <t>PHPFI0045P</t>
  </si>
  <si>
    <t>PHPVV0004P</t>
  </si>
  <si>
    <t>120PC20010P</t>
  </si>
  <si>
    <t>3J73788612-0</t>
  </si>
  <si>
    <t>241214-1010688</t>
  </si>
  <si>
    <t>20241209P</t>
  </si>
  <si>
    <t>20241120-1A</t>
  </si>
  <si>
    <t>20241211-3A</t>
  </si>
  <si>
    <t>250103L</t>
  </si>
  <si>
    <t>N/A</t>
  </si>
  <si>
    <t>20241220-1A</t>
  </si>
  <si>
    <t>2024113-1A</t>
  </si>
  <si>
    <t>20250103-A</t>
  </si>
  <si>
    <t>20241216-1A</t>
  </si>
  <si>
    <t>20241219-3B</t>
  </si>
  <si>
    <t>GULAPO</t>
  </si>
  <si>
    <t>ANGEL</t>
  </si>
  <si>
    <t>GULAPO/ANGEL/GALANAN</t>
  </si>
  <si>
    <t>ANGEL/GALANAN</t>
  </si>
  <si>
    <t>GALANAN</t>
  </si>
  <si>
    <t>120PD20010P</t>
  </si>
  <si>
    <t>/ANGEL/GALANAN</t>
  </si>
  <si>
    <t>250104L</t>
  </si>
  <si>
    <t>120DF20010P</t>
  </si>
  <si>
    <t>3J73788780-0</t>
  </si>
  <si>
    <t>3J73788779-0</t>
  </si>
  <si>
    <t>80PA00PK40P</t>
  </si>
  <si>
    <t>3J73788789-0</t>
  </si>
  <si>
    <t>3J73788791-0</t>
  </si>
  <si>
    <t>80PR000040P</t>
  </si>
  <si>
    <t>3J73788792-0</t>
  </si>
  <si>
    <t>3J73788793-0</t>
  </si>
  <si>
    <t>PAJH0HP</t>
  </si>
  <si>
    <t>PALKOLP</t>
  </si>
  <si>
    <t>3J73788795-0</t>
  </si>
  <si>
    <t>PFPRD0001P</t>
  </si>
  <si>
    <t>3J73788796-0</t>
  </si>
  <si>
    <t>3J73788797-0</t>
  </si>
  <si>
    <t>3J73788798-0</t>
  </si>
  <si>
    <t>PFPSW0001P</t>
  </si>
  <si>
    <t>PHPCS0010P</t>
  </si>
  <si>
    <t>GULAPO/GALANAN</t>
  </si>
  <si>
    <t>KEL</t>
  </si>
  <si>
    <t>20250103-C</t>
  </si>
  <si>
    <t>20241220-A</t>
  </si>
  <si>
    <t>20241106P</t>
  </si>
  <si>
    <t>20250103-3A</t>
  </si>
  <si>
    <t>20250103-4B</t>
  </si>
  <si>
    <t>20250103-4A</t>
  </si>
  <si>
    <t>250106L</t>
  </si>
  <si>
    <t>20250103-4C</t>
  </si>
  <si>
    <t>20250103-4D</t>
  </si>
  <si>
    <t>20250103-4E</t>
  </si>
  <si>
    <t>20250103-1A</t>
  </si>
  <si>
    <t>20250104-4D</t>
  </si>
  <si>
    <t>20250104-4E</t>
  </si>
  <si>
    <t>20250104-4F</t>
  </si>
  <si>
    <t>20250104-1B</t>
  </si>
  <si>
    <t>20250104-3A</t>
  </si>
  <si>
    <t>20250104-1A</t>
  </si>
  <si>
    <t>3J73788790-0</t>
  </si>
  <si>
    <t>3J73788800-0</t>
  </si>
  <si>
    <t>PXPLK0001P</t>
  </si>
  <si>
    <t>250107L</t>
  </si>
  <si>
    <t>GULAPO/ANGEL/CECIL</t>
  </si>
  <si>
    <t>PXPFI0001P</t>
  </si>
  <si>
    <t>3J73788801-0</t>
  </si>
  <si>
    <t>3J73788802-0</t>
  </si>
  <si>
    <t>PXPNP0001P</t>
  </si>
  <si>
    <t>PCWRD0001P</t>
  </si>
  <si>
    <t>3J73788794-0</t>
  </si>
  <si>
    <t>80PA000C4P</t>
  </si>
  <si>
    <t>3J7378977-0</t>
  </si>
  <si>
    <t>80PF000D40P</t>
  </si>
  <si>
    <t>3J7378979-0</t>
  </si>
  <si>
    <t>PCBPK0002P</t>
  </si>
  <si>
    <t>3J7378983-0</t>
  </si>
  <si>
    <t>3J7378957-0</t>
  </si>
  <si>
    <t>ANGEL/GULAPO/GALANAN</t>
  </si>
  <si>
    <t>20250106-1A</t>
  </si>
  <si>
    <t>200PC20012P</t>
  </si>
  <si>
    <t>3J7378393-0</t>
  </si>
  <si>
    <t>20250107-B</t>
  </si>
  <si>
    <t>202410082 / 2409192</t>
  </si>
  <si>
    <t>250108L</t>
  </si>
  <si>
    <t>20250108-A</t>
  </si>
  <si>
    <t>200PC20010P</t>
  </si>
  <si>
    <t>20250108-B</t>
  </si>
  <si>
    <t>3J73788189-0</t>
  </si>
  <si>
    <t>250109L</t>
  </si>
  <si>
    <t>20250109-B</t>
  </si>
  <si>
    <t>20250109-A</t>
  </si>
  <si>
    <t>120PC200122P</t>
  </si>
  <si>
    <t>3J73788180-0</t>
  </si>
  <si>
    <t>20241213-A</t>
  </si>
  <si>
    <t>20250109-C</t>
  </si>
  <si>
    <t>20250107-A</t>
  </si>
  <si>
    <t>10PD00001P</t>
  </si>
  <si>
    <t>20250104-A</t>
  </si>
  <si>
    <t>AGUSTINA</t>
  </si>
  <si>
    <t>3J73788778-0</t>
  </si>
  <si>
    <t>200DF20010P</t>
  </si>
  <si>
    <t>3J73788782-0</t>
  </si>
  <si>
    <t>20250106-A</t>
  </si>
  <si>
    <t>200PD20010P</t>
  </si>
  <si>
    <t>250110L</t>
  </si>
  <si>
    <t>20250110-A</t>
  </si>
  <si>
    <t>20250110-B</t>
  </si>
  <si>
    <t>/ANGEL/GALANAN/RIZA</t>
  </si>
  <si>
    <t>3J73788394-0</t>
  </si>
  <si>
    <t>20250110-C</t>
  </si>
  <si>
    <t>20250110-1A</t>
  </si>
  <si>
    <t>250113L</t>
  </si>
  <si>
    <t>20241223-A</t>
  </si>
  <si>
    <t>3J73789160-0</t>
  </si>
  <si>
    <t>150PF20010P</t>
  </si>
  <si>
    <t>RIZA/CATA</t>
  </si>
  <si>
    <t>3J73789164-0</t>
  </si>
  <si>
    <t>200PK20010P</t>
  </si>
  <si>
    <t>ANGEL/GALANAN/GULAPO</t>
  </si>
  <si>
    <t>3J73789168-0</t>
  </si>
  <si>
    <t>3J73789169-0</t>
  </si>
  <si>
    <t>200PN20010P</t>
  </si>
  <si>
    <t>40PC000031P</t>
  </si>
  <si>
    <t>20241212-3A</t>
  </si>
  <si>
    <t>20241017-1A</t>
  </si>
  <si>
    <t>20240920-1A</t>
  </si>
  <si>
    <t>ANGEL/GALANAN/RIZA</t>
  </si>
  <si>
    <t>3J73789170-0</t>
  </si>
  <si>
    <t>80PN000042P</t>
  </si>
  <si>
    <t>3J73789182-0</t>
  </si>
  <si>
    <t>241126-997516</t>
  </si>
  <si>
    <t>80PA00K40P</t>
  </si>
  <si>
    <t>250114L</t>
  </si>
  <si>
    <t>3J73789181-0</t>
  </si>
  <si>
    <t>80PC000042P</t>
  </si>
  <si>
    <t>3J73789180-0</t>
  </si>
  <si>
    <t>20250107-5D</t>
  </si>
  <si>
    <t>20250107-5B</t>
  </si>
  <si>
    <t>20250107-5C</t>
  </si>
  <si>
    <t>20250107-5A</t>
  </si>
  <si>
    <t>20250110-3B</t>
  </si>
  <si>
    <t>20250110-3A</t>
  </si>
  <si>
    <t>20250114-1A</t>
  </si>
  <si>
    <t>20250106-5H</t>
  </si>
  <si>
    <t>20250107-4K</t>
  </si>
  <si>
    <t>20250107-4L</t>
  </si>
  <si>
    <t>20250103-5B</t>
  </si>
  <si>
    <t>20250103-5A</t>
  </si>
  <si>
    <t>20250103-4G</t>
  </si>
  <si>
    <t>20250103-4F</t>
  </si>
  <si>
    <t>250115L</t>
  </si>
  <si>
    <t>20250107-4A</t>
  </si>
  <si>
    <t>20250114-5F</t>
  </si>
  <si>
    <t>PHPCS0005P</t>
  </si>
  <si>
    <t>3J73788984-0</t>
  </si>
  <si>
    <t>20250114-5E</t>
  </si>
  <si>
    <t>20250114-5D</t>
  </si>
  <si>
    <t>20250108-1A</t>
  </si>
  <si>
    <t>20250114-5C</t>
  </si>
  <si>
    <t>20250114-5B</t>
  </si>
  <si>
    <t>20241210-1A</t>
  </si>
  <si>
    <t>20250114-5H</t>
  </si>
  <si>
    <t>20250114-5G</t>
  </si>
  <si>
    <t>20250114-5I</t>
  </si>
  <si>
    <t>20250104-5C</t>
  </si>
  <si>
    <t>20250104-5E</t>
  </si>
  <si>
    <t>20250114-4A</t>
  </si>
  <si>
    <t>20250114-4H</t>
  </si>
  <si>
    <t>20250106-4E</t>
  </si>
  <si>
    <t>250116L</t>
  </si>
  <si>
    <t>20250114-H</t>
  </si>
  <si>
    <t>ANGEL/RIZA</t>
  </si>
  <si>
    <t>3J73789185-0</t>
  </si>
  <si>
    <t>3J73789192-0</t>
  </si>
  <si>
    <t>PHPFI0125P</t>
  </si>
  <si>
    <t>250117L</t>
  </si>
  <si>
    <t>3J73789194-0</t>
  </si>
  <si>
    <t>PHPJH0003P</t>
  </si>
  <si>
    <t>3J73789191-0</t>
  </si>
  <si>
    <t>3J73789196-0</t>
  </si>
  <si>
    <t>PKPCS0001P</t>
  </si>
  <si>
    <t>3J73789195-0</t>
  </si>
  <si>
    <t>PHPSW0080P</t>
  </si>
  <si>
    <t>3J73789193-0</t>
  </si>
  <si>
    <t>PHPGK0001P</t>
  </si>
  <si>
    <t>250124L</t>
  </si>
  <si>
    <t>20250121-A</t>
  </si>
  <si>
    <t>20250116-A</t>
  </si>
  <si>
    <t>3J73789368-0</t>
  </si>
  <si>
    <t>3J73789360-0</t>
  </si>
  <si>
    <t>ANGEL/RIZA/TIN</t>
  </si>
  <si>
    <t>3J73789366-0</t>
  </si>
  <si>
    <t>3J73789369-0</t>
  </si>
  <si>
    <t>RIZA</t>
  </si>
  <si>
    <t>PXPFI00001P</t>
  </si>
  <si>
    <t>PASPSW03P</t>
  </si>
  <si>
    <t>3J73789188-0</t>
  </si>
  <si>
    <t>20250123-F</t>
  </si>
  <si>
    <t>3J73789367-0</t>
  </si>
  <si>
    <t>PFPFC0001P</t>
  </si>
  <si>
    <t>20250124-A</t>
  </si>
  <si>
    <t>250127L</t>
  </si>
  <si>
    <t>20250117-4B</t>
  </si>
  <si>
    <t>20250117-4D</t>
  </si>
  <si>
    <t>20250117-4C</t>
  </si>
  <si>
    <t>20250117-4F</t>
  </si>
  <si>
    <t>20250117-4E</t>
  </si>
  <si>
    <t>20250117-4A</t>
  </si>
  <si>
    <t>20250124-4F</t>
  </si>
  <si>
    <t>20250124-4E</t>
  </si>
  <si>
    <t>20250124-5A</t>
  </si>
  <si>
    <t>20250124-4A</t>
  </si>
  <si>
    <t>20250117-4H</t>
  </si>
  <si>
    <t>20250125-1A</t>
  </si>
  <si>
    <t>20250125-1B</t>
  </si>
  <si>
    <t>TANGEL,TIN,.NITS</t>
  </si>
  <si>
    <t>3J73789180-1</t>
  </si>
  <si>
    <t>PHPEM0001P</t>
  </si>
  <si>
    <t>5A18GT</t>
  </si>
  <si>
    <t>NITZ</t>
  </si>
  <si>
    <t>3J73786460-0</t>
  </si>
  <si>
    <t>80PD000041P</t>
  </si>
  <si>
    <t>20250127-3A</t>
  </si>
  <si>
    <t>TIN/NITZ/RIZA/JEN</t>
  </si>
  <si>
    <t>250128L</t>
  </si>
  <si>
    <t>20250127-3B</t>
  </si>
  <si>
    <t>20250127-1B</t>
  </si>
  <si>
    <t>ANGEL/TIN/RIZA</t>
  </si>
  <si>
    <t>PWPPA0001P</t>
  </si>
  <si>
    <t>20250115-A</t>
  </si>
  <si>
    <t>250129L</t>
  </si>
  <si>
    <t>20250128-1B</t>
  </si>
  <si>
    <t>20250129-1A</t>
  </si>
  <si>
    <t>NITZ/TIN</t>
  </si>
  <si>
    <t>3J73788978-0</t>
  </si>
  <si>
    <t>20250116-4H</t>
  </si>
  <si>
    <t>20250116-4G</t>
  </si>
  <si>
    <t>20250117-4G</t>
  </si>
  <si>
    <t>20250117-5H</t>
  </si>
  <si>
    <t>20250117-5G</t>
  </si>
  <si>
    <t>20250117-5F</t>
  </si>
  <si>
    <t>20250116-4F</t>
  </si>
  <si>
    <t>20250116-5G</t>
  </si>
  <si>
    <t>20250115-4C</t>
  </si>
  <si>
    <t>20250127-1C</t>
  </si>
  <si>
    <t>ANGEL/RIZA/TIN/NITZ</t>
  </si>
  <si>
    <t>3J73789180-2</t>
  </si>
  <si>
    <t>250130L</t>
  </si>
  <si>
    <t>20250128-4K</t>
  </si>
  <si>
    <t>20250128-4J</t>
  </si>
  <si>
    <t>20250128-4I</t>
  </si>
  <si>
    <t>20250128-4H</t>
  </si>
  <si>
    <t>20250128-4G</t>
  </si>
  <si>
    <t>20250124-4C</t>
  </si>
  <si>
    <t>20250128-4D</t>
  </si>
  <si>
    <t>20250128-4F</t>
  </si>
  <si>
    <t>20250128-4E</t>
  </si>
  <si>
    <t>3J73789180-3</t>
  </si>
  <si>
    <t>20250128-1A</t>
  </si>
  <si>
    <t>TIN/RIZA/JEN</t>
  </si>
  <si>
    <t>RIZA/ANGEL</t>
  </si>
  <si>
    <t>250131L</t>
  </si>
  <si>
    <t>20250130-1A</t>
  </si>
  <si>
    <t>250203L</t>
  </si>
  <si>
    <t>20250131-1C</t>
  </si>
  <si>
    <t>20250131-4F</t>
  </si>
  <si>
    <t>20250131-4E</t>
  </si>
  <si>
    <t>20250131-4D</t>
  </si>
  <si>
    <t>20250127-1A</t>
  </si>
  <si>
    <t>20250131-4C</t>
  </si>
  <si>
    <t>20250131-4B</t>
  </si>
  <si>
    <t>20250131-1A</t>
  </si>
  <si>
    <t>20250131-4A</t>
  </si>
  <si>
    <t>20250106-4I</t>
  </si>
  <si>
    <t>20250131-1B</t>
  </si>
  <si>
    <t>20250107-4D</t>
  </si>
  <si>
    <t>20250106-4J</t>
  </si>
  <si>
    <t>20250128-5D</t>
  </si>
  <si>
    <t>20250128-5C</t>
  </si>
  <si>
    <t>20250129-1B</t>
  </si>
  <si>
    <t>TIN/RIZA</t>
  </si>
  <si>
    <t>120PR20020P</t>
  </si>
  <si>
    <t>20250130-B</t>
  </si>
  <si>
    <t>40PK000020P</t>
  </si>
  <si>
    <t>20250121-3A</t>
  </si>
  <si>
    <t>20250131-A</t>
  </si>
  <si>
    <t>PFPQN0001P</t>
  </si>
  <si>
    <t>20250131-B</t>
  </si>
  <si>
    <t>3J73789520-0</t>
  </si>
  <si>
    <t>3J73789521-0</t>
  </si>
  <si>
    <t>3J73789506-0</t>
  </si>
  <si>
    <t>3J73789509-0</t>
  </si>
  <si>
    <t>3J73789524-0</t>
  </si>
  <si>
    <t>3J73789526-0</t>
  </si>
  <si>
    <t>3J73789527-0</t>
  </si>
  <si>
    <t>3J73789528-0</t>
  </si>
  <si>
    <t>3J73789529-0</t>
  </si>
  <si>
    <t>PFPFP0001P</t>
  </si>
  <si>
    <t>PHPFI00085P</t>
  </si>
  <si>
    <t>250210L</t>
  </si>
  <si>
    <t>20250123-B</t>
  </si>
  <si>
    <t>20250203-1A</t>
  </si>
  <si>
    <t>20250207-C</t>
  </si>
  <si>
    <t>3J73789532-0</t>
  </si>
  <si>
    <t>3J73789536-0</t>
  </si>
  <si>
    <t>3J73789537-0</t>
  </si>
  <si>
    <t>3J73789538-0</t>
  </si>
  <si>
    <t>3J73789539-0</t>
  </si>
  <si>
    <t>3J73789540-0</t>
  </si>
  <si>
    <t>3J73789541-0</t>
  </si>
  <si>
    <t>3J73789542-0</t>
  </si>
  <si>
    <t>3J73789543-0</t>
  </si>
  <si>
    <t>HPI-PR01-01</t>
  </si>
  <si>
    <t>JOB NUMBER</t>
  </si>
  <si>
    <t>TRANSFER ORDER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</si>
  <si>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</si>
  <si>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1T00026275-35</t>
  </si>
  <si>
    <t>1T00026275-39</t>
  </si>
  <si>
    <t>1T00026275-40</t>
  </si>
  <si>
    <t>1T00026275-41</t>
  </si>
  <si>
    <t>1T00026275-42</t>
  </si>
  <si>
    <t>1T00026275-43</t>
  </si>
  <si>
    <t>1T00026275-44</t>
  </si>
  <si>
    <t>1T00026275-45</t>
  </si>
  <si>
    <t>1T00026275-46</t>
  </si>
  <si>
    <t>120pd20010p</t>
  </si>
  <si>
    <t>20250210-1A</t>
  </si>
  <si>
    <t>20250206-1A</t>
  </si>
  <si>
    <t>ANGEL/RIZA/TIN/JENNY</t>
  </si>
  <si>
    <t>3J73789729-0</t>
  </si>
  <si>
    <t>1T00026308-9</t>
  </si>
  <si>
    <t>1T00026308-14</t>
  </si>
  <si>
    <t>20250123-A</t>
  </si>
  <si>
    <t>3J73789734-0</t>
  </si>
  <si>
    <t>40PD000030P</t>
  </si>
  <si>
    <t>3J73789736-0</t>
  </si>
  <si>
    <t>1T00026308-16</t>
  </si>
  <si>
    <t>3J73789751-0</t>
  </si>
  <si>
    <t>1T00026308-31</t>
  </si>
  <si>
    <t>3J73789752-0</t>
  </si>
  <si>
    <t>1T00026308-32</t>
  </si>
  <si>
    <t>3J73789753-0</t>
  </si>
  <si>
    <t>1T00026308-33</t>
  </si>
  <si>
    <t>80PR0000470P</t>
  </si>
  <si>
    <t>20250204-D</t>
  </si>
  <si>
    <t>20250212-B</t>
  </si>
  <si>
    <t>80PC00042P</t>
  </si>
  <si>
    <t>20250212-5J</t>
  </si>
  <si>
    <t>250213L</t>
  </si>
  <si>
    <t>250214L</t>
  </si>
  <si>
    <t>20250212-4E</t>
  </si>
  <si>
    <t>20250212-4F</t>
  </si>
  <si>
    <t>20250205-1A</t>
  </si>
  <si>
    <t>20250204-3C</t>
  </si>
  <si>
    <t>1T00026308-28</t>
  </si>
  <si>
    <t>3J73789748-0</t>
  </si>
  <si>
    <t>20250212-4C</t>
  </si>
  <si>
    <t>20250212-4A</t>
  </si>
  <si>
    <t>20250212-4B</t>
  </si>
  <si>
    <t>202501213-5H</t>
  </si>
  <si>
    <t>20250205-3C</t>
  </si>
  <si>
    <t>202501214-4A</t>
  </si>
  <si>
    <t>202540204-3B</t>
  </si>
  <si>
    <t>20250213-5I</t>
  </si>
  <si>
    <t>20250214-4A</t>
  </si>
  <si>
    <t>20250213-4I</t>
  </si>
  <si>
    <t>20250204-3A</t>
  </si>
  <si>
    <t>250217L</t>
  </si>
  <si>
    <t>20250214-5E</t>
  </si>
  <si>
    <t>20250214-5A</t>
  </si>
  <si>
    <t>20250214-4G</t>
  </si>
  <si>
    <t>20250127-3C</t>
  </si>
  <si>
    <t>20250213-3A</t>
  </si>
  <si>
    <t>20250212-1B</t>
  </si>
  <si>
    <t>20250212-3A</t>
  </si>
  <si>
    <t>20250214-1B</t>
  </si>
  <si>
    <t>3J73789749-0</t>
  </si>
  <si>
    <t>200PR00300P</t>
  </si>
  <si>
    <t>3J73789761-0</t>
  </si>
  <si>
    <t>PALK1403P</t>
  </si>
  <si>
    <t>PHPSW0120P</t>
  </si>
  <si>
    <t>PXPFP0001P</t>
  </si>
  <si>
    <t>250218L</t>
  </si>
  <si>
    <t>20250217-C</t>
  </si>
  <si>
    <t>20250217-A</t>
  </si>
  <si>
    <t>3J73789773-0</t>
  </si>
  <si>
    <t>3J73789775-0</t>
  </si>
  <si>
    <t>3J73789776-0</t>
  </si>
  <si>
    <t>3J73789777-0</t>
  </si>
  <si>
    <t>3J73789757-0</t>
  </si>
  <si>
    <t>1T00026308-29</t>
  </si>
  <si>
    <t>1T00026308-41</t>
  </si>
  <si>
    <t>1T00026308-45</t>
  </si>
  <si>
    <t>1T00026308-53</t>
  </si>
  <si>
    <t>1T00026308-57</t>
  </si>
  <si>
    <t>1T00026308-56</t>
  </si>
  <si>
    <t>1T00026308-54</t>
  </si>
  <si>
    <t>20250207-1A</t>
  </si>
  <si>
    <t>20250218-3A</t>
  </si>
  <si>
    <t>3J73789765-0</t>
  </si>
  <si>
    <t>PFPCS0001P</t>
  </si>
  <si>
    <t>250219L</t>
  </si>
  <si>
    <t>3J73789774-0</t>
  </si>
  <si>
    <t>250220L</t>
  </si>
  <si>
    <t>20250128-3A</t>
  </si>
  <si>
    <t>20250218-1B</t>
  </si>
  <si>
    <t>20250129-3B</t>
  </si>
  <si>
    <t>20250217-1A</t>
  </si>
  <si>
    <t>20250218-1A</t>
  </si>
  <si>
    <t>20250128-3B</t>
  </si>
  <si>
    <t>20250129-3A</t>
  </si>
  <si>
    <t>20250214-1A</t>
  </si>
  <si>
    <t>20250213-3B</t>
  </si>
  <si>
    <t>3J73789772-0</t>
  </si>
  <si>
    <t>1T00026308-52</t>
  </si>
  <si>
    <t>20250217-8B</t>
  </si>
  <si>
    <t>250224L</t>
  </si>
  <si>
    <t>20250221-3A</t>
  </si>
  <si>
    <t>20250219-4H</t>
  </si>
  <si>
    <t>20250219-4G</t>
  </si>
  <si>
    <t>20250221-1A</t>
  </si>
  <si>
    <t>20250219-4F</t>
  </si>
  <si>
    <t>20250219-4E</t>
  </si>
  <si>
    <t>20250219-4D</t>
  </si>
  <si>
    <t>20250203-4D</t>
  </si>
  <si>
    <t>20250220-1A</t>
  </si>
  <si>
    <t>20250220-B</t>
  </si>
  <si>
    <t>20250220-A</t>
  </si>
  <si>
    <t>RIZA/TIN/JENNY</t>
  </si>
  <si>
    <t>120PK20010P</t>
  </si>
  <si>
    <t>PXPN0001P</t>
  </si>
  <si>
    <t>PXPCS0001P</t>
  </si>
  <si>
    <t>250225L</t>
  </si>
  <si>
    <t>20250213-A</t>
  </si>
  <si>
    <t>20250130-A</t>
  </si>
  <si>
    <t>20250221-5A</t>
  </si>
  <si>
    <t>20250210-5A</t>
  </si>
  <si>
    <t>20250206-5A</t>
  </si>
  <si>
    <t>20250204-5A</t>
  </si>
  <si>
    <t>TINTIN</t>
  </si>
  <si>
    <t>3J73790057-0</t>
  </si>
  <si>
    <t>1T00026327-28</t>
  </si>
  <si>
    <t>1T00026327-17</t>
  </si>
  <si>
    <t>3J73790046-0</t>
  </si>
  <si>
    <t>3J73790043-0</t>
  </si>
  <si>
    <t>1T00026327-12</t>
  </si>
  <si>
    <t>1T00026327-7</t>
  </si>
  <si>
    <t>3J73790036-0</t>
  </si>
  <si>
    <t>3J73790037-0</t>
  </si>
  <si>
    <t>3J73790041-0</t>
  </si>
  <si>
    <t>1T00026327-14</t>
  </si>
  <si>
    <t>1T00026327-8</t>
  </si>
  <si>
    <t>3J73790054-0</t>
  </si>
  <si>
    <t>1T00026327-25</t>
  </si>
  <si>
    <t>3J73790059-0</t>
  </si>
  <si>
    <t>1T00026327-30</t>
  </si>
  <si>
    <t>3J73790061-0</t>
  </si>
  <si>
    <t>1T00026327-32</t>
  </si>
  <si>
    <t>1T00026327-31</t>
  </si>
  <si>
    <t>3J73790060-0</t>
  </si>
  <si>
    <t>1T00026327-4</t>
  </si>
  <si>
    <t>20250213-8a</t>
  </si>
  <si>
    <t>20250206-8A</t>
  </si>
  <si>
    <t>20250208-8A</t>
  </si>
  <si>
    <t>20250222-8A</t>
  </si>
  <si>
    <t>250226L</t>
  </si>
  <si>
    <t>ANGEL/RIZA/</t>
  </si>
  <si>
    <t>3J73790053-0</t>
  </si>
  <si>
    <t>1T00026327-24</t>
  </si>
  <si>
    <t>20250219-3A</t>
  </si>
  <si>
    <t>RIZA/DENDEN</t>
  </si>
  <si>
    <t>20250219-3B</t>
  </si>
  <si>
    <t>ANGEL/DEN/DEN</t>
  </si>
  <si>
    <t>250227L</t>
  </si>
  <si>
    <t>20250224-3A</t>
  </si>
  <si>
    <t>ANGEL/DENDEN</t>
  </si>
  <si>
    <t>TINTIN/RIZA/DENDEN</t>
  </si>
  <si>
    <t>20250130-5C</t>
  </si>
  <si>
    <t>20250224-4F</t>
  </si>
  <si>
    <t>20250217-4G</t>
  </si>
  <si>
    <t>20250217-4A</t>
  </si>
  <si>
    <t>20250210-4C</t>
  </si>
  <si>
    <t>20250205-4K</t>
  </si>
  <si>
    <t>20250225-4C</t>
  </si>
  <si>
    <t>20250210-4D</t>
  </si>
  <si>
    <t>20250205-4J</t>
  </si>
  <si>
    <t>202250213-3A</t>
  </si>
  <si>
    <t>20250206-3B</t>
  </si>
  <si>
    <t>20250130-5B</t>
  </si>
  <si>
    <t>TINTIN/RIZA/DENDEN/ANGEL</t>
  </si>
  <si>
    <t>3J73790052-0</t>
  </si>
  <si>
    <t>80PC00005P</t>
  </si>
  <si>
    <t>1T00026327-23</t>
  </si>
  <si>
    <t>250228L</t>
  </si>
  <si>
    <t>20250130-5A</t>
  </si>
  <si>
    <t>20250203-4C</t>
  </si>
  <si>
    <t>20250128-5J</t>
  </si>
  <si>
    <t>20250226-1A</t>
  </si>
  <si>
    <t>20250211-5E</t>
  </si>
  <si>
    <t>20250115-5G</t>
  </si>
  <si>
    <t>20250226-3C</t>
  </si>
  <si>
    <t>20250211-5D</t>
  </si>
  <si>
    <t>20250211-4D</t>
  </si>
  <si>
    <t>TINTIN/RIZA/ANGEL</t>
  </si>
  <si>
    <t>3J73790052-1</t>
  </si>
  <si>
    <t>250303L</t>
  </si>
  <si>
    <t>ANGEL/RIZA/JENNY</t>
  </si>
  <si>
    <t>20250227-1A</t>
  </si>
  <si>
    <t>20250218-4F</t>
  </si>
  <si>
    <t>20250218-4G</t>
  </si>
  <si>
    <t>20250227-3A</t>
  </si>
  <si>
    <t>20250225-4G</t>
  </si>
  <si>
    <t>20250225-4H</t>
  </si>
  <si>
    <t>20250221-4C</t>
  </si>
  <si>
    <t>20200221-4B</t>
  </si>
  <si>
    <t>20250221-4A</t>
  </si>
  <si>
    <t>20250220-4I</t>
  </si>
  <si>
    <t>20250227-1B</t>
  </si>
  <si>
    <t>20250220-4H</t>
  </si>
  <si>
    <t>20250220-5H</t>
  </si>
  <si>
    <t>20250220-5G</t>
  </si>
  <si>
    <t>20200220-5C</t>
  </si>
  <si>
    <t>20250220-5D</t>
  </si>
  <si>
    <t>20250225-1A</t>
  </si>
  <si>
    <t>20250220-5E</t>
  </si>
  <si>
    <t>20200210-4A</t>
  </si>
  <si>
    <t>20250210-4B</t>
  </si>
  <si>
    <t>250304L</t>
  </si>
  <si>
    <t>20250210-4E</t>
  </si>
  <si>
    <t>20250210-4A</t>
  </si>
  <si>
    <t>20250218-5C</t>
  </si>
  <si>
    <t>20250303-1A</t>
  </si>
  <si>
    <t>20250227-3C</t>
  </si>
  <si>
    <t>20250218-5B</t>
  </si>
  <si>
    <t>1T00026339-32</t>
  </si>
  <si>
    <t>80PC000040P</t>
  </si>
  <si>
    <t>3J73790304-0</t>
  </si>
  <si>
    <t>20250220-4A</t>
  </si>
  <si>
    <t>20250227-3B</t>
  </si>
  <si>
    <t>20250225-5B</t>
  </si>
  <si>
    <t>20250225-5A</t>
  </si>
  <si>
    <t>20250220-5F</t>
  </si>
  <si>
    <t>20250221-4H</t>
  </si>
  <si>
    <t>20250220-4G</t>
  </si>
  <si>
    <t>20250221-4G</t>
  </si>
  <si>
    <t>20250303-3A</t>
  </si>
  <si>
    <t>20250224-5D</t>
  </si>
  <si>
    <t>20250224-5C</t>
  </si>
  <si>
    <t>20250224-5B</t>
  </si>
  <si>
    <t>20250224-5A</t>
  </si>
  <si>
    <t>20250130-4B</t>
  </si>
  <si>
    <t>20250130-4C</t>
  </si>
  <si>
    <t>20250225-5G</t>
  </si>
  <si>
    <t>20250225-5H</t>
  </si>
  <si>
    <t>20250225-5E</t>
  </si>
  <si>
    <t>20250225--5G</t>
  </si>
  <si>
    <t>250305L</t>
  </si>
  <si>
    <t>20250207-3A</t>
  </si>
  <si>
    <t>20250225-5F</t>
  </si>
  <si>
    <t>20250224-5E</t>
  </si>
  <si>
    <t>20250219-5E</t>
  </si>
  <si>
    <t>20250226-3A</t>
  </si>
  <si>
    <t>20250219-5A</t>
  </si>
  <si>
    <t>20250218-5G</t>
  </si>
  <si>
    <t>20250218-5H</t>
  </si>
  <si>
    <t>20250218-5F</t>
  </si>
  <si>
    <t>20250214-4I</t>
  </si>
  <si>
    <t>20250214-5H</t>
  </si>
  <si>
    <t>20250214-5I</t>
  </si>
  <si>
    <t>20250227-4G</t>
  </si>
  <si>
    <t>20250227-4F</t>
  </si>
  <si>
    <t>20250228-3B</t>
  </si>
  <si>
    <t>20250227-4E</t>
  </si>
  <si>
    <t>20250227-4D</t>
  </si>
  <si>
    <t>20250228-3A</t>
  </si>
  <si>
    <t>20250227-4C</t>
  </si>
  <si>
    <t>20250211-5F</t>
  </si>
  <si>
    <t>1T00026339-33</t>
  </si>
  <si>
    <t>3J73790305-0</t>
  </si>
  <si>
    <t>3J73790305-1</t>
  </si>
  <si>
    <t>20250226-4G</t>
  </si>
  <si>
    <t>20250226-4F</t>
  </si>
  <si>
    <t>20250226-4H</t>
  </si>
  <si>
    <t>20250226-4I</t>
  </si>
  <si>
    <t>20250224-4C</t>
  </si>
  <si>
    <t>250306L</t>
  </si>
  <si>
    <t>20250224-4B</t>
  </si>
  <si>
    <t>2050305-4C</t>
  </si>
  <si>
    <t>20250305-4B</t>
  </si>
  <si>
    <t>3J73790305-2</t>
  </si>
  <si>
    <t>20250305-4A</t>
  </si>
  <si>
    <t>20250303-4G</t>
  </si>
  <si>
    <t>20250224-4G</t>
  </si>
  <si>
    <t>20250305-1A</t>
  </si>
  <si>
    <t>20250224-4H</t>
  </si>
  <si>
    <t>20250305-5A</t>
  </si>
  <si>
    <t>20250305-4J</t>
  </si>
  <si>
    <t>20250305-4I</t>
  </si>
  <si>
    <t>20250305-4H</t>
  </si>
  <si>
    <t>20250305-3A</t>
  </si>
  <si>
    <t>20250305-4G</t>
  </si>
  <si>
    <t>20250226-4C</t>
  </si>
  <si>
    <t>20250226-4B</t>
  </si>
  <si>
    <t>3J73790305-3</t>
  </si>
  <si>
    <t>250307L</t>
  </si>
  <si>
    <t>20250304-3A</t>
  </si>
  <si>
    <t>20250226-4A</t>
  </si>
  <si>
    <t>20250227-4H</t>
  </si>
  <si>
    <t>20250305-1B</t>
  </si>
  <si>
    <t>20250205-4D</t>
  </si>
  <si>
    <t>20250205-4C</t>
  </si>
  <si>
    <t>20250205-4B</t>
  </si>
  <si>
    <t>20250205-4A</t>
  </si>
  <si>
    <t>20250203-4K</t>
  </si>
  <si>
    <t>10PC000010P</t>
  </si>
  <si>
    <t>250310L</t>
  </si>
  <si>
    <t>3J73790276-0</t>
  </si>
  <si>
    <t>ANGEL/NITZ</t>
  </si>
  <si>
    <t>3J73790278-0</t>
  </si>
  <si>
    <t>20250306-1A</t>
  </si>
  <si>
    <t>200DF20020P</t>
  </si>
  <si>
    <t>20250307-A</t>
  </si>
  <si>
    <t>20250306-3A</t>
  </si>
  <si>
    <t>80PK000040P</t>
  </si>
  <si>
    <t>80PN000044P</t>
  </si>
  <si>
    <t>20250307-1A</t>
  </si>
  <si>
    <t>ANGEL/RIZA/NITZ</t>
  </si>
  <si>
    <t>3J73790279-0</t>
  </si>
  <si>
    <t>3J73790281-0</t>
  </si>
  <si>
    <t>3J73790288-0</t>
  </si>
  <si>
    <t>3J73790289-0</t>
  </si>
  <si>
    <t>3J73790303-0</t>
  </si>
  <si>
    <t>3J73790309-0</t>
  </si>
  <si>
    <t>3J73790310-0</t>
  </si>
  <si>
    <t>3J73790311-0</t>
  </si>
  <si>
    <t>3J73790307-0</t>
  </si>
  <si>
    <t>1T00026339-4</t>
  </si>
  <si>
    <t>1T00026339-6</t>
  </si>
  <si>
    <t>1T00026339-7</t>
  </si>
  <si>
    <t>1T00026339-9</t>
  </si>
  <si>
    <t>1T00026339-16</t>
  </si>
  <si>
    <t>1T00026339-17</t>
  </si>
  <si>
    <t>1T00026339-31</t>
  </si>
  <si>
    <t>1T00026339-37</t>
  </si>
  <si>
    <t>1T00026339-38</t>
  </si>
  <si>
    <t>1T00026339-39</t>
  </si>
  <si>
    <t>1T00026339-35</t>
  </si>
  <si>
    <t>250311L</t>
  </si>
  <si>
    <t>3J73790315-0</t>
  </si>
  <si>
    <t>1T00026339-43</t>
  </si>
  <si>
    <t>3J73790308-0</t>
  </si>
  <si>
    <t>3J73790672-0</t>
  </si>
  <si>
    <t>20250307-3A</t>
  </si>
  <si>
    <t>ANGEL/JENNY</t>
  </si>
  <si>
    <t>RIZA/JENNY</t>
  </si>
  <si>
    <t>RIZA/JENNY/NITZ</t>
  </si>
  <si>
    <t>20250308-3A</t>
  </si>
  <si>
    <t>NITZ/ANGEL</t>
  </si>
  <si>
    <t>1T00026339-36</t>
  </si>
  <si>
    <t>UR00000148-1</t>
  </si>
  <si>
    <t>250312L</t>
  </si>
  <si>
    <t>3J73790306-0</t>
  </si>
  <si>
    <t>1T00026339-34</t>
  </si>
  <si>
    <t>20250310-4E</t>
  </si>
  <si>
    <t>20250310-4F</t>
  </si>
  <si>
    <t>20250306-5A</t>
  </si>
  <si>
    <t>20250306-4D</t>
  </si>
  <si>
    <t>20250306-4C</t>
  </si>
  <si>
    <t>20250306-4B</t>
  </si>
  <si>
    <t>20250307-4A</t>
  </si>
  <si>
    <t>20250307-4B</t>
  </si>
  <si>
    <t>20250306-4H</t>
  </si>
  <si>
    <t>20250306-4I</t>
  </si>
  <si>
    <t>20250306-4G</t>
  </si>
  <si>
    <t>20250308-3B</t>
  </si>
  <si>
    <t>20250306-4F</t>
  </si>
  <si>
    <t>20250306-4E</t>
  </si>
  <si>
    <t>20250311-4A</t>
  </si>
  <si>
    <t>20250305-3B</t>
  </si>
  <si>
    <t>3J73790306-1</t>
  </si>
  <si>
    <t>20250304-1B</t>
  </si>
  <si>
    <t>20250225-4B</t>
  </si>
  <si>
    <t>20250225-4A</t>
  </si>
  <si>
    <t>20250224-4I</t>
  </si>
  <si>
    <t>20250310-1A</t>
  </si>
  <si>
    <t>20250304-5C</t>
  </si>
  <si>
    <t>20250304-5B</t>
  </si>
  <si>
    <t>20250304-5A</t>
  </si>
  <si>
    <t>250313L</t>
  </si>
  <si>
    <t>20250303-5G</t>
  </si>
  <si>
    <t>202500304-5A</t>
  </si>
  <si>
    <t>20250303-5H</t>
  </si>
  <si>
    <t>20250303-5F</t>
  </si>
  <si>
    <t>3J73790306-2</t>
  </si>
  <si>
    <t>20250310-3B</t>
  </si>
  <si>
    <t>20250224-4E</t>
  </si>
  <si>
    <t>20250307-4D</t>
  </si>
  <si>
    <t>20250306-5D</t>
  </si>
  <si>
    <t>20250310-4G</t>
  </si>
  <si>
    <t>20250310-3A</t>
  </si>
  <si>
    <t>20250312-4E</t>
  </si>
  <si>
    <t>20250312-4F</t>
  </si>
  <si>
    <t>20250221-4D</t>
  </si>
  <si>
    <t>20250221-4E</t>
  </si>
  <si>
    <t>20250306-5E</t>
  </si>
  <si>
    <t>20250224-4D</t>
  </si>
  <si>
    <t>20250311-4E</t>
  </si>
  <si>
    <t>20250312-4D</t>
  </si>
  <si>
    <t>20250304-5E</t>
  </si>
  <si>
    <t>3J73790306-3</t>
  </si>
  <si>
    <t>20250310-1B</t>
  </si>
  <si>
    <t>20250304-5F</t>
  </si>
  <si>
    <t>20250312-4H</t>
  </si>
  <si>
    <t>20250312-4G</t>
  </si>
  <si>
    <t>20250219-4C</t>
  </si>
  <si>
    <t>20250219-4B</t>
  </si>
  <si>
    <t>250314L</t>
  </si>
  <si>
    <t>20250219-4A</t>
  </si>
  <si>
    <t>20250218-4I</t>
  </si>
  <si>
    <t>20250218-4H</t>
  </si>
  <si>
    <t>20250217-3B</t>
  </si>
  <si>
    <t>3J73790306-4</t>
  </si>
  <si>
    <t>20250313-4A</t>
  </si>
  <si>
    <t>20250310-4D</t>
  </si>
  <si>
    <t>20250310-4C</t>
  </si>
  <si>
    <t>20250310-4B</t>
  </si>
  <si>
    <t>20250225-3B</t>
  </si>
  <si>
    <t>20250310-4A</t>
  </si>
  <si>
    <t>20250307-4I</t>
  </si>
  <si>
    <t>20250307-4H</t>
  </si>
  <si>
    <t>20250313-4H</t>
  </si>
  <si>
    <t>20250313-4G</t>
  </si>
  <si>
    <t>20250313-4F</t>
  </si>
  <si>
    <t>20250313-4E</t>
  </si>
  <si>
    <t>20250313-5E</t>
  </si>
  <si>
    <t>20250313-4B</t>
  </si>
  <si>
    <t>250317L</t>
  </si>
  <si>
    <t>3J73790524-0</t>
  </si>
  <si>
    <t>20250314-4I</t>
  </si>
  <si>
    <t>20250314-4H</t>
  </si>
  <si>
    <t>20250314-4G</t>
  </si>
  <si>
    <t>20250314-4F</t>
  </si>
  <si>
    <t>20250314-4E</t>
  </si>
  <si>
    <t>20250311-4H</t>
  </si>
  <si>
    <t>20250315-1A</t>
  </si>
  <si>
    <t>20250314-4D</t>
  </si>
  <si>
    <t>20250314-4C</t>
  </si>
  <si>
    <t>20250314-4B</t>
  </si>
  <si>
    <t>20250314-4A</t>
  </si>
  <si>
    <t>RIZA/JENNY/NITZ/ANGEL</t>
  </si>
  <si>
    <t>RIZA/JENNY/ANGEL</t>
  </si>
  <si>
    <t>20250313-4J</t>
  </si>
  <si>
    <t>20250313-4I</t>
  </si>
  <si>
    <t>20250311-4G</t>
  </si>
  <si>
    <t>20250317-4D</t>
  </si>
  <si>
    <t>20250317-4C</t>
  </si>
  <si>
    <t>20250317-4B</t>
  </si>
  <si>
    <t>1T00026354-35</t>
  </si>
  <si>
    <t>250318L</t>
  </si>
  <si>
    <t>20250312-4C</t>
  </si>
  <si>
    <t>20250312-4B</t>
  </si>
  <si>
    <t>20250313-4C</t>
  </si>
  <si>
    <t>20250317-1A</t>
  </si>
  <si>
    <t>20250317-4A</t>
  </si>
  <si>
    <t>202502317-4A</t>
  </si>
  <si>
    <t>20250317-4E</t>
  </si>
  <si>
    <t>20250317-4J</t>
  </si>
  <si>
    <t>20250314-3A</t>
  </si>
  <si>
    <t>20250317-4I</t>
  </si>
  <si>
    <t>20250317-4H</t>
  </si>
  <si>
    <t>20250317-4G</t>
  </si>
  <si>
    <t>20250317-4F</t>
  </si>
  <si>
    <t>20250315-3A</t>
  </si>
  <si>
    <t>20250314-5C</t>
  </si>
  <si>
    <t>20250315-4B</t>
  </si>
  <si>
    <t>20250317-3A</t>
  </si>
  <si>
    <t>3J73790530-0</t>
  </si>
  <si>
    <t>1T00026354-41</t>
  </si>
  <si>
    <t>20250314-5B</t>
  </si>
  <si>
    <t>250319L</t>
  </si>
  <si>
    <t>20250314-5A</t>
  </si>
  <si>
    <t>20250312-5D</t>
  </si>
  <si>
    <t>20250312-5B</t>
  </si>
  <si>
    <t>20250312-5C</t>
  </si>
  <si>
    <t>20250318-3B</t>
  </si>
  <si>
    <t>20250314-1A</t>
  </si>
  <si>
    <t>NITZ/JENNY</t>
  </si>
  <si>
    <t>NITZ/JENNY/ANGEL</t>
  </si>
  <si>
    <t>NITZ/JENNY/RIZA</t>
  </si>
  <si>
    <t>20250317-3B</t>
  </si>
  <si>
    <t>1T00026354-36</t>
  </si>
  <si>
    <t>3J73790525-0</t>
  </si>
  <si>
    <t>3J73790532-0</t>
  </si>
  <si>
    <t>1T00026354-43</t>
  </si>
  <si>
    <t>3J73790533-0</t>
  </si>
  <si>
    <t>3J73790534-0</t>
  </si>
  <si>
    <t>3J73790535-0</t>
  </si>
  <si>
    <t>1T00026354-44</t>
  </si>
  <si>
    <t>1T00026354-45</t>
  </si>
  <si>
    <t>1T00026354-46</t>
  </si>
  <si>
    <t>PWPVV0002P</t>
  </si>
  <si>
    <t>3J73790531-0</t>
  </si>
  <si>
    <t>1T00026354-42</t>
  </si>
  <si>
    <t>PHPFI0085P</t>
  </si>
  <si>
    <t>250320L</t>
  </si>
  <si>
    <t>20250319-B</t>
  </si>
  <si>
    <t>20250319-C</t>
  </si>
  <si>
    <t>3J73790526-0</t>
  </si>
  <si>
    <t>1T00026354-37</t>
  </si>
  <si>
    <t>3J73790502-0</t>
  </si>
  <si>
    <t>3J73790506-0</t>
  </si>
  <si>
    <t>1T00026354-13</t>
  </si>
  <si>
    <t>1T00026354-17</t>
  </si>
  <si>
    <t>20250306-A</t>
  </si>
  <si>
    <t>20250318-3A</t>
  </si>
  <si>
    <t>20250318-5A</t>
  </si>
  <si>
    <t>20250314-5E</t>
  </si>
  <si>
    <t>20250318-1A</t>
  </si>
  <si>
    <t>20250307-4E</t>
  </si>
  <si>
    <t>20250307-4F</t>
  </si>
  <si>
    <t>20250307-4G</t>
  </si>
  <si>
    <t>20250318-3C</t>
  </si>
  <si>
    <t>20250305-5B</t>
  </si>
  <si>
    <t>20250312-5E</t>
  </si>
  <si>
    <t>ANGEL/RIZA/JENNY/DENDEN</t>
  </si>
  <si>
    <t>3J73790523-0</t>
  </si>
  <si>
    <t>1T00026354-34</t>
  </si>
  <si>
    <t>250321L</t>
  </si>
  <si>
    <t>20250318-5B</t>
  </si>
  <si>
    <t>20250317-5K</t>
  </si>
  <si>
    <t>20250319-1B</t>
  </si>
  <si>
    <t>20250317-5J</t>
  </si>
  <si>
    <t>20250317-5I</t>
  </si>
  <si>
    <t>3J73790703-0</t>
  </si>
  <si>
    <t>1T00026372-23</t>
  </si>
  <si>
    <t>20250319-1A</t>
  </si>
  <si>
    <t>RIZA/JENNY/DENDEN</t>
  </si>
  <si>
    <t>20250317-1B</t>
  </si>
  <si>
    <t>20250318-1B</t>
  </si>
  <si>
    <t>20250313-A</t>
  </si>
  <si>
    <t>20250319-A</t>
  </si>
  <si>
    <t>20250320-B</t>
  </si>
  <si>
    <t>20250320-A</t>
  </si>
  <si>
    <t>3J73792147-0</t>
  </si>
  <si>
    <t>UR00000149-1</t>
  </si>
  <si>
    <t>200DF20120P</t>
  </si>
  <si>
    <t>20250311-4D</t>
  </si>
  <si>
    <t>250324L</t>
  </si>
  <si>
    <t>20250320-1B</t>
  </si>
  <si>
    <t>20250317-5C</t>
  </si>
  <si>
    <t>20250311-4F</t>
  </si>
  <si>
    <t>20250318-4E</t>
  </si>
  <si>
    <t>20250320-1A</t>
  </si>
  <si>
    <t>20250317-5H</t>
  </si>
  <si>
    <t>20250321-5D</t>
  </si>
  <si>
    <t>20250321-5C</t>
  </si>
  <si>
    <t>20250321-5B</t>
  </si>
  <si>
    <t>20250321-5A</t>
  </si>
  <si>
    <t>20250320-5D</t>
  </si>
  <si>
    <t>20250321-3A</t>
  </si>
  <si>
    <t>1T00026372-22</t>
  </si>
  <si>
    <t>3J73791185-0</t>
  </si>
  <si>
    <t>1T00026397-37</t>
  </si>
  <si>
    <t>3J73790687-0</t>
  </si>
  <si>
    <t>10PD000010P</t>
  </si>
  <si>
    <t>20250313-3A</t>
  </si>
  <si>
    <t>3J73790702-0</t>
  </si>
  <si>
    <t>80PA00QN41P</t>
  </si>
  <si>
    <t>3J73790708-0</t>
  </si>
  <si>
    <t>3J73790706-0</t>
  </si>
  <si>
    <t>3J73790705-0</t>
  </si>
  <si>
    <t>JENNY</t>
  </si>
  <si>
    <t>1T00026372-7</t>
  </si>
  <si>
    <t>1T00026372-28</t>
  </si>
  <si>
    <t>1T00026372-27</t>
  </si>
  <si>
    <t>1T00026372-26</t>
  </si>
  <si>
    <t>1T00026372-25</t>
  </si>
  <si>
    <t>20250318-4F</t>
  </si>
  <si>
    <t>20250317-4K</t>
  </si>
  <si>
    <t>20250321-3B</t>
  </si>
  <si>
    <t>20250318-5D</t>
  </si>
  <si>
    <t>3J73791185-1</t>
  </si>
  <si>
    <t>250325L</t>
  </si>
  <si>
    <t>20250318-4D</t>
  </si>
  <si>
    <t>20250318-4C</t>
  </si>
  <si>
    <t>20250318-5C</t>
  </si>
  <si>
    <t>20250318-4B</t>
  </si>
  <si>
    <t>20250318-4A</t>
  </si>
  <si>
    <t>20250311-5F</t>
  </si>
  <si>
    <t>20250311-5E</t>
  </si>
  <si>
    <t>20250320-3A</t>
  </si>
  <si>
    <t>20250311-5D</t>
  </si>
  <si>
    <t>20250324-1B</t>
  </si>
  <si>
    <t>3J73791185-2</t>
  </si>
  <si>
    <t>20250311-5C</t>
  </si>
  <si>
    <t>20250317-5B</t>
  </si>
  <si>
    <t>20250317-5A</t>
  </si>
  <si>
    <t>20250314-5G</t>
  </si>
  <si>
    <t>20250314-5H</t>
  </si>
  <si>
    <t>20250314-5F</t>
  </si>
  <si>
    <t>20250319-3B</t>
  </si>
  <si>
    <t>20250318-4G</t>
  </si>
  <si>
    <t>20250305-4F</t>
  </si>
  <si>
    <t>250326L</t>
  </si>
  <si>
    <t>3J73792563-0</t>
  </si>
  <si>
    <t>1T00026484-1</t>
  </si>
  <si>
    <t>1T00026484-3</t>
  </si>
  <si>
    <t>3J73792565-0</t>
  </si>
  <si>
    <t>3J73792568-0</t>
  </si>
  <si>
    <t>1T00026484-6</t>
  </si>
  <si>
    <t>3J73792570-0</t>
  </si>
  <si>
    <t>1T00026484-8</t>
  </si>
  <si>
    <t>80PN000041P</t>
  </si>
  <si>
    <t>120PN20010P</t>
  </si>
  <si>
    <t>3J73792571-0</t>
  </si>
  <si>
    <t>3J73792572-0</t>
  </si>
  <si>
    <t>241215-1010798</t>
  </si>
  <si>
    <t>0-24-0358</t>
  </si>
  <si>
    <t>20250324-B</t>
  </si>
  <si>
    <t>0-25-0044</t>
  </si>
  <si>
    <t>20250305-4E</t>
  </si>
  <si>
    <t>20250305-4D</t>
  </si>
  <si>
    <t>20250307-5D</t>
  </si>
  <si>
    <t>3J73791185-3</t>
  </si>
  <si>
    <t>20250319-5C</t>
  </si>
  <si>
    <t>20250319-5E</t>
  </si>
  <si>
    <t>20250320-5C</t>
  </si>
  <si>
    <t>20250321-3C</t>
  </si>
  <si>
    <t>20250321-1A</t>
  </si>
  <si>
    <t>20250319-5D</t>
  </si>
  <si>
    <t>20250319-4A</t>
  </si>
  <si>
    <t>20250318-4H</t>
  </si>
  <si>
    <t>2025-0318-4I</t>
  </si>
  <si>
    <t>20250324-1A</t>
  </si>
  <si>
    <t>20250319-5A</t>
  </si>
  <si>
    <t>20250320-4G</t>
  </si>
  <si>
    <t>20250320-4F</t>
  </si>
  <si>
    <t>20250320-4E</t>
  </si>
  <si>
    <t>20250320-4D</t>
  </si>
  <si>
    <t>20250324-3A</t>
  </si>
  <si>
    <t>3J73791185-4</t>
  </si>
  <si>
    <t>20250320-4C</t>
  </si>
  <si>
    <t>20250319-5B</t>
  </si>
  <si>
    <t>20250218-5A</t>
  </si>
  <si>
    <t>20250218-5D</t>
  </si>
  <si>
    <t>20250211-5A</t>
  </si>
  <si>
    <t>250327L</t>
  </si>
  <si>
    <t>20250211-5H</t>
  </si>
  <si>
    <t>20250211-5G</t>
  </si>
  <si>
    <t>20250214-4H</t>
  </si>
  <si>
    <t>20250321-4C</t>
  </si>
  <si>
    <t>20250321-4D</t>
  </si>
  <si>
    <t>20250319-5H</t>
  </si>
  <si>
    <t>20250320-5B</t>
  </si>
  <si>
    <t>20250320-5A</t>
  </si>
  <si>
    <t>20250319-5K</t>
  </si>
  <si>
    <t>20250319-5J</t>
  </si>
  <si>
    <t>20250320-3B</t>
  </si>
  <si>
    <t>3J73791185-5</t>
  </si>
  <si>
    <t>20250325-3B</t>
  </si>
  <si>
    <t>20250320-4B</t>
  </si>
  <si>
    <t>20250320-4H</t>
  </si>
  <si>
    <t>20250321-4H</t>
  </si>
  <si>
    <t>20250324-5D</t>
  </si>
  <si>
    <t>20250324-5C</t>
  </si>
  <si>
    <t>2050324-1A</t>
  </si>
  <si>
    <t>20250324-5B</t>
  </si>
  <si>
    <t>20250319-5I</t>
  </si>
  <si>
    <t>20250321-4K</t>
  </si>
  <si>
    <t>20250321-4J</t>
  </si>
  <si>
    <t>20250325-1C</t>
  </si>
  <si>
    <t>20250321-4I</t>
  </si>
  <si>
    <t>250328L</t>
  </si>
  <si>
    <t>3J73791185-6</t>
  </si>
  <si>
    <t>20250321-4G</t>
  </si>
  <si>
    <t>20250321-4F</t>
  </si>
  <si>
    <t>20250325-1B</t>
  </si>
  <si>
    <t>20250218-5E</t>
  </si>
  <si>
    <t>20250219-5C</t>
  </si>
  <si>
    <t>20250325-3A</t>
  </si>
  <si>
    <t>20250219-5D</t>
  </si>
  <si>
    <t>20250326-4H</t>
  </si>
  <si>
    <t>20250326-4I</t>
  </si>
  <si>
    <t>2050326-4G</t>
  </si>
  <si>
    <t>20250326-4F</t>
  </si>
  <si>
    <t>3J73791185-7</t>
  </si>
  <si>
    <t>20250326-4G</t>
  </si>
  <si>
    <t>20250324-5A</t>
  </si>
  <si>
    <t>20250324-5J</t>
  </si>
  <si>
    <t>20250324-3B</t>
  </si>
  <si>
    <t>20250321-5J</t>
  </si>
  <si>
    <t>20250324-4G</t>
  </si>
  <si>
    <t>20250324-4F</t>
  </si>
  <si>
    <t>20250326-1A</t>
  </si>
  <si>
    <t>20250326-4E</t>
  </si>
  <si>
    <t>20250327-5E</t>
  </si>
  <si>
    <t>20250323-1B</t>
  </si>
  <si>
    <t>20250327-5F</t>
  </si>
  <si>
    <t>20250321-4B</t>
  </si>
  <si>
    <t>20250321-4A</t>
  </si>
  <si>
    <t>20250320-4K</t>
  </si>
  <si>
    <t>20250326-1B</t>
  </si>
  <si>
    <t>20250320-4J</t>
  </si>
  <si>
    <t>20250320-4I</t>
  </si>
  <si>
    <t>250331L</t>
  </si>
  <si>
    <t>1T00026397-38</t>
  </si>
  <si>
    <t>1T00026397-39</t>
  </si>
  <si>
    <t>1T00026397-40</t>
  </si>
  <si>
    <t>1T00026397-41</t>
  </si>
  <si>
    <t>1T00026397-42</t>
  </si>
  <si>
    <t>1T00026397-43</t>
  </si>
  <si>
    <t>1T00026397-44</t>
  </si>
  <si>
    <t>3J73791189-0</t>
  </si>
  <si>
    <t>RIZA/JENNY/ANGEL/LYN</t>
  </si>
  <si>
    <t>20250327-5A</t>
  </si>
  <si>
    <t>20250326-5E</t>
  </si>
  <si>
    <t>20250326-5F</t>
  </si>
  <si>
    <t>20250324-5G</t>
  </si>
  <si>
    <t>20250324-5F</t>
  </si>
  <si>
    <t>20250324-5H</t>
  </si>
  <si>
    <t>20250324-5E</t>
  </si>
  <si>
    <t>202503221-1A</t>
  </si>
  <si>
    <t>202503204-1A</t>
  </si>
  <si>
    <t>20250328-5B</t>
  </si>
  <si>
    <t>20250204-1B</t>
  </si>
  <si>
    <t>20250327-4D</t>
  </si>
  <si>
    <t>250402L</t>
  </si>
  <si>
    <t>20250326-3A</t>
  </si>
  <si>
    <t>20250325-A</t>
  </si>
  <si>
    <t>3J73791160-0</t>
  </si>
  <si>
    <t>1T000026397-5</t>
  </si>
  <si>
    <t>3J73791163-0</t>
  </si>
  <si>
    <t>1T000026397-8</t>
  </si>
  <si>
    <t>ANGEL/RIZA/JENNY/ANGELOU</t>
  </si>
  <si>
    <t>20250327-1A</t>
  </si>
  <si>
    <t>20250331-A</t>
  </si>
  <si>
    <t>200PAMA010P</t>
  </si>
  <si>
    <t>200PD20011P</t>
  </si>
  <si>
    <t>PHPDB0014P</t>
  </si>
  <si>
    <t>PHPDB0017P</t>
  </si>
  <si>
    <t>3J73791164-0</t>
  </si>
  <si>
    <t>3J73791168-0</t>
  </si>
  <si>
    <t>3J73791169-0</t>
  </si>
  <si>
    <t>1T000026397-9</t>
  </si>
  <si>
    <t>1T000026397-18</t>
  </si>
  <si>
    <t>1T000026397-19</t>
  </si>
  <si>
    <t>1T000026397-36</t>
  </si>
  <si>
    <t>3J73791184-0</t>
  </si>
  <si>
    <t>3J73791187-0</t>
  </si>
  <si>
    <t>3J73791190-0</t>
  </si>
  <si>
    <t>1T000026397-47</t>
  </si>
  <si>
    <t>1T000026397-50</t>
  </si>
  <si>
    <t>3J73791191-0</t>
  </si>
  <si>
    <t>3J73791192-0</t>
  </si>
  <si>
    <t>3J73791193-0</t>
  </si>
  <si>
    <t>3J73791194-0</t>
  </si>
  <si>
    <t>3J73791195-0</t>
  </si>
  <si>
    <t>3J73791196-0</t>
  </si>
  <si>
    <t>3J73791197-0</t>
  </si>
  <si>
    <t>3J73791198-0</t>
  </si>
  <si>
    <t>1T000026397-51</t>
  </si>
  <si>
    <t>1T000026397-52</t>
  </si>
  <si>
    <t>1T000026397-53</t>
  </si>
  <si>
    <t>1T000026397-54</t>
  </si>
  <si>
    <t>1T000026397-55</t>
  </si>
  <si>
    <t>1T000026397-56</t>
  </si>
  <si>
    <t>1T000026397-57</t>
  </si>
  <si>
    <t>1T000026397-58</t>
  </si>
  <si>
    <t>20250326-A</t>
  </si>
  <si>
    <t>20250327-3A</t>
  </si>
  <si>
    <t>2050402-A</t>
  </si>
  <si>
    <t>JENNY/RIZA</t>
  </si>
  <si>
    <t>MICHA</t>
  </si>
  <si>
    <t>ANGEL/RIZA/JENNY/MICHA</t>
  </si>
  <si>
    <t>3J73791185-8</t>
  </si>
  <si>
    <t>1T000026397-45</t>
  </si>
  <si>
    <t>20250328-4A</t>
  </si>
  <si>
    <t>20250328-4B</t>
  </si>
  <si>
    <t>20250328-5G</t>
  </si>
  <si>
    <t>20250402-3A</t>
  </si>
  <si>
    <t>20250328-5F</t>
  </si>
  <si>
    <t>20250331-1A</t>
  </si>
  <si>
    <t>20250328-5E</t>
  </si>
  <si>
    <t>20250331-3B</t>
  </si>
  <si>
    <t>250403L</t>
  </si>
  <si>
    <t>20250328-5H</t>
  </si>
  <si>
    <t>20250328-5D</t>
  </si>
  <si>
    <t>2025028-4C</t>
  </si>
  <si>
    <t>20250327-5D</t>
  </si>
  <si>
    <t>20250402-5B</t>
  </si>
  <si>
    <t>20250327-4E</t>
  </si>
  <si>
    <t>20250326-3C</t>
  </si>
  <si>
    <t>20250328-5A</t>
  </si>
  <si>
    <t>20250331-3A</t>
  </si>
  <si>
    <t>20250327-5G</t>
  </si>
  <si>
    <t>2050328-5C</t>
  </si>
  <si>
    <t>20250331-4A</t>
  </si>
  <si>
    <t>20250328-3A</t>
  </si>
  <si>
    <t>20250328-4I</t>
  </si>
  <si>
    <t>20250328-4H</t>
  </si>
  <si>
    <t>20250328-4G</t>
  </si>
  <si>
    <t>20250328-4F</t>
  </si>
  <si>
    <t>20250328-4E</t>
  </si>
  <si>
    <t>20250331-4C</t>
  </si>
  <si>
    <t>20250331-4B</t>
  </si>
  <si>
    <t>3J73791186-0</t>
  </si>
  <si>
    <t>1T000026397-46</t>
  </si>
  <si>
    <t>250404L</t>
  </si>
  <si>
    <t>20250331-5D</t>
  </si>
  <si>
    <t>20250331-5C</t>
  </si>
  <si>
    <t>20250331-5B</t>
  </si>
  <si>
    <t>2050402-3A</t>
  </si>
  <si>
    <t>20250404-3B</t>
  </si>
  <si>
    <t>ANGEL/RIZA/JENNY/DEN-DEN</t>
  </si>
  <si>
    <t>120PC20012P</t>
  </si>
  <si>
    <t>20250327-A</t>
  </si>
  <si>
    <t>3J73791188-0</t>
  </si>
  <si>
    <t>1T000026397-48</t>
  </si>
  <si>
    <t>3J73791162-0</t>
  </si>
  <si>
    <t>1T000026397-7</t>
  </si>
  <si>
    <t>250407L</t>
  </si>
  <si>
    <t>20250403-4G</t>
  </si>
  <si>
    <t>20250403-5A</t>
  </si>
  <si>
    <t>20250404-3A</t>
  </si>
  <si>
    <t>20250402-5K</t>
  </si>
  <si>
    <t>20250402-5J</t>
  </si>
  <si>
    <t>20250405-8A</t>
  </si>
  <si>
    <t>PCWPA0001P</t>
  </si>
  <si>
    <t>ANGEL/RIZA/JENNY/</t>
  </si>
  <si>
    <t>3J73791869-0</t>
  </si>
  <si>
    <t>3J73791872-0</t>
  </si>
  <si>
    <t>3J73791867-0</t>
  </si>
  <si>
    <t>3J73791870-0</t>
  </si>
  <si>
    <t>3J73791871-0</t>
  </si>
  <si>
    <t>3J73791873-0</t>
  </si>
  <si>
    <t>1T00026410-5</t>
  </si>
  <si>
    <t>1T00026410-7</t>
  </si>
  <si>
    <t>1T00026410-8</t>
  </si>
  <si>
    <t>1T00026410-9</t>
  </si>
  <si>
    <t>1T00026410-11</t>
  </si>
  <si>
    <t>1T00026410-10</t>
  </si>
  <si>
    <t>3J73791923-0</t>
  </si>
  <si>
    <t>1T00026434-9</t>
  </si>
  <si>
    <t>250414L</t>
  </si>
  <si>
    <t>1T00026434-10</t>
  </si>
  <si>
    <t>3J73791924-0</t>
  </si>
  <si>
    <t>3J73791926-0</t>
  </si>
  <si>
    <t>1T00026434-12</t>
  </si>
  <si>
    <t>3J73791927-0</t>
  </si>
  <si>
    <t>1T00026434-13</t>
  </si>
  <si>
    <t>3J73791925-0</t>
  </si>
  <si>
    <t>PFPCS0005P</t>
  </si>
  <si>
    <t>20250414-8A</t>
  </si>
  <si>
    <t>20250407-A</t>
  </si>
  <si>
    <t>20250408-A</t>
  </si>
  <si>
    <t>1T00026434-11</t>
  </si>
  <si>
    <t>250421L</t>
  </si>
  <si>
    <t>20250411-B</t>
  </si>
  <si>
    <t>20250221-A</t>
  </si>
  <si>
    <t>20250221-B</t>
  </si>
  <si>
    <t>ANGEL/JENNY/RIZA</t>
  </si>
  <si>
    <t>20250405-A</t>
  </si>
  <si>
    <t>20250414-A</t>
  </si>
  <si>
    <t>20250407-3B</t>
  </si>
  <si>
    <t>20250416-4G</t>
  </si>
  <si>
    <t>20250416-5G</t>
  </si>
  <si>
    <t>3J73792071-0</t>
  </si>
  <si>
    <t>1T00026447-18</t>
  </si>
  <si>
    <t>3J73792074-0</t>
  </si>
  <si>
    <t>1T00026447-21</t>
  </si>
  <si>
    <t>3J73792083-0</t>
  </si>
  <si>
    <t>1T00026447-30</t>
  </si>
  <si>
    <t>3J7379202067-0</t>
  </si>
  <si>
    <t>120PF20010P</t>
  </si>
  <si>
    <t>3J7379202068-0</t>
  </si>
  <si>
    <t>1T00026447-14</t>
  </si>
  <si>
    <t>1T00026447-15</t>
  </si>
  <si>
    <t>200PA0QN40P</t>
  </si>
  <si>
    <t>1T00026447-20</t>
  </si>
  <si>
    <t>3J7379202073-0</t>
  </si>
  <si>
    <t>PASPSW0400P</t>
  </si>
  <si>
    <t>3J7379202085-0</t>
  </si>
  <si>
    <t>1T00026447-35</t>
  </si>
  <si>
    <t>1T00026447-32</t>
  </si>
  <si>
    <t>1T00026447-33</t>
  </si>
  <si>
    <t>3J7379202086-0</t>
  </si>
  <si>
    <t>3J7379202087-0</t>
  </si>
  <si>
    <t>1T00026447-34</t>
  </si>
  <si>
    <t>3J7379202088-0</t>
  </si>
  <si>
    <t>PXPFI0002P</t>
  </si>
  <si>
    <t>3J7379202089-0</t>
  </si>
  <si>
    <t>1T00026447-36</t>
  </si>
  <si>
    <t>250422L</t>
  </si>
  <si>
    <t>20250416-5F</t>
  </si>
  <si>
    <t>20250416-5E</t>
  </si>
  <si>
    <t>20250416-5D</t>
  </si>
  <si>
    <t>20250405-1B</t>
  </si>
  <si>
    <t>20250416-5C</t>
  </si>
  <si>
    <t>20250405-3A</t>
  </si>
  <si>
    <t>20250415-4C</t>
  </si>
  <si>
    <t>20250415-4D</t>
  </si>
  <si>
    <t>20250415-4B</t>
  </si>
  <si>
    <t>20250415-4A</t>
  </si>
  <si>
    <t>3J73792190-0</t>
  </si>
  <si>
    <t>250428L</t>
  </si>
  <si>
    <t>20250424-B</t>
  </si>
  <si>
    <t>20250424-C</t>
  </si>
  <si>
    <t>1T00026465-21</t>
  </si>
  <si>
    <t>3J73792197-0</t>
  </si>
  <si>
    <t>1T00026465-33</t>
  </si>
  <si>
    <t>ANGEL /RIZA</t>
  </si>
  <si>
    <t>3J73792198-0</t>
  </si>
  <si>
    <t>1T00026465-34</t>
  </si>
  <si>
    <t>20250416-A</t>
  </si>
  <si>
    <t>20250423-A</t>
  </si>
  <si>
    <t>3J73792201-0</t>
  </si>
  <si>
    <t>1T00026465-37</t>
  </si>
  <si>
    <t>3J73792199-0</t>
  </si>
  <si>
    <t>PFPFI0001P</t>
  </si>
  <si>
    <t>3J73792200-0</t>
  </si>
  <si>
    <t>1T00026465-36</t>
  </si>
  <si>
    <t>1T00026465-35</t>
  </si>
  <si>
    <t>250506L</t>
  </si>
  <si>
    <t>3J73792338-0</t>
  </si>
  <si>
    <t>250505L</t>
  </si>
  <si>
    <t>200PR00301P</t>
  </si>
  <si>
    <t>20250415-3B</t>
  </si>
  <si>
    <t>20250425-4C</t>
  </si>
  <si>
    <t>20250424-4L</t>
  </si>
  <si>
    <t>20250425-4B</t>
  </si>
  <si>
    <t>20250425-4A</t>
  </si>
  <si>
    <t>20250416-3A</t>
  </si>
  <si>
    <t>20250424-4K</t>
  </si>
  <si>
    <t>20252424-4I</t>
  </si>
  <si>
    <t>20250411-4I</t>
  </si>
  <si>
    <t>20250411-4H</t>
  </si>
  <si>
    <t>20250416-1A</t>
  </si>
  <si>
    <t>20250411-4G</t>
  </si>
  <si>
    <t>20250428-5I</t>
  </si>
  <si>
    <t>JENNY/RIZA/ANGEL</t>
  </si>
  <si>
    <t>2025041-4F</t>
  </si>
  <si>
    <t>1T00026501-50</t>
  </si>
  <si>
    <t>250507L</t>
  </si>
  <si>
    <t>20250506-3A</t>
  </si>
  <si>
    <t>1T00026501-52</t>
  </si>
  <si>
    <t>3J73792339-0</t>
  </si>
  <si>
    <t>1T00026501-4</t>
  </si>
  <si>
    <t>3J73792291-0</t>
  </si>
  <si>
    <t>3J73792292-0</t>
  </si>
  <si>
    <t>1T00026501-5</t>
  </si>
  <si>
    <t>3J73792298-0</t>
  </si>
  <si>
    <t>3J73792305-0</t>
  </si>
  <si>
    <t>1T00026501-11</t>
  </si>
  <si>
    <t>1T00026501-18</t>
  </si>
  <si>
    <t>3J73792306-0</t>
  </si>
  <si>
    <t>1T00026501-19</t>
  </si>
  <si>
    <t>3J73792307-0</t>
  </si>
  <si>
    <t>1T00026501-20</t>
  </si>
  <si>
    <t>3J73792343-0</t>
  </si>
  <si>
    <t>20250425-3A</t>
  </si>
  <si>
    <t>20250430-A</t>
  </si>
  <si>
    <t>20250505-1A</t>
  </si>
  <si>
    <t>20250505-3A</t>
  </si>
  <si>
    <t>20250422-D</t>
  </si>
  <si>
    <t>20250423-B</t>
  </si>
  <si>
    <t>3J73792340-0</t>
  </si>
  <si>
    <t>1T00026501-53</t>
  </si>
  <si>
    <t>80PR000041P</t>
  </si>
  <si>
    <t>250508L</t>
  </si>
  <si>
    <t>20250506-C</t>
  </si>
  <si>
    <t>20250505-I</t>
  </si>
  <si>
    <t>3J73792342-0</t>
  </si>
  <si>
    <t>1T00026501-55</t>
  </si>
  <si>
    <t>JENNY/RIZA/ANGEL/REIN</t>
  </si>
  <si>
    <t>PASPSW0200P</t>
  </si>
  <si>
    <t>3J73792344-0</t>
  </si>
  <si>
    <t>1T00026501-57</t>
  </si>
  <si>
    <t>PDWVV0001P</t>
  </si>
  <si>
    <t>3J73792345-0</t>
  </si>
  <si>
    <t>1T00026501-58</t>
  </si>
  <si>
    <t>3J73792346-0</t>
  </si>
  <si>
    <t>1T00026501-59</t>
  </si>
  <si>
    <t>3J73792347-0</t>
  </si>
  <si>
    <t>3J73792348-0</t>
  </si>
  <si>
    <t>1T00026501-60</t>
  </si>
  <si>
    <t>1T00026501-61</t>
  </si>
  <si>
    <t>PFPLK0001P</t>
  </si>
  <si>
    <t>REIN</t>
  </si>
  <si>
    <t>RIZA/REIN</t>
  </si>
  <si>
    <t>20250508-A</t>
  </si>
  <si>
    <t>20250404-5F</t>
  </si>
  <si>
    <t>20250404-5E</t>
  </si>
  <si>
    <t>20250416-4F</t>
  </si>
  <si>
    <t>20250505-1C</t>
  </si>
  <si>
    <t>20250416-4E</t>
  </si>
  <si>
    <t>20250416-4D</t>
  </si>
  <si>
    <t>20250507-1B</t>
  </si>
  <si>
    <t>20250416-4C</t>
  </si>
  <si>
    <t>20250416-4B</t>
  </si>
  <si>
    <t>20250505-4A</t>
  </si>
  <si>
    <t>250509L</t>
  </si>
  <si>
    <t>202505407-1B</t>
  </si>
  <si>
    <t>20250430-4H</t>
  </si>
  <si>
    <t>20250430-4E</t>
  </si>
  <si>
    <t>20250402-5C</t>
  </si>
  <si>
    <t>20250410-4J</t>
  </si>
  <si>
    <t>20250404-5D</t>
  </si>
  <si>
    <t>250513L</t>
  </si>
  <si>
    <t>DENDEN</t>
  </si>
  <si>
    <t>3J73792352-0</t>
  </si>
  <si>
    <t>1T00026501-65</t>
  </si>
  <si>
    <t>20250416-4A</t>
  </si>
  <si>
    <t>20250415-4J</t>
  </si>
  <si>
    <t>20240415-4K</t>
  </si>
  <si>
    <t>20250415-4I</t>
  </si>
  <si>
    <t>20250414-3A</t>
  </si>
  <si>
    <t>20250415-4H</t>
  </si>
  <si>
    <t>20250429-5G</t>
  </si>
  <si>
    <t>20250429-5J</t>
  </si>
  <si>
    <t>20250429-4H</t>
  </si>
  <si>
    <t>20250429-4I</t>
  </si>
  <si>
    <t>20250513-3A</t>
  </si>
  <si>
    <t>20250415-5E</t>
  </si>
  <si>
    <t>20250415-5D</t>
  </si>
  <si>
    <t>20250430-5B</t>
  </si>
  <si>
    <t>20250430-5A</t>
  </si>
  <si>
    <t>20250430-5C</t>
  </si>
  <si>
    <t>250514L</t>
  </si>
  <si>
    <t>250515L</t>
  </si>
  <si>
    <t>20250415-1A</t>
  </si>
  <si>
    <t>20250428-3A</t>
  </si>
  <si>
    <t>20250423-3C</t>
  </si>
  <si>
    <t>20250423-3B</t>
  </si>
  <si>
    <t>20250424-3A</t>
  </si>
  <si>
    <t>ANGELA/JENNY</t>
  </si>
  <si>
    <t>RIZA/JENNY/LAZARRA</t>
  </si>
  <si>
    <t>ANGELA/JENNY/CHA</t>
  </si>
  <si>
    <t>1T00026519-15</t>
  </si>
  <si>
    <t>3J73792554-0</t>
  </si>
  <si>
    <t>3J73792555-0</t>
  </si>
  <si>
    <t>1T00026519-16</t>
  </si>
  <si>
    <t>1T00026535-26</t>
  </si>
  <si>
    <t>3J73792787-0</t>
  </si>
  <si>
    <t>250516L</t>
  </si>
  <si>
    <t>20250421-1A</t>
  </si>
  <si>
    <t>ANGELA/RIZA</t>
  </si>
  <si>
    <t>250519L</t>
  </si>
  <si>
    <t>20250422-4B</t>
  </si>
  <si>
    <t>20250422-4J</t>
  </si>
  <si>
    <t>20250422-4H</t>
  </si>
  <si>
    <t>20250422-4I</t>
  </si>
  <si>
    <t>20250422-4G</t>
  </si>
  <si>
    <t>20250422-4A</t>
  </si>
  <si>
    <t>20250421-5D</t>
  </si>
  <si>
    <t>20250421-5C</t>
  </si>
  <si>
    <t>20250429-3A</t>
  </si>
  <si>
    <t>20250421-5E</t>
  </si>
  <si>
    <t>20250425-1B</t>
  </si>
  <si>
    <t>20250421-5F</t>
  </si>
  <si>
    <t>20250421-5G</t>
  </si>
  <si>
    <t>20250430-1A</t>
  </si>
  <si>
    <t>20250414-5K</t>
  </si>
  <si>
    <t>ANGEL/RIZA/ANNE</t>
  </si>
  <si>
    <t>1T00026535-25</t>
  </si>
  <si>
    <t>3J73792786-0</t>
  </si>
  <si>
    <t>3J73792792-0</t>
  </si>
  <si>
    <t>1T00026535-31</t>
  </si>
  <si>
    <t>PDWMR0001P</t>
  </si>
  <si>
    <t>20250228-8A</t>
  </si>
  <si>
    <t>20250519-8A</t>
  </si>
  <si>
    <t>20250516-8A</t>
  </si>
  <si>
    <t>3J73792788-0</t>
  </si>
  <si>
    <t>1T00026535-27</t>
  </si>
  <si>
    <t>3J73792790-0</t>
  </si>
  <si>
    <t>1T00026535-29</t>
  </si>
  <si>
    <t>1T00026535-30</t>
  </si>
  <si>
    <t>3J73792791-0</t>
  </si>
  <si>
    <t>3J73792794-0</t>
  </si>
  <si>
    <t>1T00026535-33</t>
  </si>
  <si>
    <t>3J73792795-0</t>
  </si>
  <si>
    <t>1T00026535-34</t>
  </si>
  <si>
    <t>3J73792796-0</t>
  </si>
  <si>
    <t>1T00026535-35</t>
  </si>
  <si>
    <t>3J73792797-0</t>
  </si>
  <si>
    <t>1T00026535-36</t>
  </si>
  <si>
    <t>3J73792798-0</t>
  </si>
  <si>
    <t>1T00026535-37</t>
  </si>
  <si>
    <t>3J73792799-0</t>
  </si>
  <si>
    <t>1T00026535-38</t>
  </si>
  <si>
    <t>250520L</t>
  </si>
  <si>
    <t>20250514-B</t>
  </si>
  <si>
    <t>20250510-A</t>
  </si>
  <si>
    <t>ANGEL/JENNY/RIZA/KAREEN</t>
  </si>
  <si>
    <t>3J73792800-0</t>
  </si>
  <si>
    <t>1T00026535-39</t>
  </si>
  <si>
    <t>1T00026553-10</t>
  </si>
  <si>
    <t>3J73792968-0</t>
  </si>
  <si>
    <t>3J73792969-0</t>
  </si>
  <si>
    <t>1T00026553-11</t>
  </si>
  <si>
    <t>250521L</t>
  </si>
  <si>
    <t>20250519-1A</t>
  </si>
  <si>
    <t>ANGEL/JENNY/RIZA/DEN-DEN</t>
  </si>
  <si>
    <t>20250516-A</t>
  </si>
  <si>
    <t>DFB9451000</t>
  </si>
  <si>
    <t>250522L</t>
  </si>
  <si>
    <t>20250521-D</t>
  </si>
  <si>
    <t>3J73793125-0</t>
  </si>
  <si>
    <t>2T00000603-20</t>
  </si>
  <si>
    <t>20250520-A</t>
  </si>
  <si>
    <t>20250521-C</t>
  </si>
  <si>
    <t>20250519-A</t>
  </si>
  <si>
    <t>20250521-A</t>
  </si>
  <si>
    <t>250523L</t>
  </si>
  <si>
    <t>1T00026553-13</t>
  </si>
  <si>
    <t>3J73792971-0</t>
  </si>
  <si>
    <t>PDWFI0001P</t>
  </si>
  <si>
    <t>1T00026553-22</t>
  </si>
  <si>
    <t>3J73792980-0</t>
  </si>
  <si>
    <t>CHERRY</t>
  </si>
  <si>
    <t>3J73792983-0</t>
  </si>
  <si>
    <t>1T00026553-25</t>
  </si>
  <si>
    <t>3J73792979-0</t>
  </si>
  <si>
    <t>1T00026553-21</t>
  </si>
  <si>
    <t>20250522-A</t>
  </si>
  <si>
    <t>1T00026553-26</t>
  </si>
  <si>
    <t>PVPVC0002P</t>
  </si>
  <si>
    <t>3J73792984-0</t>
  </si>
  <si>
    <t>PCFCS0001P</t>
  </si>
  <si>
    <t>250528L</t>
  </si>
  <si>
    <t>032025A-20</t>
  </si>
  <si>
    <t>040925B-20</t>
  </si>
  <si>
    <t>20250510-B</t>
  </si>
  <si>
    <t>ANGEL/TIN/JENNY</t>
  </si>
  <si>
    <t>3J73792557-0</t>
  </si>
  <si>
    <t>250602L</t>
  </si>
  <si>
    <t>20250528-3A</t>
  </si>
  <si>
    <t>3J73793062-0</t>
  </si>
  <si>
    <t>120VV20010P</t>
  </si>
  <si>
    <t>20250530-A</t>
  </si>
  <si>
    <t>20250514-1A</t>
  </si>
  <si>
    <t>20250513-3B</t>
  </si>
  <si>
    <t>20250514-1B</t>
  </si>
  <si>
    <t>24Y08</t>
  </si>
  <si>
    <t>PHPDB0009P</t>
  </si>
  <si>
    <t>PHPDB0010P</t>
  </si>
  <si>
    <t>PHPFI0125</t>
  </si>
  <si>
    <t>PWPFI0001P</t>
  </si>
  <si>
    <t>DEN-DEN</t>
  </si>
  <si>
    <t>1T00026585-3</t>
  </si>
  <si>
    <t>3J73793063-0</t>
  </si>
  <si>
    <t>1T00026585-4</t>
  </si>
  <si>
    <t>1T00026585-5</t>
  </si>
  <si>
    <t>1T00026585-7</t>
  </si>
  <si>
    <t>3J73793064-0</t>
  </si>
  <si>
    <t>3J73793074-0</t>
  </si>
  <si>
    <t>3J73793066-0</t>
  </si>
  <si>
    <t>1T00026585-15</t>
  </si>
  <si>
    <t>3J73793075-0</t>
  </si>
  <si>
    <t>3J73793077-0</t>
  </si>
  <si>
    <t>3J73793078-0</t>
  </si>
  <si>
    <t>3J73793079-0</t>
  </si>
  <si>
    <t>3J73793080-0</t>
  </si>
  <si>
    <t>3J73793081-0</t>
  </si>
  <si>
    <t>3J73793082-0</t>
  </si>
  <si>
    <t>3J73793083-0</t>
  </si>
  <si>
    <t>1T00026585-16</t>
  </si>
  <si>
    <t>1T00026585-19</t>
  </si>
  <si>
    <t>1T00026585-20</t>
  </si>
  <si>
    <t>1T00026585-21</t>
  </si>
  <si>
    <t>1T00026585-22</t>
  </si>
  <si>
    <t>1T00026585-23</t>
  </si>
  <si>
    <t>1T00026585-24</t>
  </si>
  <si>
    <t>20250509-5I</t>
  </si>
  <si>
    <t>20250509-5F</t>
  </si>
  <si>
    <t>20250528-3B</t>
  </si>
  <si>
    <t>20250509-5H</t>
  </si>
  <si>
    <t>20250509-5E</t>
  </si>
  <si>
    <t>20250513-1A</t>
  </si>
  <si>
    <t>20250509-5D</t>
  </si>
  <si>
    <t>20250509-5G</t>
  </si>
  <si>
    <t>1T00026585-18</t>
  </si>
  <si>
    <t>250603L</t>
  </si>
  <si>
    <t>20250515-3A</t>
  </si>
  <si>
    <t>20250425-5L</t>
  </si>
  <si>
    <t>20250425-5M</t>
  </si>
  <si>
    <t>20250425-5K</t>
  </si>
  <si>
    <t>2025015-1A</t>
  </si>
  <si>
    <t>20250428-5A</t>
  </si>
  <si>
    <t>20250428-5B</t>
  </si>
  <si>
    <t>20250428-5C</t>
  </si>
  <si>
    <t>20250515-1A</t>
  </si>
  <si>
    <t>20250430-5E</t>
  </si>
  <si>
    <t>20250430-5G</t>
  </si>
  <si>
    <t>20250506-5B</t>
  </si>
  <si>
    <t>20250514-3A</t>
  </si>
  <si>
    <t>20250430-5F</t>
  </si>
  <si>
    <t>20250414-5L</t>
  </si>
  <si>
    <t>20250415-5A</t>
  </si>
  <si>
    <t>20250515-5B</t>
  </si>
  <si>
    <t>20250515-5C</t>
  </si>
  <si>
    <t>20250515-5A</t>
  </si>
  <si>
    <t>20250515-5E</t>
  </si>
  <si>
    <t>250604L</t>
  </si>
  <si>
    <t>PHPEC0003P</t>
  </si>
  <si>
    <t>MIGS</t>
  </si>
  <si>
    <t>3J73793413-0</t>
  </si>
  <si>
    <t>1T00026626-69</t>
  </si>
  <si>
    <t>PHPDF0002P</t>
  </si>
  <si>
    <t>20250603-1B</t>
  </si>
  <si>
    <t>20250602-1A</t>
  </si>
  <si>
    <t>20250603-1A</t>
  </si>
  <si>
    <t>3H73793411-0</t>
  </si>
  <si>
    <t>1T00026626-67</t>
  </si>
  <si>
    <t xml:space="preserve">                05/06/2025</t>
  </si>
  <si>
    <t>PHPEC000IP</t>
  </si>
  <si>
    <t>250605L</t>
  </si>
  <si>
    <t>3J73793412-0</t>
  </si>
  <si>
    <t>1T00026626-68</t>
  </si>
  <si>
    <t>24X05</t>
  </si>
  <si>
    <t>20250506-A</t>
  </si>
  <si>
    <t>JENNY/ANGEL/RIZA</t>
  </si>
  <si>
    <t>3J73793406-0</t>
  </si>
  <si>
    <t>1T00026626-62</t>
  </si>
  <si>
    <t>3J73793407-0</t>
  </si>
  <si>
    <t>1T00026626-63</t>
  </si>
  <si>
    <t>JENNY/RIZA/ANGEL/MELO</t>
  </si>
  <si>
    <t>3J73793409-0</t>
  </si>
  <si>
    <t>1T00026626-65</t>
  </si>
  <si>
    <t>3J73793414-0</t>
  </si>
  <si>
    <t>1T00026626-70</t>
  </si>
  <si>
    <t>250609L</t>
  </si>
  <si>
    <t>20250529-A</t>
  </si>
  <si>
    <t>20250529-B</t>
  </si>
  <si>
    <t>3J73793221-0</t>
  </si>
  <si>
    <t>1T00026603-16</t>
  </si>
  <si>
    <t>1T00026603-18</t>
  </si>
  <si>
    <t>3J73793223-0</t>
  </si>
  <si>
    <t>20250520-1A</t>
  </si>
  <si>
    <t>3J7379339-0</t>
  </si>
  <si>
    <t>1T00026603-36</t>
  </si>
  <si>
    <t>3J73793398-0</t>
  </si>
  <si>
    <t>1T00026626-54</t>
  </si>
  <si>
    <t>1T00026626-55</t>
  </si>
  <si>
    <t>3J73793399-0</t>
  </si>
  <si>
    <t>3J73793401-0</t>
  </si>
  <si>
    <t>1T00026626-57</t>
  </si>
  <si>
    <t>1T00026626-58</t>
  </si>
  <si>
    <t>3J73793402-0</t>
  </si>
  <si>
    <t>20250605-8A</t>
  </si>
  <si>
    <t>20250603-8A</t>
  </si>
  <si>
    <t>PDWFP0001P</t>
  </si>
  <si>
    <t>3J73793405-0</t>
  </si>
  <si>
    <t>1T00026626-61</t>
  </si>
  <si>
    <t>250610L</t>
  </si>
  <si>
    <t>3J73793242-0</t>
  </si>
  <si>
    <t>1T00026603-38</t>
  </si>
  <si>
    <t>3J73793376-0</t>
  </si>
  <si>
    <t>1T00026626-21</t>
  </si>
  <si>
    <t>20250410-3A</t>
  </si>
  <si>
    <t>3J73793209-0</t>
  </si>
  <si>
    <t>1T00026603-4</t>
  </si>
  <si>
    <t>3J73793212-0</t>
  </si>
  <si>
    <t>1T00026603-7</t>
  </si>
  <si>
    <t>200DF200120P</t>
  </si>
  <si>
    <t>3J73793216-0</t>
  </si>
  <si>
    <t>1T00026603-11</t>
  </si>
  <si>
    <t>3J73793222-0</t>
  </si>
  <si>
    <t>1T00026603-17</t>
  </si>
  <si>
    <t>1T00026603-39</t>
  </si>
  <si>
    <t>3J73794310-0</t>
  </si>
  <si>
    <t>UR00000165-2</t>
  </si>
  <si>
    <t>PHPEM0004P</t>
  </si>
  <si>
    <t>PHPEM0007P</t>
  </si>
  <si>
    <t>PHPEM0008P</t>
  </si>
  <si>
    <t>PHPEM0009P</t>
  </si>
  <si>
    <t>PHPEM0010P</t>
  </si>
  <si>
    <t>3J73794311-0</t>
  </si>
  <si>
    <t>3J73794312-0</t>
  </si>
  <si>
    <t>3J73794313-0</t>
  </si>
  <si>
    <t>3J73794314-0</t>
  </si>
  <si>
    <t>3J73794315-0</t>
  </si>
  <si>
    <t>3J73794316-0</t>
  </si>
  <si>
    <t>UR00000165-3</t>
  </si>
  <si>
    <t>UR00000165-4</t>
  </si>
  <si>
    <t>UR00000165-5</t>
  </si>
  <si>
    <t>UR00000165-6</t>
  </si>
  <si>
    <t>UR00000165-7</t>
  </si>
  <si>
    <t>UR00000165-8</t>
  </si>
  <si>
    <t>40PN000010P</t>
  </si>
  <si>
    <t>3J73794317-0</t>
  </si>
  <si>
    <t>UR00000165-9</t>
  </si>
  <si>
    <t>3J73793371-0</t>
  </si>
  <si>
    <t>1T00026626-16</t>
  </si>
  <si>
    <t>120PA20C30P</t>
  </si>
  <si>
    <t>3J73793372-0</t>
  </si>
  <si>
    <t>1T00026626-17</t>
  </si>
  <si>
    <t>1T00026626-18</t>
  </si>
  <si>
    <t>3J73793373-0</t>
  </si>
  <si>
    <t>20250605-1A</t>
  </si>
  <si>
    <t>20250604-1A</t>
  </si>
  <si>
    <t>20250605-A</t>
  </si>
  <si>
    <t>20250609-A</t>
  </si>
  <si>
    <t>250613L</t>
  </si>
  <si>
    <t>2025.03.17</t>
  </si>
  <si>
    <t>3J73793383-0</t>
  </si>
  <si>
    <t>1T00026626-28</t>
  </si>
  <si>
    <t>20250609-1B</t>
  </si>
  <si>
    <t>20250609-1A</t>
  </si>
  <si>
    <t>120DF20110P</t>
  </si>
  <si>
    <t>TIN/KAREEN</t>
  </si>
  <si>
    <t>3J73793369-0</t>
  </si>
  <si>
    <t>3J73793375-0</t>
  </si>
  <si>
    <t>TIN/RIZA/JEN/VERO/GERRY</t>
  </si>
  <si>
    <t>3J73793381-0</t>
  </si>
  <si>
    <t>20250603-A</t>
  </si>
  <si>
    <t>20250529-C</t>
  </si>
  <si>
    <t>20250603-B</t>
  </si>
  <si>
    <t>3J73793382-0</t>
  </si>
  <si>
    <t>1T00026626-27</t>
  </si>
  <si>
    <t>3J73793387-0</t>
  </si>
  <si>
    <t>1T00026626-32</t>
  </si>
  <si>
    <t>JENNY/ANGELOU</t>
  </si>
  <si>
    <t>3J73793410-0</t>
  </si>
  <si>
    <t>1T00026626-66</t>
  </si>
  <si>
    <t>PHPSW0010P</t>
  </si>
  <si>
    <t>ANGELOU</t>
  </si>
  <si>
    <t>3J73793420-0</t>
  </si>
  <si>
    <t>1T00026626-76</t>
  </si>
  <si>
    <t>3J73793421-0</t>
  </si>
  <si>
    <t>1T00026626-77</t>
  </si>
  <si>
    <t>3J73793422-0</t>
  </si>
  <si>
    <t>1T00026626-78</t>
  </si>
  <si>
    <t>250616L</t>
  </si>
  <si>
    <t>PHPNZ0003P</t>
  </si>
  <si>
    <t>3J73793418-0</t>
  </si>
  <si>
    <t>1T00026626-74</t>
  </si>
  <si>
    <t>PHPSD0001P</t>
  </si>
  <si>
    <t>3J73793419-0</t>
  </si>
  <si>
    <t>1T00026626-75</t>
  </si>
  <si>
    <t>3J73793396-0</t>
  </si>
  <si>
    <t>1T00026626-44</t>
  </si>
  <si>
    <t>20250610-1A</t>
  </si>
  <si>
    <t>20250603-A-34</t>
  </si>
  <si>
    <t>20202504-A</t>
  </si>
  <si>
    <t>20250610-1B</t>
  </si>
  <si>
    <t>10012406A-306T</t>
  </si>
  <si>
    <t>20250613-D</t>
  </si>
  <si>
    <t>20250611-A</t>
  </si>
  <si>
    <t>20250605-A/B</t>
  </si>
  <si>
    <t>250610-A</t>
  </si>
  <si>
    <t>20250522-1A</t>
  </si>
  <si>
    <t>20250414-5H</t>
  </si>
  <si>
    <t>20250522-3A</t>
  </si>
  <si>
    <t>20250414-5I</t>
  </si>
  <si>
    <t>20250527-4G</t>
  </si>
  <si>
    <t>20250527-4H</t>
  </si>
  <si>
    <t>20250523-3A</t>
  </si>
  <si>
    <t>20250527-4I</t>
  </si>
  <si>
    <t>20250522-3B</t>
  </si>
  <si>
    <t>20250527-4A</t>
  </si>
  <si>
    <t>20250527-4B</t>
  </si>
  <si>
    <t>202505-27-4A</t>
  </si>
  <si>
    <t>202505-28-4B</t>
  </si>
  <si>
    <t>20250523-1A</t>
  </si>
  <si>
    <t>250617L</t>
  </si>
  <si>
    <t>20250528-4A</t>
  </si>
  <si>
    <t>DENDEN/RENREN</t>
  </si>
  <si>
    <t>3J73793417-0</t>
  </si>
  <si>
    <t>20250526-3A</t>
  </si>
  <si>
    <t>20250528-4C</t>
  </si>
  <si>
    <t>20250528-4B</t>
  </si>
  <si>
    <t>20250528-5B</t>
  </si>
  <si>
    <t>20250528-4D</t>
  </si>
  <si>
    <t>20250528-4E</t>
  </si>
  <si>
    <t>3J73793396-1</t>
  </si>
  <si>
    <t>1T00026626-45</t>
  </si>
  <si>
    <t>PHPJH003P</t>
  </si>
  <si>
    <t>20250528-4G</t>
  </si>
  <si>
    <t>20250528-4F</t>
  </si>
  <si>
    <t>20250602-3A</t>
  </si>
  <si>
    <t>20250528-4H</t>
  </si>
  <si>
    <t>20250528-5C</t>
  </si>
  <si>
    <t>20250528-5A</t>
  </si>
  <si>
    <t>20250528-5D</t>
  </si>
  <si>
    <t>20250528-5E</t>
  </si>
  <si>
    <t>250618L</t>
  </si>
  <si>
    <t>20250527-3A</t>
  </si>
  <si>
    <t>20250527-3B</t>
  </si>
  <si>
    <t>20250602-4B</t>
  </si>
  <si>
    <t>20250502-4E</t>
  </si>
  <si>
    <t>3J73793396-2</t>
  </si>
  <si>
    <t>1T00026626-46</t>
  </si>
  <si>
    <t>20250602-5H</t>
  </si>
  <si>
    <t>20250602-4C</t>
  </si>
  <si>
    <t>20250602-5G</t>
  </si>
  <si>
    <t>20250602-4H</t>
  </si>
  <si>
    <t>20250602-5I</t>
  </si>
  <si>
    <t>20250602-4G</t>
  </si>
  <si>
    <t>20250603-4D</t>
  </si>
  <si>
    <t>20250603-4E</t>
  </si>
  <si>
    <t>20250603-4F</t>
  </si>
  <si>
    <t>VERO/JENNY/RIZA/ANGEL</t>
  </si>
  <si>
    <t>20250603-4G</t>
  </si>
  <si>
    <t>20250603-4H</t>
  </si>
  <si>
    <t>20250604-4A</t>
  </si>
  <si>
    <t>20250602-4A</t>
  </si>
  <si>
    <t>3J73793396-3</t>
  </si>
  <si>
    <t>1T00026626-47</t>
  </si>
  <si>
    <t>20250603-4B</t>
  </si>
  <si>
    <t>20250603-4A</t>
  </si>
  <si>
    <t>20250603-4C</t>
  </si>
  <si>
    <t>20250603-5B</t>
  </si>
  <si>
    <t>20250603-3A</t>
  </si>
  <si>
    <t>20250603-5C</t>
  </si>
  <si>
    <t>20250603-5A</t>
  </si>
  <si>
    <t>20250603-5G</t>
  </si>
  <si>
    <t>20250603-5F</t>
  </si>
  <si>
    <t>20250603-5E</t>
  </si>
  <si>
    <t>250619L</t>
  </si>
  <si>
    <t>20250603-4I</t>
  </si>
  <si>
    <t>20250604-5A</t>
  </si>
  <si>
    <t>20250604-5B</t>
  </si>
  <si>
    <t>20250604-5H</t>
  </si>
  <si>
    <t>20250604-4G</t>
  </si>
  <si>
    <t>20250604-4H</t>
  </si>
  <si>
    <t>20250604-5I</t>
  </si>
  <si>
    <t>3J73793396-4</t>
  </si>
  <si>
    <t>1T00026626-48</t>
  </si>
  <si>
    <t>DENDEN/JENNY/RIZA/ANGEL</t>
  </si>
  <si>
    <t>20250604-4B</t>
  </si>
  <si>
    <t>20250604-3C</t>
  </si>
  <si>
    <t>20250604-4I</t>
  </si>
  <si>
    <t>20250604-4C</t>
  </si>
  <si>
    <t>20250604-4D</t>
  </si>
  <si>
    <t>20250604-4E</t>
  </si>
  <si>
    <t>20250604-3A</t>
  </si>
  <si>
    <t>20250605-5B</t>
  </si>
  <si>
    <t>20250605-5C</t>
  </si>
  <si>
    <t>20250605-5A</t>
  </si>
  <si>
    <t>20250604-4F</t>
  </si>
  <si>
    <t>20250605-5D</t>
  </si>
  <si>
    <t>20250605-5E</t>
  </si>
  <si>
    <t>20250605-5F</t>
  </si>
  <si>
    <t>20250605-3A</t>
  </si>
  <si>
    <t>20250609-4F</t>
  </si>
  <si>
    <t>20250609-4D</t>
  </si>
  <si>
    <t>20250609-4E</t>
  </si>
  <si>
    <t>20250609-4G</t>
  </si>
  <si>
    <t>3J73793396-5</t>
  </si>
  <si>
    <t>1T00026626-49</t>
  </si>
  <si>
    <t>3J73793396-6</t>
  </si>
  <si>
    <t>1T00026626-50</t>
  </si>
  <si>
    <t>250620L</t>
  </si>
  <si>
    <t>20250609-5G</t>
  </si>
  <si>
    <t>20250609-5F</t>
  </si>
  <si>
    <t>20250609-4H</t>
  </si>
  <si>
    <t>20250609-3A</t>
  </si>
  <si>
    <t>20250609-4I</t>
  </si>
  <si>
    <t>20250609-5E</t>
  </si>
  <si>
    <t>20250609-5H</t>
  </si>
  <si>
    <t>20250609-5I</t>
  </si>
  <si>
    <t>20250610-5A</t>
  </si>
  <si>
    <t>202506010-5C</t>
  </si>
  <si>
    <t>20250610-3A</t>
  </si>
  <si>
    <t>20250610-5D</t>
  </si>
  <si>
    <t>20250610-5B</t>
  </si>
  <si>
    <t>20250610-5E</t>
  </si>
  <si>
    <t>20250610-5F</t>
  </si>
  <si>
    <t>20250610-5C</t>
  </si>
  <si>
    <t>20250610-5G</t>
  </si>
  <si>
    <t>20250610-4C</t>
  </si>
  <si>
    <t>20250610-4E</t>
  </si>
  <si>
    <t>20250610-4D</t>
  </si>
  <si>
    <t>20250610-4F</t>
  </si>
  <si>
    <t>VERO/DENDEN/JENNY/RIZA/ANGEL</t>
  </si>
  <si>
    <t>3J73793397-0</t>
  </si>
  <si>
    <t>1T00026626-51</t>
  </si>
  <si>
    <t>20250611-1A</t>
  </si>
  <si>
    <t>20250610-4G</t>
  </si>
  <si>
    <t>20250610-5H</t>
  </si>
  <si>
    <t>20250610-4I</t>
  </si>
  <si>
    <t>20250610-4H</t>
  </si>
  <si>
    <t>20250611-3A</t>
  </si>
  <si>
    <t>20250611-4A</t>
  </si>
  <si>
    <t>20250611-4B</t>
  </si>
  <si>
    <t>20250611-4K</t>
  </si>
  <si>
    <t>20250611-4C</t>
  </si>
  <si>
    <t>20250611-4D</t>
  </si>
  <si>
    <t>20250611-5D</t>
  </si>
  <si>
    <t>20250611-5C</t>
  </si>
  <si>
    <t>250623L</t>
  </si>
  <si>
    <t>AIDAH/VERO/RIZA/ANGEL</t>
  </si>
  <si>
    <t>3J73793397-1</t>
  </si>
  <si>
    <t>1T00026626-52</t>
  </si>
  <si>
    <t>20250611-5E</t>
  </si>
  <si>
    <t>20250611-5B</t>
  </si>
  <si>
    <t>20250611-5A</t>
  </si>
  <si>
    <t>3J73793397-2</t>
  </si>
  <si>
    <t>1T00026626-53</t>
  </si>
  <si>
    <t>20250611-4I</t>
  </si>
  <si>
    <t>20250611-5F</t>
  </si>
  <si>
    <t>20250613-3A</t>
  </si>
  <si>
    <t>20250613-5C</t>
  </si>
  <si>
    <t>20250613-5E</t>
  </si>
  <si>
    <t>20250613-5F</t>
  </si>
  <si>
    <t>20250613-5A</t>
  </si>
  <si>
    <t>20250613-5B</t>
  </si>
  <si>
    <t>250624L</t>
  </si>
  <si>
    <t>AIDAH/RIZA/JENNY/ANGEL</t>
  </si>
  <si>
    <t>20250610-B</t>
  </si>
  <si>
    <t>3J73793429-0</t>
  </si>
  <si>
    <t>1T00026626-89</t>
  </si>
  <si>
    <t>20250623-1A</t>
  </si>
  <si>
    <t>20250620-3A</t>
  </si>
  <si>
    <t>20250616-3B</t>
  </si>
  <si>
    <t>20250620-B</t>
  </si>
  <si>
    <t>20250620-E</t>
  </si>
  <si>
    <t>3J73793445-0</t>
  </si>
  <si>
    <t>1T00026626-105</t>
  </si>
  <si>
    <t>3J73793430-0</t>
  </si>
  <si>
    <t>1T00026626-90</t>
  </si>
  <si>
    <t>3J73793439-0</t>
  </si>
  <si>
    <t>1T00026626-99</t>
  </si>
  <si>
    <t>3J73793440-0</t>
  </si>
  <si>
    <t>1T00026626-100</t>
  </si>
  <si>
    <t>3J73793438-0</t>
  </si>
  <si>
    <t>1T00026626-98</t>
  </si>
  <si>
    <t>TET2511</t>
  </si>
  <si>
    <t>3J73793448-0</t>
  </si>
  <si>
    <t>1T00026626-108</t>
  </si>
  <si>
    <t>3J73793447-0</t>
  </si>
  <si>
    <t>1T00026626-107</t>
  </si>
  <si>
    <t>3J73793446-0</t>
  </si>
  <si>
    <t>1T00026626-106</t>
  </si>
  <si>
    <t>ANGELOU/MICA</t>
  </si>
  <si>
    <t>3J73793442-0</t>
  </si>
  <si>
    <t>3J73793822-0</t>
  </si>
  <si>
    <t>1T00026651-11</t>
  </si>
  <si>
    <t>250625L</t>
  </si>
  <si>
    <t>20250624-1A</t>
  </si>
  <si>
    <t>MICA/JENNY/DENDERIZA/ANGEL</t>
  </si>
  <si>
    <t>20250404-A</t>
  </si>
  <si>
    <t>3J73793876-0</t>
  </si>
  <si>
    <t>3J73793821-0</t>
  </si>
  <si>
    <t>1T00026651-10</t>
  </si>
  <si>
    <t>1T00026651-71</t>
  </si>
  <si>
    <t>20250619-A</t>
  </si>
  <si>
    <t>3J73793449-0</t>
  </si>
  <si>
    <t>1T00026626-109</t>
  </si>
  <si>
    <t>20250620-1A</t>
  </si>
  <si>
    <t>20250620-A</t>
  </si>
  <si>
    <t>3J73793867-0</t>
  </si>
  <si>
    <t>1T00026651-61</t>
  </si>
  <si>
    <t>3J73793827-0</t>
  </si>
  <si>
    <t>1T00026651-16</t>
  </si>
  <si>
    <t>20250617-3B</t>
  </si>
  <si>
    <t>20250617-3A</t>
  </si>
  <si>
    <t>20250618-3A</t>
  </si>
  <si>
    <t>3J73793842-0</t>
  </si>
  <si>
    <t>1T00026651-31</t>
  </si>
  <si>
    <t>20250624-3A</t>
  </si>
  <si>
    <t>250626L</t>
  </si>
  <si>
    <t>20250617-1A</t>
  </si>
  <si>
    <t>MICA/JENNY/RIZA/ANGEL</t>
  </si>
  <si>
    <t>3J73793870-0</t>
  </si>
  <si>
    <t>1T00026651-65</t>
  </si>
  <si>
    <t>20250625-3A</t>
  </si>
  <si>
    <t>3J73793877-0</t>
  </si>
  <si>
    <t>1T00026651-72</t>
  </si>
  <si>
    <t>20250624-8A</t>
  </si>
  <si>
    <t>20250625-A</t>
  </si>
  <si>
    <t>20250625-B</t>
  </si>
  <si>
    <t>3J73793878-0</t>
  </si>
  <si>
    <t>1T00026651-73</t>
  </si>
  <si>
    <t>120PR20011P</t>
  </si>
  <si>
    <t>20250624-A</t>
  </si>
  <si>
    <t>120PR20021P</t>
  </si>
  <si>
    <t>20250626-A</t>
  </si>
  <si>
    <t>20250625-C</t>
  </si>
  <si>
    <t>250627L</t>
  </si>
  <si>
    <t>PHPCS0001P</t>
  </si>
  <si>
    <t>3J73793828-0</t>
  </si>
  <si>
    <t>1T00026651-17</t>
  </si>
  <si>
    <t>3J73793829-0</t>
  </si>
  <si>
    <t>1T00026651-18</t>
  </si>
  <si>
    <t>20250618-1A</t>
  </si>
  <si>
    <t>20250616-4D</t>
  </si>
  <si>
    <t>20250616-4A</t>
  </si>
  <si>
    <t>20250616-4F</t>
  </si>
  <si>
    <t>20250616-4C</t>
  </si>
  <si>
    <t>20250616-4E</t>
  </si>
  <si>
    <t>20250616-4B</t>
  </si>
  <si>
    <t>20250616-3A</t>
  </si>
  <si>
    <t>20250616-4K</t>
  </si>
  <si>
    <t>20250619-3A</t>
  </si>
  <si>
    <t>20250616-4I</t>
  </si>
  <si>
    <t>20250616-4G</t>
  </si>
  <si>
    <t>20250616-4H</t>
  </si>
  <si>
    <t>ANGEL/RIZA/JENNY/CHA</t>
  </si>
  <si>
    <t>3J73793879-0</t>
  </si>
  <si>
    <t>1T00026651-74</t>
  </si>
  <si>
    <t>250630L</t>
  </si>
  <si>
    <t>20250619-1A</t>
  </si>
  <si>
    <t>20250616-5B</t>
  </si>
  <si>
    <t>20250616-5D</t>
  </si>
  <si>
    <t>20250616-5C</t>
  </si>
  <si>
    <t>20250617-5D</t>
  </si>
  <si>
    <t>20250617-5C</t>
  </si>
  <si>
    <t>20250617-4F</t>
  </si>
  <si>
    <t>20250617-5F</t>
  </si>
  <si>
    <t>20250617-5E</t>
  </si>
  <si>
    <t>20250617-5B</t>
  </si>
  <si>
    <t>20250617-5A</t>
  </si>
  <si>
    <t>20250618-4H</t>
  </si>
  <si>
    <t>KRISTEL/MIGS/JAY/CHA/ANGEL</t>
  </si>
  <si>
    <t>KRISTEL/MIGS/JAY/CHA/RIZA/JENNY/ANGEL</t>
  </si>
  <si>
    <t>3J73793416-0</t>
  </si>
  <si>
    <t>1T00026626-72</t>
  </si>
  <si>
    <t>250701L</t>
  </si>
  <si>
    <t>20250618-4I</t>
  </si>
  <si>
    <t>20250618-5A</t>
  </si>
  <si>
    <t>20250618-5B</t>
  </si>
  <si>
    <t>20250618-5C</t>
  </si>
  <si>
    <t>20250618-5D</t>
  </si>
  <si>
    <t>20250618-5E</t>
  </si>
  <si>
    <t>20250618-5F</t>
  </si>
  <si>
    <t>20250618-5I</t>
  </si>
  <si>
    <t>20250618-5G</t>
  </si>
  <si>
    <t>20250618-5H</t>
  </si>
  <si>
    <t>20250623-3A</t>
  </si>
  <si>
    <t>20250618-4C</t>
  </si>
  <si>
    <t>20250618-4A</t>
  </si>
  <si>
    <t>20250618-4B</t>
  </si>
  <si>
    <t>BEA/JENNY/RIZA/ANGEL</t>
  </si>
  <si>
    <t>3J73793866-0</t>
  </si>
  <si>
    <t>3J73793866-1</t>
  </si>
  <si>
    <t>1T00026651-55</t>
  </si>
  <si>
    <t>1T00026651-56</t>
  </si>
  <si>
    <t>3J73793869-0</t>
  </si>
  <si>
    <t>1T00026651-64</t>
  </si>
  <si>
    <t>20250626-B</t>
  </si>
  <si>
    <t>3J73793875-0</t>
  </si>
  <si>
    <t>1T00026651-70</t>
  </si>
  <si>
    <t>20250626-C</t>
  </si>
  <si>
    <t>3J73793883-0</t>
  </si>
  <si>
    <t>1T00026651-78</t>
  </si>
  <si>
    <t>20250630-A</t>
  </si>
  <si>
    <t>20250701-A</t>
  </si>
  <si>
    <t>3J73793884-0</t>
  </si>
  <si>
    <t>1T00026651-79</t>
  </si>
  <si>
    <t>BEA</t>
  </si>
  <si>
    <t>3J73793885-0</t>
  </si>
  <si>
    <t>1T00026651-80</t>
  </si>
  <si>
    <t>250702L</t>
  </si>
  <si>
    <t>20250618-4D</t>
  </si>
  <si>
    <t>20250618-4E</t>
  </si>
  <si>
    <t>20250618-4F</t>
  </si>
  <si>
    <t>DENDEN/RIZA/JENNY/NITZ</t>
  </si>
  <si>
    <t>20250620-4A</t>
  </si>
  <si>
    <t>20250620-4C</t>
  </si>
  <si>
    <t>20250620-4B</t>
  </si>
  <si>
    <t>20250620-4E</t>
  </si>
  <si>
    <t>20250620-4D</t>
  </si>
  <si>
    <t>20250626-8C</t>
  </si>
  <si>
    <t>PXPDF0001P</t>
  </si>
  <si>
    <t>NITZ/ZJEN</t>
  </si>
  <si>
    <t>3J73794319-0</t>
  </si>
  <si>
    <t>3J73793866-2</t>
  </si>
  <si>
    <t>20250620-4F</t>
  </si>
  <si>
    <t>20250624-1B</t>
  </si>
  <si>
    <t>20250619-5B</t>
  </si>
  <si>
    <t>20250619-5A</t>
  </si>
  <si>
    <t>20250619-5C</t>
  </si>
  <si>
    <t>20250619-5D</t>
  </si>
  <si>
    <t>1T00026651-57</t>
  </si>
  <si>
    <t>UR00000164-1</t>
  </si>
  <si>
    <t>jan.2025</t>
  </si>
  <si>
    <t>FEB.2025</t>
  </si>
  <si>
    <t>20250620-4H</t>
  </si>
  <si>
    <t>20250620-4G</t>
  </si>
  <si>
    <t>20250619-5E</t>
  </si>
  <si>
    <t>20250619-5F</t>
  </si>
  <si>
    <t>250703L</t>
  </si>
  <si>
    <t>3J73793866-3</t>
  </si>
  <si>
    <t>1T00026651-58</t>
  </si>
  <si>
    <t>20250625-1B</t>
  </si>
  <si>
    <t>20250624-4A</t>
  </si>
  <si>
    <t>20250624-4B</t>
  </si>
  <si>
    <t>20250624-4D</t>
  </si>
  <si>
    <t>20250624-4C</t>
  </si>
  <si>
    <t>20250624-4E</t>
  </si>
  <si>
    <t>20250624-4F</t>
  </si>
  <si>
    <t>20250624-4G</t>
  </si>
  <si>
    <t>20250624-4I</t>
  </si>
  <si>
    <t>20250624-4H</t>
  </si>
  <si>
    <t>250704L</t>
  </si>
  <si>
    <t>AIDAH/RIZA/ANGEL</t>
  </si>
  <si>
    <t>PHPDB0011P</t>
  </si>
  <si>
    <t>3J73795285-0</t>
  </si>
  <si>
    <t>UR00000167-3</t>
  </si>
  <si>
    <t>3J73795283-0</t>
  </si>
  <si>
    <t>UR00000167-1</t>
  </si>
  <si>
    <t>255226-0025-014962</t>
  </si>
  <si>
    <t>PXPDB0001P</t>
  </si>
  <si>
    <t>250429-01315-1</t>
  </si>
  <si>
    <t>3J73795286-0</t>
  </si>
  <si>
    <t>UR00000167-4</t>
  </si>
  <si>
    <t>3J73795284-0</t>
  </si>
  <si>
    <t>UR00000167-2</t>
  </si>
  <si>
    <t>250707L</t>
  </si>
  <si>
    <t>20250629-5D</t>
  </si>
  <si>
    <t>20250624-5C</t>
  </si>
  <si>
    <t>20250624-5D</t>
  </si>
  <si>
    <t>20250626-3A</t>
  </si>
  <si>
    <t>20250625-5A</t>
  </si>
  <si>
    <t>20250625-5C</t>
  </si>
  <si>
    <t>20250625-5B</t>
  </si>
  <si>
    <t>20250625-5D</t>
  </si>
  <si>
    <t>20250625-5E</t>
  </si>
  <si>
    <t>20250625-4I</t>
  </si>
  <si>
    <t>20250623-5E</t>
  </si>
  <si>
    <t>20250626-5D</t>
  </si>
  <si>
    <t>20250626-5B</t>
  </si>
  <si>
    <t>20250626-1A</t>
  </si>
  <si>
    <t>20250626-5C</t>
  </si>
  <si>
    <t>3J73793866-4</t>
  </si>
  <si>
    <t>1T00026651-59</t>
  </si>
  <si>
    <t>ANGEL/AIDAH/DEN-DEN</t>
  </si>
  <si>
    <t>ANGEL/ANGELOU/DEN-DEN</t>
  </si>
  <si>
    <t>20250626-5A</t>
  </si>
  <si>
    <t>20250627-3A</t>
  </si>
  <si>
    <t>3J73793866-5</t>
  </si>
  <si>
    <t>1T00026651-60</t>
  </si>
  <si>
    <t>250708L</t>
  </si>
  <si>
    <t>20250630-5A</t>
  </si>
  <si>
    <t>20250630-5B</t>
  </si>
  <si>
    <t>20250630-5C</t>
  </si>
  <si>
    <t>20250630-5D</t>
  </si>
  <si>
    <t>20250630-5E</t>
  </si>
  <si>
    <t>20250630-5F</t>
  </si>
  <si>
    <t>20250626-5E</t>
  </si>
  <si>
    <t>20250626-4I</t>
  </si>
  <si>
    <t>20250627-4C</t>
  </si>
  <si>
    <t>TIN/DEN-DEN/JEN</t>
  </si>
  <si>
    <t>20250627-1A</t>
  </si>
  <si>
    <t>20250630-3A</t>
  </si>
  <si>
    <t>20250630-1A</t>
  </si>
  <si>
    <t>3J73793868-0</t>
  </si>
  <si>
    <t>250709L</t>
  </si>
  <si>
    <t>20250702-3A</t>
  </si>
  <si>
    <t>20250701-1A</t>
  </si>
  <si>
    <t>3J73793868-1</t>
  </si>
  <si>
    <t>20250702-1A</t>
  </si>
  <si>
    <t>3J73794232-0</t>
  </si>
  <si>
    <t>120pc20010p</t>
  </si>
  <si>
    <t>250710L</t>
  </si>
  <si>
    <t>20250703-1B</t>
  </si>
  <si>
    <t>230250703-A</t>
  </si>
  <si>
    <t>20250704-A</t>
  </si>
  <si>
    <t>ANGEL/JENNY/DEN-DEN</t>
  </si>
  <si>
    <t>3J73794230-0</t>
  </si>
  <si>
    <t>1T00026671-7</t>
  </si>
  <si>
    <t>3J73794233-0</t>
  </si>
  <si>
    <t>3J73794240-0</t>
  </si>
  <si>
    <t>60PASW001P</t>
  </si>
  <si>
    <t>3J73794243-0</t>
  </si>
  <si>
    <t>3J73794237-0</t>
  </si>
  <si>
    <t>3J73794245-0</t>
  </si>
  <si>
    <t>3J73794251-0</t>
  </si>
  <si>
    <t>ANGEL/JENNY/DEN-DEN/ANGELOU</t>
  </si>
  <si>
    <t>250711L</t>
  </si>
  <si>
    <t>250624-1</t>
  </si>
  <si>
    <t>20250703-3A</t>
  </si>
  <si>
    <t>3J73794247-0</t>
  </si>
  <si>
    <t>1T00026671-10</t>
  </si>
  <si>
    <t>1T00026671-20</t>
  </si>
  <si>
    <t>1T00026671-17</t>
  </si>
  <si>
    <t>1T00026671-22</t>
  </si>
  <si>
    <t>1T00026671-14</t>
  </si>
  <si>
    <t>1T00026671-28</t>
  </si>
  <si>
    <t>1T00026671-24</t>
  </si>
  <si>
    <t>20250630-4I</t>
  </si>
  <si>
    <t>20250703-1A</t>
  </si>
  <si>
    <t>40PR000030P</t>
  </si>
  <si>
    <t>20250707-A</t>
  </si>
  <si>
    <t>LIUCA MARIE</t>
  </si>
  <si>
    <t>3J73794411-0</t>
  </si>
  <si>
    <t>JENNY/AGEL/DEN-DEN</t>
  </si>
  <si>
    <t>20250708-3B</t>
  </si>
  <si>
    <t>20250704-3A</t>
  </si>
  <si>
    <t>ANGEL-DEN-DEN</t>
  </si>
  <si>
    <t>20250710-E</t>
  </si>
  <si>
    <t>20250714-A</t>
  </si>
  <si>
    <t>PHPFI0080P</t>
  </si>
  <si>
    <t>EJ</t>
  </si>
  <si>
    <t>3J73794241-0</t>
  </si>
  <si>
    <t>3J73794231-0</t>
  </si>
  <si>
    <t>3J73794246-0</t>
  </si>
  <si>
    <t>3J73794258-0</t>
  </si>
  <si>
    <t>3J73794252-0</t>
  </si>
  <si>
    <t>3J73794408-0</t>
  </si>
  <si>
    <t>1T00026686-9</t>
  </si>
  <si>
    <t>1T00026671-29</t>
  </si>
  <si>
    <t>1T00026671-35</t>
  </si>
  <si>
    <t>1T00026671-23</t>
  </si>
  <si>
    <t>1T00026686-12</t>
  </si>
  <si>
    <t>1T00026671-8</t>
  </si>
  <si>
    <t>1T00026671-18</t>
  </si>
  <si>
    <t>2025.02.13</t>
  </si>
  <si>
    <t>20250708-K</t>
  </si>
  <si>
    <t>/DEN-DEN</t>
  </si>
  <si>
    <t>DEN/DEN</t>
  </si>
  <si>
    <t>1T00026671-15</t>
  </si>
  <si>
    <t>1T00026671-25</t>
  </si>
  <si>
    <t>1T00026671-27</t>
  </si>
  <si>
    <t>1T00026671-36</t>
  </si>
  <si>
    <t>3J73794238-0</t>
  </si>
  <si>
    <t>3J73794248-0</t>
  </si>
  <si>
    <t>3J73794250-0</t>
  </si>
  <si>
    <t>3J73794259-0</t>
  </si>
  <si>
    <t>20250714-1A</t>
  </si>
  <si>
    <t>20250714-3A</t>
  </si>
  <si>
    <t>3J73794401-0</t>
  </si>
  <si>
    <t>1T00026686-2</t>
  </si>
  <si>
    <t>1T00026686-8</t>
  </si>
  <si>
    <t>3J73794407-0</t>
  </si>
  <si>
    <t>ANGEL/LICA/DEN-DEN/AIDAH</t>
  </si>
  <si>
    <t>ANGEL/DEN-DEN/MARIA</t>
  </si>
  <si>
    <t>1T00026686-11</t>
  </si>
  <si>
    <t>3J73794410-0</t>
  </si>
  <si>
    <t>20250709-B</t>
  </si>
  <si>
    <t>3J73794409-0</t>
  </si>
  <si>
    <t>1T00026686-10</t>
  </si>
  <si>
    <t>20250714-8A</t>
  </si>
  <si>
    <t>202506265A</t>
  </si>
  <si>
    <t>20250702-5A</t>
  </si>
  <si>
    <t>20250630-8A</t>
  </si>
  <si>
    <t>20250709-5A</t>
  </si>
  <si>
    <t>250714L</t>
  </si>
  <si>
    <t>250715L</t>
  </si>
  <si>
    <t>250716L</t>
  </si>
  <si>
    <t>250717L</t>
  </si>
  <si>
    <t>250721L</t>
  </si>
  <si>
    <t>20250717-A</t>
  </si>
  <si>
    <t>20250716-A</t>
  </si>
  <si>
    <t>3J73794634-0</t>
  </si>
  <si>
    <t>20250718-8A</t>
  </si>
  <si>
    <t>1T00026705-28</t>
  </si>
  <si>
    <t>1T00026705-9</t>
  </si>
  <si>
    <t>3J73794615-0</t>
  </si>
  <si>
    <t>250722L</t>
  </si>
  <si>
    <t>20250721-A</t>
  </si>
  <si>
    <t>20250721-B</t>
  </si>
  <si>
    <t>20250718-1A</t>
  </si>
  <si>
    <t>250723L</t>
  </si>
  <si>
    <t>20250723-1A</t>
  </si>
  <si>
    <t>20250717-3A</t>
  </si>
  <si>
    <t>1T00026705-11</t>
  </si>
  <si>
    <t>1T00026705-24</t>
  </si>
  <si>
    <t>1T00026705-25</t>
  </si>
  <si>
    <t>1T00026705-26</t>
  </si>
  <si>
    <t>3J73794617-0</t>
  </si>
  <si>
    <t>3J73794630-0</t>
  </si>
  <si>
    <t>3J73794631-0</t>
  </si>
  <si>
    <t>3J73794632-0</t>
  </si>
  <si>
    <t>3J73794633-0</t>
  </si>
  <si>
    <t>1T00026705-27</t>
  </si>
  <si>
    <t>250728L</t>
  </si>
  <si>
    <t>202050711-3A</t>
  </si>
  <si>
    <t>ANGEL/JEN/AIDAH</t>
  </si>
  <si>
    <t>20250722-1A</t>
  </si>
  <si>
    <t>/JEN/AIDAH</t>
  </si>
  <si>
    <t>1T00026729-6</t>
  </si>
  <si>
    <t>1T00026729-7</t>
  </si>
  <si>
    <t>3J73794787-0</t>
  </si>
  <si>
    <t>3J73794788-0</t>
  </si>
  <si>
    <t>3J73794801-0</t>
  </si>
  <si>
    <t>1T00026729-20</t>
  </si>
  <si>
    <t>3J73794789-0</t>
  </si>
  <si>
    <t>1T00026729-8</t>
  </si>
  <si>
    <t>AIDAH</t>
  </si>
  <si>
    <t>1T00026729-19</t>
  </si>
  <si>
    <t>3J73794800-0</t>
  </si>
  <si>
    <t>20250725-8A</t>
  </si>
  <si>
    <t>20250724-8A</t>
  </si>
  <si>
    <t>ANGEL/AIDAH/JEN</t>
  </si>
  <si>
    <t>3J73794803-0</t>
  </si>
  <si>
    <t>1T00026729-22</t>
  </si>
  <si>
    <t>ANGEL/AIDAH/LEA</t>
  </si>
  <si>
    <t>3J73794804-0</t>
  </si>
  <si>
    <t>1T00026729-23</t>
  </si>
  <si>
    <t>250729L</t>
  </si>
  <si>
    <t>20250728-A</t>
  </si>
  <si>
    <t>3J73794808-0</t>
  </si>
  <si>
    <t>1T00026729-24</t>
  </si>
  <si>
    <t>1T00026729-12</t>
  </si>
  <si>
    <t>3J73794793-0</t>
  </si>
  <si>
    <t>20250729-1A</t>
  </si>
  <si>
    <t>20250725-3A</t>
  </si>
  <si>
    <t>ANGEL / LEA</t>
  </si>
  <si>
    <t>3J73794802-0</t>
  </si>
  <si>
    <t>1T00026729-21</t>
  </si>
  <si>
    <t>LEA</t>
  </si>
  <si>
    <t>PHPCS0002P</t>
  </si>
  <si>
    <t>1T00026729-25</t>
  </si>
  <si>
    <t>3J73794806-0</t>
  </si>
  <si>
    <t>20250729-A</t>
  </si>
  <si>
    <t>1T00026729-27</t>
  </si>
  <si>
    <t>3J73794809-0</t>
  </si>
  <si>
    <t>1T00026729-28</t>
  </si>
  <si>
    <t>1T00026729-29</t>
  </si>
  <si>
    <t>1T00026729-30</t>
  </si>
  <si>
    <t>1T00026729-31</t>
  </si>
  <si>
    <t>3J73794810-0</t>
  </si>
  <si>
    <t>3J73794811-0</t>
  </si>
  <si>
    <t>3J73794812-0</t>
  </si>
  <si>
    <t>PXPQN0001P</t>
  </si>
  <si>
    <t>250730L</t>
  </si>
  <si>
    <t>MIA/LIEZEL</t>
  </si>
  <si>
    <t>MAHARLIKA</t>
  </si>
  <si>
    <t>3J73794807-0</t>
  </si>
  <si>
    <t>20250715-5H</t>
  </si>
  <si>
    <t>20250715-5G</t>
  </si>
  <si>
    <t>20250715-1A</t>
  </si>
  <si>
    <t>20250716-3B</t>
  </si>
  <si>
    <t>20250715-5I</t>
  </si>
  <si>
    <t>ANGEL / AIDAH</t>
  </si>
  <si>
    <t>20250716-5A</t>
  </si>
  <si>
    <t>20250715-5F</t>
  </si>
  <si>
    <t>20250715-3A</t>
  </si>
  <si>
    <t>20250715-5E</t>
  </si>
  <si>
    <t>250731L</t>
  </si>
  <si>
    <t>20250624-5E</t>
  </si>
  <si>
    <t>20250714-5F</t>
  </si>
  <si>
    <t>20250715-5A</t>
  </si>
  <si>
    <t>20250715-4A</t>
  </si>
  <si>
    <t>20250715-5B</t>
  </si>
  <si>
    <t>ANGEL / KAREEN / AIDAH</t>
  </si>
  <si>
    <t>20250715-5C</t>
  </si>
  <si>
    <t>1T00026753-5</t>
  </si>
  <si>
    <t>241128-134 / APR 03,2025</t>
  </si>
  <si>
    <t>MAY</t>
  </si>
  <si>
    <t>3J73794914-0</t>
  </si>
  <si>
    <t>250801L</t>
  </si>
  <si>
    <t>250804L</t>
  </si>
  <si>
    <t>3J73794911-0</t>
  </si>
  <si>
    <t>3J73794913-0</t>
  </si>
  <si>
    <t>ANGEL/EM'S</t>
  </si>
  <si>
    <t>20250801-1A</t>
  </si>
  <si>
    <t>20250731-A</t>
  </si>
  <si>
    <t>20250731-1A</t>
  </si>
  <si>
    <t>1T00026753-4</t>
  </si>
  <si>
    <t>1T00026753-2</t>
  </si>
  <si>
    <t>1T00026753-9</t>
  </si>
  <si>
    <t>3J73794918-0</t>
  </si>
  <si>
    <t>250805L</t>
  </si>
  <si>
    <t>20250804-1A</t>
  </si>
  <si>
    <t>20250731-3A</t>
  </si>
  <si>
    <t>1T00026753-1</t>
  </si>
  <si>
    <t>3J73794924-0</t>
  </si>
  <si>
    <t>20250801-A</t>
  </si>
  <si>
    <t>1T00026753-16</t>
  </si>
  <si>
    <t>3J73794925-0</t>
  </si>
  <si>
    <t>1T00026753-17</t>
  </si>
  <si>
    <t>3J73794926-0</t>
  </si>
  <si>
    <t>EM'S</t>
  </si>
  <si>
    <t>1T00026753-18</t>
  </si>
  <si>
    <t>3J73794927-0</t>
  </si>
  <si>
    <t>120PD20011P</t>
  </si>
  <si>
    <t>ANGEL/EM'S/GRACE</t>
  </si>
  <si>
    <t>1T00026766-15</t>
  </si>
  <si>
    <t>3J73795023-0</t>
  </si>
  <si>
    <t>SWB0304030</t>
  </si>
  <si>
    <t>20250805A</t>
  </si>
  <si>
    <t>06182502A-301T</t>
  </si>
  <si>
    <t>3J73796393-0</t>
  </si>
  <si>
    <t>1T00026884-9</t>
  </si>
  <si>
    <t>120PC20022P</t>
  </si>
  <si>
    <t>250806L</t>
  </si>
  <si>
    <t>20250804-A</t>
  </si>
  <si>
    <t>20250804-B</t>
  </si>
  <si>
    <t>20250804-C</t>
  </si>
  <si>
    <t>20250729-B</t>
  </si>
  <si>
    <t>ANGEL/*MARIE/EM'S</t>
  </si>
  <si>
    <t>20250804-3A</t>
  </si>
  <si>
    <t>20250420-A</t>
  </si>
  <si>
    <t>250807L</t>
  </si>
  <si>
    <t>20250716-4D</t>
  </si>
  <si>
    <t>ANGEL/MARIE/EM'S/ YHELLE</t>
  </si>
  <si>
    <t>20250717-4F</t>
  </si>
  <si>
    <t>20250717-4G</t>
  </si>
  <si>
    <t>20250717-4H</t>
  </si>
  <si>
    <t>20250717-4E</t>
  </si>
  <si>
    <t>20250716-4E</t>
  </si>
  <si>
    <t>20250716-4B</t>
  </si>
  <si>
    <t>20250716-4C</t>
  </si>
  <si>
    <t>ANGEL/YHELLE</t>
  </si>
  <si>
    <t>20250716-3A</t>
  </si>
  <si>
    <t>20250717-4C</t>
  </si>
  <si>
    <t>20250717-4A</t>
  </si>
  <si>
    <t>20250717-4B</t>
  </si>
  <si>
    <t>250808L</t>
  </si>
  <si>
    <t>3J73795041-0</t>
  </si>
  <si>
    <t>1T00026766-33</t>
  </si>
  <si>
    <t>1T00026766-7</t>
  </si>
  <si>
    <t>3J73795015-0</t>
  </si>
  <si>
    <t>1T00026766-16</t>
  </si>
  <si>
    <t>3J73795024-0</t>
  </si>
  <si>
    <t>3J73795022-0</t>
  </si>
  <si>
    <t>1T00026766-14</t>
  </si>
  <si>
    <t>20250729-C</t>
  </si>
  <si>
    <t>20250808-B</t>
  </si>
  <si>
    <t>20250807-A</t>
  </si>
  <si>
    <t>20250808-A</t>
  </si>
  <si>
    <t>1T00026766-20</t>
  </si>
  <si>
    <t>3J73795028-0</t>
  </si>
  <si>
    <t>1T00026766-22</t>
  </si>
  <si>
    <t>3J73795030-0</t>
  </si>
  <si>
    <t>250811L</t>
  </si>
  <si>
    <t>20250805-1A</t>
  </si>
  <si>
    <t>20250806-3A</t>
  </si>
  <si>
    <t>20250811-A</t>
  </si>
  <si>
    <t>ANGEL/EM'S/MARIE</t>
  </si>
  <si>
    <t>20250722-4B</t>
  </si>
  <si>
    <t>20250722-4C</t>
  </si>
  <si>
    <t>20250722-4D</t>
  </si>
  <si>
    <t>20250722-4E</t>
  </si>
  <si>
    <t>20250722-4F</t>
  </si>
  <si>
    <t>20250722-4A</t>
  </si>
  <si>
    <t>20250723-4G</t>
  </si>
  <si>
    <t>20250723-4F</t>
  </si>
  <si>
    <t>20250723-4E</t>
  </si>
  <si>
    <t>20250723-4D</t>
  </si>
  <si>
    <t>20250724-5B</t>
  </si>
  <si>
    <t>20250721-1A</t>
  </si>
  <si>
    <t>20250721-3A</t>
  </si>
  <si>
    <t>20250723-4H</t>
  </si>
  <si>
    <t>250812L</t>
  </si>
  <si>
    <t>20250725-4B</t>
  </si>
  <si>
    <t>20250725-4A</t>
  </si>
  <si>
    <t>20250724-4C</t>
  </si>
  <si>
    <t>20250724-4E</t>
  </si>
  <si>
    <t>20250724-4H</t>
  </si>
  <si>
    <t>20250724-4G</t>
  </si>
  <si>
    <t>20250724-4F</t>
  </si>
  <si>
    <t>20250722-4G</t>
  </si>
  <si>
    <t>20250722-4H</t>
  </si>
  <si>
    <t>20250722-4I</t>
  </si>
  <si>
    <t>20250724-4A</t>
  </si>
  <si>
    <t>ANGEL/ EM'S/ YHELLE</t>
  </si>
  <si>
    <t>20250724-4B</t>
  </si>
  <si>
    <t>20250723-4A</t>
  </si>
  <si>
    <t>20250722-3A</t>
  </si>
  <si>
    <t>3J73795042-0</t>
  </si>
  <si>
    <t>1T00026766-34</t>
  </si>
  <si>
    <t>3J73795044-0</t>
  </si>
  <si>
    <t>1T00026766-36</t>
  </si>
  <si>
    <t>250813L</t>
  </si>
  <si>
    <t>250814L</t>
  </si>
  <si>
    <t>20250724-4D</t>
  </si>
  <si>
    <t>20250723-4C</t>
  </si>
  <si>
    <t>20250723-4B</t>
  </si>
  <si>
    <t>20250725-4E</t>
  </si>
  <si>
    <t>20250725-4D</t>
  </si>
  <si>
    <t>20250725-4C</t>
  </si>
  <si>
    <t>20250725-4G</t>
  </si>
  <si>
    <t>ANGEL/ EM'S/ MARIE / YHELLE</t>
  </si>
  <si>
    <t>1T00026766-42</t>
  </si>
  <si>
    <t>3J73795050-0</t>
  </si>
  <si>
    <t>20250813-1A</t>
  </si>
  <si>
    <t>20250812-1A</t>
  </si>
  <si>
    <t>20250723-3A</t>
  </si>
  <si>
    <t>20250724-3A</t>
  </si>
  <si>
    <t xml:space="preserve"> EM'S/ YHELLE</t>
  </si>
  <si>
    <t>ANGEL/  YHELLE</t>
  </si>
  <si>
    <t>20250811-H</t>
  </si>
  <si>
    <t>20250811-E</t>
  </si>
  <si>
    <t xml:space="preserve"> EM'S/ MARIE / YHELLE</t>
  </si>
  <si>
    <t xml:space="preserve">ANGEL/ EM'S </t>
  </si>
  <si>
    <t>PHAJHOP</t>
  </si>
  <si>
    <t>3J73795270-0</t>
  </si>
  <si>
    <t>250818L</t>
  </si>
  <si>
    <t>20250818-B</t>
  </si>
  <si>
    <t>20250815-C</t>
  </si>
  <si>
    <t>20250818-D</t>
  </si>
  <si>
    <t>1T00026790-4</t>
  </si>
  <si>
    <t>3J73795277-0</t>
  </si>
  <si>
    <t>1T00026790-11</t>
  </si>
  <si>
    <t>20250728-3A</t>
  </si>
  <si>
    <t>20250728-1A</t>
  </si>
  <si>
    <t>3J73795280-0</t>
  </si>
  <si>
    <t>1T00026790-14</t>
  </si>
  <si>
    <t>GRACE/YHELLE</t>
  </si>
  <si>
    <t>3J73795281-0</t>
  </si>
  <si>
    <t>1T00026790-15</t>
  </si>
  <si>
    <t>1T00026790-13</t>
  </si>
  <si>
    <t>3J73795279-0</t>
  </si>
  <si>
    <t>ANGEL/ EM'S// YHELLE</t>
  </si>
  <si>
    <t>ANGEL/ JEN/ YHELLE</t>
  </si>
  <si>
    <t>20250818-9A</t>
  </si>
  <si>
    <t>250819L</t>
  </si>
  <si>
    <t>20250819-1A</t>
  </si>
  <si>
    <t>20250814-3A</t>
  </si>
  <si>
    <t>20250815-3A</t>
  </si>
  <si>
    <t>1T00026790-6</t>
  </si>
  <si>
    <t>3J73795272-0</t>
  </si>
  <si>
    <t>20250819-9A</t>
  </si>
  <si>
    <t>20250815-5A</t>
  </si>
  <si>
    <t>20250812-5A</t>
  </si>
  <si>
    <t>20250812-5B</t>
  </si>
  <si>
    <t>ANGEL/EM'S/YHELLE</t>
  </si>
  <si>
    <t>20250815-5B</t>
  </si>
  <si>
    <t>250820L</t>
  </si>
  <si>
    <t>ANGEL/EM'S/YHELLE/LICA</t>
  </si>
  <si>
    <t>1T00026805-8</t>
  </si>
  <si>
    <t>3J73795400-0</t>
  </si>
  <si>
    <t>1T00026790-16</t>
  </si>
  <si>
    <t>3J73795282-0</t>
  </si>
  <si>
    <t>20250820-A</t>
  </si>
  <si>
    <t>20250818-1A</t>
  </si>
  <si>
    <t>250822L</t>
  </si>
  <si>
    <t>20250815-1A</t>
  </si>
  <si>
    <t>20250801-3A</t>
  </si>
  <si>
    <t>ANGEL/YHELLE/GRACE</t>
  </si>
  <si>
    <t>3J73795431-0</t>
  </si>
  <si>
    <t>1T00026805-40</t>
  </si>
  <si>
    <t>1T00026805-9</t>
  </si>
  <si>
    <t>3J73795401-0</t>
  </si>
  <si>
    <t>1T00026805-21</t>
  </si>
  <si>
    <t>3J73795413-0</t>
  </si>
  <si>
    <t>250826L</t>
  </si>
  <si>
    <t>20250822-A</t>
  </si>
  <si>
    <t>1T00026805-10</t>
  </si>
  <si>
    <t>3J73795402-0</t>
  </si>
  <si>
    <t>1T00026805-27</t>
  </si>
  <si>
    <t>3J73795419-0</t>
  </si>
  <si>
    <t>1T00026805-37</t>
  </si>
  <si>
    <t>3J73795429-0</t>
  </si>
  <si>
    <t>1T00026805-41</t>
  </si>
  <si>
    <t>3J73795432-0</t>
  </si>
  <si>
    <t>1T00026805-45</t>
  </si>
  <si>
    <t>3J73795436-0</t>
  </si>
  <si>
    <t>1T00026805-47</t>
  </si>
  <si>
    <t>3J73795438-0</t>
  </si>
  <si>
    <t>1T00026805-49</t>
  </si>
  <si>
    <t>3J73795440-0</t>
  </si>
  <si>
    <t>1T00026805-50</t>
  </si>
  <si>
    <t>3J73795441-0</t>
  </si>
  <si>
    <t>25423 (2200 HOSE)</t>
  </si>
  <si>
    <t>F01Y2524F-1-0 (30 MM)</t>
  </si>
  <si>
    <t>F0131425S-1-0 (24MM)</t>
  </si>
  <si>
    <t>GRACE</t>
  </si>
  <si>
    <t>ANGEL/ YHELLE</t>
  </si>
  <si>
    <t>20250822-K</t>
  </si>
  <si>
    <t>20250822-M</t>
  </si>
  <si>
    <t>20250822-L</t>
  </si>
  <si>
    <t>ANGEL/KAREEN</t>
  </si>
  <si>
    <t>MARIE/YHELLE</t>
  </si>
  <si>
    <t>ANGEL/YHELLE/MARIE</t>
  </si>
  <si>
    <t>MARIE/YHELLE/ANGEL</t>
  </si>
  <si>
    <t>250624-1A</t>
  </si>
  <si>
    <t>1-28-25</t>
  </si>
  <si>
    <t>250827L</t>
  </si>
  <si>
    <t>19.05.25 (80HP LP HOSE)</t>
  </si>
  <si>
    <t>F0142225F-1-0 (25MM)</t>
  </si>
  <si>
    <t>3J73795442-0</t>
  </si>
  <si>
    <t>250828L</t>
  </si>
  <si>
    <t>20250827-5E</t>
  </si>
  <si>
    <t>20250827-5D</t>
  </si>
  <si>
    <t>20250801-4I</t>
  </si>
  <si>
    <t>ANGEL/MARIE/EM'S/ YHELLE/JEN</t>
  </si>
  <si>
    <t>ANGEL/EM'S/ YHELLE/JEN</t>
  </si>
  <si>
    <t>3J73795430-0</t>
  </si>
  <si>
    <t>20250805-3A</t>
  </si>
  <si>
    <t>20250801-4H</t>
  </si>
  <si>
    <t>20250801-4F</t>
  </si>
  <si>
    <t>20250801-4E</t>
  </si>
  <si>
    <t>20250801-4D</t>
  </si>
  <si>
    <t>20250730-4D</t>
  </si>
  <si>
    <t>20250730-4F</t>
  </si>
  <si>
    <t>20250731-4E</t>
  </si>
  <si>
    <t>20250731-4D</t>
  </si>
  <si>
    <t>20250801-4G</t>
  </si>
  <si>
    <t>20250807-3B</t>
  </si>
  <si>
    <t>20250822-C</t>
  </si>
  <si>
    <t>20250822-9A</t>
  </si>
  <si>
    <t>20250822-B</t>
  </si>
  <si>
    <t>20250822-D</t>
  </si>
  <si>
    <t>250829L</t>
  </si>
  <si>
    <t>20250827-4H</t>
  </si>
  <si>
    <t>20250827-4E</t>
  </si>
  <si>
    <t>ANGEL/EM'S/ YHELLE/JO/JIN</t>
  </si>
  <si>
    <t>20250807-3A</t>
  </si>
  <si>
    <t>20250807-1A</t>
  </si>
  <si>
    <t>20250827-4C</t>
  </si>
  <si>
    <t>20250827-4D</t>
  </si>
  <si>
    <t>20250827-4B</t>
  </si>
  <si>
    <t>20250828-4B</t>
  </si>
  <si>
    <t>20250812-4B</t>
  </si>
  <si>
    <t>20250812-4A</t>
  </si>
  <si>
    <t>20250806-1A</t>
  </si>
  <si>
    <t>20250811-4G</t>
  </si>
  <si>
    <t>20250811-4F</t>
  </si>
  <si>
    <t>20250811-4B</t>
  </si>
  <si>
    <t>20250811-4C</t>
  </si>
  <si>
    <t>20250811-4E</t>
  </si>
  <si>
    <t>20250811-4A</t>
  </si>
  <si>
    <t>20250812-4C</t>
  </si>
  <si>
    <t>20250814-5F</t>
  </si>
  <si>
    <t>20250814-5D</t>
  </si>
  <si>
    <t>20250814-5C</t>
  </si>
  <si>
    <t>20250814-5B</t>
  </si>
  <si>
    <t>20250813-5A</t>
  </si>
  <si>
    <t>20250814-5E</t>
  </si>
  <si>
    <t>20250814-5A</t>
  </si>
  <si>
    <t>250901L</t>
  </si>
  <si>
    <t>20250812-4G</t>
  </si>
  <si>
    <t>20250808-3A</t>
  </si>
  <si>
    <t>20250812-4I</t>
  </si>
  <si>
    <t>YHELLE/MARIE/EM'S/ANGEL</t>
  </si>
  <si>
    <t xml:space="preserve">202508012-4H </t>
  </si>
  <si>
    <t>20250812-4H</t>
  </si>
  <si>
    <t>1T00026805-39</t>
  </si>
  <si>
    <t>3J73795430-1</t>
  </si>
  <si>
    <t>20250812-4E</t>
  </si>
  <si>
    <t>20250812-4D</t>
  </si>
  <si>
    <t>20250813-4D</t>
  </si>
  <si>
    <t>20250814-4F</t>
  </si>
  <si>
    <t>20250814-4A</t>
  </si>
  <si>
    <t>20250731-4B</t>
  </si>
  <si>
    <t>20250731-4A</t>
  </si>
  <si>
    <t>20250731-4C</t>
  </si>
  <si>
    <t>20250807-4A</t>
  </si>
  <si>
    <t>20250807-4B</t>
  </si>
  <si>
    <t>250902L</t>
  </si>
  <si>
    <t>20250804-4D</t>
  </si>
  <si>
    <t>20250804-4E</t>
  </si>
  <si>
    <t>20250804-4C</t>
  </si>
  <si>
    <t>20250804-4B</t>
  </si>
  <si>
    <t>20250808-1B</t>
  </si>
  <si>
    <t>20250804-4A</t>
  </si>
  <si>
    <t>20250805-4A</t>
  </si>
  <si>
    <t>20250805-4B</t>
  </si>
  <si>
    <t>20250804-4H</t>
  </si>
  <si>
    <t>20250804-4G</t>
  </si>
  <si>
    <t>20250804-4F</t>
  </si>
  <si>
    <t>20250805-4F</t>
  </si>
  <si>
    <t>20250811-1A</t>
  </si>
  <si>
    <t>20250805-4E</t>
  </si>
  <si>
    <t>20250805-4D</t>
  </si>
  <si>
    <t>20250805-4G</t>
  </si>
  <si>
    <t>YHELLE/MARIE/EM'S/ANGEL/JEN</t>
  </si>
  <si>
    <t>20250808-1A</t>
  </si>
  <si>
    <t>20250805-4H</t>
  </si>
  <si>
    <t>20250814-1A</t>
  </si>
  <si>
    <t>250903L</t>
  </si>
  <si>
    <t>20250806-4A</t>
  </si>
  <si>
    <t>20250806-4B</t>
  </si>
  <si>
    <t>20250806-5A</t>
  </si>
  <si>
    <t>20250805-4C</t>
  </si>
  <si>
    <t>20250806-4C</t>
  </si>
  <si>
    <t>20250806-4D</t>
  </si>
  <si>
    <t>20250806-4E</t>
  </si>
  <si>
    <t>20250806-4F</t>
  </si>
  <si>
    <t>20250813-3A</t>
  </si>
  <si>
    <t>3J73795726-0</t>
  </si>
  <si>
    <t>1T00026822-2</t>
  </si>
  <si>
    <t>1T00026822-6</t>
  </si>
  <si>
    <t>3J73795730-0</t>
  </si>
  <si>
    <t>PXPDK0001P</t>
  </si>
  <si>
    <t>3J73795733-0</t>
  </si>
  <si>
    <t>1T00026822-9</t>
  </si>
  <si>
    <t>1T00026822-19</t>
  </si>
  <si>
    <t>1T00026822-20</t>
  </si>
  <si>
    <t>1T00026822-21</t>
  </si>
  <si>
    <t>1T00026822-24</t>
  </si>
  <si>
    <t>3J73795742-0</t>
  </si>
  <si>
    <t>3J73795743-0</t>
  </si>
  <si>
    <t>3J73795744-0</t>
  </si>
  <si>
    <t>3J73795747-0</t>
  </si>
  <si>
    <t>MARIE</t>
  </si>
  <si>
    <t>YHELLE</t>
  </si>
  <si>
    <t>AANGEL</t>
  </si>
  <si>
    <t>ANGEL/MARIE/EM</t>
  </si>
  <si>
    <t>20250901-3A</t>
  </si>
  <si>
    <t>20250602-A</t>
  </si>
  <si>
    <t>20250604-B</t>
  </si>
  <si>
    <t>20250901-A</t>
  </si>
  <si>
    <t>20250820-B</t>
  </si>
  <si>
    <t>20250901-B</t>
  </si>
  <si>
    <t>1T00026822-8</t>
  </si>
  <si>
    <t>3J73795732-0</t>
  </si>
  <si>
    <t>250904L</t>
  </si>
  <si>
    <t>20250819-A</t>
  </si>
  <si>
    <t>20250826-A</t>
  </si>
  <si>
    <t>20250819-C</t>
  </si>
  <si>
    <t>3J73795731-0</t>
  </si>
  <si>
    <t>250905L</t>
  </si>
  <si>
    <t>20250903-A</t>
  </si>
  <si>
    <t>3J73795727-0</t>
  </si>
  <si>
    <t>3J73795740-0</t>
  </si>
  <si>
    <t>20250818-3A</t>
  </si>
  <si>
    <t>20250813-5G</t>
  </si>
  <si>
    <t>20250813-5F</t>
  </si>
  <si>
    <t>20250813-5E</t>
  </si>
  <si>
    <t>250908L</t>
  </si>
  <si>
    <t>3J73795739-0</t>
  </si>
  <si>
    <t>20250813-5C</t>
  </si>
  <si>
    <t>20250813-5D</t>
  </si>
  <si>
    <t>20250815-5C</t>
  </si>
  <si>
    <t>20250815-4F</t>
  </si>
  <si>
    <t>20250815-5G</t>
  </si>
  <si>
    <t>20250815-4H</t>
  </si>
  <si>
    <t>20250818-4A</t>
  </si>
  <si>
    <t>20250904-1A</t>
  </si>
  <si>
    <t>20250905-1A</t>
  </si>
  <si>
    <t>20250818-4B</t>
  </si>
  <si>
    <t>20250813-5B</t>
  </si>
  <si>
    <t>120PD200010P</t>
  </si>
  <si>
    <t>ANGEL/YHELLE/MARI/GRACE</t>
  </si>
  <si>
    <t>1T00026822-16</t>
  </si>
  <si>
    <t>1T00026851-7</t>
  </si>
  <si>
    <t>3J73795842-0</t>
  </si>
  <si>
    <t>250909L</t>
  </si>
  <si>
    <t>20250902-A</t>
  </si>
  <si>
    <t>20250902-B</t>
  </si>
  <si>
    <t>20250903-B</t>
  </si>
  <si>
    <t>202509-03-1A</t>
  </si>
  <si>
    <t>20250904-3A</t>
  </si>
  <si>
    <t>20250820-1A</t>
  </si>
  <si>
    <t>ANGEL/YHELLE/MARIE/MING</t>
  </si>
  <si>
    <t>1T00026851-19</t>
  </si>
  <si>
    <t>3J73795854-0</t>
  </si>
  <si>
    <t>1T00026851-10</t>
  </si>
  <si>
    <t>3J73795845-0</t>
  </si>
  <si>
    <t>1T00026851-12</t>
  </si>
  <si>
    <t>3J73795847-0</t>
  </si>
  <si>
    <t>ANGEL/MING</t>
  </si>
  <si>
    <t>1T00026851-13</t>
  </si>
  <si>
    <t>3J73795848-0</t>
  </si>
  <si>
    <t>1T00026851-24</t>
  </si>
  <si>
    <t>3J73795859-0</t>
  </si>
  <si>
    <t>MING</t>
  </si>
  <si>
    <t>24Z18</t>
  </si>
  <si>
    <t>1T00026851-26</t>
  </si>
  <si>
    <t>3J73795861-0</t>
  </si>
  <si>
    <t>250910L</t>
  </si>
  <si>
    <t>20250905-9A</t>
  </si>
  <si>
    <t>ANGEL/MARIE/YHELLE</t>
  </si>
  <si>
    <t>20250908-A</t>
  </si>
  <si>
    <t>ANGEK/YHELLE/MARIE</t>
  </si>
  <si>
    <t>PFXCS0001P</t>
  </si>
  <si>
    <t>250911L</t>
  </si>
  <si>
    <t>20250903-9A</t>
  </si>
  <si>
    <t>ANGEK/YHELLE/MARIE/EM'S</t>
  </si>
  <si>
    <t>250912L</t>
  </si>
  <si>
    <t>20250811-3A</t>
  </si>
  <si>
    <t>LICA</t>
  </si>
  <si>
    <t>3J73796063-0</t>
  </si>
  <si>
    <t>3J73795858-0</t>
  </si>
  <si>
    <t>3J73795865-0</t>
  </si>
  <si>
    <t>20250911-9A</t>
  </si>
  <si>
    <t>ANGEL/MARIE/EM'S/YHELLE</t>
  </si>
  <si>
    <t>EM'S/ANGEL</t>
  </si>
  <si>
    <t>3J73796054-0</t>
  </si>
  <si>
    <t>20250908-1A</t>
  </si>
  <si>
    <t>3J73796056-0</t>
  </si>
  <si>
    <t>20250911-3A</t>
  </si>
  <si>
    <t>3J73796068-0</t>
  </si>
  <si>
    <t>3J73796071-0</t>
  </si>
  <si>
    <t>250915L</t>
  </si>
  <si>
    <t>20250912-G</t>
  </si>
  <si>
    <t>ANGEL/JEN/YHELLE</t>
  </si>
  <si>
    <t>3J73796066-0</t>
  </si>
  <si>
    <t>PCWVV00020</t>
  </si>
  <si>
    <t>20250912-A</t>
  </si>
  <si>
    <t>LICA/YHELLE</t>
  </si>
  <si>
    <t>PDWC0002P</t>
  </si>
  <si>
    <t>20250912-L</t>
  </si>
  <si>
    <t>20250912-J</t>
  </si>
  <si>
    <t>20250904-9A</t>
  </si>
  <si>
    <t>20250910-5A</t>
  </si>
  <si>
    <t>20250910-5B</t>
  </si>
  <si>
    <t>20250910-5C</t>
  </si>
  <si>
    <t>ANGEL/JEN/YHELLE/EM'S</t>
  </si>
  <si>
    <t>20250909-1A</t>
  </si>
  <si>
    <t>250917L</t>
  </si>
  <si>
    <t>20250911-A</t>
  </si>
  <si>
    <t>ANGEL /YHELLE / GRACE/ MAIA</t>
  </si>
  <si>
    <t>3J73796067-0</t>
  </si>
  <si>
    <t>1T00026865-16</t>
  </si>
  <si>
    <t>3J73796053-0</t>
  </si>
  <si>
    <t>1T00026865-2</t>
  </si>
  <si>
    <t>1T00026865-12</t>
  </si>
  <si>
    <t>1T00026865-15</t>
  </si>
  <si>
    <t>1T00026865-20</t>
  </si>
  <si>
    <t>1T00026865-17</t>
  </si>
  <si>
    <t>1T00026865-5</t>
  </si>
  <si>
    <t>1T00026865-3</t>
  </si>
  <si>
    <t>1T00026851-30</t>
  </si>
  <si>
    <t>1T00026851-23</t>
  </si>
  <si>
    <t>1T00026851-22</t>
  </si>
  <si>
    <t>3J73795857-0</t>
  </si>
  <si>
    <t>1T00026851-21</t>
  </si>
  <si>
    <t>3J73795856-0</t>
  </si>
  <si>
    <t>1T00026851-29</t>
  </si>
  <si>
    <t>3J73795864-0</t>
  </si>
  <si>
    <t>20250918-1A</t>
  </si>
  <si>
    <t>250918L</t>
  </si>
  <si>
    <t>20250912-3A</t>
  </si>
  <si>
    <t>250922L</t>
  </si>
  <si>
    <t>20250917-A</t>
  </si>
  <si>
    <t>20250918-A</t>
  </si>
  <si>
    <t>20250905-3A</t>
  </si>
  <si>
    <t>20250917-3A</t>
  </si>
  <si>
    <t>20250919-9A</t>
  </si>
  <si>
    <t>250923L</t>
  </si>
  <si>
    <t>ANGEL/YHELLE/EM'S</t>
  </si>
  <si>
    <t>20250922-1A</t>
  </si>
  <si>
    <t>3J73797059-0</t>
  </si>
  <si>
    <t>3J73797058-0</t>
  </si>
  <si>
    <t>250924L</t>
  </si>
  <si>
    <t>20250826-4A</t>
  </si>
  <si>
    <t>20250826-4B</t>
  </si>
  <si>
    <t>20250826-4C</t>
  </si>
  <si>
    <t>202509221A</t>
  </si>
  <si>
    <t>20250822-4I</t>
  </si>
  <si>
    <t>20250826-4D</t>
  </si>
  <si>
    <t>20250919-1A</t>
  </si>
  <si>
    <t>20250827-4A</t>
  </si>
  <si>
    <t>1T00026892-23</t>
  </si>
  <si>
    <t>1T00026892-24</t>
  </si>
  <si>
    <t>1T00026892-6</t>
  </si>
  <si>
    <t>UR00000175-1</t>
  </si>
  <si>
    <t>3J73797041-0</t>
  </si>
  <si>
    <t>1T00026892-16</t>
  </si>
  <si>
    <t>3J73797051-0</t>
  </si>
  <si>
    <t>3J73797903-0</t>
  </si>
  <si>
    <t>1T00026892-32</t>
  </si>
  <si>
    <t>3J73797064-0</t>
  </si>
  <si>
    <t>1T00026892-15</t>
  </si>
  <si>
    <t>3J73797050-0</t>
  </si>
  <si>
    <t>1T00026892-28</t>
  </si>
  <si>
    <t>3J73797063-0</t>
  </si>
  <si>
    <t>1T00026892-29</t>
  </si>
  <si>
    <t>20250826-4H</t>
  </si>
  <si>
    <t>20250826-4F</t>
  </si>
  <si>
    <t>20250826-4E</t>
  </si>
  <si>
    <t>20250826-4G</t>
  </si>
  <si>
    <t>250929L</t>
  </si>
  <si>
    <t>20250925-1A</t>
  </si>
  <si>
    <t>20250929-1A</t>
  </si>
  <si>
    <t>20250923-1A</t>
  </si>
  <si>
    <t>20250926-1A</t>
  </si>
  <si>
    <t>20250929-3A</t>
  </si>
  <si>
    <t>1T00026914-13</t>
  </si>
  <si>
    <t>3J73797226-0</t>
  </si>
  <si>
    <t>1T00026914-31</t>
  </si>
  <si>
    <t>3J73797244-0</t>
  </si>
  <si>
    <t>1T00026914-21</t>
  </si>
  <si>
    <t>3J73797234-0</t>
  </si>
  <si>
    <t>3J73797229-0</t>
  </si>
  <si>
    <t>250930L</t>
  </si>
  <si>
    <t>1T00026914-16</t>
  </si>
  <si>
    <t>1T00026914-32</t>
  </si>
  <si>
    <t>3J73797245-0</t>
  </si>
  <si>
    <t>080DF00020P</t>
  </si>
  <si>
    <t>3J73797224-0</t>
  </si>
  <si>
    <t>1T00026914-11</t>
  </si>
  <si>
    <t>1T00026914-33</t>
  </si>
  <si>
    <t>3J73797246-0</t>
  </si>
  <si>
    <t>PHPDF0001P</t>
  </si>
  <si>
    <t>1T00026914-34</t>
  </si>
  <si>
    <t>3J73797247-0</t>
  </si>
  <si>
    <t>1T00026914-35</t>
  </si>
  <si>
    <t>3J73797248-0</t>
  </si>
  <si>
    <t>3J73797249-0</t>
  </si>
  <si>
    <t>1T00026914-36</t>
  </si>
  <si>
    <t>20250915-9A</t>
  </si>
  <si>
    <t>20250930-A</t>
  </si>
  <si>
    <t>20250926-3A</t>
  </si>
  <si>
    <t>1T00026914-39</t>
  </si>
  <si>
    <t>3J73797252-0</t>
  </si>
  <si>
    <t>1T00026914-40</t>
  </si>
  <si>
    <t>3J73797254-0</t>
  </si>
  <si>
    <t>3J73797253-0</t>
  </si>
  <si>
    <t>1T00026914-41</t>
  </si>
  <si>
    <t>1T00026914-45</t>
  </si>
  <si>
    <t>3J73797258-0</t>
  </si>
  <si>
    <t>3J73797259-0</t>
  </si>
  <si>
    <t>1T00026914-46</t>
  </si>
  <si>
    <t>3J73797256-0</t>
  </si>
  <si>
    <t>1T00026914-49</t>
  </si>
  <si>
    <t>1T00026914-43</t>
  </si>
  <si>
    <t>3J73797269-0</t>
  </si>
  <si>
    <t>251001L</t>
  </si>
  <si>
    <t>20250930-1A</t>
  </si>
  <si>
    <t>20250827-4F</t>
  </si>
  <si>
    <t>20250827-4G</t>
  </si>
  <si>
    <t>20250827-4I</t>
  </si>
  <si>
    <t>20250828-4A</t>
  </si>
  <si>
    <t>251002L</t>
  </si>
  <si>
    <t>20250828-4D</t>
  </si>
  <si>
    <t>20250901-4B</t>
  </si>
  <si>
    <t>20250901-4C</t>
  </si>
  <si>
    <t>20250901-4D</t>
  </si>
  <si>
    <t>20250901-4F</t>
  </si>
  <si>
    <t>20250901-4E</t>
  </si>
  <si>
    <t>2501003L</t>
  </si>
  <si>
    <t>1T00026914-44</t>
  </si>
  <si>
    <t>3J73797257-0</t>
  </si>
  <si>
    <t>PHPF100085P</t>
  </si>
  <si>
    <t>3J73797266-0</t>
  </si>
  <si>
    <t>20251001-1A</t>
  </si>
  <si>
    <t>120PA20C01P</t>
  </si>
  <si>
    <t>20250929-A</t>
  </si>
  <si>
    <t>PVPDK0002P</t>
  </si>
  <si>
    <t>15PA00DK2P</t>
  </si>
  <si>
    <t>3J73797267-0</t>
  </si>
  <si>
    <t>3J73798813-0</t>
  </si>
  <si>
    <t>3J73798814-0</t>
  </si>
  <si>
    <t>3J73798815-0</t>
  </si>
  <si>
    <t>1T00026914-53</t>
  </si>
  <si>
    <t>1T00026914-54</t>
  </si>
  <si>
    <t>PR00000439-1</t>
  </si>
  <si>
    <t>PR00000439-2</t>
  </si>
  <si>
    <t>PR00000439-3</t>
  </si>
  <si>
    <t>251006L</t>
  </si>
  <si>
    <t>20250930-9A</t>
  </si>
  <si>
    <t>3J73797260-0</t>
  </si>
  <si>
    <t>1T00026914-47</t>
  </si>
  <si>
    <t>1T00026914-48</t>
  </si>
  <si>
    <t>3J73797261-0</t>
  </si>
  <si>
    <t>3J73797262-0</t>
  </si>
  <si>
    <t>1T00026914-50</t>
  </si>
  <si>
    <t>3J73797263-0</t>
  </si>
  <si>
    <t>3J73797264-0</t>
  </si>
  <si>
    <t>1T00026914-51</t>
  </si>
  <si>
    <t>1T00026914-52</t>
  </si>
  <si>
    <t>3J73797265-0</t>
  </si>
  <si>
    <t>20251001-A</t>
  </si>
  <si>
    <t>ANGEL/YHELLE/MALINES GRACE</t>
  </si>
  <si>
    <t>ANGEL/YHELLE/JIN</t>
  </si>
  <si>
    <t>20250902-4B</t>
  </si>
  <si>
    <t>20250902-4C</t>
  </si>
  <si>
    <t>20250902-4D</t>
  </si>
  <si>
    <t>251007L</t>
  </si>
  <si>
    <t>2025102-3A</t>
  </si>
  <si>
    <t>20250902-4E</t>
  </si>
  <si>
    <t>20250902-4F</t>
  </si>
  <si>
    <t>20250902-4G</t>
  </si>
  <si>
    <t>20250903-4A</t>
  </si>
  <si>
    <t>20250828-4C</t>
  </si>
  <si>
    <t>2025102-C</t>
  </si>
  <si>
    <t>1T00026914-55</t>
  </si>
  <si>
    <t>3J73797268-0</t>
  </si>
  <si>
    <t>20251001-9A</t>
  </si>
  <si>
    <t>251008L</t>
  </si>
  <si>
    <t>2025102-A</t>
  </si>
  <si>
    <t>2025102-B</t>
  </si>
  <si>
    <t>2025102-D</t>
  </si>
  <si>
    <t>ANGEL/YHELLE/MAIA</t>
  </si>
  <si>
    <t>1T00026927-6</t>
  </si>
  <si>
    <t>251009L</t>
  </si>
  <si>
    <t>3J73797618-0</t>
  </si>
  <si>
    <t>3J73797620-0</t>
  </si>
  <si>
    <t>3J73797621-0</t>
  </si>
  <si>
    <t>1T00026927-8</t>
  </si>
  <si>
    <t>1T00026927-9</t>
  </si>
  <si>
    <t>20251003-A</t>
  </si>
  <si>
    <t>20251003-B</t>
  </si>
  <si>
    <t>20251006-A</t>
  </si>
  <si>
    <t>ANGEL/YHELLE/MAIA/GRACE/AIDAH</t>
  </si>
  <si>
    <t>2025103-1A</t>
  </si>
  <si>
    <t>2025106-1A</t>
  </si>
  <si>
    <t>20251002-1A</t>
  </si>
  <si>
    <t>20251009-1A</t>
  </si>
  <si>
    <t>251010L</t>
  </si>
  <si>
    <t>1T00026927-10</t>
  </si>
  <si>
    <t>3J73797622-0</t>
  </si>
  <si>
    <t>1T00026927-11</t>
  </si>
  <si>
    <t>3J73797623-0</t>
  </si>
  <si>
    <t>1T00026927-35</t>
  </si>
  <si>
    <t>3J73797647-0</t>
  </si>
  <si>
    <t>20251003-1A</t>
  </si>
  <si>
    <t>20251008-A</t>
  </si>
  <si>
    <t>3J73797656-0</t>
  </si>
  <si>
    <t>3J73797655-0</t>
  </si>
  <si>
    <t>251013L</t>
  </si>
  <si>
    <t>20251010-1A</t>
  </si>
  <si>
    <t>20250908-4A</t>
  </si>
  <si>
    <t>20250905-4B</t>
  </si>
  <si>
    <t>20250911-4D</t>
  </si>
  <si>
    <t>20250911-4E</t>
  </si>
  <si>
    <t>20250911-4F</t>
  </si>
  <si>
    <t>20250915-AF</t>
  </si>
  <si>
    <t>20250912-4A</t>
  </si>
  <si>
    <t>20250911-4C</t>
  </si>
  <si>
    <t>20250912-4E</t>
  </si>
  <si>
    <t>20250911-4G</t>
  </si>
  <si>
    <t>20250915-4E</t>
  </si>
  <si>
    <t>251014L</t>
  </si>
  <si>
    <t>LICA.YHELLE,MAIA,YENG</t>
  </si>
  <si>
    <t>1T00026927-36</t>
  </si>
  <si>
    <t>3J73797648-0</t>
  </si>
  <si>
    <t>2021003-3A</t>
  </si>
  <si>
    <t>20250908-4C</t>
  </si>
  <si>
    <t>202580924-1A</t>
  </si>
  <si>
    <t>3J73797665-0</t>
  </si>
  <si>
    <t>20250904-4E</t>
  </si>
  <si>
    <t>20250904-4D</t>
  </si>
  <si>
    <t>20250901-1A</t>
  </si>
  <si>
    <t>20251007-3A</t>
  </si>
  <si>
    <t>20250904-4F</t>
  </si>
  <si>
    <t>20250904-4G</t>
  </si>
  <si>
    <t>20250905-4A</t>
  </si>
  <si>
    <t>20250905-4H</t>
  </si>
  <si>
    <t>20250903-5F</t>
  </si>
  <si>
    <t>20250908-4E</t>
  </si>
  <si>
    <t>20250908-4D</t>
  </si>
  <si>
    <t>20251003-3A</t>
  </si>
  <si>
    <t>GRACE,IADHA</t>
  </si>
  <si>
    <t>251015L</t>
  </si>
  <si>
    <t>20251002-3A</t>
  </si>
  <si>
    <t>202510101A</t>
  </si>
  <si>
    <t>20251007-C</t>
  </si>
  <si>
    <t>20251006-D</t>
  </si>
  <si>
    <t>20251007-B</t>
  </si>
  <si>
    <t>ANGEL,YHELLE, YENG</t>
  </si>
  <si>
    <t>1T00026927-40</t>
  </si>
  <si>
    <t>3J73797652-0</t>
  </si>
  <si>
    <t>1T00026927-38</t>
  </si>
  <si>
    <t>3J73797650-0</t>
  </si>
  <si>
    <t>1T00026944-28</t>
  </si>
  <si>
    <t>3J73798121-0</t>
  </si>
  <si>
    <t>251016L</t>
  </si>
  <si>
    <t>KAI</t>
  </si>
  <si>
    <t>1T00026927-56</t>
  </si>
  <si>
    <t>3J73797669-0</t>
  </si>
  <si>
    <t>KAI , AIDHA</t>
  </si>
  <si>
    <t>O-25-0280</t>
  </si>
  <si>
    <t>1T00026927-48</t>
  </si>
  <si>
    <t>3J73797660-0</t>
  </si>
  <si>
    <t>ANGEL,YHELLE, YENG , LICA</t>
  </si>
  <si>
    <t>20250915-4D</t>
  </si>
  <si>
    <t>20250915-4I</t>
  </si>
  <si>
    <t>20250916-4A</t>
  </si>
  <si>
    <t>20251008-1A</t>
  </si>
  <si>
    <t>20250915-4H</t>
  </si>
  <si>
    <t>20250915-4G</t>
  </si>
  <si>
    <t>20250912-4B</t>
  </si>
  <si>
    <t>20250912-4C</t>
  </si>
  <si>
    <t>20250912-4D</t>
  </si>
  <si>
    <t>20250912-4F</t>
  </si>
  <si>
    <t>20250912-4G</t>
  </si>
  <si>
    <t>20251008-B</t>
  </si>
  <si>
    <t>1T00026927-46</t>
  </si>
  <si>
    <t>3J73797658-0</t>
  </si>
  <si>
    <t>1T00026944-31</t>
  </si>
  <si>
    <t>3J73798124-0</t>
  </si>
  <si>
    <t>1T00026944-30</t>
  </si>
  <si>
    <t>3J73798123-0</t>
  </si>
  <si>
    <t>YENG,KAI</t>
  </si>
  <si>
    <t>PHPCS0011P</t>
  </si>
  <si>
    <t>25117L</t>
  </si>
  <si>
    <t>20251013-1A</t>
  </si>
  <si>
    <t>20251013-4G</t>
  </si>
  <si>
    <t>20251013-5A</t>
  </si>
  <si>
    <t>20251014-4A</t>
  </si>
  <si>
    <t>20250915-4C</t>
  </si>
  <si>
    <t>20250915-4B</t>
  </si>
  <si>
    <t>20250915-4A</t>
  </si>
  <si>
    <t>20250912-4H</t>
  </si>
  <si>
    <t>20250912-4I</t>
  </si>
  <si>
    <t>20251013-4F</t>
  </si>
  <si>
    <t>20251013-4H</t>
  </si>
  <si>
    <t>20251015-1A</t>
  </si>
  <si>
    <t>20251014-4B</t>
  </si>
  <si>
    <t>1T00026927-49</t>
  </si>
  <si>
    <t>3J73797661-0</t>
  </si>
  <si>
    <t>1T00026927-50</t>
  </si>
  <si>
    <t>3J73797663-0</t>
  </si>
  <si>
    <t>1T00026927-51</t>
  </si>
  <si>
    <t>3J73797664-0</t>
  </si>
  <si>
    <t>1T00026927-55</t>
  </si>
  <si>
    <t>3J73797667-0</t>
  </si>
  <si>
    <t>3J73797668-0</t>
  </si>
  <si>
    <t>1T00026927-54</t>
  </si>
  <si>
    <t>1T00026944-10</t>
  </si>
  <si>
    <t>3J73798103-0</t>
  </si>
  <si>
    <t>1T00026944-11</t>
  </si>
  <si>
    <t>3J73798104-0</t>
  </si>
  <si>
    <t>3J73798125-0</t>
  </si>
  <si>
    <t>1T00026944-32</t>
  </si>
  <si>
    <t>1T00026944-34</t>
  </si>
  <si>
    <t>3J73798127-0</t>
  </si>
  <si>
    <t>1T00026944-36</t>
  </si>
  <si>
    <t>3J73798129-0</t>
  </si>
  <si>
    <t>3J73798130-0</t>
  </si>
  <si>
    <t>1T00026944-37</t>
  </si>
  <si>
    <t>20251001-B</t>
  </si>
  <si>
    <t>1T00026944-27</t>
  </si>
  <si>
    <t>20251014-1A</t>
  </si>
  <si>
    <t>KIA</t>
  </si>
  <si>
    <t>YHELLE, YENG , LICA</t>
  </si>
  <si>
    <t>1T00026944-17</t>
  </si>
  <si>
    <t>3J73798110-0</t>
  </si>
  <si>
    <t>1T00026944-29</t>
  </si>
  <si>
    <t>3J73798122-0</t>
  </si>
  <si>
    <t>20251015-3A</t>
  </si>
  <si>
    <t>20251013-3B</t>
  </si>
  <si>
    <t>20251017-1A</t>
  </si>
  <si>
    <t>20251014-A</t>
  </si>
  <si>
    <t>20251014-B</t>
  </si>
  <si>
    <t xml:space="preserve">ANGEL,YHELLE, YENG </t>
  </si>
  <si>
    <t>251020L</t>
  </si>
  <si>
    <t>20250917-4D</t>
  </si>
  <si>
    <t>20250919-4B</t>
  </si>
  <si>
    <t>20250919-4C</t>
  </si>
  <si>
    <t>20250919-4A</t>
  </si>
  <si>
    <t>20251016-3A</t>
  </si>
  <si>
    <t>20250917-4E</t>
  </si>
  <si>
    <t>20250908-5B</t>
  </si>
  <si>
    <t>20250908-5C</t>
  </si>
  <si>
    <t>202501016-3A</t>
  </si>
  <si>
    <t>3J73798119-0</t>
  </si>
  <si>
    <t>3J73798126-0</t>
  </si>
  <si>
    <t>20250916-4B</t>
  </si>
  <si>
    <t>20250916-4C</t>
  </si>
  <si>
    <t>20250916-4D</t>
  </si>
  <si>
    <t>20250916-4E</t>
  </si>
  <si>
    <t>251021L</t>
  </si>
  <si>
    <t>20250916-4F</t>
  </si>
  <si>
    <t>20250908-5D</t>
  </si>
  <si>
    <t>20250919-4D</t>
  </si>
  <si>
    <t>20251017-3A</t>
  </si>
  <si>
    <t>20250908-5G</t>
  </si>
  <si>
    <t>20250916-4G</t>
  </si>
  <si>
    <t>20250916-4H</t>
  </si>
  <si>
    <t>20250916-4I</t>
  </si>
  <si>
    <t>20250917-4A</t>
  </si>
  <si>
    <t>20250917-4B</t>
  </si>
  <si>
    <t>20250917-4C</t>
  </si>
  <si>
    <t>20251015-4J</t>
  </si>
  <si>
    <t>20251015-4I</t>
  </si>
  <si>
    <t>20251020-1A</t>
  </si>
  <si>
    <t>20251015-4H</t>
  </si>
  <si>
    <t>ANGEL,YHELLE, YENG /KAI</t>
  </si>
  <si>
    <t>251022L</t>
  </si>
  <si>
    <t>20251015-4G</t>
  </si>
  <si>
    <t>20251015-4F</t>
  </si>
  <si>
    <t>20251021-4H</t>
  </si>
  <si>
    <t>20251021-4D</t>
  </si>
  <si>
    <t>20251021-4C</t>
  </si>
  <si>
    <t>20251021-4B</t>
  </si>
  <si>
    <t>20251021-4A</t>
  </si>
  <si>
    <t>20251001-4C</t>
  </si>
  <si>
    <t>20251001-4D</t>
  </si>
  <si>
    <t>20251001-4E</t>
  </si>
  <si>
    <t>20251001-4F</t>
  </si>
  <si>
    <t xml:space="preserve">ANGEL,LICA , JEN, YENG </t>
  </si>
  <si>
    <t>ANGEL,LICA , JEN, YENG , KAI</t>
  </si>
  <si>
    <t>20251001-4G</t>
  </si>
  <si>
    <t>20251021-4L</t>
  </si>
  <si>
    <t>20251021-4K</t>
  </si>
  <si>
    <t>20251014-8A</t>
  </si>
  <si>
    <t>20251016-1A</t>
  </si>
  <si>
    <t>20250923-3A</t>
  </si>
  <si>
    <t>1T00026967-9</t>
  </si>
  <si>
    <t>3J73798376-0</t>
  </si>
  <si>
    <t>1T00026967-10</t>
  </si>
  <si>
    <t>3J73798377-0</t>
  </si>
  <si>
    <t>1T00026944-26</t>
  </si>
  <si>
    <t>251023L</t>
  </si>
  <si>
    <t>ANGEL,LICA , YENG , YHELLE</t>
  </si>
  <si>
    <t>20251021-4I</t>
  </si>
  <si>
    <t>20251021-4J</t>
  </si>
  <si>
    <t>20251021-A</t>
  </si>
  <si>
    <t>ANGEL, , YENG , YHELLE</t>
  </si>
  <si>
    <t>ANGEL, , YENG , YHELLE , LICA</t>
  </si>
  <si>
    <t>3J73798406-0</t>
  </si>
  <si>
    <t>GRACE/APPLE/YHEL</t>
  </si>
  <si>
    <t>3J73798401-0</t>
  </si>
  <si>
    <t>20251015-4E</t>
  </si>
  <si>
    <t>20251015-4D</t>
  </si>
  <si>
    <t>20250915-1A</t>
  </si>
  <si>
    <t>20251015-4C</t>
  </si>
  <si>
    <t>20251015-4B</t>
  </si>
  <si>
    <t>20251015-4A</t>
  </si>
  <si>
    <t>251024L</t>
  </si>
  <si>
    <t>20251014-4D</t>
  </si>
  <si>
    <t>20251014-4I</t>
  </si>
  <si>
    <t>20251014-4E</t>
  </si>
  <si>
    <t>20251014-4F</t>
  </si>
  <si>
    <t>ANGEL, , YENG , YHELLE , JHAY</t>
  </si>
  <si>
    <t>20250916-1A</t>
  </si>
  <si>
    <t xml:space="preserve">ANGEL, , YENG , YHELLE </t>
  </si>
  <si>
    <t>80PC20042P</t>
  </si>
  <si>
    <t>20251014-4G</t>
  </si>
  <si>
    <t>20251014-4H</t>
  </si>
  <si>
    <t>20251014-4C</t>
  </si>
  <si>
    <t>202501024-4B</t>
  </si>
  <si>
    <t>202501024-4A</t>
  </si>
  <si>
    <t>202501024-4D</t>
  </si>
  <si>
    <t>202501024-4C</t>
  </si>
  <si>
    <t>202501024-4F</t>
  </si>
  <si>
    <t>202501024-4E</t>
  </si>
  <si>
    <t>3J73798395-0</t>
  </si>
  <si>
    <t>1T00026967-28</t>
  </si>
  <si>
    <t>1T00026967-13</t>
  </si>
  <si>
    <t>3J73798380-0</t>
  </si>
  <si>
    <t>1T00026967-38</t>
  </si>
  <si>
    <t>3J73798405-0</t>
  </si>
  <si>
    <t>JHAY , AIDAH</t>
  </si>
  <si>
    <t>ANGEL, , YENG , YHELLE , LICA ,  JHAY , AIDAH</t>
  </si>
  <si>
    <t>1T00026967-35</t>
  </si>
  <si>
    <t>3J73798402-0</t>
  </si>
  <si>
    <t>3J73798400-0</t>
  </si>
  <si>
    <t>1T00026967-33</t>
  </si>
  <si>
    <t>202501024-4G</t>
  </si>
  <si>
    <t>201027L</t>
  </si>
  <si>
    <t>LICA, YHELLE, YHEL</t>
  </si>
  <si>
    <t>3J73798396-0</t>
  </si>
  <si>
    <t>3J73798404-0</t>
  </si>
  <si>
    <t>20251027-4A</t>
  </si>
  <si>
    <t>20251027-4B</t>
  </si>
  <si>
    <t>20251027-4C</t>
  </si>
  <si>
    <t>20251023-4A</t>
  </si>
  <si>
    <t>20251023-4B</t>
  </si>
  <si>
    <t xml:space="preserve">20250923-3A </t>
  </si>
  <si>
    <t>20251023-4C</t>
  </si>
  <si>
    <t>202510274-4E</t>
  </si>
  <si>
    <t>20251023-4D</t>
  </si>
  <si>
    <t>20251024-4G</t>
  </si>
  <si>
    <t>20251027-4D</t>
  </si>
  <si>
    <t xml:space="preserve">20250925-1A </t>
  </si>
  <si>
    <t>201028L</t>
  </si>
  <si>
    <t>LICA, YHELLE, YHEL, JEN,AIDAH</t>
  </si>
  <si>
    <t>PXPCS0010P</t>
  </si>
  <si>
    <t>20251016-5A</t>
  </si>
  <si>
    <t>ANGEL/YHELLE/YENG/YHELE</t>
  </si>
  <si>
    <t>1T00026967-40</t>
  </si>
  <si>
    <t>3J73798407-0</t>
  </si>
  <si>
    <t>1T00026967-37</t>
  </si>
  <si>
    <t>1T00026967-29</t>
  </si>
  <si>
    <t>20251013-8A</t>
  </si>
  <si>
    <t>201029L</t>
  </si>
  <si>
    <t>20251016-8A</t>
  </si>
  <si>
    <t>2025102-1A</t>
  </si>
  <si>
    <t>200PR20010P</t>
  </si>
  <si>
    <t>3J73798387-0</t>
  </si>
  <si>
    <t>3J73798388-0</t>
  </si>
  <si>
    <t>20250513-A</t>
  </si>
  <si>
    <t>251103L</t>
  </si>
  <si>
    <t>20250903-D</t>
  </si>
  <si>
    <t>ANGEL , YHELLE , YENG</t>
  </si>
  <si>
    <t>20251030-1A</t>
  </si>
  <si>
    <t>20251103-1A</t>
  </si>
  <si>
    <t>20251103-3A</t>
  </si>
  <si>
    <t>20251027-A</t>
  </si>
  <si>
    <t>3J73798594-0</t>
  </si>
  <si>
    <t>1T00026989-22</t>
  </si>
  <si>
    <t>1T00026989-9</t>
  </si>
  <si>
    <t>3J73798581-0</t>
  </si>
  <si>
    <t>1T00026989-11</t>
  </si>
  <si>
    <t>3J73798583-0</t>
  </si>
  <si>
    <t>1T00026989-14</t>
  </si>
  <si>
    <t>3J73798587-0</t>
  </si>
  <si>
    <t>1T00026989-5</t>
  </si>
  <si>
    <t>3J73798577-0</t>
  </si>
  <si>
    <t>ANGEL , YHELLE , AIDAH</t>
  </si>
  <si>
    <t>20251028-A</t>
  </si>
  <si>
    <t>251104L</t>
  </si>
  <si>
    <t>20251030-8A</t>
  </si>
  <si>
    <t>20251029-8A</t>
  </si>
  <si>
    <t>1T00026989-17</t>
  </si>
  <si>
    <t>3J73798589-0</t>
  </si>
  <si>
    <t>1T00026989-19</t>
  </si>
  <si>
    <t>3J73798591-0</t>
  </si>
  <si>
    <t>1T00026989-20</t>
  </si>
  <si>
    <t>3J73798592-0</t>
  </si>
  <si>
    <t>1T00026989-21</t>
  </si>
  <si>
    <t>3J73798593-0</t>
  </si>
  <si>
    <t>1T00026989-24</t>
  </si>
  <si>
    <t>3J73798596-0</t>
  </si>
  <si>
    <t>1T00026989-18</t>
  </si>
  <si>
    <t>3J73798590-0</t>
  </si>
  <si>
    <t>251105L</t>
  </si>
  <si>
    <t>1T00026989-16</t>
  </si>
  <si>
    <t>3J73798588-0</t>
  </si>
  <si>
    <t>20251029-A</t>
  </si>
  <si>
    <t>25.1.21</t>
  </si>
  <si>
    <t>20251104-A</t>
  </si>
  <si>
    <t>250818-1141182</t>
  </si>
  <si>
    <t>25.03.03</t>
  </si>
  <si>
    <t>ANGEL , YHELLE , AIDAH , LICA</t>
  </si>
  <si>
    <t>ANGEL , LICA</t>
  </si>
  <si>
    <t>3J73798777-0</t>
  </si>
  <si>
    <t>1T00027019-3</t>
  </si>
  <si>
    <t>3J73798775-0</t>
  </si>
  <si>
    <t>1T00027019-4</t>
  </si>
  <si>
    <t>3J73798776-0</t>
  </si>
  <si>
    <t>1T00027019-10</t>
  </si>
  <si>
    <t>3J73798782-0</t>
  </si>
  <si>
    <t>1T00027019-13</t>
  </si>
  <si>
    <t>3J73798785-0</t>
  </si>
  <si>
    <t>1T00027019-19</t>
  </si>
  <si>
    <t>3J73798789-0</t>
  </si>
  <si>
    <t>251106L</t>
  </si>
  <si>
    <t>20251105-A</t>
  </si>
  <si>
    <t>ANGEL , YENG , MAIA , AIDAH</t>
  </si>
  <si>
    <t>YHELE</t>
  </si>
  <si>
    <t>ANGEL , YENG , AIDAH</t>
  </si>
  <si>
    <t>20251105-1A</t>
  </si>
  <si>
    <t>20251106-3A</t>
  </si>
  <si>
    <t>20251105-3A</t>
  </si>
  <si>
    <t>1T00027019-20</t>
  </si>
  <si>
    <t>3J73798790-0</t>
  </si>
  <si>
    <t>1T00027019-21</t>
  </si>
  <si>
    <t>3J73798791-0</t>
  </si>
  <si>
    <t>3J73798792-0</t>
  </si>
  <si>
    <t>1T00027019-22</t>
  </si>
  <si>
    <t>3J73798793-0</t>
  </si>
  <si>
    <t>3J73798794-0</t>
  </si>
  <si>
    <t>1T00027019-23</t>
  </si>
  <si>
    <t>1T00027019-24</t>
  </si>
  <si>
    <t>3J73798795-0</t>
  </si>
  <si>
    <t>3J73798796-0</t>
  </si>
  <si>
    <t>1T00027019-25</t>
  </si>
  <si>
    <t>1T00027019-26</t>
  </si>
  <si>
    <t>3J73798798-0</t>
  </si>
  <si>
    <t>1T00027019-28</t>
  </si>
  <si>
    <t>3J73798800-0</t>
  </si>
  <si>
    <t>1T00027019-30</t>
  </si>
  <si>
    <t>1T00027019-32</t>
  </si>
  <si>
    <t>3J73798802-0</t>
  </si>
  <si>
    <t>3J73798801-0</t>
  </si>
  <si>
    <t>1T00027019-31</t>
  </si>
  <si>
    <t>1T00027019-35</t>
  </si>
  <si>
    <t>3J73798805-0</t>
  </si>
  <si>
    <t>LEA , KAREEN</t>
  </si>
  <si>
    <t>20251027-1A</t>
  </si>
  <si>
    <t>20251028-1A</t>
  </si>
  <si>
    <t>20251029-3A</t>
  </si>
  <si>
    <t xml:space="preserve">ANGEL , YENG , AIDAH </t>
  </si>
  <si>
    <t>251107L</t>
  </si>
  <si>
    <t>20251106-C</t>
  </si>
  <si>
    <t>ANGEL , AIDAH</t>
  </si>
  <si>
    <t>JIN</t>
  </si>
  <si>
    <t>20251024-A</t>
  </si>
  <si>
    <t>20251107-A</t>
  </si>
  <si>
    <t>20251030-A</t>
  </si>
  <si>
    <t>251110L</t>
  </si>
  <si>
    <t>20251110-8A</t>
  </si>
  <si>
    <t>20251106-A</t>
  </si>
  <si>
    <t>20251106-B</t>
  </si>
  <si>
    <t>ANGEL ,  AIDAH , KAREEN , LEA</t>
  </si>
  <si>
    <t>PDWCS0002P</t>
  </si>
  <si>
    <t>20251008-9A</t>
  </si>
  <si>
    <t>20251022-5A</t>
  </si>
  <si>
    <t xml:space="preserve">ANGEL ,  AIDAH </t>
  </si>
  <si>
    <t>1T00027019-27</t>
  </si>
  <si>
    <t>3J73798797-0</t>
  </si>
  <si>
    <t>251111L</t>
  </si>
  <si>
    <t>20251028-4A</t>
  </si>
  <si>
    <t>20251028-4B</t>
  </si>
  <si>
    <t>20251104-3A</t>
  </si>
  <si>
    <t>20251028-4C</t>
  </si>
  <si>
    <t>20251028-4D</t>
  </si>
  <si>
    <t>20251104-1A</t>
  </si>
  <si>
    <t>20251028-4E</t>
  </si>
  <si>
    <t>20251030-4A</t>
  </si>
  <si>
    <t>20251030-4D</t>
  </si>
  <si>
    <t>20251030-5D</t>
  </si>
  <si>
    <t>20251030-5E</t>
  </si>
  <si>
    <t>20251030-5A</t>
  </si>
  <si>
    <t>20251030-5C</t>
  </si>
  <si>
    <t>20251030-4C</t>
  </si>
  <si>
    <t>ANGEL , AIDAH , LONG</t>
  </si>
  <si>
    <t>251112L</t>
  </si>
  <si>
    <t>20251103-4B</t>
  </si>
  <si>
    <t>20251103-4A</t>
  </si>
  <si>
    <t>ANGEL , LONG , APPLE , JO</t>
  </si>
  <si>
    <t>20251105-3B</t>
  </si>
  <si>
    <t>20251030-4B</t>
  </si>
  <si>
    <t>20251103-4E</t>
  </si>
  <si>
    <t>20251103-4G</t>
  </si>
  <si>
    <t>20251103-4F</t>
  </si>
  <si>
    <t>20251103-4D</t>
  </si>
  <si>
    <t>20251104-4B</t>
  </si>
  <si>
    <t>20251104-4A</t>
  </si>
  <si>
    <t>20251104-4D</t>
  </si>
  <si>
    <t>20251104-4E</t>
  </si>
  <si>
    <t>20251104-4F</t>
  </si>
  <si>
    <t>20251106-1A</t>
  </si>
  <si>
    <t>20251104-4G</t>
  </si>
  <si>
    <t>20251104-4C</t>
  </si>
  <si>
    <t>20251105-4A</t>
  </si>
  <si>
    <t>20251104-4H</t>
  </si>
  <si>
    <t>3J73798788-0</t>
  </si>
  <si>
    <t>3J73798788-1</t>
  </si>
  <si>
    <t>251113L</t>
  </si>
  <si>
    <t>ANGEL , AIDAH , JED , XIE</t>
  </si>
  <si>
    <t>20251105-4D</t>
  </si>
  <si>
    <t>20251112-4J</t>
  </si>
  <si>
    <t>20251112-4I</t>
  </si>
  <si>
    <t>20251107-1A</t>
  </si>
  <si>
    <t>20251113-4A</t>
  </si>
  <si>
    <t>20251113-4B</t>
  </si>
  <si>
    <t>20251113-4C</t>
  </si>
  <si>
    <t>20251113-4D</t>
  </si>
  <si>
    <t>20251113-4E</t>
  </si>
  <si>
    <t>20251113-4F</t>
  </si>
  <si>
    <t>251114L</t>
  </si>
  <si>
    <t>3J73798965-0</t>
  </si>
  <si>
    <t>3J73798974-0</t>
  </si>
  <si>
    <t xml:space="preserve">XIE , JARED </t>
  </si>
  <si>
    <t>JARED</t>
  </si>
  <si>
    <t>3J73798973-0</t>
  </si>
  <si>
    <t>3J73798980-0</t>
  </si>
  <si>
    <t>3J73798981-0</t>
  </si>
  <si>
    <t>1T00027034-22</t>
  </si>
  <si>
    <t>1T00027034-29</t>
  </si>
  <si>
    <t>1T00027034-30</t>
  </si>
  <si>
    <t>1T00027034-11</t>
  </si>
  <si>
    <t>1T00027034-23</t>
  </si>
  <si>
    <t>1T00027019-16</t>
  </si>
  <si>
    <t>1T00027019-17</t>
  </si>
  <si>
    <t>1T00027019-18</t>
  </si>
  <si>
    <t>3J73798788-2</t>
  </si>
  <si>
    <t>20251113-4K</t>
  </si>
  <si>
    <t>20251113-4J</t>
  </si>
  <si>
    <t>20251107-3A</t>
  </si>
  <si>
    <t>20251113-4I</t>
  </si>
  <si>
    <t>20251113-4H</t>
  </si>
  <si>
    <t>20251113-4G</t>
  </si>
  <si>
    <t>20251110-4E</t>
  </si>
  <si>
    <t>20251110-4D</t>
  </si>
  <si>
    <t>20251110-4C</t>
  </si>
  <si>
    <t>20251110-4B</t>
  </si>
  <si>
    <t>20251110-4A</t>
  </si>
  <si>
    <t>JHB1826501</t>
  </si>
  <si>
    <t>251119L</t>
  </si>
  <si>
    <t>3J73799627-0</t>
  </si>
  <si>
    <t>80PN000041</t>
  </si>
  <si>
    <t>3J73799177-0</t>
  </si>
  <si>
    <t>3J73799182-0</t>
  </si>
  <si>
    <t>3J73799179-0</t>
  </si>
  <si>
    <t>251117L</t>
  </si>
  <si>
    <t>ALMA , KAREEN , LICA , ANGEL</t>
  </si>
  <si>
    <t>LICA , KAREEN</t>
  </si>
  <si>
    <t>20251114-A</t>
  </si>
  <si>
    <t>20251114-B</t>
  </si>
  <si>
    <t>20251111-8A</t>
  </si>
  <si>
    <t>20251112-8A</t>
  </si>
  <si>
    <t>251120L</t>
  </si>
  <si>
    <t>20250905-A</t>
  </si>
  <si>
    <t>20250903-C</t>
  </si>
  <si>
    <t xml:space="preserve"> LICA , ANGEL , RENDEL ,  LEA</t>
  </si>
  <si>
    <t>20250909-A</t>
  </si>
  <si>
    <t>20250905-B</t>
  </si>
  <si>
    <t>20250904-A</t>
  </si>
  <si>
    <t>20251119-1A</t>
  </si>
  <si>
    <t>20251119-3A</t>
  </si>
  <si>
    <t>LICA , RENDEL</t>
  </si>
  <si>
    <t>251121L</t>
  </si>
  <si>
    <t xml:space="preserve"> LICA , ANGEL , RENDEL , </t>
  </si>
  <si>
    <t>1T00027054-12</t>
  </si>
  <si>
    <t>3J73799168-0</t>
  </si>
  <si>
    <t>3J73799169-0</t>
  </si>
  <si>
    <t>1T00027054-13</t>
  </si>
  <si>
    <t>1T00027054-14</t>
  </si>
  <si>
    <t>3J73799170-0</t>
  </si>
  <si>
    <t>3J73799324-0</t>
  </si>
  <si>
    <t>20251112-3A</t>
  </si>
  <si>
    <t>20251112-4C</t>
  </si>
  <si>
    <t>20251112-4B</t>
  </si>
  <si>
    <t>20251112-4A</t>
  </si>
  <si>
    <t>20251112-1A</t>
  </si>
  <si>
    <t>20251111-4E</t>
  </si>
  <si>
    <t>20251111-4D</t>
  </si>
  <si>
    <t>20251111-4C</t>
  </si>
  <si>
    <t>20251111-4B</t>
  </si>
  <si>
    <t>20251125-5A</t>
  </si>
  <si>
    <t>20251112-5A</t>
  </si>
  <si>
    <t>20251112-5B</t>
  </si>
  <si>
    <t>20251112-5C</t>
  </si>
  <si>
    <t>20251112-5D</t>
  </si>
  <si>
    <t>ANGEL , LICA , LEA  , RENDEL</t>
  </si>
  <si>
    <t>251124L</t>
  </si>
  <si>
    <t>20251010-5C</t>
  </si>
  <si>
    <t>20251021-5B</t>
  </si>
  <si>
    <t>20251015-5A</t>
  </si>
  <si>
    <t>20251021-5A</t>
  </si>
  <si>
    <t>20251020-5A</t>
  </si>
  <si>
    <t>20251020-5B</t>
  </si>
  <si>
    <t>20251022-5B</t>
  </si>
  <si>
    <t>ANGEL , LEA , LICA , KAREEN ,RENDEL , GRACE</t>
  </si>
  <si>
    <t>20251022-8A</t>
  </si>
  <si>
    <t>251125L</t>
  </si>
  <si>
    <t>3J73799361-0</t>
  </si>
  <si>
    <t>20251124-1A</t>
  </si>
  <si>
    <t>20251125-1A</t>
  </si>
  <si>
    <t>20251124-A</t>
  </si>
  <si>
    <t>ANGEL , LICA , GRACE , KAREEN , RENDEL</t>
  </si>
  <si>
    <t xml:space="preserve">ANGEL , LICA , GRACE , LEA , RENDEL </t>
  </si>
  <si>
    <t>20251119-A</t>
  </si>
  <si>
    <t>20251121-A</t>
  </si>
  <si>
    <t xml:space="preserve">ANGEL , LICA , LEA , RENDEL </t>
  </si>
  <si>
    <t>251127L</t>
  </si>
  <si>
    <t>KAREEN , LICA , JARED , ANGEL , RENDEL</t>
  </si>
  <si>
    <t>20251125-B</t>
  </si>
  <si>
    <t>20251117-4E</t>
  </si>
  <si>
    <t>20251020-8A</t>
  </si>
  <si>
    <t>LICA , ANGEL , RENDEL</t>
  </si>
  <si>
    <t>PDWTM0002P</t>
  </si>
  <si>
    <t>3J73799363-0</t>
  </si>
  <si>
    <t>202211217P / 211103</t>
  </si>
  <si>
    <t>1T00027076-55</t>
  </si>
  <si>
    <t>1T00027076-54</t>
  </si>
  <si>
    <t>3J73799364-0</t>
  </si>
  <si>
    <t>1T00027076-14</t>
  </si>
  <si>
    <t>1T00027076-47</t>
  </si>
  <si>
    <t>3J73799330-0</t>
  </si>
  <si>
    <t>3J73799356-0</t>
  </si>
  <si>
    <t>1T00027076-45</t>
  </si>
  <si>
    <t>3J73799354-0</t>
  </si>
  <si>
    <t>1T00027076-62</t>
  </si>
  <si>
    <t>3J73799371-0</t>
  </si>
  <si>
    <t>PALK1404P</t>
  </si>
  <si>
    <t>GRACE/LICA</t>
  </si>
  <si>
    <t>3J73799360-0</t>
  </si>
  <si>
    <t>20251114-3A</t>
  </si>
  <si>
    <t>20251114-1A</t>
  </si>
  <si>
    <t>KAREEN , LICA , LEA RENDEL</t>
  </si>
  <si>
    <t>251128L</t>
  </si>
  <si>
    <t>20251119-4A</t>
  </si>
  <si>
    <t>20251119-4F</t>
  </si>
  <si>
    <t>20251118-4D</t>
  </si>
  <si>
    <t>20251117-1A</t>
  </si>
  <si>
    <t>20251118-4C</t>
  </si>
  <si>
    <t>20251118-4B</t>
  </si>
  <si>
    <t>20251117-3A</t>
  </si>
  <si>
    <t>20251118-4A</t>
  </si>
  <si>
    <t>20251119-4D</t>
  </si>
  <si>
    <t>20251119-4E</t>
  </si>
  <si>
    <t>KAREEN , RENDEL , JARED , ANGEL</t>
  </si>
  <si>
    <t>20251124-8A</t>
  </si>
  <si>
    <t>KAREEN , RENDEL , JARED , ANGEL , LICA</t>
  </si>
  <si>
    <t>1T00027076-57</t>
  </si>
  <si>
    <t>3J73799366-0</t>
  </si>
  <si>
    <t>1T00027076-53</t>
  </si>
  <si>
    <t>3J73799362-0</t>
  </si>
  <si>
    <t>1T00027076-56</t>
  </si>
  <si>
    <t>3J73799365-0</t>
  </si>
  <si>
    <t>1T00027076-44</t>
  </si>
  <si>
    <t>3J73799353-0</t>
  </si>
  <si>
    <t>1T00027076-51</t>
  </si>
  <si>
    <t>1T00027076-7</t>
  </si>
  <si>
    <t>3J73799323-0</t>
  </si>
  <si>
    <t>1T00027076-6</t>
  </si>
  <si>
    <t>3J73799322-0</t>
  </si>
  <si>
    <t>1T00027076-22</t>
  </si>
  <si>
    <t>3J73799338-0</t>
  </si>
  <si>
    <t>1T00027054-19</t>
  </si>
  <si>
    <t>3J73799175-0</t>
  </si>
  <si>
    <t>1T00027054-27</t>
  </si>
  <si>
    <t>3J73799183-0</t>
  </si>
  <si>
    <t>1T00027054-21</t>
  </si>
  <si>
    <t>20251118-3A</t>
  </si>
  <si>
    <t>20251119-4B</t>
  </si>
  <si>
    <t>20251119-4C</t>
  </si>
  <si>
    <t>20251118-5E</t>
  </si>
  <si>
    <t>20251118-5F</t>
  </si>
  <si>
    <t>20251120-4I</t>
  </si>
  <si>
    <t>20251121-5G</t>
  </si>
  <si>
    <t>20251119-5A</t>
  </si>
  <si>
    <t>20251120-5A</t>
  </si>
  <si>
    <t>20251120-3A</t>
  </si>
  <si>
    <t>20251120-5B</t>
  </si>
  <si>
    <t>20251120-5C</t>
  </si>
  <si>
    <t>20251119-5D</t>
  </si>
  <si>
    <t>20251119-5E</t>
  </si>
  <si>
    <t>251201L</t>
  </si>
  <si>
    <t>20251119-5F</t>
  </si>
  <si>
    <t>20251120-5F</t>
  </si>
  <si>
    <t>20251120-5E</t>
  </si>
  <si>
    <t>20251120-5D</t>
  </si>
  <si>
    <t>ANGEL ,  RENDEL ,  LICA , ANGIE</t>
  </si>
  <si>
    <t>20251118-1A</t>
  </si>
  <si>
    <t>1T00027076-41</t>
  </si>
  <si>
    <t>1T00027076-42</t>
  </si>
  <si>
    <t>3J73799350-0</t>
  </si>
  <si>
    <t>3J73799351-0</t>
  </si>
  <si>
    <t>2021127-A</t>
  </si>
  <si>
    <t>1T00027076-60</t>
  </si>
  <si>
    <t>3J73799369-0</t>
  </si>
  <si>
    <t>1T00027076-61</t>
  </si>
  <si>
    <t>3J73799370-0</t>
  </si>
  <si>
    <t>20251128-A</t>
  </si>
  <si>
    <t>20251118-5A</t>
  </si>
  <si>
    <t>251202L</t>
  </si>
  <si>
    <t>20251119-5G</t>
  </si>
  <si>
    <t>20251120-5G</t>
  </si>
  <si>
    <t>20251120-5H</t>
  </si>
  <si>
    <t>20251119-4I</t>
  </si>
  <si>
    <t>20251119-4H</t>
  </si>
  <si>
    <t>20251120-4B</t>
  </si>
  <si>
    <t>20251119-4G</t>
  </si>
  <si>
    <t>ANGEL ,  RENDEL ,  LICA , J.C</t>
  </si>
  <si>
    <t>20251120-4A</t>
  </si>
  <si>
    <t>20251120-4C</t>
  </si>
  <si>
    <t>20251120-4D</t>
  </si>
  <si>
    <t>20251121-4E</t>
  </si>
  <si>
    <t>251203L</t>
  </si>
  <si>
    <t>20251121-4D</t>
  </si>
  <si>
    <t>20251121-4C</t>
  </si>
  <si>
    <t>20251121-4B</t>
  </si>
  <si>
    <t>20251121-4A</t>
  </si>
  <si>
    <t>ANGEL ,  RENDEL ,  LICA , WIL</t>
  </si>
  <si>
    <t>1T00027076-43</t>
  </si>
  <si>
    <t>3J73799352-0</t>
  </si>
  <si>
    <t>20251125-3A</t>
  </si>
  <si>
    <t>20251128-1B</t>
  </si>
  <si>
    <t>20251201-1A</t>
  </si>
  <si>
    <t>251204L</t>
  </si>
  <si>
    <t>20251201-3A</t>
  </si>
  <si>
    <t>ANGEL ,  RENDEL ,  LICA , WIL , LEA</t>
  </si>
  <si>
    <t xml:space="preserve"> RENDEL ,  LICA , WIL , LEA</t>
  </si>
  <si>
    <t>20251128-1A</t>
  </si>
  <si>
    <t>20251202-3A</t>
  </si>
  <si>
    <t xml:space="preserve">  RENDEL ,  LICA , WIL , LEA</t>
  </si>
  <si>
    <t>ANGEL ,  RENDEL ,  LICA , WIL , KAREEN</t>
  </si>
  <si>
    <t>20251124-B</t>
  </si>
  <si>
    <t>1T00027122-17</t>
  </si>
  <si>
    <t>3J73799846-0</t>
  </si>
  <si>
    <t>251205L</t>
  </si>
  <si>
    <t>20251125-E</t>
  </si>
  <si>
    <t>20251125-A</t>
  </si>
  <si>
    <t>20251202-1A</t>
  </si>
  <si>
    <t>1T00027122-10</t>
  </si>
  <si>
    <t>3J73799839-0</t>
  </si>
  <si>
    <t>1T00027122-11</t>
  </si>
  <si>
    <t>3J73799840-0</t>
  </si>
  <si>
    <t>1T00027122-7</t>
  </si>
  <si>
    <t>3J73799836-0</t>
  </si>
  <si>
    <t>20251205-1A</t>
  </si>
  <si>
    <t>20251205-3A</t>
  </si>
  <si>
    <t>ANGEL ,  RENDEL ,  LICA , LEA</t>
  </si>
  <si>
    <t>ANGEL ,  RENDEL ,  LICA , DANICA</t>
  </si>
  <si>
    <t>ANGEL ,  RENDEL ,  LICA , WIL , LEA , DANICA</t>
  </si>
  <si>
    <t>251209L</t>
  </si>
  <si>
    <t>3J73799854-0</t>
  </si>
  <si>
    <t>40PR000040P</t>
  </si>
  <si>
    <t>3J73799855-0</t>
  </si>
  <si>
    <t>20251205-C</t>
  </si>
  <si>
    <t>20251205-B</t>
  </si>
  <si>
    <t xml:space="preserve">ANGEL ,  RENDEL ,  LICA , </t>
  </si>
  <si>
    <t>3J73799847-0</t>
  </si>
  <si>
    <t>20251125-C</t>
  </si>
  <si>
    <t>1T00027122-18</t>
  </si>
  <si>
    <t>1T00027122-26</t>
  </si>
  <si>
    <t>1T00027122-25</t>
  </si>
  <si>
    <t>1T00027122-24</t>
  </si>
  <si>
    <t>3J73799853-0</t>
  </si>
  <si>
    <t>1T00027122-51</t>
  </si>
  <si>
    <t>3J73799880-0</t>
  </si>
  <si>
    <t>20251124-4D</t>
  </si>
  <si>
    <t>20251124-4E</t>
  </si>
  <si>
    <t>202581124-4D</t>
  </si>
  <si>
    <t>ANGEL ,  RENDEL ,  LICA , GLAIZA</t>
  </si>
  <si>
    <t>20251124-4F</t>
  </si>
  <si>
    <t>20251124-4G</t>
  </si>
  <si>
    <t>20251124-4H</t>
  </si>
  <si>
    <t>20221124-4I</t>
  </si>
  <si>
    <t>20251125-4G</t>
  </si>
  <si>
    <t>20251125-4H</t>
  </si>
  <si>
    <t>20251125-4I</t>
  </si>
  <si>
    <t>20251127-4A</t>
  </si>
  <si>
    <t>20221127-4B</t>
  </si>
  <si>
    <t>20251127-4C</t>
  </si>
  <si>
    <t>20251203-3A</t>
  </si>
  <si>
    <t>20251125-4C</t>
  </si>
  <si>
    <t>20251204-3A</t>
  </si>
  <si>
    <t>20251125-4B</t>
  </si>
  <si>
    <t>251210L</t>
  </si>
  <si>
    <t>3J73799635-0</t>
  </si>
  <si>
    <t>3J73799646-0</t>
  </si>
  <si>
    <t>3J73799640-0</t>
  </si>
  <si>
    <t>20251125-5I</t>
  </si>
  <si>
    <t>20251125-4F</t>
  </si>
  <si>
    <t>20251125-4D</t>
  </si>
  <si>
    <t>20251125-4E</t>
  </si>
  <si>
    <t>20251127-5D</t>
  </si>
  <si>
    <t>20251127-5C</t>
  </si>
  <si>
    <t>20251125-4A</t>
  </si>
  <si>
    <t>ANGEL ,  RENDEL , GLAIZA</t>
  </si>
  <si>
    <t>20251209-B</t>
  </si>
  <si>
    <t>20251209-A</t>
  </si>
  <si>
    <t>20251203-C</t>
  </si>
  <si>
    <t>LICA , GLAIZA</t>
  </si>
  <si>
    <t>ANGEL ,  RENDEL ,GLAIZA</t>
  </si>
  <si>
    <t>24Z10</t>
  </si>
  <si>
    <t>20251210-D</t>
  </si>
  <si>
    <t>20251210-C</t>
  </si>
  <si>
    <t>1T00027099-7</t>
  </si>
  <si>
    <t>20251203-A</t>
  </si>
  <si>
    <t>1T00027099-16</t>
  </si>
  <si>
    <t>3J73799643-0</t>
  </si>
  <si>
    <t>1T00027099-14</t>
  </si>
  <si>
    <t>1T00027099-15</t>
  </si>
  <si>
    <t>251212L</t>
  </si>
  <si>
    <t>3J73799892-0</t>
  </si>
  <si>
    <t>1T00027122-63</t>
  </si>
  <si>
    <t xml:space="preserve"> </t>
  </si>
  <si>
    <t>20251211-1A</t>
  </si>
  <si>
    <t>20251211-3A</t>
  </si>
  <si>
    <t>20251212-3A</t>
  </si>
  <si>
    <t>ANGEL ,  RENDEL ,  J.C</t>
  </si>
  <si>
    <t>ANGEL ,  RENDEL ,  J.C , LEA</t>
  </si>
  <si>
    <t>RENDEL , LICA J.C</t>
  </si>
  <si>
    <t>JINILYN</t>
  </si>
  <si>
    <t>251213L</t>
  </si>
  <si>
    <t>20251213-1A</t>
  </si>
  <si>
    <t>20251212-A</t>
  </si>
  <si>
    <t>ANGEL , J.C</t>
  </si>
  <si>
    <t>ANGEL , LICA , LEA , APRIL , JC</t>
  </si>
  <si>
    <t>20251212-3B</t>
  </si>
  <si>
    <t>20251212-1B</t>
  </si>
  <si>
    <t>251215L</t>
  </si>
  <si>
    <t>20251215-3A</t>
  </si>
  <si>
    <t>ANGEL , LEA , KAREEN J.C , ANGIE</t>
  </si>
  <si>
    <t>20251213-C</t>
  </si>
  <si>
    <t>20251213-D</t>
  </si>
  <si>
    <t>LEA , ANGEL , JEN</t>
  </si>
  <si>
    <t>251216L</t>
  </si>
  <si>
    <t>20251213-A</t>
  </si>
  <si>
    <t>20251213-F</t>
  </si>
  <si>
    <t>20251215-3B</t>
  </si>
  <si>
    <t>20251216-3A</t>
  </si>
  <si>
    <t xml:space="preserve">RENDEL , LEA </t>
  </si>
  <si>
    <t>20251215-A</t>
  </si>
  <si>
    <t>SW0304030</t>
  </si>
  <si>
    <t>SW0304020</t>
  </si>
  <si>
    <t>251217L</t>
  </si>
  <si>
    <t>20251211-C</t>
  </si>
  <si>
    <t>20251211-A</t>
  </si>
  <si>
    <t>20251211-B</t>
  </si>
  <si>
    <t>ANGEL , LEA JEN , LAIZA , RENDEL</t>
  </si>
  <si>
    <t>20251217-1A</t>
  </si>
  <si>
    <t>200PR200300P</t>
  </si>
  <si>
    <t>251218L</t>
  </si>
  <si>
    <t>20251216-3B</t>
  </si>
  <si>
    <t>ANGEL , JEN RENDEL , LAIZA</t>
  </si>
  <si>
    <t>LICA , RENDEL , LAIZA</t>
  </si>
  <si>
    <t>LICA , RENDEL , LAIZA , ANGEL</t>
  </si>
  <si>
    <t>20251210-3A</t>
  </si>
  <si>
    <t>20251218-A</t>
  </si>
  <si>
    <t>LICA , ANGEL</t>
  </si>
  <si>
    <t>20251218-1A</t>
  </si>
  <si>
    <t>251219L</t>
  </si>
  <si>
    <t>ANGEL , RENDEL</t>
  </si>
  <si>
    <t>3J73798387-1</t>
  </si>
  <si>
    <t>3J73800167-0</t>
  </si>
  <si>
    <t>3J73800155-0</t>
  </si>
  <si>
    <t>3J73800154-0</t>
  </si>
  <si>
    <t>3J73800153-0</t>
  </si>
  <si>
    <t>3J73799906-0</t>
  </si>
  <si>
    <t>3J73800149-0</t>
  </si>
  <si>
    <t>20251218-3A</t>
  </si>
  <si>
    <t>LICA , J.C , LAIZA , ANGEL</t>
  </si>
  <si>
    <t>20251219-3A</t>
  </si>
  <si>
    <t>PAL00422P</t>
  </si>
  <si>
    <t>PAL0800422P</t>
  </si>
  <si>
    <t>TES</t>
  </si>
  <si>
    <t>251222L</t>
  </si>
  <si>
    <t>20251217-A</t>
  </si>
  <si>
    <t>20251217-B</t>
  </si>
  <si>
    <t>3J73800169-0</t>
  </si>
  <si>
    <t>3J73800172-0</t>
  </si>
  <si>
    <t>3J73800178-0</t>
  </si>
  <si>
    <t>PHPSW0011P</t>
  </si>
  <si>
    <t>LAIZA</t>
  </si>
  <si>
    <t>pxfcs0001p</t>
  </si>
  <si>
    <t>20251023-5a</t>
  </si>
  <si>
    <t>lica angel</t>
  </si>
  <si>
    <t>20251218-8A</t>
  </si>
  <si>
    <t>250251222-A</t>
  </si>
  <si>
    <t>20251217-3A</t>
  </si>
  <si>
    <t>ANGEL , LICA JEN LAIZA JO</t>
  </si>
</sst>
</file>

<file path=xl/styles.xml><?xml version="1.0" encoding="utf-8"?>
<styleSheet xmlns="http://schemas.openxmlformats.org/spreadsheetml/2006/main">
  <numFmts count="12"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0.00_)"/>
    <numFmt numFmtId="168" formatCode="&quot;¥&quot;#,##0.00;[Red]&quot;¥&quot;\-#,##0.00"/>
    <numFmt numFmtId="169" formatCode="[$-409]d\-mmm;@"/>
    <numFmt numFmtId="170" formatCode="&quot;US$&quot;#,##0.00;\-&quot;US$&quot;#,##0.00"/>
    <numFmt numFmtId="171" formatCode="#,##0;\-#,##0;&quot;-&quot;"/>
    <numFmt numFmtId="172" formatCode="#."/>
    <numFmt numFmtId="173" formatCode="_(&quot;Php&quot;* #,##0.00_);_(&quot;Php&quot;* \(#,##0.00\);_(&quot;Php&quot;* &quot;-&quot;??_);_(@_)"/>
    <numFmt numFmtId="174" formatCode="[$-14409]d/m/yy;@"/>
    <numFmt numFmtId="175" formatCode="mmmm"/>
  </numFmts>
  <fonts count="68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sz val="11"/>
      <name val="ＭＳ Ｐゴシック"/>
      <family val="3"/>
      <charset val="128"/>
    </font>
    <font>
      <b/>
      <i/>
      <sz val="16"/>
      <name val="Helv"/>
      <family val="2"/>
    </font>
    <font>
      <sz val="11"/>
      <color theme="1"/>
      <name val="Calibri"/>
      <family val="2"/>
      <scheme val="minor"/>
    </font>
    <font>
      <u/>
      <sz val="10"/>
      <color indexed="36"/>
      <name val="Arial"/>
      <family val="2"/>
    </font>
    <font>
      <sz val="11"/>
      <name val="‚l‚r ‚oƒSƒVƒbƒN"/>
      <family val="3"/>
      <charset val="128"/>
    </font>
    <font>
      <u/>
      <sz val="7.5"/>
      <color indexed="12"/>
      <name val="Arial"/>
      <family val="2"/>
    </font>
    <font>
      <b/>
      <sz val="11.25"/>
      <name val="MS Gothic"/>
      <family val="3"/>
    </font>
    <font>
      <sz val="14"/>
      <name val="ＭＳ 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16"/>
      <name val="Courier"/>
      <family val="3"/>
    </font>
    <font>
      <sz val="9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  <charset val="128"/>
      <scheme val="minor"/>
    </font>
    <font>
      <b/>
      <sz val="11"/>
      <color indexed="63"/>
      <name val="Calibri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8"/>
      <name val="Calibri"/>
      <family val="2"/>
      <scheme val="minor"/>
    </font>
    <font>
      <b/>
      <sz val="10"/>
      <name val="Meiryo"/>
      <family val="2"/>
    </font>
    <font>
      <b/>
      <sz val="8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slantDashDot">
        <color indexed="64"/>
      </right>
      <top style="slantDashDot">
        <color indexed="64"/>
      </top>
      <bottom/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2597">
    <xf numFmtId="0" fontId="0" fillId="0" borderId="0"/>
    <xf numFmtId="0" fontId="1" fillId="0" borderId="0"/>
    <xf numFmtId="0" fontId="11" fillId="0" borderId="0"/>
    <xf numFmtId="0" fontId="1" fillId="0" borderId="0"/>
    <xf numFmtId="38" fontId="8" fillId="2" borderId="0" applyNumberFormat="0" applyBorder="0" applyAlignment="0" applyProtection="0"/>
    <xf numFmtId="10" fontId="8" fillId="3" borderId="12" applyNumberFormat="0" applyBorder="0" applyAlignment="0" applyProtection="0"/>
    <xf numFmtId="167" fontId="12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8" fontId="3" fillId="0" borderId="0" applyFont="0" applyFill="0" applyBorder="0" applyAlignment="0" applyProtection="0"/>
    <xf numFmtId="169" fontId="13" fillId="0" borderId="0"/>
    <xf numFmtId="169" fontId="13" fillId="0" borderId="0"/>
    <xf numFmtId="169" fontId="13" fillId="0" borderId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14" fillId="0" borderId="0" applyNumberFormat="0" applyFill="0" applyBorder="0" applyAlignment="0" applyProtection="0">
      <alignment vertical="top"/>
      <protection locked="0"/>
    </xf>
    <xf numFmtId="169" fontId="14" fillId="0" borderId="0" applyNumberFormat="0" applyFill="0" applyBorder="0" applyAlignment="0" applyProtection="0">
      <alignment vertical="top"/>
      <protection locked="0"/>
    </xf>
    <xf numFmtId="169" fontId="14" fillId="0" borderId="0" applyNumberFormat="0" applyFill="0" applyBorder="0" applyAlignment="0" applyProtection="0">
      <alignment vertical="top"/>
      <protection locked="0"/>
    </xf>
    <xf numFmtId="169" fontId="15" fillId="0" borderId="0"/>
    <xf numFmtId="38" fontId="11" fillId="0" borderId="0" applyFont="0" applyFill="0" applyBorder="0" applyAlignment="0" applyProtection="0">
      <alignment vertical="center"/>
    </xf>
    <xf numFmtId="170" fontId="4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11" fillId="0" borderId="0" applyFont="0" applyFill="0" applyBorder="0" applyAlignment="0" applyProtection="0">
      <alignment vertical="center"/>
    </xf>
    <xf numFmtId="169" fontId="16" fillId="0" borderId="0" applyNumberFormat="0" applyFill="0" applyBorder="0" applyAlignment="0" applyProtection="0">
      <alignment vertical="top"/>
      <protection locked="0"/>
    </xf>
    <xf numFmtId="169" fontId="16" fillId="0" borderId="0" applyNumberFormat="0" applyFill="0" applyBorder="0" applyAlignment="0" applyProtection="0">
      <alignment vertical="top"/>
      <protection locked="0"/>
    </xf>
    <xf numFmtId="169" fontId="16" fillId="0" borderId="0" applyNumberFormat="0" applyFill="0" applyBorder="0" applyAlignment="0" applyProtection="0">
      <alignment vertical="top"/>
      <protection locked="0"/>
    </xf>
    <xf numFmtId="10" fontId="8" fillId="3" borderId="12" applyNumberFormat="0" applyBorder="0" applyAlignment="0" applyProtection="0"/>
    <xf numFmtId="10" fontId="8" fillId="3" borderId="12" applyNumberFormat="0" applyBorder="0" applyAlignment="0" applyProtection="0"/>
    <xf numFmtId="10" fontId="8" fillId="3" borderId="12" applyNumberFormat="0" applyBorder="0" applyAlignment="0" applyProtection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7" fillId="0" borderId="0">
      <protection locked="0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18" fillId="0" borderId="0">
      <alignment horizontal="centerContinuous" vertical="top"/>
    </xf>
    <xf numFmtId="169" fontId="18" fillId="0" borderId="0">
      <alignment horizontal="centerContinuous" vertical="top"/>
    </xf>
    <xf numFmtId="169" fontId="18" fillId="0" borderId="0">
      <alignment horizontal="centerContinuous" vertical="top"/>
    </xf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/>
    <xf numFmtId="166" fontId="13" fillId="0" borderId="0" applyFont="0" applyFill="0" applyBorder="0" applyAlignment="0" applyProtection="0"/>
    <xf numFmtId="169" fontId="13" fillId="0" borderId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14" fillId="0" borderId="0" applyNumberFormat="0" applyFill="0" applyBorder="0" applyAlignment="0" applyProtection="0">
      <alignment vertical="top"/>
      <protection locked="0"/>
    </xf>
    <xf numFmtId="169" fontId="14" fillId="0" borderId="0" applyNumberFormat="0" applyFill="0" applyBorder="0" applyAlignment="0" applyProtection="0">
      <alignment vertical="top"/>
      <protection locked="0"/>
    </xf>
    <xf numFmtId="169" fontId="19" fillId="4" borderId="0" applyNumberFormat="0" applyBorder="0" applyAlignment="0" applyProtection="0"/>
    <xf numFmtId="169" fontId="19" fillId="4" borderId="0" applyNumberFormat="0" applyBorder="0" applyAlignment="0" applyProtection="0"/>
    <xf numFmtId="169" fontId="19" fillId="5" borderId="0" applyNumberFormat="0" applyBorder="0" applyAlignment="0" applyProtection="0"/>
    <xf numFmtId="169" fontId="19" fillId="5" borderId="0" applyNumberFormat="0" applyBorder="0" applyAlignment="0" applyProtection="0"/>
    <xf numFmtId="169" fontId="19" fillId="6" borderId="0" applyNumberFormat="0" applyBorder="0" applyAlignment="0" applyProtection="0"/>
    <xf numFmtId="169" fontId="19" fillId="6" borderId="0" applyNumberFormat="0" applyBorder="0" applyAlignment="0" applyProtection="0"/>
    <xf numFmtId="169" fontId="19" fillId="7" borderId="0" applyNumberFormat="0" applyBorder="0" applyAlignment="0" applyProtection="0"/>
    <xf numFmtId="169" fontId="19" fillId="7" borderId="0" applyNumberFormat="0" applyBorder="0" applyAlignment="0" applyProtection="0"/>
    <xf numFmtId="169" fontId="19" fillId="8" borderId="0" applyNumberFormat="0" applyBorder="0" applyAlignment="0" applyProtection="0"/>
    <xf numFmtId="169" fontId="19" fillId="8" borderId="0" applyNumberFormat="0" applyBorder="0" applyAlignment="0" applyProtection="0"/>
    <xf numFmtId="169" fontId="19" fillId="9" borderId="0" applyNumberFormat="0" applyBorder="0" applyAlignment="0" applyProtection="0"/>
    <xf numFmtId="169" fontId="19" fillId="9" borderId="0" applyNumberFormat="0" applyBorder="0" applyAlignment="0" applyProtection="0"/>
    <xf numFmtId="169" fontId="20" fillId="4" borderId="0" applyNumberFormat="0" applyBorder="0" applyAlignment="0" applyProtection="0">
      <alignment vertical="center"/>
    </xf>
    <xf numFmtId="169" fontId="20" fillId="4" borderId="0" applyNumberFormat="0" applyBorder="0" applyAlignment="0" applyProtection="0">
      <alignment vertical="center"/>
    </xf>
    <xf numFmtId="169" fontId="20" fillId="4" borderId="0" applyNumberFormat="0" applyBorder="0" applyAlignment="0" applyProtection="0">
      <alignment vertical="center"/>
    </xf>
    <xf numFmtId="169" fontId="20" fillId="5" borderId="0" applyNumberFormat="0" applyBorder="0" applyAlignment="0" applyProtection="0">
      <alignment vertical="center"/>
    </xf>
    <xf numFmtId="169" fontId="20" fillId="5" borderId="0" applyNumberFormat="0" applyBorder="0" applyAlignment="0" applyProtection="0">
      <alignment vertical="center"/>
    </xf>
    <xf numFmtId="169" fontId="20" fillId="5" borderId="0" applyNumberFormat="0" applyBorder="0" applyAlignment="0" applyProtection="0">
      <alignment vertical="center"/>
    </xf>
    <xf numFmtId="169" fontId="20" fillId="6" borderId="0" applyNumberFormat="0" applyBorder="0" applyAlignment="0" applyProtection="0">
      <alignment vertical="center"/>
    </xf>
    <xf numFmtId="169" fontId="20" fillId="6" borderId="0" applyNumberFormat="0" applyBorder="0" applyAlignment="0" applyProtection="0">
      <alignment vertical="center"/>
    </xf>
    <xf numFmtId="169" fontId="20" fillId="6" borderId="0" applyNumberFormat="0" applyBorder="0" applyAlignment="0" applyProtection="0">
      <alignment vertical="center"/>
    </xf>
    <xf numFmtId="169" fontId="20" fillId="7" borderId="0" applyNumberFormat="0" applyBorder="0" applyAlignment="0" applyProtection="0">
      <alignment vertical="center"/>
    </xf>
    <xf numFmtId="169" fontId="20" fillId="7" borderId="0" applyNumberFormat="0" applyBorder="0" applyAlignment="0" applyProtection="0">
      <alignment vertical="center"/>
    </xf>
    <xf numFmtId="169" fontId="20" fillId="7" borderId="0" applyNumberFormat="0" applyBorder="0" applyAlignment="0" applyProtection="0">
      <alignment vertical="center"/>
    </xf>
    <xf numFmtId="169" fontId="20" fillId="8" borderId="0" applyNumberFormat="0" applyBorder="0" applyAlignment="0" applyProtection="0">
      <alignment vertical="center"/>
    </xf>
    <xf numFmtId="169" fontId="20" fillId="8" borderId="0" applyNumberFormat="0" applyBorder="0" applyAlignment="0" applyProtection="0">
      <alignment vertical="center"/>
    </xf>
    <xf numFmtId="169" fontId="20" fillId="8" borderId="0" applyNumberFormat="0" applyBorder="0" applyAlignment="0" applyProtection="0">
      <alignment vertical="center"/>
    </xf>
    <xf numFmtId="169" fontId="20" fillId="9" borderId="0" applyNumberFormat="0" applyBorder="0" applyAlignment="0" applyProtection="0">
      <alignment vertical="center"/>
    </xf>
    <xf numFmtId="169" fontId="20" fillId="9" borderId="0" applyNumberFormat="0" applyBorder="0" applyAlignment="0" applyProtection="0">
      <alignment vertical="center"/>
    </xf>
    <xf numFmtId="169" fontId="20" fillId="9" borderId="0" applyNumberFormat="0" applyBorder="0" applyAlignment="0" applyProtection="0">
      <alignment vertical="center"/>
    </xf>
    <xf numFmtId="169" fontId="19" fillId="10" borderId="0" applyNumberFormat="0" applyBorder="0" applyAlignment="0" applyProtection="0"/>
    <xf numFmtId="169" fontId="19" fillId="10" borderId="0" applyNumberFormat="0" applyBorder="0" applyAlignment="0" applyProtection="0"/>
    <xf numFmtId="169" fontId="19" fillId="11" borderId="0" applyNumberFormat="0" applyBorder="0" applyAlignment="0" applyProtection="0"/>
    <xf numFmtId="169" fontId="19" fillId="11" borderId="0" applyNumberFormat="0" applyBorder="0" applyAlignment="0" applyProtection="0"/>
    <xf numFmtId="169" fontId="19" fillId="12" borderId="0" applyNumberFormat="0" applyBorder="0" applyAlignment="0" applyProtection="0"/>
    <xf numFmtId="169" fontId="19" fillId="12" borderId="0" applyNumberFormat="0" applyBorder="0" applyAlignment="0" applyProtection="0"/>
    <xf numFmtId="169" fontId="19" fillId="7" borderId="0" applyNumberFormat="0" applyBorder="0" applyAlignment="0" applyProtection="0"/>
    <xf numFmtId="169" fontId="19" fillId="7" borderId="0" applyNumberFormat="0" applyBorder="0" applyAlignment="0" applyProtection="0"/>
    <xf numFmtId="169" fontId="19" fillId="10" borderId="0" applyNumberFormat="0" applyBorder="0" applyAlignment="0" applyProtection="0"/>
    <xf numFmtId="169" fontId="19" fillId="10" borderId="0" applyNumberFormat="0" applyBorder="0" applyAlignment="0" applyProtection="0"/>
    <xf numFmtId="169" fontId="19" fillId="13" borderId="0" applyNumberFormat="0" applyBorder="0" applyAlignment="0" applyProtection="0"/>
    <xf numFmtId="169" fontId="19" fillId="13" borderId="0" applyNumberFormat="0" applyBorder="0" applyAlignment="0" applyProtection="0"/>
    <xf numFmtId="169" fontId="20" fillId="10" borderId="0" applyNumberFormat="0" applyBorder="0" applyAlignment="0" applyProtection="0">
      <alignment vertical="center"/>
    </xf>
    <xf numFmtId="169" fontId="20" fillId="10" borderId="0" applyNumberFormat="0" applyBorder="0" applyAlignment="0" applyProtection="0">
      <alignment vertical="center"/>
    </xf>
    <xf numFmtId="169" fontId="20" fillId="10" borderId="0" applyNumberFormat="0" applyBorder="0" applyAlignment="0" applyProtection="0">
      <alignment vertical="center"/>
    </xf>
    <xf numFmtId="169" fontId="20" fillId="11" borderId="0" applyNumberFormat="0" applyBorder="0" applyAlignment="0" applyProtection="0">
      <alignment vertical="center"/>
    </xf>
    <xf numFmtId="169" fontId="20" fillId="11" borderId="0" applyNumberFormat="0" applyBorder="0" applyAlignment="0" applyProtection="0">
      <alignment vertical="center"/>
    </xf>
    <xf numFmtId="169" fontId="20" fillId="11" borderId="0" applyNumberFormat="0" applyBorder="0" applyAlignment="0" applyProtection="0">
      <alignment vertical="center"/>
    </xf>
    <xf numFmtId="169" fontId="20" fillId="12" borderId="0" applyNumberFormat="0" applyBorder="0" applyAlignment="0" applyProtection="0">
      <alignment vertical="center"/>
    </xf>
    <xf numFmtId="169" fontId="20" fillId="12" borderId="0" applyNumberFormat="0" applyBorder="0" applyAlignment="0" applyProtection="0">
      <alignment vertical="center"/>
    </xf>
    <xf numFmtId="169" fontId="20" fillId="12" borderId="0" applyNumberFormat="0" applyBorder="0" applyAlignment="0" applyProtection="0">
      <alignment vertical="center"/>
    </xf>
    <xf numFmtId="169" fontId="20" fillId="7" borderId="0" applyNumberFormat="0" applyBorder="0" applyAlignment="0" applyProtection="0">
      <alignment vertical="center"/>
    </xf>
    <xf numFmtId="169" fontId="20" fillId="7" borderId="0" applyNumberFormat="0" applyBorder="0" applyAlignment="0" applyProtection="0">
      <alignment vertical="center"/>
    </xf>
    <xf numFmtId="169" fontId="20" fillId="7" borderId="0" applyNumberFormat="0" applyBorder="0" applyAlignment="0" applyProtection="0">
      <alignment vertical="center"/>
    </xf>
    <xf numFmtId="169" fontId="20" fillId="10" borderId="0" applyNumberFormat="0" applyBorder="0" applyAlignment="0" applyProtection="0">
      <alignment vertical="center"/>
    </xf>
    <xf numFmtId="169" fontId="20" fillId="10" borderId="0" applyNumberFormat="0" applyBorder="0" applyAlignment="0" applyProtection="0">
      <alignment vertical="center"/>
    </xf>
    <xf numFmtId="169" fontId="20" fillId="10" borderId="0" applyNumberFormat="0" applyBorder="0" applyAlignment="0" applyProtection="0">
      <alignment vertical="center"/>
    </xf>
    <xf numFmtId="169" fontId="20" fillId="13" borderId="0" applyNumberFormat="0" applyBorder="0" applyAlignment="0" applyProtection="0">
      <alignment vertical="center"/>
    </xf>
    <xf numFmtId="169" fontId="20" fillId="13" borderId="0" applyNumberFormat="0" applyBorder="0" applyAlignment="0" applyProtection="0">
      <alignment vertical="center"/>
    </xf>
    <xf numFmtId="169" fontId="20" fillId="13" borderId="0" applyNumberFormat="0" applyBorder="0" applyAlignment="0" applyProtection="0">
      <alignment vertical="center"/>
    </xf>
    <xf numFmtId="169" fontId="21" fillId="14" borderId="0" applyNumberFormat="0" applyBorder="0" applyAlignment="0" applyProtection="0"/>
    <xf numFmtId="169" fontId="21" fillId="14" borderId="0" applyNumberFormat="0" applyBorder="0" applyAlignment="0" applyProtection="0"/>
    <xf numFmtId="169" fontId="21" fillId="11" borderId="0" applyNumberFormat="0" applyBorder="0" applyAlignment="0" applyProtection="0"/>
    <xf numFmtId="169" fontId="21" fillId="11" borderId="0" applyNumberFormat="0" applyBorder="0" applyAlignment="0" applyProtection="0"/>
    <xf numFmtId="169" fontId="21" fillId="12" borderId="0" applyNumberFormat="0" applyBorder="0" applyAlignment="0" applyProtection="0"/>
    <xf numFmtId="169" fontId="21" fillId="12" borderId="0" applyNumberFormat="0" applyBorder="0" applyAlignment="0" applyProtection="0"/>
    <xf numFmtId="169" fontId="21" fillId="15" borderId="0" applyNumberFormat="0" applyBorder="0" applyAlignment="0" applyProtection="0"/>
    <xf numFmtId="169" fontId="21" fillId="15" borderId="0" applyNumberFormat="0" applyBorder="0" applyAlignment="0" applyProtection="0"/>
    <xf numFmtId="169" fontId="21" fillId="16" borderId="0" applyNumberFormat="0" applyBorder="0" applyAlignment="0" applyProtection="0"/>
    <xf numFmtId="169" fontId="21" fillId="16" borderId="0" applyNumberFormat="0" applyBorder="0" applyAlignment="0" applyProtection="0"/>
    <xf numFmtId="169" fontId="21" fillId="17" borderId="0" applyNumberFormat="0" applyBorder="0" applyAlignment="0" applyProtection="0"/>
    <xf numFmtId="169" fontId="21" fillId="17" borderId="0" applyNumberFormat="0" applyBorder="0" applyAlignment="0" applyProtection="0"/>
    <xf numFmtId="169" fontId="22" fillId="14" borderId="0" applyNumberFormat="0" applyBorder="0" applyAlignment="0" applyProtection="0">
      <alignment vertical="center"/>
    </xf>
    <xf numFmtId="169" fontId="22" fillId="14" borderId="0" applyNumberFormat="0" applyBorder="0" applyAlignment="0" applyProtection="0">
      <alignment vertical="center"/>
    </xf>
    <xf numFmtId="169" fontId="22" fillId="14" borderId="0" applyNumberFormat="0" applyBorder="0" applyAlignment="0" applyProtection="0">
      <alignment vertical="center"/>
    </xf>
    <xf numFmtId="169" fontId="22" fillId="11" borderId="0" applyNumberFormat="0" applyBorder="0" applyAlignment="0" applyProtection="0">
      <alignment vertical="center"/>
    </xf>
    <xf numFmtId="169" fontId="22" fillId="11" borderId="0" applyNumberFormat="0" applyBorder="0" applyAlignment="0" applyProtection="0">
      <alignment vertical="center"/>
    </xf>
    <xf numFmtId="169" fontId="22" fillId="11" borderId="0" applyNumberFormat="0" applyBorder="0" applyAlignment="0" applyProtection="0">
      <alignment vertical="center"/>
    </xf>
    <xf numFmtId="169" fontId="22" fillId="12" borderId="0" applyNumberFormat="0" applyBorder="0" applyAlignment="0" applyProtection="0">
      <alignment vertical="center"/>
    </xf>
    <xf numFmtId="169" fontId="22" fillId="12" borderId="0" applyNumberFormat="0" applyBorder="0" applyAlignment="0" applyProtection="0">
      <alignment vertical="center"/>
    </xf>
    <xf numFmtId="169" fontId="22" fillId="12" borderId="0" applyNumberFormat="0" applyBorder="0" applyAlignment="0" applyProtection="0">
      <alignment vertical="center"/>
    </xf>
    <xf numFmtId="169" fontId="22" fillId="15" borderId="0" applyNumberFormat="0" applyBorder="0" applyAlignment="0" applyProtection="0">
      <alignment vertical="center"/>
    </xf>
    <xf numFmtId="169" fontId="22" fillId="15" borderId="0" applyNumberFormat="0" applyBorder="0" applyAlignment="0" applyProtection="0">
      <alignment vertical="center"/>
    </xf>
    <xf numFmtId="169" fontId="22" fillId="15" borderId="0" applyNumberFormat="0" applyBorder="0" applyAlignment="0" applyProtection="0">
      <alignment vertical="center"/>
    </xf>
    <xf numFmtId="169" fontId="22" fillId="16" borderId="0" applyNumberFormat="0" applyBorder="0" applyAlignment="0" applyProtection="0">
      <alignment vertical="center"/>
    </xf>
    <xf numFmtId="169" fontId="22" fillId="16" borderId="0" applyNumberFormat="0" applyBorder="0" applyAlignment="0" applyProtection="0">
      <alignment vertical="center"/>
    </xf>
    <xf numFmtId="169" fontId="22" fillId="16" borderId="0" applyNumberFormat="0" applyBorder="0" applyAlignment="0" applyProtection="0">
      <alignment vertical="center"/>
    </xf>
    <xf numFmtId="169" fontId="22" fillId="17" borderId="0" applyNumberFormat="0" applyBorder="0" applyAlignment="0" applyProtection="0">
      <alignment vertical="center"/>
    </xf>
    <xf numFmtId="169" fontId="22" fillId="17" borderId="0" applyNumberFormat="0" applyBorder="0" applyAlignment="0" applyProtection="0">
      <alignment vertical="center"/>
    </xf>
    <xf numFmtId="169" fontId="22" fillId="17" borderId="0" applyNumberFormat="0" applyBorder="0" applyAlignment="0" applyProtection="0">
      <alignment vertical="center"/>
    </xf>
    <xf numFmtId="169" fontId="21" fillId="18" borderId="0" applyNumberFormat="0" applyBorder="0" applyAlignment="0" applyProtection="0"/>
    <xf numFmtId="169" fontId="21" fillId="18" borderId="0" applyNumberFormat="0" applyBorder="0" applyAlignment="0" applyProtection="0"/>
    <xf numFmtId="169" fontId="21" fillId="19" borderId="0" applyNumberFormat="0" applyBorder="0" applyAlignment="0" applyProtection="0"/>
    <xf numFmtId="169" fontId="21" fillId="19" borderId="0" applyNumberFormat="0" applyBorder="0" applyAlignment="0" applyProtection="0"/>
    <xf numFmtId="169" fontId="21" fillId="20" borderId="0" applyNumberFormat="0" applyBorder="0" applyAlignment="0" applyProtection="0"/>
    <xf numFmtId="169" fontId="21" fillId="20" borderId="0" applyNumberFormat="0" applyBorder="0" applyAlignment="0" applyProtection="0"/>
    <xf numFmtId="169" fontId="21" fillId="15" borderId="0" applyNumberFormat="0" applyBorder="0" applyAlignment="0" applyProtection="0"/>
    <xf numFmtId="169" fontId="21" fillId="15" borderId="0" applyNumberFormat="0" applyBorder="0" applyAlignment="0" applyProtection="0"/>
    <xf numFmtId="169" fontId="21" fillId="16" borderId="0" applyNumberFormat="0" applyBorder="0" applyAlignment="0" applyProtection="0"/>
    <xf numFmtId="169" fontId="21" fillId="16" borderId="0" applyNumberFormat="0" applyBorder="0" applyAlignment="0" applyProtection="0"/>
    <xf numFmtId="169" fontId="21" fillId="21" borderId="0" applyNumberFormat="0" applyBorder="0" applyAlignment="0" applyProtection="0"/>
    <xf numFmtId="169" fontId="21" fillId="21" borderId="0" applyNumberFormat="0" applyBorder="0" applyAlignment="0" applyProtection="0"/>
    <xf numFmtId="169" fontId="23" fillId="5" borderId="0" applyNumberFormat="0" applyBorder="0" applyAlignment="0" applyProtection="0"/>
    <xf numFmtId="169" fontId="23" fillId="5" borderId="0" applyNumberFormat="0" applyBorder="0" applyAlignment="0" applyProtection="0"/>
    <xf numFmtId="171" fontId="24" fillId="0" borderId="0" applyFill="0" applyBorder="0" applyAlignment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5" fillId="22" borderId="18" applyNumberFormat="0" applyAlignment="0" applyProtection="0"/>
    <xf numFmtId="169" fontId="26" fillId="23" borderId="19" applyNumberFormat="0" applyAlignment="0" applyProtection="0"/>
    <xf numFmtId="169" fontId="26" fillId="23" borderId="19" applyNumberFormat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2" fontId="27" fillId="0" borderId="0">
      <protection locked="0"/>
    </xf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27" fillId="0" borderId="0">
      <protection locked="0"/>
    </xf>
    <xf numFmtId="172" fontId="27" fillId="0" borderId="0">
      <protection locked="0"/>
    </xf>
    <xf numFmtId="169" fontId="28" fillId="0" borderId="0">
      <alignment horizontal="left"/>
    </xf>
    <xf numFmtId="169" fontId="28" fillId="0" borderId="0">
      <alignment horizontal="left"/>
    </xf>
    <xf numFmtId="169" fontId="28" fillId="0" borderId="0">
      <alignment horizontal="left"/>
    </xf>
    <xf numFmtId="169" fontId="29" fillId="0" borderId="0" applyNumberFormat="0" applyFill="0" applyBorder="0" applyAlignment="0" applyProtection="0"/>
    <xf numFmtId="169" fontId="29" fillId="0" borderId="0" applyNumberFormat="0" applyFill="0" applyBorder="0" applyAlignment="0" applyProtection="0"/>
    <xf numFmtId="172" fontId="27" fillId="0" borderId="0">
      <protection locked="0"/>
    </xf>
    <xf numFmtId="169" fontId="16" fillId="0" borderId="0" applyNumberFormat="0" applyFill="0" applyBorder="0" applyAlignment="0" applyProtection="0">
      <alignment vertical="top"/>
      <protection locked="0"/>
    </xf>
    <xf numFmtId="169" fontId="16" fillId="0" borderId="0" applyNumberFormat="0" applyFill="0" applyBorder="0" applyAlignment="0" applyProtection="0">
      <alignment vertical="top"/>
      <protection locked="0"/>
    </xf>
    <xf numFmtId="169" fontId="30" fillId="6" borderId="0" applyNumberFormat="0" applyBorder="0" applyAlignment="0" applyProtection="0"/>
    <xf numFmtId="169" fontId="30" fillId="6" borderId="0" applyNumberFormat="0" applyBorder="0" applyAlignment="0" applyProtection="0"/>
    <xf numFmtId="38" fontId="8" fillId="2" borderId="0" applyNumberFormat="0" applyBorder="0" applyAlignment="0" applyProtection="0"/>
    <xf numFmtId="169" fontId="31" fillId="0" borderId="20" applyNumberFormat="0" applyAlignment="0" applyProtection="0">
      <alignment horizontal="left" vertical="center"/>
    </xf>
    <xf numFmtId="169" fontId="31" fillId="0" borderId="20" applyNumberFormat="0" applyAlignment="0" applyProtection="0">
      <alignment horizontal="left" vertical="center"/>
    </xf>
    <xf numFmtId="169" fontId="31" fillId="0" borderId="20" applyNumberFormat="0" applyAlignment="0" applyProtection="0">
      <alignment horizontal="left" vertical="center"/>
    </xf>
    <xf numFmtId="169" fontId="31" fillId="0" borderId="2">
      <alignment horizontal="left" vertical="center"/>
    </xf>
    <xf numFmtId="169" fontId="31" fillId="0" borderId="2">
      <alignment horizontal="left" vertical="center"/>
    </xf>
    <xf numFmtId="169" fontId="31" fillId="0" borderId="2">
      <alignment horizontal="left" vertical="center"/>
    </xf>
    <xf numFmtId="169" fontId="32" fillId="0" borderId="21" applyNumberFormat="0" applyFill="0" applyAlignment="0" applyProtection="0"/>
    <xf numFmtId="169" fontId="32" fillId="0" borderId="21" applyNumberFormat="0" applyFill="0" applyAlignment="0" applyProtection="0"/>
    <xf numFmtId="169" fontId="33" fillId="0" borderId="22" applyNumberFormat="0" applyFill="0" applyAlignment="0" applyProtection="0"/>
    <xf numFmtId="169" fontId="33" fillId="0" borderId="22" applyNumberFormat="0" applyFill="0" applyAlignment="0" applyProtection="0"/>
    <xf numFmtId="169" fontId="34" fillId="0" borderId="23" applyNumberFormat="0" applyFill="0" applyAlignment="0" applyProtection="0"/>
    <xf numFmtId="169" fontId="34" fillId="0" borderId="23" applyNumberFormat="0" applyFill="0" applyAlignment="0" applyProtection="0"/>
    <xf numFmtId="169" fontId="34" fillId="0" borderId="0" applyNumberFormat="0" applyFill="0" applyBorder="0" applyAlignment="0" applyProtection="0"/>
    <xf numFmtId="169" fontId="34" fillId="0" borderId="0" applyNumberFormat="0" applyFill="0" applyBorder="0" applyAlignment="0" applyProtection="0"/>
    <xf numFmtId="169" fontId="35" fillId="0" borderId="0" applyNumberFormat="0" applyFill="0" applyBorder="0" applyAlignment="0" applyProtection="0">
      <alignment vertical="top"/>
      <protection locked="0"/>
    </xf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6" fillId="9" borderId="18" applyNumberFormat="0" applyAlignment="0" applyProtection="0"/>
    <xf numFmtId="169" fontId="37" fillId="0" borderId="24" applyNumberFormat="0" applyFill="0" applyAlignment="0" applyProtection="0"/>
    <xf numFmtId="169" fontId="37" fillId="0" borderId="24" applyNumberFormat="0" applyFill="0" applyAlignment="0" applyProtection="0"/>
    <xf numFmtId="169" fontId="38" fillId="24" borderId="0" applyNumberFormat="0" applyBorder="0" applyAlignment="0" applyProtection="0"/>
    <xf numFmtId="169" fontId="38" fillId="24" borderId="0" applyNumberFormat="0" applyBorder="0" applyAlignment="0" applyProtection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39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39" fillId="0" borderId="0">
      <alignment vertical="center"/>
    </xf>
    <xf numFmtId="169" fontId="39" fillId="0" borderId="0">
      <alignment vertical="center"/>
    </xf>
    <xf numFmtId="169" fontId="39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39" fillId="0" borderId="0">
      <alignment vertical="center"/>
    </xf>
    <xf numFmtId="169" fontId="39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0" borderId="0"/>
    <xf numFmtId="169" fontId="4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1" fillId="0" borderId="0"/>
    <xf numFmtId="169" fontId="11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" fillId="25" borderId="25" applyNumberFormat="0" applyFon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69" fontId="40" fillId="22" borderId="26" applyNumberFormat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" fontId="28" fillId="0" borderId="0">
      <alignment horizontal="right"/>
    </xf>
    <xf numFmtId="4" fontId="41" fillId="0" borderId="0">
      <alignment horizontal="right"/>
    </xf>
    <xf numFmtId="169" fontId="42" fillId="0" borderId="0">
      <alignment horizontal="left"/>
    </xf>
    <xf numFmtId="169" fontId="42" fillId="0" borderId="0">
      <alignment horizontal="left"/>
    </xf>
    <xf numFmtId="169" fontId="42" fillId="0" borderId="0">
      <alignment horizontal="left"/>
    </xf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69" fontId="43" fillId="0" borderId="0" applyNumberFormat="0" applyFill="0" applyBorder="0" applyAlignment="0" applyProtection="0"/>
    <xf numFmtId="169" fontId="43" fillId="0" borderId="0" applyNumberFormat="0" applyFill="0" applyBorder="0" applyAlignment="0" applyProtection="0"/>
    <xf numFmtId="169" fontId="43" fillId="0" borderId="0" applyNumberFormat="0" applyFill="0" applyBorder="0" applyAlignment="0" applyProtection="0"/>
    <xf numFmtId="169" fontId="43" fillId="0" borderId="0" applyNumberFormat="0" applyFill="0" applyBorder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4" fillId="0" borderId="27" applyNumberFormat="0" applyFill="0" applyAlignment="0" applyProtection="0"/>
    <xf numFmtId="169" fontId="45" fillId="0" borderId="0" applyNumberFormat="0" applyFill="0" applyBorder="0" applyAlignment="0" applyProtection="0"/>
    <xf numFmtId="169" fontId="45" fillId="0" borderId="0" applyNumberFormat="0" applyFill="0" applyBorder="0" applyAlignment="0" applyProtection="0"/>
    <xf numFmtId="169" fontId="45" fillId="0" borderId="0" applyNumberFormat="0" applyFill="0" applyBorder="0" applyAlignment="0" applyProtection="0"/>
    <xf numFmtId="169" fontId="45" fillId="0" borderId="0" applyNumberFormat="0" applyFill="0" applyBorder="0" applyAlignment="0" applyProtection="0"/>
    <xf numFmtId="169" fontId="22" fillId="18" borderId="0" applyNumberFormat="0" applyBorder="0" applyAlignment="0" applyProtection="0">
      <alignment vertical="center"/>
    </xf>
    <xf numFmtId="169" fontId="22" fillId="18" borderId="0" applyNumberFormat="0" applyBorder="0" applyAlignment="0" applyProtection="0">
      <alignment vertical="center"/>
    </xf>
    <xf numFmtId="169" fontId="22" fillId="18" borderId="0" applyNumberFormat="0" applyBorder="0" applyAlignment="0" applyProtection="0">
      <alignment vertical="center"/>
    </xf>
    <xf numFmtId="169" fontId="22" fillId="19" borderId="0" applyNumberFormat="0" applyBorder="0" applyAlignment="0" applyProtection="0">
      <alignment vertical="center"/>
    </xf>
    <xf numFmtId="169" fontId="22" fillId="19" borderId="0" applyNumberFormat="0" applyBorder="0" applyAlignment="0" applyProtection="0">
      <alignment vertical="center"/>
    </xf>
    <xf numFmtId="169" fontId="22" fillId="19" borderId="0" applyNumberFormat="0" applyBorder="0" applyAlignment="0" applyProtection="0">
      <alignment vertical="center"/>
    </xf>
    <xf numFmtId="169" fontId="22" fillId="20" borderId="0" applyNumberFormat="0" applyBorder="0" applyAlignment="0" applyProtection="0">
      <alignment vertical="center"/>
    </xf>
    <xf numFmtId="169" fontId="22" fillId="20" borderId="0" applyNumberFormat="0" applyBorder="0" applyAlignment="0" applyProtection="0">
      <alignment vertical="center"/>
    </xf>
    <xf numFmtId="169" fontId="22" fillId="20" borderId="0" applyNumberFormat="0" applyBorder="0" applyAlignment="0" applyProtection="0">
      <alignment vertical="center"/>
    </xf>
    <xf numFmtId="169" fontId="22" fillId="15" borderId="0" applyNumberFormat="0" applyBorder="0" applyAlignment="0" applyProtection="0">
      <alignment vertical="center"/>
    </xf>
    <xf numFmtId="169" fontId="22" fillId="15" borderId="0" applyNumberFormat="0" applyBorder="0" applyAlignment="0" applyProtection="0">
      <alignment vertical="center"/>
    </xf>
    <xf numFmtId="169" fontId="22" fillId="15" borderId="0" applyNumberFormat="0" applyBorder="0" applyAlignment="0" applyProtection="0">
      <alignment vertical="center"/>
    </xf>
    <xf numFmtId="169" fontId="22" fillId="16" borderId="0" applyNumberFormat="0" applyBorder="0" applyAlignment="0" applyProtection="0">
      <alignment vertical="center"/>
    </xf>
    <xf numFmtId="169" fontId="22" fillId="16" borderId="0" applyNumberFormat="0" applyBorder="0" applyAlignment="0" applyProtection="0">
      <alignment vertical="center"/>
    </xf>
    <xf numFmtId="169" fontId="22" fillId="16" borderId="0" applyNumberFormat="0" applyBorder="0" applyAlignment="0" applyProtection="0">
      <alignment vertical="center"/>
    </xf>
    <xf numFmtId="169" fontId="22" fillId="21" borderId="0" applyNumberFormat="0" applyBorder="0" applyAlignment="0" applyProtection="0">
      <alignment vertical="center"/>
    </xf>
    <xf numFmtId="169" fontId="22" fillId="21" borderId="0" applyNumberFormat="0" applyBorder="0" applyAlignment="0" applyProtection="0">
      <alignment vertical="center"/>
    </xf>
    <xf numFmtId="169" fontId="22" fillId="21" borderId="0" applyNumberFormat="0" applyBorder="0" applyAlignment="0" applyProtection="0">
      <alignment vertical="center"/>
    </xf>
    <xf numFmtId="169" fontId="18" fillId="0" borderId="0">
      <alignment horizontal="centerContinuous" vertical="top"/>
    </xf>
    <xf numFmtId="169" fontId="18" fillId="0" borderId="0">
      <alignment horizontal="centerContinuous" vertical="top"/>
    </xf>
    <xf numFmtId="169" fontId="46" fillId="23" borderId="19" applyNumberFormat="0" applyAlignment="0" applyProtection="0">
      <alignment vertical="center"/>
    </xf>
    <xf numFmtId="169" fontId="46" fillId="23" borderId="19" applyNumberFormat="0" applyAlignment="0" applyProtection="0">
      <alignment vertical="center"/>
    </xf>
    <xf numFmtId="169" fontId="46" fillId="23" borderId="19" applyNumberFormat="0" applyAlignment="0" applyProtection="0">
      <alignment vertical="center"/>
    </xf>
    <xf numFmtId="169" fontId="46" fillId="23" borderId="19" applyNumberFormat="0" applyAlignment="0" applyProtection="0">
      <alignment vertical="center"/>
    </xf>
    <xf numFmtId="169" fontId="46" fillId="23" borderId="19" applyNumberFormat="0" applyAlignment="0" applyProtection="0">
      <alignment vertical="center"/>
    </xf>
    <xf numFmtId="169" fontId="46" fillId="23" borderId="19" applyNumberFormat="0" applyAlignment="0" applyProtection="0">
      <alignment vertical="center"/>
    </xf>
    <xf numFmtId="169" fontId="47" fillId="24" borderId="0" applyNumberFormat="0" applyBorder="0" applyAlignment="0" applyProtection="0">
      <alignment vertical="center"/>
    </xf>
    <xf numFmtId="169" fontId="47" fillId="24" borderId="0" applyNumberFormat="0" applyBorder="0" applyAlignment="0" applyProtection="0">
      <alignment vertical="center"/>
    </xf>
    <xf numFmtId="169" fontId="47" fillId="24" borderId="0" applyNumberFormat="0" applyBorder="0" applyAlignment="0" applyProtection="0">
      <alignment vertical="center"/>
    </xf>
    <xf numFmtId="169" fontId="11" fillId="25" borderId="25" applyNumberFormat="0" applyFont="0" applyAlignment="0" applyProtection="0">
      <alignment vertical="center"/>
    </xf>
    <xf numFmtId="169" fontId="11" fillId="25" borderId="25" applyNumberFormat="0" applyFont="0" applyAlignment="0" applyProtection="0">
      <alignment vertical="center"/>
    </xf>
    <xf numFmtId="169" fontId="11" fillId="25" borderId="25" applyNumberFormat="0" applyFont="0" applyAlignment="0" applyProtection="0">
      <alignment vertical="center"/>
    </xf>
    <xf numFmtId="169" fontId="48" fillId="0" borderId="24" applyNumberFormat="0" applyFill="0" applyAlignment="0" applyProtection="0">
      <alignment vertical="center"/>
    </xf>
    <xf numFmtId="169" fontId="48" fillId="0" borderId="24" applyNumberFormat="0" applyFill="0" applyAlignment="0" applyProtection="0">
      <alignment vertical="center"/>
    </xf>
    <xf numFmtId="169" fontId="48" fillId="0" borderId="24" applyNumberFormat="0" applyFill="0" applyAlignment="0" applyProtection="0">
      <alignment vertical="center"/>
    </xf>
    <xf numFmtId="169" fontId="49" fillId="9" borderId="18" applyNumberFormat="0" applyAlignment="0" applyProtection="0">
      <alignment vertical="center"/>
    </xf>
    <xf numFmtId="169" fontId="49" fillId="9" borderId="18" applyNumberFormat="0" applyAlignment="0" applyProtection="0">
      <alignment vertical="center"/>
    </xf>
    <xf numFmtId="169" fontId="49" fillId="9" borderId="18" applyNumberFormat="0" applyAlignment="0" applyProtection="0">
      <alignment vertical="center"/>
    </xf>
    <xf numFmtId="169" fontId="50" fillId="22" borderId="26" applyNumberFormat="0" applyAlignment="0" applyProtection="0">
      <alignment vertical="center"/>
    </xf>
    <xf numFmtId="169" fontId="50" fillId="22" borderId="26" applyNumberFormat="0" applyAlignment="0" applyProtection="0">
      <alignment vertical="center"/>
    </xf>
    <xf numFmtId="169" fontId="50" fillId="22" borderId="26" applyNumberFormat="0" applyAlignment="0" applyProtection="0">
      <alignment vertical="center"/>
    </xf>
    <xf numFmtId="169" fontId="51" fillId="5" borderId="0" applyNumberFormat="0" applyBorder="0" applyAlignment="0" applyProtection="0">
      <alignment vertical="center"/>
    </xf>
    <xf numFmtId="169" fontId="51" fillId="5" borderId="0" applyNumberFormat="0" applyBorder="0" applyAlignment="0" applyProtection="0">
      <alignment vertical="center"/>
    </xf>
    <xf numFmtId="169" fontId="51" fillId="5" borderId="0" applyNumberFormat="0" applyBorder="0" applyAlignment="0" applyProtection="0">
      <alignment vertical="center"/>
    </xf>
    <xf numFmtId="169" fontId="52" fillId="6" borderId="0" applyNumberFormat="0" applyBorder="0" applyAlignment="0" applyProtection="0">
      <alignment vertical="center"/>
    </xf>
    <xf numFmtId="169" fontId="52" fillId="6" borderId="0" applyNumberFormat="0" applyBorder="0" applyAlignment="0" applyProtection="0">
      <alignment vertical="center"/>
    </xf>
    <xf numFmtId="169" fontId="52" fillId="6" borderId="0" applyNumberFormat="0" applyBorder="0" applyAlignment="0" applyProtection="0">
      <alignment vertical="center"/>
    </xf>
    <xf numFmtId="169" fontId="53" fillId="0" borderId="21" applyNumberFormat="0" applyFill="0" applyAlignment="0" applyProtection="0">
      <alignment vertical="center"/>
    </xf>
    <xf numFmtId="169" fontId="53" fillId="0" borderId="21" applyNumberFormat="0" applyFill="0" applyAlignment="0" applyProtection="0">
      <alignment vertical="center"/>
    </xf>
    <xf numFmtId="169" fontId="53" fillId="0" borderId="21" applyNumberFormat="0" applyFill="0" applyAlignment="0" applyProtection="0">
      <alignment vertical="center"/>
    </xf>
    <xf numFmtId="169" fontId="54" fillId="0" borderId="22" applyNumberFormat="0" applyFill="0" applyAlignment="0" applyProtection="0">
      <alignment vertical="center"/>
    </xf>
    <xf numFmtId="169" fontId="54" fillId="0" borderId="22" applyNumberFormat="0" applyFill="0" applyAlignment="0" applyProtection="0">
      <alignment vertical="center"/>
    </xf>
    <xf numFmtId="169" fontId="54" fillId="0" borderId="22" applyNumberFormat="0" applyFill="0" applyAlignment="0" applyProtection="0">
      <alignment vertical="center"/>
    </xf>
    <xf numFmtId="169" fontId="55" fillId="0" borderId="23" applyNumberFormat="0" applyFill="0" applyAlignment="0" applyProtection="0">
      <alignment vertical="center"/>
    </xf>
    <xf numFmtId="169" fontId="55" fillId="0" borderId="23" applyNumberFormat="0" applyFill="0" applyAlignment="0" applyProtection="0">
      <alignment vertical="center"/>
    </xf>
    <xf numFmtId="169" fontId="55" fillId="0" borderId="23" applyNumberFormat="0" applyFill="0" applyAlignment="0" applyProtection="0">
      <alignment vertical="center"/>
    </xf>
    <xf numFmtId="169" fontId="55" fillId="0" borderId="0" applyNumberFormat="0" applyFill="0" applyBorder="0" applyAlignment="0" applyProtection="0">
      <alignment vertical="center"/>
    </xf>
    <xf numFmtId="169" fontId="55" fillId="0" borderId="0" applyNumberFormat="0" applyFill="0" applyBorder="0" applyAlignment="0" applyProtection="0">
      <alignment vertical="center"/>
    </xf>
    <xf numFmtId="169" fontId="55" fillId="0" borderId="0" applyNumberFormat="0" applyFill="0" applyBorder="0" applyAlignment="0" applyProtection="0">
      <alignment vertical="center"/>
    </xf>
    <xf numFmtId="169" fontId="56" fillId="22" borderId="18" applyNumberFormat="0" applyAlignment="0" applyProtection="0">
      <alignment vertical="center"/>
    </xf>
    <xf numFmtId="169" fontId="56" fillId="22" borderId="18" applyNumberFormat="0" applyAlignment="0" applyProtection="0">
      <alignment vertical="center"/>
    </xf>
    <xf numFmtId="169" fontId="56" fillId="22" borderId="18" applyNumberFormat="0" applyAlignment="0" applyProtection="0">
      <alignment vertical="center"/>
    </xf>
    <xf numFmtId="169" fontId="57" fillId="0" borderId="0" applyNumberFormat="0" applyFill="0" applyBorder="0" applyAlignment="0" applyProtection="0">
      <alignment vertical="center"/>
    </xf>
    <xf numFmtId="169" fontId="57" fillId="0" borderId="0" applyNumberFormat="0" applyFill="0" applyBorder="0" applyAlignment="0" applyProtection="0">
      <alignment vertical="center"/>
    </xf>
    <xf numFmtId="169" fontId="57" fillId="0" borderId="0" applyNumberFormat="0" applyFill="0" applyBorder="0" applyAlignment="0" applyProtection="0">
      <alignment vertical="center"/>
    </xf>
    <xf numFmtId="169" fontId="58" fillId="0" borderId="0" applyNumberFormat="0" applyFill="0" applyBorder="0" applyAlignment="0" applyProtection="0">
      <alignment vertical="center"/>
    </xf>
    <xf numFmtId="169" fontId="58" fillId="0" borderId="0" applyNumberFormat="0" applyFill="0" applyBorder="0" applyAlignment="0" applyProtection="0">
      <alignment vertical="center"/>
    </xf>
    <xf numFmtId="169" fontId="58" fillId="0" borderId="0" applyNumberFormat="0" applyFill="0" applyBorder="0" applyAlignment="0" applyProtection="0">
      <alignment vertical="center"/>
    </xf>
    <xf numFmtId="164" fontId="4" fillId="0" borderId="0" applyFont="0" applyFill="0" applyBorder="0" applyAlignment="0" applyProtection="0"/>
    <xf numFmtId="169" fontId="59" fillId="0" borderId="27" applyNumberFormat="0" applyFill="0" applyAlignment="0" applyProtection="0">
      <alignment vertical="center"/>
    </xf>
    <xf numFmtId="169" fontId="59" fillId="0" borderId="27" applyNumberFormat="0" applyFill="0" applyAlignment="0" applyProtection="0">
      <alignment vertical="center"/>
    </xf>
    <xf numFmtId="169" fontId="59" fillId="0" borderId="27" applyNumberFormat="0" applyFill="0" applyAlignment="0" applyProtection="0">
      <alignment vertical="center"/>
    </xf>
    <xf numFmtId="174" fontId="13" fillId="0" borderId="0"/>
    <xf numFmtId="174" fontId="13" fillId="0" borderId="0"/>
    <xf numFmtId="175" fontId="11" fillId="0" borderId="0">
      <alignment vertical="center"/>
    </xf>
  </cellStyleXfs>
  <cellXfs count="7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2" xfId="1" applyFont="1" applyBorder="1"/>
    <xf numFmtId="0" fontId="4" fillId="0" borderId="0" xfId="1" applyFont="1"/>
    <xf numFmtId="0" fontId="7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/>
    </xf>
    <xf numFmtId="0" fontId="5" fillId="0" borderId="0" xfId="2" applyFont="1"/>
    <xf numFmtId="0" fontId="4" fillId="0" borderId="0" xfId="2" applyFont="1"/>
    <xf numFmtId="0" fontId="10" fillId="0" borderId="0" xfId="3" applyFont="1" applyAlignment="1">
      <alignment vertical="center"/>
    </xf>
    <xf numFmtId="0" fontId="8" fillId="0" borderId="13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14" fontId="8" fillId="0" borderId="14" xfId="1" applyNumberFormat="1" applyFont="1" applyBorder="1" applyAlignment="1">
      <alignment horizontal="center"/>
    </xf>
    <xf numFmtId="16" fontId="8" fillId="0" borderId="14" xfId="1" applyNumberFormat="1" applyFont="1" applyBorder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61" fillId="0" borderId="0" xfId="2" applyFont="1"/>
    <xf numFmtId="0" fontId="3" fillId="0" borderId="30" xfId="1" applyFont="1" applyBorder="1"/>
    <xf numFmtId="0" fontId="5" fillId="0" borderId="2" xfId="1" applyFont="1" applyBorder="1" applyAlignment="1">
      <alignment vertical="center"/>
    </xf>
    <xf numFmtId="0" fontId="8" fillId="0" borderId="31" xfId="1" applyFont="1" applyBorder="1" applyAlignment="1">
      <alignment horizontal="center"/>
    </xf>
    <xf numFmtId="0" fontId="3" fillId="0" borderId="32" xfId="1" applyFont="1" applyBorder="1"/>
    <xf numFmtId="0" fontId="4" fillId="0" borderId="12" xfId="2" applyFont="1" applyBorder="1"/>
    <xf numFmtId="0" fontId="3" fillId="0" borderId="12" xfId="1" applyFont="1" applyBorder="1"/>
    <xf numFmtId="0" fontId="8" fillId="0" borderId="12" xfId="1" applyFont="1" applyBorder="1"/>
    <xf numFmtId="0" fontId="8" fillId="0" borderId="30" xfId="1" applyFont="1" applyBorder="1"/>
    <xf numFmtId="0" fontId="8" fillId="0" borderId="12" xfId="1" applyFont="1" applyBorder="1" applyAlignment="1">
      <alignment horizontal="center" wrapText="1"/>
    </xf>
    <xf numFmtId="14" fontId="10" fillId="0" borderId="12" xfId="1" applyNumberFormat="1" applyFont="1" applyBorder="1"/>
    <xf numFmtId="0" fontId="8" fillId="0" borderId="2" xfId="1" applyFont="1" applyBorder="1" applyAlignment="1">
      <alignment horizontal="center"/>
    </xf>
    <xf numFmtId="0" fontId="4" fillId="0" borderId="12" xfId="1" applyFont="1" applyBorder="1" applyAlignment="1">
      <alignment horizontal="right"/>
    </xf>
    <xf numFmtId="0" fontId="5" fillId="0" borderId="12" xfId="1" applyFont="1" applyBorder="1" applyAlignment="1">
      <alignment horizontal="right" vertical="center"/>
    </xf>
    <xf numFmtId="0" fontId="4" fillId="0" borderId="12" xfId="1" applyFont="1" applyBorder="1"/>
    <xf numFmtId="0" fontId="61" fillId="0" borderId="12" xfId="2" applyFont="1" applyBorder="1"/>
    <xf numFmtId="0" fontId="8" fillId="0" borderId="0" xfId="1" applyFont="1"/>
    <xf numFmtId="14" fontId="10" fillId="0" borderId="0" xfId="1" applyNumberFormat="1" applyFont="1"/>
    <xf numFmtId="14" fontId="10" fillId="0" borderId="14" xfId="1" applyNumberFormat="1" applyFont="1" applyBorder="1" applyAlignment="1">
      <alignment horizontal="center"/>
    </xf>
    <xf numFmtId="2" fontId="62" fillId="0" borderId="33" xfId="62596" applyNumberFormat="1" applyFont="1" applyBorder="1" applyAlignment="1" applyProtection="1">
      <alignment horizontal="left" vertical="center"/>
      <protection locked="0"/>
    </xf>
    <xf numFmtId="15" fontId="8" fillId="0" borderId="12" xfId="1" applyNumberFormat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2" applyFont="1" applyBorder="1"/>
    <xf numFmtId="17" fontId="5" fillId="0" borderId="2" xfId="1" applyNumberFormat="1" applyFont="1" applyBorder="1" applyAlignment="1">
      <alignment vertical="center"/>
    </xf>
    <xf numFmtId="14" fontId="8" fillId="0" borderId="35" xfId="1" applyNumberFormat="1" applyFont="1" applyBorder="1" applyAlignment="1">
      <alignment horizontal="center"/>
    </xf>
    <xf numFmtId="0" fontId="63" fillId="0" borderId="36" xfId="0" applyFont="1" applyBorder="1" applyAlignment="1">
      <alignment horizontal="center" vertical="center"/>
    </xf>
    <xf numFmtId="14" fontId="8" fillId="0" borderId="12" xfId="1" applyNumberFormat="1" applyFont="1" applyBorder="1"/>
    <xf numFmtId="14" fontId="8" fillId="0" borderId="12" xfId="1" applyNumberFormat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8" fillId="0" borderId="32" xfId="1" applyFont="1" applyBorder="1"/>
    <xf numFmtId="0" fontId="8" fillId="0" borderId="35" xfId="1" applyFont="1" applyBorder="1" applyAlignment="1">
      <alignment horizontal="center"/>
    </xf>
    <xf numFmtId="0" fontId="66" fillId="0" borderId="33" xfId="62596" applyNumberFormat="1" applyFont="1" applyBorder="1" applyAlignment="1" applyProtection="1">
      <alignment horizontal="right" vertical="center"/>
      <protection locked="0"/>
    </xf>
    <xf numFmtId="0" fontId="63" fillId="0" borderId="34" xfId="0" applyNumberFormat="1" applyFont="1" applyBorder="1" applyAlignment="1">
      <alignment horizontal="center" vertical="center"/>
    </xf>
    <xf numFmtId="0" fontId="67" fillId="0" borderId="13" xfId="1" applyFont="1" applyBorder="1" applyAlignment="1">
      <alignment horizontal="center"/>
    </xf>
    <xf numFmtId="0" fontId="4" fillId="0" borderId="28" xfId="1" applyFont="1" applyBorder="1" applyAlignment="1">
      <alignment horizontal="center" vertical="center" wrapText="1"/>
    </xf>
    <xf numFmtId="0" fontId="4" fillId="0" borderId="29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10" fillId="0" borderId="6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</cellXfs>
  <cellStyles count="62597">
    <cellStyle name="_= I T E M   M A S T E R = 23.12.2008" xfId="13"/>
    <cellStyle name="_= I T E M   M A S T E R = 23.12.2008 2" xfId="14"/>
    <cellStyle name="_= I T E M   M A S T E R = 23.12.2008 2 2" xfId="26328"/>
    <cellStyle name="_= I T E M   M A S T E R = 23.12.2008 3" xfId="15"/>
    <cellStyle name="_= I T E M   M A S T E R = 23.12.2008 4" xfId="26329"/>
    <cellStyle name="_= I T E M   M A S T E R = 23.12.2008 5" xfId="26330"/>
    <cellStyle name="_= I T E M   M A S T E R = 23.12.2008 6" xfId="26331"/>
    <cellStyle name="_= I T E M   M A S T E R = 23.12.2008_SANWA" xfId="16"/>
    <cellStyle name="_= I T E M   M A S T E R = 23.12.2008_SANWA 2" xfId="17"/>
    <cellStyle name="_= I T E M   M A S T E R = 23.12.2008_SANWA 2 2" xfId="26332"/>
    <cellStyle name="_= I T E M   M A S T E R = 23.12.2008_SANWA 3" xfId="18"/>
    <cellStyle name="_= I T E M   M A S T E R = 23.12.2008_SANWA 4" xfId="26333"/>
    <cellStyle name="_= I T E M   M A S T E R = 23.12.2008_SANWA 5" xfId="26334"/>
    <cellStyle name="_= I T E M   M A S T E R = 23.12.2008_SANWA 6" xfId="26335"/>
    <cellStyle name="_0" xfId="26336"/>
    <cellStyle name="_0 2" xfId="26337"/>
    <cellStyle name="_0 3" xfId="26338"/>
    <cellStyle name="_03) March Stock Control 2009" xfId="19"/>
    <cellStyle name="_03) March Stock Control 2009 2" xfId="20"/>
    <cellStyle name="_03) March Stock Control 2009 2 2" xfId="26339"/>
    <cellStyle name="_03) March Stock Control 2009 3" xfId="21"/>
    <cellStyle name="_03) March Stock Control 2009 4" xfId="26340"/>
    <cellStyle name="_03) March Stock Control 2009 5" xfId="26341"/>
    <cellStyle name="_03) March Stock Control 2009 6" xfId="26342"/>
    <cellStyle name="_03) March Stock Control 2009_DETAILED LME 2009" xfId="26343"/>
    <cellStyle name="_03) March Stock Control 2009_DETAILED LME 2009 2" xfId="26344"/>
    <cellStyle name="_03) March Stock Control 2009_DETAILED LME 2009 3" xfId="26345"/>
    <cellStyle name="_03) March Stock Control 2009_SANWA" xfId="22"/>
    <cellStyle name="_03) March Stock Control 2009_SANWA 2" xfId="23"/>
    <cellStyle name="_03) March Stock Control 2009_SANWA 2 2" xfId="26346"/>
    <cellStyle name="_03) March Stock Control 2009_SANWA 3" xfId="24"/>
    <cellStyle name="_03) March Stock Control 2009_SANWA 4" xfId="26347"/>
    <cellStyle name="_03) March Stock Control 2009_SANWA 5" xfId="26348"/>
    <cellStyle name="_03) March Stock Control 2009_SANWA 6" xfId="26349"/>
    <cellStyle name="_05.09" xfId="25"/>
    <cellStyle name="_05.09 2" xfId="26"/>
    <cellStyle name="_05.09 2 2" xfId="26350"/>
    <cellStyle name="_05.09 3" xfId="27"/>
    <cellStyle name="_05.09 4" xfId="26351"/>
    <cellStyle name="_05.09 5" xfId="26352"/>
    <cellStyle name="_05.09 6" xfId="26353"/>
    <cellStyle name="_05.09_0" xfId="26354"/>
    <cellStyle name="_05.09_0 2" xfId="26355"/>
    <cellStyle name="_05.09_0 3" xfId="26356"/>
    <cellStyle name="_05.09_09.04.10" xfId="26357"/>
    <cellStyle name="_05.09_09.04.10 2" xfId="26358"/>
    <cellStyle name="_05.09_09.04.10 3" xfId="26359"/>
    <cellStyle name="_05.09_18.12.09" xfId="28"/>
    <cellStyle name="_05.09_18.12.09 2" xfId="29"/>
    <cellStyle name="_05.09_18.12.09 2 2" xfId="26360"/>
    <cellStyle name="_05.09_18.12.09 3" xfId="30"/>
    <cellStyle name="_05.09_18.12.09 4" xfId="26361"/>
    <cellStyle name="_05.09_18.12.09 5" xfId="26362"/>
    <cellStyle name="_05.09_18.12.09 6" xfId="26363"/>
    <cellStyle name="_05.09_25-Dec-09" xfId="26364"/>
    <cellStyle name="_05.09_25-Dec-09 2" xfId="26365"/>
    <cellStyle name="_05.09_25-Dec-09 3" xfId="26366"/>
    <cellStyle name="_05.09_29.12.09" xfId="26367"/>
    <cellStyle name="_05.09_29.12.09 2" xfId="26368"/>
    <cellStyle name="_05.09_29.12.09 3" xfId="26369"/>
    <cellStyle name="_05.09_ARCO" xfId="26370"/>
    <cellStyle name="_05.09_ARCO 2" xfId="26371"/>
    <cellStyle name="_05.09_ARCO 3" xfId="26372"/>
    <cellStyle name="_05.09_BIGMATE" xfId="26373"/>
    <cellStyle name="_05.09_BIGMATE 2" xfId="26374"/>
    <cellStyle name="_05.09_BIGMATE 3" xfId="26375"/>
    <cellStyle name="_05.09_CONFIRMATION OF RMS 2009" xfId="26376"/>
    <cellStyle name="_05.09_CONFIRMATION OF RMS 2009 2" xfId="26377"/>
    <cellStyle name="_05.09_CONFIRMATION OF RMS 2009 3" xfId="26378"/>
    <cellStyle name="_05.09_CONFIRMATION OF RMS 2010" xfId="26379"/>
    <cellStyle name="_05.09_CONFIRMATION OF RMS 2010 2" xfId="26380"/>
    <cellStyle name="_05.09_CONFIRMATION OF RMS 2010 3" xfId="26381"/>
    <cellStyle name="_05.09_DAIKYO (2)" xfId="26382"/>
    <cellStyle name="_05.09_DAIKYO (2) 2" xfId="26383"/>
    <cellStyle name="_05.09_DAIKYO (2) 3" xfId="26384"/>
    <cellStyle name="_05.09_FU" xfId="26385"/>
    <cellStyle name="_05.09_FU 2" xfId="26386"/>
    <cellStyle name="_05.09_FU 3" xfId="26387"/>
    <cellStyle name="_05.09_GMTI" xfId="26388"/>
    <cellStyle name="_05.09_GMTI 2" xfId="26389"/>
    <cellStyle name="_05.09_GMTI 3" xfId="26390"/>
    <cellStyle name="_05.09_IWAKAMI (2)" xfId="26391"/>
    <cellStyle name="_05.09_IWAKAMI (2) 2" xfId="26392"/>
    <cellStyle name="_05.09_IWAKAMI (2) 3" xfId="26393"/>
    <cellStyle name="_05.09_LAGUNAMETTS" xfId="26394"/>
    <cellStyle name="_05.09_LAGUNAMETTS 2" xfId="26395"/>
    <cellStyle name="_05.09_LAGUNAMETTS 3" xfId="26396"/>
    <cellStyle name="_05.09_May 2009 Forecast" xfId="31"/>
    <cellStyle name="_05.09_May 2009 Forecast 2" xfId="32"/>
    <cellStyle name="_05.09_May 2009 Forecast 2 2" xfId="26397"/>
    <cellStyle name="_05.09_May 2009 Forecast 3" xfId="33"/>
    <cellStyle name="_05.09_May 2009 Forecast 4" xfId="26398"/>
    <cellStyle name="_05.09_May 2009 Forecast 5" xfId="26399"/>
    <cellStyle name="_05.09_May 2009 Forecast 6" xfId="26400"/>
    <cellStyle name="_05.09_May 2009 Forecast_SANWA" xfId="34"/>
    <cellStyle name="_05.09_May 2009 Forecast_SANWA 2" xfId="35"/>
    <cellStyle name="_05.09_May 2009 Forecast_SANWA 2 2" xfId="26401"/>
    <cellStyle name="_05.09_May 2009 Forecast_SANWA 3" xfId="36"/>
    <cellStyle name="_05.09_May 2009 Forecast_SANWA 4" xfId="26402"/>
    <cellStyle name="_05.09_May 2009 Forecast_SANWA 5" xfId="26403"/>
    <cellStyle name="_05.09_May 2009 Forecast_SANWA 6" xfId="26404"/>
    <cellStyle name="_05.09_MINGHONG" xfId="26405"/>
    <cellStyle name="_05.09_MINGHONG 2" xfId="26406"/>
    <cellStyle name="_05.09_MINGHONG 3" xfId="26407"/>
    <cellStyle name="_05.09_SANWA" xfId="37"/>
    <cellStyle name="_05.09_SANWA 2" xfId="38"/>
    <cellStyle name="_05.09_SANWA 2 2" xfId="26408"/>
    <cellStyle name="_05.09_SANWA 3" xfId="39"/>
    <cellStyle name="_05.09_SANWA 4" xfId="26409"/>
    <cellStyle name="_05.09_SANWA 5" xfId="26410"/>
    <cellStyle name="_05.09_SANWA 6" xfId="26411"/>
    <cellStyle name="_05.09_Sheet1" xfId="26412"/>
    <cellStyle name="_05.09_Sheet1 2" xfId="26413"/>
    <cellStyle name="_05.09_Sheet1 3" xfId="26414"/>
    <cellStyle name="_05.09_Sheet2" xfId="40"/>
    <cellStyle name="_05.09_Sheet2 2" xfId="41"/>
    <cellStyle name="_05.09_Sheet2 2 2" xfId="26415"/>
    <cellStyle name="_05.09_Sheet2 3" xfId="42"/>
    <cellStyle name="_05.09_Sheet2 4" xfId="26416"/>
    <cellStyle name="_05.09_Sheet2 5" xfId="26417"/>
    <cellStyle name="_05.09_Sheet2 6" xfId="26418"/>
    <cellStyle name="_05.09_SUMMARY OF SRM" xfId="43"/>
    <cellStyle name="_05.09_SUMMARY OF SRM 2" xfId="44"/>
    <cellStyle name="_05.09_SUMMARY OF SRM 2 2" xfId="26419"/>
    <cellStyle name="_05.09_SUMMARY OF SRM 3" xfId="45"/>
    <cellStyle name="_05.09_SUMMARY OF SRM 4" xfId="26420"/>
    <cellStyle name="_05.09_SUMMARY OF SRM 5" xfId="26421"/>
    <cellStyle name="_05.09_SUMMARY OF SRM 6" xfId="26422"/>
    <cellStyle name="_05.09_WEEKLY SHIPMENT REQUEST 02-OCT-09" xfId="26423"/>
    <cellStyle name="_05.09_WEEKLY SHIPMENT REQUEST 02-OCT-09 2" xfId="26424"/>
    <cellStyle name="_05.09_WEEKLY SHIPMENT REQUEST 02-OCT-09 3" xfId="26425"/>
    <cellStyle name="_05.09_WEEKLY SHIPMENT REQUEST 05-FEB-10" xfId="26426"/>
    <cellStyle name="_05.09_WEEKLY SHIPMENT REQUEST 05-FEB-10 2" xfId="26427"/>
    <cellStyle name="_05.09_WEEKLY SHIPMENT REQUEST 05-FEB-10 3" xfId="26428"/>
    <cellStyle name="_05.09_WEEKLY SHIPMENT REQUEST 06-NOV-09" xfId="26429"/>
    <cellStyle name="_05.09_WEEKLY SHIPMENT REQUEST 06-NOV-09 (2)" xfId="26430"/>
    <cellStyle name="_05.09_WEEKLY SHIPMENT REQUEST 06-NOV-09 (2) 2" xfId="26431"/>
    <cellStyle name="_05.09_WEEKLY SHIPMENT REQUEST 06-NOV-09 (2) 3" xfId="26432"/>
    <cellStyle name="_05.09_WEEKLY SHIPMENT REQUEST 06-NOV-09 10" xfId="26433"/>
    <cellStyle name="_05.09_WEEKLY SHIPMENT REQUEST 06-NOV-09 11" xfId="26434"/>
    <cellStyle name="_05.09_WEEKLY SHIPMENT REQUEST 06-NOV-09 2" xfId="26435"/>
    <cellStyle name="_05.09_WEEKLY SHIPMENT REQUEST 06-NOV-09 3" xfId="26436"/>
    <cellStyle name="_05.09_WEEKLY SHIPMENT REQUEST 06-NOV-09 4" xfId="26437"/>
    <cellStyle name="_05.09_WEEKLY SHIPMENT REQUEST 06-NOV-09 5" xfId="26438"/>
    <cellStyle name="_05.09_WEEKLY SHIPMENT REQUEST 06-NOV-09 6" xfId="26439"/>
    <cellStyle name="_05.09_WEEKLY SHIPMENT REQUEST 06-NOV-09 7" xfId="26440"/>
    <cellStyle name="_05.09_WEEKLY SHIPMENT REQUEST 06-NOV-09 8" xfId="26441"/>
    <cellStyle name="_05.09_WEEKLY SHIPMENT REQUEST 06-NOV-09 9" xfId="26442"/>
    <cellStyle name="_05.09_WEEKLY SHIPMENT REQUEST 08-JAN-10" xfId="26443"/>
    <cellStyle name="_05.09_WEEKLY SHIPMENT REQUEST 08-JAN-10 2" xfId="26444"/>
    <cellStyle name="_05.09_WEEKLY SHIPMENT REQUEST 08-JAN-10 3" xfId="26445"/>
    <cellStyle name="_05.09_WEEKLY SHIPMENT REQUEST 11-DEC-09 (2)" xfId="46"/>
    <cellStyle name="_05.09_WEEKLY SHIPMENT REQUEST 11-DEC-09 (2) 2" xfId="47"/>
    <cellStyle name="_05.09_WEEKLY SHIPMENT REQUEST 11-DEC-09 (2) 2 2" xfId="26446"/>
    <cellStyle name="_05.09_WEEKLY SHIPMENT REQUEST 11-DEC-09 (2) 3" xfId="48"/>
    <cellStyle name="_05.09_WEEKLY SHIPMENT REQUEST 11-DEC-09 (2) 4" xfId="26447"/>
    <cellStyle name="_05.09_WEEKLY SHIPMENT REQUEST 11-DEC-09 (2) 5" xfId="26448"/>
    <cellStyle name="_05.09_WEEKLY SHIPMENT REQUEST 11-DEC-09 (2) 6" xfId="26449"/>
    <cellStyle name="_05.09_WEEKLY SHIPMENT REQUEST 13-NOV-09" xfId="26450"/>
    <cellStyle name="_05.09_WEEKLY SHIPMENT REQUEST 13-NOV-09 2" xfId="26451"/>
    <cellStyle name="_05.09_WEEKLY SHIPMENT REQUEST 13-NOV-09 3" xfId="26452"/>
    <cellStyle name="_05.09_WEEKLY SHIPMENT REQUEST 15-JAN-10" xfId="26453"/>
    <cellStyle name="_05.09_WEEKLY SHIPMENT REQUEST 15-JAN-10 2" xfId="26454"/>
    <cellStyle name="_05.09_WEEKLY SHIPMENT REQUEST 15-JAN-10 3" xfId="26455"/>
    <cellStyle name="_05.09_WEEKLY SHIPMENT REQUEST 16-OCT-09" xfId="26456"/>
    <cellStyle name="_05.09_WEEKLY SHIPMENT REQUEST 16-OCT-09 2" xfId="26457"/>
    <cellStyle name="_05.09_WEEKLY SHIPMENT REQUEST 16-OCT-09 3" xfId="26458"/>
    <cellStyle name="_05.09_WEEKLY SHIPMENT REQUEST 18-SEPT-09" xfId="26459"/>
    <cellStyle name="_05.09_WEEKLY SHIPMENT REQUEST 18-SEPT-09 2" xfId="26460"/>
    <cellStyle name="_05.09_WEEKLY SHIPMENT REQUEST 18-SEPT-09 3" xfId="26461"/>
    <cellStyle name="_05.09_WEEKLY SHIPMENT REQUEST 22-JAN-2010" xfId="26462"/>
    <cellStyle name="_05.09_WEEKLY SHIPMENT REQUEST 22-JAN-2010 2" xfId="26463"/>
    <cellStyle name="_05.09_WEEKLY SHIPMENT REQUEST 22-JAN-2010 3" xfId="26464"/>
    <cellStyle name="_05.09_WEEKLY SHIPMENT REQUEST 25-SEPT-09" xfId="26465"/>
    <cellStyle name="_05.09_WEEKLY SHIPMENT REQUEST 25-SEPT-09 2" xfId="26466"/>
    <cellStyle name="_05.09_WEEKLY SHIPMENT REQUEST 25-SEPT-09 3" xfId="26467"/>
    <cellStyle name="_05.09_WEEKLY SHIPMENT REQUEST 29-JAN-10 (2)" xfId="26468"/>
    <cellStyle name="_05.09_WEEKLY SHIPMENT REQUEST 29-JAN-10 (2) 2" xfId="26469"/>
    <cellStyle name="_05.09_WEEKLY SHIPMENT REQUEST 29-JAN-10 (2) 3" xfId="26470"/>
    <cellStyle name="_05.09_WEEKLY SHIPMENT REQUEST 29-JAN-10 (2)_WEEKLY SHIPMENT REQUEST 29-JAN-10 (2)" xfId="26471"/>
    <cellStyle name="_05.09_WEEKLY SHIPMENT REQUEST 29-JAN-10 (2)_WEEKLY SHIPMENT REQUEST 29-JAN-10 (2) 2" xfId="26472"/>
    <cellStyle name="_05.09_WEEKLY SHIPMENT REQUEST 29-JAN-10 (2)_WEEKLY SHIPMENT REQUEST 29-JAN-10 (2) 3" xfId="26473"/>
    <cellStyle name="_09.04.10" xfId="26474"/>
    <cellStyle name="_09.04.10 2" xfId="26475"/>
    <cellStyle name="_09.04.10 3" xfId="26476"/>
    <cellStyle name="_09092009" xfId="49"/>
    <cellStyle name="_09092009 2" xfId="50"/>
    <cellStyle name="_09092009 2 2" xfId="26477"/>
    <cellStyle name="_09092009 3" xfId="51"/>
    <cellStyle name="_09092009 4" xfId="26478"/>
    <cellStyle name="_09092009 5" xfId="26479"/>
    <cellStyle name="_09092009 6" xfId="26480"/>
    <cellStyle name="_09092009_DETAILED LME 2009" xfId="26481"/>
    <cellStyle name="_09092009_DETAILED LME 2009 2" xfId="26482"/>
    <cellStyle name="_09092009_DETAILED LME 2009 3" xfId="26483"/>
    <cellStyle name="_09112009" xfId="52"/>
    <cellStyle name="_09112009 2" xfId="53"/>
    <cellStyle name="_09112009 2 2" xfId="26484"/>
    <cellStyle name="_09112009 3" xfId="54"/>
    <cellStyle name="_09112009 4" xfId="26485"/>
    <cellStyle name="_09112009 5" xfId="26486"/>
    <cellStyle name="_09112009 6" xfId="26487"/>
    <cellStyle name="_12112009" xfId="55"/>
    <cellStyle name="_12112009 2" xfId="56"/>
    <cellStyle name="_12112009 2 2" xfId="26488"/>
    <cellStyle name="_12112009 3" xfId="57"/>
    <cellStyle name="_12112009 4" xfId="26489"/>
    <cellStyle name="_12112009 5" xfId="26490"/>
    <cellStyle name="_12112009 6" xfId="26491"/>
    <cellStyle name="_12122009" xfId="58"/>
    <cellStyle name="_12122009 2" xfId="59"/>
    <cellStyle name="_12122009 2 2" xfId="26492"/>
    <cellStyle name="_12122009 3" xfId="60"/>
    <cellStyle name="_12122009 4" xfId="26493"/>
    <cellStyle name="_12122009 5" xfId="26494"/>
    <cellStyle name="_12122009 6" xfId="26495"/>
    <cellStyle name="_14092009" xfId="61"/>
    <cellStyle name="_14092009 2" xfId="62"/>
    <cellStyle name="_14092009 2 2" xfId="26496"/>
    <cellStyle name="_14092009 3" xfId="63"/>
    <cellStyle name="_14092009 4" xfId="26497"/>
    <cellStyle name="_14092009 5" xfId="26498"/>
    <cellStyle name="_14092009 6" xfId="26499"/>
    <cellStyle name="_14092009_DETAILED LME 2009" xfId="26500"/>
    <cellStyle name="_14092009_DETAILED LME 2009 2" xfId="26501"/>
    <cellStyle name="_14092009_DETAILED LME 2009 3" xfId="26502"/>
    <cellStyle name="_18.12.09" xfId="64"/>
    <cellStyle name="_18.12.09 2" xfId="65"/>
    <cellStyle name="_18.12.09 2 2" xfId="26503"/>
    <cellStyle name="_18.12.09 3" xfId="66"/>
    <cellStyle name="_18.12.09 4" xfId="26504"/>
    <cellStyle name="_18.12.09 5" xfId="26505"/>
    <cellStyle name="_18.12.09 6" xfId="26506"/>
    <cellStyle name="_20090702" xfId="67"/>
    <cellStyle name="_20090702 2" xfId="68"/>
    <cellStyle name="_20090702 2 2" xfId="26507"/>
    <cellStyle name="_20090702 3" xfId="69"/>
    <cellStyle name="_20090702 4" xfId="26508"/>
    <cellStyle name="_20090702 5" xfId="26509"/>
    <cellStyle name="_20090702 6" xfId="26510"/>
    <cellStyle name="_20090702_DEC. RETURN 2009" xfId="26511"/>
    <cellStyle name="_20090702_DEC. RETURN 2009 2" xfId="26512"/>
    <cellStyle name="_20090702_DEC. RETURN 2009 3" xfId="26513"/>
    <cellStyle name="_20090702_DETAILED LME 2009" xfId="26514"/>
    <cellStyle name="_20090702_DETAILED LME 2009 2" xfId="26515"/>
    <cellStyle name="_20090702_DETAILED LME 2009 3" xfId="26516"/>
    <cellStyle name="_20090702_NOV. RETURN 2009 2.0" xfId="26517"/>
    <cellStyle name="_20090702_NOV. RETURN 2009 2.0 2" xfId="26518"/>
    <cellStyle name="_20090702_NOV. RETURN 2009 2.0 3" xfId="26519"/>
    <cellStyle name="_21112009" xfId="70"/>
    <cellStyle name="_21112009 2" xfId="71"/>
    <cellStyle name="_21112009 2 2" xfId="26520"/>
    <cellStyle name="_21112009 3" xfId="72"/>
    <cellStyle name="_21112009 4" xfId="26521"/>
    <cellStyle name="_21112009 5" xfId="26522"/>
    <cellStyle name="_21112009 6" xfId="26523"/>
    <cellStyle name="_25-Dec-09" xfId="26524"/>
    <cellStyle name="_25-Dec-09 2" xfId="26525"/>
    <cellStyle name="_25-Dec-09 3" xfId="26526"/>
    <cellStyle name="_29.12.09" xfId="26527"/>
    <cellStyle name="_29.12.09 2" xfId="26528"/>
    <cellStyle name="_29.12.09 3" xfId="26529"/>
    <cellStyle name="_ARCO" xfId="26530"/>
    <cellStyle name="_ARCO 2" xfId="26531"/>
    <cellStyle name="_ARCO 3" xfId="26532"/>
    <cellStyle name="_AUG 2009" xfId="73"/>
    <cellStyle name="_AUG 2009 2" xfId="74"/>
    <cellStyle name="_AUG 2009 2 2" xfId="26533"/>
    <cellStyle name="_AUG 2009 3" xfId="75"/>
    <cellStyle name="_AUG 2009 4" xfId="26534"/>
    <cellStyle name="_AUG 2009 5" xfId="26535"/>
    <cellStyle name="_AUG 2009 6" xfId="26536"/>
    <cellStyle name="_AUG 2009_SANWA" xfId="76"/>
    <cellStyle name="_AUG 2009_SANWA 2" xfId="77"/>
    <cellStyle name="_AUG 2009_SANWA 2 2" xfId="26537"/>
    <cellStyle name="_AUG 2009_SANWA 3" xfId="78"/>
    <cellStyle name="_AUG 2009_SANWA 4" xfId="26538"/>
    <cellStyle name="_AUG 2009_SANWA 5" xfId="26539"/>
    <cellStyle name="_AUG 2009_SANWA 6" xfId="26540"/>
    <cellStyle name="_BIGMATE" xfId="26541"/>
    <cellStyle name="_BIGMATE 2" xfId="26542"/>
    <cellStyle name="_BIGMATE 3" xfId="26543"/>
    <cellStyle name="_Book1" xfId="79"/>
    <cellStyle name="_Book1 2" xfId="80"/>
    <cellStyle name="_Book1 2 2" xfId="26544"/>
    <cellStyle name="_Book1 3" xfId="81"/>
    <cellStyle name="_Book1 4" xfId="26545"/>
    <cellStyle name="_Book1 5" xfId="26546"/>
    <cellStyle name="_Book1 6" xfId="26547"/>
    <cellStyle name="_Book2" xfId="82"/>
    <cellStyle name="_Book2 2" xfId="83"/>
    <cellStyle name="_Book2 2 2" xfId="26548"/>
    <cellStyle name="_Book2 3" xfId="84"/>
    <cellStyle name="_Book2 4" xfId="26549"/>
    <cellStyle name="_Book2 5" xfId="26550"/>
    <cellStyle name="_Book2 6" xfId="26551"/>
    <cellStyle name="_Book2_DETAILED LME 2009" xfId="26552"/>
    <cellStyle name="_Book2_DETAILED LME 2009 2" xfId="26553"/>
    <cellStyle name="_Book2_DETAILED LME 2009 3" xfId="26554"/>
    <cellStyle name="_Book2_SANWA" xfId="85"/>
    <cellStyle name="_Book2_SANWA 2" xfId="86"/>
    <cellStyle name="_Book2_SANWA 2 2" xfId="26555"/>
    <cellStyle name="_Book2_SANWA 3" xfId="87"/>
    <cellStyle name="_Book2_SANWA 4" xfId="26556"/>
    <cellStyle name="_Book2_SANWA 5" xfId="26557"/>
    <cellStyle name="_Book2_SANWA 6" xfId="26558"/>
    <cellStyle name="_Book3" xfId="88"/>
    <cellStyle name="_Book3 2" xfId="89"/>
    <cellStyle name="_Book3 2 2" xfId="26559"/>
    <cellStyle name="_Book3 3" xfId="90"/>
    <cellStyle name="_Book3 4" xfId="26560"/>
    <cellStyle name="_Book3 5" xfId="26561"/>
    <cellStyle name="_Book3 6" xfId="26562"/>
    <cellStyle name="_Book4" xfId="91"/>
    <cellStyle name="_Book4 (4)" xfId="92"/>
    <cellStyle name="_Book4 (4) 2" xfId="93"/>
    <cellStyle name="_Book4 (4) 2 2" xfId="26563"/>
    <cellStyle name="_Book4 (4) 3" xfId="94"/>
    <cellStyle name="_Book4 (4) 4" xfId="26564"/>
    <cellStyle name="_Book4 (4) 5" xfId="26565"/>
    <cellStyle name="_Book4 (4) 6" xfId="26566"/>
    <cellStyle name="_Book4 (4)_0" xfId="26567"/>
    <cellStyle name="_Book4 (4)_0 2" xfId="26568"/>
    <cellStyle name="_Book4 (4)_0 3" xfId="26569"/>
    <cellStyle name="_Book4 (4)_09.04.10" xfId="26570"/>
    <cellStyle name="_Book4 (4)_09.04.10 2" xfId="26571"/>
    <cellStyle name="_Book4 (4)_09.04.10 3" xfId="26572"/>
    <cellStyle name="_Book4 (4)_18.12.09" xfId="95"/>
    <cellStyle name="_Book4 (4)_18.12.09 2" xfId="96"/>
    <cellStyle name="_Book4 (4)_18.12.09 2 2" xfId="26573"/>
    <cellStyle name="_Book4 (4)_18.12.09 3" xfId="97"/>
    <cellStyle name="_Book4 (4)_18.12.09 4" xfId="26574"/>
    <cellStyle name="_Book4 (4)_18.12.09 5" xfId="26575"/>
    <cellStyle name="_Book4 (4)_18.12.09 6" xfId="26576"/>
    <cellStyle name="_Book4 (4)_25-Dec-09" xfId="26577"/>
    <cellStyle name="_Book4 (4)_25-Dec-09 2" xfId="26578"/>
    <cellStyle name="_Book4 (4)_25-Dec-09 3" xfId="26579"/>
    <cellStyle name="_Book4 (4)_29.12.09" xfId="26580"/>
    <cellStyle name="_Book4 (4)_29.12.09 2" xfId="26581"/>
    <cellStyle name="_Book4 (4)_29.12.09 3" xfId="26582"/>
    <cellStyle name="_Book4 (4)_ARCO" xfId="26583"/>
    <cellStyle name="_Book4 (4)_ARCO 2" xfId="26584"/>
    <cellStyle name="_Book4 (4)_ARCO 3" xfId="26585"/>
    <cellStyle name="_Book4 (4)_BIGMATE" xfId="26586"/>
    <cellStyle name="_Book4 (4)_BIGMATE 2" xfId="26587"/>
    <cellStyle name="_Book4 (4)_BIGMATE 3" xfId="26588"/>
    <cellStyle name="_Book4 (4)_CONFIRMATION OF RMS 2009" xfId="26589"/>
    <cellStyle name="_Book4 (4)_CONFIRMATION OF RMS 2009 2" xfId="26590"/>
    <cellStyle name="_Book4 (4)_CONFIRMATION OF RMS 2009 3" xfId="26591"/>
    <cellStyle name="_Book4 (4)_CONFIRMATION OF RMS 2010" xfId="26592"/>
    <cellStyle name="_Book4 (4)_CONFIRMATION OF RMS 2010 2" xfId="26593"/>
    <cellStyle name="_Book4 (4)_CONFIRMATION OF RMS 2010 3" xfId="26594"/>
    <cellStyle name="_Book4 (4)_DAIKYO (2)" xfId="26595"/>
    <cellStyle name="_Book4 (4)_DAIKYO (2) 2" xfId="26596"/>
    <cellStyle name="_Book4 (4)_DAIKYO (2) 3" xfId="26597"/>
    <cellStyle name="_Book4 (4)_FU" xfId="26598"/>
    <cellStyle name="_Book4 (4)_FU 2" xfId="26599"/>
    <cellStyle name="_Book4 (4)_FU 3" xfId="26600"/>
    <cellStyle name="_Book4 (4)_GMTI" xfId="26601"/>
    <cellStyle name="_Book4 (4)_GMTI 2" xfId="26602"/>
    <cellStyle name="_Book4 (4)_GMTI 3" xfId="26603"/>
    <cellStyle name="_Book4 (4)_IWAKAMI (2)" xfId="26604"/>
    <cellStyle name="_Book4 (4)_IWAKAMI (2) 2" xfId="26605"/>
    <cellStyle name="_Book4 (4)_IWAKAMI (2) 3" xfId="26606"/>
    <cellStyle name="_Book4 (4)_LAGUNAMETTS" xfId="26607"/>
    <cellStyle name="_Book4 (4)_LAGUNAMETTS 2" xfId="26608"/>
    <cellStyle name="_Book4 (4)_LAGUNAMETTS 3" xfId="26609"/>
    <cellStyle name="_Book4 (4)_May 2009 Forecast" xfId="98"/>
    <cellStyle name="_Book4 (4)_May 2009 Forecast 2" xfId="99"/>
    <cellStyle name="_Book4 (4)_May 2009 Forecast 2 2" xfId="26610"/>
    <cellStyle name="_Book4 (4)_May 2009 Forecast 3" xfId="100"/>
    <cellStyle name="_Book4 (4)_May 2009 Forecast 4" xfId="26611"/>
    <cellStyle name="_Book4 (4)_May 2009 Forecast 5" xfId="26612"/>
    <cellStyle name="_Book4 (4)_May 2009 Forecast 6" xfId="26613"/>
    <cellStyle name="_Book4 (4)_May 2009 Forecast_SANWA" xfId="101"/>
    <cellStyle name="_Book4 (4)_May 2009 Forecast_SANWA 2" xfId="102"/>
    <cellStyle name="_Book4 (4)_May 2009 Forecast_SANWA 2 2" xfId="26614"/>
    <cellStyle name="_Book4 (4)_May 2009 Forecast_SANWA 3" xfId="103"/>
    <cellStyle name="_Book4 (4)_May 2009 Forecast_SANWA 4" xfId="26615"/>
    <cellStyle name="_Book4 (4)_May 2009 Forecast_SANWA 5" xfId="26616"/>
    <cellStyle name="_Book4 (4)_May 2009 Forecast_SANWA 6" xfId="26617"/>
    <cellStyle name="_Book4 (4)_MINGHONG" xfId="26618"/>
    <cellStyle name="_Book4 (4)_MINGHONG 2" xfId="26619"/>
    <cellStyle name="_Book4 (4)_MINGHONG 3" xfId="26620"/>
    <cellStyle name="_Book4 (4)_SANWA" xfId="104"/>
    <cellStyle name="_Book4 (4)_SANWA 2" xfId="105"/>
    <cellStyle name="_Book4 (4)_SANWA 2 2" xfId="26621"/>
    <cellStyle name="_Book4 (4)_SANWA 3" xfId="106"/>
    <cellStyle name="_Book4 (4)_SANWA 4" xfId="26622"/>
    <cellStyle name="_Book4 (4)_SANWA 5" xfId="26623"/>
    <cellStyle name="_Book4 (4)_SANWA 6" xfId="26624"/>
    <cellStyle name="_Book4 (4)_Sheet1" xfId="26625"/>
    <cellStyle name="_Book4 (4)_Sheet1 2" xfId="26626"/>
    <cellStyle name="_Book4 (4)_Sheet1 3" xfId="26627"/>
    <cellStyle name="_Book4 (4)_Sheet2" xfId="107"/>
    <cellStyle name="_Book4 (4)_Sheet2 2" xfId="108"/>
    <cellStyle name="_Book4 (4)_Sheet2 2 2" xfId="26628"/>
    <cellStyle name="_Book4 (4)_Sheet2 3" xfId="109"/>
    <cellStyle name="_Book4 (4)_Sheet2 4" xfId="26629"/>
    <cellStyle name="_Book4 (4)_Sheet2 5" xfId="26630"/>
    <cellStyle name="_Book4 (4)_Sheet2 6" xfId="26631"/>
    <cellStyle name="_Book4 (4)_SUMMARY OF SRM" xfId="110"/>
    <cellStyle name="_Book4 (4)_SUMMARY OF SRM 2" xfId="111"/>
    <cellStyle name="_Book4 (4)_SUMMARY OF SRM 2 2" xfId="26632"/>
    <cellStyle name="_Book4 (4)_SUMMARY OF SRM 3" xfId="112"/>
    <cellStyle name="_Book4 (4)_SUMMARY OF SRM 4" xfId="26633"/>
    <cellStyle name="_Book4 (4)_SUMMARY OF SRM 5" xfId="26634"/>
    <cellStyle name="_Book4 (4)_SUMMARY OF SRM 6" xfId="26635"/>
    <cellStyle name="_Book4 (4)_WEEKLY SHIPMENT REQUEST 02-OCT-09" xfId="26636"/>
    <cellStyle name="_Book4 (4)_WEEKLY SHIPMENT REQUEST 02-OCT-09 2" xfId="26637"/>
    <cellStyle name="_Book4 (4)_WEEKLY SHIPMENT REQUEST 02-OCT-09 3" xfId="26638"/>
    <cellStyle name="_Book4 (4)_WEEKLY SHIPMENT REQUEST 05-FEB-10" xfId="26639"/>
    <cellStyle name="_Book4 (4)_WEEKLY SHIPMENT REQUEST 05-FEB-10 2" xfId="26640"/>
    <cellStyle name="_Book4 (4)_WEEKLY SHIPMENT REQUEST 05-FEB-10 3" xfId="26641"/>
    <cellStyle name="_Book4 (4)_WEEKLY SHIPMENT REQUEST 06-NOV-09" xfId="26642"/>
    <cellStyle name="_Book4 (4)_WEEKLY SHIPMENT REQUEST 06-NOV-09 (2)" xfId="26643"/>
    <cellStyle name="_Book4 (4)_WEEKLY SHIPMENT REQUEST 06-NOV-09 (2) 2" xfId="26644"/>
    <cellStyle name="_Book4 (4)_WEEKLY SHIPMENT REQUEST 06-NOV-09 (2) 3" xfId="26645"/>
    <cellStyle name="_Book4 (4)_WEEKLY SHIPMENT REQUEST 06-NOV-09 10" xfId="26646"/>
    <cellStyle name="_Book4 (4)_WEEKLY SHIPMENT REQUEST 06-NOV-09 11" xfId="26647"/>
    <cellStyle name="_Book4 (4)_WEEKLY SHIPMENT REQUEST 06-NOV-09 2" xfId="26648"/>
    <cellStyle name="_Book4 (4)_WEEKLY SHIPMENT REQUEST 06-NOV-09 3" xfId="26649"/>
    <cellStyle name="_Book4 (4)_WEEKLY SHIPMENT REQUEST 06-NOV-09 4" xfId="26650"/>
    <cellStyle name="_Book4 (4)_WEEKLY SHIPMENT REQUEST 06-NOV-09 5" xfId="26651"/>
    <cellStyle name="_Book4 (4)_WEEKLY SHIPMENT REQUEST 06-NOV-09 6" xfId="26652"/>
    <cellStyle name="_Book4 (4)_WEEKLY SHIPMENT REQUEST 06-NOV-09 7" xfId="26653"/>
    <cellStyle name="_Book4 (4)_WEEKLY SHIPMENT REQUEST 06-NOV-09 8" xfId="26654"/>
    <cellStyle name="_Book4 (4)_WEEKLY SHIPMENT REQUEST 06-NOV-09 9" xfId="26655"/>
    <cellStyle name="_Book4 (4)_WEEKLY SHIPMENT REQUEST 08-JAN-10" xfId="26656"/>
    <cellStyle name="_Book4 (4)_WEEKLY SHIPMENT REQUEST 08-JAN-10 2" xfId="26657"/>
    <cellStyle name="_Book4 (4)_WEEKLY SHIPMENT REQUEST 08-JAN-10 3" xfId="26658"/>
    <cellStyle name="_Book4 (4)_WEEKLY SHIPMENT REQUEST 11-DEC-09 (2)" xfId="113"/>
    <cellStyle name="_Book4 (4)_WEEKLY SHIPMENT REQUEST 11-DEC-09 (2) 2" xfId="114"/>
    <cellStyle name="_Book4 (4)_WEEKLY SHIPMENT REQUEST 11-DEC-09 (2) 2 2" xfId="26659"/>
    <cellStyle name="_Book4 (4)_WEEKLY SHIPMENT REQUEST 11-DEC-09 (2) 3" xfId="115"/>
    <cellStyle name="_Book4 (4)_WEEKLY SHIPMENT REQUEST 11-DEC-09 (2) 4" xfId="26660"/>
    <cellStyle name="_Book4 (4)_WEEKLY SHIPMENT REQUEST 11-DEC-09 (2) 5" xfId="26661"/>
    <cellStyle name="_Book4 (4)_WEEKLY SHIPMENT REQUEST 11-DEC-09 (2) 6" xfId="26662"/>
    <cellStyle name="_Book4 (4)_WEEKLY SHIPMENT REQUEST 13-NOV-09" xfId="26663"/>
    <cellStyle name="_Book4 (4)_WEEKLY SHIPMENT REQUEST 13-NOV-09 2" xfId="26664"/>
    <cellStyle name="_Book4 (4)_WEEKLY SHIPMENT REQUEST 13-NOV-09 3" xfId="26665"/>
    <cellStyle name="_Book4 (4)_WEEKLY SHIPMENT REQUEST 15-JAN-10" xfId="26666"/>
    <cellStyle name="_Book4 (4)_WEEKLY SHIPMENT REQUEST 15-JAN-10 2" xfId="26667"/>
    <cellStyle name="_Book4 (4)_WEEKLY SHIPMENT REQUEST 15-JAN-10 3" xfId="26668"/>
    <cellStyle name="_Book4 (4)_WEEKLY SHIPMENT REQUEST 16-OCT-09" xfId="26669"/>
    <cellStyle name="_Book4 (4)_WEEKLY SHIPMENT REQUEST 16-OCT-09 2" xfId="26670"/>
    <cellStyle name="_Book4 (4)_WEEKLY SHIPMENT REQUEST 16-OCT-09 3" xfId="26671"/>
    <cellStyle name="_Book4 (4)_WEEKLY SHIPMENT REQUEST 18-SEPT-09" xfId="26672"/>
    <cellStyle name="_Book4 (4)_WEEKLY SHIPMENT REQUEST 18-SEPT-09 2" xfId="26673"/>
    <cellStyle name="_Book4 (4)_WEEKLY SHIPMENT REQUEST 18-SEPT-09 3" xfId="26674"/>
    <cellStyle name="_Book4 (4)_WEEKLY SHIPMENT REQUEST 22-JAN-2010" xfId="26675"/>
    <cellStyle name="_Book4 (4)_WEEKLY SHIPMENT REQUEST 22-JAN-2010 2" xfId="26676"/>
    <cellStyle name="_Book4 (4)_WEEKLY SHIPMENT REQUEST 22-JAN-2010 3" xfId="26677"/>
    <cellStyle name="_Book4 (4)_WEEKLY SHIPMENT REQUEST 25-SEPT-09" xfId="26678"/>
    <cellStyle name="_Book4 (4)_WEEKLY SHIPMENT REQUEST 25-SEPT-09 2" xfId="26679"/>
    <cellStyle name="_Book4 (4)_WEEKLY SHIPMENT REQUEST 25-SEPT-09 3" xfId="26680"/>
    <cellStyle name="_Book4 (4)_WEEKLY SHIPMENT REQUEST 29-JAN-10 (2)" xfId="26681"/>
    <cellStyle name="_Book4 (4)_WEEKLY SHIPMENT REQUEST 29-JAN-10 (2) 2" xfId="26682"/>
    <cellStyle name="_Book4 (4)_WEEKLY SHIPMENT REQUEST 29-JAN-10 (2) 3" xfId="26683"/>
    <cellStyle name="_Book4 (4)_WEEKLY SHIPMENT REQUEST 29-JAN-10 (2)_WEEKLY SHIPMENT REQUEST 29-JAN-10 (2)" xfId="26684"/>
    <cellStyle name="_Book4 (4)_WEEKLY SHIPMENT REQUEST 29-JAN-10 (2)_WEEKLY SHIPMENT REQUEST 29-JAN-10 (2) 2" xfId="26685"/>
    <cellStyle name="_Book4 (4)_WEEKLY SHIPMENT REQUEST 29-JAN-10 (2)_WEEKLY SHIPMENT REQUEST 29-JAN-10 (2) 3" xfId="26686"/>
    <cellStyle name="_Book4 10" xfId="116"/>
    <cellStyle name="_Book4 11" xfId="117"/>
    <cellStyle name="_Book4 12" xfId="118"/>
    <cellStyle name="_Book4 13" xfId="119"/>
    <cellStyle name="_Book4 14" xfId="120"/>
    <cellStyle name="_Book4 15" xfId="121"/>
    <cellStyle name="_Book4 16" xfId="122"/>
    <cellStyle name="_Book4 17" xfId="123"/>
    <cellStyle name="_Book4 18" xfId="124"/>
    <cellStyle name="_Book4 19" xfId="125"/>
    <cellStyle name="_Book4 2" xfId="126"/>
    <cellStyle name="_Book4 2 2" xfId="26687"/>
    <cellStyle name="_Book4 20" xfId="127"/>
    <cellStyle name="_Book4 21" xfId="128"/>
    <cellStyle name="_Book4 22" xfId="129"/>
    <cellStyle name="_Book4 23" xfId="130"/>
    <cellStyle name="_Book4 24" xfId="131"/>
    <cellStyle name="_Book4 25" xfId="26688"/>
    <cellStyle name="_Book4 26" xfId="26689"/>
    <cellStyle name="_Book4 27" xfId="26690"/>
    <cellStyle name="_Book4 28" xfId="26691"/>
    <cellStyle name="_Book4 29" xfId="26692"/>
    <cellStyle name="_Book4 3" xfId="132"/>
    <cellStyle name="_Book4 3 2" xfId="26693"/>
    <cellStyle name="_Book4 30" xfId="26694"/>
    <cellStyle name="_Book4 31" xfId="26695"/>
    <cellStyle name="_Book4 32" xfId="26696"/>
    <cellStyle name="_Book4 33" xfId="26697"/>
    <cellStyle name="_Book4 34" xfId="26698"/>
    <cellStyle name="_Book4 35" xfId="26699"/>
    <cellStyle name="_Book4 36" xfId="26700"/>
    <cellStyle name="_Book4 37" xfId="26701"/>
    <cellStyle name="_Book4 38" xfId="26702"/>
    <cellStyle name="_Book4 39" xfId="26703"/>
    <cellStyle name="_Book4 4" xfId="133"/>
    <cellStyle name="_Book4 40" xfId="26704"/>
    <cellStyle name="_Book4 41" xfId="26705"/>
    <cellStyle name="_Book4 5" xfId="134"/>
    <cellStyle name="_Book4 6" xfId="135"/>
    <cellStyle name="_Book4 7" xfId="136"/>
    <cellStyle name="_Book4 8" xfId="137"/>
    <cellStyle name="_Book4 9" xfId="138"/>
    <cellStyle name="_Book4_DETAILED LME 2009" xfId="26706"/>
    <cellStyle name="_Book4_DETAILED LME 2009 2" xfId="26707"/>
    <cellStyle name="_Book4_DETAILED LME 2009 3" xfId="26708"/>
    <cellStyle name="_Book4_SANWA" xfId="139"/>
    <cellStyle name="_Book4_SANWA 2" xfId="140"/>
    <cellStyle name="_Book4_SANWA 2 2" xfId="26709"/>
    <cellStyle name="_Book4_SANWA 3" xfId="141"/>
    <cellStyle name="_Book4_SANWA 4" xfId="26710"/>
    <cellStyle name="_Book4_SANWA 5" xfId="26711"/>
    <cellStyle name="_Book4_SANWA 6" xfId="26712"/>
    <cellStyle name="_CONFIRMATION OF RMS 2009" xfId="26713"/>
    <cellStyle name="_CONFIRMATION OF RMS 2009 2" xfId="26714"/>
    <cellStyle name="_CONFIRMATION OF RMS 2009 3" xfId="26715"/>
    <cellStyle name="_CONFIRMATION OF RMS 2010" xfId="26716"/>
    <cellStyle name="_CONFIRMATION OF RMS 2010 2" xfId="26717"/>
    <cellStyle name="_CONFIRMATION OF RMS 2010 3" xfId="26718"/>
    <cellStyle name="_Copy of HPI CALCULATION 2007 julius" xfId="142"/>
    <cellStyle name="_Copy of HPI CALCULATION 2007 julius 2" xfId="143"/>
    <cellStyle name="_Copy of HPI CALCULATION 2007 julius 2 2" xfId="26719"/>
    <cellStyle name="_Copy of HPI CALCULATION 2007 julius 3" xfId="144"/>
    <cellStyle name="_Copy of HPI CALCULATION 2007 julius 4" xfId="26720"/>
    <cellStyle name="_Copy of HPI CALCULATION 2007 julius 5" xfId="26721"/>
    <cellStyle name="_Copy of HPI CALCULATION 2007 julius 6" xfId="26722"/>
    <cellStyle name="_Copy of HPI CALCULATION 2007 julius_0" xfId="26723"/>
    <cellStyle name="_Copy of HPI CALCULATION 2007 julius_0 2" xfId="26724"/>
    <cellStyle name="_Copy of HPI CALCULATION 2007 julius_0 3" xfId="26725"/>
    <cellStyle name="_Copy of HPI CALCULATION 2007 julius_09.04.10" xfId="26726"/>
    <cellStyle name="_Copy of HPI CALCULATION 2007 julius_09.04.10 2" xfId="26727"/>
    <cellStyle name="_Copy of HPI CALCULATION 2007 julius_09.04.10 3" xfId="26728"/>
    <cellStyle name="_Copy of HPI CALCULATION 2007 julius_18.12.09" xfId="145"/>
    <cellStyle name="_Copy of HPI CALCULATION 2007 julius_18.12.09 2" xfId="146"/>
    <cellStyle name="_Copy of HPI CALCULATION 2007 julius_18.12.09 2 2" xfId="26729"/>
    <cellStyle name="_Copy of HPI CALCULATION 2007 julius_18.12.09 3" xfId="147"/>
    <cellStyle name="_Copy of HPI CALCULATION 2007 julius_18.12.09 4" xfId="26730"/>
    <cellStyle name="_Copy of HPI CALCULATION 2007 julius_18.12.09 5" xfId="26731"/>
    <cellStyle name="_Copy of HPI CALCULATION 2007 julius_18.12.09 6" xfId="26732"/>
    <cellStyle name="_Copy of HPI CALCULATION 2007 julius_25-Dec-09" xfId="26733"/>
    <cellStyle name="_Copy of HPI CALCULATION 2007 julius_25-Dec-09 2" xfId="26734"/>
    <cellStyle name="_Copy of HPI CALCULATION 2007 julius_25-Dec-09 3" xfId="26735"/>
    <cellStyle name="_Copy of HPI CALCULATION 2007 julius_29.12.09" xfId="26736"/>
    <cellStyle name="_Copy of HPI CALCULATION 2007 julius_29.12.09 2" xfId="26737"/>
    <cellStyle name="_Copy of HPI CALCULATION 2007 julius_29.12.09 3" xfId="26738"/>
    <cellStyle name="_Copy of HPI CALCULATION 2007 julius_ARCO" xfId="26739"/>
    <cellStyle name="_Copy of HPI CALCULATION 2007 julius_ARCO 2" xfId="26740"/>
    <cellStyle name="_Copy of HPI CALCULATION 2007 julius_ARCO 3" xfId="26741"/>
    <cellStyle name="_Copy of HPI CALCULATION 2007 julius_BIGMATE" xfId="26742"/>
    <cellStyle name="_Copy of HPI CALCULATION 2007 julius_BIGMATE 2" xfId="26743"/>
    <cellStyle name="_Copy of HPI CALCULATION 2007 julius_BIGMATE 3" xfId="26744"/>
    <cellStyle name="_Copy of HPI CALCULATION 2007 julius_CONFIRMATION OF RMS 2009" xfId="26745"/>
    <cellStyle name="_Copy of HPI CALCULATION 2007 julius_CONFIRMATION OF RMS 2009 2" xfId="26746"/>
    <cellStyle name="_Copy of HPI CALCULATION 2007 julius_CONFIRMATION OF RMS 2009 3" xfId="26747"/>
    <cellStyle name="_Copy of HPI CALCULATION 2007 julius_CONFIRMATION OF RMS 2010" xfId="26748"/>
    <cellStyle name="_Copy of HPI CALCULATION 2007 julius_CONFIRMATION OF RMS 2010 2" xfId="26749"/>
    <cellStyle name="_Copy of HPI CALCULATION 2007 julius_CONFIRMATION OF RMS 2010 3" xfId="26750"/>
    <cellStyle name="_Copy of HPI CALCULATION 2007 julius_DAIKYO (2)" xfId="26751"/>
    <cellStyle name="_Copy of HPI CALCULATION 2007 julius_DAIKYO (2) 2" xfId="26752"/>
    <cellStyle name="_Copy of HPI CALCULATION 2007 julius_DAIKYO (2) 3" xfId="26753"/>
    <cellStyle name="_Copy of HPI CALCULATION 2007 julius_FU" xfId="26754"/>
    <cellStyle name="_Copy of HPI CALCULATION 2007 julius_FU 2" xfId="26755"/>
    <cellStyle name="_Copy of HPI CALCULATION 2007 julius_FU 3" xfId="26756"/>
    <cellStyle name="_Copy of HPI CALCULATION 2007 julius_GMTI" xfId="26757"/>
    <cellStyle name="_Copy of HPI CALCULATION 2007 julius_GMTI 2" xfId="26758"/>
    <cellStyle name="_Copy of HPI CALCULATION 2007 julius_GMTI 3" xfId="26759"/>
    <cellStyle name="_Copy of HPI CALCULATION 2007 julius_IWAKAMI (2)" xfId="26760"/>
    <cellStyle name="_Copy of HPI CALCULATION 2007 julius_IWAKAMI (2) 2" xfId="26761"/>
    <cellStyle name="_Copy of HPI CALCULATION 2007 julius_IWAKAMI (2) 3" xfId="26762"/>
    <cellStyle name="_Copy of HPI CALCULATION 2007 julius_LAGUNAMETTS" xfId="26763"/>
    <cellStyle name="_Copy of HPI CALCULATION 2007 julius_LAGUNAMETTS 2" xfId="26764"/>
    <cellStyle name="_Copy of HPI CALCULATION 2007 julius_LAGUNAMETTS 3" xfId="26765"/>
    <cellStyle name="_Copy of HPI CALCULATION 2007 julius_May 2009 Forecast" xfId="148"/>
    <cellStyle name="_Copy of HPI CALCULATION 2007 julius_May 2009 Forecast 2" xfId="149"/>
    <cellStyle name="_Copy of HPI CALCULATION 2007 julius_May 2009 Forecast 2 2" xfId="26766"/>
    <cellStyle name="_Copy of HPI CALCULATION 2007 julius_May 2009 Forecast 3" xfId="150"/>
    <cellStyle name="_Copy of HPI CALCULATION 2007 julius_May 2009 Forecast 4" xfId="26767"/>
    <cellStyle name="_Copy of HPI CALCULATION 2007 julius_May 2009 Forecast 5" xfId="26768"/>
    <cellStyle name="_Copy of HPI CALCULATION 2007 julius_May 2009 Forecast 6" xfId="26769"/>
    <cellStyle name="_Copy of HPI CALCULATION 2007 julius_May 2009 Forecast_SANWA" xfId="151"/>
    <cellStyle name="_Copy of HPI CALCULATION 2007 julius_May 2009 Forecast_SANWA 2" xfId="152"/>
    <cellStyle name="_Copy of HPI CALCULATION 2007 julius_May 2009 Forecast_SANWA 2 2" xfId="26770"/>
    <cellStyle name="_Copy of HPI CALCULATION 2007 julius_May 2009 Forecast_SANWA 3" xfId="153"/>
    <cellStyle name="_Copy of HPI CALCULATION 2007 julius_May 2009 Forecast_SANWA 4" xfId="26771"/>
    <cellStyle name="_Copy of HPI CALCULATION 2007 julius_May 2009 Forecast_SANWA 5" xfId="26772"/>
    <cellStyle name="_Copy of HPI CALCULATION 2007 julius_May 2009 Forecast_SANWA 6" xfId="26773"/>
    <cellStyle name="_Copy of HPI CALCULATION 2007 julius_MINGHONG" xfId="26774"/>
    <cellStyle name="_Copy of HPI CALCULATION 2007 julius_MINGHONG 2" xfId="26775"/>
    <cellStyle name="_Copy of HPI CALCULATION 2007 julius_MINGHONG 3" xfId="26776"/>
    <cellStyle name="_Copy of HPI CALCULATION 2007 julius_SANWA" xfId="154"/>
    <cellStyle name="_Copy of HPI CALCULATION 2007 julius_SANWA 2" xfId="155"/>
    <cellStyle name="_Copy of HPI CALCULATION 2007 julius_SANWA 2 2" xfId="26777"/>
    <cellStyle name="_Copy of HPI CALCULATION 2007 julius_SANWA 3" xfId="156"/>
    <cellStyle name="_Copy of HPI CALCULATION 2007 julius_SANWA 4" xfId="26778"/>
    <cellStyle name="_Copy of HPI CALCULATION 2007 julius_SANWA 5" xfId="26779"/>
    <cellStyle name="_Copy of HPI CALCULATION 2007 julius_SANWA 6" xfId="26780"/>
    <cellStyle name="_Copy of HPI CALCULATION 2007 julius_Sheet1" xfId="26781"/>
    <cellStyle name="_Copy of HPI CALCULATION 2007 julius_Sheet1 2" xfId="26782"/>
    <cellStyle name="_Copy of HPI CALCULATION 2007 julius_Sheet1 3" xfId="26783"/>
    <cellStyle name="_Copy of HPI CALCULATION 2007 julius_Sheet2" xfId="157"/>
    <cellStyle name="_Copy of HPI CALCULATION 2007 julius_Sheet2 2" xfId="158"/>
    <cellStyle name="_Copy of HPI CALCULATION 2007 julius_Sheet2 2 2" xfId="26784"/>
    <cellStyle name="_Copy of HPI CALCULATION 2007 julius_Sheet2 3" xfId="159"/>
    <cellStyle name="_Copy of HPI CALCULATION 2007 julius_Sheet2 4" xfId="26785"/>
    <cellStyle name="_Copy of HPI CALCULATION 2007 julius_Sheet2 5" xfId="26786"/>
    <cellStyle name="_Copy of HPI CALCULATION 2007 julius_Sheet2 6" xfId="26787"/>
    <cellStyle name="_Copy of HPI CALCULATION 2007 julius_SUMMARY OF SRM" xfId="160"/>
    <cellStyle name="_Copy of HPI CALCULATION 2007 julius_SUMMARY OF SRM 2" xfId="161"/>
    <cellStyle name="_Copy of HPI CALCULATION 2007 julius_SUMMARY OF SRM 2 2" xfId="26788"/>
    <cellStyle name="_Copy of HPI CALCULATION 2007 julius_SUMMARY OF SRM 3" xfId="162"/>
    <cellStyle name="_Copy of HPI CALCULATION 2007 julius_SUMMARY OF SRM 4" xfId="26789"/>
    <cellStyle name="_Copy of HPI CALCULATION 2007 julius_SUMMARY OF SRM 5" xfId="26790"/>
    <cellStyle name="_Copy of HPI CALCULATION 2007 julius_SUMMARY OF SRM 6" xfId="26791"/>
    <cellStyle name="_Copy of HPI CALCULATION 2007 julius_WEEKLY SHIPMENT REQUEST 02-OCT-09" xfId="26792"/>
    <cellStyle name="_Copy of HPI CALCULATION 2007 julius_WEEKLY SHIPMENT REQUEST 02-OCT-09 2" xfId="26793"/>
    <cellStyle name="_Copy of HPI CALCULATION 2007 julius_WEEKLY SHIPMENT REQUEST 02-OCT-09 3" xfId="26794"/>
    <cellStyle name="_Copy of HPI CALCULATION 2007 julius_WEEKLY SHIPMENT REQUEST 05-FEB-10" xfId="26795"/>
    <cellStyle name="_Copy of HPI CALCULATION 2007 julius_WEEKLY SHIPMENT REQUEST 05-FEB-10 2" xfId="26796"/>
    <cellStyle name="_Copy of HPI CALCULATION 2007 julius_WEEKLY SHIPMENT REQUEST 05-FEB-10 3" xfId="26797"/>
    <cellStyle name="_Copy of HPI CALCULATION 2007 julius_WEEKLY SHIPMENT REQUEST 06-NOV-09" xfId="26798"/>
    <cellStyle name="_Copy of HPI CALCULATION 2007 julius_WEEKLY SHIPMENT REQUEST 06-NOV-09 (2)" xfId="26799"/>
    <cellStyle name="_Copy of HPI CALCULATION 2007 julius_WEEKLY SHIPMENT REQUEST 06-NOV-09 (2) 2" xfId="26800"/>
    <cellStyle name="_Copy of HPI CALCULATION 2007 julius_WEEKLY SHIPMENT REQUEST 06-NOV-09 (2) 3" xfId="26801"/>
    <cellStyle name="_Copy of HPI CALCULATION 2007 julius_WEEKLY SHIPMENT REQUEST 06-NOV-09 10" xfId="26802"/>
    <cellStyle name="_Copy of HPI CALCULATION 2007 julius_WEEKLY SHIPMENT REQUEST 06-NOV-09 11" xfId="26803"/>
    <cellStyle name="_Copy of HPI CALCULATION 2007 julius_WEEKLY SHIPMENT REQUEST 06-NOV-09 2" xfId="26804"/>
    <cellStyle name="_Copy of HPI CALCULATION 2007 julius_WEEKLY SHIPMENT REQUEST 06-NOV-09 3" xfId="26805"/>
    <cellStyle name="_Copy of HPI CALCULATION 2007 julius_WEEKLY SHIPMENT REQUEST 06-NOV-09 4" xfId="26806"/>
    <cellStyle name="_Copy of HPI CALCULATION 2007 julius_WEEKLY SHIPMENT REQUEST 06-NOV-09 5" xfId="26807"/>
    <cellStyle name="_Copy of HPI CALCULATION 2007 julius_WEEKLY SHIPMENT REQUEST 06-NOV-09 6" xfId="26808"/>
    <cellStyle name="_Copy of HPI CALCULATION 2007 julius_WEEKLY SHIPMENT REQUEST 06-NOV-09 7" xfId="26809"/>
    <cellStyle name="_Copy of HPI CALCULATION 2007 julius_WEEKLY SHIPMENT REQUEST 06-NOV-09 8" xfId="26810"/>
    <cellStyle name="_Copy of HPI CALCULATION 2007 julius_WEEKLY SHIPMENT REQUEST 06-NOV-09 9" xfId="26811"/>
    <cellStyle name="_Copy of HPI CALCULATION 2007 julius_WEEKLY SHIPMENT REQUEST 08-JAN-10" xfId="26812"/>
    <cellStyle name="_Copy of HPI CALCULATION 2007 julius_WEEKLY SHIPMENT REQUEST 08-JAN-10 2" xfId="26813"/>
    <cellStyle name="_Copy of HPI CALCULATION 2007 julius_WEEKLY SHIPMENT REQUEST 08-JAN-10 3" xfId="26814"/>
    <cellStyle name="_Copy of HPI CALCULATION 2007 julius_WEEKLY SHIPMENT REQUEST 11-DEC-09 (2)" xfId="163"/>
    <cellStyle name="_Copy of HPI CALCULATION 2007 julius_WEEKLY SHIPMENT REQUEST 11-DEC-09 (2) 2" xfId="164"/>
    <cellStyle name="_Copy of HPI CALCULATION 2007 julius_WEEKLY SHIPMENT REQUEST 11-DEC-09 (2) 2 2" xfId="26815"/>
    <cellStyle name="_Copy of HPI CALCULATION 2007 julius_WEEKLY SHIPMENT REQUEST 11-DEC-09 (2) 3" xfId="165"/>
    <cellStyle name="_Copy of HPI CALCULATION 2007 julius_WEEKLY SHIPMENT REQUEST 11-DEC-09 (2) 4" xfId="26816"/>
    <cellStyle name="_Copy of HPI CALCULATION 2007 julius_WEEKLY SHIPMENT REQUEST 11-DEC-09 (2) 5" xfId="26817"/>
    <cellStyle name="_Copy of HPI CALCULATION 2007 julius_WEEKLY SHIPMENT REQUEST 11-DEC-09 (2) 6" xfId="26818"/>
    <cellStyle name="_Copy of HPI CALCULATION 2007 julius_WEEKLY SHIPMENT REQUEST 13-NOV-09" xfId="26819"/>
    <cellStyle name="_Copy of HPI CALCULATION 2007 julius_WEEKLY SHIPMENT REQUEST 13-NOV-09 2" xfId="26820"/>
    <cellStyle name="_Copy of HPI CALCULATION 2007 julius_WEEKLY SHIPMENT REQUEST 13-NOV-09 3" xfId="26821"/>
    <cellStyle name="_Copy of HPI CALCULATION 2007 julius_WEEKLY SHIPMENT REQUEST 15-JAN-10" xfId="26822"/>
    <cellStyle name="_Copy of HPI CALCULATION 2007 julius_WEEKLY SHIPMENT REQUEST 15-JAN-10 2" xfId="26823"/>
    <cellStyle name="_Copy of HPI CALCULATION 2007 julius_WEEKLY SHIPMENT REQUEST 15-JAN-10 3" xfId="26824"/>
    <cellStyle name="_Copy of HPI CALCULATION 2007 julius_WEEKLY SHIPMENT REQUEST 16-OCT-09" xfId="26825"/>
    <cellStyle name="_Copy of HPI CALCULATION 2007 julius_WEEKLY SHIPMENT REQUEST 16-OCT-09 2" xfId="26826"/>
    <cellStyle name="_Copy of HPI CALCULATION 2007 julius_WEEKLY SHIPMENT REQUEST 16-OCT-09 3" xfId="26827"/>
    <cellStyle name="_Copy of HPI CALCULATION 2007 julius_WEEKLY SHIPMENT REQUEST 18-SEPT-09" xfId="26828"/>
    <cellStyle name="_Copy of HPI CALCULATION 2007 julius_WEEKLY SHIPMENT REQUEST 18-SEPT-09 2" xfId="26829"/>
    <cellStyle name="_Copy of HPI CALCULATION 2007 julius_WEEKLY SHIPMENT REQUEST 18-SEPT-09 3" xfId="26830"/>
    <cellStyle name="_Copy of HPI CALCULATION 2007 julius_WEEKLY SHIPMENT REQUEST 22-JAN-2010" xfId="26831"/>
    <cellStyle name="_Copy of HPI CALCULATION 2007 julius_WEEKLY SHIPMENT REQUEST 22-JAN-2010 2" xfId="26832"/>
    <cellStyle name="_Copy of HPI CALCULATION 2007 julius_WEEKLY SHIPMENT REQUEST 22-JAN-2010 3" xfId="26833"/>
    <cellStyle name="_Copy of HPI CALCULATION 2007 julius_WEEKLY SHIPMENT REQUEST 25-SEPT-09" xfId="26834"/>
    <cellStyle name="_Copy of HPI CALCULATION 2007 julius_WEEKLY SHIPMENT REQUEST 25-SEPT-09 2" xfId="26835"/>
    <cellStyle name="_Copy of HPI CALCULATION 2007 julius_WEEKLY SHIPMENT REQUEST 25-SEPT-09 3" xfId="26836"/>
    <cellStyle name="_Copy of HPI CALCULATION 2007 julius_WEEKLY SHIPMENT REQUEST 29-JAN-10 (2)" xfId="26837"/>
    <cellStyle name="_Copy of HPI CALCULATION 2007 julius_WEEKLY SHIPMENT REQUEST 29-JAN-10 (2) 2" xfId="26838"/>
    <cellStyle name="_Copy of HPI CALCULATION 2007 julius_WEEKLY SHIPMENT REQUEST 29-JAN-10 (2) 3" xfId="26839"/>
    <cellStyle name="_Copy of HPI CALCULATION 2007 julius_WEEKLY SHIPMENT REQUEST 29-JAN-10 (2)_WEEKLY SHIPMENT REQUEST 29-JAN-10 (2)" xfId="26840"/>
    <cellStyle name="_Copy of HPI CALCULATION 2007 julius_WEEKLY SHIPMENT REQUEST 29-JAN-10 (2)_WEEKLY SHIPMENT REQUEST 29-JAN-10 (2) 2" xfId="26841"/>
    <cellStyle name="_Copy of HPI CALCULATION 2007 julius_WEEKLY SHIPMENT REQUEST 29-JAN-10 (2)_WEEKLY SHIPMENT REQUEST 29-JAN-10 (2) 3" xfId="26842"/>
    <cellStyle name="_Copy of HPI CALCULATION 2008 TEST" xfId="166"/>
    <cellStyle name="_Copy of HPI CALCULATION 2008 TEST 2" xfId="167"/>
    <cellStyle name="_Copy of HPI CALCULATION 2008 TEST 2 2" xfId="26843"/>
    <cellStyle name="_Copy of HPI CALCULATION 2008 TEST 3" xfId="168"/>
    <cellStyle name="_Copy of HPI CALCULATION 2008 TEST 4" xfId="26844"/>
    <cellStyle name="_Copy of HPI CALCULATION 2008 TEST 5" xfId="26845"/>
    <cellStyle name="_Copy of HPI CALCULATION 2008 TEST 6" xfId="26846"/>
    <cellStyle name="_Copy of HPI CALCULATION 2008 TEST_0" xfId="26847"/>
    <cellStyle name="_Copy of HPI CALCULATION 2008 TEST_0 2" xfId="26848"/>
    <cellStyle name="_Copy of HPI CALCULATION 2008 TEST_0 3" xfId="26849"/>
    <cellStyle name="_Copy of HPI CALCULATION 2008 TEST_09.04.10" xfId="26850"/>
    <cellStyle name="_Copy of HPI CALCULATION 2008 TEST_09.04.10 2" xfId="26851"/>
    <cellStyle name="_Copy of HPI CALCULATION 2008 TEST_09.04.10 3" xfId="26852"/>
    <cellStyle name="_Copy of HPI CALCULATION 2008 TEST_18.12.09" xfId="169"/>
    <cellStyle name="_Copy of HPI CALCULATION 2008 TEST_18.12.09 2" xfId="170"/>
    <cellStyle name="_Copy of HPI CALCULATION 2008 TEST_18.12.09 2 2" xfId="26853"/>
    <cellStyle name="_Copy of HPI CALCULATION 2008 TEST_18.12.09 3" xfId="171"/>
    <cellStyle name="_Copy of HPI CALCULATION 2008 TEST_18.12.09 4" xfId="26854"/>
    <cellStyle name="_Copy of HPI CALCULATION 2008 TEST_18.12.09 5" xfId="26855"/>
    <cellStyle name="_Copy of HPI CALCULATION 2008 TEST_18.12.09 6" xfId="26856"/>
    <cellStyle name="_Copy of HPI CALCULATION 2008 TEST_25-Dec-09" xfId="26857"/>
    <cellStyle name="_Copy of HPI CALCULATION 2008 TEST_25-Dec-09 2" xfId="26858"/>
    <cellStyle name="_Copy of HPI CALCULATION 2008 TEST_25-Dec-09 3" xfId="26859"/>
    <cellStyle name="_Copy of HPI CALCULATION 2008 TEST_29.12.09" xfId="26860"/>
    <cellStyle name="_Copy of HPI CALCULATION 2008 TEST_29.12.09 2" xfId="26861"/>
    <cellStyle name="_Copy of HPI CALCULATION 2008 TEST_29.12.09 3" xfId="26862"/>
    <cellStyle name="_Copy of HPI CALCULATION 2008 TEST_ARCO" xfId="26863"/>
    <cellStyle name="_Copy of HPI CALCULATION 2008 TEST_ARCO 2" xfId="26864"/>
    <cellStyle name="_Copy of HPI CALCULATION 2008 TEST_ARCO 3" xfId="26865"/>
    <cellStyle name="_Copy of HPI CALCULATION 2008 TEST_BIGMATE" xfId="26866"/>
    <cellStyle name="_Copy of HPI CALCULATION 2008 TEST_BIGMATE 2" xfId="26867"/>
    <cellStyle name="_Copy of HPI CALCULATION 2008 TEST_BIGMATE 3" xfId="26868"/>
    <cellStyle name="_Copy of HPI CALCULATION 2008 TEST_CONFIRMATION OF RMS 2009" xfId="26869"/>
    <cellStyle name="_Copy of HPI CALCULATION 2008 TEST_CONFIRMATION OF RMS 2009 2" xfId="26870"/>
    <cellStyle name="_Copy of HPI CALCULATION 2008 TEST_CONFIRMATION OF RMS 2009 3" xfId="26871"/>
    <cellStyle name="_Copy of HPI CALCULATION 2008 TEST_CONFIRMATION OF RMS 2010" xfId="26872"/>
    <cellStyle name="_Copy of HPI CALCULATION 2008 TEST_CONFIRMATION OF RMS 2010 2" xfId="26873"/>
    <cellStyle name="_Copy of HPI CALCULATION 2008 TEST_CONFIRMATION OF RMS 2010 3" xfId="26874"/>
    <cellStyle name="_Copy of HPI CALCULATION 2008 TEST_DAIKYO (2)" xfId="26875"/>
    <cellStyle name="_Copy of HPI CALCULATION 2008 TEST_DAIKYO (2) 2" xfId="26876"/>
    <cellStyle name="_Copy of HPI CALCULATION 2008 TEST_DAIKYO (2) 3" xfId="26877"/>
    <cellStyle name="_Copy of HPI CALCULATION 2008 TEST_FU" xfId="26878"/>
    <cellStyle name="_Copy of HPI CALCULATION 2008 TEST_FU 2" xfId="26879"/>
    <cellStyle name="_Copy of HPI CALCULATION 2008 TEST_FU 3" xfId="26880"/>
    <cellStyle name="_Copy of HPI CALCULATION 2008 TEST_GMTI" xfId="26881"/>
    <cellStyle name="_Copy of HPI CALCULATION 2008 TEST_GMTI 2" xfId="26882"/>
    <cellStyle name="_Copy of HPI CALCULATION 2008 TEST_GMTI 3" xfId="26883"/>
    <cellStyle name="_Copy of HPI CALCULATION 2008 TEST_IWAKAMI (2)" xfId="26884"/>
    <cellStyle name="_Copy of HPI CALCULATION 2008 TEST_IWAKAMI (2) 2" xfId="26885"/>
    <cellStyle name="_Copy of HPI CALCULATION 2008 TEST_IWAKAMI (2) 3" xfId="26886"/>
    <cellStyle name="_Copy of HPI CALCULATION 2008 TEST_LAGUNAMETTS" xfId="26887"/>
    <cellStyle name="_Copy of HPI CALCULATION 2008 TEST_LAGUNAMETTS 2" xfId="26888"/>
    <cellStyle name="_Copy of HPI CALCULATION 2008 TEST_LAGUNAMETTS 3" xfId="26889"/>
    <cellStyle name="_Copy of HPI CALCULATION 2008 TEST_May 2009 Forecast" xfId="172"/>
    <cellStyle name="_Copy of HPI CALCULATION 2008 TEST_May 2009 Forecast 2" xfId="173"/>
    <cellStyle name="_Copy of HPI CALCULATION 2008 TEST_May 2009 Forecast 2 2" xfId="26890"/>
    <cellStyle name="_Copy of HPI CALCULATION 2008 TEST_May 2009 Forecast 3" xfId="174"/>
    <cellStyle name="_Copy of HPI CALCULATION 2008 TEST_May 2009 Forecast 4" xfId="26891"/>
    <cellStyle name="_Copy of HPI CALCULATION 2008 TEST_May 2009 Forecast 5" xfId="26892"/>
    <cellStyle name="_Copy of HPI CALCULATION 2008 TEST_May 2009 Forecast 6" xfId="26893"/>
    <cellStyle name="_Copy of HPI CALCULATION 2008 TEST_May 2009 Forecast_SANWA" xfId="175"/>
    <cellStyle name="_Copy of HPI CALCULATION 2008 TEST_May 2009 Forecast_SANWA 2" xfId="176"/>
    <cellStyle name="_Copy of HPI CALCULATION 2008 TEST_May 2009 Forecast_SANWA 2 2" xfId="26894"/>
    <cellStyle name="_Copy of HPI CALCULATION 2008 TEST_May 2009 Forecast_SANWA 3" xfId="177"/>
    <cellStyle name="_Copy of HPI CALCULATION 2008 TEST_May 2009 Forecast_SANWA 4" xfId="26895"/>
    <cellStyle name="_Copy of HPI CALCULATION 2008 TEST_May 2009 Forecast_SANWA 5" xfId="26896"/>
    <cellStyle name="_Copy of HPI CALCULATION 2008 TEST_May 2009 Forecast_SANWA 6" xfId="26897"/>
    <cellStyle name="_Copy of HPI CALCULATION 2008 TEST_MINGHONG" xfId="26898"/>
    <cellStyle name="_Copy of HPI CALCULATION 2008 TEST_MINGHONG 2" xfId="26899"/>
    <cellStyle name="_Copy of HPI CALCULATION 2008 TEST_MINGHONG 3" xfId="26900"/>
    <cellStyle name="_Copy of HPI CALCULATION 2008 TEST_SANWA" xfId="178"/>
    <cellStyle name="_Copy of HPI CALCULATION 2008 TEST_SANWA 2" xfId="179"/>
    <cellStyle name="_Copy of HPI CALCULATION 2008 TEST_SANWA 2 2" xfId="26901"/>
    <cellStyle name="_Copy of HPI CALCULATION 2008 TEST_SANWA 3" xfId="180"/>
    <cellStyle name="_Copy of HPI CALCULATION 2008 TEST_SANWA 4" xfId="26902"/>
    <cellStyle name="_Copy of HPI CALCULATION 2008 TEST_SANWA 5" xfId="26903"/>
    <cellStyle name="_Copy of HPI CALCULATION 2008 TEST_SANWA 6" xfId="26904"/>
    <cellStyle name="_Copy of HPI CALCULATION 2008 TEST_Sheet1" xfId="26905"/>
    <cellStyle name="_Copy of HPI CALCULATION 2008 TEST_Sheet1 2" xfId="26906"/>
    <cellStyle name="_Copy of HPI CALCULATION 2008 TEST_Sheet1 3" xfId="26907"/>
    <cellStyle name="_Copy of HPI CALCULATION 2008 TEST_Sheet2" xfId="181"/>
    <cellStyle name="_Copy of HPI CALCULATION 2008 TEST_Sheet2 2" xfId="182"/>
    <cellStyle name="_Copy of HPI CALCULATION 2008 TEST_Sheet2 2 2" xfId="26908"/>
    <cellStyle name="_Copy of HPI CALCULATION 2008 TEST_Sheet2 3" xfId="183"/>
    <cellStyle name="_Copy of HPI CALCULATION 2008 TEST_Sheet2 4" xfId="26909"/>
    <cellStyle name="_Copy of HPI CALCULATION 2008 TEST_Sheet2 5" xfId="26910"/>
    <cellStyle name="_Copy of HPI CALCULATION 2008 TEST_Sheet2 6" xfId="26911"/>
    <cellStyle name="_Copy of HPI CALCULATION 2008 TEST_SUMMARY OF SRM" xfId="184"/>
    <cellStyle name="_Copy of HPI CALCULATION 2008 TEST_SUMMARY OF SRM 2" xfId="185"/>
    <cellStyle name="_Copy of HPI CALCULATION 2008 TEST_SUMMARY OF SRM 2 2" xfId="26912"/>
    <cellStyle name="_Copy of HPI CALCULATION 2008 TEST_SUMMARY OF SRM 3" xfId="186"/>
    <cellStyle name="_Copy of HPI CALCULATION 2008 TEST_SUMMARY OF SRM 4" xfId="26913"/>
    <cellStyle name="_Copy of HPI CALCULATION 2008 TEST_SUMMARY OF SRM 5" xfId="26914"/>
    <cellStyle name="_Copy of HPI CALCULATION 2008 TEST_SUMMARY OF SRM 6" xfId="26915"/>
    <cellStyle name="_Copy of HPI CALCULATION 2008 TEST_WEEKLY SHIPMENT REQUEST 02-OCT-09" xfId="26916"/>
    <cellStyle name="_Copy of HPI CALCULATION 2008 TEST_WEEKLY SHIPMENT REQUEST 02-OCT-09 2" xfId="26917"/>
    <cellStyle name="_Copy of HPI CALCULATION 2008 TEST_WEEKLY SHIPMENT REQUEST 02-OCT-09 3" xfId="26918"/>
    <cellStyle name="_Copy of HPI CALCULATION 2008 TEST_WEEKLY SHIPMENT REQUEST 05-FEB-10" xfId="26919"/>
    <cellStyle name="_Copy of HPI CALCULATION 2008 TEST_WEEKLY SHIPMENT REQUEST 05-FEB-10 2" xfId="26920"/>
    <cellStyle name="_Copy of HPI CALCULATION 2008 TEST_WEEKLY SHIPMENT REQUEST 05-FEB-10 3" xfId="26921"/>
    <cellStyle name="_Copy of HPI CALCULATION 2008 TEST_WEEKLY SHIPMENT REQUEST 06-NOV-09" xfId="26922"/>
    <cellStyle name="_Copy of HPI CALCULATION 2008 TEST_WEEKLY SHIPMENT REQUEST 06-NOV-09 (2)" xfId="26923"/>
    <cellStyle name="_Copy of HPI CALCULATION 2008 TEST_WEEKLY SHIPMENT REQUEST 06-NOV-09 (2) 2" xfId="26924"/>
    <cellStyle name="_Copy of HPI CALCULATION 2008 TEST_WEEKLY SHIPMENT REQUEST 06-NOV-09 (2) 3" xfId="26925"/>
    <cellStyle name="_Copy of HPI CALCULATION 2008 TEST_WEEKLY SHIPMENT REQUEST 06-NOV-09 10" xfId="26926"/>
    <cellStyle name="_Copy of HPI CALCULATION 2008 TEST_WEEKLY SHIPMENT REQUEST 06-NOV-09 11" xfId="26927"/>
    <cellStyle name="_Copy of HPI CALCULATION 2008 TEST_WEEKLY SHIPMENT REQUEST 06-NOV-09 2" xfId="26928"/>
    <cellStyle name="_Copy of HPI CALCULATION 2008 TEST_WEEKLY SHIPMENT REQUEST 06-NOV-09 3" xfId="26929"/>
    <cellStyle name="_Copy of HPI CALCULATION 2008 TEST_WEEKLY SHIPMENT REQUEST 06-NOV-09 4" xfId="26930"/>
    <cellStyle name="_Copy of HPI CALCULATION 2008 TEST_WEEKLY SHIPMENT REQUEST 06-NOV-09 5" xfId="26931"/>
    <cellStyle name="_Copy of HPI CALCULATION 2008 TEST_WEEKLY SHIPMENT REQUEST 06-NOV-09 6" xfId="26932"/>
    <cellStyle name="_Copy of HPI CALCULATION 2008 TEST_WEEKLY SHIPMENT REQUEST 06-NOV-09 7" xfId="26933"/>
    <cellStyle name="_Copy of HPI CALCULATION 2008 TEST_WEEKLY SHIPMENT REQUEST 06-NOV-09 8" xfId="26934"/>
    <cellStyle name="_Copy of HPI CALCULATION 2008 TEST_WEEKLY SHIPMENT REQUEST 06-NOV-09 9" xfId="26935"/>
    <cellStyle name="_Copy of HPI CALCULATION 2008 TEST_WEEKLY SHIPMENT REQUEST 08-JAN-10" xfId="26936"/>
    <cellStyle name="_Copy of HPI CALCULATION 2008 TEST_WEEKLY SHIPMENT REQUEST 08-JAN-10 2" xfId="26937"/>
    <cellStyle name="_Copy of HPI CALCULATION 2008 TEST_WEEKLY SHIPMENT REQUEST 08-JAN-10 3" xfId="26938"/>
    <cellStyle name="_Copy of HPI CALCULATION 2008 TEST_WEEKLY SHIPMENT REQUEST 11-DEC-09 (2)" xfId="187"/>
    <cellStyle name="_Copy of HPI CALCULATION 2008 TEST_WEEKLY SHIPMENT REQUEST 11-DEC-09 (2) 2" xfId="188"/>
    <cellStyle name="_Copy of HPI CALCULATION 2008 TEST_WEEKLY SHIPMENT REQUEST 11-DEC-09 (2) 2 2" xfId="26939"/>
    <cellStyle name="_Copy of HPI CALCULATION 2008 TEST_WEEKLY SHIPMENT REQUEST 11-DEC-09 (2) 3" xfId="189"/>
    <cellStyle name="_Copy of HPI CALCULATION 2008 TEST_WEEKLY SHIPMENT REQUEST 11-DEC-09 (2) 4" xfId="26940"/>
    <cellStyle name="_Copy of HPI CALCULATION 2008 TEST_WEEKLY SHIPMENT REQUEST 11-DEC-09 (2) 5" xfId="26941"/>
    <cellStyle name="_Copy of HPI CALCULATION 2008 TEST_WEEKLY SHIPMENT REQUEST 11-DEC-09 (2) 6" xfId="26942"/>
    <cellStyle name="_Copy of HPI CALCULATION 2008 TEST_WEEKLY SHIPMENT REQUEST 13-NOV-09" xfId="26943"/>
    <cellStyle name="_Copy of HPI CALCULATION 2008 TEST_WEEKLY SHIPMENT REQUEST 13-NOV-09 2" xfId="26944"/>
    <cellStyle name="_Copy of HPI CALCULATION 2008 TEST_WEEKLY SHIPMENT REQUEST 13-NOV-09 3" xfId="26945"/>
    <cellStyle name="_Copy of HPI CALCULATION 2008 TEST_WEEKLY SHIPMENT REQUEST 15-JAN-10" xfId="26946"/>
    <cellStyle name="_Copy of HPI CALCULATION 2008 TEST_WEEKLY SHIPMENT REQUEST 15-JAN-10 2" xfId="26947"/>
    <cellStyle name="_Copy of HPI CALCULATION 2008 TEST_WEEKLY SHIPMENT REQUEST 15-JAN-10 3" xfId="26948"/>
    <cellStyle name="_Copy of HPI CALCULATION 2008 TEST_WEEKLY SHIPMENT REQUEST 16-OCT-09" xfId="26949"/>
    <cellStyle name="_Copy of HPI CALCULATION 2008 TEST_WEEKLY SHIPMENT REQUEST 16-OCT-09 2" xfId="26950"/>
    <cellStyle name="_Copy of HPI CALCULATION 2008 TEST_WEEKLY SHIPMENT REQUEST 16-OCT-09 3" xfId="26951"/>
    <cellStyle name="_Copy of HPI CALCULATION 2008 TEST_WEEKLY SHIPMENT REQUEST 18-SEPT-09" xfId="26952"/>
    <cellStyle name="_Copy of HPI CALCULATION 2008 TEST_WEEKLY SHIPMENT REQUEST 18-SEPT-09 2" xfId="26953"/>
    <cellStyle name="_Copy of HPI CALCULATION 2008 TEST_WEEKLY SHIPMENT REQUEST 18-SEPT-09 3" xfId="26954"/>
    <cellStyle name="_Copy of HPI CALCULATION 2008 TEST_WEEKLY SHIPMENT REQUEST 22-JAN-2010" xfId="26955"/>
    <cellStyle name="_Copy of HPI CALCULATION 2008 TEST_WEEKLY SHIPMENT REQUEST 22-JAN-2010 2" xfId="26956"/>
    <cellStyle name="_Copy of HPI CALCULATION 2008 TEST_WEEKLY SHIPMENT REQUEST 22-JAN-2010 3" xfId="26957"/>
    <cellStyle name="_Copy of HPI CALCULATION 2008 TEST_WEEKLY SHIPMENT REQUEST 25-SEPT-09" xfId="26958"/>
    <cellStyle name="_Copy of HPI CALCULATION 2008 TEST_WEEKLY SHIPMENT REQUEST 25-SEPT-09 2" xfId="26959"/>
    <cellStyle name="_Copy of HPI CALCULATION 2008 TEST_WEEKLY SHIPMENT REQUEST 25-SEPT-09 3" xfId="26960"/>
    <cellStyle name="_Copy of HPI CALCULATION 2008 TEST_WEEKLY SHIPMENT REQUEST 29-JAN-10 (2)" xfId="26961"/>
    <cellStyle name="_Copy of HPI CALCULATION 2008 TEST_WEEKLY SHIPMENT REQUEST 29-JAN-10 (2) 2" xfId="26962"/>
    <cellStyle name="_Copy of HPI CALCULATION 2008 TEST_WEEKLY SHIPMENT REQUEST 29-JAN-10 (2) 3" xfId="26963"/>
    <cellStyle name="_Copy of HPI CALCULATION 2008 TEST_WEEKLY SHIPMENT REQUEST 29-JAN-10 (2)_WEEKLY SHIPMENT REQUEST 29-JAN-10 (2)" xfId="26964"/>
    <cellStyle name="_Copy of HPI CALCULATION 2008 TEST_WEEKLY SHIPMENT REQUEST 29-JAN-10 (2)_WEEKLY SHIPMENT REQUEST 29-JAN-10 (2) 2" xfId="26965"/>
    <cellStyle name="_Copy of HPI CALCULATION 2008 TEST_WEEKLY SHIPMENT REQUEST 29-JAN-10 (2)_WEEKLY SHIPMENT REQUEST 29-JAN-10 (2) 3" xfId="26966"/>
    <cellStyle name="_Copy-2 of hpi calculation." xfId="190"/>
    <cellStyle name="_Copy-2 of hpi calculation. 2" xfId="191"/>
    <cellStyle name="_Copy-2 of hpi calculation. 2 2" xfId="26967"/>
    <cellStyle name="_Copy-2 of hpi calculation. 3" xfId="192"/>
    <cellStyle name="_Copy-2 of hpi calculation. 4" xfId="26968"/>
    <cellStyle name="_Copy-2 of hpi calculation. 5" xfId="26969"/>
    <cellStyle name="_Copy-2 of hpi calculation. 6" xfId="26970"/>
    <cellStyle name="_Copy-2 of hpi calculation._0" xfId="26971"/>
    <cellStyle name="_Copy-2 of hpi calculation._0 2" xfId="26972"/>
    <cellStyle name="_Copy-2 of hpi calculation._0 3" xfId="26973"/>
    <cellStyle name="_Copy-2 of hpi calculation._09.04.10" xfId="26974"/>
    <cellStyle name="_Copy-2 of hpi calculation._09.04.10 2" xfId="26975"/>
    <cellStyle name="_Copy-2 of hpi calculation._09.04.10 3" xfId="26976"/>
    <cellStyle name="_Copy-2 of hpi calculation._18.12.09" xfId="193"/>
    <cellStyle name="_Copy-2 of hpi calculation._18.12.09 2" xfId="194"/>
    <cellStyle name="_Copy-2 of hpi calculation._18.12.09 2 2" xfId="26977"/>
    <cellStyle name="_Copy-2 of hpi calculation._18.12.09 3" xfId="195"/>
    <cellStyle name="_Copy-2 of hpi calculation._18.12.09 4" xfId="26978"/>
    <cellStyle name="_Copy-2 of hpi calculation._18.12.09 5" xfId="26979"/>
    <cellStyle name="_Copy-2 of hpi calculation._18.12.09 6" xfId="26980"/>
    <cellStyle name="_Copy-2 of hpi calculation._25-Dec-09" xfId="26981"/>
    <cellStyle name="_Copy-2 of hpi calculation._25-Dec-09 2" xfId="26982"/>
    <cellStyle name="_Copy-2 of hpi calculation._25-Dec-09 3" xfId="26983"/>
    <cellStyle name="_Copy-2 of hpi calculation._29.12.09" xfId="26984"/>
    <cellStyle name="_Copy-2 of hpi calculation._29.12.09 2" xfId="26985"/>
    <cellStyle name="_Copy-2 of hpi calculation._29.12.09 3" xfId="26986"/>
    <cellStyle name="_Copy-2 of hpi calculation._ARCO" xfId="26987"/>
    <cellStyle name="_Copy-2 of hpi calculation._ARCO 2" xfId="26988"/>
    <cellStyle name="_Copy-2 of hpi calculation._ARCO 3" xfId="26989"/>
    <cellStyle name="_Copy-2 of hpi calculation._BIGMATE" xfId="26990"/>
    <cellStyle name="_Copy-2 of hpi calculation._BIGMATE 2" xfId="26991"/>
    <cellStyle name="_Copy-2 of hpi calculation._BIGMATE 3" xfId="26992"/>
    <cellStyle name="_Copy-2 of hpi calculation._CONFIRMATION OF RMS 2009" xfId="26993"/>
    <cellStyle name="_Copy-2 of hpi calculation._CONFIRMATION OF RMS 2009 2" xfId="26994"/>
    <cellStyle name="_Copy-2 of hpi calculation._CONFIRMATION OF RMS 2009 3" xfId="26995"/>
    <cellStyle name="_Copy-2 of hpi calculation._CONFIRMATION OF RMS 2010" xfId="26996"/>
    <cellStyle name="_Copy-2 of hpi calculation._CONFIRMATION OF RMS 2010 2" xfId="26997"/>
    <cellStyle name="_Copy-2 of hpi calculation._CONFIRMATION OF RMS 2010 3" xfId="26998"/>
    <cellStyle name="_Copy-2 of hpi calculation._DAIKYO (2)" xfId="26999"/>
    <cellStyle name="_Copy-2 of hpi calculation._DAIKYO (2) 2" xfId="27000"/>
    <cellStyle name="_Copy-2 of hpi calculation._DAIKYO (2) 3" xfId="27001"/>
    <cellStyle name="_Copy-2 of hpi calculation._FU" xfId="27002"/>
    <cellStyle name="_Copy-2 of hpi calculation._FU 2" xfId="27003"/>
    <cellStyle name="_Copy-2 of hpi calculation._FU 3" xfId="27004"/>
    <cellStyle name="_Copy-2 of hpi calculation._GMTI" xfId="27005"/>
    <cellStyle name="_Copy-2 of hpi calculation._GMTI 2" xfId="27006"/>
    <cellStyle name="_Copy-2 of hpi calculation._GMTI 3" xfId="27007"/>
    <cellStyle name="_Copy-2 of hpi calculation._IWAKAMI (2)" xfId="27008"/>
    <cellStyle name="_Copy-2 of hpi calculation._IWAKAMI (2) 2" xfId="27009"/>
    <cellStyle name="_Copy-2 of hpi calculation._IWAKAMI (2) 3" xfId="27010"/>
    <cellStyle name="_Copy-2 of hpi calculation._LAGUNAMETTS" xfId="27011"/>
    <cellStyle name="_Copy-2 of hpi calculation._LAGUNAMETTS 2" xfId="27012"/>
    <cellStyle name="_Copy-2 of hpi calculation._LAGUNAMETTS 3" xfId="27013"/>
    <cellStyle name="_Copy-2 of hpi calculation._May 2009 Forecast" xfId="196"/>
    <cellStyle name="_Copy-2 of hpi calculation._May 2009 Forecast 2" xfId="197"/>
    <cellStyle name="_Copy-2 of hpi calculation._May 2009 Forecast 2 2" xfId="27014"/>
    <cellStyle name="_Copy-2 of hpi calculation._May 2009 Forecast 3" xfId="198"/>
    <cellStyle name="_Copy-2 of hpi calculation._May 2009 Forecast 4" xfId="27015"/>
    <cellStyle name="_Copy-2 of hpi calculation._May 2009 Forecast 5" xfId="27016"/>
    <cellStyle name="_Copy-2 of hpi calculation._May 2009 Forecast 6" xfId="27017"/>
    <cellStyle name="_Copy-2 of hpi calculation._May 2009 Forecast_SANWA" xfId="199"/>
    <cellStyle name="_Copy-2 of hpi calculation._May 2009 Forecast_SANWA 2" xfId="200"/>
    <cellStyle name="_Copy-2 of hpi calculation._May 2009 Forecast_SANWA 2 2" xfId="27018"/>
    <cellStyle name="_Copy-2 of hpi calculation._May 2009 Forecast_SANWA 3" xfId="201"/>
    <cellStyle name="_Copy-2 of hpi calculation._May 2009 Forecast_SANWA 4" xfId="27019"/>
    <cellStyle name="_Copy-2 of hpi calculation._May 2009 Forecast_SANWA 5" xfId="27020"/>
    <cellStyle name="_Copy-2 of hpi calculation._May 2009 Forecast_SANWA 6" xfId="27021"/>
    <cellStyle name="_Copy-2 of hpi calculation._MINGHONG" xfId="27022"/>
    <cellStyle name="_Copy-2 of hpi calculation._MINGHONG 2" xfId="27023"/>
    <cellStyle name="_Copy-2 of hpi calculation._MINGHONG 3" xfId="27024"/>
    <cellStyle name="_Copy-2 of hpi calculation._SANWA" xfId="202"/>
    <cellStyle name="_Copy-2 of hpi calculation._SANWA 2" xfId="203"/>
    <cellStyle name="_Copy-2 of hpi calculation._SANWA 2 2" xfId="27025"/>
    <cellStyle name="_Copy-2 of hpi calculation._SANWA 3" xfId="204"/>
    <cellStyle name="_Copy-2 of hpi calculation._SANWA 4" xfId="27026"/>
    <cellStyle name="_Copy-2 of hpi calculation._SANWA 5" xfId="27027"/>
    <cellStyle name="_Copy-2 of hpi calculation._SANWA 6" xfId="27028"/>
    <cellStyle name="_Copy-2 of hpi calculation._Sheet1" xfId="27029"/>
    <cellStyle name="_Copy-2 of hpi calculation._Sheet1 2" xfId="27030"/>
    <cellStyle name="_Copy-2 of hpi calculation._Sheet1 3" xfId="27031"/>
    <cellStyle name="_Copy-2 of hpi calculation._Sheet2" xfId="205"/>
    <cellStyle name="_Copy-2 of hpi calculation._Sheet2 2" xfId="206"/>
    <cellStyle name="_Copy-2 of hpi calculation._Sheet2 2 2" xfId="27032"/>
    <cellStyle name="_Copy-2 of hpi calculation._Sheet2 3" xfId="207"/>
    <cellStyle name="_Copy-2 of hpi calculation._Sheet2 4" xfId="27033"/>
    <cellStyle name="_Copy-2 of hpi calculation._Sheet2 5" xfId="27034"/>
    <cellStyle name="_Copy-2 of hpi calculation._Sheet2 6" xfId="27035"/>
    <cellStyle name="_Copy-2 of hpi calculation._SUMMARY OF SRM" xfId="208"/>
    <cellStyle name="_Copy-2 of hpi calculation._SUMMARY OF SRM 2" xfId="209"/>
    <cellStyle name="_Copy-2 of hpi calculation._SUMMARY OF SRM 2 2" xfId="27036"/>
    <cellStyle name="_Copy-2 of hpi calculation._SUMMARY OF SRM 3" xfId="210"/>
    <cellStyle name="_Copy-2 of hpi calculation._SUMMARY OF SRM 4" xfId="27037"/>
    <cellStyle name="_Copy-2 of hpi calculation._SUMMARY OF SRM 5" xfId="27038"/>
    <cellStyle name="_Copy-2 of hpi calculation._SUMMARY OF SRM 6" xfId="27039"/>
    <cellStyle name="_Copy-2 of hpi calculation._WEEKLY SHIPMENT REQUEST 02-OCT-09" xfId="27040"/>
    <cellStyle name="_Copy-2 of hpi calculation._WEEKLY SHIPMENT REQUEST 02-OCT-09 2" xfId="27041"/>
    <cellStyle name="_Copy-2 of hpi calculation._WEEKLY SHIPMENT REQUEST 02-OCT-09 3" xfId="27042"/>
    <cellStyle name="_Copy-2 of hpi calculation._WEEKLY SHIPMENT REQUEST 05-FEB-10" xfId="27043"/>
    <cellStyle name="_Copy-2 of hpi calculation._WEEKLY SHIPMENT REQUEST 05-FEB-10 2" xfId="27044"/>
    <cellStyle name="_Copy-2 of hpi calculation._WEEKLY SHIPMENT REQUEST 05-FEB-10 3" xfId="27045"/>
    <cellStyle name="_Copy-2 of hpi calculation._WEEKLY SHIPMENT REQUEST 06-NOV-09" xfId="27046"/>
    <cellStyle name="_Copy-2 of hpi calculation._WEEKLY SHIPMENT REQUEST 06-NOV-09 (2)" xfId="27047"/>
    <cellStyle name="_Copy-2 of hpi calculation._WEEKLY SHIPMENT REQUEST 06-NOV-09 (2) 2" xfId="27048"/>
    <cellStyle name="_Copy-2 of hpi calculation._WEEKLY SHIPMENT REQUEST 06-NOV-09 (2) 3" xfId="27049"/>
    <cellStyle name="_Copy-2 of hpi calculation._WEEKLY SHIPMENT REQUEST 06-NOV-09 10" xfId="27050"/>
    <cellStyle name="_Copy-2 of hpi calculation._WEEKLY SHIPMENT REQUEST 06-NOV-09 11" xfId="27051"/>
    <cellStyle name="_Copy-2 of hpi calculation._WEEKLY SHIPMENT REQUEST 06-NOV-09 2" xfId="27052"/>
    <cellStyle name="_Copy-2 of hpi calculation._WEEKLY SHIPMENT REQUEST 06-NOV-09 3" xfId="27053"/>
    <cellStyle name="_Copy-2 of hpi calculation._WEEKLY SHIPMENT REQUEST 06-NOV-09 4" xfId="27054"/>
    <cellStyle name="_Copy-2 of hpi calculation._WEEKLY SHIPMENT REQUEST 06-NOV-09 5" xfId="27055"/>
    <cellStyle name="_Copy-2 of hpi calculation._WEEKLY SHIPMENT REQUEST 06-NOV-09 6" xfId="27056"/>
    <cellStyle name="_Copy-2 of hpi calculation._WEEKLY SHIPMENT REQUEST 06-NOV-09 7" xfId="27057"/>
    <cellStyle name="_Copy-2 of hpi calculation._WEEKLY SHIPMENT REQUEST 06-NOV-09 8" xfId="27058"/>
    <cellStyle name="_Copy-2 of hpi calculation._WEEKLY SHIPMENT REQUEST 06-NOV-09 9" xfId="27059"/>
    <cellStyle name="_Copy-2 of hpi calculation._WEEKLY SHIPMENT REQUEST 08-JAN-10" xfId="27060"/>
    <cellStyle name="_Copy-2 of hpi calculation._WEEKLY SHIPMENT REQUEST 08-JAN-10 2" xfId="27061"/>
    <cellStyle name="_Copy-2 of hpi calculation._WEEKLY SHIPMENT REQUEST 08-JAN-10 3" xfId="27062"/>
    <cellStyle name="_Copy-2 of hpi calculation._WEEKLY SHIPMENT REQUEST 11-DEC-09 (2)" xfId="211"/>
    <cellStyle name="_Copy-2 of hpi calculation._WEEKLY SHIPMENT REQUEST 11-DEC-09 (2) 2" xfId="212"/>
    <cellStyle name="_Copy-2 of hpi calculation._WEEKLY SHIPMENT REQUEST 11-DEC-09 (2) 2 2" xfId="27063"/>
    <cellStyle name="_Copy-2 of hpi calculation._WEEKLY SHIPMENT REQUEST 11-DEC-09 (2) 3" xfId="213"/>
    <cellStyle name="_Copy-2 of hpi calculation._WEEKLY SHIPMENT REQUEST 11-DEC-09 (2) 4" xfId="27064"/>
    <cellStyle name="_Copy-2 of hpi calculation._WEEKLY SHIPMENT REQUEST 11-DEC-09 (2) 5" xfId="27065"/>
    <cellStyle name="_Copy-2 of hpi calculation._WEEKLY SHIPMENT REQUEST 11-DEC-09 (2) 6" xfId="27066"/>
    <cellStyle name="_Copy-2 of hpi calculation._WEEKLY SHIPMENT REQUEST 13-NOV-09" xfId="27067"/>
    <cellStyle name="_Copy-2 of hpi calculation._WEEKLY SHIPMENT REQUEST 13-NOV-09 2" xfId="27068"/>
    <cellStyle name="_Copy-2 of hpi calculation._WEEKLY SHIPMENT REQUEST 13-NOV-09 3" xfId="27069"/>
    <cellStyle name="_Copy-2 of hpi calculation._WEEKLY SHIPMENT REQUEST 15-JAN-10" xfId="27070"/>
    <cellStyle name="_Copy-2 of hpi calculation._WEEKLY SHIPMENT REQUEST 15-JAN-10 2" xfId="27071"/>
    <cellStyle name="_Copy-2 of hpi calculation._WEEKLY SHIPMENT REQUEST 15-JAN-10 3" xfId="27072"/>
    <cellStyle name="_Copy-2 of hpi calculation._WEEKLY SHIPMENT REQUEST 16-OCT-09" xfId="27073"/>
    <cellStyle name="_Copy-2 of hpi calculation._WEEKLY SHIPMENT REQUEST 16-OCT-09 2" xfId="27074"/>
    <cellStyle name="_Copy-2 of hpi calculation._WEEKLY SHIPMENT REQUEST 16-OCT-09 3" xfId="27075"/>
    <cellStyle name="_Copy-2 of hpi calculation._WEEKLY SHIPMENT REQUEST 18-SEPT-09" xfId="27076"/>
    <cellStyle name="_Copy-2 of hpi calculation._WEEKLY SHIPMENT REQUEST 18-SEPT-09 2" xfId="27077"/>
    <cellStyle name="_Copy-2 of hpi calculation._WEEKLY SHIPMENT REQUEST 18-SEPT-09 3" xfId="27078"/>
    <cellStyle name="_Copy-2 of hpi calculation._WEEKLY SHIPMENT REQUEST 22-JAN-2010" xfId="27079"/>
    <cellStyle name="_Copy-2 of hpi calculation._WEEKLY SHIPMENT REQUEST 22-JAN-2010 2" xfId="27080"/>
    <cellStyle name="_Copy-2 of hpi calculation._WEEKLY SHIPMENT REQUEST 22-JAN-2010 3" xfId="27081"/>
    <cellStyle name="_Copy-2 of hpi calculation._WEEKLY SHIPMENT REQUEST 25-SEPT-09" xfId="27082"/>
    <cellStyle name="_Copy-2 of hpi calculation._WEEKLY SHIPMENT REQUEST 25-SEPT-09 2" xfId="27083"/>
    <cellStyle name="_Copy-2 of hpi calculation._WEEKLY SHIPMENT REQUEST 25-SEPT-09 3" xfId="27084"/>
    <cellStyle name="_Copy-2 of hpi calculation._WEEKLY SHIPMENT REQUEST 29-JAN-10 (2)" xfId="27085"/>
    <cellStyle name="_Copy-2 of hpi calculation._WEEKLY SHIPMENT REQUEST 29-JAN-10 (2) 2" xfId="27086"/>
    <cellStyle name="_Copy-2 of hpi calculation._WEEKLY SHIPMENT REQUEST 29-JAN-10 (2) 3" xfId="27087"/>
    <cellStyle name="_Copy-2 of hpi calculation._WEEKLY SHIPMENT REQUEST 29-JAN-10 (2)_WEEKLY SHIPMENT REQUEST 29-JAN-10 (2)" xfId="27088"/>
    <cellStyle name="_Copy-2 of hpi calculation._WEEKLY SHIPMENT REQUEST 29-JAN-10 (2)_WEEKLY SHIPMENT REQUEST 29-JAN-10 (2) 2" xfId="27089"/>
    <cellStyle name="_Copy-2 of hpi calculation._WEEKLY SHIPMENT REQUEST 29-JAN-10 (2)_WEEKLY SHIPMENT REQUEST 29-JAN-10 (2) 3" xfId="27090"/>
    <cellStyle name="_DAIKYO (2)" xfId="27091"/>
    <cellStyle name="_DAIKYO (2) 2" xfId="27092"/>
    <cellStyle name="_DAIKYO (2) 3" xfId="27093"/>
    <cellStyle name="_Dec" xfId="214"/>
    <cellStyle name="_Dec 2" xfId="215"/>
    <cellStyle name="_Dec 2 2" xfId="27094"/>
    <cellStyle name="_Dec 3" xfId="216"/>
    <cellStyle name="_Dec 4" xfId="27095"/>
    <cellStyle name="_Dec 5" xfId="27096"/>
    <cellStyle name="_Dec 6" xfId="27097"/>
    <cellStyle name="_DEC. RETURN 2009" xfId="27098"/>
    <cellStyle name="_DEC. RETURN 2009 2" xfId="27099"/>
    <cellStyle name="_DEC. RETURN 2009 3" xfId="27100"/>
    <cellStyle name="_December Summary" xfId="217"/>
    <cellStyle name="_DETAILED LME 2009" xfId="27101"/>
    <cellStyle name="_DETAILED LME 2009 2" xfId="27102"/>
    <cellStyle name="_DETAILED LME 2009 3" xfId="27103"/>
    <cellStyle name="_Disposal Report (as of November 2009)" xfId="218"/>
    <cellStyle name="_Disposal Report (as of September 2009)" xfId="219"/>
    <cellStyle name="_Disposal Report 2010" xfId="220"/>
    <cellStyle name="_DWR APRIL UPDATED" xfId="221"/>
    <cellStyle name="_DWR MARCH (UPDATED)" xfId="222"/>
    <cellStyle name="_February Summary" xfId="223"/>
    <cellStyle name="_FU" xfId="27104"/>
    <cellStyle name="_FU 2" xfId="27105"/>
    <cellStyle name="_FU 3" xfId="27106"/>
    <cellStyle name="_GMTI" xfId="27107"/>
    <cellStyle name="_GMTI 2" xfId="27108"/>
    <cellStyle name="_GMTI 3" xfId="27109"/>
    <cellStyle name="_HPI CALCULATION 2007" xfId="224"/>
    <cellStyle name="_HPI CALCULATION 2007 2" xfId="225"/>
    <cellStyle name="_HPI CALCULATION 2007 2 2" xfId="27110"/>
    <cellStyle name="_HPI CALCULATION 2007 3" xfId="226"/>
    <cellStyle name="_HPI CALCULATION 2007 4" xfId="27111"/>
    <cellStyle name="_HPI CALCULATION 2007 5" xfId="27112"/>
    <cellStyle name="_HPI CALCULATION 2007 6" xfId="27113"/>
    <cellStyle name="_HPI CALCULATION 2007 tutor" xfId="227"/>
    <cellStyle name="_HPI CALCULATION 2007 tutor 2" xfId="228"/>
    <cellStyle name="_HPI CALCULATION 2007 tutor 2 2" xfId="27114"/>
    <cellStyle name="_HPI CALCULATION 2007 tutor 3" xfId="229"/>
    <cellStyle name="_HPI CALCULATION 2007 tutor 4" xfId="27115"/>
    <cellStyle name="_HPI CALCULATION 2007 tutor 5" xfId="27116"/>
    <cellStyle name="_HPI CALCULATION 2007 tutor 6" xfId="27117"/>
    <cellStyle name="_HPI CALCULATION 2007 tutor_0" xfId="27118"/>
    <cellStyle name="_HPI CALCULATION 2007 tutor_0 2" xfId="27119"/>
    <cellStyle name="_HPI CALCULATION 2007 tutor_0 3" xfId="27120"/>
    <cellStyle name="_HPI CALCULATION 2007 tutor_09.04.10" xfId="27121"/>
    <cellStyle name="_HPI CALCULATION 2007 tutor_09.04.10 2" xfId="27122"/>
    <cellStyle name="_HPI CALCULATION 2007 tutor_09.04.10 3" xfId="27123"/>
    <cellStyle name="_HPI CALCULATION 2007 tutor_18.12.09" xfId="230"/>
    <cellStyle name="_HPI CALCULATION 2007 tutor_18.12.09 2" xfId="231"/>
    <cellStyle name="_HPI CALCULATION 2007 tutor_18.12.09 2 2" xfId="27124"/>
    <cellStyle name="_HPI CALCULATION 2007 tutor_18.12.09 3" xfId="232"/>
    <cellStyle name="_HPI CALCULATION 2007 tutor_18.12.09 4" xfId="27125"/>
    <cellStyle name="_HPI CALCULATION 2007 tutor_18.12.09 5" xfId="27126"/>
    <cellStyle name="_HPI CALCULATION 2007 tutor_18.12.09 6" xfId="27127"/>
    <cellStyle name="_HPI CALCULATION 2007 tutor_25-Dec-09" xfId="27128"/>
    <cellStyle name="_HPI CALCULATION 2007 tutor_25-Dec-09 2" xfId="27129"/>
    <cellStyle name="_HPI CALCULATION 2007 tutor_25-Dec-09 3" xfId="27130"/>
    <cellStyle name="_HPI CALCULATION 2007 tutor_29.12.09" xfId="27131"/>
    <cellStyle name="_HPI CALCULATION 2007 tutor_29.12.09 2" xfId="27132"/>
    <cellStyle name="_HPI CALCULATION 2007 tutor_29.12.09 3" xfId="27133"/>
    <cellStyle name="_HPI CALCULATION 2007 tutor_ARCO" xfId="27134"/>
    <cellStyle name="_HPI CALCULATION 2007 tutor_ARCO 2" xfId="27135"/>
    <cellStyle name="_HPI CALCULATION 2007 tutor_ARCO 3" xfId="27136"/>
    <cellStyle name="_HPI CALCULATION 2007 tutor_BIGMATE" xfId="27137"/>
    <cellStyle name="_HPI CALCULATION 2007 tutor_BIGMATE 2" xfId="27138"/>
    <cellStyle name="_HPI CALCULATION 2007 tutor_BIGMATE 3" xfId="27139"/>
    <cellStyle name="_HPI CALCULATION 2007 tutor_CONFIRMATION OF RMS 2009" xfId="27140"/>
    <cellStyle name="_HPI CALCULATION 2007 tutor_CONFIRMATION OF RMS 2009 2" xfId="27141"/>
    <cellStyle name="_HPI CALCULATION 2007 tutor_CONFIRMATION OF RMS 2009 3" xfId="27142"/>
    <cellStyle name="_HPI CALCULATION 2007 tutor_CONFIRMATION OF RMS 2010" xfId="27143"/>
    <cellStyle name="_HPI CALCULATION 2007 tutor_CONFIRMATION OF RMS 2010 2" xfId="27144"/>
    <cellStyle name="_HPI CALCULATION 2007 tutor_CONFIRMATION OF RMS 2010 3" xfId="27145"/>
    <cellStyle name="_HPI CALCULATION 2007 tutor_DAIKYO (2)" xfId="27146"/>
    <cellStyle name="_HPI CALCULATION 2007 tutor_DAIKYO (2) 2" xfId="27147"/>
    <cellStyle name="_HPI CALCULATION 2007 tutor_DAIKYO (2) 3" xfId="27148"/>
    <cellStyle name="_HPI CALCULATION 2007 tutor_FU" xfId="27149"/>
    <cellStyle name="_HPI CALCULATION 2007 tutor_FU 2" xfId="27150"/>
    <cellStyle name="_HPI CALCULATION 2007 tutor_FU 3" xfId="27151"/>
    <cellStyle name="_HPI CALCULATION 2007 tutor_GMTI" xfId="27152"/>
    <cellStyle name="_HPI CALCULATION 2007 tutor_GMTI 2" xfId="27153"/>
    <cellStyle name="_HPI CALCULATION 2007 tutor_GMTI 3" xfId="27154"/>
    <cellStyle name="_HPI CALCULATION 2007 tutor_IWAKAMI (2)" xfId="27155"/>
    <cellStyle name="_HPI CALCULATION 2007 tutor_IWAKAMI (2) 2" xfId="27156"/>
    <cellStyle name="_HPI CALCULATION 2007 tutor_IWAKAMI (2) 3" xfId="27157"/>
    <cellStyle name="_HPI CALCULATION 2007 tutor_LAGUNAMETTS" xfId="27158"/>
    <cellStyle name="_HPI CALCULATION 2007 tutor_LAGUNAMETTS 2" xfId="27159"/>
    <cellStyle name="_HPI CALCULATION 2007 tutor_LAGUNAMETTS 3" xfId="27160"/>
    <cellStyle name="_HPI CALCULATION 2007 tutor_May 2009 Forecast" xfId="233"/>
    <cellStyle name="_HPI CALCULATION 2007 tutor_May 2009 Forecast 2" xfId="234"/>
    <cellStyle name="_HPI CALCULATION 2007 tutor_May 2009 Forecast 2 2" xfId="27161"/>
    <cellStyle name="_HPI CALCULATION 2007 tutor_May 2009 Forecast 3" xfId="235"/>
    <cellStyle name="_HPI CALCULATION 2007 tutor_May 2009 Forecast 4" xfId="27162"/>
    <cellStyle name="_HPI CALCULATION 2007 tutor_May 2009 Forecast 5" xfId="27163"/>
    <cellStyle name="_HPI CALCULATION 2007 tutor_May 2009 Forecast 6" xfId="27164"/>
    <cellStyle name="_HPI CALCULATION 2007 tutor_May 2009 Forecast_SANWA" xfId="236"/>
    <cellStyle name="_HPI CALCULATION 2007 tutor_May 2009 Forecast_SANWA 2" xfId="237"/>
    <cellStyle name="_HPI CALCULATION 2007 tutor_May 2009 Forecast_SANWA 2 2" xfId="27165"/>
    <cellStyle name="_HPI CALCULATION 2007 tutor_May 2009 Forecast_SANWA 3" xfId="238"/>
    <cellStyle name="_HPI CALCULATION 2007 tutor_May 2009 Forecast_SANWA 4" xfId="27166"/>
    <cellStyle name="_HPI CALCULATION 2007 tutor_May 2009 Forecast_SANWA 5" xfId="27167"/>
    <cellStyle name="_HPI CALCULATION 2007 tutor_May 2009 Forecast_SANWA 6" xfId="27168"/>
    <cellStyle name="_HPI CALCULATION 2007 tutor_MINGHONG" xfId="27169"/>
    <cellStyle name="_HPI CALCULATION 2007 tutor_MINGHONG 2" xfId="27170"/>
    <cellStyle name="_HPI CALCULATION 2007 tutor_MINGHONG 3" xfId="27171"/>
    <cellStyle name="_HPI CALCULATION 2007 tutor_SANWA" xfId="239"/>
    <cellStyle name="_HPI CALCULATION 2007 tutor_SANWA 2" xfId="240"/>
    <cellStyle name="_HPI CALCULATION 2007 tutor_SANWA 2 2" xfId="27172"/>
    <cellStyle name="_HPI CALCULATION 2007 tutor_SANWA 3" xfId="241"/>
    <cellStyle name="_HPI CALCULATION 2007 tutor_SANWA 4" xfId="27173"/>
    <cellStyle name="_HPI CALCULATION 2007 tutor_SANWA 5" xfId="27174"/>
    <cellStyle name="_HPI CALCULATION 2007 tutor_SANWA 6" xfId="27175"/>
    <cellStyle name="_HPI CALCULATION 2007 tutor_Sheet1" xfId="27176"/>
    <cellStyle name="_HPI CALCULATION 2007 tutor_Sheet1 2" xfId="27177"/>
    <cellStyle name="_HPI CALCULATION 2007 tutor_Sheet1 3" xfId="27178"/>
    <cellStyle name="_HPI CALCULATION 2007 tutor_Sheet2" xfId="242"/>
    <cellStyle name="_HPI CALCULATION 2007 tutor_Sheet2 2" xfId="243"/>
    <cellStyle name="_HPI CALCULATION 2007 tutor_Sheet2 2 2" xfId="27179"/>
    <cellStyle name="_HPI CALCULATION 2007 tutor_Sheet2 3" xfId="244"/>
    <cellStyle name="_HPI CALCULATION 2007 tutor_Sheet2 4" xfId="27180"/>
    <cellStyle name="_HPI CALCULATION 2007 tutor_Sheet2 5" xfId="27181"/>
    <cellStyle name="_HPI CALCULATION 2007 tutor_Sheet2 6" xfId="27182"/>
    <cellStyle name="_HPI CALCULATION 2007 tutor_SUMMARY OF SRM" xfId="245"/>
    <cellStyle name="_HPI CALCULATION 2007 tutor_SUMMARY OF SRM 2" xfId="246"/>
    <cellStyle name="_HPI CALCULATION 2007 tutor_SUMMARY OF SRM 2 2" xfId="27183"/>
    <cellStyle name="_HPI CALCULATION 2007 tutor_SUMMARY OF SRM 3" xfId="247"/>
    <cellStyle name="_HPI CALCULATION 2007 tutor_SUMMARY OF SRM 4" xfId="27184"/>
    <cellStyle name="_HPI CALCULATION 2007 tutor_SUMMARY OF SRM 5" xfId="27185"/>
    <cellStyle name="_HPI CALCULATION 2007 tutor_SUMMARY OF SRM 6" xfId="27186"/>
    <cellStyle name="_HPI CALCULATION 2007 tutor_WEEKLY SHIPMENT REQUEST 02-OCT-09" xfId="27187"/>
    <cellStyle name="_HPI CALCULATION 2007 tutor_WEEKLY SHIPMENT REQUEST 02-OCT-09 2" xfId="27188"/>
    <cellStyle name="_HPI CALCULATION 2007 tutor_WEEKLY SHIPMENT REQUEST 02-OCT-09 3" xfId="27189"/>
    <cellStyle name="_HPI CALCULATION 2007 tutor_WEEKLY SHIPMENT REQUEST 05-FEB-10" xfId="27190"/>
    <cellStyle name="_HPI CALCULATION 2007 tutor_WEEKLY SHIPMENT REQUEST 05-FEB-10 2" xfId="27191"/>
    <cellStyle name="_HPI CALCULATION 2007 tutor_WEEKLY SHIPMENT REQUEST 05-FEB-10 3" xfId="27192"/>
    <cellStyle name="_HPI CALCULATION 2007 tutor_WEEKLY SHIPMENT REQUEST 06-NOV-09" xfId="27193"/>
    <cellStyle name="_HPI CALCULATION 2007 tutor_WEEKLY SHIPMENT REQUEST 06-NOV-09 (2)" xfId="27194"/>
    <cellStyle name="_HPI CALCULATION 2007 tutor_WEEKLY SHIPMENT REQUEST 06-NOV-09 (2) 2" xfId="27195"/>
    <cellStyle name="_HPI CALCULATION 2007 tutor_WEEKLY SHIPMENT REQUEST 06-NOV-09 (2) 3" xfId="27196"/>
    <cellStyle name="_HPI CALCULATION 2007 tutor_WEEKLY SHIPMENT REQUEST 06-NOV-09 10" xfId="27197"/>
    <cellStyle name="_HPI CALCULATION 2007 tutor_WEEKLY SHIPMENT REQUEST 06-NOV-09 11" xfId="27198"/>
    <cellStyle name="_HPI CALCULATION 2007 tutor_WEEKLY SHIPMENT REQUEST 06-NOV-09 2" xfId="27199"/>
    <cellStyle name="_HPI CALCULATION 2007 tutor_WEEKLY SHIPMENT REQUEST 06-NOV-09 3" xfId="27200"/>
    <cellStyle name="_HPI CALCULATION 2007 tutor_WEEKLY SHIPMENT REQUEST 06-NOV-09 4" xfId="27201"/>
    <cellStyle name="_HPI CALCULATION 2007 tutor_WEEKLY SHIPMENT REQUEST 06-NOV-09 5" xfId="27202"/>
    <cellStyle name="_HPI CALCULATION 2007 tutor_WEEKLY SHIPMENT REQUEST 06-NOV-09 6" xfId="27203"/>
    <cellStyle name="_HPI CALCULATION 2007 tutor_WEEKLY SHIPMENT REQUEST 06-NOV-09 7" xfId="27204"/>
    <cellStyle name="_HPI CALCULATION 2007 tutor_WEEKLY SHIPMENT REQUEST 06-NOV-09 8" xfId="27205"/>
    <cellStyle name="_HPI CALCULATION 2007 tutor_WEEKLY SHIPMENT REQUEST 06-NOV-09 9" xfId="27206"/>
    <cellStyle name="_HPI CALCULATION 2007 tutor_WEEKLY SHIPMENT REQUEST 08-JAN-10" xfId="27207"/>
    <cellStyle name="_HPI CALCULATION 2007 tutor_WEEKLY SHIPMENT REQUEST 08-JAN-10 2" xfId="27208"/>
    <cellStyle name="_HPI CALCULATION 2007 tutor_WEEKLY SHIPMENT REQUEST 08-JAN-10 3" xfId="27209"/>
    <cellStyle name="_HPI CALCULATION 2007 tutor_WEEKLY SHIPMENT REQUEST 11-DEC-09 (2)" xfId="248"/>
    <cellStyle name="_HPI CALCULATION 2007 tutor_WEEKLY SHIPMENT REQUEST 11-DEC-09 (2) 2" xfId="249"/>
    <cellStyle name="_HPI CALCULATION 2007 tutor_WEEKLY SHIPMENT REQUEST 11-DEC-09 (2) 2 2" xfId="27210"/>
    <cellStyle name="_HPI CALCULATION 2007 tutor_WEEKLY SHIPMENT REQUEST 11-DEC-09 (2) 3" xfId="250"/>
    <cellStyle name="_HPI CALCULATION 2007 tutor_WEEKLY SHIPMENT REQUEST 11-DEC-09 (2) 4" xfId="27211"/>
    <cellStyle name="_HPI CALCULATION 2007 tutor_WEEKLY SHIPMENT REQUEST 11-DEC-09 (2) 5" xfId="27212"/>
    <cellStyle name="_HPI CALCULATION 2007 tutor_WEEKLY SHIPMENT REQUEST 11-DEC-09 (2) 6" xfId="27213"/>
    <cellStyle name="_HPI CALCULATION 2007 tutor_WEEKLY SHIPMENT REQUEST 13-NOV-09" xfId="27214"/>
    <cellStyle name="_HPI CALCULATION 2007 tutor_WEEKLY SHIPMENT REQUEST 13-NOV-09 2" xfId="27215"/>
    <cellStyle name="_HPI CALCULATION 2007 tutor_WEEKLY SHIPMENT REQUEST 13-NOV-09 3" xfId="27216"/>
    <cellStyle name="_HPI CALCULATION 2007 tutor_WEEKLY SHIPMENT REQUEST 15-JAN-10" xfId="27217"/>
    <cellStyle name="_HPI CALCULATION 2007 tutor_WEEKLY SHIPMENT REQUEST 15-JAN-10 2" xfId="27218"/>
    <cellStyle name="_HPI CALCULATION 2007 tutor_WEEKLY SHIPMENT REQUEST 15-JAN-10 3" xfId="27219"/>
    <cellStyle name="_HPI CALCULATION 2007 tutor_WEEKLY SHIPMENT REQUEST 16-OCT-09" xfId="27220"/>
    <cellStyle name="_HPI CALCULATION 2007 tutor_WEEKLY SHIPMENT REQUEST 16-OCT-09 2" xfId="27221"/>
    <cellStyle name="_HPI CALCULATION 2007 tutor_WEEKLY SHIPMENT REQUEST 16-OCT-09 3" xfId="27222"/>
    <cellStyle name="_HPI CALCULATION 2007 tutor_WEEKLY SHIPMENT REQUEST 18-SEPT-09" xfId="27223"/>
    <cellStyle name="_HPI CALCULATION 2007 tutor_WEEKLY SHIPMENT REQUEST 18-SEPT-09 2" xfId="27224"/>
    <cellStyle name="_HPI CALCULATION 2007 tutor_WEEKLY SHIPMENT REQUEST 18-SEPT-09 3" xfId="27225"/>
    <cellStyle name="_HPI CALCULATION 2007 tutor_WEEKLY SHIPMENT REQUEST 22-JAN-2010" xfId="27226"/>
    <cellStyle name="_HPI CALCULATION 2007 tutor_WEEKLY SHIPMENT REQUEST 22-JAN-2010 2" xfId="27227"/>
    <cellStyle name="_HPI CALCULATION 2007 tutor_WEEKLY SHIPMENT REQUEST 22-JAN-2010 3" xfId="27228"/>
    <cellStyle name="_HPI CALCULATION 2007 tutor_WEEKLY SHIPMENT REQUEST 25-SEPT-09" xfId="27229"/>
    <cellStyle name="_HPI CALCULATION 2007 tutor_WEEKLY SHIPMENT REQUEST 25-SEPT-09 2" xfId="27230"/>
    <cellStyle name="_HPI CALCULATION 2007 tutor_WEEKLY SHIPMENT REQUEST 25-SEPT-09 3" xfId="27231"/>
    <cellStyle name="_HPI CALCULATION 2007 tutor_WEEKLY SHIPMENT REQUEST 29-JAN-10 (2)" xfId="27232"/>
    <cellStyle name="_HPI CALCULATION 2007 tutor_WEEKLY SHIPMENT REQUEST 29-JAN-10 (2) 2" xfId="27233"/>
    <cellStyle name="_HPI CALCULATION 2007 tutor_WEEKLY SHIPMENT REQUEST 29-JAN-10 (2) 3" xfId="27234"/>
    <cellStyle name="_HPI CALCULATION 2007 tutor_WEEKLY SHIPMENT REQUEST 29-JAN-10 (2)_WEEKLY SHIPMENT REQUEST 29-JAN-10 (2)" xfId="27235"/>
    <cellStyle name="_HPI CALCULATION 2007 tutor_WEEKLY SHIPMENT REQUEST 29-JAN-10 (2)_WEEKLY SHIPMENT REQUEST 29-JAN-10 (2) 2" xfId="27236"/>
    <cellStyle name="_HPI CALCULATION 2007 tutor_WEEKLY SHIPMENT REQUEST 29-JAN-10 (2)_WEEKLY SHIPMENT REQUEST 29-JAN-10 (2) 3" xfId="27237"/>
    <cellStyle name="_HPI CALCULATION 2007(121107)" xfId="251"/>
    <cellStyle name="_HPI CALCULATION 2007(121107) 2" xfId="252"/>
    <cellStyle name="_HPI CALCULATION 2007(121107) 2 2" xfId="27238"/>
    <cellStyle name="_HPI CALCULATION 2007(121107) 3" xfId="253"/>
    <cellStyle name="_HPI CALCULATION 2007(121107) 4" xfId="27239"/>
    <cellStyle name="_HPI CALCULATION 2007(121107) 5" xfId="27240"/>
    <cellStyle name="_HPI CALCULATION 2007(121107) 6" xfId="27241"/>
    <cellStyle name="_HPI CALCULATION 2007(121107)_0" xfId="27242"/>
    <cellStyle name="_HPI CALCULATION 2007(121107)_0 2" xfId="27243"/>
    <cellStyle name="_HPI CALCULATION 2007(121107)_0 3" xfId="27244"/>
    <cellStyle name="_HPI CALCULATION 2007(121107)_09.04.10" xfId="27245"/>
    <cellStyle name="_HPI CALCULATION 2007(121107)_09.04.10 2" xfId="27246"/>
    <cellStyle name="_HPI CALCULATION 2007(121107)_09.04.10 3" xfId="27247"/>
    <cellStyle name="_HPI CALCULATION 2007(121107)_18.12.09" xfId="254"/>
    <cellStyle name="_HPI CALCULATION 2007(121107)_18.12.09 2" xfId="255"/>
    <cellStyle name="_HPI CALCULATION 2007(121107)_18.12.09 2 2" xfId="27248"/>
    <cellStyle name="_HPI CALCULATION 2007(121107)_18.12.09 3" xfId="256"/>
    <cellStyle name="_HPI CALCULATION 2007(121107)_18.12.09 4" xfId="27249"/>
    <cellStyle name="_HPI CALCULATION 2007(121107)_18.12.09 5" xfId="27250"/>
    <cellStyle name="_HPI CALCULATION 2007(121107)_18.12.09 6" xfId="27251"/>
    <cellStyle name="_HPI CALCULATION 2007(121107)_25-Dec-09" xfId="27252"/>
    <cellStyle name="_HPI CALCULATION 2007(121107)_25-Dec-09 2" xfId="27253"/>
    <cellStyle name="_HPI CALCULATION 2007(121107)_25-Dec-09 3" xfId="27254"/>
    <cellStyle name="_HPI CALCULATION 2007(121107)_29.12.09" xfId="27255"/>
    <cellStyle name="_HPI CALCULATION 2007(121107)_29.12.09 2" xfId="27256"/>
    <cellStyle name="_HPI CALCULATION 2007(121107)_29.12.09 3" xfId="27257"/>
    <cellStyle name="_HPI CALCULATION 2007(121107)_ARCO" xfId="27258"/>
    <cellStyle name="_HPI CALCULATION 2007(121107)_ARCO 2" xfId="27259"/>
    <cellStyle name="_HPI CALCULATION 2007(121107)_ARCO 3" xfId="27260"/>
    <cellStyle name="_HPI CALCULATION 2007(121107)_BIGMATE" xfId="27261"/>
    <cellStyle name="_HPI CALCULATION 2007(121107)_BIGMATE 2" xfId="27262"/>
    <cellStyle name="_HPI CALCULATION 2007(121107)_BIGMATE 3" xfId="27263"/>
    <cellStyle name="_HPI CALCULATION 2007(121107)_CONFIRMATION OF RMS 2009" xfId="27264"/>
    <cellStyle name="_HPI CALCULATION 2007(121107)_CONFIRMATION OF RMS 2009 2" xfId="27265"/>
    <cellStyle name="_HPI CALCULATION 2007(121107)_CONFIRMATION OF RMS 2009 3" xfId="27266"/>
    <cellStyle name="_HPI CALCULATION 2007(121107)_CONFIRMATION OF RMS 2010" xfId="27267"/>
    <cellStyle name="_HPI CALCULATION 2007(121107)_CONFIRMATION OF RMS 2010 2" xfId="27268"/>
    <cellStyle name="_HPI CALCULATION 2007(121107)_CONFIRMATION OF RMS 2010 3" xfId="27269"/>
    <cellStyle name="_HPI CALCULATION 2007(121107)_DAIKYO (2)" xfId="27270"/>
    <cellStyle name="_HPI CALCULATION 2007(121107)_DAIKYO (2) 2" xfId="27271"/>
    <cellStyle name="_HPI CALCULATION 2007(121107)_DAIKYO (2) 3" xfId="27272"/>
    <cellStyle name="_HPI CALCULATION 2007(121107)_FU" xfId="27273"/>
    <cellStyle name="_HPI CALCULATION 2007(121107)_FU 2" xfId="27274"/>
    <cellStyle name="_HPI CALCULATION 2007(121107)_FU 3" xfId="27275"/>
    <cellStyle name="_HPI CALCULATION 2007(121107)_GMTI" xfId="27276"/>
    <cellStyle name="_HPI CALCULATION 2007(121107)_GMTI 2" xfId="27277"/>
    <cellStyle name="_HPI CALCULATION 2007(121107)_GMTI 3" xfId="27278"/>
    <cellStyle name="_HPI CALCULATION 2007(121107)_IWAKAMI (2)" xfId="27279"/>
    <cellStyle name="_HPI CALCULATION 2007(121107)_IWAKAMI (2) 2" xfId="27280"/>
    <cellStyle name="_HPI CALCULATION 2007(121107)_IWAKAMI (2) 3" xfId="27281"/>
    <cellStyle name="_HPI CALCULATION 2007(121107)_LAGUNAMETTS" xfId="27282"/>
    <cellStyle name="_HPI CALCULATION 2007(121107)_LAGUNAMETTS 2" xfId="27283"/>
    <cellStyle name="_HPI CALCULATION 2007(121107)_LAGUNAMETTS 3" xfId="27284"/>
    <cellStyle name="_HPI CALCULATION 2007(121107)_May 2009 Forecast" xfId="257"/>
    <cellStyle name="_HPI CALCULATION 2007(121107)_May 2009 Forecast 2" xfId="258"/>
    <cellStyle name="_HPI CALCULATION 2007(121107)_May 2009 Forecast 2 2" xfId="27285"/>
    <cellStyle name="_HPI CALCULATION 2007(121107)_May 2009 Forecast 3" xfId="259"/>
    <cellStyle name="_HPI CALCULATION 2007(121107)_May 2009 Forecast 4" xfId="27286"/>
    <cellStyle name="_HPI CALCULATION 2007(121107)_May 2009 Forecast 5" xfId="27287"/>
    <cellStyle name="_HPI CALCULATION 2007(121107)_May 2009 Forecast 6" xfId="27288"/>
    <cellStyle name="_HPI CALCULATION 2007(121107)_May 2009 Forecast_SANWA" xfId="260"/>
    <cellStyle name="_HPI CALCULATION 2007(121107)_May 2009 Forecast_SANWA 2" xfId="261"/>
    <cellStyle name="_HPI CALCULATION 2007(121107)_May 2009 Forecast_SANWA 2 2" xfId="27289"/>
    <cellStyle name="_HPI CALCULATION 2007(121107)_May 2009 Forecast_SANWA 3" xfId="262"/>
    <cellStyle name="_HPI CALCULATION 2007(121107)_May 2009 Forecast_SANWA 4" xfId="27290"/>
    <cellStyle name="_HPI CALCULATION 2007(121107)_May 2009 Forecast_SANWA 5" xfId="27291"/>
    <cellStyle name="_HPI CALCULATION 2007(121107)_May 2009 Forecast_SANWA 6" xfId="27292"/>
    <cellStyle name="_HPI CALCULATION 2007(121107)_MINGHONG" xfId="27293"/>
    <cellStyle name="_HPI CALCULATION 2007(121107)_MINGHONG 2" xfId="27294"/>
    <cellStyle name="_HPI CALCULATION 2007(121107)_MINGHONG 3" xfId="27295"/>
    <cellStyle name="_HPI CALCULATION 2007(121107)_SANWA" xfId="263"/>
    <cellStyle name="_HPI CALCULATION 2007(121107)_SANWA 2" xfId="264"/>
    <cellStyle name="_HPI CALCULATION 2007(121107)_SANWA 2 2" xfId="27296"/>
    <cellStyle name="_HPI CALCULATION 2007(121107)_SANWA 3" xfId="265"/>
    <cellStyle name="_HPI CALCULATION 2007(121107)_SANWA 4" xfId="27297"/>
    <cellStyle name="_HPI CALCULATION 2007(121107)_SANWA 5" xfId="27298"/>
    <cellStyle name="_HPI CALCULATION 2007(121107)_SANWA 6" xfId="27299"/>
    <cellStyle name="_HPI CALCULATION 2007(121107)_Sheet1" xfId="27300"/>
    <cellStyle name="_HPI CALCULATION 2007(121107)_Sheet1 2" xfId="27301"/>
    <cellStyle name="_HPI CALCULATION 2007(121107)_Sheet1 3" xfId="27302"/>
    <cellStyle name="_HPI CALCULATION 2007(121107)_Sheet2" xfId="266"/>
    <cellStyle name="_HPI CALCULATION 2007(121107)_Sheet2 2" xfId="267"/>
    <cellStyle name="_HPI CALCULATION 2007(121107)_Sheet2 2 2" xfId="27303"/>
    <cellStyle name="_HPI CALCULATION 2007(121107)_Sheet2 3" xfId="268"/>
    <cellStyle name="_HPI CALCULATION 2007(121107)_Sheet2 4" xfId="27304"/>
    <cellStyle name="_HPI CALCULATION 2007(121107)_Sheet2 5" xfId="27305"/>
    <cellStyle name="_HPI CALCULATION 2007(121107)_Sheet2 6" xfId="27306"/>
    <cellStyle name="_HPI CALCULATION 2007(121107)_SUMMARY OF SRM" xfId="269"/>
    <cellStyle name="_HPI CALCULATION 2007(121107)_SUMMARY OF SRM 2" xfId="270"/>
    <cellStyle name="_HPI CALCULATION 2007(121107)_SUMMARY OF SRM 2 2" xfId="27307"/>
    <cellStyle name="_HPI CALCULATION 2007(121107)_SUMMARY OF SRM 3" xfId="271"/>
    <cellStyle name="_HPI CALCULATION 2007(121107)_SUMMARY OF SRM 4" xfId="27308"/>
    <cellStyle name="_HPI CALCULATION 2007(121107)_SUMMARY OF SRM 5" xfId="27309"/>
    <cellStyle name="_HPI CALCULATION 2007(121107)_SUMMARY OF SRM 6" xfId="27310"/>
    <cellStyle name="_HPI CALCULATION 2007(121107)_WEEKLY SHIPMENT REQUEST 02-OCT-09" xfId="27311"/>
    <cellStyle name="_HPI CALCULATION 2007(121107)_WEEKLY SHIPMENT REQUEST 02-OCT-09 2" xfId="27312"/>
    <cellStyle name="_HPI CALCULATION 2007(121107)_WEEKLY SHIPMENT REQUEST 02-OCT-09 3" xfId="27313"/>
    <cellStyle name="_HPI CALCULATION 2007(121107)_WEEKLY SHIPMENT REQUEST 05-FEB-10" xfId="27314"/>
    <cellStyle name="_HPI CALCULATION 2007(121107)_WEEKLY SHIPMENT REQUEST 05-FEB-10 2" xfId="27315"/>
    <cellStyle name="_HPI CALCULATION 2007(121107)_WEEKLY SHIPMENT REQUEST 05-FEB-10 3" xfId="27316"/>
    <cellStyle name="_HPI CALCULATION 2007(121107)_WEEKLY SHIPMENT REQUEST 06-NOV-09" xfId="27317"/>
    <cellStyle name="_HPI CALCULATION 2007(121107)_WEEKLY SHIPMENT REQUEST 06-NOV-09 (2)" xfId="27318"/>
    <cellStyle name="_HPI CALCULATION 2007(121107)_WEEKLY SHIPMENT REQUEST 06-NOV-09 (2) 2" xfId="27319"/>
    <cellStyle name="_HPI CALCULATION 2007(121107)_WEEKLY SHIPMENT REQUEST 06-NOV-09 (2) 3" xfId="27320"/>
    <cellStyle name="_HPI CALCULATION 2007(121107)_WEEKLY SHIPMENT REQUEST 06-NOV-09 10" xfId="27321"/>
    <cellStyle name="_HPI CALCULATION 2007(121107)_WEEKLY SHIPMENT REQUEST 06-NOV-09 11" xfId="27322"/>
    <cellStyle name="_HPI CALCULATION 2007(121107)_WEEKLY SHIPMENT REQUEST 06-NOV-09 2" xfId="27323"/>
    <cellStyle name="_HPI CALCULATION 2007(121107)_WEEKLY SHIPMENT REQUEST 06-NOV-09 3" xfId="27324"/>
    <cellStyle name="_HPI CALCULATION 2007(121107)_WEEKLY SHIPMENT REQUEST 06-NOV-09 4" xfId="27325"/>
    <cellStyle name="_HPI CALCULATION 2007(121107)_WEEKLY SHIPMENT REQUEST 06-NOV-09 5" xfId="27326"/>
    <cellStyle name="_HPI CALCULATION 2007(121107)_WEEKLY SHIPMENT REQUEST 06-NOV-09 6" xfId="27327"/>
    <cellStyle name="_HPI CALCULATION 2007(121107)_WEEKLY SHIPMENT REQUEST 06-NOV-09 7" xfId="27328"/>
    <cellStyle name="_HPI CALCULATION 2007(121107)_WEEKLY SHIPMENT REQUEST 06-NOV-09 8" xfId="27329"/>
    <cellStyle name="_HPI CALCULATION 2007(121107)_WEEKLY SHIPMENT REQUEST 06-NOV-09 9" xfId="27330"/>
    <cellStyle name="_HPI CALCULATION 2007(121107)_WEEKLY SHIPMENT REQUEST 08-JAN-10" xfId="27331"/>
    <cellStyle name="_HPI CALCULATION 2007(121107)_WEEKLY SHIPMENT REQUEST 08-JAN-10 2" xfId="27332"/>
    <cellStyle name="_HPI CALCULATION 2007(121107)_WEEKLY SHIPMENT REQUEST 08-JAN-10 3" xfId="27333"/>
    <cellStyle name="_HPI CALCULATION 2007(121107)_WEEKLY SHIPMENT REQUEST 11-DEC-09 (2)" xfId="272"/>
    <cellStyle name="_HPI CALCULATION 2007(121107)_WEEKLY SHIPMENT REQUEST 11-DEC-09 (2) 2" xfId="273"/>
    <cellStyle name="_HPI CALCULATION 2007(121107)_WEEKLY SHIPMENT REQUEST 11-DEC-09 (2) 2 2" xfId="27334"/>
    <cellStyle name="_HPI CALCULATION 2007(121107)_WEEKLY SHIPMENT REQUEST 11-DEC-09 (2) 3" xfId="274"/>
    <cellStyle name="_HPI CALCULATION 2007(121107)_WEEKLY SHIPMENT REQUEST 11-DEC-09 (2) 4" xfId="27335"/>
    <cellStyle name="_HPI CALCULATION 2007(121107)_WEEKLY SHIPMENT REQUEST 11-DEC-09 (2) 5" xfId="27336"/>
    <cellStyle name="_HPI CALCULATION 2007(121107)_WEEKLY SHIPMENT REQUEST 11-DEC-09 (2) 6" xfId="27337"/>
    <cellStyle name="_HPI CALCULATION 2007(121107)_WEEKLY SHIPMENT REQUEST 13-NOV-09" xfId="27338"/>
    <cellStyle name="_HPI CALCULATION 2007(121107)_WEEKLY SHIPMENT REQUEST 13-NOV-09 2" xfId="27339"/>
    <cellStyle name="_HPI CALCULATION 2007(121107)_WEEKLY SHIPMENT REQUEST 13-NOV-09 3" xfId="27340"/>
    <cellStyle name="_HPI CALCULATION 2007(121107)_WEEKLY SHIPMENT REQUEST 15-JAN-10" xfId="27341"/>
    <cellStyle name="_HPI CALCULATION 2007(121107)_WEEKLY SHIPMENT REQUEST 15-JAN-10 2" xfId="27342"/>
    <cellStyle name="_HPI CALCULATION 2007(121107)_WEEKLY SHIPMENT REQUEST 15-JAN-10 3" xfId="27343"/>
    <cellStyle name="_HPI CALCULATION 2007(121107)_WEEKLY SHIPMENT REQUEST 16-OCT-09" xfId="27344"/>
    <cellStyle name="_HPI CALCULATION 2007(121107)_WEEKLY SHIPMENT REQUEST 16-OCT-09 2" xfId="27345"/>
    <cellStyle name="_HPI CALCULATION 2007(121107)_WEEKLY SHIPMENT REQUEST 16-OCT-09 3" xfId="27346"/>
    <cellStyle name="_HPI CALCULATION 2007(121107)_WEEKLY SHIPMENT REQUEST 18-SEPT-09" xfId="27347"/>
    <cellStyle name="_HPI CALCULATION 2007(121107)_WEEKLY SHIPMENT REQUEST 18-SEPT-09 2" xfId="27348"/>
    <cellStyle name="_HPI CALCULATION 2007(121107)_WEEKLY SHIPMENT REQUEST 18-SEPT-09 3" xfId="27349"/>
    <cellStyle name="_HPI CALCULATION 2007(121107)_WEEKLY SHIPMENT REQUEST 22-JAN-2010" xfId="27350"/>
    <cellStyle name="_HPI CALCULATION 2007(121107)_WEEKLY SHIPMENT REQUEST 22-JAN-2010 2" xfId="27351"/>
    <cellStyle name="_HPI CALCULATION 2007(121107)_WEEKLY SHIPMENT REQUEST 22-JAN-2010 3" xfId="27352"/>
    <cellStyle name="_HPI CALCULATION 2007(121107)_WEEKLY SHIPMENT REQUEST 25-SEPT-09" xfId="27353"/>
    <cellStyle name="_HPI CALCULATION 2007(121107)_WEEKLY SHIPMENT REQUEST 25-SEPT-09 2" xfId="27354"/>
    <cellStyle name="_HPI CALCULATION 2007(121107)_WEEKLY SHIPMENT REQUEST 25-SEPT-09 3" xfId="27355"/>
    <cellStyle name="_HPI CALCULATION 2007(121107)_WEEKLY SHIPMENT REQUEST 29-JAN-10 (2)" xfId="27356"/>
    <cellStyle name="_HPI CALCULATION 2007(121107)_WEEKLY SHIPMENT REQUEST 29-JAN-10 (2) 2" xfId="27357"/>
    <cellStyle name="_HPI CALCULATION 2007(121107)_WEEKLY SHIPMENT REQUEST 29-JAN-10 (2) 3" xfId="27358"/>
    <cellStyle name="_HPI CALCULATION 2007(121107)_WEEKLY SHIPMENT REQUEST 29-JAN-10 (2)_WEEKLY SHIPMENT REQUEST 29-JAN-10 (2)" xfId="27359"/>
    <cellStyle name="_HPI CALCULATION 2007(121107)_WEEKLY SHIPMENT REQUEST 29-JAN-10 (2)_WEEKLY SHIPMENT REQUEST 29-JAN-10 (2) 2" xfId="27360"/>
    <cellStyle name="_HPI CALCULATION 2007(121107)_WEEKLY SHIPMENT REQUEST 29-JAN-10 (2)_WEEKLY SHIPMENT REQUEST 29-JAN-10 (2) 3" xfId="27361"/>
    <cellStyle name="_HPI CALCULATION 2007." xfId="275"/>
    <cellStyle name="_HPI CALCULATION 2007. 2" xfId="276"/>
    <cellStyle name="_HPI CALCULATION 2007. 2 2" xfId="27362"/>
    <cellStyle name="_HPI CALCULATION 2007. 3" xfId="277"/>
    <cellStyle name="_HPI CALCULATION 2007. 4" xfId="27363"/>
    <cellStyle name="_HPI CALCULATION 2007. 5" xfId="27364"/>
    <cellStyle name="_HPI CALCULATION 2007. 6" xfId="27365"/>
    <cellStyle name="_HPI CALCULATION 2007._0" xfId="27366"/>
    <cellStyle name="_HPI CALCULATION 2007._0 2" xfId="27367"/>
    <cellStyle name="_HPI CALCULATION 2007._0 3" xfId="27368"/>
    <cellStyle name="_HPI CALCULATION 2007._09.04.10" xfId="27369"/>
    <cellStyle name="_HPI CALCULATION 2007._09.04.10 2" xfId="27370"/>
    <cellStyle name="_HPI CALCULATION 2007._09.04.10 3" xfId="27371"/>
    <cellStyle name="_HPI CALCULATION 2007._18.12.09" xfId="278"/>
    <cellStyle name="_HPI CALCULATION 2007._18.12.09 2" xfId="279"/>
    <cellStyle name="_HPI CALCULATION 2007._18.12.09 2 2" xfId="27372"/>
    <cellStyle name="_HPI CALCULATION 2007._18.12.09 3" xfId="280"/>
    <cellStyle name="_HPI CALCULATION 2007._18.12.09 4" xfId="27373"/>
    <cellStyle name="_HPI CALCULATION 2007._18.12.09 5" xfId="27374"/>
    <cellStyle name="_HPI CALCULATION 2007._18.12.09 6" xfId="27375"/>
    <cellStyle name="_HPI CALCULATION 2007._25-Dec-09" xfId="27376"/>
    <cellStyle name="_HPI CALCULATION 2007._25-Dec-09 2" xfId="27377"/>
    <cellStyle name="_HPI CALCULATION 2007._25-Dec-09 3" xfId="27378"/>
    <cellStyle name="_HPI CALCULATION 2007._29.12.09" xfId="27379"/>
    <cellStyle name="_HPI CALCULATION 2007._29.12.09 2" xfId="27380"/>
    <cellStyle name="_HPI CALCULATION 2007._29.12.09 3" xfId="27381"/>
    <cellStyle name="_HPI CALCULATION 2007._ARCO" xfId="27382"/>
    <cellStyle name="_HPI CALCULATION 2007._ARCO 2" xfId="27383"/>
    <cellStyle name="_HPI CALCULATION 2007._ARCO 3" xfId="27384"/>
    <cellStyle name="_HPI CALCULATION 2007._BIGMATE" xfId="27385"/>
    <cellStyle name="_HPI CALCULATION 2007._BIGMATE 2" xfId="27386"/>
    <cellStyle name="_HPI CALCULATION 2007._BIGMATE 3" xfId="27387"/>
    <cellStyle name="_HPI CALCULATION 2007._CONFIRMATION OF RMS 2009" xfId="27388"/>
    <cellStyle name="_HPI CALCULATION 2007._CONFIRMATION OF RMS 2009 2" xfId="27389"/>
    <cellStyle name="_HPI CALCULATION 2007._CONFIRMATION OF RMS 2009 3" xfId="27390"/>
    <cellStyle name="_HPI CALCULATION 2007._CONFIRMATION OF RMS 2010" xfId="27391"/>
    <cellStyle name="_HPI CALCULATION 2007._CONFIRMATION OF RMS 2010 2" xfId="27392"/>
    <cellStyle name="_HPI CALCULATION 2007._CONFIRMATION OF RMS 2010 3" xfId="27393"/>
    <cellStyle name="_HPI CALCULATION 2007._DAIKYO (2)" xfId="27394"/>
    <cellStyle name="_HPI CALCULATION 2007._DAIKYO (2) 2" xfId="27395"/>
    <cellStyle name="_HPI CALCULATION 2007._DAIKYO (2) 3" xfId="27396"/>
    <cellStyle name="_HPI CALCULATION 2007._FU" xfId="27397"/>
    <cellStyle name="_HPI CALCULATION 2007._FU 2" xfId="27398"/>
    <cellStyle name="_HPI CALCULATION 2007._FU 3" xfId="27399"/>
    <cellStyle name="_HPI CALCULATION 2007._GMTI" xfId="27400"/>
    <cellStyle name="_HPI CALCULATION 2007._GMTI 2" xfId="27401"/>
    <cellStyle name="_HPI CALCULATION 2007._GMTI 3" xfId="27402"/>
    <cellStyle name="_HPI CALCULATION 2007._IWAKAMI (2)" xfId="27403"/>
    <cellStyle name="_HPI CALCULATION 2007._IWAKAMI (2) 2" xfId="27404"/>
    <cellStyle name="_HPI CALCULATION 2007._IWAKAMI (2) 3" xfId="27405"/>
    <cellStyle name="_HPI CALCULATION 2007._LAGUNAMETTS" xfId="27406"/>
    <cellStyle name="_HPI CALCULATION 2007._LAGUNAMETTS 2" xfId="27407"/>
    <cellStyle name="_HPI CALCULATION 2007._LAGUNAMETTS 3" xfId="27408"/>
    <cellStyle name="_HPI CALCULATION 2007._May 2009 Forecast" xfId="281"/>
    <cellStyle name="_HPI CALCULATION 2007._May 2009 Forecast 2" xfId="282"/>
    <cellStyle name="_HPI CALCULATION 2007._May 2009 Forecast 2 2" xfId="27409"/>
    <cellStyle name="_HPI CALCULATION 2007._May 2009 Forecast 3" xfId="283"/>
    <cellStyle name="_HPI CALCULATION 2007._May 2009 Forecast 4" xfId="27410"/>
    <cellStyle name="_HPI CALCULATION 2007._May 2009 Forecast 5" xfId="27411"/>
    <cellStyle name="_HPI CALCULATION 2007._May 2009 Forecast 6" xfId="27412"/>
    <cellStyle name="_HPI CALCULATION 2007._May 2009 Forecast_SANWA" xfId="284"/>
    <cellStyle name="_HPI CALCULATION 2007._May 2009 Forecast_SANWA 2" xfId="285"/>
    <cellStyle name="_HPI CALCULATION 2007._May 2009 Forecast_SANWA 2 2" xfId="27413"/>
    <cellStyle name="_HPI CALCULATION 2007._May 2009 Forecast_SANWA 3" xfId="286"/>
    <cellStyle name="_HPI CALCULATION 2007._May 2009 Forecast_SANWA 4" xfId="27414"/>
    <cellStyle name="_HPI CALCULATION 2007._May 2009 Forecast_SANWA 5" xfId="27415"/>
    <cellStyle name="_HPI CALCULATION 2007._May 2009 Forecast_SANWA 6" xfId="27416"/>
    <cellStyle name="_HPI CALCULATION 2007._MINGHONG" xfId="27417"/>
    <cellStyle name="_HPI CALCULATION 2007._MINGHONG 2" xfId="27418"/>
    <cellStyle name="_HPI CALCULATION 2007._MINGHONG 3" xfId="27419"/>
    <cellStyle name="_HPI CALCULATION 2007._SANWA" xfId="287"/>
    <cellStyle name="_HPI CALCULATION 2007._SANWA 2" xfId="288"/>
    <cellStyle name="_HPI CALCULATION 2007._SANWA 2 2" xfId="27420"/>
    <cellStyle name="_HPI CALCULATION 2007._SANWA 3" xfId="289"/>
    <cellStyle name="_HPI CALCULATION 2007._SANWA 4" xfId="27421"/>
    <cellStyle name="_HPI CALCULATION 2007._SANWA 5" xfId="27422"/>
    <cellStyle name="_HPI CALCULATION 2007._SANWA 6" xfId="27423"/>
    <cellStyle name="_HPI CALCULATION 2007._Sheet1" xfId="27424"/>
    <cellStyle name="_HPI CALCULATION 2007._Sheet1 2" xfId="27425"/>
    <cellStyle name="_HPI CALCULATION 2007._Sheet1 3" xfId="27426"/>
    <cellStyle name="_HPI CALCULATION 2007._Sheet2" xfId="290"/>
    <cellStyle name="_HPI CALCULATION 2007._Sheet2 2" xfId="291"/>
    <cellStyle name="_HPI CALCULATION 2007._Sheet2 2 2" xfId="27427"/>
    <cellStyle name="_HPI CALCULATION 2007._Sheet2 3" xfId="292"/>
    <cellStyle name="_HPI CALCULATION 2007._Sheet2 4" xfId="27428"/>
    <cellStyle name="_HPI CALCULATION 2007._Sheet2 5" xfId="27429"/>
    <cellStyle name="_HPI CALCULATION 2007._Sheet2 6" xfId="27430"/>
    <cellStyle name="_HPI CALCULATION 2007._SUMMARY OF SRM" xfId="293"/>
    <cellStyle name="_HPI CALCULATION 2007._SUMMARY OF SRM 2" xfId="294"/>
    <cellStyle name="_HPI CALCULATION 2007._SUMMARY OF SRM 2 2" xfId="27431"/>
    <cellStyle name="_HPI CALCULATION 2007._SUMMARY OF SRM 3" xfId="295"/>
    <cellStyle name="_HPI CALCULATION 2007._SUMMARY OF SRM 4" xfId="27432"/>
    <cellStyle name="_HPI CALCULATION 2007._SUMMARY OF SRM 5" xfId="27433"/>
    <cellStyle name="_HPI CALCULATION 2007._SUMMARY OF SRM 6" xfId="27434"/>
    <cellStyle name="_HPI CALCULATION 2007._WEEKLY SHIPMENT REQUEST 02-OCT-09" xfId="27435"/>
    <cellStyle name="_HPI CALCULATION 2007._WEEKLY SHIPMENT REQUEST 02-OCT-09 2" xfId="27436"/>
    <cellStyle name="_HPI CALCULATION 2007._WEEKLY SHIPMENT REQUEST 02-OCT-09 3" xfId="27437"/>
    <cellStyle name="_HPI CALCULATION 2007._WEEKLY SHIPMENT REQUEST 05-FEB-10" xfId="27438"/>
    <cellStyle name="_HPI CALCULATION 2007._WEEKLY SHIPMENT REQUEST 05-FEB-10 2" xfId="27439"/>
    <cellStyle name="_HPI CALCULATION 2007._WEEKLY SHIPMENT REQUEST 05-FEB-10 3" xfId="27440"/>
    <cellStyle name="_HPI CALCULATION 2007._WEEKLY SHIPMENT REQUEST 06-NOV-09" xfId="27441"/>
    <cellStyle name="_HPI CALCULATION 2007._WEEKLY SHIPMENT REQUEST 06-NOV-09 (2)" xfId="27442"/>
    <cellStyle name="_HPI CALCULATION 2007._WEEKLY SHIPMENT REQUEST 06-NOV-09 (2) 2" xfId="27443"/>
    <cellStyle name="_HPI CALCULATION 2007._WEEKLY SHIPMENT REQUEST 06-NOV-09 (2) 3" xfId="27444"/>
    <cellStyle name="_HPI CALCULATION 2007._WEEKLY SHIPMENT REQUEST 06-NOV-09 10" xfId="27445"/>
    <cellStyle name="_HPI CALCULATION 2007._WEEKLY SHIPMENT REQUEST 06-NOV-09 11" xfId="27446"/>
    <cellStyle name="_HPI CALCULATION 2007._WEEKLY SHIPMENT REQUEST 06-NOV-09 2" xfId="27447"/>
    <cellStyle name="_HPI CALCULATION 2007._WEEKLY SHIPMENT REQUEST 06-NOV-09 3" xfId="27448"/>
    <cellStyle name="_HPI CALCULATION 2007._WEEKLY SHIPMENT REQUEST 06-NOV-09 4" xfId="27449"/>
    <cellStyle name="_HPI CALCULATION 2007._WEEKLY SHIPMENT REQUEST 06-NOV-09 5" xfId="27450"/>
    <cellStyle name="_HPI CALCULATION 2007._WEEKLY SHIPMENT REQUEST 06-NOV-09 6" xfId="27451"/>
    <cellStyle name="_HPI CALCULATION 2007._WEEKLY SHIPMENT REQUEST 06-NOV-09 7" xfId="27452"/>
    <cellStyle name="_HPI CALCULATION 2007._WEEKLY SHIPMENT REQUEST 06-NOV-09 8" xfId="27453"/>
    <cellStyle name="_HPI CALCULATION 2007._WEEKLY SHIPMENT REQUEST 06-NOV-09 9" xfId="27454"/>
    <cellStyle name="_HPI CALCULATION 2007._WEEKLY SHIPMENT REQUEST 08-JAN-10" xfId="27455"/>
    <cellStyle name="_HPI CALCULATION 2007._WEEKLY SHIPMENT REQUEST 08-JAN-10 2" xfId="27456"/>
    <cellStyle name="_HPI CALCULATION 2007._WEEKLY SHIPMENT REQUEST 08-JAN-10 3" xfId="27457"/>
    <cellStyle name="_HPI CALCULATION 2007._WEEKLY SHIPMENT REQUEST 11-DEC-09 (2)" xfId="296"/>
    <cellStyle name="_HPI CALCULATION 2007._WEEKLY SHIPMENT REQUEST 11-DEC-09 (2) 2" xfId="297"/>
    <cellStyle name="_HPI CALCULATION 2007._WEEKLY SHIPMENT REQUEST 11-DEC-09 (2) 2 2" xfId="27458"/>
    <cellStyle name="_HPI CALCULATION 2007._WEEKLY SHIPMENT REQUEST 11-DEC-09 (2) 3" xfId="298"/>
    <cellStyle name="_HPI CALCULATION 2007._WEEKLY SHIPMENT REQUEST 11-DEC-09 (2) 4" xfId="27459"/>
    <cellStyle name="_HPI CALCULATION 2007._WEEKLY SHIPMENT REQUEST 11-DEC-09 (2) 5" xfId="27460"/>
    <cellStyle name="_HPI CALCULATION 2007._WEEKLY SHIPMENT REQUEST 11-DEC-09 (2) 6" xfId="27461"/>
    <cellStyle name="_HPI CALCULATION 2007._WEEKLY SHIPMENT REQUEST 13-NOV-09" xfId="27462"/>
    <cellStyle name="_HPI CALCULATION 2007._WEEKLY SHIPMENT REQUEST 13-NOV-09 2" xfId="27463"/>
    <cellStyle name="_HPI CALCULATION 2007._WEEKLY SHIPMENT REQUEST 13-NOV-09 3" xfId="27464"/>
    <cellStyle name="_HPI CALCULATION 2007._WEEKLY SHIPMENT REQUEST 15-JAN-10" xfId="27465"/>
    <cellStyle name="_HPI CALCULATION 2007._WEEKLY SHIPMENT REQUEST 15-JAN-10 2" xfId="27466"/>
    <cellStyle name="_HPI CALCULATION 2007._WEEKLY SHIPMENT REQUEST 15-JAN-10 3" xfId="27467"/>
    <cellStyle name="_HPI CALCULATION 2007._WEEKLY SHIPMENT REQUEST 16-OCT-09" xfId="27468"/>
    <cellStyle name="_HPI CALCULATION 2007._WEEKLY SHIPMENT REQUEST 16-OCT-09 2" xfId="27469"/>
    <cellStyle name="_HPI CALCULATION 2007._WEEKLY SHIPMENT REQUEST 16-OCT-09 3" xfId="27470"/>
    <cellStyle name="_HPI CALCULATION 2007._WEEKLY SHIPMENT REQUEST 18-SEPT-09" xfId="27471"/>
    <cellStyle name="_HPI CALCULATION 2007._WEEKLY SHIPMENT REQUEST 18-SEPT-09 2" xfId="27472"/>
    <cellStyle name="_HPI CALCULATION 2007._WEEKLY SHIPMENT REQUEST 18-SEPT-09 3" xfId="27473"/>
    <cellStyle name="_HPI CALCULATION 2007._WEEKLY SHIPMENT REQUEST 22-JAN-2010" xfId="27474"/>
    <cellStyle name="_HPI CALCULATION 2007._WEEKLY SHIPMENT REQUEST 22-JAN-2010 2" xfId="27475"/>
    <cellStyle name="_HPI CALCULATION 2007._WEEKLY SHIPMENT REQUEST 22-JAN-2010 3" xfId="27476"/>
    <cellStyle name="_HPI CALCULATION 2007._WEEKLY SHIPMENT REQUEST 25-SEPT-09" xfId="27477"/>
    <cellStyle name="_HPI CALCULATION 2007._WEEKLY SHIPMENT REQUEST 25-SEPT-09 2" xfId="27478"/>
    <cellStyle name="_HPI CALCULATION 2007._WEEKLY SHIPMENT REQUEST 25-SEPT-09 3" xfId="27479"/>
    <cellStyle name="_HPI CALCULATION 2007._WEEKLY SHIPMENT REQUEST 29-JAN-10 (2)" xfId="27480"/>
    <cellStyle name="_HPI CALCULATION 2007._WEEKLY SHIPMENT REQUEST 29-JAN-10 (2) 2" xfId="27481"/>
    <cellStyle name="_HPI CALCULATION 2007._WEEKLY SHIPMENT REQUEST 29-JAN-10 (2) 3" xfId="27482"/>
    <cellStyle name="_HPI CALCULATION 2007._WEEKLY SHIPMENT REQUEST 29-JAN-10 (2)_WEEKLY SHIPMENT REQUEST 29-JAN-10 (2)" xfId="27483"/>
    <cellStyle name="_HPI CALCULATION 2007._WEEKLY SHIPMENT REQUEST 29-JAN-10 (2)_WEEKLY SHIPMENT REQUEST 29-JAN-10 (2) 2" xfId="27484"/>
    <cellStyle name="_HPI CALCULATION 2007._WEEKLY SHIPMENT REQUEST 29-JAN-10 (2)_WEEKLY SHIPMENT REQUEST 29-JAN-10 (2) 3" xfId="27485"/>
    <cellStyle name="_HPI CALCULATION 2007_0" xfId="27486"/>
    <cellStyle name="_HPI CALCULATION 2007_0 2" xfId="27487"/>
    <cellStyle name="_HPI CALCULATION 2007_0 3" xfId="27488"/>
    <cellStyle name="_HPI CALCULATION 2007_09.04.10" xfId="27489"/>
    <cellStyle name="_HPI CALCULATION 2007_09.04.10 2" xfId="27490"/>
    <cellStyle name="_HPI CALCULATION 2007_09.04.10 3" xfId="27491"/>
    <cellStyle name="_HPI CALCULATION 2007_18.12.09" xfId="299"/>
    <cellStyle name="_HPI CALCULATION 2007_18.12.09 2" xfId="300"/>
    <cellStyle name="_HPI CALCULATION 2007_18.12.09 2 2" xfId="27492"/>
    <cellStyle name="_HPI CALCULATION 2007_18.12.09 3" xfId="301"/>
    <cellStyle name="_HPI CALCULATION 2007_18.12.09 4" xfId="27493"/>
    <cellStyle name="_HPI CALCULATION 2007_18.12.09 5" xfId="27494"/>
    <cellStyle name="_HPI CALCULATION 2007_18.12.09 6" xfId="27495"/>
    <cellStyle name="_HPI CALCULATION 2007_25-Dec-09" xfId="27496"/>
    <cellStyle name="_HPI CALCULATION 2007_25-Dec-09 2" xfId="27497"/>
    <cellStyle name="_HPI CALCULATION 2007_25-Dec-09 3" xfId="27498"/>
    <cellStyle name="_HPI CALCULATION 2007_29.12.09" xfId="27499"/>
    <cellStyle name="_HPI CALCULATION 2007_29.12.09 2" xfId="27500"/>
    <cellStyle name="_HPI CALCULATION 2007_29.12.09 3" xfId="27501"/>
    <cellStyle name="_HPI CALCULATION 2007_ARCO" xfId="27502"/>
    <cellStyle name="_HPI CALCULATION 2007_ARCO 2" xfId="27503"/>
    <cellStyle name="_HPI CALCULATION 2007_ARCO 3" xfId="27504"/>
    <cellStyle name="_HPI CALCULATION 2007_BIGMATE" xfId="27505"/>
    <cellStyle name="_HPI CALCULATION 2007_BIGMATE 2" xfId="27506"/>
    <cellStyle name="_HPI CALCULATION 2007_BIGMATE 3" xfId="27507"/>
    <cellStyle name="_HPI CALCULATION 2007_CONFIRMATION OF RMS 2009" xfId="27508"/>
    <cellStyle name="_HPI CALCULATION 2007_CONFIRMATION OF RMS 2009 2" xfId="27509"/>
    <cellStyle name="_HPI CALCULATION 2007_CONFIRMATION OF RMS 2009 3" xfId="27510"/>
    <cellStyle name="_HPI CALCULATION 2007_CONFIRMATION OF RMS 2010" xfId="27511"/>
    <cellStyle name="_HPI CALCULATION 2007_CONFIRMATION OF RMS 2010 2" xfId="27512"/>
    <cellStyle name="_HPI CALCULATION 2007_CONFIRMATION OF RMS 2010 3" xfId="27513"/>
    <cellStyle name="_HPI CALCULATION 2007_DAIKYO (2)" xfId="27514"/>
    <cellStyle name="_HPI CALCULATION 2007_DAIKYO (2) 2" xfId="27515"/>
    <cellStyle name="_HPI CALCULATION 2007_DAIKYO (2) 3" xfId="27516"/>
    <cellStyle name="_HPI CALCULATION 2007_FU" xfId="27517"/>
    <cellStyle name="_HPI CALCULATION 2007_FU 2" xfId="27518"/>
    <cellStyle name="_HPI CALCULATION 2007_FU 3" xfId="27519"/>
    <cellStyle name="_HPI CALCULATION 2007_GMTI" xfId="27520"/>
    <cellStyle name="_HPI CALCULATION 2007_GMTI 2" xfId="27521"/>
    <cellStyle name="_HPI CALCULATION 2007_GMTI 3" xfId="27522"/>
    <cellStyle name="_HPI CALCULATION 2007_IWAKAMI (2)" xfId="27523"/>
    <cellStyle name="_HPI CALCULATION 2007_IWAKAMI (2) 2" xfId="27524"/>
    <cellStyle name="_HPI CALCULATION 2007_IWAKAMI (2) 3" xfId="27525"/>
    <cellStyle name="_HPI CALCULATION 2007_LAGUNAMETTS" xfId="27526"/>
    <cellStyle name="_HPI CALCULATION 2007_LAGUNAMETTS 2" xfId="27527"/>
    <cellStyle name="_HPI CALCULATION 2007_LAGUNAMETTS 3" xfId="27528"/>
    <cellStyle name="_HPI CALCULATION 2007_May 2009 Forecast" xfId="302"/>
    <cellStyle name="_HPI CALCULATION 2007_May 2009 Forecast 2" xfId="303"/>
    <cellStyle name="_HPI CALCULATION 2007_May 2009 Forecast 2 2" xfId="27529"/>
    <cellStyle name="_HPI CALCULATION 2007_May 2009 Forecast 3" xfId="304"/>
    <cellStyle name="_HPI CALCULATION 2007_May 2009 Forecast 4" xfId="27530"/>
    <cellStyle name="_HPI CALCULATION 2007_May 2009 Forecast 5" xfId="27531"/>
    <cellStyle name="_HPI CALCULATION 2007_May 2009 Forecast 6" xfId="27532"/>
    <cellStyle name="_HPI CALCULATION 2007_May 2009 Forecast_SANWA" xfId="305"/>
    <cellStyle name="_HPI CALCULATION 2007_May 2009 Forecast_SANWA 2" xfId="306"/>
    <cellStyle name="_HPI CALCULATION 2007_May 2009 Forecast_SANWA 2 2" xfId="27533"/>
    <cellStyle name="_HPI CALCULATION 2007_May 2009 Forecast_SANWA 3" xfId="307"/>
    <cellStyle name="_HPI CALCULATION 2007_May 2009 Forecast_SANWA 4" xfId="27534"/>
    <cellStyle name="_HPI CALCULATION 2007_May 2009 Forecast_SANWA 5" xfId="27535"/>
    <cellStyle name="_HPI CALCULATION 2007_May 2009 Forecast_SANWA 6" xfId="27536"/>
    <cellStyle name="_HPI CALCULATION 2007_MINGHONG" xfId="27537"/>
    <cellStyle name="_HPI CALCULATION 2007_MINGHONG 2" xfId="27538"/>
    <cellStyle name="_HPI CALCULATION 2007_MINGHONG 3" xfId="27539"/>
    <cellStyle name="_HPI CALCULATION 2007_SANWA" xfId="308"/>
    <cellStyle name="_HPI CALCULATION 2007_SANWA 2" xfId="309"/>
    <cellStyle name="_HPI CALCULATION 2007_SANWA 2 2" xfId="27540"/>
    <cellStyle name="_HPI CALCULATION 2007_SANWA 3" xfId="310"/>
    <cellStyle name="_HPI CALCULATION 2007_SANWA 4" xfId="27541"/>
    <cellStyle name="_HPI CALCULATION 2007_SANWA 5" xfId="27542"/>
    <cellStyle name="_HPI CALCULATION 2007_SANWA 6" xfId="27543"/>
    <cellStyle name="_HPI CALCULATION 2007_Sheet1" xfId="27544"/>
    <cellStyle name="_HPI CALCULATION 2007_Sheet1 2" xfId="27545"/>
    <cellStyle name="_HPI CALCULATION 2007_Sheet1 3" xfId="27546"/>
    <cellStyle name="_HPI CALCULATION 2007_Sheet2" xfId="311"/>
    <cellStyle name="_HPI CALCULATION 2007_Sheet2 2" xfId="312"/>
    <cellStyle name="_HPI CALCULATION 2007_Sheet2 2 2" xfId="27547"/>
    <cellStyle name="_HPI CALCULATION 2007_Sheet2 3" xfId="313"/>
    <cellStyle name="_HPI CALCULATION 2007_Sheet2 4" xfId="27548"/>
    <cellStyle name="_HPI CALCULATION 2007_Sheet2 5" xfId="27549"/>
    <cellStyle name="_HPI CALCULATION 2007_Sheet2 6" xfId="27550"/>
    <cellStyle name="_HPI CALCULATION 2007_SUMMARY OF SRM" xfId="314"/>
    <cellStyle name="_HPI CALCULATION 2007_SUMMARY OF SRM 2" xfId="315"/>
    <cellStyle name="_HPI CALCULATION 2007_SUMMARY OF SRM 2 2" xfId="27551"/>
    <cellStyle name="_HPI CALCULATION 2007_SUMMARY OF SRM 3" xfId="316"/>
    <cellStyle name="_HPI CALCULATION 2007_SUMMARY OF SRM 4" xfId="27552"/>
    <cellStyle name="_HPI CALCULATION 2007_SUMMARY OF SRM 5" xfId="27553"/>
    <cellStyle name="_HPI CALCULATION 2007_SUMMARY OF SRM 6" xfId="27554"/>
    <cellStyle name="_HPI CALCULATION 2007_WEEKLY SHIPMENT REQUEST 02-OCT-09" xfId="27555"/>
    <cellStyle name="_HPI CALCULATION 2007_WEEKLY SHIPMENT REQUEST 02-OCT-09 2" xfId="27556"/>
    <cellStyle name="_HPI CALCULATION 2007_WEEKLY SHIPMENT REQUEST 02-OCT-09 3" xfId="27557"/>
    <cellStyle name="_HPI CALCULATION 2007_WEEKLY SHIPMENT REQUEST 05-FEB-10" xfId="27558"/>
    <cellStyle name="_HPI CALCULATION 2007_WEEKLY SHIPMENT REQUEST 05-FEB-10 2" xfId="27559"/>
    <cellStyle name="_HPI CALCULATION 2007_WEEKLY SHIPMENT REQUEST 05-FEB-10 3" xfId="27560"/>
    <cellStyle name="_HPI CALCULATION 2007_WEEKLY SHIPMENT REQUEST 06-NOV-09" xfId="27561"/>
    <cellStyle name="_HPI CALCULATION 2007_WEEKLY SHIPMENT REQUEST 06-NOV-09 (2)" xfId="27562"/>
    <cellStyle name="_HPI CALCULATION 2007_WEEKLY SHIPMENT REQUEST 06-NOV-09 (2) 2" xfId="27563"/>
    <cellStyle name="_HPI CALCULATION 2007_WEEKLY SHIPMENT REQUEST 06-NOV-09 (2) 3" xfId="27564"/>
    <cellStyle name="_HPI CALCULATION 2007_WEEKLY SHIPMENT REQUEST 06-NOV-09 10" xfId="27565"/>
    <cellStyle name="_HPI CALCULATION 2007_WEEKLY SHIPMENT REQUEST 06-NOV-09 11" xfId="27566"/>
    <cellStyle name="_HPI CALCULATION 2007_WEEKLY SHIPMENT REQUEST 06-NOV-09 2" xfId="27567"/>
    <cellStyle name="_HPI CALCULATION 2007_WEEKLY SHIPMENT REQUEST 06-NOV-09 3" xfId="27568"/>
    <cellStyle name="_HPI CALCULATION 2007_WEEKLY SHIPMENT REQUEST 06-NOV-09 4" xfId="27569"/>
    <cellStyle name="_HPI CALCULATION 2007_WEEKLY SHIPMENT REQUEST 06-NOV-09 5" xfId="27570"/>
    <cellStyle name="_HPI CALCULATION 2007_WEEKLY SHIPMENT REQUEST 06-NOV-09 6" xfId="27571"/>
    <cellStyle name="_HPI CALCULATION 2007_WEEKLY SHIPMENT REQUEST 06-NOV-09 7" xfId="27572"/>
    <cellStyle name="_HPI CALCULATION 2007_WEEKLY SHIPMENT REQUEST 06-NOV-09 8" xfId="27573"/>
    <cellStyle name="_HPI CALCULATION 2007_WEEKLY SHIPMENT REQUEST 06-NOV-09 9" xfId="27574"/>
    <cellStyle name="_HPI CALCULATION 2007_WEEKLY SHIPMENT REQUEST 08-JAN-10" xfId="27575"/>
    <cellStyle name="_HPI CALCULATION 2007_WEEKLY SHIPMENT REQUEST 08-JAN-10 2" xfId="27576"/>
    <cellStyle name="_HPI CALCULATION 2007_WEEKLY SHIPMENT REQUEST 08-JAN-10 3" xfId="27577"/>
    <cellStyle name="_HPI CALCULATION 2007_WEEKLY SHIPMENT REQUEST 11-DEC-09 (2)" xfId="317"/>
    <cellStyle name="_HPI CALCULATION 2007_WEEKLY SHIPMENT REQUEST 11-DEC-09 (2) 2" xfId="318"/>
    <cellStyle name="_HPI CALCULATION 2007_WEEKLY SHIPMENT REQUEST 11-DEC-09 (2) 2 2" xfId="27578"/>
    <cellStyle name="_HPI CALCULATION 2007_WEEKLY SHIPMENT REQUEST 11-DEC-09 (2) 3" xfId="319"/>
    <cellStyle name="_HPI CALCULATION 2007_WEEKLY SHIPMENT REQUEST 11-DEC-09 (2) 4" xfId="27579"/>
    <cellStyle name="_HPI CALCULATION 2007_WEEKLY SHIPMENT REQUEST 11-DEC-09 (2) 5" xfId="27580"/>
    <cellStyle name="_HPI CALCULATION 2007_WEEKLY SHIPMENT REQUEST 11-DEC-09 (2) 6" xfId="27581"/>
    <cellStyle name="_HPI CALCULATION 2007_WEEKLY SHIPMENT REQUEST 13-NOV-09" xfId="27582"/>
    <cellStyle name="_HPI CALCULATION 2007_WEEKLY SHIPMENT REQUEST 13-NOV-09 2" xfId="27583"/>
    <cellStyle name="_HPI CALCULATION 2007_WEEKLY SHIPMENT REQUEST 13-NOV-09 3" xfId="27584"/>
    <cellStyle name="_HPI CALCULATION 2007_WEEKLY SHIPMENT REQUEST 15-JAN-10" xfId="27585"/>
    <cellStyle name="_HPI CALCULATION 2007_WEEKLY SHIPMENT REQUEST 15-JAN-10 2" xfId="27586"/>
    <cellStyle name="_HPI CALCULATION 2007_WEEKLY SHIPMENT REQUEST 15-JAN-10 3" xfId="27587"/>
    <cellStyle name="_HPI CALCULATION 2007_WEEKLY SHIPMENT REQUEST 16-OCT-09" xfId="27588"/>
    <cellStyle name="_HPI CALCULATION 2007_WEEKLY SHIPMENT REQUEST 16-OCT-09 2" xfId="27589"/>
    <cellStyle name="_HPI CALCULATION 2007_WEEKLY SHIPMENT REQUEST 16-OCT-09 3" xfId="27590"/>
    <cellStyle name="_HPI CALCULATION 2007_WEEKLY SHIPMENT REQUEST 18-SEPT-09" xfId="27591"/>
    <cellStyle name="_HPI CALCULATION 2007_WEEKLY SHIPMENT REQUEST 18-SEPT-09 2" xfId="27592"/>
    <cellStyle name="_HPI CALCULATION 2007_WEEKLY SHIPMENT REQUEST 18-SEPT-09 3" xfId="27593"/>
    <cellStyle name="_HPI CALCULATION 2007_WEEKLY SHIPMENT REQUEST 22-JAN-2010" xfId="27594"/>
    <cellStyle name="_HPI CALCULATION 2007_WEEKLY SHIPMENT REQUEST 22-JAN-2010 2" xfId="27595"/>
    <cellStyle name="_HPI CALCULATION 2007_WEEKLY SHIPMENT REQUEST 22-JAN-2010 3" xfId="27596"/>
    <cellStyle name="_HPI CALCULATION 2007_WEEKLY SHIPMENT REQUEST 25-SEPT-09" xfId="27597"/>
    <cellStyle name="_HPI CALCULATION 2007_WEEKLY SHIPMENT REQUEST 25-SEPT-09 2" xfId="27598"/>
    <cellStyle name="_HPI CALCULATION 2007_WEEKLY SHIPMENT REQUEST 25-SEPT-09 3" xfId="27599"/>
    <cellStyle name="_HPI CALCULATION 2007_WEEKLY SHIPMENT REQUEST 29-JAN-10 (2)" xfId="27600"/>
    <cellStyle name="_HPI CALCULATION 2007_WEEKLY SHIPMENT REQUEST 29-JAN-10 (2) 2" xfId="27601"/>
    <cellStyle name="_HPI CALCULATION 2007_WEEKLY SHIPMENT REQUEST 29-JAN-10 (2) 3" xfId="27602"/>
    <cellStyle name="_HPI CALCULATION 2007_WEEKLY SHIPMENT REQUEST 29-JAN-10 (2)_WEEKLY SHIPMENT REQUEST 29-JAN-10 (2)" xfId="27603"/>
    <cellStyle name="_HPI CALCULATION 2007_WEEKLY SHIPMENT REQUEST 29-JAN-10 (2)_WEEKLY SHIPMENT REQUEST 29-JAN-10 (2) 2" xfId="27604"/>
    <cellStyle name="_HPI CALCULATION 2007_WEEKLY SHIPMENT REQUEST 29-JAN-10 (2)_WEEKLY SHIPMENT REQUEST 29-JAN-10 (2) 3" xfId="27605"/>
    <cellStyle name="_HPI CALCULATION 2008" xfId="320"/>
    <cellStyle name="_HPI CALCULATION 2008 2" xfId="321"/>
    <cellStyle name="_HPI CALCULATION 2008 2 2" xfId="27606"/>
    <cellStyle name="_HPI CALCULATION 2008 3" xfId="322"/>
    <cellStyle name="_HPI CALCULATION 2008 4" xfId="27607"/>
    <cellStyle name="_HPI CALCULATION 2008 5" xfId="27608"/>
    <cellStyle name="_HPI CALCULATION 2008 6" xfId="27609"/>
    <cellStyle name="_HPI CALCULATION 2008 SP 08.02" xfId="323"/>
    <cellStyle name="_HPI CALCULATION 2008 SP 08.02 2" xfId="324"/>
    <cellStyle name="_HPI CALCULATION 2008 SP 08.02 2 2" xfId="27610"/>
    <cellStyle name="_HPI CALCULATION 2008 SP 08.02 3" xfId="325"/>
    <cellStyle name="_HPI CALCULATION 2008 SP 08.02 4" xfId="27611"/>
    <cellStyle name="_HPI CALCULATION 2008 SP 08.02 5" xfId="27612"/>
    <cellStyle name="_HPI CALCULATION 2008 SP 08.02 6" xfId="27613"/>
    <cellStyle name="_HPI CALCULATION 2008 SP 08.02_0" xfId="27614"/>
    <cellStyle name="_HPI CALCULATION 2008 SP 08.02_0 2" xfId="27615"/>
    <cellStyle name="_HPI CALCULATION 2008 SP 08.02_0 3" xfId="27616"/>
    <cellStyle name="_HPI CALCULATION 2008 SP 08.02_09.04.10" xfId="27617"/>
    <cellStyle name="_HPI CALCULATION 2008 SP 08.02_09.04.10 2" xfId="27618"/>
    <cellStyle name="_HPI CALCULATION 2008 SP 08.02_09.04.10 3" xfId="27619"/>
    <cellStyle name="_HPI CALCULATION 2008 SP 08.02_18.12.09" xfId="326"/>
    <cellStyle name="_HPI CALCULATION 2008 SP 08.02_18.12.09 2" xfId="327"/>
    <cellStyle name="_HPI CALCULATION 2008 SP 08.02_18.12.09 2 2" xfId="27620"/>
    <cellStyle name="_HPI CALCULATION 2008 SP 08.02_18.12.09 3" xfId="328"/>
    <cellStyle name="_HPI CALCULATION 2008 SP 08.02_18.12.09 4" xfId="27621"/>
    <cellStyle name="_HPI CALCULATION 2008 SP 08.02_18.12.09 5" xfId="27622"/>
    <cellStyle name="_HPI CALCULATION 2008 SP 08.02_18.12.09 6" xfId="27623"/>
    <cellStyle name="_HPI CALCULATION 2008 SP 08.02_25-Dec-09" xfId="27624"/>
    <cellStyle name="_HPI CALCULATION 2008 SP 08.02_25-Dec-09 2" xfId="27625"/>
    <cellStyle name="_HPI CALCULATION 2008 SP 08.02_25-Dec-09 3" xfId="27626"/>
    <cellStyle name="_HPI CALCULATION 2008 SP 08.02_29.12.09" xfId="27627"/>
    <cellStyle name="_HPI CALCULATION 2008 SP 08.02_29.12.09 2" xfId="27628"/>
    <cellStyle name="_HPI CALCULATION 2008 SP 08.02_29.12.09 3" xfId="27629"/>
    <cellStyle name="_HPI CALCULATION 2008 SP 08.02_ARCO" xfId="27630"/>
    <cellStyle name="_HPI CALCULATION 2008 SP 08.02_ARCO 2" xfId="27631"/>
    <cellStyle name="_HPI CALCULATION 2008 SP 08.02_ARCO 3" xfId="27632"/>
    <cellStyle name="_HPI CALCULATION 2008 SP 08.02_BIGMATE" xfId="27633"/>
    <cellStyle name="_HPI CALCULATION 2008 SP 08.02_BIGMATE 2" xfId="27634"/>
    <cellStyle name="_HPI CALCULATION 2008 SP 08.02_BIGMATE 3" xfId="27635"/>
    <cellStyle name="_HPI CALCULATION 2008 SP 08.02_CONFIRMATION OF RMS 2009" xfId="27636"/>
    <cellStyle name="_HPI CALCULATION 2008 SP 08.02_CONFIRMATION OF RMS 2009 2" xfId="27637"/>
    <cellStyle name="_HPI CALCULATION 2008 SP 08.02_CONFIRMATION OF RMS 2009 3" xfId="27638"/>
    <cellStyle name="_HPI CALCULATION 2008 SP 08.02_CONFIRMATION OF RMS 2010" xfId="27639"/>
    <cellStyle name="_HPI CALCULATION 2008 SP 08.02_CONFIRMATION OF RMS 2010 2" xfId="27640"/>
    <cellStyle name="_HPI CALCULATION 2008 SP 08.02_CONFIRMATION OF RMS 2010 3" xfId="27641"/>
    <cellStyle name="_HPI CALCULATION 2008 SP 08.02_DAIKYO (2)" xfId="27642"/>
    <cellStyle name="_HPI CALCULATION 2008 SP 08.02_DAIKYO (2) 2" xfId="27643"/>
    <cellStyle name="_HPI CALCULATION 2008 SP 08.02_DAIKYO (2) 3" xfId="27644"/>
    <cellStyle name="_HPI CALCULATION 2008 SP 08.02_FU" xfId="27645"/>
    <cellStyle name="_HPI CALCULATION 2008 SP 08.02_FU 2" xfId="27646"/>
    <cellStyle name="_HPI CALCULATION 2008 SP 08.02_FU 3" xfId="27647"/>
    <cellStyle name="_HPI CALCULATION 2008 SP 08.02_GMTI" xfId="27648"/>
    <cellStyle name="_HPI CALCULATION 2008 SP 08.02_GMTI 2" xfId="27649"/>
    <cellStyle name="_HPI CALCULATION 2008 SP 08.02_GMTI 3" xfId="27650"/>
    <cellStyle name="_HPI CALCULATION 2008 SP 08.02_IWAKAMI (2)" xfId="27651"/>
    <cellStyle name="_HPI CALCULATION 2008 SP 08.02_IWAKAMI (2) 2" xfId="27652"/>
    <cellStyle name="_HPI CALCULATION 2008 SP 08.02_IWAKAMI (2) 3" xfId="27653"/>
    <cellStyle name="_HPI CALCULATION 2008 SP 08.02_LAGUNAMETTS" xfId="27654"/>
    <cellStyle name="_HPI CALCULATION 2008 SP 08.02_LAGUNAMETTS 2" xfId="27655"/>
    <cellStyle name="_HPI CALCULATION 2008 SP 08.02_LAGUNAMETTS 3" xfId="27656"/>
    <cellStyle name="_HPI CALCULATION 2008 SP 08.02_May 2009 Forecast" xfId="329"/>
    <cellStyle name="_HPI CALCULATION 2008 SP 08.02_May 2009 Forecast 2" xfId="330"/>
    <cellStyle name="_HPI CALCULATION 2008 SP 08.02_May 2009 Forecast 2 2" xfId="27657"/>
    <cellStyle name="_HPI CALCULATION 2008 SP 08.02_May 2009 Forecast 3" xfId="331"/>
    <cellStyle name="_HPI CALCULATION 2008 SP 08.02_May 2009 Forecast 4" xfId="27658"/>
    <cellStyle name="_HPI CALCULATION 2008 SP 08.02_May 2009 Forecast 5" xfId="27659"/>
    <cellStyle name="_HPI CALCULATION 2008 SP 08.02_May 2009 Forecast 6" xfId="27660"/>
    <cellStyle name="_HPI CALCULATION 2008 SP 08.02_May 2009 Forecast_SANWA" xfId="332"/>
    <cellStyle name="_HPI CALCULATION 2008 SP 08.02_May 2009 Forecast_SANWA 2" xfId="333"/>
    <cellStyle name="_HPI CALCULATION 2008 SP 08.02_May 2009 Forecast_SANWA 2 2" xfId="27661"/>
    <cellStyle name="_HPI CALCULATION 2008 SP 08.02_May 2009 Forecast_SANWA 3" xfId="334"/>
    <cellStyle name="_HPI CALCULATION 2008 SP 08.02_May 2009 Forecast_SANWA 4" xfId="27662"/>
    <cellStyle name="_HPI CALCULATION 2008 SP 08.02_May 2009 Forecast_SANWA 5" xfId="27663"/>
    <cellStyle name="_HPI CALCULATION 2008 SP 08.02_May 2009 Forecast_SANWA 6" xfId="27664"/>
    <cellStyle name="_HPI CALCULATION 2008 SP 08.02_MINGHONG" xfId="27665"/>
    <cellStyle name="_HPI CALCULATION 2008 SP 08.02_MINGHONG 2" xfId="27666"/>
    <cellStyle name="_HPI CALCULATION 2008 SP 08.02_MINGHONG 3" xfId="27667"/>
    <cellStyle name="_HPI CALCULATION 2008 SP 08.02_SANWA" xfId="335"/>
    <cellStyle name="_HPI CALCULATION 2008 SP 08.02_SANWA 2" xfId="336"/>
    <cellStyle name="_HPI CALCULATION 2008 SP 08.02_SANWA 2 2" xfId="27668"/>
    <cellStyle name="_HPI CALCULATION 2008 SP 08.02_SANWA 3" xfId="337"/>
    <cellStyle name="_HPI CALCULATION 2008 SP 08.02_SANWA 4" xfId="27669"/>
    <cellStyle name="_HPI CALCULATION 2008 SP 08.02_SANWA 5" xfId="27670"/>
    <cellStyle name="_HPI CALCULATION 2008 SP 08.02_SANWA 6" xfId="27671"/>
    <cellStyle name="_HPI CALCULATION 2008 SP 08.02_Sheet1" xfId="27672"/>
    <cellStyle name="_HPI CALCULATION 2008 SP 08.02_Sheet1 2" xfId="27673"/>
    <cellStyle name="_HPI CALCULATION 2008 SP 08.02_Sheet1 3" xfId="27674"/>
    <cellStyle name="_HPI CALCULATION 2008 SP 08.02_Sheet2" xfId="338"/>
    <cellStyle name="_HPI CALCULATION 2008 SP 08.02_Sheet2 2" xfId="339"/>
    <cellStyle name="_HPI CALCULATION 2008 SP 08.02_Sheet2 2 2" xfId="27675"/>
    <cellStyle name="_HPI CALCULATION 2008 SP 08.02_Sheet2 3" xfId="340"/>
    <cellStyle name="_HPI CALCULATION 2008 SP 08.02_Sheet2 4" xfId="27676"/>
    <cellStyle name="_HPI CALCULATION 2008 SP 08.02_Sheet2 5" xfId="27677"/>
    <cellStyle name="_HPI CALCULATION 2008 SP 08.02_Sheet2 6" xfId="27678"/>
    <cellStyle name="_HPI CALCULATION 2008 SP 08.02_SUMMARY OF SRM" xfId="341"/>
    <cellStyle name="_HPI CALCULATION 2008 SP 08.02_SUMMARY OF SRM 2" xfId="342"/>
    <cellStyle name="_HPI CALCULATION 2008 SP 08.02_SUMMARY OF SRM 2 2" xfId="27679"/>
    <cellStyle name="_HPI CALCULATION 2008 SP 08.02_SUMMARY OF SRM 3" xfId="343"/>
    <cellStyle name="_HPI CALCULATION 2008 SP 08.02_SUMMARY OF SRM 4" xfId="27680"/>
    <cellStyle name="_HPI CALCULATION 2008 SP 08.02_SUMMARY OF SRM 5" xfId="27681"/>
    <cellStyle name="_HPI CALCULATION 2008 SP 08.02_SUMMARY OF SRM 6" xfId="27682"/>
    <cellStyle name="_HPI CALCULATION 2008 SP 08.02_WEEKLY SHIPMENT REQUEST 02-OCT-09" xfId="27683"/>
    <cellStyle name="_HPI CALCULATION 2008 SP 08.02_WEEKLY SHIPMENT REQUEST 02-OCT-09 2" xfId="27684"/>
    <cellStyle name="_HPI CALCULATION 2008 SP 08.02_WEEKLY SHIPMENT REQUEST 02-OCT-09 3" xfId="27685"/>
    <cellStyle name="_HPI CALCULATION 2008 SP 08.02_WEEKLY SHIPMENT REQUEST 05-FEB-10" xfId="27686"/>
    <cellStyle name="_HPI CALCULATION 2008 SP 08.02_WEEKLY SHIPMENT REQUEST 05-FEB-10 2" xfId="27687"/>
    <cellStyle name="_HPI CALCULATION 2008 SP 08.02_WEEKLY SHIPMENT REQUEST 05-FEB-10 3" xfId="27688"/>
    <cellStyle name="_HPI CALCULATION 2008 SP 08.02_WEEKLY SHIPMENT REQUEST 06-NOV-09" xfId="27689"/>
    <cellStyle name="_HPI CALCULATION 2008 SP 08.02_WEEKLY SHIPMENT REQUEST 06-NOV-09 (2)" xfId="27690"/>
    <cellStyle name="_HPI CALCULATION 2008 SP 08.02_WEEKLY SHIPMENT REQUEST 06-NOV-09 (2) 2" xfId="27691"/>
    <cellStyle name="_HPI CALCULATION 2008 SP 08.02_WEEKLY SHIPMENT REQUEST 06-NOV-09 (2) 3" xfId="27692"/>
    <cellStyle name="_HPI CALCULATION 2008 SP 08.02_WEEKLY SHIPMENT REQUEST 06-NOV-09 10" xfId="27693"/>
    <cellStyle name="_HPI CALCULATION 2008 SP 08.02_WEEKLY SHIPMENT REQUEST 06-NOV-09 11" xfId="27694"/>
    <cellStyle name="_HPI CALCULATION 2008 SP 08.02_WEEKLY SHIPMENT REQUEST 06-NOV-09 2" xfId="27695"/>
    <cellStyle name="_HPI CALCULATION 2008 SP 08.02_WEEKLY SHIPMENT REQUEST 06-NOV-09 3" xfId="27696"/>
    <cellStyle name="_HPI CALCULATION 2008 SP 08.02_WEEKLY SHIPMENT REQUEST 06-NOV-09 4" xfId="27697"/>
    <cellStyle name="_HPI CALCULATION 2008 SP 08.02_WEEKLY SHIPMENT REQUEST 06-NOV-09 5" xfId="27698"/>
    <cellStyle name="_HPI CALCULATION 2008 SP 08.02_WEEKLY SHIPMENT REQUEST 06-NOV-09 6" xfId="27699"/>
    <cellStyle name="_HPI CALCULATION 2008 SP 08.02_WEEKLY SHIPMENT REQUEST 06-NOV-09 7" xfId="27700"/>
    <cellStyle name="_HPI CALCULATION 2008 SP 08.02_WEEKLY SHIPMENT REQUEST 06-NOV-09 8" xfId="27701"/>
    <cellStyle name="_HPI CALCULATION 2008 SP 08.02_WEEKLY SHIPMENT REQUEST 06-NOV-09 9" xfId="27702"/>
    <cellStyle name="_HPI CALCULATION 2008 SP 08.02_WEEKLY SHIPMENT REQUEST 08-JAN-10" xfId="27703"/>
    <cellStyle name="_HPI CALCULATION 2008 SP 08.02_WEEKLY SHIPMENT REQUEST 08-JAN-10 2" xfId="27704"/>
    <cellStyle name="_HPI CALCULATION 2008 SP 08.02_WEEKLY SHIPMENT REQUEST 08-JAN-10 3" xfId="27705"/>
    <cellStyle name="_HPI CALCULATION 2008 SP 08.02_WEEKLY SHIPMENT REQUEST 11-DEC-09 (2)" xfId="344"/>
    <cellStyle name="_HPI CALCULATION 2008 SP 08.02_WEEKLY SHIPMENT REQUEST 11-DEC-09 (2) 2" xfId="345"/>
    <cellStyle name="_HPI CALCULATION 2008 SP 08.02_WEEKLY SHIPMENT REQUEST 11-DEC-09 (2) 2 2" xfId="27706"/>
    <cellStyle name="_HPI CALCULATION 2008 SP 08.02_WEEKLY SHIPMENT REQUEST 11-DEC-09 (2) 3" xfId="346"/>
    <cellStyle name="_HPI CALCULATION 2008 SP 08.02_WEEKLY SHIPMENT REQUEST 11-DEC-09 (2) 4" xfId="27707"/>
    <cellStyle name="_HPI CALCULATION 2008 SP 08.02_WEEKLY SHIPMENT REQUEST 11-DEC-09 (2) 5" xfId="27708"/>
    <cellStyle name="_HPI CALCULATION 2008 SP 08.02_WEEKLY SHIPMENT REQUEST 11-DEC-09 (2) 6" xfId="27709"/>
    <cellStyle name="_HPI CALCULATION 2008 SP 08.02_WEEKLY SHIPMENT REQUEST 13-NOV-09" xfId="27710"/>
    <cellStyle name="_HPI CALCULATION 2008 SP 08.02_WEEKLY SHIPMENT REQUEST 13-NOV-09 2" xfId="27711"/>
    <cellStyle name="_HPI CALCULATION 2008 SP 08.02_WEEKLY SHIPMENT REQUEST 13-NOV-09 3" xfId="27712"/>
    <cellStyle name="_HPI CALCULATION 2008 SP 08.02_WEEKLY SHIPMENT REQUEST 15-JAN-10" xfId="27713"/>
    <cellStyle name="_HPI CALCULATION 2008 SP 08.02_WEEKLY SHIPMENT REQUEST 15-JAN-10 2" xfId="27714"/>
    <cellStyle name="_HPI CALCULATION 2008 SP 08.02_WEEKLY SHIPMENT REQUEST 15-JAN-10 3" xfId="27715"/>
    <cellStyle name="_HPI CALCULATION 2008 SP 08.02_WEEKLY SHIPMENT REQUEST 16-OCT-09" xfId="27716"/>
    <cellStyle name="_HPI CALCULATION 2008 SP 08.02_WEEKLY SHIPMENT REQUEST 16-OCT-09 2" xfId="27717"/>
    <cellStyle name="_HPI CALCULATION 2008 SP 08.02_WEEKLY SHIPMENT REQUEST 16-OCT-09 3" xfId="27718"/>
    <cellStyle name="_HPI CALCULATION 2008 SP 08.02_WEEKLY SHIPMENT REQUEST 18-SEPT-09" xfId="27719"/>
    <cellStyle name="_HPI CALCULATION 2008 SP 08.02_WEEKLY SHIPMENT REQUEST 18-SEPT-09 2" xfId="27720"/>
    <cellStyle name="_HPI CALCULATION 2008 SP 08.02_WEEKLY SHIPMENT REQUEST 18-SEPT-09 3" xfId="27721"/>
    <cellStyle name="_HPI CALCULATION 2008 SP 08.02_WEEKLY SHIPMENT REQUEST 22-JAN-2010" xfId="27722"/>
    <cellStyle name="_HPI CALCULATION 2008 SP 08.02_WEEKLY SHIPMENT REQUEST 22-JAN-2010 2" xfId="27723"/>
    <cellStyle name="_HPI CALCULATION 2008 SP 08.02_WEEKLY SHIPMENT REQUEST 22-JAN-2010 3" xfId="27724"/>
    <cellStyle name="_HPI CALCULATION 2008 SP 08.02_WEEKLY SHIPMENT REQUEST 25-SEPT-09" xfId="27725"/>
    <cellStyle name="_HPI CALCULATION 2008 SP 08.02_WEEKLY SHIPMENT REQUEST 25-SEPT-09 2" xfId="27726"/>
    <cellStyle name="_HPI CALCULATION 2008 SP 08.02_WEEKLY SHIPMENT REQUEST 25-SEPT-09 3" xfId="27727"/>
    <cellStyle name="_HPI CALCULATION 2008 SP 08.02_WEEKLY SHIPMENT REQUEST 29-JAN-10 (2)" xfId="27728"/>
    <cellStyle name="_HPI CALCULATION 2008 SP 08.02_WEEKLY SHIPMENT REQUEST 29-JAN-10 (2) 2" xfId="27729"/>
    <cellStyle name="_HPI CALCULATION 2008 SP 08.02_WEEKLY SHIPMENT REQUEST 29-JAN-10 (2) 3" xfId="27730"/>
    <cellStyle name="_HPI CALCULATION 2008 SP 08.02_WEEKLY SHIPMENT REQUEST 29-JAN-10 (2)_WEEKLY SHIPMENT REQUEST 29-JAN-10 (2)" xfId="27731"/>
    <cellStyle name="_HPI CALCULATION 2008 SP 08.02_WEEKLY SHIPMENT REQUEST 29-JAN-10 (2)_WEEKLY SHIPMENT REQUEST 29-JAN-10 (2) 2" xfId="27732"/>
    <cellStyle name="_HPI CALCULATION 2008 SP 08.02_WEEKLY SHIPMENT REQUEST 29-JAN-10 (2)_WEEKLY SHIPMENT REQUEST 29-JAN-10 (2) 3" xfId="27733"/>
    <cellStyle name="_HPI CALCULATION 2008." xfId="347"/>
    <cellStyle name="_HPI CALCULATION 2008. 2" xfId="348"/>
    <cellStyle name="_HPI CALCULATION 2008. 2 2" xfId="27734"/>
    <cellStyle name="_HPI CALCULATION 2008. 3" xfId="349"/>
    <cellStyle name="_HPI CALCULATION 2008. 4" xfId="27735"/>
    <cellStyle name="_HPI CALCULATION 2008. 5" xfId="27736"/>
    <cellStyle name="_HPI CALCULATION 2008. 6" xfId="27737"/>
    <cellStyle name="_HPI CALCULATION 2008._0" xfId="27738"/>
    <cellStyle name="_HPI CALCULATION 2008._0 2" xfId="27739"/>
    <cellStyle name="_HPI CALCULATION 2008._0 3" xfId="27740"/>
    <cellStyle name="_HPI CALCULATION 2008._09.04.10" xfId="27741"/>
    <cellStyle name="_HPI CALCULATION 2008._09.04.10 2" xfId="27742"/>
    <cellStyle name="_HPI CALCULATION 2008._09.04.10 3" xfId="27743"/>
    <cellStyle name="_HPI CALCULATION 2008._18.12.09" xfId="350"/>
    <cellStyle name="_HPI CALCULATION 2008._18.12.09 2" xfId="351"/>
    <cellStyle name="_HPI CALCULATION 2008._18.12.09 2 2" xfId="27744"/>
    <cellStyle name="_HPI CALCULATION 2008._18.12.09 3" xfId="352"/>
    <cellStyle name="_HPI CALCULATION 2008._18.12.09 4" xfId="27745"/>
    <cellStyle name="_HPI CALCULATION 2008._18.12.09 5" xfId="27746"/>
    <cellStyle name="_HPI CALCULATION 2008._18.12.09 6" xfId="27747"/>
    <cellStyle name="_HPI CALCULATION 2008._25-Dec-09" xfId="27748"/>
    <cellStyle name="_HPI CALCULATION 2008._25-Dec-09 2" xfId="27749"/>
    <cellStyle name="_HPI CALCULATION 2008._25-Dec-09 3" xfId="27750"/>
    <cellStyle name="_HPI CALCULATION 2008._29.12.09" xfId="27751"/>
    <cellStyle name="_HPI CALCULATION 2008._29.12.09 2" xfId="27752"/>
    <cellStyle name="_HPI CALCULATION 2008._29.12.09 3" xfId="27753"/>
    <cellStyle name="_HPI CALCULATION 2008._ARCO" xfId="27754"/>
    <cellStyle name="_HPI CALCULATION 2008._ARCO 2" xfId="27755"/>
    <cellStyle name="_HPI CALCULATION 2008._ARCO 3" xfId="27756"/>
    <cellStyle name="_HPI CALCULATION 2008._BIGMATE" xfId="27757"/>
    <cellStyle name="_HPI CALCULATION 2008._BIGMATE 2" xfId="27758"/>
    <cellStyle name="_HPI CALCULATION 2008._BIGMATE 3" xfId="27759"/>
    <cellStyle name="_HPI CALCULATION 2008._CONFIRMATION OF RMS 2009" xfId="27760"/>
    <cellStyle name="_HPI CALCULATION 2008._CONFIRMATION OF RMS 2009 2" xfId="27761"/>
    <cellStyle name="_HPI CALCULATION 2008._CONFIRMATION OF RMS 2009 3" xfId="27762"/>
    <cellStyle name="_HPI CALCULATION 2008._CONFIRMATION OF RMS 2010" xfId="27763"/>
    <cellStyle name="_HPI CALCULATION 2008._CONFIRMATION OF RMS 2010 2" xfId="27764"/>
    <cellStyle name="_HPI CALCULATION 2008._CONFIRMATION OF RMS 2010 3" xfId="27765"/>
    <cellStyle name="_HPI CALCULATION 2008._DAIKYO (2)" xfId="27766"/>
    <cellStyle name="_HPI CALCULATION 2008._DAIKYO (2) 2" xfId="27767"/>
    <cellStyle name="_HPI CALCULATION 2008._DAIKYO (2) 3" xfId="27768"/>
    <cellStyle name="_HPI CALCULATION 2008._FU" xfId="27769"/>
    <cellStyle name="_HPI CALCULATION 2008._FU 2" xfId="27770"/>
    <cellStyle name="_HPI CALCULATION 2008._FU 3" xfId="27771"/>
    <cellStyle name="_HPI CALCULATION 2008._GMTI" xfId="27772"/>
    <cellStyle name="_HPI CALCULATION 2008._GMTI 2" xfId="27773"/>
    <cellStyle name="_HPI CALCULATION 2008._GMTI 3" xfId="27774"/>
    <cellStyle name="_HPI CALCULATION 2008._IWAKAMI (2)" xfId="27775"/>
    <cellStyle name="_HPI CALCULATION 2008._IWAKAMI (2) 2" xfId="27776"/>
    <cellStyle name="_HPI CALCULATION 2008._IWAKAMI (2) 3" xfId="27777"/>
    <cellStyle name="_HPI CALCULATION 2008._LAGUNAMETTS" xfId="27778"/>
    <cellStyle name="_HPI CALCULATION 2008._LAGUNAMETTS 2" xfId="27779"/>
    <cellStyle name="_HPI CALCULATION 2008._LAGUNAMETTS 3" xfId="27780"/>
    <cellStyle name="_HPI CALCULATION 2008._May 2009 Forecast" xfId="353"/>
    <cellStyle name="_HPI CALCULATION 2008._May 2009 Forecast 2" xfId="354"/>
    <cellStyle name="_HPI CALCULATION 2008._May 2009 Forecast 2 2" xfId="27781"/>
    <cellStyle name="_HPI CALCULATION 2008._May 2009 Forecast 3" xfId="355"/>
    <cellStyle name="_HPI CALCULATION 2008._May 2009 Forecast 4" xfId="27782"/>
    <cellStyle name="_HPI CALCULATION 2008._May 2009 Forecast 5" xfId="27783"/>
    <cellStyle name="_HPI CALCULATION 2008._May 2009 Forecast 6" xfId="27784"/>
    <cellStyle name="_HPI CALCULATION 2008._May 2009 Forecast_SANWA" xfId="356"/>
    <cellStyle name="_HPI CALCULATION 2008._May 2009 Forecast_SANWA 2" xfId="357"/>
    <cellStyle name="_HPI CALCULATION 2008._May 2009 Forecast_SANWA 2 2" xfId="27785"/>
    <cellStyle name="_HPI CALCULATION 2008._May 2009 Forecast_SANWA 3" xfId="358"/>
    <cellStyle name="_HPI CALCULATION 2008._May 2009 Forecast_SANWA 4" xfId="27786"/>
    <cellStyle name="_HPI CALCULATION 2008._May 2009 Forecast_SANWA 5" xfId="27787"/>
    <cellStyle name="_HPI CALCULATION 2008._May 2009 Forecast_SANWA 6" xfId="27788"/>
    <cellStyle name="_HPI CALCULATION 2008._MINGHONG" xfId="27789"/>
    <cellStyle name="_HPI CALCULATION 2008._MINGHONG 2" xfId="27790"/>
    <cellStyle name="_HPI CALCULATION 2008._MINGHONG 3" xfId="27791"/>
    <cellStyle name="_HPI CALCULATION 2008._SANWA" xfId="359"/>
    <cellStyle name="_HPI CALCULATION 2008._SANWA 2" xfId="360"/>
    <cellStyle name="_HPI CALCULATION 2008._SANWA 2 2" xfId="27792"/>
    <cellStyle name="_HPI CALCULATION 2008._SANWA 3" xfId="361"/>
    <cellStyle name="_HPI CALCULATION 2008._SANWA 4" xfId="27793"/>
    <cellStyle name="_HPI CALCULATION 2008._SANWA 5" xfId="27794"/>
    <cellStyle name="_HPI CALCULATION 2008._SANWA 6" xfId="27795"/>
    <cellStyle name="_HPI CALCULATION 2008._Sheet1" xfId="27796"/>
    <cellStyle name="_HPI CALCULATION 2008._Sheet1 2" xfId="27797"/>
    <cellStyle name="_HPI CALCULATION 2008._Sheet1 3" xfId="27798"/>
    <cellStyle name="_HPI CALCULATION 2008._Sheet2" xfId="362"/>
    <cellStyle name="_HPI CALCULATION 2008._Sheet2 2" xfId="363"/>
    <cellStyle name="_HPI CALCULATION 2008._Sheet2 2 2" xfId="27799"/>
    <cellStyle name="_HPI CALCULATION 2008._Sheet2 3" xfId="364"/>
    <cellStyle name="_HPI CALCULATION 2008._Sheet2 4" xfId="27800"/>
    <cellStyle name="_HPI CALCULATION 2008._Sheet2 5" xfId="27801"/>
    <cellStyle name="_HPI CALCULATION 2008._Sheet2 6" xfId="27802"/>
    <cellStyle name="_HPI CALCULATION 2008._SUMMARY OF SRM" xfId="365"/>
    <cellStyle name="_HPI CALCULATION 2008._SUMMARY OF SRM 2" xfId="366"/>
    <cellStyle name="_HPI CALCULATION 2008._SUMMARY OF SRM 2 2" xfId="27803"/>
    <cellStyle name="_HPI CALCULATION 2008._SUMMARY OF SRM 3" xfId="367"/>
    <cellStyle name="_HPI CALCULATION 2008._SUMMARY OF SRM 4" xfId="27804"/>
    <cellStyle name="_HPI CALCULATION 2008._SUMMARY OF SRM 5" xfId="27805"/>
    <cellStyle name="_HPI CALCULATION 2008._SUMMARY OF SRM 6" xfId="27806"/>
    <cellStyle name="_HPI CALCULATION 2008._WEEKLY SHIPMENT REQUEST 02-OCT-09" xfId="27807"/>
    <cellStyle name="_HPI CALCULATION 2008._WEEKLY SHIPMENT REQUEST 02-OCT-09 2" xfId="27808"/>
    <cellStyle name="_HPI CALCULATION 2008._WEEKLY SHIPMENT REQUEST 02-OCT-09 3" xfId="27809"/>
    <cellStyle name="_HPI CALCULATION 2008._WEEKLY SHIPMENT REQUEST 05-FEB-10" xfId="27810"/>
    <cellStyle name="_HPI CALCULATION 2008._WEEKLY SHIPMENT REQUEST 05-FEB-10 2" xfId="27811"/>
    <cellStyle name="_HPI CALCULATION 2008._WEEKLY SHIPMENT REQUEST 05-FEB-10 3" xfId="27812"/>
    <cellStyle name="_HPI CALCULATION 2008._WEEKLY SHIPMENT REQUEST 06-NOV-09" xfId="27813"/>
    <cellStyle name="_HPI CALCULATION 2008._WEEKLY SHIPMENT REQUEST 06-NOV-09 (2)" xfId="27814"/>
    <cellStyle name="_HPI CALCULATION 2008._WEEKLY SHIPMENT REQUEST 06-NOV-09 (2) 2" xfId="27815"/>
    <cellStyle name="_HPI CALCULATION 2008._WEEKLY SHIPMENT REQUEST 06-NOV-09 (2) 3" xfId="27816"/>
    <cellStyle name="_HPI CALCULATION 2008._WEEKLY SHIPMENT REQUEST 06-NOV-09 10" xfId="27817"/>
    <cellStyle name="_HPI CALCULATION 2008._WEEKLY SHIPMENT REQUEST 06-NOV-09 11" xfId="27818"/>
    <cellStyle name="_HPI CALCULATION 2008._WEEKLY SHIPMENT REQUEST 06-NOV-09 2" xfId="27819"/>
    <cellStyle name="_HPI CALCULATION 2008._WEEKLY SHIPMENT REQUEST 06-NOV-09 3" xfId="27820"/>
    <cellStyle name="_HPI CALCULATION 2008._WEEKLY SHIPMENT REQUEST 06-NOV-09 4" xfId="27821"/>
    <cellStyle name="_HPI CALCULATION 2008._WEEKLY SHIPMENT REQUEST 06-NOV-09 5" xfId="27822"/>
    <cellStyle name="_HPI CALCULATION 2008._WEEKLY SHIPMENT REQUEST 06-NOV-09 6" xfId="27823"/>
    <cellStyle name="_HPI CALCULATION 2008._WEEKLY SHIPMENT REQUEST 06-NOV-09 7" xfId="27824"/>
    <cellStyle name="_HPI CALCULATION 2008._WEEKLY SHIPMENT REQUEST 06-NOV-09 8" xfId="27825"/>
    <cellStyle name="_HPI CALCULATION 2008._WEEKLY SHIPMENT REQUEST 06-NOV-09 9" xfId="27826"/>
    <cellStyle name="_HPI CALCULATION 2008._WEEKLY SHIPMENT REQUEST 08-JAN-10" xfId="27827"/>
    <cellStyle name="_HPI CALCULATION 2008._WEEKLY SHIPMENT REQUEST 08-JAN-10 2" xfId="27828"/>
    <cellStyle name="_HPI CALCULATION 2008._WEEKLY SHIPMENT REQUEST 08-JAN-10 3" xfId="27829"/>
    <cellStyle name="_HPI CALCULATION 2008._WEEKLY SHIPMENT REQUEST 11-DEC-09 (2)" xfId="368"/>
    <cellStyle name="_HPI CALCULATION 2008._WEEKLY SHIPMENT REQUEST 11-DEC-09 (2) 2" xfId="369"/>
    <cellStyle name="_HPI CALCULATION 2008._WEEKLY SHIPMENT REQUEST 11-DEC-09 (2) 2 2" xfId="27830"/>
    <cellStyle name="_HPI CALCULATION 2008._WEEKLY SHIPMENT REQUEST 11-DEC-09 (2) 3" xfId="370"/>
    <cellStyle name="_HPI CALCULATION 2008._WEEKLY SHIPMENT REQUEST 11-DEC-09 (2) 4" xfId="27831"/>
    <cellStyle name="_HPI CALCULATION 2008._WEEKLY SHIPMENT REQUEST 11-DEC-09 (2) 5" xfId="27832"/>
    <cellStyle name="_HPI CALCULATION 2008._WEEKLY SHIPMENT REQUEST 11-DEC-09 (2) 6" xfId="27833"/>
    <cellStyle name="_HPI CALCULATION 2008._WEEKLY SHIPMENT REQUEST 13-NOV-09" xfId="27834"/>
    <cellStyle name="_HPI CALCULATION 2008._WEEKLY SHIPMENT REQUEST 13-NOV-09 2" xfId="27835"/>
    <cellStyle name="_HPI CALCULATION 2008._WEEKLY SHIPMENT REQUEST 13-NOV-09 3" xfId="27836"/>
    <cellStyle name="_HPI CALCULATION 2008._WEEKLY SHIPMENT REQUEST 15-JAN-10" xfId="27837"/>
    <cellStyle name="_HPI CALCULATION 2008._WEEKLY SHIPMENT REQUEST 15-JAN-10 2" xfId="27838"/>
    <cellStyle name="_HPI CALCULATION 2008._WEEKLY SHIPMENT REQUEST 15-JAN-10 3" xfId="27839"/>
    <cellStyle name="_HPI CALCULATION 2008._WEEKLY SHIPMENT REQUEST 16-OCT-09" xfId="27840"/>
    <cellStyle name="_HPI CALCULATION 2008._WEEKLY SHIPMENT REQUEST 16-OCT-09 2" xfId="27841"/>
    <cellStyle name="_HPI CALCULATION 2008._WEEKLY SHIPMENT REQUEST 16-OCT-09 3" xfId="27842"/>
    <cellStyle name="_HPI CALCULATION 2008._WEEKLY SHIPMENT REQUEST 18-SEPT-09" xfId="27843"/>
    <cellStyle name="_HPI CALCULATION 2008._WEEKLY SHIPMENT REQUEST 18-SEPT-09 2" xfId="27844"/>
    <cellStyle name="_HPI CALCULATION 2008._WEEKLY SHIPMENT REQUEST 18-SEPT-09 3" xfId="27845"/>
    <cellStyle name="_HPI CALCULATION 2008._WEEKLY SHIPMENT REQUEST 22-JAN-2010" xfId="27846"/>
    <cellStyle name="_HPI CALCULATION 2008._WEEKLY SHIPMENT REQUEST 22-JAN-2010 2" xfId="27847"/>
    <cellStyle name="_HPI CALCULATION 2008._WEEKLY SHIPMENT REQUEST 22-JAN-2010 3" xfId="27848"/>
    <cellStyle name="_HPI CALCULATION 2008._WEEKLY SHIPMENT REQUEST 25-SEPT-09" xfId="27849"/>
    <cellStyle name="_HPI CALCULATION 2008._WEEKLY SHIPMENT REQUEST 25-SEPT-09 2" xfId="27850"/>
    <cellStyle name="_HPI CALCULATION 2008._WEEKLY SHIPMENT REQUEST 25-SEPT-09 3" xfId="27851"/>
    <cellStyle name="_HPI CALCULATION 2008._WEEKLY SHIPMENT REQUEST 29-JAN-10 (2)" xfId="27852"/>
    <cellStyle name="_HPI CALCULATION 2008._WEEKLY SHIPMENT REQUEST 29-JAN-10 (2) 2" xfId="27853"/>
    <cellStyle name="_HPI CALCULATION 2008._WEEKLY SHIPMENT REQUEST 29-JAN-10 (2) 3" xfId="27854"/>
    <cellStyle name="_HPI CALCULATION 2008._WEEKLY SHIPMENT REQUEST 29-JAN-10 (2)_WEEKLY SHIPMENT REQUEST 29-JAN-10 (2)" xfId="27855"/>
    <cellStyle name="_HPI CALCULATION 2008._WEEKLY SHIPMENT REQUEST 29-JAN-10 (2)_WEEKLY SHIPMENT REQUEST 29-JAN-10 (2) 2" xfId="27856"/>
    <cellStyle name="_HPI CALCULATION 2008._WEEKLY SHIPMENT REQUEST 29-JAN-10 (2)_WEEKLY SHIPMENT REQUEST 29-JAN-10 (2) 3" xfId="27857"/>
    <cellStyle name="_HPI CALCULATION 2008_0" xfId="27858"/>
    <cellStyle name="_HPI CALCULATION 2008_0 2" xfId="27859"/>
    <cellStyle name="_HPI CALCULATION 2008_0 3" xfId="27860"/>
    <cellStyle name="_HPI CALCULATION 2008_09.04.10" xfId="27861"/>
    <cellStyle name="_HPI CALCULATION 2008_09.04.10 2" xfId="27862"/>
    <cellStyle name="_HPI CALCULATION 2008_09.04.10 3" xfId="27863"/>
    <cellStyle name="_HPI CALCULATION 2008_18.12.09" xfId="371"/>
    <cellStyle name="_HPI CALCULATION 2008_18.12.09 2" xfId="372"/>
    <cellStyle name="_HPI CALCULATION 2008_18.12.09 2 2" xfId="27864"/>
    <cellStyle name="_HPI CALCULATION 2008_18.12.09 3" xfId="373"/>
    <cellStyle name="_HPI CALCULATION 2008_18.12.09 4" xfId="27865"/>
    <cellStyle name="_HPI CALCULATION 2008_18.12.09 5" xfId="27866"/>
    <cellStyle name="_HPI CALCULATION 2008_18.12.09 6" xfId="27867"/>
    <cellStyle name="_HPI CALCULATION 2008_25-Dec-09" xfId="27868"/>
    <cellStyle name="_HPI CALCULATION 2008_25-Dec-09 2" xfId="27869"/>
    <cellStyle name="_HPI CALCULATION 2008_25-Dec-09 3" xfId="27870"/>
    <cellStyle name="_HPI CALCULATION 2008_29.12.09" xfId="27871"/>
    <cellStyle name="_HPI CALCULATION 2008_29.12.09 2" xfId="27872"/>
    <cellStyle name="_HPI CALCULATION 2008_29.12.09 3" xfId="27873"/>
    <cellStyle name="_HPI CALCULATION 2008_ARCO" xfId="27874"/>
    <cellStyle name="_HPI CALCULATION 2008_ARCO 2" xfId="27875"/>
    <cellStyle name="_HPI CALCULATION 2008_ARCO 3" xfId="27876"/>
    <cellStyle name="_HPI CALCULATION 2008_BIGMATE" xfId="27877"/>
    <cellStyle name="_HPI CALCULATION 2008_BIGMATE 2" xfId="27878"/>
    <cellStyle name="_HPI CALCULATION 2008_BIGMATE 3" xfId="27879"/>
    <cellStyle name="_HPI CALCULATION 2008_CONFIRMATION OF RMS 2009" xfId="27880"/>
    <cellStyle name="_HPI CALCULATION 2008_CONFIRMATION OF RMS 2009 2" xfId="27881"/>
    <cellStyle name="_HPI CALCULATION 2008_CONFIRMATION OF RMS 2009 3" xfId="27882"/>
    <cellStyle name="_HPI CALCULATION 2008_CONFIRMATION OF RMS 2010" xfId="27883"/>
    <cellStyle name="_HPI CALCULATION 2008_CONFIRMATION OF RMS 2010 2" xfId="27884"/>
    <cellStyle name="_HPI CALCULATION 2008_CONFIRMATION OF RMS 2010 3" xfId="27885"/>
    <cellStyle name="_HPI CALCULATION 2008_DAIKYO (2)" xfId="27886"/>
    <cellStyle name="_HPI CALCULATION 2008_DAIKYO (2) 2" xfId="27887"/>
    <cellStyle name="_HPI CALCULATION 2008_DAIKYO (2) 3" xfId="27888"/>
    <cellStyle name="_HPI CALCULATION 2008_FU" xfId="27889"/>
    <cellStyle name="_HPI CALCULATION 2008_FU 2" xfId="27890"/>
    <cellStyle name="_HPI CALCULATION 2008_FU 3" xfId="27891"/>
    <cellStyle name="_HPI CALCULATION 2008_GMTI" xfId="27892"/>
    <cellStyle name="_HPI CALCULATION 2008_GMTI 2" xfId="27893"/>
    <cellStyle name="_HPI CALCULATION 2008_GMTI 3" xfId="27894"/>
    <cellStyle name="_HPI CALCULATION 2008_IWAKAMI (2)" xfId="27895"/>
    <cellStyle name="_HPI CALCULATION 2008_IWAKAMI (2) 2" xfId="27896"/>
    <cellStyle name="_HPI CALCULATION 2008_IWAKAMI (2) 3" xfId="27897"/>
    <cellStyle name="_HPI CALCULATION 2008_LAGUNAMETTS" xfId="27898"/>
    <cellStyle name="_HPI CALCULATION 2008_LAGUNAMETTS 2" xfId="27899"/>
    <cellStyle name="_HPI CALCULATION 2008_LAGUNAMETTS 3" xfId="27900"/>
    <cellStyle name="_HPI CALCULATION 2008_May 2009 Forecast" xfId="374"/>
    <cellStyle name="_HPI CALCULATION 2008_May 2009 Forecast 2" xfId="375"/>
    <cellStyle name="_HPI CALCULATION 2008_May 2009 Forecast 2 2" xfId="27901"/>
    <cellStyle name="_HPI CALCULATION 2008_May 2009 Forecast 3" xfId="376"/>
    <cellStyle name="_HPI CALCULATION 2008_May 2009 Forecast 4" xfId="27902"/>
    <cellStyle name="_HPI CALCULATION 2008_May 2009 Forecast 5" xfId="27903"/>
    <cellStyle name="_HPI CALCULATION 2008_May 2009 Forecast 6" xfId="27904"/>
    <cellStyle name="_HPI CALCULATION 2008_May 2009 Forecast_SANWA" xfId="377"/>
    <cellStyle name="_HPI CALCULATION 2008_May 2009 Forecast_SANWA 2" xfId="378"/>
    <cellStyle name="_HPI CALCULATION 2008_May 2009 Forecast_SANWA 2 2" xfId="27905"/>
    <cellStyle name="_HPI CALCULATION 2008_May 2009 Forecast_SANWA 3" xfId="379"/>
    <cellStyle name="_HPI CALCULATION 2008_May 2009 Forecast_SANWA 4" xfId="27906"/>
    <cellStyle name="_HPI CALCULATION 2008_May 2009 Forecast_SANWA 5" xfId="27907"/>
    <cellStyle name="_HPI CALCULATION 2008_May 2009 Forecast_SANWA 6" xfId="27908"/>
    <cellStyle name="_HPI CALCULATION 2008_MINGHONG" xfId="27909"/>
    <cellStyle name="_HPI CALCULATION 2008_MINGHONG 2" xfId="27910"/>
    <cellStyle name="_HPI CALCULATION 2008_MINGHONG 3" xfId="27911"/>
    <cellStyle name="_HPI CALCULATION 2008_SANWA" xfId="380"/>
    <cellStyle name="_HPI CALCULATION 2008_SANWA 2" xfId="381"/>
    <cellStyle name="_HPI CALCULATION 2008_SANWA 2 2" xfId="27912"/>
    <cellStyle name="_HPI CALCULATION 2008_SANWA 3" xfId="382"/>
    <cellStyle name="_HPI CALCULATION 2008_SANWA 4" xfId="27913"/>
    <cellStyle name="_HPI CALCULATION 2008_SANWA 5" xfId="27914"/>
    <cellStyle name="_HPI CALCULATION 2008_SANWA 6" xfId="27915"/>
    <cellStyle name="_HPI CALCULATION 2008_Sheet1" xfId="27916"/>
    <cellStyle name="_HPI CALCULATION 2008_Sheet1 2" xfId="27917"/>
    <cellStyle name="_HPI CALCULATION 2008_Sheet1 3" xfId="27918"/>
    <cellStyle name="_HPI CALCULATION 2008_Sheet2" xfId="383"/>
    <cellStyle name="_HPI CALCULATION 2008_Sheet2 2" xfId="384"/>
    <cellStyle name="_HPI CALCULATION 2008_Sheet2 2 2" xfId="27919"/>
    <cellStyle name="_HPI CALCULATION 2008_Sheet2 3" xfId="385"/>
    <cellStyle name="_HPI CALCULATION 2008_Sheet2 4" xfId="27920"/>
    <cellStyle name="_HPI CALCULATION 2008_Sheet2 5" xfId="27921"/>
    <cellStyle name="_HPI CALCULATION 2008_Sheet2 6" xfId="27922"/>
    <cellStyle name="_HPI CALCULATION 2008_SUMMARY OF SRM" xfId="386"/>
    <cellStyle name="_HPI CALCULATION 2008_SUMMARY OF SRM 2" xfId="387"/>
    <cellStyle name="_HPI CALCULATION 2008_SUMMARY OF SRM 2 2" xfId="27923"/>
    <cellStyle name="_HPI CALCULATION 2008_SUMMARY OF SRM 3" xfId="388"/>
    <cellStyle name="_HPI CALCULATION 2008_SUMMARY OF SRM 4" xfId="27924"/>
    <cellStyle name="_HPI CALCULATION 2008_SUMMARY OF SRM 5" xfId="27925"/>
    <cellStyle name="_HPI CALCULATION 2008_SUMMARY OF SRM 6" xfId="27926"/>
    <cellStyle name="_HPI CALCULATION 2008_WEEKLY SHIPMENT REQUEST 02-OCT-09" xfId="27927"/>
    <cellStyle name="_HPI CALCULATION 2008_WEEKLY SHIPMENT REQUEST 02-OCT-09 2" xfId="27928"/>
    <cellStyle name="_HPI CALCULATION 2008_WEEKLY SHIPMENT REQUEST 02-OCT-09 3" xfId="27929"/>
    <cellStyle name="_HPI CALCULATION 2008_WEEKLY SHIPMENT REQUEST 05-FEB-10" xfId="27930"/>
    <cellStyle name="_HPI CALCULATION 2008_WEEKLY SHIPMENT REQUEST 05-FEB-10 2" xfId="27931"/>
    <cellStyle name="_HPI CALCULATION 2008_WEEKLY SHIPMENT REQUEST 05-FEB-10 3" xfId="27932"/>
    <cellStyle name="_HPI CALCULATION 2008_WEEKLY SHIPMENT REQUEST 06-NOV-09" xfId="27933"/>
    <cellStyle name="_HPI CALCULATION 2008_WEEKLY SHIPMENT REQUEST 06-NOV-09 (2)" xfId="27934"/>
    <cellStyle name="_HPI CALCULATION 2008_WEEKLY SHIPMENT REQUEST 06-NOV-09 (2) 2" xfId="27935"/>
    <cellStyle name="_HPI CALCULATION 2008_WEEKLY SHIPMENT REQUEST 06-NOV-09 (2) 3" xfId="27936"/>
    <cellStyle name="_HPI CALCULATION 2008_WEEKLY SHIPMENT REQUEST 06-NOV-09 10" xfId="27937"/>
    <cellStyle name="_HPI CALCULATION 2008_WEEKLY SHIPMENT REQUEST 06-NOV-09 11" xfId="27938"/>
    <cellStyle name="_HPI CALCULATION 2008_WEEKLY SHIPMENT REQUEST 06-NOV-09 2" xfId="27939"/>
    <cellStyle name="_HPI CALCULATION 2008_WEEKLY SHIPMENT REQUEST 06-NOV-09 3" xfId="27940"/>
    <cellStyle name="_HPI CALCULATION 2008_WEEKLY SHIPMENT REQUEST 06-NOV-09 4" xfId="27941"/>
    <cellStyle name="_HPI CALCULATION 2008_WEEKLY SHIPMENT REQUEST 06-NOV-09 5" xfId="27942"/>
    <cellStyle name="_HPI CALCULATION 2008_WEEKLY SHIPMENT REQUEST 06-NOV-09 6" xfId="27943"/>
    <cellStyle name="_HPI CALCULATION 2008_WEEKLY SHIPMENT REQUEST 06-NOV-09 7" xfId="27944"/>
    <cellStyle name="_HPI CALCULATION 2008_WEEKLY SHIPMENT REQUEST 06-NOV-09 8" xfId="27945"/>
    <cellStyle name="_HPI CALCULATION 2008_WEEKLY SHIPMENT REQUEST 06-NOV-09 9" xfId="27946"/>
    <cellStyle name="_HPI CALCULATION 2008_WEEKLY SHIPMENT REQUEST 08-JAN-10" xfId="27947"/>
    <cellStyle name="_HPI CALCULATION 2008_WEEKLY SHIPMENT REQUEST 08-JAN-10 2" xfId="27948"/>
    <cellStyle name="_HPI CALCULATION 2008_WEEKLY SHIPMENT REQUEST 08-JAN-10 3" xfId="27949"/>
    <cellStyle name="_HPI CALCULATION 2008_WEEKLY SHIPMENT REQUEST 11-DEC-09 (2)" xfId="389"/>
    <cellStyle name="_HPI CALCULATION 2008_WEEKLY SHIPMENT REQUEST 11-DEC-09 (2) 2" xfId="390"/>
    <cellStyle name="_HPI CALCULATION 2008_WEEKLY SHIPMENT REQUEST 11-DEC-09 (2) 2 2" xfId="27950"/>
    <cellStyle name="_HPI CALCULATION 2008_WEEKLY SHIPMENT REQUEST 11-DEC-09 (2) 3" xfId="391"/>
    <cellStyle name="_HPI CALCULATION 2008_WEEKLY SHIPMENT REQUEST 11-DEC-09 (2) 4" xfId="27951"/>
    <cellStyle name="_HPI CALCULATION 2008_WEEKLY SHIPMENT REQUEST 11-DEC-09 (2) 5" xfId="27952"/>
    <cellStyle name="_HPI CALCULATION 2008_WEEKLY SHIPMENT REQUEST 11-DEC-09 (2) 6" xfId="27953"/>
    <cellStyle name="_HPI CALCULATION 2008_WEEKLY SHIPMENT REQUEST 13-NOV-09" xfId="27954"/>
    <cellStyle name="_HPI CALCULATION 2008_WEEKLY SHIPMENT REQUEST 13-NOV-09 2" xfId="27955"/>
    <cellStyle name="_HPI CALCULATION 2008_WEEKLY SHIPMENT REQUEST 13-NOV-09 3" xfId="27956"/>
    <cellStyle name="_HPI CALCULATION 2008_WEEKLY SHIPMENT REQUEST 15-JAN-10" xfId="27957"/>
    <cellStyle name="_HPI CALCULATION 2008_WEEKLY SHIPMENT REQUEST 15-JAN-10 2" xfId="27958"/>
    <cellStyle name="_HPI CALCULATION 2008_WEEKLY SHIPMENT REQUEST 15-JAN-10 3" xfId="27959"/>
    <cellStyle name="_HPI CALCULATION 2008_WEEKLY SHIPMENT REQUEST 16-OCT-09" xfId="27960"/>
    <cellStyle name="_HPI CALCULATION 2008_WEEKLY SHIPMENT REQUEST 16-OCT-09 2" xfId="27961"/>
    <cellStyle name="_HPI CALCULATION 2008_WEEKLY SHIPMENT REQUEST 16-OCT-09 3" xfId="27962"/>
    <cellStyle name="_HPI CALCULATION 2008_WEEKLY SHIPMENT REQUEST 18-SEPT-09" xfId="27963"/>
    <cellStyle name="_HPI CALCULATION 2008_WEEKLY SHIPMENT REQUEST 18-SEPT-09 2" xfId="27964"/>
    <cellStyle name="_HPI CALCULATION 2008_WEEKLY SHIPMENT REQUEST 18-SEPT-09 3" xfId="27965"/>
    <cellStyle name="_HPI CALCULATION 2008_WEEKLY SHIPMENT REQUEST 22-JAN-2010" xfId="27966"/>
    <cellStyle name="_HPI CALCULATION 2008_WEEKLY SHIPMENT REQUEST 22-JAN-2010 2" xfId="27967"/>
    <cellStyle name="_HPI CALCULATION 2008_WEEKLY SHIPMENT REQUEST 22-JAN-2010 3" xfId="27968"/>
    <cellStyle name="_HPI CALCULATION 2008_WEEKLY SHIPMENT REQUEST 25-SEPT-09" xfId="27969"/>
    <cellStyle name="_HPI CALCULATION 2008_WEEKLY SHIPMENT REQUEST 25-SEPT-09 2" xfId="27970"/>
    <cellStyle name="_HPI CALCULATION 2008_WEEKLY SHIPMENT REQUEST 25-SEPT-09 3" xfId="27971"/>
    <cellStyle name="_HPI CALCULATION 2008_WEEKLY SHIPMENT REQUEST 29-JAN-10 (2)" xfId="27972"/>
    <cellStyle name="_HPI CALCULATION 2008_WEEKLY SHIPMENT REQUEST 29-JAN-10 (2) 2" xfId="27973"/>
    <cellStyle name="_HPI CALCULATION 2008_WEEKLY SHIPMENT REQUEST 29-JAN-10 (2) 3" xfId="27974"/>
    <cellStyle name="_HPI CALCULATION 2008_WEEKLY SHIPMENT REQUEST 29-JAN-10 (2)_WEEKLY SHIPMENT REQUEST 29-JAN-10 (2)" xfId="27975"/>
    <cellStyle name="_HPI CALCULATION 2008_WEEKLY SHIPMENT REQUEST 29-JAN-10 (2)_WEEKLY SHIPMENT REQUEST 29-JAN-10 (2) 2" xfId="27976"/>
    <cellStyle name="_HPI CALCULATION 2008_WEEKLY SHIPMENT REQUEST 29-JAN-10 (2)_WEEKLY SHIPMENT REQUEST 29-JAN-10 (2) 3" xfId="27977"/>
    <cellStyle name="_HPI-0582 TTC HINO" xfId="392"/>
    <cellStyle name="_HPI-0582 TTC HINO 2" xfId="393"/>
    <cellStyle name="_HPI-0582 TTC HINO 2 2" xfId="27978"/>
    <cellStyle name="_HPI-0582 TTC HINO 3" xfId="394"/>
    <cellStyle name="_HPI-0582 TTC HINO 4" xfId="27979"/>
    <cellStyle name="_HPI-0582 TTC HINO 5" xfId="27980"/>
    <cellStyle name="_HPI-0582 TTC HINO 6" xfId="27981"/>
    <cellStyle name="_HPI-0582 TTC HINO_09.04.10" xfId="27982"/>
    <cellStyle name="_HPI-0582 TTC HINO_09.04.10 2" xfId="27983"/>
    <cellStyle name="_HPI-0582 TTC HINO_09.04.10 3" xfId="27984"/>
    <cellStyle name="_HPI-0582 TTC HINO_18.12.09" xfId="395"/>
    <cellStyle name="_HPI-0582 TTC HINO_18.12.09 2" xfId="396"/>
    <cellStyle name="_HPI-0582 TTC HINO_18.12.09 2 2" xfId="27985"/>
    <cellStyle name="_HPI-0582 TTC HINO_18.12.09 3" xfId="397"/>
    <cellStyle name="_HPI-0582 TTC HINO_18.12.09 4" xfId="27986"/>
    <cellStyle name="_HPI-0582 TTC HINO_18.12.09 5" xfId="27987"/>
    <cellStyle name="_HPI-0582 TTC HINO_18.12.09 6" xfId="27988"/>
    <cellStyle name="_HPI-0582 TTC HINO_25-Dec-09" xfId="27989"/>
    <cellStyle name="_HPI-0582 TTC HINO_25-Dec-09 2" xfId="27990"/>
    <cellStyle name="_HPI-0582 TTC HINO_25-Dec-09 3" xfId="27991"/>
    <cellStyle name="_HPI-0582 TTC HINO_29.12.09" xfId="27992"/>
    <cellStyle name="_HPI-0582 TTC HINO_29.12.09 2" xfId="27993"/>
    <cellStyle name="_HPI-0582 TTC HINO_29.12.09 3" xfId="27994"/>
    <cellStyle name="_HPI-0582 TTC HINO_CONFIRMATION OF RMS 2009" xfId="27995"/>
    <cellStyle name="_HPI-0582 TTC HINO_CONFIRMATION OF RMS 2009 2" xfId="27996"/>
    <cellStyle name="_HPI-0582 TTC HINO_CONFIRMATION OF RMS 2009 3" xfId="27997"/>
    <cellStyle name="_HPI-0582 TTC HINO_CONFIRMATION OF RMS 2010" xfId="27998"/>
    <cellStyle name="_HPI-0582 TTC HINO_CONFIRMATION OF RMS 2010 2" xfId="27999"/>
    <cellStyle name="_HPI-0582 TTC HINO_CONFIRMATION OF RMS 2010 3" xfId="28000"/>
    <cellStyle name="_HPI-0582 TTC HINO_SANWA" xfId="398"/>
    <cellStyle name="_HPI-0582 TTC HINO_SANWA 2" xfId="399"/>
    <cellStyle name="_HPI-0582 TTC HINO_SANWA 2 2" xfId="28001"/>
    <cellStyle name="_HPI-0582 TTC HINO_SANWA 3" xfId="400"/>
    <cellStyle name="_HPI-0582 TTC HINO_SANWA 4" xfId="28002"/>
    <cellStyle name="_HPI-0582 TTC HINO_SANWA 5" xfId="28003"/>
    <cellStyle name="_HPI-0582 TTC HINO_SANWA 6" xfId="28004"/>
    <cellStyle name="_HPI-0582 TTC HINO_Sheet1" xfId="28005"/>
    <cellStyle name="_HPI-0582 TTC HINO_Sheet1 2" xfId="28006"/>
    <cellStyle name="_HPI-0582 TTC HINO_Sheet1 3" xfId="28007"/>
    <cellStyle name="_HPI-0582 TTC HINO_Sheet2" xfId="401"/>
    <cellStyle name="_HPI-0582 TTC HINO_Sheet2 2" xfId="402"/>
    <cellStyle name="_HPI-0582 TTC HINO_Sheet2 2 2" xfId="28008"/>
    <cellStyle name="_HPI-0582 TTC HINO_Sheet2 3" xfId="403"/>
    <cellStyle name="_HPI-0582 TTC HINO_Sheet2 4" xfId="28009"/>
    <cellStyle name="_HPI-0582 TTC HINO_Sheet2 5" xfId="28010"/>
    <cellStyle name="_HPI-0582 TTC HINO_Sheet2 6" xfId="28011"/>
    <cellStyle name="_HPI-0582 TTC HINO_SUMMARY OF SRM" xfId="404"/>
    <cellStyle name="_HPI-0582 TTC HINO_SUMMARY OF SRM 2" xfId="405"/>
    <cellStyle name="_HPI-0582 TTC HINO_SUMMARY OF SRM 2 2" xfId="28012"/>
    <cellStyle name="_HPI-0582 TTC HINO_SUMMARY OF SRM 3" xfId="406"/>
    <cellStyle name="_HPI-0582 TTC HINO_SUMMARY OF SRM 4" xfId="28013"/>
    <cellStyle name="_HPI-0582 TTC HINO_SUMMARY OF SRM 5" xfId="28014"/>
    <cellStyle name="_HPI-0582 TTC HINO_SUMMARY OF SRM 6" xfId="28015"/>
    <cellStyle name="_HPI-0582 TTC HINO_WEEKLY SHIPMENT REQUEST 02-OCT-09" xfId="28016"/>
    <cellStyle name="_HPI-0582 TTC HINO_WEEKLY SHIPMENT REQUEST 02-OCT-09 2" xfId="28017"/>
    <cellStyle name="_HPI-0582 TTC HINO_WEEKLY SHIPMENT REQUEST 02-OCT-09 3" xfId="28018"/>
    <cellStyle name="_HPI-0582 TTC HINO_WEEKLY SHIPMENT REQUEST 05-FEB-10" xfId="28019"/>
    <cellStyle name="_HPI-0582 TTC HINO_WEEKLY SHIPMENT REQUEST 05-FEB-10 2" xfId="28020"/>
    <cellStyle name="_HPI-0582 TTC HINO_WEEKLY SHIPMENT REQUEST 05-FEB-10 3" xfId="28021"/>
    <cellStyle name="_HPI-0582 TTC HINO_WEEKLY SHIPMENT REQUEST 06-NOV-09" xfId="28022"/>
    <cellStyle name="_HPI-0582 TTC HINO_WEEKLY SHIPMENT REQUEST 06-NOV-09 (2)" xfId="28023"/>
    <cellStyle name="_HPI-0582 TTC HINO_WEEKLY SHIPMENT REQUEST 06-NOV-09 (2) 2" xfId="28024"/>
    <cellStyle name="_HPI-0582 TTC HINO_WEEKLY SHIPMENT REQUEST 06-NOV-09 (2) 3" xfId="28025"/>
    <cellStyle name="_HPI-0582 TTC HINO_WEEKLY SHIPMENT REQUEST 06-NOV-09 10" xfId="28026"/>
    <cellStyle name="_HPI-0582 TTC HINO_WEEKLY SHIPMENT REQUEST 06-NOV-09 11" xfId="28027"/>
    <cellStyle name="_HPI-0582 TTC HINO_WEEKLY SHIPMENT REQUEST 06-NOV-09 2" xfId="28028"/>
    <cellStyle name="_HPI-0582 TTC HINO_WEEKLY SHIPMENT REQUEST 06-NOV-09 3" xfId="28029"/>
    <cellStyle name="_HPI-0582 TTC HINO_WEEKLY SHIPMENT REQUEST 06-NOV-09 4" xfId="28030"/>
    <cellStyle name="_HPI-0582 TTC HINO_WEEKLY SHIPMENT REQUEST 06-NOV-09 5" xfId="28031"/>
    <cellStyle name="_HPI-0582 TTC HINO_WEEKLY SHIPMENT REQUEST 06-NOV-09 6" xfId="28032"/>
    <cellStyle name="_HPI-0582 TTC HINO_WEEKLY SHIPMENT REQUEST 06-NOV-09 7" xfId="28033"/>
    <cellStyle name="_HPI-0582 TTC HINO_WEEKLY SHIPMENT REQUEST 06-NOV-09 8" xfId="28034"/>
    <cellStyle name="_HPI-0582 TTC HINO_WEEKLY SHIPMENT REQUEST 06-NOV-09 9" xfId="28035"/>
    <cellStyle name="_HPI-0582 TTC HINO_WEEKLY SHIPMENT REQUEST 08-JAN-10" xfId="28036"/>
    <cellStyle name="_HPI-0582 TTC HINO_WEEKLY SHIPMENT REQUEST 08-JAN-10 2" xfId="28037"/>
    <cellStyle name="_HPI-0582 TTC HINO_WEEKLY SHIPMENT REQUEST 08-JAN-10 3" xfId="28038"/>
    <cellStyle name="_HPI-0582 TTC HINO_WEEKLY SHIPMENT REQUEST 11-DEC-09 (2)" xfId="407"/>
    <cellStyle name="_HPI-0582 TTC HINO_WEEKLY SHIPMENT REQUEST 11-DEC-09 (2) 2" xfId="408"/>
    <cellStyle name="_HPI-0582 TTC HINO_WEEKLY SHIPMENT REQUEST 11-DEC-09 (2) 2 2" xfId="28039"/>
    <cellStyle name="_HPI-0582 TTC HINO_WEEKLY SHIPMENT REQUEST 11-DEC-09 (2) 3" xfId="409"/>
    <cellStyle name="_HPI-0582 TTC HINO_WEEKLY SHIPMENT REQUEST 11-DEC-09 (2) 4" xfId="28040"/>
    <cellStyle name="_HPI-0582 TTC HINO_WEEKLY SHIPMENT REQUEST 11-DEC-09 (2) 5" xfId="28041"/>
    <cellStyle name="_HPI-0582 TTC HINO_WEEKLY SHIPMENT REQUEST 11-DEC-09 (2) 6" xfId="28042"/>
    <cellStyle name="_HPI-0582 TTC HINO_WEEKLY SHIPMENT REQUEST 13-NOV-09" xfId="28043"/>
    <cellStyle name="_HPI-0582 TTC HINO_WEEKLY SHIPMENT REQUEST 13-NOV-09 2" xfId="28044"/>
    <cellStyle name="_HPI-0582 TTC HINO_WEEKLY SHIPMENT REQUEST 13-NOV-09 3" xfId="28045"/>
    <cellStyle name="_HPI-0582 TTC HINO_WEEKLY SHIPMENT REQUEST 15-JAN-10" xfId="28046"/>
    <cellStyle name="_HPI-0582 TTC HINO_WEEKLY SHIPMENT REQUEST 15-JAN-10 2" xfId="28047"/>
    <cellStyle name="_HPI-0582 TTC HINO_WEEKLY SHIPMENT REQUEST 15-JAN-10 3" xfId="28048"/>
    <cellStyle name="_HPI-0582 TTC HINO_WEEKLY SHIPMENT REQUEST 16-OCT-09" xfId="28049"/>
    <cellStyle name="_HPI-0582 TTC HINO_WEEKLY SHIPMENT REQUEST 16-OCT-09 2" xfId="28050"/>
    <cellStyle name="_HPI-0582 TTC HINO_WEEKLY SHIPMENT REQUEST 16-OCT-09 3" xfId="28051"/>
    <cellStyle name="_HPI-0582 TTC HINO_WEEKLY SHIPMENT REQUEST 18-SEPT-09" xfId="28052"/>
    <cellStyle name="_HPI-0582 TTC HINO_WEEKLY SHIPMENT REQUEST 18-SEPT-09 2" xfId="28053"/>
    <cellStyle name="_HPI-0582 TTC HINO_WEEKLY SHIPMENT REQUEST 18-SEPT-09 3" xfId="28054"/>
    <cellStyle name="_HPI-0582 TTC HINO_WEEKLY SHIPMENT REQUEST 22-JAN-2010" xfId="28055"/>
    <cellStyle name="_HPI-0582 TTC HINO_WEEKLY SHIPMENT REQUEST 22-JAN-2010 2" xfId="28056"/>
    <cellStyle name="_HPI-0582 TTC HINO_WEEKLY SHIPMENT REQUEST 22-JAN-2010 3" xfId="28057"/>
    <cellStyle name="_HPI-0582 TTC HINO_WEEKLY SHIPMENT REQUEST 25-SEPT-09" xfId="28058"/>
    <cellStyle name="_HPI-0582 TTC HINO_WEEKLY SHIPMENT REQUEST 25-SEPT-09 2" xfId="28059"/>
    <cellStyle name="_HPI-0582 TTC HINO_WEEKLY SHIPMENT REQUEST 25-SEPT-09 3" xfId="28060"/>
    <cellStyle name="_HPI-0582 TTC HINO_WEEKLY SHIPMENT REQUEST 29-JAN-10 (2)" xfId="28061"/>
    <cellStyle name="_HPI-0582 TTC HINO_WEEKLY SHIPMENT REQUEST 29-JAN-10 (2) 2" xfId="28062"/>
    <cellStyle name="_HPI-0582 TTC HINO_WEEKLY SHIPMENT REQUEST 29-JAN-10 (2) 3" xfId="28063"/>
    <cellStyle name="_HPI-0582 TTC HINO_WEEKLY SHIPMENT REQUEST 29-JAN-10 (2)_WEEKLY SHIPMENT REQUEST 29-JAN-10 (2)" xfId="28064"/>
    <cellStyle name="_HPI-0582 TTC HINO_WEEKLY SHIPMENT REQUEST 29-JAN-10 (2)_WEEKLY SHIPMENT REQUEST 29-JAN-10 (2) 2" xfId="28065"/>
    <cellStyle name="_HPI-0582 TTC HINO_WEEKLY SHIPMENT REQUEST 29-JAN-10 (2)_WEEKLY SHIPMENT REQUEST 29-JAN-10 (2) 3" xfId="28066"/>
    <cellStyle name="_HPI-0616 TTC HINO" xfId="410"/>
    <cellStyle name="_HPI-0616 TTC HINO 2" xfId="411"/>
    <cellStyle name="_HPI-0616 TTC HINO 2 2" xfId="28067"/>
    <cellStyle name="_HPI-0616 TTC HINO 3" xfId="412"/>
    <cellStyle name="_HPI-0616 TTC HINO 4" xfId="28068"/>
    <cellStyle name="_HPI-0616 TTC HINO 5" xfId="28069"/>
    <cellStyle name="_HPI-0616 TTC HINO 6" xfId="28070"/>
    <cellStyle name="_HPI-0616 TTC HINO_09.04.10" xfId="28071"/>
    <cellStyle name="_HPI-0616 TTC HINO_09.04.10 2" xfId="28072"/>
    <cellStyle name="_HPI-0616 TTC HINO_09.04.10 3" xfId="28073"/>
    <cellStyle name="_HPI-0616 TTC HINO_18.12.09" xfId="413"/>
    <cellStyle name="_HPI-0616 TTC HINO_18.12.09 2" xfId="414"/>
    <cellStyle name="_HPI-0616 TTC HINO_18.12.09 2 2" xfId="28074"/>
    <cellStyle name="_HPI-0616 TTC HINO_18.12.09 3" xfId="415"/>
    <cellStyle name="_HPI-0616 TTC HINO_18.12.09 4" xfId="28075"/>
    <cellStyle name="_HPI-0616 TTC HINO_18.12.09 5" xfId="28076"/>
    <cellStyle name="_HPI-0616 TTC HINO_18.12.09 6" xfId="28077"/>
    <cellStyle name="_HPI-0616 TTC HINO_25-Dec-09" xfId="28078"/>
    <cellStyle name="_HPI-0616 TTC HINO_25-Dec-09 2" xfId="28079"/>
    <cellStyle name="_HPI-0616 TTC HINO_25-Dec-09 3" xfId="28080"/>
    <cellStyle name="_HPI-0616 TTC HINO_29.12.09" xfId="28081"/>
    <cellStyle name="_HPI-0616 TTC HINO_29.12.09 2" xfId="28082"/>
    <cellStyle name="_HPI-0616 TTC HINO_29.12.09 3" xfId="28083"/>
    <cellStyle name="_HPI-0616 TTC HINO_CONFIRMATION OF RMS 2009" xfId="28084"/>
    <cellStyle name="_HPI-0616 TTC HINO_CONFIRMATION OF RMS 2009 2" xfId="28085"/>
    <cellStyle name="_HPI-0616 TTC HINO_CONFIRMATION OF RMS 2009 3" xfId="28086"/>
    <cellStyle name="_HPI-0616 TTC HINO_CONFIRMATION OF RMS 2010" xfId="28087"/>
    <cellStyle name="_HPI-0616 TTC HINO_CONFIRMATION OF RMS 2010 2" xfId="28088"/>
    <cellStyle name="_HPI-0616 TTC HINO_CONFIRMATION OF RMS 2010 3" xfId="28089"/>
    <cellStyle name="_HPI-0616 TTC HINO_SANWA" xfId="416"/>
    <cellStyle name="_HPI-0616 TTC HINO_SANWA 2" xfId="417"/>
    <cellStyle name="_HPI-0616 TTC HINO_SANWA 2 2" xfId="28090"/>
    <cellStyle name="_HPI-0616 TTC HINO_SANWA 3" xfId="418"/>
    <cellStyle name="_HPI-0616 TTC HINO_SANWA 4" xfId="28091"/>
    <cellStyle name="_HPI-0616 TTC HINO_SANWA 5" xfId="28092"/>
    <cellStyle name="_HPI-0616 TTC HINO_SANWA 6" xfId="28093"/>
    <cellStyle name="_HPI-0616 TTC HINO_Sheet1" xfId="28094"/>
    <cellStyle name="_HPI-0616 TTC HINO_Sheet1 2" xfId="28095"/>
    <cellStyle name="_HPI-0616 TTC HINO_Sheet1 3" xfId="28096"/>
    <cellStyle name="_HPI-0616 TTC HINO_Sheet2" xfId="419"/>
    <cellStyle name="_HPI-0616 TTC HINO_Sheet2 2" xfId="420"/>
    <cellStyle name="_HPI-0616 TTC HINO_Sheet2 2 2" xfId="28097"/>
    <cellStyle name="_HPI-0616 TTC HINO_Sheet2 3" xfId="421"/>
    <cellStyle name="_HPI-0616 TTC HINO_Sheet2 4" xfId="28098"/>
    <cellStyle name="_HPI-0616 TTC HINO_Sheet2 5" xfId="28099"/>
    <cellStyle name="_HPI-0616 TTC HINO_Sheet2 6" xfId="28100"/>
    <cellStyle name="_HPI-0616 TTC HINO_SUMMARY OF SRM" xfId="422"/>
    <cellStyle name="_HPI-0616 TTC HINO_SUMMARY OF SRM 2" xfId="423"/>
    <cellStyle name="_HPI-0616 TTC HINO_SUMMARY OF SRM 2 2" xfId="28101"/>
    <cellStyle name="_HPI-0616 TTC HINO_SUMMARY OF SRM 3" xfId="424"/>
    <cellStyle name="_HPI-0616 TTC HINO_SUMMARY OF SRM 4" xfId="28102"/>
    <cellStyle name="_HPI-0616 TTC HINO_SUMMARY OF SRM 5" xfId="28103"/>
    <cellStyle name="_HPI-0616 TTC HINO_SUMMARY OF SRM 6" xfId="28104"/>
    <cellStyle name="_HPI-0616 TTC HINO_WEEKLY SHIPMENT REQUEST 02-OCT-09" xfId="28105"/>
    <cellStyle name="_HPI-0616 TTC HINO_WEEKLY SHIPMENT REQUEST 02-OCT-09 2" xfId="28106"/>
    <cellStyle name="_HPI-0616 TTC HINO_WEEKLY SHIPMENT REQUEST 02-OCT-09 3" xfId="28107"/>
    <cellStyle name="_HPI-0616 TTC HINO_WEEKLY SHIPMENT REQUEST 05-FEB-10" xfId="28108"/>
    <cellStyle name="_HPI-0616 TTC HINO_WEEKLY SHIPMENT REQUEST 05-FEB-10 2" xfId="28109"/>
    <cellStyle name="_HPI-0616 TTC HINO_WEEKLY SHIPMENT REQUEST 05-FEB-10 3" xfId="28110"/>
    <cellStyle name="_HPI-0616 TTC HINO_WEEKLY SHIPMENT REQUEST 06-NOV-09" xfId="28111"/>
    <cellStyle name="_HPI-0616 TTC HINO_WEEKLY SHIPMENT REQUEST 06-NOV-09 (2)" xfId="28112"/>
    <cellStyle name="_HPI-0616 TTC HINO_WEEKLY SHIPMENT REQUEST 06-NOV-09 (2) 2" xfId="28113"/>
    <cellStyle name="_HPI-0616 TTC HINO_WEEKLY SHIPMENT REQUEST 06-NOV-09 (2) 3" xfId="28114"/>
    <cellStyle name="_HPI-0616 TTC HINO_WEEKLY SHIPMENT REQUEST 06-NOV-09 10" xfId="28115"/>
    <cellStyle name="_HPI-0616 TTC HINO_WEEKLY SHIPMENT REQUEST 06-NOV-09 11" xfId="28116"/>
    <cellStyle name="_HPI-0616 TTC HINO_WEEKLY SHIPMENT REQUEST 06-NOV-09 2" xfId="28117"/>
    <cellStyle name="_HPI-0616 TTC HINO_WEEKLY SHIPMENT REQUEST 06-NOV-09 3" xfId="28118"/>
    <cellStyle name="_HPI-0616 TTC HINO_WEEKLY SHIPMENT REQUEST 06-NOV-09 4" xfId="28119"/>
    <cellStyle name="_HPI-0616 TTC HINO_WEEKLY SHIPMENT REQUEST 06-NOV-09 5" xfId="28120"/>
    <cellStyle name="_HPI-0616 TTC HINO_WEEKLY SHIPMENT REQUEST 06-NOV-09 6" xfId="28121"/>
    <cellStyle name="_HPI-0616 TTC HINO_WEEKLY SHIPMENT REQUEST 06-NOV-09 7" xfId="28122"/>
    <cellStyle name="_HPI-0616 TTC HINO_WEEKLY SHIPMENT REQUEST 06-NOV-09 8" xfId="28123"/>
    <cellStyle name="_HPI-0616 TTC HINO_WEEKLY SHIPMENT REQUEST 06-NOV-09 9" xfId="28124"/>
    <cellStyle name="_HPI-0616 TTC HINO_WEEKLY SHIPMENT REQUEST 08-JAN-10" xfId="28125"/>
    <cellStyle name="_HPI-0616 TTC HINO_WEEKLY SHIPMENT REQUEST 08-JAN-10 2" xfId="28126"/>
    <cellStyle name="_HPI-0616 TTC HINO_WEEKLY SHIPMENT REQUEST 08-JAN-10 3" xfId="28127"/>
    <cellStyle name="_HPI-0616 TTC HINO_WEEKLY SHIPMENT REQUEST 11-DEC-09 (2)" xfId="425"/>
    <cellStyle name="_HPI-0616 TTC HINO_WEEKLY SHIPMENT REQUEST 11-DEC-09 (2) 2" xfId="426"/>
    <cellStyle name="_HPI-0616 TTC HINO_WEEKLY SHIPMENT REQUEST 11-DEC-09 (2) 2 2" xfId="28128"/>
    <cellStyle name="_HPI-0616 TTC HINO_WEEKLY SHIPMENT REQUEST 11-DEC-09 (2) 3" xfId="427"/>
    <cellStyle name="_HPI-0616 TTC HINO_WEEKLY SHIPMENT REQUEST 11-DEC-09 (2) 4" xfId="28129"/>
    <cellStyle name="_HPI-0616 TTC HINO_WEEKLY SHIPMENT REQUEST 11-DEC-09 (2) 5" xfId="28130"/>
    <cellStyle name="_HPI-0616 TTC HINO_WEEKLY SHIPMENT REQUEST 11-DEC-09 (2) 6" xfId="28131"/>
    <cellStyle name="_HPI-0616 TTC HINO_WEEKLY SHIPMENT REQUEST 13-NOV-09" xfId="28132"/>
    <cellStyle name="_HPI-0616 TTC HINO_WEEKLY SHIPMENT REQUEST 13-NOV-09 2" xfId="28133"/>
    <cellStyle name="_HPI-0616 TTC HINO_WEEKLY SHIPMENT REQUEST 13-NOV-09 3" xfId="28134"/>
    <cellStyle name="_HPI-0616 TTC HINO_WEEKLY SHIPMENT REQUEST 15-JAN-10" xfId="28135"/>
    <cellStyle name="_HPI-0616 TTC HINO_WEEKLY SHIPMENT REQUEST 15-JAN-10 2" xfId="28136"/>
    <cellStyle name="_HPI-0616 TTC HINO_WEEKLY SHIPMENT REQUEST 15-JAN-10 3" xfId="28137"/>
    <cellStyle name="_HPI-0616 TTC HINO_WEEKLY SHIPMENT REQUEST 16-OCT-09" xfId="28138"/>
    <cellStyle name="_HPI-0616 TTC HINO_WEEKLY SHIPMENT REQUEST 16-OCT-09 2" xfId="28139"/>
    <cellStyle name="_HPI-0616 TTC HINO_WEEKLY SHIPMENT REQUEST 16-OCT-09 3" xfId="28140"/>
    <cellStyle name="_HPI-0616 TTC HINO_WEEKLY SHIPMENT REQUEST 18-SEPT-09" xfId="28141"/>
    <cellStyle name="_HPI-0616 TTC HINO_WEEKLY SHIPMENT REQUEST 18-SEPT-09 2" xfId="28142"/>
    <cellStyle name="_HPI-0616 TTC HINO_WEEKLY SHIPMENT REQUEST 18-SEPT-09 3" xfId="28143"/>
    <cellStyle name="_HPI-0616 TTC HINO_WEEKLY SHIPMENT REQUEST 22-JAN-2010" xfId="28144"/>
    <cellStyle name="_HPI-0616 TTC HINO_WEEKLY SHIPMENT REQUEST 22-JAN-2010 2" xfId="28145"/>
    <cellStyle name="_HPI-0616 TTC HINO_WEEKLY SHIPMENT REQUEST 22-JAN-2010 3" xfId="28146"/>
    <cellStyle name="_HPI-0616 TTC HINO_WEEKLY SHIPMENT REQUEST 25-SEPT-09" xfId="28147"/>
    <cellStyle name="_HPI-0616 TTC HINO_WEEKLY SHIPMENT REQUEST 25-SEPT-09 2" xfId="28148"/>
    <cellStyle name="_HPI-0616 TTC HINO_WEEKLY SHIPMENT REQUEST 25-SEPT-09 3" xfId="28149"/>
    <cellStyle name="_HPI-0616 TTC HINO_WEEKLY SHIPMENT REQUEST 29-JAN-10 (2)" xfId="28150"/>
    <cellStyle name="_HPI-0616 TTC HINO_WEEKLY SHIPMENT REQUEST 29-JAN-10 (2) 2" xfId="28151"/>
    <cellStyle name="_HPI-0616 TTC HINO_WEEKLY SHIPMENT REQUEST 29-JAN-10 (2) 3" xfId="28152"/>
    <cellStyle name="_HPI-0616 TTC HINO_WEEKLY SHIPMENT REQUEST 29-JAN-10 (2)_WEEKLY SHIPMENT REQUEST 29-JAN-10 (2)" xfId="28153"/>
    <cellStyle name="_HPI-0616 TTC HINO_WEEKLY SHIPMENT REQUEST 29-JAN-10 (2)_WEEKLY SHIPMENT REQUEST 29-JAN-10 (2) 2" xfId="28154"/>
    <cellStyle name="_HPI-0616 TTC HINO_WEEKLY SHIPMENT REQUEST 29-JAN-10 (2)_WEEKLY SHIPMENT REQUEST 29-JAN-10 (2) 3" xfId="28155"/>
    <cellStyle name="_HPI-0632 HIBLOW USA rev1" xfId="428"/>
    <cellStyle name="_HPI-0632 HIBLOW USA rev1 2" xfId="429"/>
    <cellStyle name="_HPI-0632 HIBLOW USA rev1 2 2" xfId="28156"/>
    <cellStyle name="_HPI-0632 HIBLOW USA rev1 3" xfId="430"/>
    <cellStyle name="_HPI-0632 HIBLOW USA rev1 4" xfId="28157"/>
    <cellStyle name="_HPI-0632 HIBLOW USA rev1 5" xfId="28158"/>
    <cellStyle name="_HPI-0632 HIBLOW USA rev1 6" xfId="28159"/>
    <cellStyle name="_HPI-0641 HIBLOW USA" xfId="431"/>
    <cellStyle name="_HPI-0641 HIBLOW USA 2" xfId="432"/>
    <cellStyle name="_HPI-0641 HIBLOW USA 2 2" xfId="28160"/>
    <cellStyle name="_HPI-0641 HIBLOW USA 3" xfId="433"/>
    <cellStyle name="_HPI-0641 HIBLOW USA 4" xfId="28161"/>
    <cellStyle name="_HPI-0641 HIBLOW USA 5" xfId="28162"/>
    <cellStyle name="_HPI-0641 HIBLOW USA 6" xfId="28163"/>
    <cellStyle name="_HPI-0646 DELTA" xfId="28164"/>
    <cellStyle name="_HPI-0646 DELTA 2" xfId="28165"/>
    <cellStyle name="_HPI-0646 DELTA 3" xfId="28166"/>
    <cellStyle name="_HPI-0646 DELTA 4" xfId="28167"/>
    <cellStyle name="_HPI-0646 DELTA 5" xfId="28168"/>
    <cellStyle name="_HPI-0647 HIBLOW USA" xfId="434"/>
    <cellStyle name="_HPI-0647 HIBLOW USA 2" xfId="435"/>
    <cellStyle name="_HPI-0647 HIBLOW USA 2 2" xfId="28169"/>
    <cellStyle name="_HPI-0647 HIBLOW USA 3" xfId="436"/>
    <cellStyle name="_HPI-0647 HIBLOW USA 4" xfId="28170"/>
    <cellStyle name="_HPI-0647 HIBLOW USA 5" xfId="28171"/>
    <cellStyle name="_HPI-0647 HIBLOW USA 6" xfId="28172"/>
    <cellStyle name="_HPI-0657 TTC HINO" xfId="437"/>
    <cellStyle name="_HPI-0657 TTC HINO 2" xfId="438"/>
    <cellStyle name="_HPI-0657 TTC HINO 2 2" xfId="28173"/>
    <cellStyle name="_HPI-0657 TTC HINO 3" xfId="439"/>
    <cellStyle name="_HPI-0657 TTC HINO 4" xfId="28174"/>
    <cellStyle name="_HPI-0657 TTC HINO 5" xfId="28175"/>
    <cellStyle name="_HPI-0657 TTC HINO 6" xfId="28176"/>
    <cellStyle name="_HPI-0666 HIBLOW USA" xfId="440"/>
    <cellStyle name="_HPI-0666 HIBLOW USA 2" xfId="441"/>
    <cellStyle name="_HPI-0666 HIBLOW USA 2 2" xfId="28177"/>
    <cellStyle name="_HPI-0666 HIBLOW USA 3" xfId="442"/>
    <cellStyle name="_HPI-0666 HIBLOW USA 4" xfId="28178"/>
    <cellStyle name="_HPI-0666 HIBLOW USA 5" xfId="28179"/>
    <cellStyle name="_HPI-0666 HIBLOW USA 6" xfId="28180"/>
    <cellStyle name="_HPI-0688 APEX MEDICAL CORP." xfId="443"/>
    <cellStyle name="_HPI-0688 APEX MEDICAL CORP. 2" xfId="444"/>
    <cellStyle name="_HPI-0688 APEX MEDICAL CORP. 2 2" xfId="28181"/>
    <cellStyle name="_HPI-0688 APEX MEDICAL CORP. 3" xfId="445"/>
    <cellStyle name="_HPI-0688 APEX MEDICAL CORP. 4" xfId="28182"/>
    <cellStyle name="_HPI-0688 APEX MEDICAL CORP. 5" xfId="28183"/>
    <cellStyle name="_HPI-0688 APEX MEDICAL CORP. 6" xfId="28184"/>
    <cellStyle name="_HPI-0691 ECOLOGICAL TANKS" xfId="28185"/>
    <cellStyle name="_HPI-0691 ECOLOGICAL TANKS 2" xfId="28186"/>
    <cellStyle name="_HPI-0691 ECOLOGICAL TANKS 3" xfId="28187"/>
    <cellStyle name="_HPI-0691 ECOLOGICAL TANKS 4" xfId="28188"/>
    <cellStyle name="_HPI-0691 ECOLOGICAL TANKS 5" xfId="28189"/>
    <cellStyle name="_HPI-0697 TTC HINO" xfId="446"/>
    <cellStyle name="_HPI-0697 TTC HINO 2" xfId="447"/>
    <cellStyle name="_HPI-0697 TTC HINO 2 2" xfId="28190"/>
    <cellStyle name="_HPI-0697 TTC HINO 3" xfId="448"/>
    <cellStyle name="_HPI-0697 TTC HINO 4" xfId="28191"/>
    <cellStyle name="_HPI-0697 TTC HINO 5" xfId="28192"/>
    <cellStyle name="_HPI-0697 TTC HINO 6" xfId="28193"/>
    <cellStyle name="_HPI-0748 TTC HINO" xfId="449"/>
    <cellStyle name="_HPI-0748 TTC HINO 2" xfId="450"/>
    <cellStyle name="_HPI-0748 TTC HINO 2 2" xfId="28194"/>
    <cellStyle name="_HPI-0748 TTC HINO 3" xfId="451"/>
    <cellStyle name="_HPI-0748 TTC HINO 4" xfId="28195"/>
    <cellStyle name="_HPI-0748 TTC HINO 5" xfId="28196"/>
    <cellStyle name="_HPI-0748 TTC HINO 6" xfId="28197"/>
    <cellStyle name="_HPI-0761 TTC HINO" xfId="452"/>
    <cellStyle name="_HPI-0761 TTC HINO 2" xfId="453"/>
    <cellStyle name="_HPI-0761 TTC HINO 2 2" xfId="28198"/>
    <cellStyle name="_HPI-0761 TTC HINO 3" xfId="454"/>
    <cellStyle name="_HPI-0761 TTC HINO 4" xfId="28199"/>
    <cellStyle name="_HPI-0761 TTC HINO 5" xfId="28200"/>
    <cellStyle name="_HPI-0761 TTC HINO 6" xfId="28201"/>
    <cellStyle name="_HPI-0774 HIBLOW FRANCE SAS (ID-ROUX)" xfId="455"/>
    <cellStyle name="_HPI-0774 HIBLOW FRANCE SAS (ID-ROUX) 2" xfId="456"/>
    <cellStyle name="_HPI-0774 HIBLOW FRANCE SAS (ID-ROUX) 2 2" xfId="28202"/>
    <cellStyle name="_HPI-0774 HIBLOW FRANCE SAS (ID-ROUX) 3" xfId="457"/>
    <cellStyle name="_HPI-0774 HIBLOW FRANCE SAS (ID-ROUX) 4" xfId="28203"/>
    <cellStyle name="_HPI-0774 HIBLOW FRANCE SAS (ID-ROUX) 5" xfId="28204"/>
    <cellStyle name="_HPI-0774 HIBLOW FRANCE SAS (ID-ROUX) 6" xfId="28205"/>
    <cellStyle name="_HPI-0775 TTC HINO" xfId="458"/>
    <cellStyle name="_HPI-0775 TTC HINO 2" xfId="459"/>
    <cellStyle name="_HPI-0775 TTC HINO 2 2" xfId="28206"/>
    <cellStyle name="_HPI-0775 TTC HINO 3" xfId="460"/>
    <cellStyle name="_HPI-0775 TTC HINO 4" xfId="28207"/>
    <cellStyle name="_HPI-0775 TTC HINO 5" xfId="28208"/>
    <cellStyle name="_HPI-0775 TTC HINO 6" xfId="28209"/>
    <cellStyle name="_HPI-0787 TTC HINO" xfId="461"/>
    <cellStyle name="_HPI-0787 TTC HINO 2" xfId="462"/>
    <cellStyle name="_HPI-0787 TTC HINO 2 2" xfId="28210"/>
    <cellStyle name="_HPI-0787 TTC HINO 3" xfId="463"/>
    <cellStyle name="_HPI-0787 TTC HINO 4" xfId="28211"/>
    <cellStyle name="_HPI-0787 TTC HINO 5" xfId="28212"/>
    <cellStyle name="_HPI-0787 TTC HINO 6" xfId="28213"/>
    <cellStyle name="_HPI-0792 HIBLOW USA" xfId="464"/>
    <cellStyle name="_HPI-0792 HIBLOW USA 2" xfId="465"/>
    <cellStyle name="_HPI-0792 HIBLOW USA 2 2" xfId="28214"/>
    <cellStyle name="_HPI-0792 HIBLOW USA 3" xfId="466"/>
    <cellStyle name="_HPI-0792 HIBLOW USA 4" xfId="28215"/>
    <cellStyle name="_HPI-0792 HIBLOW USA 5" xfId="28216"/>
    <cellStyle name="_HPI-0792 HIBLOW USA 6" xfId="28217"/>
    <cellStyle name="_HPI-0793 TTC HINO" xfId="467"/>
    <cellStyle name="_HPI-0793 TTC HINO 2" xfId="468"/>
    <cellStyle name="_HPI-0793 TTC HINO 2 2" xfId="28218"/>
    <cellStyle name="_HPI-0793 TTC HINO 3" xfId="469"/>
    <cellStyle name="_HPI-0793 TTC HINO 4" xfId="28219"/>
    <cellStyle name="_HPI-0793 TTC HINO 5" xfId="28220"/>
    <cellStyle name="_HPI-0793 TTC HINO 6" xfId="28221"/>
    <cellStyle name="_HPI-0819 HIBLOW USA" xfId="470"/>
    <cellStyle name="_HPI-0819 HIBLOW USA 2" xfId="471"/>
    <cellStyle name="_HPI-0819 HIBLOW USA 2 2" xfId="28222"/>
    <cellStyle name="_HPI-0819 HIBLOW USA 3" xfId="472"/>
    <cellStyle name="_HPI-0819 HIBLOW USA 4" xfId="28223"/>
    <cellStyle name="_HPI-0819 HIBLOW USA 5" xfId="28224"/>
    <cellStyle name="_HPI-0819 HIBLOW USA 6" xfId="28225"/>
    <cellStyle name="_HPI-0827 TTC HINO" xfId="473"/>
    <cellStyle name="_HPI-0827 TTC HINO 2" xfId="474"/>
    <cellStyle name="_HPI-0827 TTC HINO 2 2" xfId="28226"/>
    <cellStyle name="_HPI-0827 TTC HINO 3" xfId="475"/>
    <cellStyle name="_HPI-0827 TTC HINO 4" xfId="28227"/>
    <cellStyle name="_HPI-0827 TTC HINO 5" xfId="28228"/>
    <cellStyle name="_HPI-0827 TTC HINO 6" xfId="28229"/>
    <cellStyle name="_HPI-0829 HIBLOW USA" xfId="476"/>
    <cellStyle name="_HPI-0829 HIBLOW USA 2" xfId="477"/>
    <cellStyle name="_HPI-0829 HIBLOW USA 2 2" xfId="28230"/>
    <cellStyle name="_HPI-0829 HIBLOW USA 3" xfId="478"/>
    <cellStyle name="_HPI-0829 HIBLOW USA 4" xfId="28231"/>
    <cellStyle name="_HPI-0829 HIBLOW USA 5" xfId="28232"/>
    <cellStyle name="_HPI-0829 HIBLOW USA 6" xfId="28233"/>
    <cellStyle name="_HPI-0852 TTC HINO" xfId="479"/>
    <cellStyle name="_HPI-0852 TTC HINO 2" xfId="480"/>
    <cellStyle name="_HPI-0852 TTC HINO 2 2" xfId="28234"/>
    <cellStyle name="_HPI-0852 TTC HINO 3" xfId="481"/>
    <cellStyle name="_HPI-0852 TTC HINO 4" xfId="28235"/>
    <cellStyle name="_HPI-0852 TTC HINO 5" xfId="28236"/>
    <cellStyle name="_HPI-0852 TTC HINO 6" xfId="28237"/>
    <cellStyle name="_HPI-0902 HIBLOW USA AIR" xfId="28238"/>
    <cellStyle name="_HPI-0902 HIBLOW USA AIR 2" xfId="28239"/>
    <cellStyle name="_HPI-0902 HIBLOW USA AIR 3" xfId="28240"/>
    <cellStyle name="_HPI-0902 HIBLOW USA AIR 4" xfId="28241"/>
    <cellStyle name="_HPI-0902 HIBLOW USA AIR 5" xfId="28242"/>
    <cellStyle name="_HPI-0905 TTC HINO" xfId="482"/>
    <cellStyle name="_HPI-0905 TTC HINO 2" xfId="483"/>
    <cellStyle name="_HPI-0905 TTC HINO 2 2" xfId="28243"/>
    <cellStyle name="_HPI-0905 TTC HINO 3" xfId="484"/>
    <cellStyle name="_HPI-0905 TTC HINO 4" xfId="28244"/>
    <cellStyle name="_HPI-0905 TTC HINO 5" xfId="28245"/>
    <cellStyle name="_HPI-0905 TTC HINO 6" xfId="28246"/>
    <cellStyle name="_HPI-0995 TTC HINO" xfId="485"/>
    <cellStyle name="_HPI-0995 TTC HINO 2" xfId="486"/>
    <cellStyle name="_HPI-0995 TTC HINO 3" xfId="487"/>
    <cellStyle name="_HPI-0995 TTC HINO 4" xfId="28247"/>
    <cellStyle name="_HPI-0995 TTC HINO 5" xfId="28248"/>
    <cellStyle name="_HPI-1011 HIBLOW USA" xfId="488"/>
    <cellStyle name="_HPI-1011 HIBLOW USA 2" xfId="489"/>
    <cellStyle name="_HPI-1011 HIBLOW USA 3" xfId="490"/>
    <cellStyle name="_HPI-1011 HIBLOW USA 4" xfId="28249"/>
    <cellStyle name="_HPI-1011 HIBLOW USA 5" xfId="28250"/>
    <cellStyle name="_HPI-1048 TTC HINO" xfId="491"/>
    <cellStyle name="_HPI-1048 TTC HINO 2" xfId="492"/>
    <cellStyle name="_HPI-1048 TTC HINO 3" xfId="493"/>
    <cellStyle name="_HPI-1048 TTC HINO 4" xfId="28251"/>
    <cellStyle name="_HPI-1048 TTC HINO 5" xfId="28252"/>
    <cellStyle name="_HPI-1071 TTC HINO" xfId="494"/>
    <cellStyle name="_HPI-1071 TTC HINO 2" xfId="495"/>
    <cellStyle name="_HPI-1071 TTC HINO 3" xfId="496"/>
    <cellStyle name="_HPI-1071 TTC HINO 4" xfId="28253"/>
    <cellStyle name="_HPI-1071 TTC HINO 5" xfId="28254"/>
    <cellStyle name="_HPI-1109 TTC HINO" xfId="497"/>
    <cellStyle name="_HPI-1109 TTC HINO 2" xfId="498"/>
    <cellStyle name="_HPI-1109 TTC HINO 3" xfId="499"/>
    <cellStyle name="_HPI-1109 TTC HINO 4" xfId="28255"/>
    <cellStyle name="_HPI-1109 TTC HINO 5" xfId="28256"/>
    <cellStyle name="_HP-Series-new 12-14-07" xfId="500"/>
    <cellStyle name="_HP-Series-new 12-14-07 2" xfId="501"/>
    <cellStyle name="_HP-Series-new 12-14-07 2 2" xfId="28257"/>
    <cellStyle name="_HP-Series-new 12-14-07 3" xfId="502"/>
    <cellStyle name="_HP-Series-new 12-14-07 4" xfId="28258"/>
    <cellStyle name="_HP-Series-new 12-14-07 5" xfId="28259"/>
    <cellStyle name="_HP-Series-new 12-14-07 6" xfId="28260"/>
    <cellStyle name="_HP-Series-new 12-14-07_0" xfId="28261"/>
    <cellStyle name="_HP-Series-new 12-14-07_0 2" xfId="28262"/>
    <cellStyle name="_HP-Series-new 12-14-07_0 3" xfId="28263"/>
    <cellStyle name="_HP-Series-new 12-14-07_09.04.10" xfId="28264"/>
    <cellStyle name="_HP-Series-new 12-14-07_09.04.10 2" xfId="28265"/>
    <cellStyle name="_HP-Series-new 12-14-07_09.04.10 3" xfId="28266"/>
    <cellStyle name="_HP-Series-new 12-14-07_18.12.09" xfId="503"/>
    <cellStyle name="_HP-Series-new 12-14-07_18.12.09 2" xfId="504"/>
    <cellStyle name="_HP-Series-new 12-14-07_18.12.09 2 2" xfId="28267"/>
    <cellStyle name="_HP-Series-new 12-14-07_18.12.09 3" xfId="505"/>
    <cellStyle name="_HP-Series-new 12-14-07_18.12.09 4" xfId="28268"/>
    <cellStyle name="_HP-Series-new 12-14-07_18.12.09 5" xfId="28269"/>
    <cellStyle name="_HP-Series-new 12-14-07_18.12.09 6" xfId="28270"/>
    <cellStyle name="_HP-Series-new 12-14-07_25-Dec-09" xfId="28271"/>
    <cellStyle name="_HP-Series-new 12-14-07_25-Dec-09 2" xfId="28272"/>
    <cellStyle name="_HP-Series-new 12-14-07_25-Dec-09 3" xfId="28273"/>
    <cellStyle name="_HP-Series-new 12-14-07_29.12.09" xfId="28274"/>
    <cellStyle name="_HP-Series-new 12-14-07_29.12.09 2" xfId="28275"/>
    <cellStyle name="_HP-Series-new 12-14-07_29.12.09 3" xfId="28276"/>
    <cellStyle name="_HP-Series-new 12-14-07_ARCO" xfId="28277"/>
    <cellStyle name="_HP-Series-new 12-14-07_ARCO 2" xfId="28278"/>
    <cellStyle name="_HP-Series-new 12-14-07_ARCO 3" xfId="28279"/>
    <cellStyle name="_HP-Series-new 12-14-07_BIGMATE" xfId="28280"/>
    <cellStyle name="_HP-Series-new 12-14-07_BIGMATE 2" xfId="28281"/>
    <cellStyle name="_HP-Series-new 12-14-07_BIGMATE 3" xfId="28282"/>
    <cellStyle name="_HP-Series-new 12-14-07_CONFIRMATION OF RMS 2009" xfId="28283"/>
    <cellStyle name="_HP-Series-new 12-14-07_CONFIRMATION OF RMS 2009 2" xfId="28284"/>
    <cellStyle name="_HP-Series-new 12-14-07_CONFIRMATION OF RMS 2009 3" xfId="28285"/>
    <cellStyle name="_HP-Series-new 12-14-07_CONFIRMATION OF RMS 2010" xfId="28286"/>
    <cellStyle name="_HP-Series-new 12-14-07_CONFIRMATION OF RMS 2010 2" xfId="28287"/>
    <cellStyle name="_HP-Series-new 12-14-07_CONFIRMATION OF RMS 2010 3" xfId="28288"/>
    <cellStyle name="_HP-Series-new 12-14-07_DAIKYO (2)" xfId="28289"/>
    <cellStyle name="_HP-Series-new 12-14-07_DAIKYO (2) 2" xfId="28290"/>
    <cellStyle name="_HP-Series-new 12-14-07_DAIKYO (2) 3" xfId="28291"/>
    <cellStyle name="_HP-Series-new 12-14-07_FU" xfId="28292"/>
    <cellStyle name="_HP-Series-new 12-14-07_FU 2" xfId="28293"/>
    <cellStyle name="_HP-Series-new 12-14-07_FU 3" xfId="28294"/>
    <cellStyle name="_HP-Series-new 12-14-07_GMTI" xfId="28295"/>
    <cellStyle name="_HP-Series-new 12-14-07_GMTI 2" xfId="28296"/>
    <cellStyle name="_HP-Series-new 12-14-07_GMTI 3" xfId="28297"/>
    <cellStyle name="_HP-Series-new 12-14-07_IWAKAMI (2)" xfId="28298"/>
    <cellStyle name="_HP-Series-new 12-14-07_IWAKAMI (2) 2" xfId="28299"/>
    <cellStyle name="_HP-Series-new 12-14-07_IWAKAMI (2) 3" xfId="28300"/>
    <cellStyle name="_HP-Series-new 12-14-07_LAGUNAMETTS" xfId="28301"/>
    <cellStyle name="_HP-Series-new 12-14-07_LAGUNAMETTS 2" xfId="28302"/>
    <cellStyle name="_HP-Series-new 12-14-07_LAGUNAMETTS 3" xfId="28303"/>
    <cellStyle name="_HP-Series-new 12-14-07_May 2009 Forecast" xfId="506"/>
    <cellStyle name="_HP-Series-new 12-14-07_May 2009 Forecast 2" xfId="507"/>
    <cellStyle name="_HP-Series-new 12-14-07_May 2009 Forecast 2 2" xfId="28304"/>
    <cellStyle name="_HP-Series-new 12-14-07_May 2009 Forecast 3" xfId="508"/>
    <cellStyle name="_HP-Series-new 12-14-07_May 2009 Forecast 4" xfId="28305"/>
    <cellStyle name="_HP-Series-new 12-14-07_May 2009 Forecast 5" xfId="28306"/>
    <cellStyle name="_HP-Series-new 12-14-07_May 2009 Forecast 6" xfId="28307"/>
    <cellStyle name="_HP-Series-new 12-14-07_May 2009 Forecast_SANWA" xfId="509"/>
    <cellStyle name="_HP-Series-new 12-14-07_May 2009 Forecast_SANWA 2" xfId="510"/>
    <cellStyle name="_HP-Series-new 12-14-07_May 2009 Forecast_SANWA 2 2" xfId="28308"/>
    <cellStyle name="_HP-Series-new 12-14-07_May 2009 Forecast_SANWA 3" xfId="511"/>
    <cellStyle name="_HP-Series-new 12-14-07_May 2009 Forecast_SANWA 4" xfId="28309"/>
    <cellStyle name="_HP-Series-new 12-14-07_May 2009 Forecast_SANWA 5" xfId="28310"/>
    <cellStyle name="_HP-Series-new 12-14-07_May 2009 Forecast_SANWA 6" xfId="28311"/>
    <cellStyle name="_HP-Series-new 12-14-07_MINGHONG" xfId="28312"/>
    <cellStyle name="_HP-Series-new 12-14-07_MINGHONG 2" xfId="28313"/>
    <cellStyle name="_HP-Series-new 12-14-07_MINGHONG 3" xfId="28314"/>
    <cellStyle name="_HP-Series-new 12-14-07_SANWA" xfId="512"/>
    <cellStyle name="_HP-Series-new 12-14-07_SANWA 2" xfId="513"/>
    <cellStyle name="_HP-Series-new 12-14-07_SANWA 2 2" xfId="28315"/>
    <cellStyle name="_HP-Series-new 12-14-07_SANWA 3" xfId="514"/>
    <cellStyle name="_HP-Series-new 12-14-07_SANWA 4" xfId="28316"/>
    <cellStyle name="_HP-Series-new 12-14-07_SANWA 5" xfId="28317"/>
    <cellStyle name="_HP-Series-new 12-14-07_SANWA 6" xfId="28318"/>
    <cellStyle name="_HP-Series-new 12-14-07_Sheet1" xfId="28319"/>
    <cellStyle name="_HP-Series-new 12-14-07_Sheet1 2" xfId="28320"/>
    <cellStyle name="_HP-Series-new 12-14-07_Sheet1 3" xfId="28321"/>
    <cellStyle name="_HP-Series-new 12-14-07_Sheet2" xfId="515"/>
    <cellStyle name="_HP-Series-new 12-14-07_Sheet2 2" xfId="516"/>
    <cellStyle name="_HP-Series-new 12-14-07_Sheet2 2 2" xfId="28322"/>
    <cellStyle name="_HP-Series-new 12-14-07_Sheet2 3" xfId="517"/>
    <cellStyle name="_HP-Series-new 12-14-07_Sheet2 4" xfId="28323"/>
    <cellStyle name="_HP-Series-new 12-14-07_Sheet2 5" xfId="28324"/>
    <cellStyle name="_HP-Series-new 12-14-07_Sheet2 6" xfId="28325"/>
    <cellStyle name="_HP-Series-new 12-14-07_SUMMARY OF SRM" xfId="518"/>
    <cellStyle name="_HP-Series-new 12-14-07_SUMMARY OF SRM 2" xfId="519"/>
    <cellStyle name="_HP-Series-new 12-14-07_SUMMARY OF SRM 2 2" xfId="28326"/>
    <cellStyle name="_HP-Series-new 12-14-07_SUMMARY OF SRM 3" xfId="520"/>
    <cellStyle name="_HP-Series-new 12-14-07_SUMMARY OF SRM 4" xfId="28327"/>
    <cellStyle name="_HP-Series-new 12-14-07_SUMMARY OF SRM 5" xfId="28328"/>
    <cellStyle name="_HP-Series-new 12-14-07_SUMMARY OF SRM 6" xfId="28329"/>
    <cellStyle name="_HP-Series-new 12-14-07_WEEKLY SHIPMENT REQUEST 02-OCT-09" xfId="28330"/>
    <cellStyle name="_HP-Series-new 12-14-07_WEEKLY SHIPMENT REQUEST 02-OCT-09 2" xfId="28331"/>
    <cellStyle name="_HP-Series-new 12-14-07_WEEKLY SHIPMENT REQUEST 02-OCT-09 3" xfId="28332"/>
    <cellStyle name="_HP-Series-new 12-14-07_WEEKLY SHIPMENT REQUEST 05-FEB-10" xfId="28333"/>
    <cellStyle name="_HP-Series-new 12-14-07_WEEKLY SHIPMENT REQUEST 05-FEB-10 2" xfId="28334"/>
    <cellStyle name="_HP-Series-new 12-14-07_WEEKLY SHIPMENT REQUEST 05-FEB-10 3" xfId="28335"/>
    <cellStyle name="_HP-Series-new 12-14-07_WEEKLY SHIPMENT REQUEST 06-NOV-09" xfId="28336"/>
    <cellStyle name="_HP-Series-new 12-14-07_WEEKLY SHIPMENT REQUEST 06-NOV-09 (2)" xfId="28337"/>
    <cellStyle name="_HP-Series-new 12-14-07_WEEKLY SHIPMENT REQUEST 06-NOV-09 (2) 2" xfId="28338"/>
    <cellStyle name="_HP-Series-new 12-14-07_WEEKLY SHIPMENT REQUEST 06-NOV-09 (2) 3" xfId="28339"/>
    <cellStyle name="_HP-Series-new 12-14-07_WEEKLY SHIPMENT REQUEST 06-NOV-09 10" xfId="28340"/>
    <cellStyle name="_HP-Series-new 12-14-07_WEEKLY SHIPMENT REQUEST 06-NOV-09 11" xfId="28341"/>
    <cellStyle name="_HP-Series-new 12-14-07_WEEKLY SHIPMENT REQUEST 06-NOV-09 2" xfId="28342"/>
    <cellStyle name="_HP-Series-new 12-14-07_WEEKLY SHIPMENT REQUEST 06-NOV-09 3" xfId="28343"/>
    <cellStyle name="_HP-Series-new 12-14-07_WEEKLY SHIPMENT REQUEST 06-NOV-09 4" xfId="28344"/>
    <cellStyle name="_HP-Series-new 12-14-07_WEEKLY SHIPMENT REQUEST 06-NOV-09 5" xfId="28345"/>
    <cellStyle name="_HP-Series-new 12-14-07_WEEKLY SHIPMENT REQUEST 06-NOV-09 6" xfId="28346"/>
    <cellStyle name="_HP-Series-new 12-14-07_WEEKLY SHIPMENT REQUEST 06-NOV-09 7" xfId="28347"/>
    <cellStyle name="_HP-Series-new 12-14-07_WEEKLY SHIPMENT REQUEST 06-NOV-09 8" xfId="28348"/>
    <cellStyle name="_HP-Series-new 12-14-07_WEEKLY SHIPMENT REQUEST 06-NOV-09 9" xfId="28349"/>
    <cellStyle name="_HP-Series-new 12-14-07_WEEKLY SHIPMENT REQUEST 08-JAN-10" xfId="28350"/>
    <cellStyle name="_HP-Series-new 12-14-07_WEEKLY SHIPMENT REQUEST 08-JAN-10 2" xfId="28351"/>
    <cellStyle name="_HP-Series-new 12-14-07_WEEKLY SHIPMENT REQUEST 08-JAN-10 3" xfId="28352"/>
    <cellStyle name="_HP-Series-new 12-14-07_WEEKLY SHIPMENT REQUEST 11-DEC-09 (2)" xfId="521"/>
    <cellStyle name="_HP-Series-new 12-14-07_WEEKLY SHIPMENT REQUEST 11-DEC-09 (2) 2" xfId="522"/>
    <cellStyle name="_HP-Series-new 12-14-07_WEEKLY SHIPMENT REQUEST 11-DEC-09 (2) 2 2" xfId="28353"/>
    <cellStyle name="_HP-Series-new 12-14-07_WEEKLY SHIPMENT REQUEST 11-DEC-09 (2) 3" xfId="523"/>
    <cellStyle name="_HP-Series-new 12-14-07_WEEKLY SHIPMENT REQUEST 11-DEC-09 (2) 4" xfId="28354"/>
    <cellStyle name="_HP-Series-new 12-14-07_WEEKLY SHIPMENT REQUEST 11-DEC-09 (2) 5" xfId="28355"/>
    <cellStyle name="_HP-Series-new 12-14-07_WEEKLY SHIPMENT REQUEST 11-DEC-09 (2) 6" xfId="28356"/>
    <cellStyle name="_HP-Series-new 12-14-07_WEEKLY SHIPMENT REQUEST 13-NOV-09" xfId="28357"/>
    <cellStyle name="_HP-Series-new 12-14-07_WEEKLY SHIPMENT REQUEST 13-NOV-09 2" xfId="28358"/>
    <cellStyle name="_HP-Series-new 12-14-07_WEEKLY SHIPMENT REQUEST 13-NOV-09 3" xfId="28359"/>
    <cellStyle name="_HP-Series-new 12-14-07_WEEKLY SHIPMENT REQUEST 15-JAN-10" xfId="28360"/>
    <cellStyle name="_HP-Series-new 12-14-07_WEEKLY SHIPMENT REQUEST 15-JAN-10 2" xfId="28361"/>
    <cellStyle name="_HP-Series-new 12-14-07_WEEKLY SHIPMENT REQUEST 15-JAN-10 3" xfId="28362"/>
    <cellStyle name="_HP-Series-new 12-14-07_WEEKLY SHIPMENT REQUEST 16-OCT-09" xfId="28363"/>
    <cellStyle name="_HP-Series-new 12-14-07_WEEKLY SHIPMENT REQUEST 16-OCT-09 2" xfId="28364"/>
    <cellStyle name="_HP-Series-new 12-14-07_WEEKLY SHIPMENT REQUEST 16-OCT-09 3" xfId="28365"/>
    <cellStyle name="_HP-Series-new 12-14-07_WEEKLY SHIPMENT REQUEST 18-SEPT-09" xfId="28366"/>
    <cellStyle name="_HP-Series-new 12-14-07_WEEKLY SHIPMENT REQUEST 18-SEPT-09 2" xfId="28367"/>
    <cellStyle name="_HP-Series-new 12-14-07_WEEKLY SHIPMENT REQUEST 18-SEPT-09 3" xfId="28368"/>
    <cellStyle name="_HP-Series-new 12-14-07_WEEKLY SHIPMENT REQUEST 22-JAN-2010" xfId="28369"/>
    <cellStyle name="_HP-Series-new 12-14-07_WEEKLY SHIPMENT REQUEST 22-JAN-2010 2" xfId="28370"/>
    <cellStyle name="_HP-Series-new 12-14-07_WEEKLY SHIPMENT REQUEST 22-JAN-2010 3" xfId="28371"/>
    <cellStyle name="_HP-Series-new 12-14-07_WEEKLY SHIPMENT REQUEST 25-SEPT-09" xfId="28372"/>
    <cellStyle name="_HP-Series-new 12-14-07_WEEKLY SHIPMENT REQUEST 25-SEPT-09 2" xfId="28373"/>
    <cellStyle name="_HP-Series-new 12-14-07_WEEKLY SHIPMENT REQUEST 25-SEPT-09 3" xfId="28374"/>
    <cellStyle name="_HP-Series-new 12-14-07_WEEKLY SHIPMENT REQUEST 29-JAN-10 (2)" xfId="28375"/>
    <cellStyle name="_HP-Series-new 12-14-07_WEEKLY SHIPMENT REQUEST 29-JAN-10 (2) 2" xfId="28376"/>
    <cellStyle name="_HP-Series-new 12-14-07_WEEKLY SHIPMENT REQUEST 29-JAN-10 (2) 3" xfId="28377"/>
    <cellStyle name="_HP-Series-new 12-14-07_WEEKLY SHIPMENT REQUEST 29-JAN-10 (2)_WEEKLY SHIPMENT REQUEST 29-JAN-10 (2)" xfId="28378"/>
    <cellStyle name="_HP-Series-new 12-14-07_WEEKLY SHIPMENT REQUEST 29-JAN-10 (2)_WEEKLY SHIPMENT REQUEST 29-JAN-10 (2) 2" xfId="28379"/>
    <cellStyle name="_HP-Series-new 12-14-07_WEEKLY SHIPMENT REQUEST 29-JAN-10 (2)_WEEKLY SHIPMENT REQUEST 29-JAN-10 (2) 3" xfId="28380"/>
    <cellStyle name="_INV" xfId="524"/>
    <cellStyle name="_INV 2" xfId="525"/>
    <cellStyle name="_INV 2 2" xfId="28381"/>
    <cellStyle name="_INV 3" xfId="526"/>
    <cellStyle name="_INV 4" xfId="28382"/>
    <cellStyle name="_INV 5" xfId="28383"/>
    <cellStyle name="_INV 6" xfId="28384"/>
    <cellStyle name="_INV_0" xfId="28385"/>
    <cellStyle name="_INV_0 2" xfId="28386"/>
    <cellStyle name="_INV_0 3" xfId="28387"/>
    <cellStyle name="_INV_09.04.10" xfId="28388"/>
    <cellStyle name="_INV_09.04.10 2" xfId="28389"/>
    <cellStyle name="_INV_09.04.10 3" xfId="28390"/>
    <cellStyle name="_INV_18.12.09" xfId="527"/>
    <cellStyle name="_INV_18.12.09 2" xfId="528"/>
    <cellStyle name="_INV_18.12.09 2 2" xfId="28391"/>
    <cellStyle name="_INV_18.12.09 3" xfId="529"/>
    <cellStyle name="_INV_18.12.09 4" xfId="28392"/>
    <cellStyle name="_INV_18.12.09 5" xfId="28393"/>
    <cellStyle name="_INV_18.12.09 6" xfId="28394"/>
    <cellStyle name="_INV_25-Dec-09" xfId="28395"/>
    <cellStyle name="_INV_25-Dec-09 2" xfId="28396"/>
    <cellStyle name="_INV_25-Dec-09 3" xfId="28397"/>
    <cellStyle name="_INV_29.12.09" xfId="28398"/>
    <cellStyle name="_INV_29.12.09 2" xfId="28399"/>
    <cellStyle name="_INV_29.12.09 3" xfId="28400"/>
    <cellStyle name="_INV_ARCO" xfId="28401"/>
    <cellStyle name="_INV_ARCO 2" xfId="28402"/>
    <cellStyle name="_INV_ARCO 3" xfId="28403"/>
    <cellStyle name="_INV_BIGMATE" xfId="28404"/>
    <cellStyle name="_INV_BIGMATE 2" xfId="28405"/>
    <cellStyle name="_INV_BIGMATE 3" xfId="28406"/>
    <cellStyle name="_INV_CONFIRMATION OF RMS 2009" xfId="28407"/>
    <cellStyle name="_INV_CONFIRMATION OF RMS 2009 2" xfId="28408"/>
    <cellStyle name="_INV_CONFIRMATION OF RMS 2009 3" xfId="28409"/>
    <cellStyle name="_INV_CONFIRMATION OF RMS 2010" xfId="28410"/>
    <cellStyle name="_INV_CONFIRMATION OF RMS 2010 2" xfId="28411"/>
    <cellStyle name="_INV_CONFIRMATION OF RMS 2010 3" xfId="28412"/>
    <cellStyle name="_INV_DAIKYO (2)" xfId="28413"/>
    <cellStyle name="_INV_DAIKYO (2) 2" xfId="28414"/>
    <cellStyle name="_INV_DAIKYO (2) 3" xfId="28415"/>
    <cellStyle name="_INV_FU" xfId="28416"/>
    <cellStyle name="_INV_FU 2" xfId="28417"/>
    <cellStyle name="_INV_FU 3" xfId="28418"/>
    <cellStyle name="_INV_GMTI" xfId="28419"/>
    <cellStyle name="_INV_GMTI 2" xfId="28420"/>
    <cellStyle name="_INV_GMTI 3" xfId="28421"/>
    <cellStyle name="_INV_IWAKAMI (2)" xfId="28422"/>
    <cellStyle name="_INV_IWAKAMI (2) 2" xfId="28423"/>
    <cellStyle name="_INV_IWAKAMI (2) 3" xfId="28424"/>
    <cellStyle name="_INV_LAGUNAMETTS" xfId="28425"/>
    <cellStyle name="_INV_LAGUNAMETTS 2" xfId="28426"/>
    <cellStyle name="_INV_LAGUNAMETTS 3" xfId="28427"/>
    <cellStyle name="_INV_May 2009 Forecast" xfId="530"/>
    <cellStyle name="_INV_May 2009 Forecast 2" xfId="531"/>
    <cellStyle name="_INV_May 2009 Forecast 2 2" xfId="28428"/>
    <cellStyle name="_INV_May 2009 Forecast 3" xfId="532"/>
    <cellStyle name="_INV_May 2009 Forecast 4" xfId="28429"/>
    <cellStyle name="_INV_May 2009 Forecast 5" xfId="28430"/>
    <cellStyle name="_INV_May 2009 Forecast 6" xfId="28431"/>
    <cellStyle name="_INV_May 2009 Forecast_SANWA" xfId="533"/>
    <cellStyle name="_INV_May 2009 Forecast_SANWA 2" xfId="534"/>
    <cellStyle name="_INV_May 2009 Forecast_SANWA 2 2" xfId="28432"/>
    <cellStyle name="_INV_May 2009 Forecast_SANWA 3" xfId="535"/>
    <cellStyle name="_INV_May 2009 Forecast_SANWA 4" xfId="28433"/>
    <cellStyle name="_INV_May 2009 Forecast_SANWA 5" xfId="28434"/>
    <cellStyle name="_INV_May 2009 Forecast_SANWA 6" xfId="28435"/>
    <cellStyle name="_INV_MINGHONG" xfId="28436"/>
    <cellStyle name="_INV_MINGHONG 2" xfId="28437"/>
    <cellStyle name="_INV_MINGHONG 3" xfId="28438"/>
    <cellStyle name="_INV_SANWA" xfId="536"/>
    <cellStyle name="_INV_SANWA 2" xfId="537"/>
    <cellStyle name="_INV_SANWA 2 2" xfId="28439"/>
    <cellStyle name="_INV_SANWA 3" xfId="538"/>
    <cellStyle name="_INV_SANWA 4" xfId="28440"/>
    <cellStyle name="_INV_SANWA 5" xfId="28441"/>
    <cellStyle name="_INV_SANWA 6" xfId="28442"/>
    <cellStyle name="_INV_Sheet1" xfId="28443"/>
    <cellStyle name="_INV_Sheet1 2" xfId="28444"/>
    <cellStyle name="_INV_Sheet1 3" xfId="28445"/>
    <cellStyle name="_INV_Sheet2" xfId="539"/>
    <cellStyle name="_INV_Sheet2 2" xfId="540"/>
    <cellStyle name="_INV_Sheet2 2 2" xfId="28446"/>
    <cellStyle name="_INV_Sheet2 3" xfId="541"/>
    <cellStyle name="_INV_Sheet2 4" xfId="28447"/>
    <cellStyle name="_INV_Sheet2 5" xfId="28448"/>
    <cellStyle name="_INV_Sheet2 6" xfId="28449"/>
    <cellStyle name="_INV_SUMMARY OF SRM" xfId="542"/>
    <cellStyle name="_INV_SUMMARY OF SRM 2" xfId="543"/>
    <cellStyle name="_INV_SUMMARY OF SRM 2 2" xfId="28450"/>
    <cellStyle name="_INV_SUMMARY OF SRM 3" xfId="544"/>
    <cellStyle name="_INV_SUMMARY OF SRM 4" xfId="28451"/>
    <cellStyle name="_INV_SUMMARY OF SRM 5" xfId="28452"/>
    <cellStyle name="_INV_SUMMARY OF SRM 6" xfId="28453"/>
    <cellStyle name="_INV_WEEKLY SHIPMENT REQUEST 02-OCT-09" xfId="28454"/>
    <cellStyle name="_INV_WEEKLY SHIPMENT REQUEST 02-OCT-09 2" xfId="28455"/>
    <cellStyle name="_INV_WEEKLY SHIPMENT REQUEST 02-OCT-09 3" xfId="28456"/>
    <cellStyle name="_INV_WEEKLY SHIPMENT REQUEST 05-FEB-10" xfId="28457"/>
    <cellStyle name="_INV_WEEKLY SHIPMENT REQUEST 05-FEB-10 2" xfId="28458"/>
    <cellStyle name="_INV_WEEKLY SHIPMENT REQUEST 05-FEB-10 3" xfId="28459"/>
    <cellStyle name="_INV_WEEKLY SHIPMENT REQUEST 06-NOV-09" xfId="28460"/>
    <cellStyle name="_INV_WEEKLY SHIPMENT REQUEST 06-NOV-09 (2)" xfId="28461"/>
    <cellStyle name="_INV_WEEKLY SHIPMENT REQUEST 06-NOV-09 (2) 2" xfId="28462"/>
    <cellStyle name="_INV_WEEKLY SHIPMENT REQUEST 06-NOV-09 (2) 3" xfId="28463"/>
    <cellStyle name="_INV_WEEKLY SHIPMENT REQUEST 06-NOV-09 10" xfId="28464"/>
    <cellStyle name="_INV_WEEKLY SHIPMENT REQUEST 06-NOV-09 11" xfId="28465"/>
    <cellStyle name="_INV_WEEKLY SHIPMENT REQUEST 06-NOV-09 2" xfId="28466"/>
    <cellStyle name="_INV_WEEKLY SHIPMENT REQUEST 06-NOV-09 3" xfId="28467"/>
    <cellStyle name="_INV_WEEKLY SHIPMENT REQUEST 06-NOV-09 4" xfId="28468"/>
    <cellStyle name="_INV_WEEKLY SHIPMENT REQUEST 06-NOV-09 5" xfId="28469"/>
    <cellStyle name="_INV_WEEKLY SHIPMENT REQUEST 06-NOV-09 6" xfId="28470"/>
    <cellStyle name="_INV_WEEKLY SHIPMENT REQUEST 06-NOV-09 7" xfId="28471"/>
    <cellStyle name="_INV_WEEKLY SHIPMENT REQUEST 06-NOV-09 8" xfId="28472"/>
    <cellStyle name="_INV_WEEKLY SHIPMENT REQUEST 06-NOV-09 9" xfId="28473"/>
    <cellStyle name="_INV_WEEKLY SHIPMENT REQUEST 08-JAN-10" xfId="28474"/>
    <cellStyle name="_INV_WEEKLY SHIPMENT REQUEST 08-JAN-10 2" xfId="28475"/>
    <cellStyle name="_INV_WEEKLY SHIPMENT REQUEST 08-JAN-10 3" xfId="28476"/>
    <cellStyle name="_INV_WEEKLY SHIPMENT REQUEST 11-DEC-09 (2)" xfId="545"/>
    <cellStyle name="_INV_WEEKLY SHIPMENT REQUEST 11-DEC-09 (2) 2" xfId="546"/>
    <cellStyle name="_INV_WEEKLY SHIPMENT REQUEST 11-DEC-09 (2) 2 2" xfId="28477"/>
    <cellStyle name="_INV_WEEKLY SHIPMENT REQUEST 11-DEC-09 (2) 3" xfId="547"/>
    <cellStyle name="_INV_WEEKLY SHIPMENT REQUEST 11-DEC-09 (2) 4" xfId="28478"/>
    <cellStyle name="_INV_WEEKLY SHIPMENT REQUEST 11-DEC-09 (2) 5" xfId="28479"/>
    <cellStyle name="_INV_WEEKLY SHIPMENT REQUEST 11-DEC-09 (2) 6" xfId="28480"/>
    <cellStyle name="_INV_WEEKLY SHIPMENT REQUEST 13-NOV-09" xfId="28481"/>
    <cellStyle name="_INV_WEEKLY SHIPMENT REQUEST 13-NOV-09 2" xfId="28482"/>
    <cellStyle name="_INV_WEEKLY SHIPMENT REQUEST 13-NOV-09 3" xfId="28483"/>
    <cellStyle name="_INV_WEEKLY SHIPMENT REQUEST 15-JAN-10" xfId="28484"/>
    <cellStyle name="_INV_WEEKLY SHIPMENT REQUEST 15-JAN-10 2" xfId="28485"/>
    <cellStyle name="_INV_WEEKLY SHIPMENT REQUEST 15-JAN-10 3" xfId="28486"/>
    <cellStyle name="_INV_WEEKLY SHIPMENT REQUEST 16-OCT-09" xfId="28487"/>
    <cellStyle name="_INV_WEEKLY SHIPMENT REQUEST 16-OCT-09 2" xfId="28488"/>
    <cellStyle name="_INV_WEEKLY SHIPMENT REQUEST 16-OCT-09 3" xfId="28489"/>
    <cellStyle name="_INV_WEEKLY SHIPMENT REQUEST 18-SEPT-09" xfId="28490"/>
    <cellStyle name="_INV_WEEKLY SHIPMENT REQUEST 18-SEPT-09 2" xfId="28491"/>
    <cellStyle name="_INV_WEEKLY SHIPMENT REQUEST 18-SEPT-09 3" xfId="28492"/>
    <cellStyle name="_INV_WEEKLY SHIPMENT REQUEST 22-JAN-2010" xfId="28493"/>
    <cellStyle name="_INV_WEEKLY SHIPMENT REQUEST 22-JAN-2010 2" xfId="28494"/>
    <cellStyle name="_INV_WEEKLY SHIPMENT REQUEST 22-JAN-2010 3" xfId="28495"/>
    <cellStyle name="_INV_WEEKLY SHIPMENT REQUEST 25-SEPT-09" xfId="28496"/>
    <cellStyle name="_INV_WEEKLY SHIPMENT REQUEST 25-SEPT-09 2" xfId="28497"/>
    <cellStyle name="_INV_WEEKLY SHIPMENT REQUEST 25-SEPT-09 3" xfId="28498"/>
    <cellStyle name="_INV_WEEKLY SHIPMENT REQUEST 29-JAN-10 (2)" xfId="28499"/>
    <cellStyle name="_INV_WEEKLY SHIPMENT REQUEST 29-JAN-10 (2) 2" xfId="28500"/>
    <cellStyle name="_INV_WEEKLY SHIPMENT REQUEST 29-JAN-10 (2) 3" xfId="28501"/>
    <cellStyle name="_INV_WEEKLY SHIPMENT REQUEST 29-JAN-10 (2)_WEEKLY SHIPMENT REQUEST 29-JAN-10 (2)" xfId="28502"/>
    <cellStyle name="_INV_WEEKLY SHIPMENT REQUEST 29-JAN-10 (2)_WEEKLY SHIPMENT REQUEST 29-JAN-10 (2) 2" xfId="28503"/>
    <cellStyle name="_INV_WEEKLY SHIPMENT REQUEST 29-JAN-10 (2)_WEEKLY SHIPMENT REQUEST 29-JAN-10 (2) 3" xfId="28504"/>
    <cellStyle name="_INVENTORY PRICE MASTER" xfId="548"/>
    <cellStyle name="_INVENTORY PRICE MASTER (New)" xfId="549"/>
    <cellStyle name="_INVENTORY PRICE MASTER (New) 2" xfId="550"/>
    <cellStyle name="_INVENTORY PRICE MASTER (New) 2 2" xfId="28505"/>
    <cellStyle name="_INVENTORY PRICE MASTER (New) 3" xfId="551"/>
    <cellStyle name="_INVENTORY PRICE MASTER (New) 4" xfId="28506"/>
    <cellStyle name="_INVENTORY PRICE MASTER (New) 5" xfId="28507"/>
    <cellStyle name="_INVENTORY PRICE MASTER (New) 6" xfId="28508"/>
    <cellStyle name="_INVENTORY PRICE MASTER (New) ongoing by kang" xfId="552"/>
    <cellStyle name="_INVENTORY PRICE MASTER (New) ongoing by kang 2" xfId="553"/>
    <cellStyle name="_INVENTORY PRICE MASTER (New) ongoing by kang 2 2" xfId="28509"/>
    <cellStyle name="_INVENTORY PRICE MASTER (New) ongoing by kang 3" xfId="554"/>
    <cellStyle name="_INVENTORY PRICE MASTER (New) ongoing by kang 4" xfId="28510"/>
    <cellStyle name="_INVENTORY PRICE MASTER (New) ongoing by kang 5" xfId="28511"/>
    <cellStyle name="_INVENTORY PRICE MASTER (New) ongoing by kang 6" xfId="28512"/>
    <cellStyle name="_INVENTORY PRICE MASTER (New) ongoing by kang_DETAILED LME 2009" xfId="28513"/>
    <cellStyle name="_INVENTORY PRICE MASTER (New) ongoing by kang_DETAILED LME 2009 2" xfId="28514"/>
    <cellStyle name="_INVENTORY PRICE MASTER (New) ongoing by kang_DETAILED LME 2009 3" xfId="28515"/>
    <cellStyle name="_INVENTORY PRICE MASTER (New) ongoing by kang_SANWA" xfId="555"/>
    <cellStyle name="_INVENTORY PRICE MASTER (New) ongoing by kang_SANWA 2" xfId="556"/>
    <cellStyle name="_INVENTORY PRICE MASTER (New) ongoing by kang_SANWA 2 2" xfId="28516"/>
    <cellStyle name="_INVENTORY PRICE MASTER (New) ongoing by kang_SANWA 3" xfId="557"/>
    <cellStyle name="_INVENTORY PRICE MASTER (New) ongoing by kang_SANWA 4" xfId="28517"/>
    <cellStyle name="_INVENTORY PRICE MASTER (New) ongoing by kang_SANWA 5" xfId="28518"/>
    <cellStyle name="_INVENTORY PRICE MASTER (New) ongoing by kang_SANWA 6" xfId="28519"/>
    <cellStyle name="_INVENTORY PRICE MASTER (New)_DETAILED LME 2009" xfId="28520"/>
    <cellStyle name="_INVENTORY PRICE MASTER (New)_DETAILED LME 2009 2" xfId="28521"/>
    <cellStyle name="_INVENTORY PRICE MASTER (New)_DETAILED LME 2009 3" xfId="28522"/>
    <cellStyle name="_INVENTORY PRICE MASTER (New)_SANWA" xfId="558"/>
    <cellStyle name="_INVENTORY PRICE MASTER (New)_SANWA 2" xfId="559"/>
    <cellStyle name="_INVENTORY PRICE MASTER (New)_SANWA 2 2" xfId="28523"/>
    <cellStyle name="_INVENTORY PRICE MASTER (New)_SANWA 3" xfId="560"/>
    <cellStyle name="_INVENTORY PRICE MASTER (New)_SANWA 4" xfId="28524"/>
    <cellStyle name="_INVENTORY PRICE MASTER (New)_SANWA 5" xfId="28525"/>
    <cellStyle name="_INVENTORY PRICE MASTER (New)_SANWA 6" xfId="28526"/>
    <cellStyle name="_INVENTORY PRICE MASTER 10" xfId="561"/>
    <cellStyle name="_INVENTORY PRICE MASTER 11" xfId="562"/>
    <cellStyle name="_INVENTORY PRICE MASTER 12" xfId="563"/>
    <cellStyle name="_INVENTORY PRICE MASTER 13" xfId="564"/>
    <cellStyle name="_INVENTORY PRICE MASTER 14" xfId="565"/>
    <cellStyle name="_INVENTORY PRICE MASTER 15" xfId="566"/>
    <cellStyle name="_INVENTORY PRICE MASTER 16" xfId="567"/>
    <cellStyle name="_INVENTORY PRICE MASTER 17" xfId="568"/>
    <cellStyle name="_INVENTORY PRICE MASTER 18" xfId="569"/>
    <cellStyle name="_INVENTORY PRICE MASTER 19" xfId="570"/>
    <cellStyle name="_INVENTORY PRICE MASTER 2" xfId="571"/>
    <cellStyle name="_INVENTORY PRICE MASTER 2 2" xfId="28527"/>
    <cellStyle name="_INVENTORY PRICE MASTER 20" xfId="572"/>
    <cellStyle name="_INVENTORY PRICE MASTER 21" xfId="573"/>
    <cellStyle name="_INVENTORY PRICE MASTER 22" xfId="574"/>
    <cellStyle name="_INVENTORY PRICE MASTER 23" xfId="575"/>
    <cellStyle name="_INVENTORY PRICE MASTER 24" xfId="576"/>
    <cellStyle name="_INVENTORY PRICE MASTER 25" xfId="28528"/>
    <cellStyle name="_INVENTORY PRICE MASTER 26" xfId="28529"/>
    <cellStyle name="_INVENTORY PRICE MASTER 27" xfId="28530"/>
    <cellStyle name="_INVENTORY PRICE MASTER 28" xfId="28531"/>
    <cellStyle name="_INVENTORY PRICE MASTER 29" xfId="28532"/>
    <cellStyle name="_INVENTORY PRICE MASTER 3" xfId="577"/>
    <cellStyle name="_INVENTORY PRICE MASTER 3 2" xfId="28533"/>
    <cellStyle name="_INVENTORY PRICE MASTER 30" xfId="28534"/>
    <cellStyle name="_INVENTORY PRICE MASTER 31" xfId="28535"/>
    <cellStyle name="_INVENTORY PRICE MASTER 32" xfId="28536"/>
    <cellStyle name="_INVENTORY PRICE MASTER 33" xfId="28537"/>
    <cellStyle name="_INVENTORY PRICE MASTER 34" xfId="28538"/>
    <cellStyle name="_INVENTORY PRICE MASTER 35" xfId="28539"/>
    <cellStyle name="_INVENTORY PRICE MASTER 36" xfId="28540"/>
    <cellStyle name="_INVENTORY PRICE MASTER 37" xfId="28541"/>
    <cellStyle name="_INVENTORY PRICE MASTER 38" xfId="28542"/>
    <cellStyle name="_INVENTORY PRICE MASTER 39" xfId="28543"/>
    <cellStyle name="_INVENTORY PRICE MASTER 4" xfId="578"/>
    <cellStyle name="_INVENTORY PRICE MASTER 40" xfId="28544"/>
    <cellStyle name="_INVENTORY PRICE MASTER 41" xfId="28545"/>
    <cellStyle name="_INVENTORY PRICE MASTER 5" xfId="579"/>
    <cellStyle name="_INVENTORY PRICE MASTER 6" xfId="580"/>
    <cellStyle name="_INVENTORY PRICE MASTER 7" xfId="581"/>
    <cellStyle name="_INVENTORY PRICE MASTER 8" xfId="582"/>
    <cellStyle name="_INVENTORY PRICE MASTER 9" xfId="583"/>
    <cellStyle name="_INVENTORY PRICE MASTER_09.04.10" xfId="28546"/>
    <cellStyle name="_INVENTORY PRICE MASTER_09.04.10 2" xfId="28547"/>
    <cellStyle name="_INVENTORY PRICE MASTER_09.04.10 3" xfId="28548"/>
    <cellStyle name="_INVENTORY PRICE MASTER_18.12.09" xfId="584"/>
    <cellStyle name="_INVENTORY PRICE MASTER_18.12.09 2" xfId="585"/>
    <cellStyle name="_INVENTORY PRICE MASTER_18.12.09 2 2" xfId="28549"/>
    <cellStyle name="_INVENTORY PRICE MASTER_18.12.09 3" xfId="586"/>
    <cellStyle name="_INVENTORY PRICE MASTER_18.12.09 4" xfId="28550"/>
    <cellStyle name="_INVENTORY PRICE MASTER_18.12.09 5" xfId="28551"/>
    <cellStyle name="_INVENTORY PRICE MASTER_18.12.09 6" xfId="28552"/>
    <cellStyle name="_INVENTORY PRICE MASTER_25-Dec-09" xfId="28553"/>
    <cellStyle name="_INVENTORY PRICE MASTER_25-Dec-09 2" xfId="28554"/>
    <cellStyle name="_INVENTORY PRICE MASTER_25-Dec-09 3" xfId="28555"/>
    <cellStyle name="_INVENTORY PRICE MASTER_29.12.09" xfId="28556"/>
    <cellStyle name="_INVENTORY PRICE MASTER_29.12.09 2" xfId="28557"/>
    <cellStyle name="_INVENTORY PRICE MASTER_29.12.09 3" xfId="28558"/>
    <cellStyle name="_INVENTORY PRICE MASTER_Book3" xfId="28559"/>
    <cellStyle name="_INVENTORY PRICE MASTER_Book3 2" xfId="28560"/>
    <cellStyle name="_INVENTORY PRICE MASTER_Book3 3" xfId="28561"/>
    <cellStyle name="_INVENTORY PRICE MASTER_CONFIRMATION OF RMS 2009" xfId="28562"/>
    <cellStyle name="_INVENTORY PRICE MASTER_CONFIRMATION OF RMS 2009 2" xfId="28563"/>
    <cellStyle name="_INVENTORY PRICE MASTER_CONFIRMATION OF RMS 2009 3" xfId="28564"/>
    <cellStyle name="_INVENTORY PRICE MASTER_CONFIRMATION OF RMS 2010" xfId="28565"/>
    <cellStyle name="_INVENTORY PRICE MASTER_CONFIRMATION OF RMS 2010 2" xfId="28566"/>
    <cellStyle name="_INVENTORY PRICE MASTER_CONFIRMATION OF RMS 2010 3" xfId="28567"/>
    <cellStyle name="_INVENTORY PRICE MASTER_DEC. RETURN 2009" xfId="28568"/>
    <cellStyle name="_INVENTORY PRICE MASTER_DEC. RETURN 2009 2" xfId="28569"/>
    <cellStyle name="_INVENTORY PRICE MASTER_DEC. RETURN 2009 3" xfId="28570"/>
    <cellStyle name="_INVENTORY PRICE MASTER_DETAILED LME 2009" xfId="28571"/>
    <cellStyle name="_INVENTORY PRICE MASTER_DETAILED LME 2009 2" xfId="28572"/>
    <cellStyle name="_INVENTORY PRICE MASTER_DETAILED LME 2009 3" xfId="28573"/>
    <cellStyle name="_INVENTORY PRICE MASTER_NOV. RETURN 2009 2.0" xfId="28574"/>
    <cellStyle name="_INVENTORY PRICE MASTER_NOV. RETURN 2009 2.0 2" xfId="28575"/>
    <cellStyle name="_INVENTORY PRICE MASTER_NOV. RETURN 2009 2.0 3" xfId="28576"/>
    <cellStyle name="_INVENTORY PRICE MASTER_OCT 30" xfId="587"/>
    <cellStyle name="_INVENTORY PRICE MASTER_OCT 30 2" xfId="588"/>
    <cellStyle name="_INVENTORY PRICE MASTER_OCT 30 2 2" xfId="28577"/>
    <cellStyle name="_INVENTORY PRICE MASTER_OCT 30 3" xfId="589"/>
    <cellStyle name="_INVENTORY PRICE MASTER_OCT 30 4" xfId="28578"/>
    <cellStyle name="_INVENTORY PRICE MASTER_OCT 30 5" xfId="28579"/>
    <cellStyle name="_INVENTORY PRICE MASTER_OCT 30 6" xfId="28580"/>
    <cellStyle name="_INVENTORY PRICE MASTER_OCT 30_09.04.10" xfId="28581"/>
    <cellStyle name="_INVENTORY PRICE MASTER_OCT 30_09.04.10 2" xfId="28582"/>
    <cellStyle name="_INVENTORY PRICE MASTER_OCT 30_09.04.10 3" xfId="28583"/>
    <cellStyle name="_INVENTORY PRICE MASTER_OCT 30_29.12.09" xfId="28584"/>
    <cellStyle name="_INVENTORY PRICE MASTER_OCT 30_29.12.09 2" xfId="28585"/>
    <cellStyle name="_INVENTORY PRICE MASTER_OCT 30_29.12.09 3" xfId="28586"/>
    <cellStyle name="_INVENTORY PRICE MASTER_OCT 30_CONFIRMATION OF RMS 2009" xfId="28587"/>
    <cellStyle name="_INVENTORY PRICE MASTER_OCT 30_CONFIRMATION OF RMS 2009 2" xfId="28588"/>
    <cellStyle name="_INVENTORY PRICE MASTER_OCT 30_CONFIRMATION OF RMS 2009 3" xfId="28589"/>
    <cellStyle name="_INVENTORY PRICE MASTER_OCT 30_CONFIRMATION OF RMS 2010" xfId="28590"/>
    <cellStyle name="_INVENTORY PRICE MASTER_OCT 30_CONFIRMATION OF RMS 2010 2" xfId="28591"/>
    <cellStyle name="_INVENTORY PRICE MASTER_OCT 30_CONFIRMATION OF RMS 2010 3" xfId="28592"/>
    <cellStyle name="_INVENTORY PRICE MASTER_OCT 30_Sheet1" xfId="28593"/>
    <cellStyle name="_INVENTORY PRICE MASTER_OCT 30_Sheet1 2" xfId="28594"/>
    <cellStyle name="_INVENTORY PRICE MASTER_OCT 30_Sheet1 3" xfId="28595"/>
    <cellStyle name="_INVENTORY PRICE MASTER_OCT 30_SUMMARY OF SRM" xfId="590"/>
    <cellStyle name="_INVENTORY PRICE MASTER_OCT 30_SUMMARY OF SRM 2" xfId="591"/>
    <cellStyle name="_INVENTORY PRICE MASTER_OCT 30_SUMMARY OF SRM 2 2" xfId="28596"/>
    <cellStyle name="_INVENTORY PRICE MASTER_OCT 30_SUMMARY OF SRM 3" xfId="592"/>
    <cellStyle name="_INVENTORY PRICE MASTER_OCT 30_SUMMARY OF SRM 4" xfId="28597"/>
    <cellStyle name="_INVENTORY PRICE MASTER_OCT 30_SUMMARY OF SRM 5" xfId="28598"/>
    <cellStyle name="_INVENTORY PRICE MASTER_OCT 30_SUMMARY OF SRM 6" xfId="28599"/>
    <cellStyle name="_INVENTORY PRICE MASTER_SANWA" xfId="593"/>
    <cellStyle name="_INVENTORY PRICE MASTER_SANWA 2" xfId="594"/>
    <cellStyle name="_INVENTORY PRICE MASTER_SANWA 2 2" xfId="28600"/>
    <cellStyle name="_INVENTORY PRICE MASTER_SANWA 3" xfId="595"/>
    <cellStyle name="_INVENTORY PRICE MASTER_SANWA 4" xfId="28601"/>
    <cellStyle name="_INVENTORY PRICE MASTER_SANWA 5" xfId="28602"/>
    <cellStyle name="_INVENTORY PRICE MASTER_SANWA 6" xfId="28603"/>
    <cellStyle name="_INVENTORY PRICE MASTER_Sheet1" xfId="28604"/>
    <cellStyle name="_INVENTORY PRICE MASTER_Sheet1 2" xfId="28605"/>
    <cellStyle name="_INVENTORY PRICE MASTER_Sheet1 3" xfId="28606"/>
    <cellStyle name="_INVENTORY PRICE MASTER_Sheet2" xfId="596"/>
    <cellStyle name="_INVENTORY PRICE MASTER_Sheet2 2" xfId="597"/>
    <cellStyle name="_INVENTORY PRICE MASTER_Sheet2 2 2" xfId="28607"/>
    <cellStyle name="_INVENTORY PRICE MASTER_Sheet2 3" xfId="598"/>
    <cellStyle name="_INVENTORY PRICE MASTER_Sheet2 4" xfId="28608"/>
    <cellStyle name="_INVENTORY PRICE MASTER_Sheet2 5" xfId="28609"/>
    <cellStyle name="_INVENTORY PRICE MASTER_Sheet2 6" xfId="28610"/>
    <cellStyle name="_INVENTORY PRICE MASTER_SUMMARY OF SRM" xfId="599"/>
    <cellStyle name="_INVENTORY PRICE MASTER_SUMMARY OF SRM 2" xfId="600"/>
    <cellStyle name="_INVENTORY PRICE MASTER_SUMMARY OF SRM 2 2" xfId="28611"/>
    <cellStyle name="_INVENTORY PRICE MASTER_SUMMARY OF SRM 3" xfId="601"/>
    <cellStyle name="_INVENTORY PRICE MASTER_SUMMARY OF SRM 4" xfId="28612"/>
    <cellStyle name="_INVENTORY PRICE MASTER_SUMMARY OF SRM 5" xfId="28613"/>
    <cellStyle name="_INVENTORY PRICE MASTER_SUMMARY OF SRM 6" xfId="28614"/>
    <cellStyle name="_INVENTORY PRICE MASTER_WEEKLY MATERIAL TRAVEL SHEET" xfId="602"/>
    <cellStyle name="_INVENTORY PRICE MASTER_WEEKLY MATERIAL TRAVEL SHEET 2" xfId="603"/>
    <cellStyle name="_INVENTORY PRICE MASTER_WEEKLY MATERIAL TRAVEL SHEET 2 2" xfId="28615"/>
    <cellStyle name="_INVENTORY PRICE MASTER_WEEKLY MATERIAL TRAVEL SHEET 3" xfId="604"/>
    <cellStyle name="_INVENTORY PRICE MASTER_WEEKLY MATERIAL TRAVEL SHEET 4" xfId="28616"/>
    <cellStyle name="_INVENTORY PRICE MASTER_WEEKLY MATERIAL TRAVEL SHEET 5" xfId="28617"/>
    <cellStyle name="_INVENTORY PRICE MASTER_WEEKLY MATERIAL TRAVEL SHEET 6" xfId="28618"/>
    <cellStyle name="_INVENTORY PRICE MASTER_WEEKLY MATERIAL TRAVEL SHEET_09.04.10" xfId="28619"/>
    <cellStyle name="_INVENTORY PRICE MASTER_WEEKLY MATERIAL TRAVEL SHEET_09.04.10 2" xfId="28620"/>
    <cellStyle name="_INVENTORY PRICE MASTER_WEEKLY MATERIAL TRAVEL SHEET_09.04.10 3" xfId="28621"/>
    <cellStyle name="_INVENTORY PRICE MASTER_WEEKLY MATERIAL TRAVEL SHEET_29.12.09" xfId="28622"/>
    <cellStyle name="_INVENTORY PRICE MASTER_WEEKLY MATERIAL TRAVEL SHEET_29.12.09 2" xfId="28623"/>
    <cellStyle name="_INVENTORY PRICE MASTER_WEEKLY MATERIAL TRAVEL SHEET_29.12.09 3" xfId="28624"/>
    <cellStyle name="_INVENTORY PRICE MASTER_WEEKLY MATERIAL TRAVEL SHEET_CONFIRMATION OF RMS 2009" xfId="28625"/>
    <cellStyle name="_INVENTORY PRICE MASTER_WEEKLY MATERIAL TRAVEL SHEET_CONFIRMATION OF RMS 2009 2" xfId="28626"/>
    <cellStyle name="_INVENTORY PRICE MASTER_WEEKLY MATERIAL TRAVEL SHEET_CONFIRMATION OF RMS 2009 3" xfId="28627"/>
    <cellStyle name="_INVENTORY PRICE MASTER_WEEKLY MATERIAL TRAVEL SHEET_CONFIRMATION OF RMS 2010" xfId="28628"/>
    <cellStyle name="_INVENTORY PRICE MASTER_WEEKLY MATERIAL TRAVEL SHEET_CONFIRMATION OF RMS 2010 2" xfId="28629"/>
    <cellStyle name="_INVENTORY PRICE MASTER_WEEKLY MATERIAL TRAVEL SHEET_CONFIRMATION OF RMS 2010 3" xfId="28630"/>
    <cellStyle name="_INVENTORY PRICE MASTER_WEEKLY MATERIAL TRAVEL SHEET_Sheet1" xfId="28631"/>
    <cellStyle name="_INVENTORY PRICE MASTER_WEEKLY MATERIAL TRAVEL SHEET_Sheet1 2" xfId="28632"/>
    <cellStyle name="_INVENTORY PRICE MASTER_WEEKLY MATERIAL TRAVEL SHEET_Sheet1 3" xfId="28633"/>
    <cellStyle name="_INVENTORY PRICE MASTER_WEEKLY MATERIAL TRAVEL SHEET_SUMMARY OF SRM" xfId="605"/>
    <cellStyle name="_INVENTORY PRICE MASTER_WEEKLY MATERIAL TRAVEL SHEET_SUMMARY OF SRM 2" xfId="606"/>
    <cellStyle name="_INVENTORY PRICE MASTER_WEEKLY MATERIAL TRAVEL SHEET_SUMMARY OF SRM 2 2" xfId="28634"/>
    <cellStyle name="_INVENTORY PRICE MASTER_WEEKLY MATERIAL TRAVEL SHEET_SUMMARY OF SRM 3" xfId="607"/>
    <cellStyle name="_INVENTORY PRICE MASTER_WEEKLY MATERIAL TRAVEL SHEET_SUMMARY OF SRM 4" xfId="28635"/>
    <cellStyle name="_INVENTORY PRICE MASTER_WEEKLY MATERIAL TRAVEL SHEET_SUMMARY OF SRM 5" xfId="28636"/>
    <cellStyle name="_INVENTORY PRICE MASTER_WEEKLY MATERIAL TRAVEL SHEET_SUMMARY OF SRM 6" xfId="28637"/>
    <cellStyle name="_INVENTORY PRICE MASTER_WEEKLY SHIPMENT REQUEST 02-OCT-09" xfId="28638"/>
    <cellStyle name="_INVENTORY PRICE MASTER_WEEKLY SHIPMENT REQUEST 02-OCT-09 2" xfId="28639"/>
    <cellStyle name="_INVENTORY PRICE MASTER_WEEKLY SHIPMENT REQUEST 02-OCT-09 3" xfId="28640"/>
    <cellStyle name="_INVENTORY PRICE MASTER_WEEKLY SHIPMENT REQUEST 05-FEB-10" xfId="28641"/>
    <cellStyle name="_INVENTORY PRICE MASTER_WEEKLY SHIPMENT REQUEST 05-FEB-10 2" xfId="28642"/>
    <cellStyle name="_INVENTORY PRICE MASTER_WEEKLY SHIPMENT REQUEST 05-FEB-10 3" xfId="28643"/>
    <cellStyle name="_INVENTORY PRICE MASTER_WEEKLY SHIPMENT REQUEST 06-NOV-09" xfId="28644"/>
    <cellStyle name="_INVENTORY PRICE MASTER_WEEKLY SHIPMENT REQUEST 06-NOV-09 (2)" xfId="28645"/>
    <cellStyle name="_INVENTORY PRICE MASTER_WEEKLY SHIPMENT REQUEST 06-NOV-09 (2) 2" xfId="28646"/>
    <cellStyle name="_INVENTORY PRICE MASTER_WEEKLY SHIPMENT REQUEST 06-NOV-09 (2) 3" xfId="28647"/>
    <cellStyle name="_INVENTORY PRICE MASTER_WEEKLY SHIPMENT REQUEST 06-NOV-09 10" xfId="28648"/>
    <cellStyle name="_INVENTORY PRICE MASTER_WEEKLY SHIPMENT REQUEST 06-NOV-09 11" xfId="28649"/>
    <cellStyle name="_INVENTORY PRICE MASTER_WEEKLY SHIPMENT REQUEST 06-NOV-09 2" xfId="28650"/>
    <cellStyle name="_INVENTORY PRICE MASTER_WEEKLY SHIPMENT REQUEST 06-NOV-09 3" xfId="28651"/>
    <cellStyle name="_INVENTORY PRICE MASTER_WEEKLY SHIPMENT REQUEST 06-NOV-09 4" xfId="28652"/>
    <cellStyle name="_INVENTORY PRICE MASTER_WEEKLY SHIPMENT REQUEST 06-NOV-09 5" xfId="28653"/>
    <cellStyle name="_INVENTORY PRICE MASTER_WEEKLY SHIPMENT REQUEST 06-NOV-09 6" xfId="28654"/>
    <cellStyle name="_INVENTORY PRICE MASTER_WEEKLY SHIPMENT REQUEST 06-NOV-09 7" xfId="28655"/>
    <cellStyle name="_INVENTORY PRICE MASTER_WEEKLY SHIPMENT REQUEST 06-NOV-09 8" xfId="28656"/>
    <cellStyle name="_INVENTORY PRICE MASTER_WEEKLY SHIPMENT REQUEST 06-NOV-09 9" xfId="28657"/>
    <cellStyle name="_INVENTORY PRICE MASTER_WEEKLY SHIPMENT REQUEST 08-JAN-10" xfId="28658"/>
    <cellStyle name="_INVENTORY PRICE MASTER_WEEKLY SHIPMENT REQUEST 08-JAN-10 2" xfId="28659"/>
    <cellStyle name="_INVENTORY PRICE MASTER_WEEKLY SHIPMENT REQUEST 08-JAN-10 3" xfId="28660"/>
    <cellStyle name="_INVENTORY PRICE MASTER_WEEKLY SHIPMENT REQUEST 11-DEC-09 (2)" xfId="608"/>
    <cellStyle name="_INVENTORY PRICE MASTER_WEEKLY SHIPMENT REQUEST 11-DEC-09 (2) 2" xfId="609"/>
    <cellStyle name="_INVENTORY PRICE MASTER_WEEKLY SHIPMENT REQUEST 11-DEC-09 (2) 2 2" xfId="28661"/>
    <cellStyle name="_INVENTORY PRICE MASTER_WEEKLY SHIPMENT REQUEST 11-DEC-09 (2) 3" xfId="610"/>
    <cellStyle name="_INVENTORY PRICE MASTER_WEEKLY SHIPMENT REQUEST 11-DEC-09 (2) 4" xfId="28662"/>
    <cellStyle name="_INVENTORY PRICE MASTER_WEEKLY SHIPMENT REQUEST 11-DEC-09 (2) 5" xfId="28663"/>
    <cellStyle name="_INVENTORY PRICE MASTER_WEEKLY SHIPMENT REQUEST 11-DEC-09 (2) 6" xfId="28664"/>
    <cellStyle name="_INVENTORY PRICE MASTER_WEEKLY SHIPMENT REQUEST 13-NOV-09" xfId="28665"/>
    <cellStyle name="_INVENTORY PRICE MASTER_WEEKLY SHIPMENT REQUEST 13-NOV-09 2" xfId="28666"/>
    <cellStyle name="_INVENTORY PRICE MASTER_WEEKLY SHIPMENT REQUEST 13-NOV-09 3" xfId="28667"/>
    <cellStyle name="_INVENTORY PRICE MASTER_WEEKLY SHIPMENT REQUEST 15-JAN-10" xfId="28668"/>
    <cellStyle name="_INVENTORY PRICE MASTER_WEEKLY SHIPMENT REQUEST 15-JAN-10 2" xfId="28669"/>
    <cellStyle name="_INVENTORY PRICE MASTER_WEEKLY SHIPMENT REQUEST 15-JAN-10 3" xfId="28670"/>
    <cellStyle name="_INVENTORY PRICE MASTER_WEEKLY SHIPMENT REQUEST 16-OCT-09" xfId="28671"/>
    <cellStyle name="_INVENTORY PRICE MASTER_WEEKLY SHIPMENT REQUEST 16-OCT-09 2" xfId="28672"/>
    <cellStyle name="_INVENTORY PRICE MASTER_WEEKLY SHIPMENT REQUEST 16-OCT-09 3" xfId="28673"/>
    <cellStyle name="_INVENTORY PRICE MASTER_WEEKLY SHIPMENT REQUEST 18-SEPT-09" xfId="28674"/>
    <cellStyle name="_INVENTORY PRICE MASTER_WEEKLY SHIPMENT REQUEST 18-SEPT-09 2" xfId="28675"/>
    <cellStyle name="_INVENTORY PRICE MASTER_WEEKLY SHIPMENT REQUEST 18-SEPT-09 3" xfId="28676"/>
    <cellStyle name="_INVENTORY PRICE MASTER_WEEKLY SHIPMENT REQUEST 22-JAN-2010" xfId="28677"/>
    <cellStyle name="_INVENTORY PRICE MASTER_WEEKLY SHIPMENT REQUEST 22-JAN-2010 2" xfId="28678"/>
    <cellStyle name="_INVENTORY PRICE MASTER_WEEKLY SHIPMENT REQUEST 22-JAN-2010 3" xfId="28679"/>
    <cellStyle name="_INVENTORY PRICE MASTER_WEEKLY SHIPMENT REQUEST 25-SEPT-09" xfId="28680"/>
    <cellStyle name="_INVENTORY PRICE MASTER_WEEKLY SHIPMENT REQUEST 25-SEPT-09 2" xfId="28681"/>
    <cellStyle name="_INVENTORY PRICE MASTER_WEEKLY SHIPMENT REQUEST 25-SEPT-09 3" xfId="28682"/>
    <cellStyle name="_INVENTORY PRICE MASTER_WEEKLY SHIPMENT REQUEST 29-JAN-10 (2)" xfId="28683"/>
    <cellStyle name="_INVENTORY PRICE MASTER_WEEKLY SHIPMENT REQUEST 29-JAN-10 (2) 2" xfId="28684"/>
    <cellStyle name="_INVENTORY PRICE MASTER_WEEKLY SHIPMENT REQUEST 29-JAN-10 (2) 3" xfId="28685"/>
    <cellStyle name="_INVENTORY PRICE MASTER_WEEKLY SHIPMENT REQUEST 29-JAN-10 (2)_WEEKLY SHIPMENT REQUEST 29-JAN-10 (2)" xfId="28686"/>
    <cellStyle name="_INVENTORY PRICE MASTER_WEEKLY SHIPMENT REQUEST 29-JAN-10 (2)_WEEKLY SHIPMENT REQUEST 29-JAN-10 (2) 2" xfId="28687"/>
    <cellStyle name="_INVENTORY PRICE MASTER_WEEKLY SHIPMENT REQUEST 29-JAN-10 (2)_WEEKLY SHIPMENT REQUEST 29-JAN-10 (2) 3" xfId="28688"/>
    <cellStyle name="_IR 0775" xfId="611"/>
    <cellStyle name="_IR 0775 2" xfId="612"/>
    <cellStyle name="_IR 0775 2 2" xfId="28689"/>
    <cellStyle name="_IR 0775 3" xfId="613"/>
    <cellStyle name="_IR 0775 4" xfId="28690"/>
    <cellStyle name="_IR 0775 5" xfId="28691"/>
    <cellStyle name="_IR 0775 6" xfId="28692"/>
    <cellStyle name="_IR 0787" xfId="614"/>
    <cellStyle name="_IR 0787 2" xfId="615"/>
    <cellStyle name="_IR 0787 2 2" xfId="28693"/>
    <cellStyle name="_IR 0787 3" xfId="616"/>
    <cellStyle name="_IR 0787 4" xfId="28694"/>
    <cellStyle name="_IR 0787 5" xfId="28695"/>
    <cellStyle name="_IR 0787 6" xfId="28696"/>
    <cellStyle name="_IR-1016" xfId="617"/>
    <cellStyle name="_IR-1016 2" xfId="618"/>
    <cellStyle name="_IR-1016 3" xfId="619"/>
    <cellStyle name="_IR-1016 4" xfId="28697"/>
    <cellStyle name="_IR-1016 5" xfId="28698"/>
    <cellStyle name="_IWAKAMI (2)" xfId="28699"/>
    <cellStyle name="_IWAKAMI (2) 2" xfId="28700"/>
    <cellStyle name="_IWAKAMI (2) 3" xfId="28701"/>
    <cellStyle name="_January 2010 PC" xfId="620"/>
    <cellStyle name="_January 2010 PC 2" xfId="28702"/>
    <cellStyle name="_January 2010 PC 2 2" xfId="28703"/>
    <cellStyle name="_January 2010 PC 3" xfId="28704"/>
    <cellStyle name="_January 2010 PC 4" xfId="28705"/>
    <cellStyle name="_January 2010 PC 5" xfId="28706"/>
    <cellStyle name="_January 2010 PC 6" xfId="28707"/>
    <cellStyle name="_January Summary" xfId="621"/>
    <cellStyle name="_JULY SUMMARY" xfId="622"/>
    <cellStyle name="_June" xfId="623"/>
    <cellStyle name="_June 2" xfId="624"/>
    <cellStyle name="_June 2 2" xfId="28708"/>
    <cellStyle name="_June 3" xfId="625"/>
    <cellStyle name="_June 4" xfId="28709"/>
    <cellStyle name="_June 5" xfId="28710"/>
    <cellStyle name="_June 6" xfId="28711"/>
    <cellStyle name="_JUNE RETURN SUMMARY" xfId="28712"/>
    <cellStyle name="_JUNE RETURN SUMMARY 2" xfId="28713"/>
    <cellStyle name="_JUNE RETURN SUMMARY 3" xfId="28714"/>
    <cellStyle name="_June_09.04.10" xfId="28715"/>
    <cellStyle name="_June_09.04.10 2" xfId="28716"/>
    <cellStyle name="_June_09.04.10 3" xfId="28717"/>
    <cellStyle name="_June_18.12.09" xfId="626"/>
    <cellStyle name="_June_18.12.09 2" xfId="627"/>
    <cellStyle name="_June_18.12.09 2 2" xfId="28718"/>
    <cellStyle name="_June_18.12.09 3" xfId="628"/>
    <cellStyle name="_June_18.12.09 4" xfId="28719"/>
    <cellStyle name="_June_18.12.09 5" xfId="28720"/>
    <cellStyle name="_June_18.12.09 6" xfId="28721"/>
    <cellStyle name="_June_25-Dec-09" xfId="28722"/>
    <cellStyle name="_June_25-Dec-09 2" xfId="28723"/>
    <cellStyle name="_June_25-Dec-09 3" xfId="28724"/>
    <cellStyle name="_June_29.12.09" xfId="28725"/>
    <cellStyle name="_June_29.12.09 2" xfId="28726"/>
    <cellStyle name="_June_29.12.09 3" xfId="28727"/>
    <cellStyle name="_June_CONFIRMATION OF RMS 2009" xfId="28728"/>
    <cellStyle name="_June_CONFIRMATION OF RMS 2009 2" xfId="28729"/>
    <cellStyle name="_June_CONFIRMATION OF RMS 2009 3" xfId="28730"/>
    <cellStyle name="_June_CONFIRMATION OF RMS 2010" xfId="28731"/>
    <cellStyle name="_June_CONFIRMATION OF RMS 2010 2" xfId="28732"/>
    <cellStyle name="_June_CONFIRMATION OF RMS 2010 3" xfId="28733"/>
    <cellStyle name="_June_SANWA" xfId="629"/>
    <cellStyle name="_June_SANWA 2" xfId="630"/>
    <cellStyle name="_June_SANWA 2 2" xfId="28734"/>
    <cellStyle name="_June_SANWA 3" xfId="631"/>
    <cellStyle name="_June_SANWA 4" xfId="28735"/>
    <cellStyle name="_June_SANWA 5" xfId="28736"/>
    <cellStyle name="_June_SANWA 6" xfId="28737"/>
    <cellStyle name="_June_Sheet1" xfId="28738"/>
    <cellStyle name="_June_Sheet1 2" xfId="28739"/>
    <cellStyle name="_June_Sheet1 3" xfId="28740"/>
    <cellStyle name="_June_Sheet2" xfId="632"/>
    <cellStyle name="_June_Sheet2 2" xfId="633"/>
    <cellStyle name="_June_Sheet2 2 2" xfId="28741"/>
    <cellStyle name="_June_Sheet2 3" xfId="634"/>
    <cellStyle name="_June_Sheet2 4" xfId="28742"/>
    <cellStyle name="_June_Sheet2 5" xfId="28743"/>
    <cellStyle name="_June_Sheet2 6" xfId="28744"/>
    <cellStyle name="_June_SUMMARY OF SRM" xfId="635"/>
    <cellStyle name="_June_SUMMARY OF SRM 2" xfId="636"/>
    <cellStyle name="_June_SUMMARY OF SRM 2 2" xfId="28745"/>
    <cellStyle name="_June_SUMMARY OF SRM 3" xfId="637"/>
    <cellStyle name="_June_SUMMARY OF SRM 4" xfId="28746"/>
    <cellStyle name="_June_SUMMARY OF SRM 5" xfId="28747"/>
    <cellStyle name="_June_SUMMARY OF SRM 6" xfId="28748"/>
    <cellStyle name="_June_WEEKLY SHIPMENT REQUEST 02-OCT-09" xfId="28749"/>
    <cellStyle name="_June_WEEKLY SHIPMENT REQUEST 02-OCT-09 2" xfId="28750"/>
    <cellStyle name="_June_WEEKLY SHIPMENT REQUEST 02-OCT-09 3" xfId="28751"/>
    <cellStyle name="_June_WEEKLY SHIPMENT REQUEST 05-FEB-10" xfId="28752"/>
    <cellStyle name="_June_WEEKLY SHIPMENT REQUEST 05-FEB-10 2" xfId="28753"/>
    <cellStyle name="_June_WEEKLY SHIPMENT REQUEST 05-FEB-10 3" xfId="28754"/>
    <cellStyle name="_June_WEEKLY SHIPMENT REQUEST 06-NOV-09" xfId="28755"/>
    <cellStyle name="_June_WEEKLY SHIPMENT REQUEST 06-NOV-09 (2)" xfId="28756"/>
    <cellStyle name="_June_WEEKLY SHIPMENT REQUEST 06-NOV-09 (2) 2" xfId="28757"/>
    <cellStyle name="_June_WEEKLY SHIPMENT REQUEST 06-NOV-09 (2) 3" xfId="28758"/>
    <cellStyle name="_June_WEEKLY SHIPMENT REQUEST 06-NOV-09 10" xfId="28759"/>
    <cellStyle name="_June_WEEKLY SHIPMENT REQUEST 06-NOV-09 11" xfId="28760"/>
    <cellStyle name="_June_WEEKLY SHIPMENT REQUEST 06-NOV-09 2" xfId="28761"/>
    <cellStyle name="_June_WEEKLY SHIPMENT REQUEST 06-NOV-09 3" xfId="28762"/>
    <cellStyle name="_June_WEEKLY SHIPMENT REQUEST 06-NOV-09 4" xfId="28763"/>
    <cellStyle name="_June_WEEKLY SHIPMENT REQUEST 06-NOV-09 5" xfId="28764"/>
    <cellStyle name="_June_WEEKLY SHIPMENT REQUEST 06-NOV-09 6" xfId="28765"/>
    <cellStyle name="_June_WEEKLY SHIPMENT REQUEST 06-NOV-09 7" xfId="28766"/>
    <cellStyle name="_June_WEEKLY SHIPMENT REQUEST 06-NOV-09 8" xfId="28767"/>
    <cellStyle name="_June_WEEKLY SHIPMENT REQUEST 06-NOV-09 9" xfId="28768"/>
    <cellStyle name="_June_WEEKLY SHIPMENT REQUEST 08-JAN-10" xfId="28769"/>
    <cellStyle name="_June_WEEKLY SHIPMENT REQUEST 08-JAN-10 2" xfId="28770"/>
    <cellStyle name="_June_WEEKLY SHIPMENT REQUEST 08-JAN-10 3" xfId="28771"/>
    <cellStyle name="_June_WEEKLY SHIPMENT REQUEST 11-DEC-09 (2)" xfId="638"/>
    <cellStyle name="_June_WEEKLY SHIPMENT REQUEST 11-DEC-09 (2) 2" xfId="639"/>
    <cellStyle name="_June_WEEKLY SHIPMENT REQUEST 11-DEC-09 (2) 2 2" xfId="28772"/>
    <cellStyle name="_June_WEEKLY SHIPMENT REQUEST 11-DEC-09 (2) 3" xfId="640"/>
    <cellStyle name="_June_WEEKLY SHIPMENT REQUEST 11-DEC-09 (2) 4" xfId="28773"/>
    <cellStyle name="_June_WEEKLY SHIPMENT REQUEST 11-DEC-09 (2) 5" xfId="28774"/>
    <cellStyle name="_June_WEEKLY SHIPMENT REQUEST 11-DEC-09 (2) 6" xfId="28775"/>
    <cellStyle name="_June_WEEKLY SHIPMENT REQUEST 13-NOV-09" xfId="28776"/>
    <cellStyle name="_June_WEEKLY SHIPMENT REQUEST 13-NOV-09 2" xfId="28777"/>
    <cellStyle name="_June_WEEKLY SHIPMENT REQUEST 13-NOV-09 3" xfId="28778"/>
    <cellStyle name="_June_WEEKLY SHIPMENT REQUEST 15-JAN-10" xfId="28779"/>
    <cellStyle name="_June_WEEKLY SHIPMENT REQUEST 15-JAN-10 2" xfId="28780"/>
    <cellStyle name="_June_WEEKLY SHIPMENT REQUEST 15-JAN-10 3" xfId="28781"/>
    <cellStyle name="_June_WEEKLY SHIPMENT REQUEST 16-OCT-09" xfId="28782"/>
    <cellStyle name="_June_WEEKLY SHIPMENT REQUEST 16-OCT-09 2" xfId="28783"/>
    <cellStyle name="_June_WEEKLY SHIPMENT REQUEST 16-OCT-09 3" xfId="28784"/>
    <cellStyle name="_June_WEEKLY SHIPMENT REQUEST 18-SEPT-09" xfId="28785"/>
    <cellStyle name="_June_WEEKLY SHIPMENT REQUEST 18-SEPT-09 2" xfId="28786"/>
    <cellStyle name="_June_WEEKLY SHIPMENT REQUEST 18-SEPT-09 3" xfId="28787"/>
    <cellStyle name="_June_WEEKLY SHIPMENT REQUEST 22-JAN-2010" xfId="28788"/>
    <cellStyle name="_June_WEEKLY SHIPMENT REQUEST 22-JAN-2010 2" xfId="28789"/>
    <cellStyle name="_June_WEEKLY SHIPMENT REQUEST 22-JAN-2010 3" xfId="28790"/>
    <cellStyle name="_June_WEEKLY SHIPMENT REQUEST 25-SEPT-09" xfId="28791"/>
    <cellStyle name="_June_WEEKLY SHIPMENT REQUEST 25-SEPT-09 2" xfId="28792"/>
    <cellStyle name="_June_WEEKLY SHIPMENT REQUEST 25-SEPT-09 3" xfId="28793"/>
    <cellStyle name="_June_WEEKLY SHIPMENT REQUEST 29-JAN-10 (2)" xfId="28794"/>
    <cellStyle name="_June_WEEKLY SHIPMENT REQUEST 29-JAN-10 (2) 2" xfId="28795"/>
    <cellStyle name="_June_WEEKLY SHIPMENT REQUEST 29-JAN-10 (2) 3" xfId="28796"/>
    <cellStyle name="_June_WEEKLY SHIPMENT REQUEST 29-JAN-10 (2)_WEEKLY SHIPMENT REQUEST 29-JAN-10 (2)" xfId="28797"/>
    <cellStyle name="_June_WEEKLY SHIPMENT REQUEST 29-JAN-10 (2)_WEEKLY SHIPMENT REQUEST 29-JAN-10 (2) 2" xfId="28798"/>
    <cellStyle name="_June_WEEKLY SHIPMENT REQUEST 29-JAN-10 (2)_WEEKLY SHIPMENT REQUEST 29-JAN-10 (2) 3" xfId="28799"/>
    <cellStyle name="_June~Dec. Summary of Return" xfId="28800"/>
    <cellStyle name="_June~Dec. Summary of Return 2" xfId="28801"/>
    <cellStyle name="_June~Dec. Summary of Return 3" xfId="28802"/>
    <cellStyle name="_KKFU1277030" xfId="641"/>
    <cellStyle name="_KKFU1277030 2" xfId="642"/>
    <cellStyle name="_KKFU1277030 2 2" xfId="28803"/>
    <cellStyle name="_KKFU1277030 3" xfId="643"/>
    <cellStyle name="_KKFU1277030 4" xfId="28804"/>
    <cellStyle name="_KKFU1277030 5" xfId="28805"/>
    <cellStyle name="_KKFU1277030 6" xfId="28806"/>
    <cellStyle name="_LAGUNAMETTS" xfId="28807"/>
    <cellStyle name="_LAGUNAMETTS 2" xfId="28808"/>
    <cellStyle name="_LAGUNAMETTS 3" xfId="28809"/>
    <cellStyle name="_LIST 0478-C" xfId="644"/>
    <cellStyle name="_LIST 0478-C 2" xfId="645"/>
    <cellStyle name="_LIST 0478-C 2 2" xfId="28810"/>
    <cellStyle name="_LIST 0478-C 3" xfId="646"/>
    <cellStyle name="_LIST 0478-C 4" xfId="28811"/>
    <cellStyle name="_LIST 0478-C 5" xfId="28812"/>
    <cellStyle name="_LIST 0478-C 6" xfId="28813"/>
    <cellStyle name="_LIST 0478-C_09.04.10" xfId="28814"/>
    <cellStyle name="_LIST 0478-C_09.04.10 2" xfId="28815"/>
    <cellStyle name="_LIST 0478-C_09.04.10 3" xfId="28816"/>
    <cellStyle name="_LIST 0478-C_18.12.09" xfId="647"/>
    <cellStyle name="_LIST 0478-C_18.12.09 2" xfId="648"/>
    <cellStyle name="_LIST 0478-C_18.12.09 2 2" xfId="28817"/>
    <cellStyle name="_LIST 0478-C_18.12.09 3" xfId="649"/>
    <cellStyle name="_LIST 0478-C_18.12.09 4" xfId="28818"/>
    <cellStyle name="_LIST 0478-C_18.12.09 5" xfId="28819"/>
    <cellStyle name="_LIST 0478-C_18.12.09 6" xfId="28820"/>
    <cellStyle name="_LIST 0478-C_25-Dec-09" xfId="28821"/>
    <cellStyle name="_LIST 0478-C_25-Dec-09 2" xfId="28822"/>
    <cellStyle name="_LIST 0478-C_25-Dec-09 3" xfId="28823"/>
    <cellStyle name="_LIST 0478-C_29.12.09" xfId="28824"/>
    <cellStyle name="_LIST 0478-C_29.12.09 2" xfId="28825"/>
    <cellStyle name="_LIST 0478-C_29.12.09 3" xfId="28826"/>
    <cellStyle name="_LIST 0478-C_CONFIRMATION OF RMS 2009" xfId="28827"/>
    <cellStyle name="_LIST 0478-C_CONFIRMATION OF RMS 2009 2" xfId="28828"/>
    <cellStyle name="_LIST 0478-C_CONFIRMATION OF RMS 2009 3" xfId="28829"/>
    <cellStyle name="_LIST 0478-C_CONFIRMATION OF RMS 2010" xfId="28830"/>
    <cellStyle name="_LIST 0478-C_CONFIRMATION OF RMS 2010 2" xfId="28831"/>
    <cellStyle name="_LIST 0478-C_CONFIRMATION OF RMS 2010 3" xfId="28832"/>
    <cellStyle name="_LIST 0478-C_SANWA" xfId="650"/>
    <cellStyle name="_LIST 0478-C_SANWA 2" xfId="651"/>
    <cellStyle name="_LIST 0478-C_SANWA 2 2" xfId="28833"/>
    <cellStyle name="_LIST 0478-C_SANWA 3" xfId="652"/>
    <cellStyle name="_LIST 0478-C_SANWA 4" xfId="28834"/>
    <cellStyle name="_LIST 0478-C_SANWA 5" xfId="28835"/>
    <cellStyle name="_LIST 0478-C_SANWA 6" xfId="28836"/>
    <cellStyle name="_LIST 0478-C_Sheet1" xfId="28837"/>
    <cellStyle name="_LIST 0478-C_Sheet1 2" xfId="28838"/>
    <cellStyle name="_LIST 0478-C_Sheet1 3" xfId="28839"/>
    <cellStyle name="_LIST 0478-C_Sheet2" xfId="653"/>
    <cellStyle name="_LIST 0478-C_Sheet2 2" xfId="654"/>
    <cellStyle name="_LIST 0478-C_Sheet2 2 2" xfId="28840"/>
    <cellStyle name="_LIST 0478-C_Sheet2 3" xfId="655"/>
    <cellStyle name="_LIST 0478-C_Sheet2 4" xfId="28841"/>
    <cellStyle name="_LIST 0478-C_Sheet2 5" xfId="28842"/>
    <cellStyle name="_LIST 0478-C_Sheet2 6" xfId="28843"/>
    <cellStyle name="_LIST 0478-C_SUMMARY OF SRM" xfId="656"/>
    <cellStyle name="_LIST 0478-C_SUMMARY OF SRM 2" xfId="657"/>
    <cellStyle name="_LIST 0478-C_SUMMARY OF SRM 2 2" xfId="28844"/>
    <cellStyle name="_LIST 0478-C_SUMMARY OF SRM 3" xfId="658"/>
    <cellStyle name="_LIST 0478-C_SUMMARY OF SRM 4" xfId="28845"/>
    <cellStyle name="_LIST 0478-C_SUMMARY OF SRM 5" xfId="28846"/>
    <cellStyle name="_LIST 0478-C_SUMMARY OF SRM 6" xfId="28847"/>
    <cellStyle name="_LIST 0478-C_WEEKLY SHIPMENT REQUEST 02-OCT-09" xfId="28848"/>
    <cellStyle name="_LIST 0478-C_WEEKLY SHIPMENT REQUEST 02-OCT-09 2" xfId="28849"/>
    <cellStyle name="_LIST 0478-C_WEEKLY SHIPMENT REQUEST 02-OCT-09 3" xfId="28850"/>
    <cellStyle name="_LIST 0478-C_WEEKLY SHIPMENT REQUEST 05-FEB-10" xfId="28851"/>
    <cellStyle name="_LIST 0478-C_WEEKLY SHIPMENT REQUEST 05-FEB-10 2" xfId="28852"/>
    <cellStyle name="_LIST 0478-C_WEEKLY SHIPMENT REQUEST 05-FEB-10 3" xfId="28853"/>
    <cellStyle name="_LIST 0478-C_WEEKLY SHIPMENT REQUEST 06-NOV-09" xfId="28854"/>
    <cellStyle name="_LIST 0478-C_WEEKLY SHIPMENT REQUEST 06-NOV-09 (2)" xfId="28855"/>
    <cellStyle name="_LIST 0478-C_WEEKLY SHIPMENT REQUEST 06-NOV-09 (2) 2" xfId="28856"/>
    <cellStyle name="_LIST 0478-C_WEEKLY SHIPMENT REQUEST 06-NOV-09 (2) 3" xfId="28857"/>
    <cellStyle name="_LIST 0478-C_WEEKLY SHIPMENT REQUEST 06-NOV-09 10" xfId="28858"/>
    <cellStyle name="_LIST 0478-C_WEEKLY SHIPMENT REQUEST 06-NOV-09 11" xfId="28859"/>
    <cellStyle name="_LIST 0478-C_WEEKLY SHIPMENT REQUEST 06-NOV-09 2" xfId="28860"/>
    <cellStyle name="_LIST 0478-C_WEEKLY SHIPMENT REQUEST 06-NOV-09 3" xfId="28861"/>
    <cellStyle name="_LIST 0478-C_WEEKLY SHIPMENT REQUEST 06-NOV-09 4" xfId="28862"/>
    <cellStyle name="_LIST 0478-C_WEEKLY SHIPMENT REQUEST 06-NOV-09 5" xfId="28863"/>
    <cellStyle name="_LIST 0478-C_WEEKLY SHIPMENT REQUEST 06-NOV-09 6" xfId="28864"/>
    <cellStyle name="_LIST 0478-C_WEEKLY SHIPMENT REQUEST 06-NOV-09 7" xfId="28865"/>
    <cellStyle name="_LIST 0478-C_WEEKLY SHIPMENT REQUEST 06-NOV-09 8" xfId="28866"/>
    <cellStyle name="_LIST 0478-C_WEEKLY SHIPMENT REQUEST 06-NOV-09 9" xfId="28867"/>
    <cellStyle name="_LIST 0478-C_WEEKLY SHIPMENT REQUEST 08-JAN-10" xfId="28868"/>
    <cellStyle name="_LIST 0478-C_WEEKLY SHIPMENT REQUEST 08-JAN-10 2" xfId="28869"/>
    <cellStyle name="_LIST 0478-C_WEEKLY SHIPMENT REQUEST 08-JAN-10 3" xfId="28870"/>
    <cellStyle name="_LIST 0478-C_WEEKLY SHIPMENT REQUEST 11-DEC-09 (2)" xfId="659"/>
    <cellStyle name="_LIST 0478-C_WEEKLY SHIPMENT REQUEST 11-DEC-09 (2) 2" xfId="660"/>
    <cellStyle name="_LIST 0478-C_WEEKLY SHIPMENT REQUEST 11-DEC-09 (2) 2 2" xfId="28871"/>
    <cellStyle name="_LIST 0478-C_WEEKLY SHIPMENT REQUEST 11-DEC-09 (2) 3" xfId="661"/>
    <cellStyle name="_LIST 0478-C_WEEKLY SHIPMENT REQUEST 11-DEC-09 (2) 4" xfId="28872"/>
    <cellStyle name="_LIST 0478-C_WEEKLY SHIPMENT REQUEST 11-DEC-09 (2) 5" xfId="28873"/>
    <cellStyle name="_LIST 0478-C_WEEKLY SHIPMENT REQUEST 11-DEC-09 (2) 6" xfId="28874"/>
    <cellStyle name="_LIST 0478-C_WEEKLY SHIPMENT REQUEST 13-NOV-09" xfId="28875"/>
    <cellStyle name="_LIST 0478-C_WEEKLY SHIPMENT REQUEST 13-NOV-09 2" xfId="28876"/>
    <cellStyle name="_LIST 0478-C_WEEKLY SHIPMENT REQUEST 13-NOV-09 3" xfId="28877"/>
    <cellStyle name="_LIST 0478-C_WEEKLY SHIPMENT REQUEST 15-JAN-10" xfId="28878"/>
    <cellStyle name="_LIST 0478-C_WEEKLY SHIPMENT REQUEST 15-JAN-10 2" xfId="28879"/>
    <cellStyle name="_LIST 0478-C_WEEKLY SHIPMENT REQUEST 15-JAN-10 3" xfId="28880"/>
    <cellStyle name="_LIST 0478-C_WEEKLY SHIPMENT REQUEST 16-OCT-09" xfId="28881"/>
    <cellStyle name="_LIST 0478-C_WEEKLY SHIPMENT REQUEST 16-OCT-09 2" xfId="28882"/>
    <cellStyle name="_LIST 0478-C_WEEKLY SHIPMENT REQUEST 16-OCT-09 3" xfId="28883"/>
    <cellStyle name="_LIST 0478-C_WEEKLY SHIPMENT REQUEST 18-SEPT-09" xfId="28884"/>
    <cellStyle name="_LIST 0478-C_WEEKLY SHIPMENT REQUEST 18-SEPT-09 2" xfId="28885"/>
    <cellStyle name="_LIST 0478-C_WEEKLY SHIPMENT REQUEST 18-SEPT-09 3" xfId="28886"/>
    <cellStyle name="_LIST 0478-C_WEEKLY SHIPMENT REQUEST 22-JAN-2010" xfId="28887"/>
    <cellStyle name="_LIST 0478-C_WEEKLY SHIPMENT REQUEST 22-JAN-2010 2" xfId="28888"/>
    <cellStyle name="_LIST 0478-C_WEEKLY SHIPMENT REQUEST 22-JAN-2010 3" xfId="28889"/>
    <cellStyle name="_LIST 0478-C_WEEKLY SHIPMENT REQUEST 25-SEPT-09" xfId="28890"/>
    <cellStyle name="_LIST 0478-C_WEEKLY SHIPMENT REQUEST 25-SEPT-09 2" xfId="28891"/>
    <cellStyle name="_LIST 0478-C_WEEKLY SHIPMENT REQUEST 25-SEPT-09 3" xfId="28892"/>
    <cellStyle name="_LIST 0478-C_WEEKLY SHIPMENT REQUEST 29-JAN-10 (2)" xfId="28893"/>
    <cellStyle name="_LIST 0478-C_WEEKLY SHIPMENT REQUEST 29-JAN-10 (2) 2" xfId="28894"/>
    <cellStyle name="_LIST 0478-C_WEEKLY SHIPMENT REQUEST 29-JAN-10 (2) 3" xfId="28895"/>
    <cellStyle name="_LIST 0478-C_WEEKLY SHIPMENT REQUEST 29-JAN-10 (2)_WEEKLY SHIPMENT REQUEST 29-JAN-10 (2)" xfId="28896"/>
    <cellStyle name="_LIST 0478-C_WEEKLY SHIPMENT REQUEST 29-JAN-10 (2)_WEEKLY SHIPMENT REQUEST 29-JAN-10 (2) 2" xfId="28897"/>
    <cellStyle name="_LIST 0478-C_WEEKLY SHIPMENT REQUEST 29-JAN-10 (2)_WEEKLY SHIPMENT REQUEST 29-JAN-10 (2) 3" xfId="28898"/>
    <cellStyle name="_LIST 0627-A" xfId="662"/>
    <cellStyle name="_LIST 0627-A 2" xfId="663"/>
    <cellStyle name="_LIST 0627-A 2 2" xfId="28899"/>
    <cellStyle name="_LIST 0627-A 3" xfId="664"/>
    <cellStyle name="_LIST 0627-A 4" xfId="28900"/>
    <cellStyle name="_LIST 0627-A 5" xfId="28901"/>
    <cellStyle name="_LIST 0627-A 6" xfId="28902"/>
    <cellStyle name="_LIST 0627-B" xfId="665"/>
    <cellStyle name="_LIST 0627-B 2" xfId="666"/>
    <cellStyle name="_LIST 0627-B 2 2" xfId="28903"/>
    <cellStyle name="_LIST 0627-B 3" xfId="667"/>
    <cellStyle name="_LIST 0627-B 4" xfId="28904"/>
    <cellStyle name="_LIST 0627-B 5" xfId="28905"/>
    <cellStyle name="_LIST 0627-B 6" xfId="28906"/>
    <cellStyle name="_LIST 0638-B" xfId="668"/>
    <cellStyle name="_LIST 0638-B 2" xfId="669"/>
    <cellStyle name="_LIST 0638-B 2 2" xfId="28907"/>
    <cellStyle name="_LIST 0638-B 3" xfId="670"/>
    <cellStyle name="_LIST 0638-B 4" xfId="28908"/>
    <cellStyle name="_LIST 0638-B 5" xfId="28909"/>
    <cellStyle name="_LIST 0638-B 6" xfId="28910"/>
    <cellStyle name="_LIST 0698-A" xfId="671"/>
    <cellStyle name="_LIST 0698-A 2" xfId="672"/>
    <cellStyle name="_LIST 0698-A 2 2" xfId="28911"/>
    <cellStyle name="_LIST 0698-A 3" xfId="673"/>
    <cellStyle name="_LIST 0698-A 4" xfId="28912"/>
    <cellStyle name="_LIST 0698-A 5" xfId="28913"/>
    <cellStyle name="_LIST 0698-A 6" xfId="28914"/>
    <cellStyle name="_LIST 0698-B" xfId="674"/>
    <cellStyle name="_LIST 0698-B 2" xfId="675"/>
    <cellStyle name="_LIST 0698-B 2 2" xfId="28915"/>
    <cellStyle name="_LIST 0698-B 3" xfId="676"/>
    <cellStyle name="_LIST 0698-B 4" xfId="28916"/>
    <cellStyle name="_LIST 0698-B 5" xfId="28917"/>
    <cellStyle name="_LIST 0698-B 6" xfId="28918"/>
    <cellStyle name="_LIST 0859-B" xfId="677"/>
    <cellStyle name="_LIST 0859-B 2" xfId="678"/>
    <cellStyle name="_LIST 0859-B 3" xfId="679"/>
    <cellStyle name="_LIST 0859-B 4" xfId="28919"/>
    <cellStyle name="_LIST 0859-B 5" xfId="28920"/>
    <cellStyle name="_May 2009 Forecast" xfId="680"/>
    <cellStyle name="_May 2009 Forecast 2" xfId="681"/>
    <cellStyle name="_May 2009 Forecast 2 2" xfId="28921"/>
    <cellStyle name="_May 2009 Forecast 3" xfId="682"/>
    <cellStyle name="_May 2009 Forecast 4" xfId="28922"/>
    <cellStyle name="_May 2009 Forecast 5" xfId="28923"/>
    <cellStyle name="_May 2009 Forecast 6" xfId="28924"/>
    <cellStyle name="_May 2009 Forecast_SANWA" xfId="683"/>
    <cellStyle name="_May 2009 Forecast_SANWA 2" xfId="684"/>
    <cellStyle name="_May 2009 Forecast_SANWA 2 2" xfId="28925"/>
    <cellStyle name="_May 2009 Forecast_SANWA 3" xfId="685"/>
    <cellStyle name="_May 2009 Forecast_SANWA 4" xfId="28926"/>
    <cellStyle name="_May 2009 Forecast_SANWA 5" xfId="28927"/>
    <cellStyle name="_May 2009 Forecast_SANWA 6" xfId="28928"/>
    <cellStyle name="_MINGHONG" xfId="28929"/>
    <cellStyle name="_MINGHONG 2" xfId="28930"/>
    <cellStyle name="_MINGHONG 3" xfId="28931"/>
    <cellStyle name="_NEW I T E M   M A S T E R" xfId="686"/>
    <cellStyle name="_NEW I T E M   M A S T E R 2" xfId="687"/>
    <cellStyle name="_NEW I T E M   M A S T E R 2 2" xfId="28932"/>
    <cellStyle name="_NEW I T E M   M A S T E R 3" xfId="688"/>
    <cellStyle name="_NEW I T E M   M A S T E R 4" xfId="28933"/>
    <cellStyle name="_NEW I T E M   M A S T E R 5" xfId="28934"/>
    <cellStyle name="_NEW I T E M   M A S T E R 6" xfId="28935"/>
    <cellStyle name="_NEW I T E M   M A S T E R_09.04.10" xfId="28936"/>
    <cellStyle name="_NEW I T E M   M A S T E R_09.04.10 2" xfId="28937"/>
    <cellStyle name="_NEW I T E M   M A S T E R_09.04.10 3" xfId="28938"/>
    <cellStyle name="_NEW I T E M   M A S T E R_18.12.09" xfId="689"/>
    <cellStyle name="_NEW I T E M   M A S T E R_18.12.09 2" xfId="690"/>
    <cellStyle name="_NEW I T E M   M A S T E R_18.12.09 2 2" xfId="28939"/>
    <cellStyle name="_NEW I T E M   M A S T E R_18.12.09 3" xfId="691"/>
    <cellStyle name="_NEW I T E M   M A S T E R_18.12.09 4" xfId="28940"/>
    <cellStyle name="_NEW I T E M   M A S T E R_18.12.09 5" xfId="28941"/>
    <cellStyle name="_NEW I T E M   M A S T E R_18.12.09 6" xfId="28942"/>
    <cellStyle name="_NEW I T E M   M A S T E R_25-Dec-09" xfId="28943"/>
    <cellStyle name="_NEW I T E M   M A S T E R_25-Dec-09 2" xfId="28944"/>
    <cellStyle name="_NEW I T E M   M A S T E R_25-Dec-09 3" xfId="28945"/>
    <cellStyle name="_NEW I T E M   M A S T E R_29.12.09" xfId="28946"/>
    <cellStyle name="_NEW I T E M   M A S T E R_29.12.09 2" xfId="28947"/>
    <cellStyle name="_NEW I T E M   M A S T E R_29.12.09 3" xfId="28948"/>
    <cellStyle name="_NEW I T E M   M A S T E R_Book3" xfId="28949"/>
    <cellStyle name="_NEW I T E M   M A S T E R_Book3 2" xfId="28950"/>
    <cellStyle name="_NEW I T E M   M A S T E R_Book3 3" xfId="28951"/>
    <cellStyle name="_NEW I T E M   M A S T E R_CONFIRMATION OF RMS 2009" xfId="28952"/>
    <cellStyle name="_NEW I T E M   M A S T E R_CONFIRMATION OF RMS 2009 2" xfId="28953"/>
    <cellStyle name="_NEW I T E M   M A S T E R_CONFIRMATION OF RMS 2009 3" xfId="28954"/>
    <cellStyle name="_NEW I T E M   M A S T E R_CONFIRMATION OF RMS 2010" xfId="28955"/>
    <cellStyle name="_NEW I T E M   M A S T E R_CONFIRMATION OF RMS 2010 2" xfId="28956"/>
    <cellStyle name="_NEW I T E M   M A S T E R_CONFIRMATION OF RMS 2010 3" xfId="28957"/>
    <cellStyle name="_NEW I T E M   M A S T E R_DEC. RETURN 2009" xfId="28958"/>
    <cellStyle name="_NEW I T E M   M A S T E R_DEC. RETURN 2009 2" xfId="28959"/>
    <cellStyle name="_NEW I T E M   M A S T E R_DEC. RETURN 2009 3" xfId="28960"/>
    <cellStyle name="_NEW I T E M   M A S T E R_December Summary" xfId="692"/>
    <cellStyle name="_NEW I T E M   M A S T E R_DETAILED LME 2009" xfId="28961"/>
    <cellStyle name="_NEW I T E M   M A S T E R_DETAILED LME 2009 2" xfId="28962"/>
    <cellStyle name="_NEW I T E M   M A S T E R_DETAILED LME 2009 3" xfId="28963"/>
    <cellStyle name="_NEW I T E M   M A S T E R_Disposal Report (as of November 2009)" xfId="693"/>
    <cellStyle name="_NEW I T E M   M A S T E R_Disposal Report (as of September 2009)" xfId="694"/>
    <cellStyle name="_NEW I T E M   M A S T E R_Disposal Report 2010" xfId="695"/>
    <cellStyle name="_NEW I T E M   M A S T E R_DWR APRIL UPDATED" xfId="696"/>
    <cellStyle name="_NEW I T E M   M A S T E R_DWR MARCH (UPDATED)" xfId="697"/>
    <cellStyle name="_NEW I T E M   M A S T E R_February Summary" xfId="698"/>
    <cellStyle name="_NEW I T E M   M A S T E R_January Summary" xfId="699"/>
    <cellStyle name="_NEW I T E M   M A S T E R_JULY SUMMARY" xfId="700"/>
    <cellStyle name="_NEW I T E M   M A S T E R_NOV. RETURN 2009 2.0" xfId="28964"/>
    <cellStyle name="_NEW I T E M   M A S T E R_NOV. RETURN 2009 2.0 2" xfId="28965"/>
    <cellStyle name="_NEW I T E M   M A S T E R_NOV. RETURN 2009 2.0 3" xfId="28966"/>
    <cellStyle name="_NEW I T E M   M A S T E R_November Summary" xfId="701"/>
    <cellStyle name="_NEW I T E M   M A S T E R_OCT 30" xfId="702"/>
    <cellStyle name="_NEW I T E M   M A S T E R_OCT 30 2" xfId="703"/>
    <cellStyle name="_NEW I T E M   M A S T E R_OCT 30 2 2" xfId="28967"/>
    <cellStyle name="_NEW I T E M   M A S T E R_OCT 30 3" xfId="704"/>
    <cellStyle name="_NEW I T E M   M A S T E R_OCT 30 4" xfId="28968"/>
    <cellStyle name="_NEW I T E M   M A S T E R_OCT 30 5" xfId="28969"/>
    <cellStyle name="_NEW I T E M   M A S T E R_OCT 30 6" xfId="28970"/>
    <cellStyle name="_NEW I T E M   M A S T E R_OCT 30_09.04.10" xfId="28971"/>
    <cellStyle name="_NEW I T E M   M A S T E R_OCT 30_09.04.10 2" xfId="28972"/>
    <cellStyle name="_NEW I T E M   M A S T E R_OCT 30_09.04.10 3" xfId="28973"/>
    <cellStyle name="_NEW I T E M   M A S T E R_OCT 30_29.12.09" xfId="28974"/>
    <cellStyle name="_NEW I T E M   M A S T E R_OCT 30_29.12.09 2" xfId="28975"/>
    <cellStyle name="_NEW I T E M   M A S T E R_OCT 30_29.12.09 3" xfId="28976"/>
    <cellStyle name="_NEW I T E M   M A S T E R_OCT 30_CONFIRMATION OF RMS 2009" xfId="28977"/>
    <cellStyle name="_NEW I T E M   M A S T E R_OCT 30_CONFIRMATION OF RMS 2009 2" xfId="28978"/>
    <cellStyle name="_NEW I T E M   M A S T E R_OCT 30_CONFIRMATION OF RMS 2009 3" xfId="28979"/>
    <cellStyle name="_NEW I T E M   M A S T E R_OCT 30_CONFIRMATION OF RMS 2010" xfId="28980"/>
    <cellStyle name="_NEW I T E M   M A S T E R_OCT 30_CONFIRMATION OF RMS 2010 2" xfId="28981"/>
    <cellStyle name="_NEW I T E M   M A S T E R_OCT 30_CONFIRMATION OF RMS 2010 3" xfId="28982"/>
    <cellStyle name="_NEW I T E M   M A S T E R_OCT 30_Sheet1" xfId="28983"/>
    <cellStyle name="_NEW I T E M   M A S T E R_OCT 30_Sheet1 2" xfId="28984"/>
    <cellStyle name="_NEW I T E M   M A S T E R_OCT 30_Sheet1 3" xfId="28985"/>
    <cellStyle name="_NEW I T E M   M A S T E R_OCT 30_SUMMARY OF SRM" xfId="705"/>
    <cellStyle name="_NEW I T E M   M A S T E R_OCT 30_SUMMARY OF SRM 2" xfId="706"/>
    <cellStyle name="_NEW I T E M   M A S T E R_OCT 30_SUMMARY OF SRM 2 2" xfId="28986"/>
    <cellStyle name="_NEW I T E M   M A S T E R_OCT 30_SUMMARY OF SRM 3" xfId="707"/>
    <cellStyle name="_NEW I T E M   M A S T E R_OCT 30_SUMMARY OF SRM 4" xfId="28987"/>
    <cellStyle name="_NEW I T E M   M A S T E R_OCT 30_SUMMARY OF SRM 5" xfId="28988"/>
    <cellStyle name="_NEW I T E M   M A S T E R_OCT 30_SUMMARY OF SRM 6" xfId="28989"/>
    <cellStyle name="_NEW I T E M   M A S T E R_OVER-ALL EFFIENCY" xfId="708"/>
    <cellStyle name="_NEW I T E M   M A S T E R_OVER-ALL EFFIENCY (JUNE) UPDATED" xfId="709"/>
    <cellStyle name="_NEW I T E M   M A S T E R_SANWA" xfId="710"/>
    <cellStyle name="_NEW I T E M   M A S T E R_SANWA 2" xfId="711"/>
    <cellStyle name="_NEW I T E M   M A S T E R_SANWA 2 2" xfId="28990"/>
    <cellStyle name="_NEW I T E M   M A S T E R_SANWA 3" xfId="712"/>
    <cellStyle name="_NEW I T E M   M A S T E R_SANWA 4" xfId="28991"/>
    <cellStyle name="_NEW I T E M   M A S T E R_SANWA 5" xfId="28992"/>
    <cellStyle name="_NEW I T E M   M A S T E R_SANWA 6" xfId="28993"/>
    <cellStyle name="_NEW I T E M   M A S T E R_Sheet1" xfId="28994"/>
    <cellStyle name="_NEW I T E M   M A S T E R_Sheet1 2" xfId="28995"/>
    <cellStyle name="_NEW I T E M   M A S T E R_Sheet1 3" xfId="28996"/>
    <cellStyle name="_NEW I T E M   M A S T E R_Sheet2" xfId="713"/>
    <cellStyle name="_NEW I T E M   M A S T E R_Sheet2 2" xfId="714"/>
    <cellStyle name="_NEW I T E M   M A S T E R_Sheet2 2 2" xfId="28997"/>
    <cellStyle name="_NEW I T E M   M A S T E R_Sheet2 3" xfId="715"/>
    <cellStyle name="_NEW I T E M   M A S T E R_Sheet2 4" xfId="28998"/>
    <cellStyle name="_NEW I T E M   M A S T E R_Sheet2 5" xfId="28999"/>
    <cellStyle name="_NEW I T E M   M A S T E R_Sheet2 6" xfId="29000"/>
    <cellStyle name="_NEW I T E M   M A S T E R_SUMMARY OF SRM" xfId="716"/>
    <cellStyle name="_NEW I T E M   M A S T E R_SUMMARY OF SRM 2" xfId="717"/>
    <cellStyle name="_NEW I T E M   M A S T E R_SUMMARY OF SRM 2 2" xfId="29001"/>
    <cellStyle name="_NEW I T E M   M A S T E R_SUMMARY OF SRM 3" xfId="718"/>
    <cellStyle name="_NEW I T E M   M A S T E R_SUMMARY OF SRM 4" xfId="29002"/>
    <cellStyle name="_NEW I T E M   M A S T E R_SUMMARY OF SRM 5" xfId="29003"/>
    <cellStyle name="_NEW I T E M   M A S T E R_SUMMARY OF SRM 6" xfId="29004"/>
    <cellStyle name="_NEW I T E M   M A S T E R_WEEKLY MATERIAL TRAVEL SHEET" xfId="719"/>
    <cellStyle name="_NEW I T E M   M A S T E R_WEEKLY MATERIAL TRAVEL SHEET 2" xfId="720"/>
    <cellStyle name="_NEW I T E M   M A S T E R_WEEKLY MATERIAL TRAVEL SHEET 2 2" xfId="29005"/>
    <cellStyle name="_NEW I T E M   M A S T E R_WEEKLY MATERIAL TRAVEL SHEET 3" xfId="721"/>
    <cellStyle name="_NEW I T E M   M A S T E R_WEEKLY MATERIAL TRAVEL SHEET 4" xfId="29006"/>
    <cellStyle name="_NEW I T E M   M A S T E R_WEEKLY MATERIAL TRAVEL SHEET 5" xfId="29007"/>
    <cellStyle name="_NEW I T E M   M A S T E R_WEEKLY MATERIAL TRAVEL SHEET 6" xfId="29008"/>
    <cellStyle name="_NEW I T E M   M A S T E R_WEEKLY MATERIAL TRAVEL SHEET_09.04.10" xfId="29009"/>
    <cellStyle name="_NEW I T E M   M A S T E R_WEEKLY MATERIAL TRAVEL SHEET_09.04.10 2" xfId="29010"/>
    <cellStyle name="_NEW I T E M   M A S T E R_WEEKLY MATERIAL TRAVEL SHEET_09.04.10 3" xfId="29011"/>
    <cellStyle name="_NEW I T E M   M A S T E R_WEEKLY MATERIAL TRAVEL SHEET_29.12.09" xfId="29012"/>
    <cellStyle name="_NEW I T E M   M A S T E R_WEEKLY MATERIAL TRAVEL SHEET_29.12.09 2" xfId="29013"/>
    <cellStyle name="_NEW I T E M   M A S T E R_WEEKLY MATERIAL TRAVEL SHEET_29.12.09 3" xfId="29014"/>
    <cellStyle name="_NEW I T E M   M A S T E R_WEEKLY MATERIAL TRAVEL SHEET_CONFIRMATION OF RMS 2009" xfId="29015"/>
    <cellStyle name="_NEW I T E M   M A S T E R_WEEKLY MATERIAL TRAVEL SHEET_CONFIRMATION OF RMS 2009 2" xfId="29016"/>
    <cellStyle name="_NEW I T E M   M A S T E R_WEEKLY MATERIAL TRAVEL SHEET_CONFIRMATION OF RMS 2009 3" xfId="29017"/>
    <cellStyle name="_NEW I T E M   M A S T E R_WEEKLY MATERIAL TRAVEL SHEET_CONFIRMATION OF RMS 2010" xfId="29018"/>
    <cellStyle name="_NEW I T E M   M A S T E R_WEEKLY MATERIAL TRAVEL SHEET_CONFIRMATION OF RMS 2010 2" xfId="29019"/>
    <cellStyle name="_NEW I T E M   M A S T E R_WEEKLY MATERIAL TRAVEL SHEET_CONFIRMATION OF RMS 2010 3" xfId="29020"/>
    <cellStyle name="_NEW I T E M   M A S T E R_WEEKLY MATERIAL TRAVEL SHEET_Sheet1" xfId="29021"/>
    <cellStyle name="_NEW I T E M   M A S T E R_WEEKLY MATERIAL TRAVEL SHEET_Sheet1 2" xfId="29022"/>
    <cellStyle name="_NEW I T E M   M A S T E R_WEEKLY MATERIAL TRAVEL SHEET_Sheet1 3" xfId="29023"/>
    <cellStyle name="_NEW I T E M   M A S T E R_WEEKLY MATERIAL TRAVEL SHEET_SUMMARY OF SRM" xfId="722"/>
    <cellStyle name="_NEW I T E M   M A S T E R_WEEKLY MATERIAL TRAVEL SHEET_SUMMARY OF SRM 2" xfId="723"/>
    <cellStyle name="_NEW I T E M   M A S T E R_WEEKLY MATERIAL TRAVEL SHEET_SUMMARY OF SRM 2 2" xfId="29024"/>
    <cellStyle name="_NEW I T E M   M A S T E R_WEEKLY MATERIAL TRAVEL SHEET_SUMMARY OF SRM 3" xfId="724"/>
    <cellStyle name="_NEW I T E M   M A S T E R_WEEKLY MATERIAL TRAVEL SHEET_SUMMARY OF SRM 4" xfId="29025"/>
    <cellStyle name="_NEW I T E M   M A S T E R_WEEKLY MATERIAL TRAVEL SHEET_SUMMARY OF SRM 5" xfId="29026"/>
    <cellStyle name="_NEW I T E M   M A S T E R_WEEKLY MATERIAL TRAVEL SHEET_SUMMARY OF SRM 6" xfId="29027"/>
    <cellStyle name="_NEW I T E M   M A S T E R_WEEKLY SHIPMENT REQUEST 02-OCT-09" xfId="29028"/>
    <cellStyle name="_NEW I T E M   M A S T E R_WEEKLY SHIPMENT REQUEST 02-OCT-09 2" xfId="29029"/>
    <cellStyle name="_NEW I T E M   M A S T E R_WEEKLY SHIPMENT REQUEST 02-OCT-09 3" xfId="29030"/>
    <cellStyle name="_NEW I T E M   M A S T E R_WEEKLY SHIPMENT REQUEST 05-FEB-10" xfId="29031"/>
    <cellStyle name="_NEW I T E M   M A S T E R_WEEKLY SHIPMENT REQUEST 05-FEB-10 2" xfId="29032"/>
    <cellStyle name="_NEW I T E M   M A S T E R_WEEKLY SHIPMENT REQUEST 05-FEB-10 3" xfId="29033"/>
    <cellStyle name="_NEW I T E M   M A S T E R_WEEKLY SHIPMENT REQUEST 06-NOV-09" xfId="29034"/>
    <cellStyle name="_NEW I T E M   M A S T E R_WEEKLY SHIPMENT REQUEST 06-NOV-09 (2)" xfId="29035"/>
    <cellStyle name="_NEW I T E M   M A S T E R_WEEKLY SHIPMENT REQUEST 06-NOV-09 (2) 2" xfId="29036"/>
    <cellStyle name="_NEW I T E M   M A S T E R_WEEKLY SHIPMENT REQUEST 06-NOV-09 (2) 3" xfId="29037"/>
    <cellStyle name="_NEW I T E M   M A S T E R_WEEKLY SHIPMENT REQUEST 06-NOV-09 10" xfId="29038"/>
    <cellStyle name="_NEW I T E M   M A S T E R_WEEKLY SHIPMENT REQUEST 06-NOV-09 11" xfId="29039"/>
    <cellStyle name="_NEW I T E M   M A S T E R_WEEKLY SHIPMENT REQUEST 06-NOV-09 2" xfId="29040"/>
    <cellStyle name="_NEW I T E M   M A S T E R_WEEKLY SHIPMENT REQUEST 06-NOV-09 3" xfId="29041"/>
    <cellStyle name="_NEW I T E M   M A S T E R_WEEKLY SHIPMENT REQUEST 06-NOV-09 4" xfId="29042"/>
    <cellStyle name="_NEW I T E M   M A S T E R_WEEKLY SHIPMENT REQUEST 06-NOV-09 5" xfId="29043"/>
    <cellStyle name="_NEW I T E M   M A S T E R_WEEKLY SHIPMENT REQUEST 06-NOV-09 6" xfId="29044"/>
    <cellStyle name="_NEW I T E M   M A S T E R_WEEKLY SHIPMENT REQUEST 06-NOV-09 7" xfId="29045"/>
    <cellStyle name="_NEW I T E M   M A S T E R_WEEKLY SHIPMENT REQUEST 06-NOV-09 8" xfId="29046"/>
    <cellStyle name="_NEW I T E M   M A S T E R_WEEKLY SHIPMENT REQUEST 06-NOV-09 9" xfId="29047"/>
    <cellStyle name="_NEW I T E M   M A S T E R_WEEKLY SHIPMENT REQUEST 08-JAN-10" xfId="29048"/>
    <cellStyle name="_NEW I T E M   M A S T E R_WEEKLY SHIPMENT REQUEST 08-JAN-10 2" xfId="29049"/>
    <cellStyle name="_NEW I T E M   M A S T E R_WEEKLY SHIPMENT REQUEST 08-JAN-10 3" xfId="29050"/>
    <cellStyle name="_NEW I T E M   M A S T E R_WEEKLY SHIPMENT REQUEST 11-DEC-09 (2)" xfId="725"/>
    <cellStyle name="_NEW I T E M   M A S T E R_WEEKLY SHIPMENT REQUEST 11-DEC-09 (2) 2" xfId="726"/>
    <cellStyle name="_NEW I T E M   M A S T E R_WEEKLY SHIPMENT REQUEST 11-DEC-09 (2) 2 2" xfId="29051"/>
    <cellStyle name="_NEW I T E M   M A S T E R_WEEKLY SHIPMENT REQUEST 11-DEC-09 (2) 3" xfId="727"/>
    <cellStyle name="_NEW I T E M   M A S T E R_WEEKLY SHIPMENT REQUEST 11-DEC-09 (2) 4" xfId="29052"/>
    <cellStyle name="_NEW I T E M   M A S T E R_WEEKLY SHIPMENT REQUEST 11-DEC-09 (2) 5" xfId="29053"/>
    <cellStyle name="_NEW I T E M   M A S T E R_WEEKLY SHIPMENT REQUEST 11-DEC-09 (2) 6" xfId="29054"/>
    <cellStyle name="_NEW I T E M   M A S T E R_WEEKLY SHIPMENT REQUEST 13-NOV-09" xfId="29055"/>
    <cellStyle name="_NEW I T E M   M A S T E R_WEEKLY SHIPMENT REQUEST 13-NOV-09 2" xfId="29056"/>
    <cellStyle name="_NEW I T E M   M A S T E R_WEEKLY SHIPMENT REQUEST 13-NOV-09 3" xfId="29057"/>
    <cellStyle name="_NEW I T E M   M A S T E R_WEEKLY SHIPMENT REQUEST 15-JAN-10" xfId="29058"/>
    <cellStyle name="_NEW I T E M   M A S T E R_WEEKLY SHIPMENT REQUEST 15-JAN-10 2" xfId="29059"/>
    <cellStyle name="_NEW I T E M   M A S T E R_WEEKLY SHIPMENT REQUEST 15-JAN-10 3" xfId="29060"/>
    <cellStyle name="_NEW I T E M   M A S T E R_WEEKLY SHIPMENT REQUEST 16-OCT-09" xfId="29061"/>
    <cellStyle name="_NEW I T E M   M A S T E R_WEEKLY SHIPMENT REQUEST 16-OCT-09 2" xfId="29062"/>
    <cellStyle name="_NEW I T E M   M A S T E R_WEEKLY SHIPMENT REQUEST 16-OCT-09 3" xfId="29063"/>
    <cellStyle name="_NEW I T E M   M A S T E R_WEEKLY SHIPMENT REQUEST 18-SEPT-09" xfId="29064"/>
    <cellStyle name="_NEW I T E M   M A S T E R_WEEKLY SHIPMENT REQUEST 18-SEPT-09 2" xfId="29065"/>
    <cellStyle name="_NEW I T E M   M A S T E R_WEEKLY SHIPMENT REQUEST 18-SEPT-09 3" xfId="29066"/>
    <cellStyle name="_NEW I T E M   M A S T E R_WEEKLY SHIPMENT REQUEST 22-JAN-2010" xfId="29067"/>
    <cellStyle name="_NEW I T E M   M A S T E R_WEEKLY SHIPMENT REQUEST 22-JAN-2010 2" xfId="29068"/>
    <cellStyle name="_NEW I T E M   M A S T E R_WEEKLY SHIPMENT REQUEST 22-JAN-2010 3" xfId="29069"/>
    <cellStyle name="_NEW I T E M   M A S T E R_WEEKLY SHIPMENT REQUEST 25-SEPT-09" xfId="29070"/>
    <cellStyle name="_NEW I T E M   M A S T E R_WEEKLY SHIPMENT REQUEST 25-SEPT-09 2" xfId="29071"/>
    <cellStyle name="_NEW I T E M   M A S T E R_WEEKLY SHIPMENT REQUEST 25-SEPT-09 3" xfId="29072"/>
    <cellStyle name="_NEW I T E M   M A S T E R_WEEKLY SHIPMENT REQUEST 29-JAN-10 (2)" xfId="29073"/>
    <cellStyle name="_NEW I T E M   M A S T E R_WEEKLY SHIPMENT REQUEST 29-JAN-10 (2) 2" xfId="29074"/>
    <cellStyle name="_NEW I T E M   M A S T E R_WEEKLY SHIPMENT REQUEST 29-JAN-10 (2) 3" xfId="29075"/>
    <cellStyle name="_NEW I T E M   M A S T E R_WEEKLY SHIPMENT REQUEST 29-JAN-10 (2)_WEEKLY SHIPMENT REQUEST 29-JAN-10 (2)" xfId="29076"/>
    <cellStyle name="_NEW I T E M   M A S T E R_WEEKLY SHIPMENT REQUEST 29-JAN-10 (2)_WEEKLY SHIPMENT REQUEST 29-JAN-10 (2) 2" xfId="29077"/>
    <cellStyle name="_NEW I T E M   M A S T E R_WEEKLY SHIPMENT REQUEST 29-JAN-10 (2)_WEEKLY SHIPMENT REQUEST 29-JAN-10 (2) 3" xfId="29078"/>
    <cellStyle name="_NOV. RETURN 2009 2.0" xfId="29079"/>
    <cellStyle name="_NOV. RETURN 2009 2.0 2" xfId="29080"/>
    <cellStyle name="_NOV. RETURN 2009 2.0 3" xfId="29081"/>
    <cellStyle name="_November Summary" xfId="728"/>
    <cellStyle name="_OCT 30" xfId="729"/>
    <cellStyle name="_OCT 30 2" xfId="730"/>
    <cellStyle name="_OCT 30 2 2" xfId="29082"/>
    <cellStyle name="_OCT 30 3" xfId="731"/>
    <cellStyle name="_OCT 30 4" xfId="29083"/>
    <cellStyle name="_OCT 30 5" xfId="29084"/>
    <cellStyle name="_OCT 30 6" xfId="29085"/>
    <cellStyle name="_OCT 30_09.04.10" xfId="29086"/>
    <cellStyle name="_OCT 30_09.04.10 2" xfId="29087"/>
    <cellStyle name="_OCT 30_09.04.10 3" xfId="29088"/>
    <cellStyle name="_OCT 30_29.12.09" xfId="29089"/>
    <cellStyle name="_OCT 30_29.12.09 2" xfId="29090"/>
    <cellStyle name="_OCT 30_29.12.09 3" xfId="29091"/>
    <cellStyle name="_OCT 30_CONFIRMATION OF RMS 2009" xfId="29092"/>
    <cellStyle name="_OCT 30_CONFIRMATION OF RMS 2009 2" xfId="29093"/>
    <cellStyle name="_OCT 30_CONFIRMATION OF RMS 2009 3" xfId="29094"/>
    <cellStyle name="_OCT 30_CONFIRMATION OF RMS 2010" xfId="29095"/>
    <cellStyle name="_OCT 30_CONFIRMATION OF RMS 2010 2" xfId="29096"/>
    <cellStyle name="_OCT 30_CONFIRMATION OF RMS 2010 3" xfId="29097"/>
    <cellStyle name="_OCT 30_Sheet1" xfId="29098"/>
    <cellStyle name="_OCT 30_Sheet1 2" xfId="29099"/>
    <cellStyle name="_OCT 30_Sheet1 3" xfId="29100"/>
    <cellStyle name="_OCT 30_SUMMARY OF SRM" xfId="732"/>
    <cellStyle name="_OCT 30_SUMMARY OF SRM 2" xfId="733"/>
    <cellStyle name="_OCT 30_SUMMARY OF SRM 2 2" xfId="29101"/>
    <cellStyle name="_OCT 30_SUMMARY OF SRM 3" xfId="734"/>
    <cellStyle name="_OCT 30_SUMMARY OF SRM 4" xfId="29102"/>
    <cellStyle name="_OCT 30_SUMMARY OF SRM 5" xfId="29103"/>
    <cellStyle name="_OCT 30_SUMMARY OF SRM 6" xfId="29104"/>
    <cellStyle name="_OVER-ALL EFFIENCY" xfId="735"/>
    <cellStyle name="_OVER-ALL EFFIENCY (JUNE) UPDATED" xfId="736"/>
    <cellStyle name="_Product Data" xfId="737"/>
    <cellStyle name="_Product Data 2" xfId="738"/>
    <cellStyle name="_Product Data 2 2" xfId="29105"/>
    <cellStyle name="_Product Data 3" xfId="739"/>
    <cellStyle name="_Product Data 4" xfId="29106"/>
    <cellStyle name="_Product Data 5" xfId="29107"/>
    <cellStyle name="_Product Data 6" xfId="29108"/>
    <cellStyle name="_PURCHASE PRICE MASTER" xfId="740"/>
    <cellStyle name="_PURCHASE PRICE MASTER 2" xfId="741"/>
    <cellStyle name="_PURCHASE PRICE MASTER 2 2" xfId="29109"/>
    <cellStyle name="_PURCHASE PRICE MASTER 3" xfId="742"/>
    <cellStyle name="_PURCHASE PRICE MASTER 4" xfId="29110"/>
    <cellStyle name="_PURCHASE PRICE MASTER 5" xfId="29111"/>
    <cellStyle name="_PURCHASE PRICE MASTER 6" xfId="29112"/>
    <cellStyle name="_PURCHASE PRICE MASTER_09.04.10" xfId="29113"/>
    <cellStyle name="_PURCHASE PRICE MASTER_09.04.10 2" xfId="29114"/>
    <cellStyle name="_PURCHASE PRICE MASTER_09.04.10 3" xfId="29115"/>
    <cellStyle name="_PURCHASE PRICE MASTER_18.12.09" xfId="743"/>
    <cellStyle name="_PURCHASE PRICE MASTER_18.12.09 2" xfId="744"/>
    <cellStyle name="_PURCHASE PRICE MASTER_18.12.09 2 2" xfId="29116"/>
    <cellStyle name="_PURCHASE PRICE MASTER_18.12.09 3" xfId="745"/>
    <cellStyle name="_PURCHASE PRICE MASTER_18.12.09 4" xfId="29117"/>
    <cellStyle name="_PURCHASE PRICE MASTER_18.12.09 5" xfId="29118"/>
    <cellStyle name="_PURCHASE PRICE MASTER_18.12.09 6" xfId="29119"/>
    <cellStyle name="_PURCHASE PRICE MASTER_25-Dec-09" xfId="29120"/>
    <cellStyle name="_PURCHASE PRICE MASTER_25-Dec-09 2" xfId="29121"/>
    <cellStyle name="_PURCHASE PRICE MASTER_25-Dec-09 3" xfId="29122"/>
    <cellStyle name="_PURCHASE PRICE MASTER_29.12.09" xfId="29123"/>
    <cellStyle name="_PURCHASE PRICE MASTER_29.12.09 2" xfId="29124"/>
    <cellStyle name="_PURCHASE PRICE MASTER_29.12.09 3" xfId="29125"/>
    <cellStyle name="_PURCHASE PRICE MASTER_Book3" xfId="29126"/>
    <cellStyle name="_PURCHASE PRICE MASTER_Book3 2" xfId="29127"/>
    <cellStyle name="_PURCHASE PRICE MASTER_Book3 3" xfId="29128"/>
    <cellStyle name="_PURCHASE PRICE MASTER_CONFIRMATION OF RMS 2009" xfId="29129"/>
    <cellStyle name="_PURCHASE PRICE MASTER_CONFIRMATION OF RMS 2009 2" xfId="29130"/>
    <cellStyle name="_PURCHASE PRICE MASTER_CONFIRMATION OF RMS 2009 3" xfId="29131"/>
    <cellStyle name="_PURCHASE PRICE MASTER_CONFIRMATION OF RMS 2010" xfId="29132"/>
    <cellStyle name="_PURCHASE PRICE MASTER_CONFIRMATION OF RMS 2010 2" xfId="29133"/>
    <cellStyle name="_PURCHASE PRICE MASTER_CONFIRMATION OF RMS 2010 3" xfId="29134"/>
    <cellStyle name="_PURCHASE PRICE MASTER_DEC. RETURN 2009" xfId="29135"/>
    <cellStyle name="_PURCHASE PRICE MASTER_DEC. RETURN 2009 2" xfId="29136"/>
    <cellStyle name="_PURCHASE PRICE MASTER_DEC. RETURN 2009 3" xfId="29137"/>
    <cellStyle name="_PURCHASE PRICE MASTER_DETAILED LME 2009" xfId="29138"/>
    <cellStyle name="_PURCHASE PRICE MASTER_DETAILED LME 2009 2" xfId="29139"/>
    <cellStyle name="_PURCHASE PRICE MASTER_DETAILED LME 2009 3" xfId="29140"/>
    <cellStyle name="_PURCHASE PRICE MASTER_NOV. RETURN 2009 2.0" xfId="29141"/>
    <cellStyle name="_PURCHASE PRICE MASTER_NOV. RETURN 2009 2.0 2" xfId="29142"/>
    <cellStyle name="_PURCHASE PRICE MASTER_NOV. RETURN 2009 2.0 3" xfId="29143"/>
    <cellStyle name="_PURCHASE PRICE MASTER_OCT 30" xfId="746"/>
    <cellStyle name="_PURCHASE PRICE MASTER_OCT 30 2" xfId="747"/>
    <cellStyle name="_PURCHASE PRICE MASTER_OCT 30 2 2" xfId="29144"/>
    <cellStyle name="_PURCHASE PRICE MASTER_OCT 30 3" xfId="748"/>
    <cellStyle name="_PURCHASE PRICE MASTER_OCT 30 4" xfId="29145"/>
    <cellStyle name="_PURCHASE PRICE MASTER_OCT 30 5" xfId="29146"/>
    <cellStyle name="_PURCHASE PRICE MASTER_OCT 30 6" xfId="29147"/>
    <cellStyle name="_PURCHASE PRICE MASTER_OCT 30_09.04.10" xfId="29148"/>
    <cellStyle name="_PURCHASE PRICE MASTER_OCT 30_09.04.10 2" xfId="29149"/>
    <cellStyle name="_PURCHASE PRICE MASTER_OCT 30_09.04.10 3" xfId="29150"/>
    <cellStyle name="_PURCHASE PRICE MASTER_OCT 30_29.12.09" xfId="29151"/>
    <cellStyle name="_PURCHASE PRICE MASTER_OCT 30_29.12.09 2" xfId="29152"/>
    <cellStyle name="_PURCHASE PRICE MASTER_OCT 30_29.12.09 3" xfId="29153"/>
    <cellStyle name="_PURCHASE PRICE MASTER_OCT 30_CONFIRMATION OF RMS 2009" xfId="29154"/>
    <cellStyle name="_PURCHASE PRICE MASTER_OCT 30_CONFIRMATION OF RMS 2009 2" xfId="29155"/>
    <cellStyle name="_PURCHASE PRICE MASTER_OCT 30_CONFIRMATION OF RMS 2009 3" xfId="29156"/>
    <cellStyle name="_PURCHASE PRICE MASTER_OCT 30_CONFIRMATION OF RMS 2010" xfId="29157"/>
    <cellStyle name="_PURCHASE PRICE MASTER_OCT 30_CONFIRMATION OF RMS 2010 2" xfId="29158"/>
    <cellStyle name="_PURCHASE PRICE MASTER_OCT 30_CONFIRMATION OF RMS 2010 3" xfId="29159"/>
    <cellStyle name="_PURCHASE PRICE MASTER_OCT 30_Sheet1" xfId="29160"/>
    <cellStyle name="_PURCHASE PRICE MASTER_OCT 30_Sheet1 2" xfId="29161"/>
    <cellStyle name="_PURCHASE PRICE MASTER_OCT 30_Sheet1 3" xfId="29162"/>
    <cellStyle name="_PURCHASE PRICE MASTER_OCT 30_SUMMARY OF SRM" xfId="749"/>
    <cellStyle name="_PURCHASE PRICE MASTER_OCT 30_SUMMARY OF SRM 2" xfId="750"/>
    <cellStyle name="_PURCHASE PRICE MASTER_OCT 30_SUMMARY OF SRM 2 2" xfId="29163"/>
    <cellStyle name="_PURCHASE PRICE MASTER_OCT 30_SUMMARY OF SRM 3" xfId="751"/>
    <cellStyle name="_PURCHASE PRICE MASTER_OCT 30_SUMMARY OF SRM 4" xfId="29164"/>
    <cellStyle name="_PURCHASE PRICE MASTER_OCT 30_SUMMARY OF SRM 5" xfId="29165"/>
    <cellStyle name="_PURCHASE PRICE MASTER_OCT 30_SUMMARY OF SRM 6" xfId="29166"/>
    <cellStyle name="_PURCHASE PRICE MASTER_SANWA" xfId="752"/>
    <cellStyle name="_PURCHASE PRICE MASTER_SANWA 2" xfId="753"/>
    <cellStyle name="_PURCHASE PRICE MASTER_SANWA 2 2" xfId="29167"/>
    <cellStyle name="_PURCHASE PRICE MASTER_SANWA 3" xfId="754"/>
    <cellStyle name="_PURCHASE PRICE MASTER_SANWA 4" xfId="29168"/>
    <cellStyle name="_PURCHASE PRICE MASTER_SANWA 5" xfId="29169"/>
    <cellStyle name="_PURCHASE PRICE MASTER_SANWA 6" xfId="29170"/>
    <cellStyle name="_PURCHASE PRICE MASTER_Sheet1" xfId="29171"/>
    <cellStyle name="_PURCHASE PRICE MASTER_Sheet1 2" xfId="29172"/>
    <cellStyle name="_PURCHASE PRICE MASTER_Sheet1 3" xfId="29173"/>
    <cellStyle name="_PURCHASE PRICE MASTER_Sheet2" xfId="755"/>
    <cellStyle name="_PURCHASE PRICE MASTER_Sheet2 2" xfId="756"/>
    <cellStyle name="_PURCHASE PRICE MASTER_Sheet2 2 2" xfId="29174"/>
    <cellStyle name="_PURCHASE PRICE MASTER_Sheet2 3" xfId="757"/>
    <cellStyle name="_PURCHASE PRICE MASTER_Sheet2 4" xfId="29175"/>
    <cellStyle name="_PURCHASE PRICE MASTER_Sheet2 5" xfId="29176"/>
    <cellStyle name="_PURCHASE PRICE MASTER_Sheet2 6" xfId="29177"/>
    <cellStyle name="_PURCHASE PRICE MASTER_SUMMARY OF SRM" xfId="758"/>
    <cellStyle name="_PURCHASE PRICE MASTER_SUMMARY OF SRM 2" xfId="759"/>
    <cellStyle name="_PURCHASE PRICE MASTER_SUMMARY OF SRM 2 2" xfId="29178"/>
    <cellStyle name="_PURCHASE PRICE MASTER_SUMMARY OF SRM 3" xfId="760"/>
    <cellStyle name="_PURCHASE PRICE MASTER_SUMMARY OF SRM 4" xfId="29179"/>
    <cellStyle name="_PURCHASE PRICE MASTER_SUMMARY OF SRM 5" xfId="29180"/>
    <cellStyle name="_PURCHASE PRICE MASTER_SUMMARY OF SRM 6" xfId="29181"/>
    <cellStyle name="_PURCHASE PRICE MASTER_WEEKLY MATERIAL TRAVEL SHEET" xfId="761"/>
    <cellStyle name="_PURCHASE PRICE MASTER_WEEKLY MATERIAL TRAVEL SHEET 2" xfId="762"/>
    <cellStyle name="_PURCHASE PRICE MASTER_WEEKLY MATERIAL TRAVEL SHEET 2 2" xfId="29182"/>
    <cellStyle name="_PURCHASE PRICE MASTER_WEEKLY MATERIAL TRAVEL SHEET 3" xfId="763"/>
    <cellStyle name="_PURCHASE PRICE MASTER_WEEKLY MATERIAL TRAVEL SHEET 4" xfId="29183"/>
    <cellStyle name="_PURCHASE PRICE MASTER_WEEKLY MATERIAL TRAVEL SHEET 5" xfId="29184"/>
    <cellStyle name="_PURCHASE PRICE MASTER_WEEKLY MATERIAL TRAVEL SHEET 6" xfId="29185"/>
    <cellStyle name="_PURCHASE PRICE MASTER_WEEKLY MATERIAL TRAVEL SHEET_09.04.10" xfId="29186"/>
    <cellStyle name="_PURCHASE PRICE MASTER_WEEKLY MATERIAL TRAVEL SHEET_09.04.10 2" xfId="29187"/>
    <cellStyle name="_PURCHASE PRICE MASTER_WEEKLY MATERIAL TRAVEL SHEET_09.04.10 3" xfId="29188"/>
    <cellStyle name="_PURCHASE PRICE MASTER_WEEKLY MATERIAL TRAVEL SHEET_29.12.09" xfId="29189"/>
    <cellStyle name="_PURCHASE PRICE MASTER_WEEKLY MATERIAL TRAVEL SHEET_29.12.09 2" xfId="29190"/>
    <cellStyle name="_PURCHASE PRICE MASTER_WEEKLY MATERIAL TRAVEL SHEET_29.12.09 3" xfId="29191"/>
    <cellStyle name="_PURCHASE PRICE MASTER_WEEKLY MATERIAL TRAVEL SHEET_CONFIRMATION OF RMS 2009" xfId="29192"/>
    <cellStyle name="_PURCHASE PRICE MASTER_WEEKLY MATERIAL TRAVEL SHEET_CONFIRMATION OF RMS 2009 2" xfId="29193"/>
    <cellStyle name="_PURCHASE PRICE MASTER_WEEKLY MATERIAL TRAVEL SHEET_CONFIRMATION OF RMS 2009 3" xfId="29194"/>
    <cellStyle name="_PURCHASE PRICE MASTER_WEEKLY MATERIAL TRAVEL SHEET_CONFIRMATION OF RMS 2010" xfId="29195"/>
    <cellStyle name="_PURCHASE PRICE MASTER_WEEKLY MATERIAL TRAVEL SHEET_CONFIRMATION OF RMS 2010 2" xfId="29196"/>
    <cellStyle name="_PURCHASE PRICE MASTER_WEEKLY MATERIAL TRAVEL SHEET_CONFIRMATION OF RMS 2010 3" xfId="29197"/>
    <cellStyle name="_PURCHASE PRICE MASTER_WEEKLY MATERIAL TRAVEL SHEET_Sheet1" xfId="29198"/>
    <cellStyle name="_PURCHASE PRICE MASTER_WEEKLY MATERIAL TRAVEL SHEET_Sheet1 2" xfId="29199"/>
    <cellStyle name="_PURCHASE PRICE MASTER_WEEKLY MATERIAL TRAVEL SHEET_Sheet1 3" xfId="29200"/>
    <cellStyle name="_PURCHASE PRICE MASTER_WEEKLY MATERIAL TRAVEL SHEET_SUMMARY OF SRM" xfId="764"/>
    <cellStyle name="_PURCHASE PRICE MASTER_WEEKLY MATERIAL TRAVEL SHEET_SUMMARY OF SRM 2" xfId="765"/>
    <cellStyle name="_PURCHASE PRICE MASTER_WEEKLY MATERIAL TRAVEL SHEET_SUMMARY OF SRM 2 2" xfId="29201"/>
    <cellStyle name="_PURCHASE PRICE MASTER_WEEKLY MATERIAL TRAVEL SHEET_SUMMARY OF SRM 3" xfId="766"/>
    <cellStyle name="_PURCHASE PRICE MASTER_WEEKLY MATERIAL TRAVEL SHEET_SUMMARY OF SRM 4" xfId="29202"/>
    <cellStyle name="_PURCHASE PRICE MASTER_WEEKLY MATERIAL TRAVEL SHEET_SUMMARY OF SRM 5" xfId="29203"/>
    <cellStyle name="_PURCHASE PRICE MASTER_WEEKLY MATERIAL TRAVEL SHEET_SUMMARY OF SRM 6" xfId="29204"/>
    <cellStyle name="_PURCHASE PRICE MASTER_WEEKLY SHIPMENT REQUEST 02-OCT-09" xfId="29205"/>
    <cellStyle name="_PURCHASE PRICE MASTER_WEEKLY SHIPMENT REQUEST 02-OCT-09 2" xfId="29206"/>
    <cellStyle name="_PURCHASE PRICE MASTER_WEEKLY SHIPMENT REQUEST 02-OCT-09 3" xfId="29207"/>
    <cellStyle name="_PURCHASE PRICE MASTER_WEEKLY SHIPMENT REQUEST 05-FEB-10" xfId="29208"/>
    <cellStyle name="_PURCHASE PRICE MASTER_WEEKLY SHIPMENT REQUEST 05-FEB-10 2" xfId="29209"/>
    <cellStyle name="_PURCHASE PRICE MASTER_WEEKLY SHIPMENT REQUEST 05-FEB-10 3" xfId="29210"/>
    <cellStyle name="_PURCHASE PRICE MASTER_WEEKLY SHIPMENT REQUEST 06-NOV-09" xfId="29211"/>
    <cellStyle name="_PURCHASE PRICE MASTER_WEEKLY SHIPMENT REQUEST 06-NOV-09 (2)" xfId="29212"/>
    <cellStyle name="_PURCHASE PRICE MASTER_WEEKLY SHIPMENT REQUEST 06-NOV-09 (2) 2" xfId="29213"/>
    <cellStyle name="_PURCHASE PRICE MASTER_WEEKLY SHIPMENT REQUEST 06-NOV-09 (2) 3" xfId="29214"/>
    <cellStyle name="_PURCHASE PRICE MASTER_WEEKLY SHIPMENT REQUEST 06-NOV-09 10" xfId="29215"/>
    <cellStyle name="_PURCHASE PRICE MASTER_WEEKLY SHIPMENT REQUEST 06-NOV-09 11" xfId="29216"/>
    <cellStyle name="_PURCHASE PRICE MASTER_WEEKLY SHIPMENT REQUEST 06-NOV-09 2" xfId="29217"/>
    <cellStyle name="_PURCHASE PRICE MASTER_WEEKLY SHIPMENT REQUEST 06-NOV-09 3" xfId="29218"/>
    <cellStyle name="_PURCHASE PRICE MASTER_WEEKLY SHIPMENT REQUEST 06-NOV-09 4" xfId="29219"/>
    <cellStyle name="_PURCHASE PRICE MASTER_WEEKLY SHIPMENT REQUEST 06-NOV-09 5" xfId="29220"/>
    <cellStyle name="_PURCHASE PRICE MASTER_WEEKLY SHIPMENT REQUEST 06-NOV-09 6" xfId="29221"/>
    <cellStyle name="_PURCHASE PRICE MASTER_WEEKLY SHIPMENT REQUEST 06-NOV-09 7" xfId="29222"/>
    <cellStyle name="_PURCHASE PRICE MASTER_WEEKLY SHIPMENT REQUEST 06-NOV-09 8" xfId="29223"/>
    <cellStyle name="_PURCHASE PRICE MASTER_WEEKLY SHIPMENT REQUEST 06-NOV-09 9" xfId="29224"/>
    <cellStyle name="_PURCHASE PRICE MASTER_WEEKLY SHIPMENT REQUEST 08-JAN-10" xfId="29225"/>
    <cellStyle name="_PURCHASE PRICE MASTER_WEEKLY SHIPMENT REQUEST 08-JAN-10 2" xfId="29226"/>
    <cellStyle name="_PURCHASE PRICE MASTER_WEEKLY SHIPMENT REQUEST 08-JAN-10 3" xfId="29227"/>
    <cellStyle name="_PURCHASE PRICE MASTER_WEEKLY SHIPMENT REQUEST 11-DEC-09 (2)" xfId="767"/>
    <cellStyle name="_PURCHASE PRICE MASTER_WEEKLY SHIPMENT REQUEST 11-DEC-09 (2) 2" xfId="768"/>
    <cellStyle name="_PURCHASE PRICE MASTER_WEEKLY SHIPMENT REQUEST 11-DEC-09 (2) 2 2" xfId="29228"/>
    <cellStyle name="_PURCHASE PRICE MASTER_WEEKLY SHIPMENT REQUEST 11-DEC-09 (2) 3" xfId="769"/>
    <cellStyle name="_PURCHASE PRICE MASTER_WEEKLY SHIPMENT REQUEST 11-DEC-09 (2) 4" xfId="29229"/>
    <cellStyle name="_PURCHASE PRICE MASTER_WEEKLY SHIPMENT REQUEST 11-DEC-09 (2) 5" xfId="29230"/>
    <cellStyle name="_PURCHASE PRICE MASTER_WEEKLY SHIPMENT REQUEST 11-DEC-09 (2) 6" xfId="29231"/>
    <cellStyle name="_PURCHASE PRICE MASTER_WEEKLY SHIPMENT REQUEST 13-NOV-09" xfId="29232"/>
    <cellStyle name="_PURCHASE PRICE MASTER_WEEKLY SHIPMENT REQUEST 13-NOV-09 2" xfId="29233"/>
    <cellStyle name="_PURCHASE PRICE MASTER_WEEKLY SHIPMENT REQUEST 13-NOV-09 3" xfId="29234"/>
    <cellStyle name="_PURCHASE PRICE MASTER_WEEKLY SHIPMENT REQUEST 15-JAN-10" xfId="29235"/>
    <cellStyle name="_PURCHASE PRICE MASTER_WEEKLY SHIPMENT REQUEST 15-JAN-10 2" xfId="29236"/>
    <cellStyle name="_PURCHASE PRICE MASTER_WEEKLY SHIPMENT REQUEST 15-JAN-10 3" xfId="29237"/>
    <cellStyle name="_PURCHASE PRICE MASTER_WEEKLY SHIPMENT REQUEST 16-OCT-09" xfId="29238"/>
    <cellStyle name="_PURCHASE PRICE MASTER_WEEKLY SHIPMENT REQUEST 16-OCT-09 2" xfId="29239"/>
    <cellStyle name="_PURCHASE PRICE MASTER_WEEKLY SHIPMENT REQUEST 16-OCT-09 3" xfId="29240"/>
    <cellStyle name="_PURCHASE PRICE MASTER_WEEKLY SHIPMENT REQUEST 18-SEPT-09" xfId="29241"/>
    <cellStyle name="_PURCHASE PRICE MASTER_WEEKLY SHIPMENT REQUEST 18-SEPT-09 2" xfId="29242"/>
    <cellStyle name="_PURCHASE PRICE MASTER_WEEKLY SHIPMENT REQUEST 18-SEPT-09 3" xfId="29243"/>
    <cellStyle name="_PURCHASE PRICE MASTER_WEEKLY SHIPMENT REQUEST 22-JAN-2010" xfId="29244"/>
    <cellStyle name="_PURCHASE PRICE MASTER_WEEKLY SHIPMENT REQUEST 22-JAN-2010 2" xfId="29245"/>
    <cellStyle name="_PURCHASE PRICE MASTER_WEEKLY SHIPMENT REQUEST 22-JAN-2010 3" xfId="29246"/>
    <cellStyle name="_PURCHASE PRICE MASTER_WEEKLY SHIPMENT REQUEST 25-SEPT-09" xfId="29247"/>
    <cellStyle name="_PURCHASE PRICE MASTER_WEEKLY SHIPMENT REQUEST 25-SEPT-09 2" xfId="29248"/>
    <cellStyle name="_PURCHASE PRICE MASTER_WEEKLY SHIPMENT REQUEST 25-SEPT-09 3" xfId="29249"/>
    <cellStyle name="_PURCHASE PRICE MASTER_WEEKLY SHIPMENT REQUEST 29-JAN-10 (2)" xfId="29250"/>
    <cellStyle name="_PURCHASE PRICE MASTER_WEEKLY SHIPMENT REQUEST 29-JAN-10 (2) 2" xfId="29251"/>
    <cellStyle name="_PURCHASE PRICE MASTER_WEEKLY SHIPMENT REQUEST 29-JAN-10 (2) 3" xfId="29252"/>
    <cellStyle name="_PURCHASE PRICE MASTER_WEEKLY SHIPMENT REQUEST 29-JAN-10 (2)_WEEKLY SHIPMENT REQUEST 29-JAN-10 (2)" xfId="29253"/>
    <cellStyle name="_PURCHASE PRICE MASTER_WEEKLY SHIPMENT REQUEST 29-JAN-10 (2)_WEEKLY SHIPMENT REQUEST 29-JAN-10 (2) 2" xfId="29254"/>
    <cellStyle name="_PURCHASE PRICE MASTER_WEEKLY SHIPMENT REQUEST 29-JAN-10 (2)_WEEKLY SHIPMENT REQUEST 29-JAN-10 (2) 3" xfId="29255"/>
    <cellStyle name="_QUOTQTION CHECKING" xfId="770"/>
    <cellStyle name="_QUOTQTION CHECKING 2" xfId="771"/>
    <cellStyle name="_QUOTQTION CHECKING 2 2" xfId="29256"/>
    <cellStyle name="_QUOTQTION CHECKING 3" xfId="772"/>
    <cellStyle name="_QUOTQTION CHECKING 4" xfId="29257"/>
    <cellStyle name="_QUOTQTION CHECKING 5" xfId="29258"/>
    <cellStyle name="_QUOTQTION CHECKING 6" xfId="29259"/>
    <cellStyle name="_RR January" xfId="773"/>
    <cellStyle name="_RR January 2" xfId="774"/>
    <cellStyle name="_RR January 2 2" xfId="29260"/>
    <cellStyle name="_RR January 3" xfId="775"/>
    <cellStyle name="_RR January 4" xfId="29261"/>
    <cellStyle name="_RR January 5" xfId="29262"/>
    <cellStyle name="_RR January 6" xfId="29263"/>
    <cellStyle name="_RR January_DETAILED LME 2009" xfId="29264"/>
    <cellStyle name="_RR January_DETAILED LME 2009 2" xfId="29265"/>
    <cellStyle name="_RR January_DETAILED LME 2009 3" xfId="29266"/>
    <cellStyle name="_RR January_SANWA" xfId="776"/>
    <cellStyle name="_RR January_SANWA 2" xfId="777"/>
    <cellStyle name="_RR January_SANWA 2 2" xfId="29267"/>
    <cellStyle name="_RR January_SANWA 3" xfId="778"/>
    <cellStyle name="_RR January_SANWA 4" xfId="29268"/>
    <cellStyle name="_RR January_SANWA 5" xfId="29269"/>
    <cellStyle name="_RR January_SANWA 6" xfId="29270"/>
    <cellStyle name="_RR summarry June" xfId="779"/>
    <cellStyle name="_RR summarry June 2" xfId="780"/>
    <cellStyle name="_RR summarry June 2 2" xfId="29271"/>
    <cellStyle name="_RR summarry June 3" xfId="781"/>
    <cellStyle name="_RR summarry June 4" xfId="29272"/>
    <cellStyle name="_RR summarry June 5" xfId="29273"/>
    <cellStyle name="_RR summarry June 6" xfId="29274"/>
    <cellStyle name="_RR summarry June_SANWA" xfId="782"/>
    <cellStyle name="_RR summarry June_SANWA 2" xfId="783"/>
    <cellStyle name="_RR summarry June_SANWA 2 2" xfId="29275"/>
    <cellStyle name="_RR summarry June_SANWA 3" xfId="784"/>
    <cellStyle name="_RR summarry June_SANWA 4" xfId="29276"/>
    <cellStyle name="_RR summarry June_SANWA 5" xfId="29277"/>
    <cellStyle name="_RR summarry June_SANWA 6" xfId="29278"/>
    <cellStyle name="_S I  HPI - No  0793 reviewed by edwin" xfId="785"/>
    <cellStyle name="_S I  HPI - No  0793 reviewed by edwin 2" xfId="786"/>
    <cellStyle name="_S I  HPI - No  0793 reviewed by edwin 2 2" xfId="29279"/>
    <cellStyle name="_S I  HPI - No  0793 reviewed by edwin 3" xfId="787"/>
    <cellStyle name="_S I  HPI - No  0793 reviewed by edwin 4" xfId="29280"/>
    <cellStyle name="_S I  HPI - No  0793 reviewed by edwin 5" xfId="29281"/>
    <cellStyle name="_S I  HPI - No  0793 reviewed by edwin 6" xfId="29282"/>
    <cellStyle name="_Sales invoice checking by EDWIN 2010" xfId="788"/>
    <cellStyle name="_Sales invoice checking by EDWIN 2010 2" xfId="789"/>
    <cellStyle name="_Sales invoice checking by EDWIN 2010 2 2" xfId="29283"/>
    <cellStyle name="_Sales invoice checking by EDWIN 2010 3" xfId="790"/>
    <cellStyle name="_Sales invoice checking by EDWIN 2010 4" xfId="29284"/>
    <cellStyle name="_Sales invoice checking by EDWIN 2010 5" xfId="29285"/>
    <cellStyle name="_Sales invoice checking by EDWIN 2010 6" xfId="29286"/>
    <cellStyle name="_Sales Invoice Checking System 2010" xfId="791"/>
    <cellStyle name="_Sales Invoice Checking System 2010 2" xfId="792"/>
    <cellStyle name="_Sales Invoice Checking System 2010 2 2" xfId="29287"/>
    <cellStyle name="_Sales Invoice Checking System 2010 3" xfId="793"/>
    <cellStyle name="_Sales Invoice Checking System 2010 4" xfId="29288"/>
    <cellStyle name="_Sales Invoice Checking System 2010 5" xfId="29289"/>
    <cellStyle name="_Sales Invoice Checking System 2010 6" xfId="29290"/>
    <cellStyle name="_Sheet1" xfId="29291"/>
    <cellStyle name="_Sheet1 2" xfId="29292"/>
    <cellStyle name="_Sheet1 3" xfId="29293"/>
    <cellStyle name="_Sheet2" xfId="794"/>
    <cellStyle name="_Sheet2 2" xfId="795"/>
    <cellStyle name="_Sheet2 2 2" xfId="29294"/>
    <cellStyle name="_Sheet2 3" xfId="796"/>
    <cellStyle name="_Sheet2 4" xfId="29295"/>
    <cellStyle name="_Sheet2 5" xfId="29296"/>
    <cellStyle name="_Sheet2 6" xfId="29297"/>
    <cellStyle name="_SUMMARY OF SRM" xfId="797"/>
    <cellStyle name="_SUMMARY OF SRM 2" xfId="798"/>
    <cellStyle name="_SUMMARY OF SRM 2 2" xfId="29298"/>
    <cellStyle name="_SUMMARY OF SRM 3" xfId="799"/>
    <cellStyle name="_SUMMARY OF SRM 4" xfId="29299"/>
    <cellStyle name="_SUMMARY OF SRM 5" xfId="29300"/>
    <cellStyle name="_SUMMARY OF SRM 6" xfId="29301"/>
    <cellStyle name="_WEEKLY MATERIAL TRAVEL SHEET" xfId="800"/>
    <cellStyle name="_WEEKLY MATERIAL TRAVEL SHEET 2" xfId="801"/>
    <cellStyle name="_WEEKLY MATERIAL TRAVEL SHEET 2 2" xfId="29302"/>
    <cellStyle name="_WEEKLY MATERIAL TRAVEL SHEET 3" xfId="802"/>
    <cellStyle name="_WEEKLY MATERIAL TRAVEL SHEET 4" xfId="29303"/>
    <cellStyle name="_WEEKLY MATERIAL TRAVEL SHEET 5" xfId="29304"/>
    <cellStyle name="_WEEKLY MATERIAL TRAVEL SHEET 6" xfId="29305"/>
    <cellStyle name="_WEEKLY MATERIAL TRAVEL SHEET_09.04.10" xfId="29306"/>
    <cellStyle name="_WEEKLY MATERIAL TRAVEL SHEET_09.04.10 2" xfId="29307"/>
    <cellStyle name="_WEEKLY MATERIAL TRAVEL SHEET_09.04.10 3" xfId="29308"/>
    <cellStyle name="_WEEKLY MATERIAL TRAVEL SHEET_29.12.09" xfId="29309"/>
    <cellStyle name="_WEEKLY MATERIAL TRAVEL SHEET_29.12.09 2" xfId="29310"/>
    <cellStyle name="_WEEKLY MATERIAL TRAVEL SHEET_29.12.09 3" xfId="29311"/>
    <cellStyle name="_WEEKLY MATERIAL TRAVEL SHEET_CONFIRMATION OF RMS 2009" xfId="29312"/>
    <cellStyle name="_WEEKLY MATERIAL TRAVEL SHEET_CONFIRMATION OF RMS 2009 2" xfId="29313"/>
    <cellStyle name="_WEEKLY MATERIAL TRAVEL SHEET_CONFIRMATION OF RMS 2009 3" xfId="29314"/>
    <cellStyle name="_WEEKLY MATERIAL TRAVEL SHEET_CONFIRMATION OF RMS 2010" xfId="29315"/>
    <cellStyle name="_WEEKLY MATERIAL TRAVEL SHEET_CONFIRMATION OF RMS 2010 2" xfId="29316"/>
    <cellStyle name="_WEEKLY MATERIAL TRAVEL SHEET_CONFIRMATION OF RMS 2010 3" xfId="29317"/>
    <cellStyle name="_WEEKLY MATERIAL TRAVEL SHEET_Sheet1" xfId="29318"/>
    <cellStyle name="_WEEKLY MATERIAL TRAVEL SHEET_Sheet1 2" xfId="29319"/>
    <cellStyle name="_WEEKLY MATERIAL TRAVEL SHEET_Sheet1 3" xfId="29320"/>
    <cellStyle name="_WEEKLY MATERIAL TRAVEL SHEET_SUMMARY OF SRM" xfId="803"/>
    <cellStyle name="_WEEKLY MATERIAL TRAVEL SHEET_SUMMARY OF SRM 2" xfId="804"/>
    <cellStyle name="_WEEKLY MATERIAL TRAVEL SHEET_SUMMARY OF SRM 2 2" xfId="29321"/>
    <cellStyle name="_WEEKLY MATERIAL TRAVEL SHEET_SUMMARY OF SRM 3" xfId="805"/>
    <cellStyle name="_WEEKLY MATERIAL TRAVEL SHEET_SUMMARY OF SRM 4" xfId="29322"/>
    <cellStyle name="_WEEKLY MATERIAL TRAVEL SHEET_SUMMARY OF SRM 5" xfId="29323"/>
    <cellStyle name="_WEEKLY MATERIAL TRAVEL SHEET_SUMMARY OF SRM 6" xfId="29324"/>
    <cellStyle name="_WEEKLY SHIPMENT REQUEST 02-OCT-09" xfId="29325"/>
    <cellStyle name="_WEEKLY SHIPMENT REQUEST 02-OCT-09 2" xfId="29326"/>
    <cellStyle name="_WEEKLY SHIPMENT REQUEST 02-OCT-09 3" xfId="29327"/>
    <cellStyle name="_WEEKLY SHIPMENT REQUEST 05-FEB-10" xfId="29328"/>
    <cellStyle name="_WEEKLY SHIPMENT REQUEST 05-FEB-10 2" xfId="29329"/>
    <cellStyle name="_WEEKLY SHIPMENT REQUEST 05-FEB-10 3" xfId="29330"/>
    <cellStyle name="_WEEKLY SHIPMENT REQUEST 06-NOV-09" xfId="29331"/>
    <cellStyle name="_WEEKLY SHIPMENT REQUEST 06-NOV-09 (2)" xfId="29332"/>
    <cellStyle name="_WEEKLY SHIPMENT REQUEST 06-NOV-09 (2) 2" xfId="29333"/>
    <cellStyle name="_WEEKLY SHIPMENT REQUEST 06-NOV-09 (2) 3" xfId="29334"/>
    <cellStyle name="_WEEKLY SHIPMENT REQUEST 06-NOV-09 10" xfId="29335"/>
    <cellStyle name="_WEEKLY SHIPMENT REQUEST 06-NOV-09 11" xfId="29336"/>
    <cellStyle name="_WEEKLY SHIPMENT REQUEST 06-NOV-09 2" xfId="29337"/>
    <cellStyle name="_WEEKLY SHIPMENT REQUEST 06-NOV-09 3" xfId="29338"/>
    <cellStyle name="_WEEKLY SHIPMENT REQUEST 06-NOV-09 4" xfId="29339"/>
    <cellStyle name="_WEEKLY SHIPMENT REQUEST 06-NOV-09 5" xfId="29340"/>
    <cellStyle name="_WEEKLY SHIPMENT REQUEST 06-NOV-09 6" xfId="29341"/>
    <cellStyle name="_WEEKLY SHIPMENT REQUEST 06-NOV-09 7" xfId="29342"/>
    <cellStyle name="_WEEKLY SHIPMENT REQUEST 06-NOV-09 8" xfId="29343"/>
    <cellStyle name="_WEEKLY SHIPMENT REQUEST 06-NOV-09 9" xfId="29344"/>
    <cellStyle name="_WEEKLY SHIPMENT REQUEST 08-JAN-10" xfId="29345"/>
    <cellStyle name="_WEEKLY SHIPMENT REQUEST 08-JAN-10 2" xfId="29346"/>
    <cellStyle name="_WEEKLY SHIPMENT REQUEST 08-JAN-10 3" xfId="29347"/>
    <cellStyle name="_WEEKLY SHIPMENT REQUEST 11-DEC-09 (2)" xfId="806"/>
    <cellStyle name="_WEEKLY SHIPMENT REQUEST 11-DEC-09 (2) 2" xfId="807"/>
    <cellStyle name="_WEEKLY SHIPMENT REQUEST 11-DEC-09 (2) 2 2" xfId="29348"/>
    <cellStyle name="_WEEKLY SHIPMENT REQUEST 11-DEC-09 (2) 3" xfId="808"/>
    <cellStyle name="_WEEKLY SHIPMENT REQUEST 11-DEC-09 (2) 4" xfId="29349"/>
    <cellStyle name="_WEEKLY SHIPMENT REQUEST 11-DEC-09 (2) 5" xfId="29350"/>
    <cellStyle name="_WEEKLY SHIPMENT REQUEST 11-DEC-09 (2) 6" xfId="29351"/>
    <cellStyle name="_WEEKLY SHIPMENT REQUEST 13-NOV-09" xfId="29352"/>
    <cellStyle name="_WEEKLY SHIPMENT REQUEST 13-NOV-09 2" xfId="29353"/>
    <cellStyle name="_WEEKLY SHIPMENT REQUEST 13-NOV-09 3" xfId="29354"/>
    <cellStyle name="_WEEKLY SHIPMENT REQUEST 15-JAN-10" xfId="29355"/>
    <cellStyle name="_WEEKLY SHIPMENT REQUEST 15-JAN-10 2" xfId="29356"/>
    <cellStyle name="_WEEKLY SHIPMENT REQUEST 15-JAN-10 3" xfId="29357"/>
    <cellStyle name="_WEEKLY SHIPMENT REQUEST 16-OCT-09" xfId="29358"/>
    <cellStyle name="_WEEKLY SHIPMENT REQUEST 16-OCT-09 2" xfId="29359"/>
    <cellStyle name="_WEEKLY SHIPMENT REQUEST 16-OCT-09 3" xfId="29360"/>
    <cellStyle name="_WEEKLY SHIPMENT REQUEST 18-SEPT-09" xfId="29361"/>
    <cellStyle name="_WEEKLY SHIPMENT REQUEST 18-SEPT-09 2" xfId="29362"/>
    <cellStyle name="_WEEKLY SHIPMENT REQUEST 18-SEPT-09 3" xfId="29363"/>
    <cellStyle name="_WEEKLY SHIPMENT REQUEST 22-JAN-2010" xfId="29364"/>
    <cellStyle name="_WEEKLY SHIPMENT REQUEST 22-JAN-2010 2" xfId="29365"/>
    <cellStyle name="_WEEKLY SHIPMENT REQUEST 22-JAN-2010 3" xfId="29366"/>
    <cellStyle name="_WEEKLY SHIPMENT REQUEST 25-SEPT-09" xfId="29367"/>
    <cellStyle name="_WEEKLY SHIPMENT REQUEST 25-SEPT-09 2" xfId="29368"/>
    <cellStyle name="_WEEKLY SHIPMENT REQUEST 25-SEPT-09 3" xfId="29369"/>
    <cellStyle name="_WEEKLY SHIPMENT REQUEST 29-JAN-10 (2)" xfId="29370"/>
    <cellStyle name="_WEEKLY SHIPMENT REQUEST 29-JAN-10 (2) 2" xfId="29371"/>
    <cellStyle name="_WEEKLY SHIPMENT REQUEST 29-JAN-10 (2) 3" xfId="29372"/>
    <cellStyle name="_WEEKLY SHIPMENT REQUEST 29-JAN-10 (2)_WEEKLY SHIPMENT REQUEST 29-JAN-10 (2)" xfId="29373"/>
    <cellStyle name="_WEEKLY SHIPMENT REQUEST 29-JAN-10 (2)_WEEKLY SHIPMENT REQUEST 29-JAN-10 (2) 2" xfId="29374"/>
    <cellStyle name="_WEEKLY SHIPMENT REQUEST 29-JAN-10 (2)_WEEKLY SHIPMENT REQUEST 29-JAN-10 (2) 3" xfId="29375"/>
    <cellStyle name="•\Ž¦Ï‚Ý‚ÌƒnƒCƒp[ƒŠƒ“ƒN" xfId="809"/>
    <cellStyle name="•\Ž¦Ï‚Ý‚ÌƒnƒCƒp[ƒŠƒ“ƒN 2" xfId="810"/>
    <cellStyle name="•\Ž¦Ï‚Ý‚ÌƒnƒCƒp[ƒŠƒ“ƒN 3" xfId="811"/>
    <cellStyle name="•\Ž¦Ï‚Ý‚ÌƒnƒCƒp[ƒŠƒ“ƒN 4" xfId="29376"/>
    <cellStyle name="•\Ž¦Ï‚Ý‚ÌƒnƒCƒp[ƒŠƒ“ƒN 5" xfId="29377"/>
    <cellStyle name="•W€_Book1" xfId="812"/>
    <cellStyle name="20% - Accent1 2" xfId="29378"/>
    <cellStyle name="20% - Accent1 2 2" xfId="29379"/>
    <cellStyle name="20% - Accent2 2" xfId="29380"/>
    <cellStyle name="20% - Accent2 2 2" xfId="29381"/>
    <cellStyle name="20% - Accent3 2" xfId="29382"/>
    <cellStyle name="20% - Accent3 2 2" xfId="29383"/>
    <cellStyle name="20% - Accent4 2" xfId="29384"/>
    <cellStyle name="20% - Accent4 2 2" xfId="29385"/>
    <cellStyle name="20% - Accent5 2" xfId="29386"/>
    <cellStyle name="20% - Accent5 2 2" xfId="29387"/>
    <cellStyle name="20% - Accent6 2" xfId="29388"/>
    <cellStyle name="20% - Accent6 2 2" xfId="29389"/>
    <cellStyle name="20% - アクセント 1" xfId="29390"/>
    <cellStyle name="20% - アクセント 1 2" xfId="29391"/>
    <cellStyle name="20% - アクセント 1 3" xfId="29392"/>
    <cellStyle name="20% - アクセント 2" xfId="29393"/>
    <cellStyle name="20% - アクセント 2 2" xfId="29394"/>
    <cellStyle name="20% - アクセント 2 3" xfId="29395"/>
    <cellStyle name="20% - アクセント 3" xfId="29396"/>
    <cellStyle name="20% - アクセント 3 2" xfId="29397"/>
    <cellStyle name="20% - アクセント 3 3" xfId="29398"/>
    <cellStyle name="20% - アクセント 4" xfId="29399"/>
    <cellStyle name="20% - アクセント 4 2" xfId="29400"/>
    <cellStyle name="20% - アクセント 4 3" xfId="29401"/>
    <cellStyle name="20% - アクセント 5" xfId="29402"/>
    <cellStyle name="20% - アクセント 5 2" xfId="29403"/>
    <cellStyle name="20% - アクセント 5 3" xfId="29404"/>
    <cellStyle name="20% - アクセント 6" xfId="29405"/>
    <cellStyle name="20% - アクセント 6 2" xfId="29406"/>
    <cellStyle name="20% - アクセント 6 3" xfId="29407"/>
    <cellStyle name="40% - Accent1 2" xfId="29408"/>
    <cellStyle name="40% - Accent1 2 2" xfId="29409"/>
    <cellStyle name="40% - Accent2 2" xfId="29410"/>
    <cellStyle name="40% - Accent2 2 2" xfId="29411"/>
    <cellStyle name="40% - Accent3 2" xfId="29412"/>
    <cellStyle name="40% - Accent3 2 2" xfId="29413"/>
    <cellStyle name="40% - Accent4 2" xfId="29414"/>
    <cellStyle name="40% - Accent4 2 2" xfId="29415"/>
    <cellStyle name="40% - Accent5 2" xfId="29416"/>
    <cellStyle name="40% - Accent5 2 2" xfId="29417"/>
    <cellStyle name="40% - Accent6 2" xfId="29418"/>
    <cellStyle name="40% - Accent6 2 2" xfId="29419"/>
    <cellStyle name="40% - アクセント 1" xfId="29420"/>
    <cellStyle name="40% - アクセント 1 2" xfId="29421"/>
    <cellStyle name="40% - アクセント 1 3" xfId="29422"/>
    <cellStyle name="40% - アクセント 2" xfId="29423"/>
    <cellStyle name="40% - アクセント 2 2" xfId="29424"/>
    <cellStyle name="40% - アクセント 2 3" xfId="29425"/>
    <cellStyle name="40% - アクセント 3" xfId="29426"/>
    <cellStyle name="40% - アクセント 3 2" xfId="29427"/>
    <cellStyle name="40% - アクセント 3 3" xfId="29428"/>
    <cellStyle name="40% - アクセント 4" xfId="29429"/>
    <cellStyle name="40% - アクセント 4 2" xfId="29430"/>
    <cellStyle name="40% - アクセント 4 3" xfId="29431"/>
    <cellStyle name="40% - アクセント 5" xfId="29432"/>
    <cellStyle name="40% - アクセント 5 2" xfId="29433"/>
    <cellStyle name="40% - アクセント 5 3" xfId="29434"/>
    <cellStyle name="40% - アクセント 6" xfId="29435"/>
    <cellStyle name="40% - アクセント 6 2" xfId="29436"/>
    <cellStyle name="40% - アクセント 6 3" xfId="29437"/>
    <cellStyle name="60% - Accent1 2" xfId="29438"/>
    <cellStyle name="60% - Accent1 2 2" xfId="29439"/>
    <cellStyle name="60% - Accent2 2" xfId="29440"/>
    <cellStyle name="60% - Accent2 2 2" xfId="29441"/>
    <cellStyle name="60% - Accent3 2" xfId="29442"/>
    <cellStyle name="60% - Accent3 2 2" xfId="29443"/>
    <cellStyle name="60% - Accent4 2" xfId="29444"/>
    <cellStyle name="60% - Accent4 2 2" xfId="29445"/>
    <cellStyle name="60% - Accent5 2" xfId="29446"/>
    <cellStyle name="60% - Accent5 2 2" xfId="29447"/>
    <cellStyle name="60% - Accent6 2" xfId="29448"/>
    <cellStyle name="60% - Accent6 2 2" xfId="29449"/>
    <cellStyle name="60% - アクセント 1" xfId="29450"/>
    <cellStyle name="60% - アクセント 1 2" xfId="29451"/>
    <cellStyle name="60% - アクセント 1 3" xfId="29452"/>
    <cellStyle name="60% - アクセント 2" xfId="29453"/>
    <cellStyle name="60% - アクセント 2 2" xfId="29454"/>
    <cellStyle name="60% - アクセント 2 3" xfId="29455"/>
    <cellStyle name="60% - アクセント 3" xfId="29456"/>
    <cellStyle name="60% - アクセント 3 2" xfId="29457"/>
    <cellStyle name="60% - アクセント 3 3" xfId="29458"/>
    <cellStyle name="60% - アクセント 4" xfId="29459"/>
    <cellStyle name="60% - アクセント 4 2" xfId="29460"/>
    <cellStyle name="60% - アクセント 4 3" xfId="29461"/>
    <cellStyle name="60% - アクセント 5" xfId="29462"/>
    <cellStyle name="60% - アクセント 5 2" xfId="29463"/>
    <cellStyle name="60% - アクセント 5 3" xfId="29464"/>
    <cellStyle name="60% - アクセント 6" xfId="29465"/>
    <cellStyle name="60% - アクセント 6 2" xfId="29466"/>
    <cellStyle name="60% - アクセント 6 3" xfId="29467"/>
    <cellStyle name="Accent1 2" xfId="29468"/>
    <cellStyle name="Accent1 2 2" xfId="29469"/>
    <cellStyle name="Accent2 2" xfId="29470"/>
    <cellStyle name="Accent2 2 2" xfId="29471"/>
    <cellStyle name="Accent3 2" xfId="29472"/>
    <cellStyle name="Accent3 2 2" xfId="29473"/>
    <cellStyle name="Accent4 2" xfId="29474"/>
    <cellStyle name="Accent4 2 2" xfId="29475"/>
    <cellStyle name="Accent5 2" xfId="29476"/>
    <cellStyle name="Accent5 2 2" xfId="29477"/>
    <cellStyle name="Accent6 2" xfId="29478"/>
    <cellStyle name="Accent6 2 2" xfId="29479"/>
    <cellStyle name="Bad 2" xfId="29480"/>
    <cellStyle name="Bad 2 2" xfId="29481"/>
    <cellStyle name="Calc Currency (0)" xfId="29482"/>
    <cellStyle name="Calculation 2" xfId="29483"/>
    <cellStyle name="Calculation 2 2" xfId="29484"/>
    <cellStyle name="Calculation 2 2 10" xfId="29485"/>
    <cellStyle name="Calculation 2 2 2" xfId="29486"/>
    <cellStyle name="Calculation 2 2 2 2" xfId="29487"/>
    <cellStyle name="Calculation 2 2 2 2 2" xfId="29488"/>
    <cellStyle name="Calculation 2 2 2 3" xfId="29489"/>
    <cellStyle name="Calculation 2 2 2 3 2" xfId="29490"/>
    <cellStyle name="Calculation 2 2 2 4" xfId="29491"/>
    <cellStyle name="Calculation 2 2 2 4 2" xfId="29492"/>
    <cellStyle name="Calculation 2 2 2 5" xfId="29493"/>
    <cellStyle name="Calculation 2 2 3" xfId="29494"/>
    <cellStyle name="Calculation 2 2 3 2" xfId="29495"/>
    <cellStyle name="Calculation 2 2 3 2 2" xfId="29496"/>
    <cellStyle name="Calculation 2 2 3 3" xfId="29497"/>
    <cellStyle name="Calculation 2 2 3 3 2" xfId="29498"/>
    <cellStyle name="Calculation 2 2 3 4" xfId="29499"/>
    <cellStyle name="Calculation 2 2 3 4 2" xfId="29500"/>
    <cellStyle name="Calculation 2 2 3 5" xfId="29501"/>
    <cellStyle name="Calculation 2 2 4" xfId="29502"/>
    <cellStyle name="Calculation 2 2 4 2" xfId="29503"/>
    <cellStyle name="Calculation 2 2 4 2 2" xfId="29504"/>
    <cellStyle name="Calculation 2 2 4 3" xfId="29505"/>
    <cellStyle name="Calculation 2 2 4 3 2" xfId="29506"/>
    <cellStyle name="Calculation 2 2 4 4" xfId="29507"/>
    <cellStyle name="Calculation 2 2 4 4 2" xfId="29508"/>
    <cellStyle name="Calculation 2 2 4 5" xfId="29509"/>
    <cellStyle name="Calculation 2 2 5" xfId="29510"/>
    <cellStyle name="Calculation 2 2 5 2" xfId="29511"/>
    <cellStyle name="Calculation 2 2 5 2 2" xfId="29512"/>
    <cellStyle name="Calculation 2 2 5 3" xfId="29513"/>
    <cellStyle name="Calculation 2 2 5 3 2" xfId="29514"/>
    <cellStyle name="Calculation 2 2 5 4" xfId="29515"/>
    <cellStyle name="Calculation 2 2 5 4 2" xfId="29516"/>
    <cellStyle name="Calculation 2 2 5 5" xfId="29517"/>
    <cellStyle name="Calculation 2 2 6" xfId="29518"/>
    <cellStyle name="Calculation 2 2 6 2" xfId="29519"/>
    <cellStyle name="Calculation 2 2 6 2 2" xfId="29520"/>
    <cellStyle name="Calculation 2 2 6 3" xfId="29521"/>
    <cellStyle name="Calculation 2 2 6 3 2" xfId="29522"/>
    <cellStyle name="Calculation 2 2 6 4" xfId="29523"/>
    <cellStyle name="Calculation 2 2 6 4 2" xfId="29524"/>
    <cellStyle name="Calculation 2 2 6 5" xfId="29525"/>
    <cellStyle name="Calculation 2 2 7" xfId="29526"/>
    <cellStyle name="Calculation 2 2 7 2" xfId="29527"/>
    <cellStyle name="Calculation 2 2 8" xfId="29528"/>
    <cellStyle name="Calculation 2 2 8 2" xfId="29529"/>
    <cellStyle name="Calculation 2 2 9" xfId="29530"/>
    <cellStyle name="Calculation 2 2 9 2" xfId="29531"/>
    <cellStyle name="Calculation 2 3" xfId="29532"/>
    <cellStyle name="Calculation 2 3 10" xfId="29533"/>
    <cellStyle name="Calculation 2 3 2" xfId="29534"/>
    <cellStyle name="Calculation 2 3 2 2" xfId="29535"/>
    <cellStyle name="Calculation 2 3 2 2 2" xfId="29536"/>
    <cellStyle name="Calculation 2 3 2 3" xfId="29537"/>
    <cellStyle name="Calculation 2 3 2 3 2" xfId="29538"/>
    <cellStyle name="Calculation 2 3 2 4" xfId="29539"/>
    <cellStyle name="Calculation 2 3 2 4 2" xfId="29540"/>
    <cellStyle name="Calculation 2 3 2 5" xfId="29541"/>
    <cellStyle name="Calculation 2 3 3" xfId="29542"/>
    <cellStyle name="Calculation 2 3 3 2" xfId="29543"/>
    <cellStyle name="Calculation 2 3 3 2 2" xfId="29544"/>
    <cellStyle name="Calculation 2 3 3 3" xfId="29545"/>
    <cellStyle name="Calculation 2 3 3 3 2" xfId="29546"/>
    <cellStyle name="Calculation 2 3 3 4" xfId="29547"/>
    <cellStyle name="Calculation 2 3 3 4 2" xfId="29548"/>
    <cellStyle name="Calculation 2 3 3 5" xfId="29549"/>
    <cellStyle name="Calculation 2 3 4" xfId="29550"/>
    <cellStyle name="Calculation 2 3 4 2" xfId="29551"/>
    <cellStyle name="Calculation 2 3 4 2 2" xfId="29552"/>
    <cellStyle name="Calculation 2 3 4 3" xfId="29553"/>
    <cellStyle name="Calculation 2 3 4 3 2" xfId="29554"/>
    <cellStyle name="Calculation 2 3 4 4" xfId="29555"/>
    <cellStyle name="Calculation 2 3 4 4 2" xfId="29556"/>
    <cellStyle name="Calculation 2 3 4 5" xfId="29557"/>
    <cellStyle name="Calculation 2 3 5" xfId="29558"/>
    <cellStyle name="Calculation 2 3 5 2" xfId="29559"/>
    <cellStyle name="Calculation 2 3 5 2 2" xfId="29560"/>
    <cellStyle name="Calculation 2 3 5 3" xfId="29561"/>
    <cellStyle name="Calculation 2 3 5 3 2" xfId="29562"/>
    <cellStyle name="Calculation 2 3 5 4" xfId="29563"/>
    <cellStyle name="Calculation 2 3 5 4 2" xfId="29564"/>
    <cellStyle name="Calculation 2 3 5 5" xfId="29565"/>
    <cellStyle name="Calculation 2 3 6" xfId="29566"/>
    <cellStyle name="Calculation 2 3 6 2" xfId="29567"/>
    <cellStyle name="Calculation 2 3 6 2 2" xfId="29568"/>
    <cellStyle name="Calculation 2 3 6 3" xfId="29569"/>
    <cellStyle name="Calculation 2 3 6 3 2" xfId="29570"/>
    <cellStyle name="Calculation 2 3 6 4" xfId="29571"/>
    <cellStyle name="Calculation 2 3 6 4 2" xfId="29572"/>
    <cellStyle name="Calculation 2 3 6 5" xfId="29573"/>
    <cellStyle name="Calculation 2 3 7" xfId="29574"/>
    <cellStyle name="Calculation 2 3 7 2" xfId="29575"/>
    <cellStyle name="Calculation 2 3 8" xfId="29576"/>
    <cellStyle name="Calculation 2 3 8 2" xfId="29577"/>
    <cellStyle name="Calculation 2 3 9" xfId="29578"/>
    <cellStyle name="Calculation 2 3 9 2" xfId="29579"/>
    <cellStyle name="Calculation 2 4" xfId="29580"/>
    <cellStyle name="Calculation 2 4 2" xfId="29581"/>
    <cellStyle name="Calculation 2 4 2 2" xfId="29582"/>
    <cellStyle name="Calculation 2 4 2 2 2" xfId="29583"/>
    <cellStyle name="Calculation 2 4 2 3" xfId="29584"/>
    <cellStyle name="Calculation 2 4 2 3 2" xfId="29585"/>
    <cellStyle name="Calculation 2 4 2 4" xfId="29586"/>
    <cellStyle name="Calculation 2 4 2 4 2" xfId="29587"/>
    <cellStyle name="Calculation 2 4 2 5" xfId="29588"/>
    <cellStyle name="Calculation 2 4 3" xfId="29589"/>
    <cellStyle name="Calculation 2 4 3 2" xfId="29590"/>
    <cellStyle name="Calculation 2 4 3 2 2" xfId="29591"/>
    <cellStyle name="Calculation 2 4 3 3" xfId="29592"/>
    <cellStyle name="Calculation 2 4 3 3 2" xfId="29593"/>
    <cellStyle name="Calculation 2 4 3 4" xfId="29594"/>
    <cellStyle name="Calculation 2 4 3 4 2" xfId="29595"/>
    <cellStyle name="Calculation 2 4 3 5" xfId="29596"/>
    <cellStyle name="Calculation 2 4 4" xfId="29597"/>
    <cellStyle name="Calculation 2 4 4 2" xfId="29598"/>
    <cellStyle name="Calculation 2 4 4 2 2" xfId="29599"/>
    <cellStyle name="Calculation 2 4 4 3" xfId="29600"/>
    <cellStyle name="Calculation 2 4 4 3 2" xfId="29601"/>
    <cellStyle name="Calculation 2 4 4 4" xfId="29602"/>
    <cellStyle name="Calculation 2 4 4 4 2" xfId="29603"/>
    <cellStyle name="Calculation 2 4 4 5" xfId="29604"/>
    <cellStyle name="Calculation 2 4 5" xfId="29605"/>
    <cellStyle name="Calculation 2 4 5 2" xfId="29606"/>
    <cellStyle name="Calculation 2 4 5 2 2" xfId="29607"/>
    <cellStyle name="Calculation 2 4 5 3" xfId="29608"/>
    <cellStyle name="Calculation 2 4 5 3 2" xfId="29609"/>
    <cellStyle name="Calculation 2 4 5 4" xfId="29610"/>
    <cellStyle name="Calculation 2 4 5 4 2" xfId="29611"/>
    <cellStyle name="Calculation 2 4 5 5" xfId="29612"/>
    <cellStyle name="Calculation 2 4 6" xfId="29613"/>
    <cellStyle name="Calculation 2 4 6 2" xfId="29614"/>
    <cellStyle name="Calculation 2 4 7" xfId="29615"/>
    <cellStyle name="Calculation 2 4 7 2" xfId="29616"/>
    <cellStyle name="Calculation 2 4 8" xfId="29617"/>
    <cellStyle name="Calculation 2 4 8 2" xfId="29618"/>
    <cellStyle name="Calculation 2 4 9" xfId="29619"/>
    <cellStyle name="Calculation 2 5" xfId="29620"/>
    <cellStyle name="Check Cell 2" xfId="29621"/>
    <cellStyle name="Check Cell 2 2" xfId="29622"/>
    <cellStyle name="Comma [0] 2" xfId="813"/>
    <cellStyle name="Comma [0] 2 2" xfId="814"/>
    <cellStyle name="Comma [0] 3" xfId="815"/>
    <cellStyle name="Comma 10" xfId="29623"/>
    <cellStyle name="Comma 11" xfId="29624"/>
    <cellStyle name="Comma 12" xfId="29625"/>
    <cellStyle name="Comma 13" xfId="29626"/>
    <cellStyle name="Comma 14" xfId="29627"/>
    <cellStyle name="Comma 15" xfId="29628"/>
    <cellStyle name="Comma 16" xfId="29629"/>
    <cellStyle name="Comma 17" xfId="29630"/>
    <cellStyle name="Comma 18" xfId="29631"/>
    <cellStyle name="Comma 19" xfId="29632"/>
    <cellStyle name="Comma 2" xfId="816"/>
    <cellStyle name="Comma 2 2" xfId="29633"/>
    <cellStyle name="Comma 20" xfId="29634"/>
    <cellStyle name="Comma 21" xfId="29635"/>
    <cellStyle name="Comma 22" xfId="29636"/>
    <cellStyle name="Comma 23" xfId="29637"/>
    <cellStyle name="Comma 24" xfId="29638"/>
    <cellStyle name="Comma 25" xfId="29639"/>
    <cellStyle name="Comma 26" xfId="29640"/>
    <cellStyle name="Comma 27" xfId="29641"/>
    <cellStyle name="Comma 28" xfId="29642"/>
    <cellStyle name="Comma 29" xfId="29643"/>
    <cellStyle name="Comma 3" xfId="817"/>
    <cellStyle name="Comma 30" xfId="29644"/>
    <cellStyle name="Comma 31" xfId="29645"/>
    <cellStyle name="Comma 4" xfId="26326"/>
    <cellStyle name="Comma 5" xfId="29646"/>
    <cellStyle name="Comma 5 2" xfId="29647"/>
    <cellStyle name="Comma 6" xfId="29648"/>
    <cellStyle name="Comma 7" xfId="29649"/>
    <cellStyle name="Comma 8" xfId="29650"/>
    <cellStyle name="Comma 9" xfId="29651"/>
    <cellStyle name="Comma0" xfId="29652"/>
    <cellStyle name="Currency 2" xfId="818"/>
    <cellStyle name="Currency 3" xfId="29653"/>
    <cellStyle name="Currency 4" xfId="29654"/>
    <cellStyle name="Currency 5" xfId="29655"/>
    <cellStyle name="Currency0" xfId="29656"/>
    <cellStyle name="Date" xfId="29657"/>
    <cellStyle name="entry" xfId="29658"/>
    <cellStyle name="entry 2" xfId="29659"/>
    <cellStyle name="entry 3" xfId="29660"/>
    <cellStyle name="Explanatory Text 2" xfId="29661"/>
    <cellStyle name="Explanatory Text 2 2" xfId="29662"/>
    <cellStyle name="Fixed" xfId="29663"/>
    <cellStyle name="ƒnƒCƒp[ƒŠƒ“ƒN" xfId="819"/>
    <cellStyle name="ƒnƒCƒp[ƒŠƒ“ƒN 2" xfId="820"/>
    <cellStyle name="ƒnƒCƒp[ƒŠƒ“ƒN 3" xfId="821"/>
    <cellStyle name="ƒnƒCƒp[ƒŠƒ“ƒN 4" xfId="29664"/>
    <cellStyle name="ƒnƒCƒp[ƒŠƒ“ƒN 5" xfId="29665"/>
    <cellStyle name="Good 2" xfId="29666"/>
    <cellStyle name="Good 2 2" xfId="29667"/>
    <cellStyle name="Grey" xfId="4"/>
    <cellStyle name="Grey 2" xfId="29668"/>
    <cellStyle name="Header1" xfId="29669"/>
    <cellStyle name="Header1 2" xfId="29670"/>
    <cellStyle name="Header1 3" xfId="29671"/>
    <cellStyle name="Header2" xfId="29672"/>
    <cellStyle name="Header2 2" xfId="29673"/>
    <cellStyle name="Header2 3" xfId="29674"/>
    <cellStyle name="Heading 1 2" xfId="29675"/>
    <cellStyle name="Heading 1 2 2" xfId="29676"/>
    <cellStyle name="Heading 2 2" xfId="29677"/>
    <cellStyle name="Heading 2 2 2" xfId="29678"/>
    <cellStyle name="Heading 3 2" xfId="29679"/>
    <cellStyle name="Heading 3 2 2" xfId="29680"/>
    <cellStyle name="Heading 4 2" xfId="29681"/>
    <cellStyle name="Heading 4 2 2" xfId="29682"/>
    <cellStyle name="Hyperlink 2" xfId="29683"/>
    <cellStyle name="Input [yellow]" xfId="5"/>
    <cellStyle name="Input [yellow] 2" xfId="822"/>
    <cellStyle name="Input [yellow] 2 2" xfId="823"/>
    <cellStyle name="Input [yellow] 3" xfId="824"/>
    <cellStyle name="Input 2" xfId="29684"/>
    <cellStyle name="Input 2 2" xfId="29685"/>
    <cellStyle name="Input 2 2 10" xfId="29686"/>
    <cellStyle name="Input 2 2 2" xfId="29687"/>
    <cellStyle name="Input 2 2 2 2" xfId="29688"/>
    <cellStyle name="Input 2 2 2 2 2" xfId="29689"/>
    <cellStyle name="Input 2 2 2 3" xfId="29690"/>
    <cellStyle name="Input 2 2 2 3 2" xfId="29691"/>
    <cellStyle name="Input 2 2 2 4" xfId="29692"/>
    <cellStyle name="Input 2 2 2 4 2" xfId="29693"/>
    <cellStyle name="Input 2 2 2 5" xfId="29694"/>
    <cellStyle name="Input 2 2 3" xfId="29695"/>
    <cellStyle name="Input 2 2 3 2" xfId="29696"/>
    <cellStyle name="Input 2 2 3 2 2" xfId="29697"/>
    <cellStyle name="Input 2 2 3 3" xfId="29698"/>
    <cellStyle name="Input 2 2 3 3 2" xfId="29699"/>
    <cellStyle name="Input 2 2 3 4" xfId="29700"/>
    <cellStyle name="Input 2 2 3 4 2" xfId="29701"/>
    <cellStyle name="Input 2 2 3 5" xfId="29702"/>
    <cellStyle name="Input 2 2 4" xfId="29703"/>
    <cellStyle name="Input 2 2 4 2" xfId="29704"/>
    <cellStyle name="Input 2 2 4 2 2" xfId="29705"/>
    <cellStyle name="Input 2 2 4 3" xfId="29706"/>
    <cellStyle name="Input 2 2 4 3 2" xfId="29707"/>
    <cellStyle name="Input 2 2 4 4" xfId="29708"/>
    <cellStyle name="Input 2 2 4 4 2" xfId="29709"/>
    <cellStyle name="Input 2 2 4 5" xfId="29710"/>
    <cellStyle name="Input 2 2 5" xfId="29711"/>
    <cellStyle name="Input 2 2 5 2" xfId="29712"/>
    <cellStyle name="Input 2 2 5 2 2" xfId="29713"/>
    <cellStyle name="Input 2 2 5 3" xfId="29714"/>
    <cellStyle name="Input 2 2 5 3 2" xfId="29715"/>
    <cellStyle name="Input 2 2 5 4" xfId="29716"/>
    <cellStyle name="Input 2 2 5 4 2" xfId="29717"/>
    <cellStyle name="Input 2 2 5 5" xfId="29718"/>
    <cellStyle name="Input 2 2 6" xfId="29719"/>
    <cellStyle name="Input 2 2 6 2" xfId="29720"/>
    <cellStyle name="Input 2 2 6 2 2" xfId="29721"/>
    <cellStyle name="Input 2 2 6 3" xfId="29722"/>
    <cellStyle name="Input 2 2 6 3 2" xfId="29723"/>
    <cellStyle name="Input 2 2 6 4" xfId="29724"/>
    <cellStyle name="Input 2 2 6 4 2" xfId="29725"/>
    <cellStyle name="Input 2 2 6 5" xfId="29726"/>
    <cellStyle name="Input 2 2 7" xfId="29727"/>
    <cellStyle name="Input 2 2 7 2" xfId="29728"/>
    <cellStyle name="Input 2 2 8" xfId="29729"/>
    <cellStyle name="Input 2 2 8 2" xfId="29730"/>
    <cellStyle name="Input 2 2 9" xfId="29731"/>
    <cellStyle name="Input 2 2 9 2" xfId="29732"/>
    <cellStyle name="Input 2 3" xfId="29733"/>
    <cellStyle name="Input 2 3 10" xfId="29734"/>
    <cellStyle name="Input 2 3 2" xfId="29735"/>
    <cellStyle name="Input 2 3 2 2" xfId="29736"/>
    <cellStyle name="Input 2 3 2 2 2" xfId="29737"/>
    <cellStyle name="Input 2 3 2 3" xfId="29738"/>
    <cellStyle name="Input 2 3 2 3 2" xfId="29739"/>
    <cellStyle name="Input 2 3 2 4" xfId="29740"/>
    <cellStyle name="Input 2 3 2 4 2" xfId="29741"/>
    <cellStyle name="Input 2 3 2 5" xfId="29742"/>
    <cellStyle name="Input 2 3 3" xfId="29743"/>
    <cellStyle name="Input 2 3 3 2" xfId="29744"/>
    <cellStyle name="Input 2 3 3 2 2" xfId="29745"/>
    <cellStyle name="Input 2 3 3 3" xfId="29746"/>
    <cellStyle name="Input 2 3 3 3 2" xfId="29747"/>
    <cellStyle name="Input 2 3 3 4" xfId="29748"/>
    <cellStyle name="Input 2 3 3 4 2" xfId="29749"/>
    <cellStyle name="Input 2 3 3 5" xfId="29750"/>
    <cellStyle name="Input 2 3 4" xfId="29751"/>
    <cellStyle name="Input 2 3 4 2" xfId="29752"/>
    <cellStyle name="Input 2 3 4 2 2" xfId="29753"/>
    <cellStyle name="Input 2 3 4 3" xfId="29754"/>
    <cellStyle name="Input 2 3 4 3 2" xfId="29755"/>
    <cellStyle name="Input 2 3 4 4" xfId="29756"/>
    <cellStyle name="Input 2 3 4 4 2" xfId="29757"/>
    <cellStyle name="Input 2 3 4 5" xfId="29758"/>
    <cellStyle name="Input 2 3 5" xfId="29759"/>
    <cellStyle name="Input 2 3 5 2" xfId="29760"/>
    <cellStyle name="Input 2 3 5 2 2" xfId="29761"/>
    <cellStyle name="Input 2 3 5 3" xfId="29762"/>
    <cellStyle name="Input 2 3 5 3 2" xfId="29763"/>
    <cellStyle name="Input 2 3 5 4" xfId="29764"/>
    <cellStyle name="Input 2 3 5 4 2" xfId="29765"/>
    <cellStyle name="Input 2 3 5 5" xfId="29766"/>
    <cellStyle name="Input 2 3 6" xfId="29767"/>
    <cellStyle name="Input 2 3 6 2" xfId="29768"/>
    <cellStyle name="Input 2 3 6 2 2" xfId="29769"/>
    <cellStyle name="Input 2 3 6 3" xfId="29770"/>
    <cellStyle name="Input 2 3 6 3 2" xfId="29771"/>
    <cellStyle name="Input 2 3 6 4" xfId="29772"/>
    <cellStyle name="Input 2 3 6 4 2" xfId="29773"/>
    <cellStyle name="Input 2 3 6 5" xfId="29774"/>
    <cellStyle name="Input 2 3 7" xfId="29775"/>
    <cellStyle name="Input 2 3 7 2" xfId="29776"/>
    <cellStyle name="Input 2 3 8" xfId="29777"/>
    <cellStyle name="Input 2 3 8 2" xfId="29778"/>
    <cellStyle name="Input 2 3 9" xfId="29779"/>
    <cellStyle name="Input 2 3 9 2" xfId="29780"/>
    <cellStyle name="Input 2 4" xfId="29781"/>
    <cellStyle name="Input 2 4 2" xfId="29782"/>
    <cellStyle name="Input 2 4 2 2" xfId="29783"/>
    <cellStyle name="Input 2 4 2 2 2" xfId="29784"/>
    <cellStyle name="Input 2 4 2 3" xfId="29785"/>
    <cellStyle name="Input 2 4 2 3 2" xfId="29786"/>
    <cellStyle name="Input 2 4 2 4" xfId="29787"/>
    <cellStyle name="Input 2 4 2 4 2" xfId="29788"/>
    <cellStyle name="Input 2 4 2 5" xfId="29789"/>
    <cellStyle name="Input 2 4 3" xfId="29790"/>
    <cellStyle name="Input 2 4 3 2" xfId="29791"/>
    <cellStyle name="Input 2 4 3 2 2" xfId="29792"/>
    <cellStyle name="Input 2 4 3 3" xfId="29793"/>
    <cellStyle name="Input 2 4 3 3 2" xfId="29794"/>
    <cellStyle name="Input 2 4 3 4" xfId="29795"/>
    <cellStyle name="Input 2 4 3 4 2" xfId="29796"/>
    <cellStyle name="Input 2 4 3 5" xfId="29797"/>
    <cellStyle name="Input 2 4 4" xfId="29798"/>
    <cellStyle name="Input 2 4 4 2" xfId="29799"/>
    <cellStyle name="Input 2 4 4 2 2" xfId="29800"/>
    <cellStyle name="Input 2 4 4 3" xfId="29801"/>
    <cellStyle name="Input 2 4 4 3 2" xfId="29802"/>
    <cellStyle name="Input 2 4 4 4" xfId="29803"/>
    <cellStyle name="Input 2 4 4 4 2" xfId="29804"/>
    <cellStyle name="Input 2 4 4 5" xfId="29805"/>
    <cellStyle name="Input 2 4 5" xfId="29806"/>
    <cellStyle name="Input 2 4 5 2" xfId="29807"/>
    <cellStyle name="Input 2 4 5 2 2" xfId="29808"/>
    <cellStyle name="Input 2 4 5 3" xfId="29809"/>
    <cellStyle name="Input 2 4 5 3 2" xfId="29810"/>
    <cellStyle name="Input 2 4 5 4" xfId="29811"/>
    <cellStyle name="Input 2 4 5 4 2" xfId="29812"/>
    <cellStyle name="Input 2 4 5 5" xfId="29813"/>
    <cellStyle name="Input 2 4 6" xfId="29814"/>
    <cellStyle name="Input 2 4 6 2" xfId="29815"/>
    <cellStyle name="Input 2 4 7" xfId="29816"/>
    <cellStyle name="Input 2 4 7 2" xfId="29817"/>
    <cellStyle name="Input 2 4 8" xfId="29818"/>
    <cellStyle name="Input 2 4 8 2" xfId="29819"/>
    <cellStyle name="Input 2 4 9" xfId="29820"/>
    <cellStyle name="Input 2 5" xfId="29821"/>
    <cellStyle name="Linked Cell 2" xfId="29822"/>
    <cellStyle name="Linked Cell 2 2" xfId="29823"/>
    <cellStyle name="Neutral 2" xfId="29824"/>
    <cellStyle name="Neutral 2 2" xfId="29825"/>
    <cellStyle name="Normal" xfId="0" builtinId="0"/>
    <cellStyle name="Normal - Style1" xfId="6"/>
    <cellStyle name="Normal 10" xfId="825"/>
    <cellStyle name="Normal 10 10" xfId="29826"/>
    <cellStyle name="Normal 10 2" xfId="826"/>
    <cellStyle name="Normal 10 2 2" xfId="827"/>
    <cellStyle name="Normal 10 2 2 2" xfId="828"/>
    <cellStyle name="Normal 10 2 2 3" xfId="829"/>
    <cellStyle name="Normal 10 2 3" xfId="830"/>
    <cellStyle name="Normal 10 2 3 2" xfId="29827"/>
    <cellStyle name="Normal 10 2 3 3" xfId="29828"/>
    <cellStyle name="Normal 10 2 4" xfId="831"/>
    <cellStyle name="Normal 10 2 5" xfId="29829"/>
    <cellStyle name="Normal 10 2 6" xfId="29830"/>
    <cellStyle name="Normal 10 2 7" xfId="29831"/>
    <cellStyle name="Normal 10 2 8" xfId="29832"/>
    <cellStyle name="Normal 10 3" xfId="832"/>
    <cellStyle name="Normal 10 3 2" xfId="833"/>
    <cellStyle name="Normal 10 3 2 2" xfId="29833"/>
    <cellStyle name="Normal 10 3 2 3" xfId="29834"/>
    <cellStyle name="Normal 10 3 3" xfId="834"/>
    <cellStyle name="Normal 10 3 3 2" xfId="29835"/>
    <cellStyle name="Normal 10 3 3 3" xfId="29836"/>
    <cellStyle name="Normal 10 3 4" xfId="29837"/>
    <cellStyle name="Normal 10 3 5" xfId="29838"/>
    <cellStyle name="Normal 10 4" xfId="835"/>
    <cellStyle name="Normal 10 4 2" xfId="29839"/>
    <cellStyle name="Normal 10 4 3" xfId="29840"/>
    <cellStyle name="Normal 10 5" xfId="836"/>
    <cellStyle name="Normal 10 5 2" xfId="29841"/>
    <cellStyle name="Normal 10 5 3" xfId="29842"/>
    <cellStyle name="Normal 10 6" xfId="29843"/>
    <cellStyle name="Normal 10 7" xfId="29844"/>
    <cellStyle name="Normal 10 8" xfId="29845"/>
    <cellStyle name="Normal 10 9" xfId="29846"/>
    <cellStyle name="Normal 100" xfId="837"/>
    <cellStyle name="Normal 100 10" xfId="29847"/>
    <cellStyle name="Normal 100 2" xfId="838"/>
    <cellStyle name="Normal 100 2 2" xfId="839"/>
    <cellStyle name="Normal 100 2 2 2" xfId="840"/>
    <cellStyle name="Normal 100 2 2 3" xfId="841"/>
    <cellStyle name="Normal 100 2 3" xfId="842"/>
    <cellStyle name="Normal 100 2 3 2" xfId="29848"/>
    <cellStyle name="Normal 100 2 3 3" xfId="29849"/>
    <cellStyle name="Normal 100 2 4" xfId="843"/>
    <cellStyle name="Normal 100 2 5" xfId="844"/>
    <cellStyle name="Normal 100 2 6" xfId="29850"/>
    <cellStyle name="Normal 100 2 7" xfId="29851"/>
    <cellStyle name="Normal 100 2 8" xfId="29852"/>
    <cellStyle name="Normal 100 3" xfId="845"/>
    <cellStyle name="Normal 100 3 2" xfId="846"/>
    <cellStyle name="Normal 100 3 2 2" xfId="29853"/>
    <cellStyle name="Normal 100 3 2 3" xfId="29854"/>
    <cellStyle name="Normal 100 3 3" xfId="847"/>
    <cellStyle name="Normal 100 3 3 2" xfId="29855"/>
    <cellStyle name="Normal 100 3 3 3" xfId="29856"/>
    <cellStyle name="Normal 100 3 4" xfId="29857"/>
    <cellStyle name="Normal 100 3 5" xfId="29858"/>
    <cellStyle name="Normal 100 4" xfId="848"/>
    <cellStyle name="Normal 100 4 2" xfId="29859"/>
    <cellStyle name="Normal 100 4 3" xfId="29860"/>
    <cellStyle name="Normal 100 5" xfId="849"/>
    <cellStyle name="Normal 100 5 2" xfId="29861"/>
    <cellStyle name="Normal 100 5 3" xfId="29862"/>
    <cellStyle name="Normal 100 6" xfId="850"/>
    <cellStyle name="Normal 100 7" xfId="29863"/>
    <cellStyle name="Normal 100 8" xfId="29864"/>
    <cellStyle name="Normal 100 9" xfId="29865"/>
    <cellStyle name="Normal 1000" xfId="851"/>
    <cellStyle name="Normal 1000 10" xfId="29866"/>
    <cellStyle name="Normal 1000 2" xfId="852"/>
    <cellStyle name="Normal 1000 2 2" xfId="853"/>
    <cellStyle name="Normal 1000 2 2 2" xfId="29867"/>
    <cellStyle name="Normal 1000 2 2 3" xfId="29868"/>
    <cellStyle name="Normal 1000 2 2 4" xfId="29869"/>
    <cellStyle name="Normal 1000 2 2 5" xfId="29870"/>
    <cellStyle name="Normal 1000 2 2 6" xfId="29871"/>
    <cellStyle name="Normal 1000 2 3" xfId="854"/>
    <cellStyle name="Normal 1000 2 3 2" xfId="29872"/>
    <cellStyle name="Normal 1000 2 3 3" xfId="29873"/>
    <cellStyle name="Normal 1000 2 4" xfId="29874"/>
    <cellStyle name="Normal 1000 2 5" xfId="29875"/>
    <cellStyle name="Normal 1000 2 6" xfId="29876"/>
    <cellStyle name="Normal 1000 2 7" xfId="29877"/>
    <cellStyle name="Normal 1000 2 8" xfId="29878"/>
    <cellStyle name="Normal 1000 3" xfId="855"/>
    <cellStyle name="Normal 1000 3 2" xfId="29879"/>
    <cellStyle name="Normal 1000 3 2 2" xfId="29880"/>
    <cellStyle name="Normal 1000 3 2 3" xfId="29881"/>
    <cellStyle name="Normal 1000 3 3" xfId="29882"/>
    <cellStyle name="Normal 1000 3 3 2" xfId="29883"/>
    <cellStyle name="Normal 1000 3 3 3" xfId="29884"/>
    <cellStyle name="Normal 1000 3 4" xfId="29885"/>
    <cellStyle name="Normal 1000 3 5" xfId="29886"/>
    <cellStyle name="Normal 1000 3 6" xfId="29887"/>
    <cellStyle name="Normal 1000 3 7" xfId="29888"/>
    <cellStyle name="Normal 1000 3 8" xfId="29889"/>
    <cellStyle name="Normal 1000 4" xfId="856"/>
    <cellStyle name="Normal 1000 4 2" xfId="29890"/>
    <cellStyle name="Normal 1000 4 3" xfId="29891"/>
    <cellStyle name="Normal 1000 5" xfId="857"/>
    <cellStyle name="Normal 1000 5 2" xfId="29892"/>
    <cellStyle name="Normal 1000 5 3" xfId="29893"/>
    <cellStyle name="Normal 1000 6" xfId="29894"/>
    <cellStyle name="Normal 1000 7" xfId="29895"/>
    <cellStyle name="Normal 1000 8" xfId="29896"/>
    <cellStyle name="Normal 1000 9" xfId="29897"/>
    <cellStyle name="Normal 1001" xfId="858"/>
    <cellStyle name="Normal 1001 10" xfId="29898"/>
    <cellStyle name="Normal 1001 2" xfId="859"/>
    <cellStyle name="Normal 1001 2 2" xfId="860"/>
    <cellStyle name="Normal 1001 2 2 2" xfId="29899"/>
    <cellStyle name="Normal 1001 2 2 3" xfId="29900"/>
    <cellStyle name="Normal 1001 2 3" xfId="861"/>
    <cellStyle name="Normal 1001 2 3 2" xfId="29901"/>
    <cellStyle name="Normal 1001 2 3 3" xfId="29902"/>
    <cellStyle name="Normal 1001 2 4" xfId="29903"/>
    <cellStyle name="Normal 1001 2 5" xfId="29904"/>
    <cellStyle name="Normal 1001 2 6" xfId="29905"/>
    <cellStyle name="Normal 1001 2 7" xfId="29906"/>
    <cellStyle name="Normal 1001 2 8" xfId="29907"/>
    <cellStyle name="Normal 1001 3" xfId="862"/>
    <cellStyle name="Normal 1001 3 2" xfId="29908"/>
    <cellStyle name="Normal 1001 3 2 2" xfId="29909"/>
    <cellStyle name="Normal 1001 3 2 3" xfId="29910"/>
    <cellStyle name="Normal 1001 3 3" xfId="29911"/>
    <cellStyle name="Normal 1001 3 3 2" xfId="29912"/>
    <cellStyle name="Normal 1001 3 3 3" xfId="29913"/>
    <cellStyle name="Normal 1001 3 4" xfId="29914"/>
    <cellStyle name="Normal 1001 3 5" xfId="29915"/>
    <cellStyle name="Normal 1001 4" xfId="863"/>
    <cellStyle name="Normal 1001 4 2" xfId="29916"/>
    <cellStyle name="Normal 1001 4 3" xfId="29917"/>
    <cellStyle name="Normal 1001 5" xfId="864"/>
    <cellStyle name="Normal 1001 5 2" xfId="29918"/>
    <cellStyle name="Normal 1001 5 3" xfId="29919"/>
    <cellStyle name="Normal 1001 6" xfId="29920"/>
    <cellStyle name="Normal 1001 7" xfId="29921"/>
    <cellStyle name="Normal 1001 8" xfId="29922"/>
    <cellStyle name="Normal 1001 9" xfId="29923"/>
    <cellStyle name="Normal 1002" xfId="865"/>
    <cellStyle name="Normal 1002 2" xfId="866"/>
    <cellStyle name="Normal 1002 2 2" xfId="867"/>
    <cellStyle name="Normal 1002 2 3" xfId="868"/>
    <cellStyle name="Normal 1002 2 4" xfId="29924"/>
    <cellStyle name="Normal 1002 2 5" xfId="29925"/>
    <cellStyle name="Normal 1002 2 6" xfId="29926"/>
    <cellStyle name="Normal 1002 3" xfId="869"/>
    <cellStyle name="Normal 1002 3 2" xfId="29927"/>
    <cellStyle name="Normal 1002 3 3" xfId="29928"/>
    <cellStyle name="Normal 1002 4" xfId="870"/>
    <cellStyle name="Normal 1002 5" xfId="871"/>
    <cellStyle name="Normal 1002 6" xfId="29929"/>
    <cellStyle name="Normal 1002 7" xfId="29930"/>
    <cellStyle name="Normal 1002 8" xfId="29931"/>
    <cellStyle name="Normal 1003" xfId="872"/>
    <cellStyle name="Normal 1003 2" xfId="873"/>
    <cellStyle name="Normal 1003 2 2" xfId="874"/>
    <cellStyle name="Normal 1003 2 3" xfId="875"/>
    <cellStyle name="Normal 1003 2 4" xfId="29932"/>
    <cellStyle name="Normal 1003 2 5" xfId="29933"/>
    <cellStyle name="Normal 1003 2 6" xfId="29934"/>
    <cellStyle name="Normal 1003 3" xfId="876"/>
    <cellStyle name="Normal 1003 3 2" xfId="29935"/>
    <cellStyle name="Normal 1003 3 3" xfId="29936"/>
    <cellStyle name="Normal 1003 4" xfId="877"/>
    <cellStyle name="Normal 1003 5" xfId="878"/>
    <cellStyle name="Normal 1003 6" xfId="29937"/>
    <cellStyle name="Normal 1003 7" xfId="29938"/>
    <cellStyle name="Normal 1003 8" xfId="29939"/>
    <cellStyle name="Normal 1004" xfId="879"/>
    <cellStyle name="Normal 1004 2" xfId="880"/>
    <cellStyle name="Normal 1004 2 2" xfId="881"/>
    <cellStyle name="Normal 1004 2 3" xfId="882"/>
    <cellStyle name="Normal 1004 2 4" xfId="29940"/>
    <cellStyle name="Normal 1004 2 5" xfId="29941"/>
    <cellStyle name="Normal 1004 2 6" xfId="29942"/>
    <cellStyle name="Normal 1004 3" xfId="883"/>
    <cellStyle name="Normal 1004 3 2" xfId="29943"/>
    <cellStyle name="Normal 1004 3 3" xfId="29944"/>
    <cellStyle name="Normal 1004 4" xfId="884"/>
    <cellStyle name="Normal 1004 5" xfId="885"/>
    <cellStyle name="Normal 1004 6" xfId="29945"/>
    <cellStyle name="Normal 1004 7" xfId="29946"/>
    <cellStyle name="Normal 1004 8" xfId="29947"/>
    <cellStyle name="Normal 1005" xfId="886"/>
    <cellStyle name="Normal 1005 2" xfId="887"/>
    <cellStyle name="Normal 1005 2 2" xfId="888"/>
    <cellStyle name="Normal 1005 2 3" xfId="889"/>
    <cellStyle name="Normal 1005 2 4" xfId="29948"/>
    <cellStyle name="Normal 1005 2 5" xfId="29949"/>
    <cellStyle name="Normal 1005 2 6" xfId="29950"/>
    <cellStyle name="Normal 1005 3" xfId="890"/>
    <cellStyle name="Normal 1005 3 2" xfId="29951"/>
    <cellStyle name="Normal 1005 3 3" xfId="29952"/>
    <cellStyle name="Normal 1005 4" xfId="891"/>
    <cellStyle name="Normal 1005 5" xfId="892"/>
    <cellStyle name="Normal 1005 6" xfId="29953"/>
    <cellStyle name="Normal 1005 7" xfId="29954"/>
    <cellStyle name="Normal 1005 8" xfId="29955"/>
    <cellStyle name="Normal 1006" xfId="893"/>
    <cellStyle name="Normal 1006 2" xfId="894"/>
    <cellStyle name="Normal 1006 2 2" xfId="895"/>
    <cellStyle name="Normal 1006 2 3" xfId="896"/>
    <cellStyle name="Normal 1006 2 4" xfId="29956"/>
    <cellStyle name="Normal 1006 2 5" xfId="29957"/>
    <cellStyle name="Normal 1006 2 6" xfId="29958"/>
    <cellStyle name="Normal 1006 3" xfId="897"/>
    <cellStyle name="Normal 1006 3 2" xfId="29959"/>
    <cellStyle name="Normal 1006 3 3" xfId="29960"/>
    <cellStyle name="Normal 1006 4" xfId="898"/>
    <cellStyle name="Normal 1006 5" xfId="899"/>
    <cellStyle name="Normal 1006 6" xfId="29961"/>
    <cellStyle name="Normal 1006 7" xfId="29962"/>
    <cellStyle name="Normal 1006 8" xfId="29963"/>
    <cellStyle name="Normal 1007" xfId="900"/>
    <cellStyle name="Normal 1007 2" xfId="901"/>
    <cellStyle name="Normal 1007 2 2" xfId="902"/>
    <cellStyle name="Normal 1007 2 3" xfId="903"/>
    <cellStyle name="Normal 1007 2 4" xfId="29964"/>
    <cellStyle name="Normal 1007 2 5" xfId="29965"/>
    <cellStyle name="Normal 1007 2 6" xfId="29966"/>
    <cellStyle name="Normal 1007 3" xfId="904"/>
    <cellStyle name="Normal 1007 3 2" xfId="29967"/>
    <cellStyle name="Normal 1007 3 3" xfId="29968"/>
    <cellStyle name="Normal 1007 4" xfId="905"/>
    <cellStyle name="Normal 1007 5" xfId="906"/>
    <cellStyle name="Normal 1007 6" xfId="29969"/>
    <cellStyle name="Normal 1007 7" xfId="29970"/>
    <cellStyle name="Normal 1007 8" xfId="29971"/>
    <cellStyle name="Normal 1008" xfId="907"/>
    <cellStyle name="Normal 1008 2" xfId="908"/>
    <cellStyle name="Normal 1008 2 2" xfId="909"/>
    <cellStyle name="Normal 1008 2 3" xfId="910"/>
    <cellStyle name="Normal 1008 2 4" xfId="29972"/>
    <cellStyle name="Normal 1008 2 5" xfId="29973"/>
    <cellStyle name="Normal 1008 2 6" xfId="29974"/>
    <cellStyle name="Normal 1008 3" xfId="911"/>
    <cellStyle name="Normal 1008 3 2" xfId="29975"/>
    <cellStyle name="Normal 1008 3 3" xfId="29976"/>
    <cellStyle name="Normal 1008 4" xfId="912"/>
    <cellStyle name="Normal 1008 5" xfId="913"/>
    <cellStyle name="Normal 1008 6" xfId="29977"/>
    <cellStyle name="Normal 1008 7" xfId="29978"/>
    <cellStyle name="Normal 1008 8" xfId="29979"/>
    <cellStyle name="Normal 1009" xfId="914"/>
    <cellStyle name="Normal 1009 2" xfId="915"/>
    <cellStyle name="Normal 1009 2 2" xfId="916"/>
    <cellStyle name="Normal 1009 2 3" xfId="917"/>
    <cellStyle name="Normal 1009 2 4" xfId="29980"/>
    <cellStyle name="Normal 1009 2 5" xfId="29981"/>
    <cellStyle name="Normal 1009 2 6" xfId="29982"/>
    <cellStyle name="Normal 1009 3" xfId="918"/>
    <cellStyle name="Normal 1009 3 2" xfId="29983"/>
    <cellStyle name="Normal 1009 3 3" xfId="29984"/>
    <cellStyle name="Normal 1009 4" xfId="919"/>
    <cellStyle name="Normal 1009 5" xfId="920"/>
    <cellStyle name="Normal 1009 6" xfId="29985"/>
    <cellStyle name="Normal 1009 7" xfId="29986"/>
    <cellStyle name="Normal 1009 8" xfId="29987"/>
    <cellStyle name="Normal 101" xfId="921"/>
    <cellStyle name="Normal 101 10" xfId="29988"/>
    <cellStyle name="Normal 101 2" xfId="922"/>
    <cellStyle name="Normal 101 2 2" xfId="923"/>
    <cellStyle name="Normal 101 2 2 2" xfId="924"/>
    <cellStyle name="Normal 101 2 2 3" xfId="925"/>
    <cellStyle name="Normal 101 2 3" xfId="926"/>
    <cellStyle name="Normal 101 2 3 2" xfId="29989"/>
    <cellStyle name="Normal 101 2 3 3" xfId="29990"/>
    <cellStyle name="Normal 101 2 4" xfId="927"/>
    <cellStyle name="Normal 101 2 5" xfId="928"/>
    <cellStyle name="Normal 101 2 6" xfId="29991"/>
    <cellStyle name="Normal 101 2 7" xfId="29992"/>
    <cellStyle name="Normal 101 2 8" xfId="29993"/>
    <cellStyle name="Normal 101 3" xfId="929"/>
    <cellStyle name="Normal 101 3 2" xfId="930"/>
    <cellStyle name="Normal 101 3 2 2" xfId="29994"/>
    <cellStyle name="Normal 101 3 2 3" xfId="29995"/>
    <cellStyle name="Normal 101 3 3" xfId="931"/>
    <cellStyle name="Normal 101 3 3 2" xfId="29996"/>
    <cellStyle name="Normal 101 3 3 3" xfId="29997"/>
    <cellStyle name="Normal 101 3 4" xfId="29998"/>
    <cellStyle name="Normal 101 3 5" xfId="29999"/>
    <cellStyle name="Normal 101 4" xfId="932"/>
    <cellStyle name="Normal 101 4 2" xfId="30000"/>
    <cellStyle name="Normal 101 4 3" xfId="30001"/>
    <cellStyle name="Normal 101 5" xfId="933"/>
    <cellStyle name="Normal 101 5 2" xfId="30002"/>
    <cellStyle name="Normal 101 5 3" xfId="30003"/>
    <cellStyle name="Normal 101 6" xfId="934"/>
    <cellStyle name="Normal 101 7" xfId="30004"/>
    <cellStyle name="Normal 101 8" xfId="30005"/>
    <cellStyle name="Normal 101 9" xfId="30006"/>
    <cellStyle name="Normal 1010" xfId="935"/>
    <cellStyle name="Normal 1010 2" xfId="936"/>
    <cellStyle name="Normal 1010 2 2" xfId="937"/>
    <cellStyle name="Normal 1010 2 3" xfId="938"/>
    <cellStyle name="Normal 1010 2 4" xfId="30007"/>
    <cellStyle name="Normal 1010 2 5" xfId="30008"/>
    <cellStyle name="Normal 1010 2 6" xfId="30009"/>
    <cellStyle name="Normal 1010 3" xfId="939"/>
    <cellStyle name="Normal 1010 3 2" xfId="30010"/>
    <cellStyle name="Normal 1010 3 3" xfId="30011"/>
    <cellStyle name="Normal 1010 4" xfId="940"/>
    <cellStyle name="Normal 1010 5" xfId="941"/>
    <cellStyle name="Normal 1010 6" xfId="30012"/>
    <cellStyle name="Normal 1010 7" xfId="30013"/>
    <cellStyle name="Normal 1010 8" xfId="30014"/>
    <cellStyle name="Normal 1011" xfId="942"/>
    <cellStyle name="Normal 1011 2" xfId="943"/>
    <cellStyle name="Normal 1011 2 2" xfId="944"/>
    <cellStyle name="Normal 1011 2 3" xfId="945"/>
    <cellStyle name="Normal 1011 2 4" xfId="30015"/>
    <cellStyle name="Normal 1011 2 5" xfId="30016"/>
    <cellStyle name="Normal 1011 2 6" xfId="30017"/>
    <cellStyle name="Normal 1011 3" xfId="946"/>
    <cellStyle name="Normal 1011 3 2" xfId="30018"/>
    <cellStyle name="Normal 1011 3 3" xfId="30019"/>
    <cellStyle name="Normal 1011 4" xfId="947"/>
    <cellStyle name="Normal 1011 5" xfId="948"/>
    <cellStyle name="Normal 1011 6" xfId="30020"/>
    <cellStyle name="Normal 1011 7" xfId="30021"/>
    <cellStyle name="Normal 1011 8" xfId="30022"/>
    <cellStyle name="Normal 1012" xfId="949"/>
    <cellStyle name="Normal 1012 2" xfId="950"/>
    <cellStyle name="Normal 1012 2 2" xfId="951"/>
    <cellStyle name="Normal 1012 2 3" xfId="952"/>
    <cellStyle name="Normal 1012 2 4" xfId="30023"/>
    <cellStyle name="Normal 1012 2 5" xfId="30024"/>
    <cellStyle name="Normal 1012 2 6" xfId="30025"/>
    <cellStyle name="Normal 1012 3" xfId="953"/>
    <cellStyle name="Normal 1012 3 2" xfId="30026"/>
    <cellStyle name="Normal 1012 3 3" xfId="30027"/>
    <cellStyle name="Normal 1012 4" xfId="954"/>
    <cellStyle name="Normal 1012 5" xfId="955"/>
    <cellStyle name="Normal 1012 6" xfId="30028"/>
    <cellStyle name="Normal 1012 7" xfId="30029"/>
    <cellStyle name="Normal 1012 8" xfId="30030"/>
    <cellStyle name="Normal 1013" xfId="956"/>
    <cellStyle name="Normal 1013 2" xfId="957"/>
    <cellStyle name="Normal 1013 2 2" xfId="958"/>
    <cellStyle name="Normal 1013 2 3" xfId="959"/>
    <cellStyle name="Normal 1013 2 4" xfId="30031"/>
    <cellStyle name="Normal 1013 2 5" xfId="30032"/>
    <cellStyle name="Normal 1013 2 6" xfId="30033"/>
    <cellStyle name="Normal 1013 3" xfId="960"/>
    <cellStyle name="Normal 1013 3 2" xfId="30034"/>
    <cellStyle name="Normal 1013 3 3" xfId="30035"/>
    <cellStyle name="Normal 1013 4" xfId="961"/>
    <cellStyle name="Normal 1013 5" xfId="962"/>
    <cellStyle name="Normal 1013 6" xfId="30036"/>
    <cellStyle name="Normal 1013 7" xfId="30037"/>
    <cellStyle name="Normal 1013 8" xfId="30038"/>
    <cellStyle name="Normal 1014" xfId="963"/>
    <cellStyle name="Normal 1014 2" xfId="964"/>
    <cellStyle name="Normal 1014 2 2" xfId="965"/>
    <cellStyle name="Normal 1014 2 3" xfId="966"/>
    <cellStyle name="Normal 1014 2 4" xfId="30039"/>
    <cellStyle name="Normal 1014 2 5" xfId="30040"/>
    <cellStyle name="Normal 1014 2 6" xfId="30041"/>
    <cellStyle name="Normal 1014 3" xfId="967"/>
    <cellStyle name="Normal 1014 3 2" xfId="30042"/>
    <cellStyle name="Normal 1014 3 3" xfId="30043"/>
    <cellStyle name="Normal 1014 4" xfId="968"/>
    <cellStyle name="Normal 1014 5" xfId="969"/>
    <cellStyle name="Normal 1014 6" xfId="30044"/>
    <cellStyle name="Normal 1014 7" xfId="30045"/>
    <cellStyle name="Normal 1014 8" xfId="30046"/>
    <cellStyle name="Normal 1015" xfId="970"/>
    <cellStyle name="Normal 1015 2" xfId="971"/>
    <cellStyle name="Normal 1015 2 2" xfId="972"/>
    <cellStyle name="Normal 1015 2 3" xfId="973"/>
    <cellStyle name="Normal 1015 2 4" xfId="30047"/>
    <cellStyle name="Normal 1015 2 5" xfId="30048"/>
    <cellStyle name="Normal 1015 2 6" xfId="30049"/>
    <cellStyle name="Normal 1015 3" xfId="974"/>
    <cellStyle name="Normal 1015 3 2" xfId="30050"/>
    <cellStyle name="Normal 1015 3 3" xfId="30051"/>
    <cellStyle name="Normal 1015 4" xfId="975"/>
    <cellStyle name="Normal 1015 5" xfId="976"/>
    <cellStyle name="Normal 1015 6" xfId="30052"/>
    <cellStyle name="Normal 1015 7" xfId="30053"/>
    <cellStyle name="Normal 1015 8" xfId="30054"/>
    <cellStyle name="Normal 1016" xfId="977"/>
    <cellStyle name="Normal 1016 2" xfId="978"/>
    <cellStyle name="Normal 1016 2 2" xfId="979"/>
    <cellStyle name="Normal 1016 2 3" xfId="980"/>
    <cellStyle name="Normal 1016 2 4" xfId="30055"/>
    <cellStyle name="Normal 1016 2 5" xfId="30056"/>
    <cellStyle name="Normal 1016 2 6" xfId="30057"/>
    <cellStyle name="Normal 1016 3" xfId="981"/>
    <cellStyle name="Normal 1016 3 2" xfId="30058"/>
    <cellStyle name="Normal 1016 3 3" xfId="30059"/>
    <cellStyle name="Normal 1016 4" xfId="982"/>
    <cellStyle name="Normal 1016 5" xfId="983"/>
    <cellStyle name="Normal 1016 6" xfId="30060"/>
    <cellStyle name="Normal 1016 7" xfId="30061"/>
    <cellStyle name="Normal 1016 8" xfId="30062"/>
    <cellStyle name="Normal 1017" xfId="984"/>
    <cellStyle name="Normal 1017 2" xfId="985"/>
    <cellStyle name="Normal 1017 2 2" xfId="986"/>
    <cellStyle name="Normal 1017 2 3" xfId="987"/>
    <cellStyle name="Normal 1017 2 4" xfId="30063"/>
    <cellStyle name="Normal 1017 2 5" xfId="30064"/>
    <cellStyle name="Normal 1017 2 6" xfId="30065"/>
    <cellStyle name="Normal 1017 3" xfId="988"/>
    <cellStyle name="Normal 1017 3 2" xfId="30066"/>
    <cellStyle name="Normal 1017 3 3" xfId="30067"/>
    <cellStyle name="Normal 1017 4" xfId="989"/>
    <cellStyle name="Normal 1017 5" xfId="990"/>
    <cellStyle name="Normal 1017 6" xfId="30068"/>
    <cellStyle name="Normal 1017 7" xfId="30069"/>
    <cellStyle name="Normal 1017 8" xfId="30070"/>
    <cellStyle name="Normal 1018" xfId="991"/>
    <cellStyle name="Normal 1018 2" xfId="992"/>
    <cellStyle name="Normal 1018 2 2" xfId="993"/>
    <cellStyle name="Normal 1018 2 3" xfId="994"/>
    <cellStyle name="Normal 1018 2 4" xfId="30071"/>
    <cellStyle name="Normal 1018 2 5" xfId="30072"/>
    <cellStyle name="Normal 1018 2 6" xfId="30073"/>
    <cellStyle name="Normal 1018 3" xfId="995"/>
    <cellStyle name="Normal 1018 3 2" xfId="30074"/>
    <cellStyle name="Normal 1018 3 3" xfId="30075"/>
    <cellStyle name="Normal 1018 4" xfId="996"/>
    <cellStyle name="Normal 1018 5" xfId="997"/>
    <cellStyle name="Normal 1018 6" xfId="30076"/>
    <cellStyle name="Normal 1018 7" xfId="30077"/>
    <cellStyle name="Normal 1018 8" xfId="30078"/>
    <cellStyle name="Normal 1019" xfId="998"/>
    <cellStyle name="Normal 1019 2" xfId="999"/>
    <cellStyle name="Normal 1019 2 2" xfId="1000"/>
    <cellStyle name="Normal 1019 2 3" xfId="1001"/>
    <cellStyle name="Normal 1019 2 4" xfId="30079"/>
    <cellStyle name="Normal 1019 2 5" xfId="30080"/>
    <cellStyle name="Normal 1019 2 6" xfId="30081"/>
    <cellStyle name="Normal 1019 3" xfId="1002"/>
    <cellStyle name="Normal 1019 3 2" xfId="30082"/>
    <cellStyle name="Normal 1019 3 3" xfId="30083"/>
    <cellStyle name="Normal 1019 4" xfId="1003"/>
    <cellStyle name="Normal 1019 5" xfId="1004"/>
    <cellStyle name="Normal 1019 6" xfId="30084"/>
    <cellStyle name="Normal 1019 7" xfId="30085"/>
    <cellStyle name="Normal 1019 8" xfId="30086"/>
    <cellStyle name="Normal 102" xfId="1005"/>
    <cellStyle name="Normal 102 10" xfId="30087"/>
    <cellStyle name="Normal 102 2" xfId="1006"/>
    <cellStyle name="Normal 102 2 2" xfId="1007"/>
    <cellStyle name="Normal 102 2 2 2" xfId="1008"/>
    <cellStyle name="Normal 102 2 2 3" xfId="1009"/>
    <cellStyle name="Normal 102 2 3" xfId="1010"/>
    <cellStyle name="Normal 102 2 3 2" xfId="30088"/>
    <cellStyle name="Normal 102 2 3 3" xfId="30089"/>
    <cellStyle name="Normal 102 2 4" xfId="1011"/>
    <cellStyle name="Normal 102 2 5" xfId="1012"/>
    <cellStyle name="Normal 102 2 6" xfId="30090"/>
    <cellStyle name="Normal 102 2 7" xfId="30091"/>
    <cellStyle name="Normal 102 2 8" xfId="30092"/>
    <cellStyle name="Normal 102 3" xfId="1013"/>
    <cellStyle name="Normal 102 3 2" xfId="1014"/>
    <cellStyle name="Normal 102 3 2 2" xfId="30093"/>
    <cellStyle name="Normal 102 3 2 3" xfId="30094"/>
    <cellStyle name="Normal 102 3 3" xfId="1015"/>
    <cellStyle name="Normal 102 3 3 2" xfId="30095"/>
    <cellStyle name="Normal 102 3 3 3" xfId="30096"/>
    <cellStyle name="Normal 102 3 4" xfId="30097"/>
    <cellStyle name="Normal 102 3 5" xfId="30098"/>
    <cellStyle name="Normal 102 4" xfId="1016"/>
    <cellStyle name="Normal 102 4 2" xfId="30099"/>
    <cellStyle name="Normal 102 4 3" xfId="30100"/>
    <cellStyle name="Normal 102 5" xfId="1017"/>
    <cellStyle name="Normal 102 5 2" xfId="30101"/>
    <cellStyle name="Normal 102 5 3" xfId="30102"/>
    <cellStyle name="Normal 102 6" xfId="1018"/>
    <cellStyle name="Normal 102 7" xfId="30103"/>
    <cellStyle name="Normal 102 8" xfId="30104"/>
    <cellStyle name="Normal 102 9" xfId="30105"/>
    <cellStyle name="Normal 1020" xfId="1019"/>
    <cellStyle name="Normal 1020 2" xfId="1020"/>
    <cellStyle name="Normal 1020 2 2" xfId="1021"/>
    <cellStyle name="Normal 1020 2 3" xfId="1022"/>
    <cellStyle name="Normal 1020 2 4" xfId="30106"/>
    <cellStyle name="Normal 1020 2 5" xfId="30107"/>
    <cellStyle name="Normal 1020 2 6" xfId="30108"/>
    <cellStyle name="Normal 1020 3" xfId="1023"/>
    <cellStyle name="Normal 1020 3 2" xfId="30109"/>
    <cellStyle name="Normal 1020 3 3" xfId="30110"/>
    <cellStyle name="Normal 1020 4" xfId="1024"/>
    <cellStyle name="Normal 1020 5" xfId="1025"/>
    <cellStyle name="Normal 1020 6" xfId="30111"/>
    <cellStyle name="Normal 1020 7" xfId="30112"/>
    <cellStyle name="Normal 1020 8" xfId="30113"/>
    <cellStyle name="Normal 1021" xfId="1026"/>
    <cellStyle name="Normal 1021 2" xfId="1027"/>
    <cellStyle name="Normal 1021 2 2" xfId="1028"/>
    <cellStyle name="Normal 1021 2 3" xfId="1029"/>
    <cellStyle name="Normal 1021 2 4" xfId="30114"/>
    <cellStyle name="Normal 1021 2 5" xfId="30115"/>
    <cellStyle name="Normal 1021 2 6" xfId="30116"/>
    <cellStyle name="Normal 1021 3" xfId="1030"/>
    <cellStyle name="Normal 1021 3 2" xfId="30117"/>
    <cellStyle name="Normal 1021 3 3" xfId="30118"/>
    <cellStyle name="Normal 1021 4" xfId="1031"/>
    <cellStyle name="Normal 1021 5" xfId="1032"/>
    <cellStyle name="Normal 1021 6" xfId="30119"/>
    <cellStyle name="Normal 1021 7" xfId="30120"/>
    <cellStyle name="Normal 1021 8" xfId="30121"/>
    <cellStyle name="Normal 1022" xfId="1033"/>
    <cellStyle name="Normal 1022 2" xfId="1034"/>
    <cellStyle name="Normal 1022 2 2" xfId="1035"/>
    <cellStyle name="Normal 1022 2 3" xfId="1036"/>
    <cellStyle name="Normal 1022 2 4" xfId="30122"/>
    <cellStyle name="Normal 1022 2 5" xfId="30123"/>
    <cellStyle name="Normal 1022 2 6" xfId="30124"/>
    <cellStyle name="Normal 1022 3" xfId="1037"/>
    <cellStyle name="Normal 1022 3 2" xfId="30125"/>
    <cellStyle name="Normal 1022 3 3" xfId="30126"/>
    <cellStyle name="Normal 1022 4" xfId="1038"/>
    <cellStyle name="Normal 1022 5" xfId="1039"/>
    <cellStyle name="Normal 1022 6" xfId="30127"/>
    <cellStyle name="Normal 1022 7" xfId="30128"/>
    <cellStyle name="Normal 1022 8" xfId="30129"/>
    <cellStyle name="Normal 1023" xfId="1040"/>
    <cellStyle name="Normal 1023 2" xfId="1041"/>
    <cellStyle name="Normal 1023 2 2" xfId="1042"/>
    <cellStyle name="Normal 1023 2 3" xfId="1043"/>
    <cellStyle name="Normal 1023 2 4" xfId="30130"/>
    <cellStyle name="Normal 1023 2 5" xfId="30131"/>
    <cellStyle name="Normal 1023 2 6" xfId="30132"/>
    <cellStyle name="Normal 1023 3" xfId="1044"/>
    <cellStyle name="Normal 1023 3 2" xfId="30133"/>
    <cellStyle name="Normal 1023 3 3" xfId="30134"/>
    <cellStyle name="Normal 1023 4" xfId="1045"/>
    <cellStyle name="Normal 1023 5" xfId="1046"/>
    <cellStyle name="Normal 1023 6" xfId="30135"/>
    <cellStyle name="Normal 1023 7" xfId="30136"/>
    <cellStyle name="Normal 1023 8" xfId="30137"/>
    <cellStyle name="Normal 1024" xfId="1047"/>
    <cellStyle name="Normal 1024 2" xfId="1048"/>
    <cellStyle name="Normal 1024 2 2" xfId="1049"/>
    <cellStyle name="Normal 1024 2 3" xfId="1050"/>
    <cellStyle name="Normal 1024 2 4" xfId="30138"/>
    <cellStyle name="Normal 1024 2 5" xfId="30139"/>
    <cellStyle name="Normal 1024 2 6" xfId="30140"/>
    <cellStyle name="Normal 1024 3" xfId="1051"/>
    <cellStyle name="Normal 1024 3 2" xfId="30141"/>
    <cellStyle name="Normal 1024 3 3" xfId="30142"/>
    <cellStyle name="Normal 1024 4" xfId="1052"/>
    <cellStyle name="Normal 1024 5" xfId="1053"/>
    <cellStyle name="Normal 1024 6" xfId="30143"/>
    <cellStyle name="Normal 1024 7" xfId="30144"/>
    <cellStyle name="Normal 1024 8" xfId="30145"/>
    <cellStyle name="Normal 1025" xfId="1054"/>
    <cellStyle name="Normal 1025 2" xfId="1055"/>
    <cellStyle name="Normal 1025 2 2" xfId="1056"/>
    <cellStyle name="Normal 1025 2 3" xfId="1057"/>
    <cellStyle name="Normal 1025 2 4" xfId="30146"/>
    <cellStyle name="Normal 1025 2 5" xfId="30147"/>
    <cellStyle name="Normal 1025 2 6" xfId="30148"/>
    <cellStyle name="Normal 1025 3" xfId="1058"/>
    <cellStyle name="Normal 1025 3 2" xfId="30149"/>
    <cellStyle name="Normal 1025 3 3" xfId="30150"/>
    <cellStyle name="Normal 1025 4" xfId="1059"/>
    <cellStyle name="Normal 1025 5" xfId="1060"/>
    <cellStyle name="Normal 1025 6" xfId="30151"/>
    <cellStyle name="Normal 1025 7" xfId="30152"/>
    <cellStyle name="Normal 1025 8" xfId="30153"/>
    <cellStyle name="Normal 1026" xfId="1061"/>
    <cellStyle name="Normal 1026 2" xfId="1062"/>
    <cellStyle name="Normal 1026 2 2" xfId="1063"/>
    <cellStyle name="Normal 1026 2 3" xfId="1064"/>
    <cellStyle name="Normal 1026 2 4" xfId="30154"/>
    <cellStyle name="Normal 1026 2 5" xfId="30155"/>
    <cellStyle name="Normal 1026 2 6" xfId="30156"/>
    <cellStyle name="Normal 1026 3" xfId="1065"/>
    <cellStyle name="Normal 1026 3 2" xfId="30157"/>
    <cellStyle name="Normal 1026 3 3" xfId="30158"/>
    <cellStyle name="Normal 1026 4" xfId="1066"/>
    <cellStyle name="Normal 1026 5" xfId="1067"/>
    <cellStyle name="Normal 1026 6" xfId="30159"/>
    <cellStyle name="Normal 1026 7" xfId="30160"/>
    <cellStyle name="Normal 1026 8" xfId="30161"/>
    <cellStyle name="Normal 1027" xfId="1068"/>
    <cellStyle name="Normal 1027 2" xfId="1069"/>
    <cellStyle name="Normal 1027 2 2" xfId="1070"/>
    <cellStyle name="Normal 1027 2 3" xfId="1071"/>
    <cellStyle name="Normal 1027 2 4" xfId="30162"/>
    <cellStyle name="Normal 1027 2 5" xfId="30163"/>
    <cellStyle name="Normal 1027 2 6" xfId="30164"/>
    <cellStyle name="Normal 1027 3" xfId="1072"/>
    <cellStyle name="Normal 1027 3 2" xfId="30165"/>
    <cellStyle name="Normal 1027 3 3" xfId="30166"/>
    <cellStyle name="Normal 1027 4" xfId="1073"/>
    <cellStyle name="Normal 1027 5" xfId="1074"/>
    <cellStyle name="Normal 1027 6" xfId="30167"/>
    <cellStyle name="Normal 1027 7" xfId="30168"/>
    <cellStyle name="Normal 1027 8" xfId="30169"/>
    <cellStyle name="Normal 1028" xfId="1075"/>
    <cellStyle name="Normal 1028 2" xfId="1076"/>
    <cellStyle name="Normal 1028 2 2" xfId="1077"/>
    <cellStyle name="Normal 1028 2 3" xfId="1078"/>
    <cellStyle name="Normal 1028 2 4" xfId="30170"/>
    <cellStyle name="Normal 1028 2 5" xfId="30171"/>
    <cellStyle name="Normal 1028 2 6" xfId="30172"/>
    <cellStyle name="Normal 1028 3" xfId="1079"/>
    <cellStyle name="Normal 1028 3 2" xfId="30173"/>
    <cellStyle name="Normal 1028 3 3" xfId="30174"/>
    <cellStyle name="Normal 1028 4" xfId="1080"/>
    <cellStyle name="Normal 1028 5" xfId="1081"/>
    <cellStyle name="Normal 1028 6" xfId="30175"/>
    <cellStyle name="Normal 1028 7" xfId="30176"/>
    <cellStyle name="Normal 1028 8" xfId="30177"/>
    <cellStyle name="Normal 1029" xfId="1082"/>
    <cellStyle name="Normal 1029 2" xfId="1083"/>
    <cellStyle name="Normal 1029 2 2" xfId="1084"/>
    <cellStyle name="Normal 1029 2 3" xfId="1085"/>
    <cellStyle name="Normal 1029 2 4" xfId="30178"/>
    <cellStyle name="Normal 1029 2 5" xfId="30179"/>
    <cellStyle name="Normal 1029 2 6" xfId="30180"/>
    <cellStyle name="Normal 1029 3" xfId="1086"/>
    <cellStyle name="Normal 1029 3 2" xfId="30181"/>
    <cellStyle name="Normal 1029 3 3" xfId="30182"/>
    <cellStyle name="Normal 1029 4" xfId="1087"/>
    <cellStyle name="Normal 1029 5" xfId="1088"/>
    <cellStyle name="Normal 1029 6" xfId="30183"/>
    <cellStyle name="Normal 1029 7" xfId="30184"/>
    <cellStyle name="Normal 1029 8" xfId="30185"/>
    <cellStyle name="Normal 103" xfId="1089"/>
    <cellStyle name="Normal 103 10" xfId="30186"/>
    <cellStyle name="Normal 103 2" xfId="1090"/>
    <cellStyle name="Normal 103 2 2" xfId="1091"/>
    <cellStyle name="Normal 103 2 2 2" xfId="1092"/>
    <cellStyle name="Normal 103 2 2 3" xfId="1093"/>
    <cellStyle name="Normal 103 2 3" xfId="1094"/>
    <cellStyle name="Normal 103 2 3 2" xfId="30187"/>
    <cellStyle name="Normal 103 2 3 3" xfId="30188"/>
    <cellStyle name="Normal 103 2 4" xfId="1095"/>
    <cellStyle name="Normal 103 2 5" xfId="1096"/>
    <cellStyle name="Normal 103 2 6" xfId="30189"/>
    <cellStyle name="Normal 103 2 7" xfId="30190"/>
    <cellStyle name="Normal 103 2 8" xfId="30191"/>
    <cellStyle name="Normal 103 3" xfId="1097"/>
    <cellStyle name="Normal 103 3 2" xfId="1098"/>
    <cellStyle name="Normal 103 3 2 2" xfId="30192"/>
    <cellStyle name="Normal 103 3 2 3" xfId="30193"/>
    <cellStyle name="Normal 103 3 3" xfId="1099"/>
    <cellStyle name="Normal 103 3 3 2" xfId="30194"/>
    <cellStyle name="Normal 103 3 3 3" xfId="30195"/>
    <cellStyle name="Normal 103 3 4" xfId="30196"/>
    <cellStyle name="Normal 103 3 5" xfId="30197"/>
    <cellStyle name="Normal 103 4" xfId="1100"/>
    <cellStyle name="Normal 103 4 2" xfId="30198"/>
    <cellStyle name="Normal 103 4 3" xfId="30199"/>
    <cellStyle name="Normal 103 5" xfId="1101"/>
    <cellStyle name="Normal 103 5 2" xfId="30200"/>
    <cellStyle name="Normal 103 5 3" xfId="30201"/>
    <cellStyle name="Normal 103 6" xfId="1102"/>
    <cellStyle name="Normal 103 7" xfId="30202"/>
    <cellStyle name="Normal 103 8" xfId="30203"/>
    <cellStyle name="Normal 103 9" xfId="30204"/>
    <cellStyle name="Normal 1030" xfId="1103"/>
    <cellStyle name="Normal 1030 2" xfId="1104"/>
    <cellStyle name="Normal 1030 2 2" xfId="1105"/>
    <cellStyle name="Normal 1030 2 3" xfId="1106"/>
    <cellStyle name="Normal 1030 2 4" xfId="30205"/>
    <cellStyle name="Normal 1030 2 5" xfId="30206"/>
    <cellStyle name="Normal 1030 2 6" xfId="30207"/>
    <cellStyle name="Normal 1030 3" xfId="1107"/>
    <cellStyle name="Normal 1030 3 2" xfId="30208"/>
    <cellStyle name="Normal 1030 3 3" xfId="30209"/>
    <cellStyle name="Normal 1030 4" xfId="1108"/>
    <cellStyle name="Normal 1030 5" xfId="1109"/>
    <cellStyle name="Normal 1030 6" xfId="30210"/>
    <cellStyle name="Normal 1030 7" xfId="30211"/>
    <cellStyle name="Normal 1030 8" xfId="30212"/>
    <cellStyle name="Normal 1031" xfId="1110"/>
    <cellStyle name="Normal 1031 2" xfId="1111"/>
    <cellStyle name="Normal 1031 2 2" xfId="1112"/>
    <cellStyle name="Normal 1031 2 3" xfId="1113"/>
    <cellStyle name="Normal 1031 2 4" xfId="30213"/>
    <cellStyle name="Normal 1031 2 5" xfId="30214"/>
    <cellStyle name="Normal 1031 2 6" xfId="30215"/>
    <cellStyle name="Normal 1031 3" xfId="1114"/>
    <cellStyle name="Normal 1031 3 2" xfId="30216"/>
    <cellStyle name="Normal 1031 3 3" xfId="30217"/>
    <cellStyle name="Normal 1031 4" xfId="1115"/>
    <cellStyle name="Normal 1031 5" xfId="1116"/>
    <cellStyle name="Normal 1031 6" xfId="30218"/>
    <cellStyle name="Normal 1031 7" xfId="30219"/>
    <cellStyle name="Normal 1031 8" xfId="30220"/>
    <cellStyle name="Normal 1032" xfId="1117"/>
    <cellStyle name="Normal 1032 2" xfId="1118"/>
    <cellStyle name="Normal 1032 2 2" xfId="1119"/>
    <cellStyle name="Normal 1032 2 3" xfId="1120"/>
    <cellStyle name="Normal 1032 2 4" xfId="30221"/>
    <cellStyle name="Normal 1032 2 5" xfId="30222"/>
    <cellStyle name="Normal 1032 2 6" xfId="30223"/>
    <cellStyle name="Normal 1032 3" xfId="1121"/>
    <cellStyle name="Normal 1032 3 2" xfId="30224"/>
    <cellStyle name="Normal 1032 3 3" xfId="30225"/>
    <cellStyle name="Normal 1032 4" xfId="1122"/>
    <cellStyle name="Normal 1032 5" xfId="1123"/>
    <cellStyle name="Normal 1032 6" xfId="30226"/>
    <cellStyle name="Normal 1032 7" xfId="30227"/>
    <cellStyle name="Normal 1032 8" xfId="30228"/>
    <cellStyle name="Normal 1033" xfId="1124"/>
    <cellStyle name="Normal 1033 2" xfId="1125"/>
    <cellStyle name="Normal 1033 2 2" xfId="1126"/>
    <cellStyle name="Normal 1033 2 3" xfId="1127"/>
    <cellStyle name="Normal 1033 2 4" xfId="30229"/>
    <cellStyle name="Normal 1033 2 5" xfId="30230"/>
    <cellStyle name="Normal 1033 2 6" xfId="30231"/>
    <cellStyle name="Normal 1033 3" xfId="1128"/>
    <cellStyle name="Normal 1033 3 2" xfId="30232"/>
    <cellStyle name="Normal 1033 3 3" xfId="30233"/>
    <cellStyle name="Normal 1033 4" xfId="1129"/>
    <cellStyle name="Normal 1033 5" xfId="1130"/>
    <cellStyle name="Normal 1033 6" xfId="30234"/>
    <cellStyle name="Normal 1033 7" xfId="30235"/>
    <cellStyle name="Normal 1033 8" xfId="30236"/>
    <cellStyle name="Normal 1034" xfId="1131"/>
    <cellStyle name="Normal 1034 2" xfId="1132"/>
    <cellStyle name="Normal 1034 2 2" xfId="1133"/>
    <cellStyle name="Normal 1034 2 3" xfId="1134"/>
    <cellStyle name="Normal 1034 2 4" xfId="30237"/>
    <cellStyle name="Normal 1034 2 5" xfId="30238"/>
    <cellStyle name="Normal 1034 2 6" xfId="30239"/>
    <cellStyle name="Normal 1034 3" xfId="1135"/>
    <cellStyle name="Normal 1034 3 2" xfId="30240"/>
    <cellStyle name="Normal 1034 3 3" xfId="30241"/>
    <cellStyle name="Normal 1034 4" xfId="1136"/>
    <cellStyle name="Normal 1034 5" xfId="1137"/>
    <cellStyle name="Normal 1034 6" xfId="30242"/>
    <cellStyle name="Normal 1034 7" xfId="30243"/>
    <cellStyle name="Normal 1034 8" xfId="30244"/>
    <cellStyle name="Normal 1035" xfId="1138"/>
    <cellStyle name="Normal 1035 2" xfId="1139"/>
    <cellStyle name="Normal 1035 2 2" xfId="1140"/>
    <cellStyle name="Normal 1035 2 3" xfId="1141"/>
    <cellStyle name="Normal 1035 2 4" xfId="30245"/>
    <cellStyle name="Normal 1035 2 5" xfId="30246"/>
    <cellStyle name="Normal 1035 2 6" xfId="30247"/>
    <cellStyle name="Normal 1035 3" xfId="1142"/>
    <cellStyle name="Normal 1035 3 2" xfId="30248"/>
    <cellStyle name="Normal 1035 3 3" xfId="30249"/>
    <cellStyle name="Normal 1035 4" xfId="1143"/>
    <cellStyle name="Normal 1035 5" xfId="1144"/>
    <cellStyle name="Normal 1035 6" xfId="30250"/>
    <cellStyle name="Normal 1035 7" xfId="30251"/>
    <cellStyle name="Normal 1035 8" xfId="30252"/>
    <cellStyle name="Normal 1036" xfId="1145"/>
    <cellStyle name="Normal 1036 2" xfId="1146"/>
    <cellStyle name="Normal 1036 2 2" xfId="1147"/>
    <cellStyle name="Normal 1036 2 3" xfId="1148"/>
    <cellStyle name="Normal 1036 2 4" xfId="30253"/>
    <cellStyle name="Normal 1036 2 5" xfId="30254"/>
    <cellStyle name="Normal 1036 2 6" xfId="30255"/>
    <cellStyle name="Normal 1036 3" xfId="1149"/>
    <cellStyle name="Normal 1036 3 2" xfId="30256"/>
    <cellStyle name="Normal 1036 3 3" xfId="30257"/>
    <cellStyle name="Normal 1036 4" xfId="1150"/>
    <cellStyle name="Normal 1036 5" xfId="1151"/>
    <cellStyle name="Normal 1036 6" xfId="30258"/>
    <cellStyle name="Normal 1036 7" xfId="30259"/>
    <cellStyle name="Normal 1036 8" xfId="30260"/>
    <cellStyle name="Normal 1037" xfId="1152"/>
    <cellStyle name="Normal 1037 2" xfId="1153"/>
    <cellStyle name="Normal 1037 2 2" xfId="1154"/>
    <cellStyle name="Normal 1037 2 3" xfId="1155"/>
    <cellStyle name="Normal 1037 2 4" xfId="30261"/>
    <cellStyle name="Normal 1037 2 5" xfId="30262"/>
    <cellStyle name="Normal 1037 2 6" xfId="30263"/>
    <cellStyle name="Normal 1037 3" xfId="1156"/>
    <cellStyle name="Normal 1037 3 2" xfId="30264"/>
    <cellStyle name="Normal 1037 3 3" xfId="30265"/>
    <cellStyle name="Normal 1037 4" xfId="1157"/>
    <cellStyle name="Normal 1037 5" xfId="1158"/>
    <cellStyle name="Normal 1037 6" xfId="30266"/>
    <cellStyle name="Normal 1037 7" xfId="30267"/>
    <cellStyle name="Normal 1037 8" xfId="30268"/>
    <cellStyle name="Normal 1038" xfId="1159"/>
    <cellStyle name="Normal 1038 2" xfId="1160"/>
    <cellStyle name="Normal 1038 2 2" xfId="1161"/>
    <cellStyle name="Normal 1038 2 3" xfId="1162"/>
    <cellStyle name="Normal 1038 2 4" xfId="30269"/>
    <cellStyle name="Normal 1038 2 5" xfId="30270"/>
    <cellStyle name="Normal 1038 2 6" xfId="30271"/>
    <cellStyle name="Normal 1038 3" xfId="1163"/>
    <cellStyle name="Normal 1038 3 2" xfId="30272"/>
    <cellStyle name="Normal 1038 3 3" xfId="30273"/>
    <cellStyle name="Normal 1038 4" xfId="1164"/>
    <cellStyle name="Normal 1038 5" xfId="1165"/>
    <cellStyle name="Normal 1038 6" xfId="30274"/>
    <cellStyle name="Normal 1038 7" xfId="30275"/>
    <cellStyle name="Normal 1038 8" xfId="30276"/>
    <cellStyle name="Normal 1039" xfId="1166"/>
    <cellStyle name="Normal 1039 2" xfId="1167"/>
    <cellStyle name="Normal 1039 2 2" xfId="1168"/>
    <cellStyle name="Normal 1039 2 3" xfId="1169"/>
    <cellStyle name="Normal 1039 2 4" xfId="30277"/>
    <cellStyle name="Normal 1039 2 5" xfId="30278"/>
    <cellStyle name="Normal 1039 2 6" xfId="30279"/>
    <cellStyle name="Normal 1039 3" xfId="1170"/>
    <cellStyle name="Normal 1039 3 2" xfId="30280"/>
    <cellStyle name="Normal 1039 3 3" xfId="30281"/>
    <cellStyle name="Normal 1039 4" xfId="1171"/>
    <cellStyle name="Normal 1039 5" xfId="1172"/>
    <cellStyle name="Normal 1039 6" xfId="30282"/>
    <cellStyle name="Normal 1039 7" xfId="30283"/>
    <cellStyle name="Normal 1039 8" xfId="30284"/>
    <cellStyle name="Normal 104" xfId="1173"/>
    <cellStyle name="Normal 104 10" xfId="30285"/>
    <cellStyle name="Normal 104 2" xfId="1174"/>
    <cellStyle name="Normal 104 2 2" xfId="1175"/>
    <cellStyle name="Normal 104 2 2 2" xfId="1176"/>
    <cellStyle name="Normal 104 2 2 3" xfId="1177"/>
    <cellStyle name="Normal 104 2 3" xfId="1178"/>
    <cellStyle name="Normal 104 2 3 2" xfId="30286"/>
    <cellStyle name="Normal 104 2 3 3" xfId="30287"/>
    <cellStyle name="Normal 104 2 4" xfId="1179"/>
    <cellStyle name="Normal 104 2 5" xfId="1180"/>
    <cellStyle name="Normal 104 2 6" xfId="30288"/>
    <cellStyle name="Normal 104 2 7" xfId="30289"/>
    <cellStyle name="Normal 104 2 8" xfId="30290"/>
    <cellStyle name="Normal 104 3" xfId="1181"/>
    <cellStyle name="Normal 104 3 2" xfId="1182"/>
    <cellStyle name="Normal 104 3 2 2" xfId="30291"/>
    <cellStyle name="Normal 104 3 2 3" xfId="30292"/>
    <cellStyle name="Normal 104 3 3" xfId="1183"/>
    <cellStyle name="Normal 104 3 3 2" xfId="30293"/>
    <cellStyle name="Normal 104 3 3 3" xfId="30294"/>
    <cellStyle name="Normal 104 3 4" xfId="30295"/>
    <cellStyle name="Normal 104 3 5" xfId="30296"/>
    <cellStyle name="Normal 104 4" xfId="1184"/>
    <cellStyle name="Normal 104 4 2" xfId="30297"/>
    <cellStyle name="Normal 104 4 3" xfId="30298"/>
    <cellStyle name="Normal 104 5" xfId="1185"/>
    <cellStyle name="Normal 104 5 2" xfId="30299"/>
    <cellStyle name="Normal 104 5 3" xfId="30300"/>
    <cellStyle name="Normal 104 6" xfId="1186"/>
    <cellStyle name="Normal 104 7" xfId="30301"/>
    <cellStyle name="Normal 104 8" xfId="30302"/>
    <cellStyle name="Normal 104 9" xfId="30303"/>
    <cellStyle name="Normal 1040" xfId="1187"/>
    <cellStyle name="Normal 1040 2" xfId="1188"/>
    <cellStyle name="Normal 1040 2 2" xfId="1189"/>
    <cellStyle name="Normal 1040 2 3" xfId="1190"/>
    <cellStyle name="Normal 1040 2 4" xfId="30304"/>
    <cellStyle name="Normal 1040 2 5" xfId="30305"/>
    <cellStyle name="Normal 1040 2 6" xfId="30306"/>
    <cellStyle name="Normal 1040 3" xfId="1191"/>
    <cellStyle name="Normal 1040 3 2" xfId="30307"/>
    <cellStyle name="Normal 1040 3 3" xfId="30308"/>
    <cellStyle name="Normal 1040 4" xfId="1192"/>
    <cellStyle name="Normal 1040 5" xfId="1193"/>
    <cellStyle name="Normal 1040 6" xfId="30309"/>
    <cellStyle name="Normal 1040 7" xfId="30310"/>
    <cellStyle name="Normal 1040 8" xfId="30311"/>
    <cellStyle name="Normal 1041" xfId="1194"/>
    <cellStyle name="Normal 1041 2" xfId="1195"/>
    <cellStyle name="Normal 1041 2 2" xfId="1196"/>
    <cellStyle name="Normal 1041 2 3" xfId="1197"/>
    <cellStyle name="Normal 1041 2 4" xfId="30312"/>
    <cellStyle name="Normal 1041 2 5" xfId="30313"/>
    <cellStyle name="Normal 1041 2 6" xfId="30314"/>
    <cellStyle name="Normal 1041 3" xfId="1198"/>
    <cellStyle name="Normal 1041 3 2" xfId="30315"/>
    <cellStyle name="Normal 1041 3 3" xfId="30316"/>
    <cellStyle name="Normal 1041 4" xfId="1199"/>
    <cellStyle name="Normal 1041 5" xfId="1200"/>
    <cellStyle name="Normal 1041 6" xfId="30317"/>
    <cellStyle name="Normal 1041 7" xfId="30318"/>
    <cellStyle name="Normal 1041 8" xfId="30319"/>
    <cellStyle name="Normal 1042" xfId="1201"/>
    <cellStyle name="Normal 1042 2" xfId="1202"/>
    <cellStyle name="Normal 1042 2 2" xfId="1203"/>
    <cellStyle name="Normal 1042 2 3" xfId="1204"/>
    <cellStyle name="Normal 1042 2 4" xfId="30320"/>
    <cellStyle name="Normal 1042 2 5" xfId="30321"/>
    <cellStyle name="Normal 1042 2 6" xfId="30322"/>
    <cellStyle name="Normal 1042 3" xfId="1205"/>
    <cellStyle name="Normal 1042 3 2" xfId="30323"/>
    <cellStyle name="Normal 1042 3 3" xfId="30324"/>
    <cellStyle name="Normal 1042 4" xfId="1206"/>
    <cellStyle name="Normal 1042 5" xfId="1207"/>
    <cellStyle name="Normal 1042 6" xfId="30325"/>
    <cellStyle name="Normal 1042 7" xfId="30326"/>
    <cellStyle name="Normal 1042 8" xfId="30327"/>
    <cellStyle name="Normal 1043" xfId="1208"/>
    <cellStyle name="Normal 1043 2" xfId="1209"/>
    <cellStyle name="Normal 1043 2 2" xfId="1210"/>
    <cellStyle name="Normal 1043 2 3" xfId="1211"/>
    <cellStyle name="Normal 1043 2 4" xfId="30328"/>
    <cellStyle name="Normal 1043 2 5" xfId="30329"/>
    <cellStyle name="Normal 1043 2 6" xfId="30330"/>
    <cellStyle name="Normal 1043 3" xfId="1212"/>
    <cellStyle name="Normal 1043 3 2" xfId="30331"/>
    <cellStyle name="Normal 1043 3 3" xfId="30332"/>
    <cellStyle name="Normal 1043 4" xfId="1213"/>
    <cellStyle name="Normal 1043 5" xfId="1214"/>
    <cellStyle name="Normal 1043 6" xfId="30333"/>
    <cellStyle name="Normal 1043 7" xfId="30334"/>
    <cellStyle name="Normal 1043 8" xfId="30335"/>
    <cellStyle name="Normal 1044" xfId="1215"/>
    <cellStyle name="Normal 1044 2" xfId="1216"/>
    <cellStyle name="Normal 1044 2 2" xfId="1217"/>
    <cellStyle name="Normal 1044 2 3" xfId="1218"/>
    <cellStyle name="Normal 1044 2 4" xfId="30336"/>
    <cellStyle name="Normal 1044 2 5" xfId="30337"/>
    <cellStyle name="Normal 1044 2 6" xfId="30338"/>
    <cellStyle name="Normal 1044 3" xfId="1219"/>
    <cellStyle name="Normal 1044 3 2" xfId="30339"/>
    <cellStyle name="Normal 1044 3 3" xfId="30340"/>
    <cellStyle name="Normal 1044 4" xfId="1220"/>
    <cellStyle name="Normal 1044 5" xfId="1221"/>
    <cellStyle name="Normal 1044 6" xfId="30341"/>
    <cellStyle name="Normal 1044 7" xfId="30342"/>
    <cellStyle name="Normal 1044 8" xfId="30343"/>
    <cellStyle name="Normal 1045" xfId="1222"/>
    <cellStyle name="Normal 1045 2" xfId="1223"/>
    <cellStyle name="Normal 1045 2 2" xfId="1224"/>
    <cellStyle name="Normal 1045 2 3" xfId="1225"/>
    <cellStyle name="Normal 1045 2 4" xfId="30344"/>
    <cellStyle name="Normal 1045 2 5" xfId="30345"/>
    <cellStyle name="Normal 1045 2 6" xfId="30346"/>
    <cellStyle name="Normal 1045 3" xfId="1226"/>
    <cellStyle name="Normal 1045 3 2" xfId="30347"/>
    <cellStyle name="Normal 1045 3 3" xfId="30348"/>
    <cellStyle name="Normal 1045 4" xfId="1227"/>
    <cellStyle name="Normal 1045 5" xfId="1228"/>
    <cellStyle name="Normal 1045 6" xfId="30349"/>
    <cellStyle name="Normal 1045 7" xfId="30350"/>
    <cellStyle name="Normal 1045 8" xfId="30351"/>
    <cellStyle name="Normal 1046" xfId="1229"/>
    <cellStyle name="Normal 1046 2" xfId="1230"/>
    <cellStyle name="Normal 1046 2 2" xfId="1231"/>
    <cellStyle name="Normal 1046 2 3" xfId="1232"/>
    <cellStyle name="Normal 1046 2 4" xfId="30352"/>
    <cellStyle name="Normal 1046 2 5" xfId="30353"/>
    <cellStyle name="Normal 1046 2 6" xfId="30354"/>
    <cellStyle name="Normal 1046 3" xfId="1233"/>
    <cellStyle name="Normal 1046 3 2" xfId="30355"/>
    <cellStyle name="Normal 1046 3 3" xfId="30356"/>
    <cellStyle name="Normal 1046 4" xfId="1234"/>
    <cellStyle name="Normal 1046 5" xfId="1235"/>
    <cellStyle name="Normal 1046 6" xfId="30357"/>
    <cellStyle name="Normal 1046 7" xfId="30358"/>
    <cellStyle name="Normal 1046 8" xfId="30359"/>
    <cellStyle name="Normal 1047" xfId="1236"/>
    <cellStyle name="Normal 1047 2" xfId="1237"/>
    <cellStyle name="Normal 1047 2 2" xfId="1238"/>
    <cellStyle name="Normal 1047 2 3" xfId="1239"/>
    <cellStyle name="Normal 1047 2 4" xfId="30360"/>
    <cellStyle name="Normal 1047 2 5" xfId="30361"/>
    <cellStyle name="Normal 1047 2 6" xfId="30362"/>
    <cellStyle name="Normal 1047 3" xfId="1240"/>
    <cellStyle name="Normal 1047 3 2" xfId="30363"/>
    <cellStyle name="Normal 1047 3 3" xfId="30364"/>
    <cellStyle name="Normal 1047 4" xfId="1241"/>
    <cellStyle name="Normal 1047 5" xfId="1242"/>
    <cellStyle name="Normal 1047 6" xfId="30365"/>
    <cellStyle name="Normal 1047 7" xfId="30366"/>
    <cellStyle name="Normal 1047 8" xfId="30367"/>
    <cellStyle name="Normal 1048" xfId="1243"/>
    <cellStyle name="Normal 1048 2" xfId="1244"/>
    <cellStyle name="Normal 1048 2 2" xfId="1245"/>
    <cellStyle name="Normal 1048 2 3" xfId="1246"/>
    <cellStyle name="Normal 1048 2 4" xfId="30368"/>
    <cellStyle name="Normal 1048 2 5" xfId="30369"/>
    <cellStyle name="Normal 1048 2 6" xfId="30370"/>
    <cellStyle name="Normal 1048 3" xfId="1247"/>
    <cellStyle name="Normal 1048 3 2" xfId="30371"/>
    <cellStyle name="Normal 1048 3 3" xfId="30372"/>
    <cellStyle name="Normal 1048 4" xfId="1248"/>
    <cellStyle name="Normal 1048 5" xfId="1249"/>
    <cellStyle name="Normal 1048 6" xfId="30373"/>
    <cellStyle name="Normal 1048 7" xfId="30374"/>
    <cellStyle name="Normal 1048 8" xfId="30375"/>
    <cellStyle name="Normal 1049" xfId="1250"/>
    <cellStyle name="Normal 1049 2" xfId="1251"/>
    <cellStyle name="Normal 1049 2 2" xfId="1252"/>
    <cellStyle name="Normal 1049 2 3" xfId="1253"/>
    <cellStyle name="Normal 1049 2 4" xfId="30376"/>
    <cellStyle name="Normal 1049 2 5" xfId="30377"/>
    <cellStyle name="Normal 1049 2 6" xfId="30378"/>
    <cellStyle name="Normal 1049 3" xfId="1254"/>
    <cellStyle name="Normal 1049 3 2" xfId="30379"/>
    <cellStyle name="Normal 1049 3 3" xfId="30380"/>
    <cellStyle name="Normal 1049 4" xfId="1255"/>
    <cellStyle name="Normal 1049 5" xfId="1256"/>
    <cellStyle name="Normal 1049 6" xfId="30381"/>
    <cellStyle name="Normal 1049 7" xfId="30382"/>
    <cellStyle name="Normal 1049 8" xfId="30383"/>
    <cellStyle name="Normal 105" xfId="1257"/>
    <cellStyle name="Normal 105 10" xfId="30384"/>
    <cellStyle name="Normal 105 2" xfId="1258"/>
    <cellStyle name="Normal 105 2 2" xfId="1259"/>
    <cellStyle name="Normal 105 2 2 2" xfId="1260"/>
    <cellStyle name="Normal 105 2 2 3" xfId="1261"/>
    <cellStyle name="Normal 105 2 3" xfId="1262"/>
    <cellStyle name="Normal 105 2 3 2" xfId="30385"/>
    <cellStyle name="Normal 105 2 3 3" xfId="30386"/>
    <cellStyle name="Normal 105 2 4" xfId="1263"/>
    <cellStyle name="Normal 105 2 5" xfId="1264"/>
    <cellStyle name="Normal 105 2 6" xfId="30387"/>
    <cellStyle name="Normal 105 2 7" xfId="30388"/>
    <cellStyle name="Normal 105 2 8" xfId="30389"/>
    <cellStyle name="Normal 105 3" xfId="1265"/>
    <cellStyle name="Normal 105 3 2" xfId="1266"/>
    <cellStyle name="Normal 105 3 2 2" xfId="30390"/>
    <cellStyle name="Normal 105 3 2 3" xfId="30391"/>
    <cellStyle name="Normal 105 3 3" xfId="1267"/>
    <cellStyle name="Normal 105 3 3 2" xfId="30392"/>
    <cellStyle name="Normal 105 3 3 3" xfId="30393"/>
    <cellStyle name="Normal 105 3 4" xfId="30394"/>
    <cellStyle name="Normal 105 3 5" xfId="30395"/>
    <cellStyle name="Normal 105 4" xfId="1268"/>
    <cellStyle name="Normal 105 4 2" xfId="30396"/>
    <cellStyle name="Normal 105 4 3" xfId="30397"/>
    <cellStyle name="Normal 105 5" xfId="1269"/>
    <cellStyle name="Normal 105 5 2" xfId="30398"/>
    <cellStyle name="Normal 105 5 3" xfId="30399"/>
    <cellStyle name="Normal 105 6" xfId="1270"/>
    <cellStyle name="Normal 105 7" xfId="30400"/>
    <cellStyle name="Normal 105 8" xfId="30401"/>
    <cellStyle name="Normal 105 9" xfId="30402"/>
    <cellStyle name="Normal 1050" xfId="1271"/>
    <cellStyle name="Normal 1050 2" xfId="1272"/>
    <cellStyle name="Normal 1050 2 2" xfId="1273"/>
    <cellStyle name="Normal 1050 2 3" xfId="1274"/>
    <cellStyle name="Normal 1050 2 4" xfId="30403"/>
    <cellStyle name="Normal 1050 2 5" xfId="30404"/>
    <cellStyle name="Normal 1050 2 6" xfId="30405"/>
    <cellStyle name="Normal 1050 3" xfId="1275"/>
    <cellStyle name="Normal 1050 3 2" xfId="30406"/>
    <cellStyle name="Normal 1050 3 3" xfId="30407"/>
    <cellStyle name="Normal 1050 4" xfId="1276"/>
    <cellStyle name="Normal 1050 5" xfId="1277"/>
    <cellStyle name="Normal 1050 6" xfId="30408"/>
    <cellStyle name="Normal 1050 7" xfId="30409"/>
    <cellStyle name="Normal 1050 8" xfId="30410"/>
    <cellStyle name="Normal 1051" xfId="1278"/>
    <cellStyle name="Normal 1051 2" xfId="1279"/>
    <cellStyle name="Normal 1051 2 2" xfId="1280"/>
    <cellStyle name="Normal 1051 2 3" xfId="1281"/>
    <cellStyle name="Normal 1051 2 4" xfId="30411"/>
    <cellStyle name="Normal 1051 2 5" xfId="30412"/>
    <cellStyle name="Normal 1051 2 6" xfId="30413"/>
    <cellStyle name="Normal 1051 3" xfId="1282"/>
    <cellStyle name="Normal 1051 3 2" xfId="30414"/>
    <cellStyle name="Normal 1051 3 3" xfId="30415"/>
    <cellStyle name="Normal 1051 4" xfId="1283"/>
    <cellStyle name="Normal 1051 5" xfId="1284"/>
    <cellStyle name="Normal 1051 6" xfId="30416"/>
    <cellStyle name="Normal 1051 7" xfId="30417"/>
    <cellStyle name="Normal 1051 8" xfId="30418"/>
    <cellStyle name="Normal 1052" xfId="1285"/>
    <cellStyle name="Normal 1052 2" xfId="1286"/>
    <cellStyle name="Normal 1052 2 2" xfId="1287"/>
    <cellStyle name="Normal 1052 2 3" xfId="1288"/>
    <cellStyle name="Normal 1052 2 4" xfId="30419"/>
    <cellStyle name="Normal 1052 2 5" xfId="30420"/>
    <cellStyle name="Normal 1052 2 6" xfId="30421"/>
    <cellStyle name="Normal 1052 3" xfId="1289"/>
    <cellStyle name="Normal 1052 3 2" xfId="30422"/>
    <cellStyle name="Normal 1052 3 3" xfId="30423"/>
    <cellStyle name="Normal 1052 4" xfId="1290"/>
    <cellStyle name="Normal 1052 5" xfId="1291"/>
    <cellStyle name="Normal 1052 6" xfId="30424"/>
    <cellStyle name="Normal 1052 7" xfId="30425"/>
    <cellStyle name="Normal 1052 8" xfId="30426"/>
    <cellStyle name="Normal 1053" xfId="1292"/>
    <cellStyle name="Normal 1053 2" xfId="1293"/>
    <cellStyle name="Normal 1053 2 2" xfId="1294"/>
    <cellStyle name="Normal 1053 2 3" xfId="1295"/>
    <cellStyle name="Normal 1053 2 4" xfId="30427"/>
    <cellStyle name="Normal 1053 2 5" xfId="30428"/>
    <cellStyle name="Normal 1053 2 6" xfId="30429"/>
    <cellStyle name="Normal 1053 3" xfId="1296"/>
    <cellStyle name="Normal 1053 3 2" xfId="30430"/>
    <cellStyle name="Normal 1053 3 3" xfId="30431"/>
    <cellStyle name="Normal 1053 4" xfId="1297"/>
    <cellStyle name="Normal 1053 5" xfId="1298"/>
    <cellStyle name="Normal 1053 6" xfId="30432"/>
    <cellStyle name="Normal 1053 7" xfId="30433"/>
    <cellStyle name="Normal 1053 8" xfId="30434"/>
    <cellStyle name="Normal 1054" xfId="1299"/>
    <cellStyle name="Normal 1054 2" xfId="1300"/>
    <cellStyle name="Normal 1054 2 2" xfId="1301"/>
    <cellStyle name="Normal 1054 2 3" xfId="1302"/>
    <cellStyle name="Normal 1054 2 4" xfId="30435"/>
    <cellStyle name="Normal 1054 2 5" xfId="30436"/>
    <cellStyle name="Normal 1054 2 6" xfId="30437"/>
    <cellStyle name="Normal 1054 3" xfId="1303"/>
    <cellStyle name="Normal 1054 3 2" xfId="30438"/>
    <cellStyle name="Normal 1054 3 3" xfId="30439"/>
    <cellStyle name="Normal 1054 4" xfId="1304"/>
    <cellStyle name="Normal 1054 5" xfId="1305"/>
    <cellStyle name="Normal 1054 6" xfId="30440"/>
    <cellStyle name="Normal 1054 7" xfId="30441"/>
    <cellStyle name="Normal 1054 8" xfId="30442"/>
    <cellStyle name="Normal 1055" xfId="1306"/>
    <cellStyle name="Normal 1055 2" xfId="1307"/>
    <cellStyle name="Normal 1055 2 2" xfId="1308"/>
    <cellStyle name="Normal 1055 2 3" xfId="1309"/>
    <cellStyle name="Normal 1055 2 4" xfId="30443"/>
    <cellStyle name="Normal 1055 2 5" xfId="30444"/>
    <cellStyle name="Normal 1055 2 6" xfId="30445"/>
    <cellStyle name="Normal 1055 3" xfId="1310"/>
    <cellStyle name="Normal 1055 3 2" xfId="30446"/>
    <cellStyle name="Normal 1055 3 3" xfId="30447"/>
    <cellStyle name="Normal 1055 4" xfId="1311"/>
    <cellStyle name="Normal 1055 5" xfId="1312"/>
    <cellStyle name="Normal 1055 6" xfId="30448"/>
    <cellStyle name="Normal 1055 7" xfId="30449"/>
    <cellStyle name="Normal 1055 8" xfId="30450"/>
    <cellStyle name="Normal 1056" xfId="1313"/>
    <cellStyle name="Normal 1056 2" xfId="1314"/>
    <cellStyle name="Normal 1056 2 2" xfId="1315"/>
    <cellStyle name="Normal 1056 2 3" xfId="1316"/>
    <cellStyle name="Normal 1056 2 4" xfId="30451"/>
    <cellStyle name="Normal 1056 2 5" xfId="30452"/>
    <cellStyle name="Normal 1056 2 6" xfId="30453"/>
    <cellStyle name="Normal 1056 3" xfId="1317"/>
    <cellStyle name="Normal 1056 3 2" xfId="30454"/>
    <cellStyle name="Normal 1056 3 3" xfId="30455"/>
    <cellStyle name="Normal 1056 4" xfId="1318"/>
    <cellStyle name="Normal 1056 5" xfId="1319"/>
    <cellStyle name="Normal 1056 6" xfId="30456"/>
    <cellStyle name="Normal 1056 7" xfId="30457"/>
    <cellStyle name="Normal 1056 8" xfId="30458"/>
    <cellStyle name="Normal 1057" xfId="1320"/>
    <cellStyle name="Normal 1057 2" xfId="1321"/>
    <cellStyle name="Normal 1057 2 2" xfId="1322"/>
    <cellStyle name="Normal 1057 2 3" xfId="1323"/>
    <cellStyle name="Normal 1057 2 4" xfId="30459"/>
    <cellStyle name="Normal 1057 2 5" xfId="30460"/>
    <cellStyle name="Normal 1057 2 6" xfId="30461"/>
    <cellStyle name="Normal 1057 3" xfId="1324"/>
    <cellStyle name="Normal 1057 3 2" xfId="30462"/>
    <cellStyle name="Normal 1057 3 3" xfId="30463"/>
    <cellStyle name="Normal 1057 4" xfId="1325"/>
    <cellStyle name="Normal 1057 5" xfId="1326"/>
    <cellStyle name="Normal 1057 6" xfId="30464"/>
    <cellStyle name="Normal 1057 7" xfId="30465"/>
    <cellStyle name="Normal 1057 8" xfId="30466"/>
    <cellStyle name="Normal 1058" xfId="1327"/>
    <cellStyle name="Normal 1058 2" xfId="1328"/>
    <cellStyle name="Normal 1058 2 2" xfId="1329"/>
    <cellStyle name="Normal 1058 2 3" xfId="1330"/>
    <cellStyle name="Normal 1058 2 4" xfId="30467"/>
    <cellStyle name="Normal 1058 2 5" xfId="30468"/>
    <cellStyle name="Normal 1058 2 6" xfId="30469"/>
    <cellStyle name="Normal 1058 3" xfId="1331"/>
    <cellStyle name="Normal 1058 3 2" xfId="30470"/>
    <cellStyle name="Normal 1058 3 3" xfId="30471"/>
    <cellStyle name="Normal 1058 4" xfId="1332"/>
    <cellStyle name="Normal 1058 5" xfId="1333"/>
    <cellStyle name="Normal 1058 6" xfId="30472"/>
    <cellStyle name="Normal 1058 7" xfId="30473"/>
    <cellStyle name="Normal 1058 8" xfId="30474"/>
    <cellStyle name="Normal 1059" xfId="1334"/>
    <cellStyle name="Normal 1059 2" xfId="1335"/>
    <cellStyle name="Normal 1059 2 2" xfId="1336"/>
    <cellStyle name="Normal 1059 2 3" xfId="1337"/>
    <cellStyle name="Normal 1059 2 4" xfId="30475"/>
    <cellStyle name="Normal 1059 2 5" xfId="30476"/>
    <cellStyle name="Normal 1059 2 6" xfId="30477"/>
    <cellStyle name="Normal 1059 3" xfId="1338"/>
    <cellStyle name="Normal 1059 3 2" xfId="30478"/>
    <cellStyle name="Normal 1059 3 3" xfId="30479"/>
    <cellStyle name="Normal 1059 4" xfId="1339"/>
    <cellStyle name="Normal 1059 5" xfId="1340"/>
    <cellStyle name="Normal 1059 6" xfId="30480"/>
    <cellStyle name="Normal 1059 7" xfId="30481"/>
    <cellStyle name="Normal 1059 8" xfId="30482"/>
    <cellStyle name="Normal 106" xfId="1341"/>
    <cellStyle name="Normal 106 10" xfId="30483"/>
    <cellStyle name="Normal 106 2" xfId="1342"/>
    <cellStyle name="Normal 106 2 2" xfId="1343"/>
    <cellStyle name="Normal 106 2 2 2" xfId="1344"/>
    <cellStyle name="Normal 106 2 2 3" xfId="1345"/>
    <cellStyle name="Normal 106 2 3" xfId="1346"/>
    <cellStyle name="Normal 106 2 3 2" xfId="30484"/>
    <cellStyle name="Normal 106 2 3 3" xfId="30485"/>
    <cellStyle name="Normal 106 2 4" xfId="1347"/>
    <cellStyle name="Normal 106 2 5" xfId="1348"/>
    <cellStyle name="Normal 106 2 6" xfId="30486"/>
    <cellStyle name="Normal 106 2 7" xfId="30487"/>
    <cellStyle name="Normal 106 2 8" xfId="30488"/>
    <cellStyle name="Normal 106 3" xfId="1349"/>
    <cellStyle name="Normal 106 3 2" xfId="1350"/>
    <cellStyle name="Normal 106 3 2 2" xfId="30489"/>
    <cellStyle name="Normal 106 3 2 3" xfId="30490"/>
    <cellStyle name="Normal 106 3 3" xfId="1351"/>
    <cellStyle name="Normal 106 3 3 2" xfId="30491"/>
    <cellStyle name="Normal 106 3 3 3" xfId="30492"/>
    <cellStyle name="Normal 106 3 4" xfId="30493"/>
    <cellStyle name="Normal 106 3 5" xfId="30494"/>
    <cellStyle name="Normal 106 4" xfId="1352"/>
    <cellStyle name="Normal 106 4 2" xfId="30495"/>
    <cellStyle name="Normal 106 4 3" xfId="30496"/>
    <cellStyle name="Normal 106 5" xfId="1353"/>
    <cellStyle name="Normal 106 5 2" xfId="30497"/>
    <cellStyle name="Normal 106 5 3" xfId="30498"/>
    <cellStyle name="Normal 106 6" xfId="1354"/>
    <cellStyle name="Normal 106 7" xfId="30499"/>
    <cellStyle name="Normal 106 8" xfId="30500"/>
    <cellStyle name="Normal 106 9" xfId="30501"/>
    <cellStyle name="Normal 1060" xfId="1355"/>
    <cellStyle name="Normal 1060 2" xfId="1356"/>
    <cellStyle name="Normal 1060 2 2" xfId="1357"/>
    <cellStyle name="Normal 1060 2 3" xfId="1358"/>
    <cellStyle name="Normal 1060 2 4" xfId="30502"/>
    <cellStyle name="Normal 1060 2 5" xfId="30503"/>
    <cellStyle name="Normal 1060 2 6" xfId="30504"/>
    <cellStyle name="Normal 1060 3" xfId="1359"/>
    <cellStyle name="Normal 1060 3 2" xfId="30505"/>
    <cellStyle name="Normal 1060 3 3" xfId="30506"/>
    <cellStyle name="Normal 1060 4" xfId="1360"/>
    <cellStyle name="Normal 1060 5" xfId="1361"/>
    <cellStyle name="Normal 1060 6" xfId="30507"/>
    <cellStyle name="Normal 1060 7" xfId="30508"/>
    <cellStyle name="Normal 1060 8" xfId="30509"/>
    <cellStyle name="Normal 1061" xfId="1362"/>
    <cellStyle name="Normal 1061 2" xfId="1363"/>
    <cellStyle name="Normal 1061 2 2" xfId="1364"/>
    <cellStyle name="Normal 1061 2 3" xfId="1365"/>
    <cellStyle name="Normal 1061 2 4" xfId="30510"/>
    <cellStyle name="Normal 1061 2 5" xfId="30511"/>
    <cellStyle name="Normal 1061 2 6" xfId="30512"/>
    <cellStyle name="Normal 1061 3" xfId="1366"/>
    <cellStyle name="Normal 1061 3 2" xfId="30513"/>
    <cellStyle name="Normal 1061 3 3" xfId="30514"/>
    <cellStyle name="Normal 1061 4" xfId="1367"/>
    <cellStyle name="Normal 1061 5" xfId="1368"/>
    <cellStyle name="Normal 1061 6" xfId="30515"/>
    <cellStyle name="Normal 1061 7" xfId="30516"/>
    <cellStyle name="Normal 1061 8" xfId="30517"/>
    <cellStyle name="Normal 1062" xfId="1369"/>
    <cellStyle name="Normal 1062 2" xfId="1370"/>
    <cellStyle name="Normal 1062 2 2" xfId="1371"/>
    <cellStyle name="Normal 1062 2 3" xfId="1372"/>
    <cellStyle name="Normal 1062 2 4" xfId="30518"/>
    <cellStyle name="Normal 1062 2 5" xfId="30519"/>
    <cellStyle name="Normal 1062 2 6" xfId="30520"/>
    <cellStyle name="Normal 1062 3" xfId="1373"/>
    <cellStyle name="Normal 1062 3 2" xfId="30521"/>
    <cellStyle name="Normal 1062 3 3" xfId="30522"/>
    <cellStyle name="Normal 1062 4" xfId="1374"/>
    <cellStyle name="Normal 1062 5" xfId="1375"/>
    <cellStyle name="Normal 1062 6" xfId="30523"/>
    <cellStyle name="Normal 1062 7" xfId="30524"/>
    <cellStyle name="Normal 1062 8" xfId="30525"/>
    <cellStyle name="Normal 1063" xfId="1376"/>
    <cellStyle name="Normal 1063 2" xfId="1377"/>
    <cellStyle name="Normal 1063 2 2" xfId="1378"/>
    <cellStyle name="Normal 1063 2 3" xfId="1379"/>
    <cellStyle name="Normal 1063 2 4" xfId="30526"/>
    <cellStyle name="Normal 1063 2 5" xfId="30527"/>
    <cellStyle name="Normal 1063 2 6" xfId="30528"/>
    <cellStyle name="Normal 1063 3" xfId="1380"/>
    <cellStyle name="Normal 1063 3 2" xfId="30529"/>
    <cellStyle name="Normal 1063 3 3" xfId="30530"/>
    <cellStyle name="Normal 1063 4" xfId="1381"/>
    <cellStyle name="Normal 1063 5" xfId="1382"/>
    <cellStyle name="Normal 1063 6" xfId="30531"/>
    <cellStyle name="Normal 1063 7" xfId="30532"/>
    <cellStyle name="Normal 1063 8" xfId="30533"/>
    <cellStyle name="Normal 1064" xfId="1383"/>
    <cellStyle name="Normal 1064 2" xfId="1384"/>
    <cellStyle name="Normal 1064 2 2" xfId="1385"/>
    <cellStyle name="Normal 1064 2 3" xfId="1386"/>
    <cellStyle name="Normal 1064 2 4" xfId="30534"/>
    <cellStyle name="Normal 1064 2 5" xfId="30535"/>
    <cellStyle name="Normal 1064 2 6" xfId="30536"/>
    <cellStyle name="Normal 1064 3" xfId="1387"/>
    <cellStyle name="Normal 1064 3 2" xfId="30537"/>
    <cellStyle name="Normal 1064 3 3" xfId="30538"/>
    <cellStyle name="Normal 1064 4" xfId="1388"/>
    <cellStyle name="Normal 1064 5" xfId="1389"/>
    <cellStyle name="Normal 1064 6" xfId="30539"/>
    <cellStyle name="Normal 1064 7" xfId="30540"/>
    <cellStyle name="Normal 1064 8" xfId="30541"/>
    <cellStyle name="Normal 1065" xfId="1390"/>
    <cellStyle name="Normal 1065 2" xfId="1391"/>
    <cellStyle name="Normal 1065 2 2" xfId="1392"/>
    <cellStyle name="Normal 1065 2 3" xfId="1393"/>
    <cellStyle name="Normal 1065 2 4" xfId="30542"/>
    <cellStyle name="Normal 1065 2 5" xfId="30543"/>
    <cellStyle name="Normal 1065 2 6" xfId="30544"/>
    <cellStyle name="Normal 1065 3" xfId="1394"/>
    <cellStyle name="Normal 1065 3 2" xfId="30545"/>
    <cellStyle name="Normal 1065 3 3" xfId="30546"/>
    <cellStyle name="Normal 1065 4" xfId="1395"/>
    <cellStyle name="Normal 1065 5" xfId="1396"/>
    <cellStyle name="Normal 1065 6" xfId="30547"/>
    <cellStyle name="Normal 1065 7" xfId="30548"/>
    <cellStyle name="Normal 1065 8" xfId="30549"/>
    <cellStyle name="Normal 1066" xfId="1397"/>
    <cellStyle name="Normal 1066 2" xfId="1398"/>
    <cellStyle name="Normal 1066 2 2" xfId="1399"/>
    <cellStyle name="Normal 1066 2 3" xfId="1400"/>
    <cellStyle name="Normal 1066 2 4" xfId="30550"/>
    <cellStyle name="Normal 1066 2 5" xfId="30551"/>
    <cellStyle name="Normal 1066 2 6" xfId="30552"/>
    <cellStyle name="Normal 1066 3" xfId="1401"/>
    <cellStyle name="Normal 1066 3 2" xfId="30553"/>
    <cellStyle name="Normal 1066 3 3" xfId="30554"/>
    <cellStyle name="Normal 1066 4" xfId="1402"/>
    <cellStyle name="Normal 1066 5" xfId="1403"/>
    <cellStyle name="Normal 1066 6" xfId="30555"/>
    <cellStyle name="Normal 1066 7" xfId="30556"/>
    <cellStyle name="Normal 1066 8" xfId="30557"/>
    <cellStyle name="Normal 1067" xfId="1404"/>
    <cellStyle name="Normal 1067 2" xfId="1405"/>
    <cellStyle name="Normal 1067 2 2" xfId="1406"/>
    <cellStyle name="Normal 1067 2 3" xfId="1407"/>
    <cellStyle name="Normal 1067 2 4" xfId="30558"/>
    <cellStyle name="Normal 1067 2 5" xfId="30559"/>
    <cellStyle name="Normal 1067 2 6" xfId="30560"/>
    <cellStyle name="Normal 1067 3" xfId="1408"/>
    <cellStyle name="Normal 1067 3 2" xfId="30561"/>
    <cellStyle name="Normal 1067 3 3" xfId="30562"/>
    <cellStyle name="Normal 1067 4" xfId="1409"/>
    <cellStyle name="Normal 1067 5" xfId="1410"/>
    <cellStyle name="Normal 1067 6" xfId="30563"/>
    <cellStyle name="Normal 1067 7" xfId="30564"/>
    <cellStyle name="Normal 1067 8" xfId="30565"/>
    <cellStyle name="Normal 1068" xfId="1411"/>
    <cellStyle name="Normal 1068 2" xfId="1412"/>
    <cellStyle name="Normal 1068 2 2" xfId="1413"/>
    <cellStyle name="Normal 1068 2 3" xfId="1414"/>
    <cellStyle name="Normal 1068 2 4" xfId="30566"/>
    <cellStyle name="Normal 1068 2 5" xfId="30567"/>
    <cellStyle name="Normal 1068 2 6" xfId="30568"/>
    <cellStyle name="Normal 1068 3" xfId="1415"/>
    <cellStyle name="Normal 1068 3 2" xfId="30569"/>
    <cellStyle name="Normal 1068 3 3" xfId="30570"/>
    <cellStyle name="Normal 1068 4" xfId="1416"/>
    <cellStyle name="Normal 1068 5" xfId="1417"/>
    <cellStyle name="Normal 1068 6" xfId="30571"/>
    <cellStyle name="Normal 1068 7" xfId="30572"/>
    <cellStyle name="Normal 1068 8" xfId="30573"/>
    <cellStyle name="Normal 1069" xfId="1418"/>
    <cellStyle name="Normal 1069 2" xfId="1419"/>
    <cellStyle name="Normal 1069 2 2" xfId="1420"/>
    <cellStyle name="Normal 1069 2 3" xfId="1421"/>
    <cellStyle name="Normal 1069 2 4" xfId="30574"/>
    <cellStyle name="Normal 1069 2 5" xfId="30575"/>
    <cellStyle name="Normal 1069 2 6" xfId="30576"/>
    <cellStyle name="Normal 1069 3" xfId="1422"/>
    <cellStyle name="Normal 1069 3 2" xfId="30577"/>
    <cellStyle name="Normal 1069 3 3" xfId="30578"/>
    <cellStyle name="Normal 1069 4" xfId="1423"/>
    <cellStyle name="Normal 1069 5" xfId="1424"/>
    <cellStyle name="Normal 1069 6" xfId="30579"/>
    <cellStyle name="Normal 1069 7" xfId="30580"/>
    <cellStyle name="Normal 1069 8" xfId="30581"/>
    <cellStyle name="Normal 107" xfId="1425"/>
    <cellStyle name="Normal 107 10" xfId="30582"/>
    <cellStyle name="Normal 107 2" xfId="1426"/>
    <cellStyle name="Normal 107 2 2" xfId="1427"/>
    <cellStyle name="Normal 107 2 2 2" xfId="1428"/>
    <cellStyle name="Normal 107 2 2 3" xfId="1429"/>
    <cellStyle name="Normal 107 2 3" xfId="1430"/>
    <cellStyle name="Normal 107 2 3 2" xfId="30583"/>
    <cellStyle name="Normal 107 2 3 3" xfId="30584"/>
    <cellStyle name="Normal 107 2 4" xfId="1431"/>
    <cellStyle name="Normal 107 2 5" xfId="1432"/>
    <cellStyle name="Normal 107 2 6" xfId="30585"/>
    <cellStyle name="Normal 107 2 7" xfId="30586"/>
    <cellStyle name="Normal 107 2 8" xfId="30587"/>
    <cellStyle name="Normal 107 3" xfId="1433"/>
    <cellStyle name="Normal 107 3 2" xfId="1434"/>
    <cellStyle name="Normal 107 3 2 2" xfId="30588"/>
    <cellStyle name="Normal 107 3 2 3" xfId="30589"/>
    <cellStyle name="Normal 107 3 3" xfId="1435"/>
    <cellStyle name="Normal 107 3 3 2" xfId="30590"/>
    <cellStyle name="Normal 107 3 3 3" xfId="30591"/>
    <cellStyle name="Normal 107 3 4" xfId="30592"/>
    <cellStyle name="Normal 107 3 5" xfId="30593"/>
    <cellStyle name="Normal 107 4" xfId="1436"/>
    <cellStyle name="Normal 107 4 2" xfId="30594"/>
    <cellStyle name="Normal 107 4 3" xfId="30595"/>
    <cellStyle name="Normal 107 5" xfId="1437"/>
    <cellStyle name="Normal 107 5 2" xfId="30596"/>
    <cellStyle name="Normal 107 5 3" xfId="30597"/>
    <cellStyle name="Normal 107 6" xfId="1438"/>
    <cellStyle name="Normal 107 7" xfId="30598"/>
    <cellStyle name="Normal 107 8" xfId="30599"/>
    <cellStyle name="Normal 107 9" xfId="30600"/>
    <cellStyle name="Normal 1070" xfId="1439"/>
    <cellStyle name="Normal 1070 2" xfId="1440"/>
    <cellStyle name="Normal 1070 2 2" xfId="1441"/>
    <cellStyle name="Normal 1070 2 3" xfId="1442"/>
    <cellStyle name="Normal 1070 2 4" xfId="30601"/>
    <cellStyle name="Normal 1070 2 5" xfId="30602"/>
    <cellStyle name="Normal 1070 2 6" xfId="30603"/>
    <cellStyle name="Normal 1070 3" xfId="1443"/>
    <cellStyle name="Normal 1070 3 2" xfId="30604"/>
    <cellStyle name="Normal 1070 3 3" xfId="30605"/>
    <cellStyle name="Normal 1070 4" xfId="1444"/>
    <cellStyle name="Normal 1070 5" xfId="1445"/>
    <cellStyle name="Normal 1070 6" xfId="30606"/>
    <cellStyle name="Normal 1070 7" xfId="30607"/>
    <cellStyle name="Normal 1070 8" xfId="30608"/>
    <cellStyle name="Normal 1071" xfId="1446"/>
    <cellStyle name="Normal 1071 2" xfId="1447"/>
    <cellStyle name="Normal 1071 2 2" xfId="1448"/>
    <cellStyle name="Normal 1071 2 3" xfId="1449"/>
    <cellStyle name="Normal 1071 2 4" xfId="30609"/>
    <cellStyle name="Normal 1071 2 5" xfId="30610"/>
    <cellStyle name="Normal 1071 2 6" xfId="30611"/>
    <cellStyle name="Normal 1071 3" xfId="1450"/>
    <cellStyle name="Normal 1071 3 2" xfId="30612"/>
    <cellStyle name="Normal 1071 3 3" xfId="30613"/>
    <cellStyle name="Normal 1071 4" xfId="1451"/>
    <cellStyle name="Normal 1071 5" xfId="1452"/>
    <cellStyle name="Normal 1071 6" xfId="30614"/>
    <cellStyle name="Normal 1071 7" xfId="30615"/>
    <cellStyle name="Normal 1071 8" xfId="30616"/>
    <cellStyle name="Normal 1072" xfId="1453"/>
    <cellStyle name="Normal 1072 2" xfId="1454"/>
    <cellStyle name="Normal 1072 2 2" xfId="1455"/>
    <cellStyle name="Normal 1072 2 3" xfId="1456"/>
    <cellStyle name="Normal 1072 2 4" xfId="30617"/>
    <cellStyle name="Normal 1072 2 5" xfId="30618"/>
    <cellStyle name="Normal 1072 2 6" xfId="30619"/>
    <cellStyle name="Normal 1072 3" xfId="1457"/>
    <cellStyle name="Normal 1072 3 2" xfId="30620"/>
    <cellStyle name="Normal 1072 3 3" xfId="30621"/>
    <cellStyle name="Normal 1072 4" xfId="1458"/>
    <cellStyle name="Normal 1072 5" xfId="1459"/>
    <cellStyle name="Normal 1072 6" xfId="30622"/>
    <cellStyle name="Normal 1072 7" xfId="30623"/>
    <cellStyle name="Normal 1072 8" xfId="30624"/>
    <cellStyle name="Normal 1073" xfId="1460"/>
    <cellStyle name="Normal 1073 2" xfId="1461"/>
    <cellStyle name="Normal 1073 2 2" xfId="1462"/>
    <cellStyle name="Normal 1073 2 3" xfId="1463"/>
    <cellStyle name="Normal 1073 2 4" xfId="30625"/>
    <cellStyle name="Normal 1073 2 5" xfId="30626"/>
    <cellStyle name="Normal 1073 2 6" xfId="30627"/>
    <cellStyle name="Normal 1073 3" xfId="1464"/>
    <cellStyle name="Normal 1073 3 2" xfId="30628"/>
    <cellStyle name="Normal 1073 3 3" xfId="30629"/>
    <cellStyle name="Normal 1073 4" xfId="1465"/>
    <cellStyle name="Normal 1073 5" xfId="1466"/>
    <cellStyle name="Normal 1073 6" xfId="30630"/>
    <cellStyle name="Normal 1073 7" xfId="30631"/>
    <cellStyle name="Normal 1073 8" xfId="30632"/>
    <cellStyle name="Normal 1074" xfId="1467"/>
    <cellStyle name="Normal 1074 2" xfId="1468"/>
    <cellStyle name="Normal 1074 2 2" xfId="1469"/>
    <cellStyle name="Normal 1074 2 3" xfId="1470"/>
    <cellStyle name="Normal 1074 2 4" xfId="30633"/>
    <cellStyle name="Normal 1074 2 5" xfId="30634"/>
    <cellStyle name="Normal 1074 2 6" xfId="30635"/>
    <cellStyle name="Normal 1074 3" xfId="1471"/>
    <cellStyle name="Normal 1074 3 2" xfId="30636"/>
    <cellStyle name="Normal 1074 3 3" xfId="30637"/>
    <cellStyle name="Normal 1074 4" xfId="1472"/>
    <cellStyle name="Normal 1074 5" xfId="1473"/>
    <cellStyle name="Normal 1074 6" xfId="30638"/>
    <cellStyle name="Normal 1074 7" xfId="30639"/>
    <cellStyle name="Normal 1074 8" xfId="30640"/>
    <cellStyle name="Normal 1075" xfId="1474"/>
    <cellStyle name="Normal 1075 2" xfId="1475"/>
    <cellStyle name="Normal 1075 2 2" xfId="1476"/>
    <cellStyle name="Normal 1075 2 3" xfId="1477"/>
    <cellStyle name="Normal 1075 2 4" xfId="30641"/>
    <cellStyle name="Normal 1075 2 5" xfId="30642"/>
    <cellStyle name="Normal 1075 2 6" xfId="30643"/>
    <cellStyle name="Normal 1075 3" xfId="1478"/>
    <cellStyle name="Normal 1075 3 2" xfId="30644"/>
    <cellStyle name="Normal 1075 3 3" xfId="30645"/>
    <cellStyle name="Normal 1075 4" xfId="1479"/>
    <cellStyle name="Normal 1075 5" xfId="1480"/>
    <cellStyle name="Normal 1075 6" xfId="30646"/>
    <cellStyle name="Normal 1075 7" xfId="30647"/>
    <cellStyle name="Normal 1075 8" xfId="30648"/>
    <cellStyle name="Normal 1076" xfId="1481"/>
    <cellStyle name="Normal 1076 2" xfId="1482"/>
    <cellStyle name="Normal 1076 2 2" xfId="1483"/>
    <cellStyle name="Normal 1076 2 3" xfId="1484"/>
    <cellStyle name="Normal 1076 2 4" xfId="30649"/>
    <cellStyle name="Normal 1076 2 5" xfId="30650"/>
    <cellStyle name="Normal 1076 2 6" xfId="30651"/>
    <cellStyle name="Normal 1076 3" xfId="1485"/>
    <cellStyle name="Normal 1076 3 2" xfId="30652"/>
    <cellStyle name="Normal 1076 3 3" xfId="30653"/>
    <cellStyle name="Normal 1076 4" xfId="1486"/>
    <cellStyle name="Normal 1076 5" xfId="1487"/>
    <cellStyle name="Normal 1076 6" xfId="30654"/>
    <cellStyle name="Normal 1076 7" xfId="30655"/>
    <cellStyle name="Normal 1076 8" xfId="30656"/>
    <cellStyle name="Normal 1077" xfId="1488"/>
    <cellStyle name="Normal 1077 2" xfId="1489"/>
    <cellStyle name="Normal 1077 2 2" xfId="1490"/>
    <cellStyle name="Normal 1077 2 3" xfId="1491"/>
    <cellStyle name="Normal 1077 2 4" xfId="30657"/>
    <cellStyle name="Normal 1077 2 5" xfId="30658"/>
    <cellStyle name="Normal 1077 2 6" xfId="30659"/>
    <cellStyle name="Normal 1077 3" xfId="1492"/>
    <cellStyle name="Normal 1077 3 2" xfId="30660"/>
    <cellStyle name="Normal 1077 3 3" xfId="30661"/>
    <cellStyle name="Normal 1077 4" xfId="1493"/>
    <cellStyle name="Normal 1077 5" xfId="1494"/>
    <cellStyle name="Normal 1077 6" xfId="30662"/>
    <cellStyle name="Normal 1077 7" xfId="30663"/>
    <cellStyle name="Normal 1077 8" xfId="30664"/>
    <cellStyle name="Normal 1078" xfId="1495"/>
    <cellStyle name="Normal 1078 2" xfId="1496"/>
    <cellStyle name="Normal 1078 2 2" xfId="1497"/>
    <cellStyle name="Normal 1078 2 3" xfId="1498"/>
    <cellStyle name="Normal 1078 2 4" xfId="30665"/>
    <cellStyle name="Normal 1078 2 5" xfId="30666"/>
    <cellStyle name="Normal 1078 2 6" xfId="30667"/>
    <cellStyle name="Normal 1078 3" xfId="1499"/>
    <cellStyle name="Normal 1078 3 2" xfId="30668"/>
    <cellStyle name="Normal 1078 3 3" xfId="30669"/>
    <cellStyle name="Normal 1078 4" xfId="1500"/>
    <cellStyle name="Normal 1078 5" xfId="1501"/>
    <cellStyle name="Normal 1078 6" xfId="30670"/>
    <cellStyle name="Normal 1078 7" xfId="30671"/>
    <cellStyle name="Normal 1078 8" xfId="30672"/>
    <cellStyle name="Normal 1079" xfId="1502"/>
    <cellStyle name="Normal 1079 2" xfId="1503"/>
    <cellStyle name="Normal 1079 2 2" xfId="1504"/>
    <cellStyle name="Normal 1079 2 3" xfId="1505"/>
    <cellStyle name="Normal 1079 2 4" xfId="30673"/>
    <cellStyle name="Normal 1079 2 5" xfId="30674"/>
    <cellStyle name="Normal 1079 2 6" xfId="30675"/>
    <cellStyle name="Normal 1079 3" xfId="1506"/>
    <cellStyle name="Normal 1079 3 2" xfId="30676"/>
    <cellStyle name="Normal 1079 3 3" xfId="30677"/>
    <cellStyle name="Normal 1079 4" xfId="1507"/>
    <cellStyle name="Normal 1079 5" xfId="1508"/>
    <cellStyle name="Normal 1079 6" xfId="30678"/>
    <cellStyle name="Normal 1079 7" xfId="30679"/>
    <cellStyle name="Normal 1079 8" xfId="30680"/>
    <cellStyle name="Normal 108" xfId="1509"/>
    <cellStyle name="Normal 108 10" xfId="30681"/>
    <cellStyle name="Normal 108 2" xfId="1510"/>
    <cellStyle name="Normal 108 2 2" xfId="1511"/>
    <cellStyle name="Normal 108 2 2 2" xfId="1512"/>
    <cellStyle name="Normal 108 2 2 3" xfId="1513"/>
    <cellStyle name="Normal 108 2 3" xfId="1514"/>
    <cellStyle name="Normal 108 2 3 2" xfId="30682"/>
    <cellStyle name="Normal 108 2 3 3" xfId="30683"/>
    <cellStyle name="Normal 108 2 4" xfId="1515"/>
    <cellStyle name="Normal 108 2 5" xfId="1516"/>
    <cellStyle name="Normal 108 2 6" xfId="30684"/>
    <cellStyle name="Normal 108 2 7" xfId="30685"/>
    <cellStyle name="Normal 108 2 8" xfId="30686"/>
    <cellStyle name="Normal 108 3" xfId="1517"/>
    <cellStyle name="Normal 108 3 2" xfId="1518"/>
    <cellStyle name="Normal 108 3 2 2" xfId="30687"/>
    <cellStyle name="Normal 108 3 2 3" xfId="30688"/>
    <cellStyle name="Normal 108 3 3" xfId="1519"/>
    <cellStyle name="Normal 108 3 3 2" xfId="30689"/>
    <cellStyle name="Normal 108 3 3 3" xfId="30690"/>
    <cellStyle name="Normal 108 3 4" xfId="30691"/>
    <cellStyle name="Normal 108 3 5" xfId="30692"/>
    <cellStyle name="Normal 108 4" xfId="1520"/>
    <cellStyle name="Normal 108 4 2" xfId="30693"/>
    <cellStyle name="Normal 108 4 3" xfId="30694"/>
    <cellStyle name="Normal 108 5" xfId="1521"/>
    <cellStyle name="Normal 108 5 2" xfId="30695"/>
    <cellStyle name="Normal 108 5 3" xfId="30696"/>
    <cellStyle name="Normal 108 6" xfId="1522"/>
    <cellStyle name="Normal 108 7" xfId="30697"/>
    <cellStyle name="Normal 108 8" xfId="30698"/>
    <cellStyle name="Normal 108 9" xfId="30699"/>
    <cellStyle name="Normal 1080" xfId="1523"/>
    <cellStyle name="Normal 1080 2" xfId="1524"/>
    <cellStyle name="Normal 1080 2 2" xfId="1525"/>
    <cellStyle name="Normal 1080 2 3" xfId="1526"/>
    <cellStyle name="Normal 1080 2 4" xfId="30700"/>
    <cellStyle name="Normal 1080 2 5" xfId="30701"/>
    <cellStyle name="Normal 1080 2 6" xfId="30702"/>
    <cellStyle name="Normal 1080 3" xfId="1527"/>
    <cellStyle name="Normal 1080 3 2" xfId="30703"/>
    <cellStyle name="Normal 1080 3 3" xfId="30704"/>
    <cellStyle name="Normal 1080 4" xfId="1528"/>
    <cellStyle name="Normal 1080 5" xfId="1529"/>
    <cellStyle name="Normal 1080 6" xfId="30705"/>
    <cellStyle name="Normal 1080 7" xfId="30706"/>
    <cellStyle name="Normal 1080 8" xfId="30707"/>
    <cellStyle name="Normal 1081" xfId="1530"/>
    <cellStyle name="Normal 1081 2" xfId="1531"/>
    <cellStyle name="Normal 1081 2 2" xfId="1532"/>
    <cellStyle name="Normal 1081 2 3" xfId="1533"/>
    <cellStyle name="Normal 1081 2 4" xfId="30708"/>
    <cellStyle name="Normal 1081 2 5" xfId="30709"/>
    <cellStyle name="Normal 1081 2 6" xfId="30710"/>
    <cellStyle name="Normal 1081 3" xfId="1534"/>
    <cellStyle name="Normal 1081 3 2" xfId="30711"/>
    <cellStyle name="Normal 1081 3 3" xfId="30712"/>
    <cellStyle name="Normal 1081 4" xfId="1535"/>
    <cellStyle name="Normal 1081 5" xfId="1536"/>
    <cellStyle name="Normal 1081 6" xfId="30713"/>
    <cellStyle name="Normal 1081 7" xfId="30714"/>
    <cellStyle name="Normal 1081 8" xfId="30715"/>
    <cellStyle name="Normal 1082" xfId="1537"/>
    <cellStyle name="Normal 1082 2" xfId="1538"/>
    <cellStyle name="Normal 1082 2 2" xfId="1539"/>
    <cellStyle name="Normal 1082 2 3" xfId="1540"/>
    <cellStyle name="Normal 1082 2 4" xfId="30716"/>
    <cellStyle name="Normal 1082 2 5" xfId="30717"/>
    <cellStyle name="Normal 1082 2 6" xfId="30718"/>
    <cellStyle name="Normal 1082 3" xfId="1541"/>
    <cellStyle name="Normal 1082 3 2" xfId="30719"/>
    <cellStyle name="Normal 1082 3 3" xfId="30720"/>
    <cellStyle name="Normal 1082 4" xfId="1542"/>
    <cellStyle name="Normal 1082 5" xfId="1543"/>
    <cellStyle name="Normal 1082 6" xfId="30721"/>
    <cellStyle name="Normal 1082 7" xfId="30722"/>
    <cellStyle name="Normal 1082 8" xfId="30723"/>
    <cellStyle name="Normal 1083" xfId="1544"/>
    <cellStyle name="Normal 1083 2" xfId="1545"/>
    <cellStyle name="Normal 1083 2 2" xfId="1546"/>
    <cellStyle name="Normal 1083 2 3" xfId="1547"/>
    <cellStyle name="Normal 1083 2 4" xfId="30724"/>
    <cellStyle name="Normal 1083 2 5" xfId="30725"/>
    <cellStyle name="Normal 1083 2 6" xfId="30726"/>
    <cellStyle name="Normal 1083 3" xfId="1548"/>
    <cellStyle name="Normal 1083 3 2" xfId="30727"/>
    <cellStyle name="Normal 1083 3 3" xfId="30728"/>
    <cellStyle name="Normal 1083 4" xfId="1549"/>
    <cellStyle name="Normal 1083 5" xfId="1550"/>
    <cellStyle name="Normal 1083 6" xfId="30729"/>
    <cellStyle name="Normal 1083 7" xfId="30730"/>
    <cellStyle name="Normal 1083 8" xfId="30731"/>
    <cellStyle name="Normal 1084" xfId="1551"/>
    <cellStyle name="Normal 1084 2" xfId="1552"/>
    <cellStyle name="Normal 1084 2 2" xfId="1553"/>
    <cellStyle name="Normal 1084 2 3" xfId="1554"/>
    <cellStyle name="Normal 1084 2 4" xfId="30732"/>
    <cellStyle name="Normal 1084 2 5" xfId="30733"/>
    <cellStyle name="Normal 1084 2 6" xfId="30734"/>
    <cellStyle name="Normal 1084 3" xfId="1555"/>
    <cellStyle name="Normal 1084 3 2" xfId="30735"/>
    <cellStyle name="Normal 1084 3 3" xfId="30736"/>
    <cellStyle name="Normal 1084 4" xfId="1556"/>
    <cellStyle name="Normal 1084 5" xfId="1557"/>
    <cellStyle name="Normal 1084 6" xfId="30737"/>
    <cellStyle name="Normal 1084 7" xfId="30738"/>
    <cellStyle name="Normal 1084 8" xfId="30739"/>
    <cellStyle name="Normal 1085" xfId="1558"/>
    <cellStyle name="Normal 1085 2" xfId="1559"/>
    <cellStyle name="Normal 1085 2 2" xfId="1560"/>
    <cellStyle name="Normal 1085 2 3" xfId="1561"/>
    <cellStyle name="Normal 1085 2 4" xfId="30740"/>
    <cellStyle name="Normal 1085 2 5" xfId="30741"/>
    <cellStyle name="Normal 1085 2 6" xfId="30742"/>
    <cellStyle name="Normal 1085 3" xfId="1562"/>
    <cellStyle name="Normal 1085 3 2" xfId="30743"/>
    <cellStyle name="Normal 1085 3 3" xfId="30744"/>
    <cellStyle name="Normal 1085 4" xfId="1563"/>
    <cellStyle name="Normal 1085 5" xfId="1564"/>
    <cellStyle name="Normal 1085 6" xfId="30745"/>
    <cellStyle name="Normal 1085 7" xfId="30746"/>
    <cellStyle name="Normal 1085 8" xfId="30747"/>
    <cellStyle name="Normal 1086" xfId="1565"/>
    <cellStyle name="Normal 1086 2" xfId="1566"/>
    <cellStyle name="Normal 1086 2 2" xfId="1567"/>
    <cellStyle name="Normal 1086 2 3" xfId="1568"/>
    <cellStyle name="Normal 1086 2 4" xfId="30748"/>
    <cellStyle name="Normal 1086 2 5" xfId="30749"/>
    <cellStyle name="Normal 1086 2 6" xfId="30750"/>
    <cellStyle name="Normal 1086 3" xfId="1569"/>
    <cellStyle name="Normal 1086 3 2" xfId="30751"/>
    <cellStyle name="Normal 1086 3 3" xfId="30752"/>
    <cellStyle name="Normal 1086 4" xfId="1570"/>
    <cellStyle name="Normal 1086 5" xfId="1571"/>
    <cellStyle name="Normal 1086 6" xfId="30753"/>
    <cellStyle name="Normal 1086 7" xfId="30754"/>
    <cellStyle name="Normal 1086 8" xfId="30755"/>
    <cellStyle name="Normal 1087" xfId="1572"/>
    <cellStyle name="Normal 1087 2" xfId="1573"/>
    <cellStyle name="Normal 1087 2 2" xfId="1574"/>
    <cellStyle name="Normal 1087 2 3" xfId="1575"/>
    <cellStyle name="Normal 1087 2 4" xfId="30756"/>
    <cellStyle name="Normal 1087 2 5" xfId="30757"/>
    <cellStyle name="Normal 1087 2 6" xfId="30758"/>
    <cellStyle name="Normal 1087 3" xfId="1576"/>
    <cellStyle name="Normal 1087 3 2" xfId="30759"/>
    <cellStyle name="Normal 1087 3 3" xfId="30760"/>
    <cellStyle name="Normal 1087 4" xfId="1577"/>
    <cellStyle name="Normal 1087 5" xfId="1578"/>
    <cellStyle name="Normal 1087 6" xfId="30761"/>
    <cellStyle name="Normal 1087 7" xfId="30762"/>
    <cellStyle name="Normal 1087 8" xfId="30763"/>
    <cellStyle name="Normal 1088" xfId="1579"/>
    <cellStyle name="Normal 1088 2" xfId="1580"/>
    <cellStyle name="Normal 1088 2 2" xfId="1581"/>
    <cellStyle name="Normal 1088 2 3" xfId="1582"/>
    <cellStyle name="Normal 1088 2 4" xfId="30764"/>
    <cellStyle name="Normal 1088 2 5" xfId="30765"/>
    <cellStyle name="Normal 1088 2 6" xfId="30766"/>
    <cellStyle name="Normal 1088 3" xfId="1583"/>
    <cellStyle name="Normal 1088 3 2" xfId="30767"/>
    <cellStyle name="Normal 1088 3 3" xfId="30768"/>
    <cellStyle name="Normal 1088 4" xfId="1584"/>
    <cellStyle name="Normal 1088 5" xfId="1585"/>
    <cellStyle name="Normal 1088 6" xfId="30769"/>
    <cellStyle name="Normal 1088 7" xfId="30770"/>
    <cellStyle name="Normal 1088 8" xfId="30771"/>
    <cellStyle name="Normal 1089" xfId="1586"/>
    <cellStyle name="Normal 1089 2" xfId="1587"/>
    <cellStyle name="Normal 1089 2 2" xfId="1588"/>
    <cellStyle name="Normal 1089 2 3" xfId="1589"/>
    <cellStyle name="Normal 1089 2 4" xfId="30772"/>
    <cellStyle name="Normal 1089 2 5" xfId="30773"/>
    <cellStyle name="Normal 1089 2 6" xfId="30774"/>
    <cellStyle name="Normal 1089 3" xfId="1590"/>
    <cellStyle name="Normal 1089 3 2" xfId="30775"/>
    <cellStyle name="Normal 1089 3 3" xfId="30776"/>
    <cellStyle name="Normal 1089 4" xfId="1591"/>
    <cellStyle name="Normal 1089 5" xfId="1592"/>
    <cellStyle name="Normal 1089 6" xfId="30777"/>
    <cellStyle name="Normal 1089 7" xfId="30778"/>
    <cellStyle name="Normal 1089 8" xfId="30779"/>
    <cellStyle name="Normal 109" xfId="1593"/>
    <cellStyle name="Normal 109 10" xfId="30780"/>
    <cellStyle name="Normal 109 2" xfId="1594"/>
    <cellStyle name="Normal 109 2 2" xfId="1595"/>
    <cellStyle name="Normal 109 2 2 2" xfId="1596"/>
    <cellStyle name="Normal 109 2 2 3" xfId="1597"/>
    <cellStyle name="Normal 109 2 3" xfId="1598"/>
    <cellStyle name="Normal 109 2 3 2" xfId="30781"/>
    <cellStyle name="Normal 109 2 3 3" xfId="30782"/>
    <cellStyle name="Normal 109 2 4" xfId="1599"/>
    <cellStyle name="Normal 109 2 5" xfId="1600"/>
    <cellStyle name="Normal 109 2 6" xfId="30783"/>
    <cellStyle name="Normal 109 2 7" xfId="30784"/>
    <cellStyle name="Normal 109 2 8" xfId="30785"/>
    <cellStyle name="Normal 109 3" xfId="1601"/>
    <cellStyle name="Normal 109 3 2" xfId="1602"/>
    <cellStyle name="Normal 109 3 2 2" xfId="30786"/>
    <cellStyle name="Normal 109 3 2 3" xfId="30787"/>
    <cellStyle name="Normal 109 3 3" xfId="1603"/>
    <cellStyle name="Normal 109 3 3 2" xfId="30788"/>
    <cellStyle name="Normal 109 3 3 3" xfId="30789"/>
    <cellStyle name="Normal 109 3 4" xfId="30790"/>
    <cellStyle name="Normal 109 3 5" xfId="30791"/>
    <cellStyle name="Normal 109 4" xfId="1604"/>
    <cellStyle name="Normal 109 4 2" xfId="30792"/>
    <cellStyle name="Normal 109 4 3" xfId="30793"/>
    <cellStyle name="Normal 109 5" xfId="1605"/>
    <cellStyle name="Normal 109 5 2" xfId="30794"/>
    <cellStyle name="Normal 109 5 3" xfId="30795"/>
    <cellStyle name="Normal 109 6" xfId="1606"/>
    <cellStyle name="Normal 109 7" xfId="30796"/>
    <cellStyle name="Normal 109 8" xfId="30797"/>
    <cellStyle name="Normal 109 9" xfId="30798"/>
    <cellStyle name="Normal 1090" xfId="1607"/>
    <cellStyle name="Normal 1090 2" xfId="1608"/>
    <cellStyle name="Normal 1090 2 2" xfId="1609"/>
    <cellStyle name="Normal 1090 2 3" xfId="1610"/>
    <cellStyle name="Normal 1090 2 4" xfId="30799"/>
    <cellStyle name="Normal 1090 2 5" xfId="30800"/>
    <cellStyle name="Normal 1090 2 6" xfId="30801"/>
    <cellStyle name="Normal 1090 3" xfId="1611"/>
    <cellStyle name="Normal 1090 3 2" xfId="30802"/>
    <cellStyle name="Normal 1090 3 3" xfId="30803"/>
    <cellStyle name="Normal 1090 4" xfId="1612"/>
    <cellStyle name="Normal 1090 5" xfId="1613"/>
    <cellStyle name="Normal 1090 6" xfId="30804"/>
    <cellStyle name="Normal 1090 7" xfId="30805"/>
    <cellStyle name="Normal 1090 8" xfId="30806"/>
    <cellStyle name="Normal 1091" xfId="1614"/>
    <cellStyle name="Normal 1091 2" xfId="1615"/>
    <cellStyle name="Normal 1091 2 2" xfId="1616"/>
    <cellStyle name="Normal 1091 2 3" xfId="1617"/>
    <cellStyle name="Normal 1091 2 4" xfId="30807"/>
    <cellStyle name="Normal 1091 2 5" xfId="30808"/>
    <cellStyle name="Normal 1091 2 6" xfId="30809"/>
    <cellStyle name="Normal 1091 3" xfId="1618"/>
    <cellStyle name="Normal 1091 3 2" xfId="30810"/>
    <cellStyle name="Normal 1091 3 3" xfId="30811"/>
    <cellStyle name="Normal 1091 4" xfId="1619"/>
    <cellStyle name="Normal 1091 5" xfId="1620"/>
    <cellStyle name="Normal 1091 6" xfId="30812"/>
    <cellStyle name="Normal 1091 7" xfId="30813"/>
    <cellStyle name="Normal 1091 8" xfId="30814"/>
    <cellStyle name="Normal 1092" xfId="1621"/>
    <cellStyle name="Normal 1092 2" xfId="1622"/>
    <cellStyle name="Normal 1092 2 2" xfId="1623"/>
    <cellStyle name="Normal 1092 2 3" xfId="1624"/>
    <cellStyle name="Normal 1092 2 4" xfId="30815"/>
    <cellStyle name="Normal 1092 2 5" xfId="30816"/>
    <cellStyle name="Normal 1092 2 6" xfId="30817"/>
    <cellStyle name="Normal 1092 3" xfId="1625"/>
    <cellStyle name="Normal 1092 3 2" xfId="30818"/>
    <cellStyle name="Normal 1092 3 3" xfId="30819"/>
    <cellStyle name="Normal 1092 4" xfId="1626"/>
    <cellStyle name="Normal 1092 5" xfId="1627"/>
    <cellStyle name="Normal 1092 6" xfId="30820"/>
    <cellStyle name="Normal 1092 7" xfId="30821"/>
    <cellStyle name="Normal 1092 8" xfId="30822"/>
    <cellStyle name="Normal 1093" xfId="1628"/>
    <cellStyle name="Normal 1093 2" xfId="1629"/>
    <cellStyle name="Normal 1093 2 2" xfId="1630"/>
    <cellStyle name="Normal 1093 2 3" xfId="1631"/>
    <cellStyle name="Normal 1093 2 4" xfId="30823"/>
    <cellStyle name="Normal 1093 2 5" xfId="30824"/>
    <cellStyle name="Normal 1093 2 6" xfId="30825"/>
    <cellStyle name="Normal 1093 3" xfId="1632"/>
    <cellStyle name="Normal 1093 3 2" xfId="30826"/>
    <cellStyle name="Normal 1093 3 3" xfId="30827"/>
    <cellStyle name="Normal 1093 4" xfId="1633"/>
    <cellStyle name="Normal 1093 5" xfId="1634"/>
    <cellStyle name="Normal 1093 6" xfId="30828"/>
    <cellStyle name="Normal 1093 7" xfId="30829"/>
    <cellStyle name="Normal 1093 8" xfId="30830"/>
    <cellStyle name="Normal 1094" xfId="1635"/>
    <cellStyle name="Normal 1094 2" xfId="1636"/>
    <cellStyle name="Normal 1094 2 2" xfId="1637"/>
    <cellStyle name="Normal 1094 2 3" xfId="1638"/>
    <cellStyle name="Normal 1094 2 4" xfId="30831"/>
    <cellStyle name="Normal 1094 2 5" xfId="30832"/>
    <cellStyle name="Normal 1094 2 6" xfId="30833"/>
    <cellStyle name="Normal 1094 3" xfId="1639"/>
    <cellStyle name="Normal 1094 3 2" xfId="30834"/>
    <cellStyle name="Normal 1094 3 3" xfId="30835"/>
    <cellStyle name="Normal 1094 4" xfId="1640"/>
    <cellStyle name="Normal 1094 5" xfId="1641"/>
    <cellStyle name="Normal 1094 6" xfId="30836"/>
    <cellStyle name="Normal 1094 7" xfId="30837"/>
    <cellStyle name="Normal 1094 8" xfId="30838"/>
    <cellStyle name="Normal 1095" xfId="1642"/>
    <cellStyle name="Normal 1095 2" xfId="1643"/>
    <cellStyle name="Normal 1095 2 2" xfId="1644"/>
    <cellStyle name="Normal 1095 2 3" xfId="1645"/>
    <cellStyle name="Normal 1095 2 4" xfId="30839"/>
    <cellStyle name="Normal 1095 2 5" xfId="30840"/>
    <cellStyle name="Normal 1095 2 6" xfId="30841"/>
    <cellStyle name="Normal 1095 3" xfId="1646"/>
    <cellStyle name="Normal 1095 3 2" xfId="30842"/>
    <cellStyle name="Normal 1095 3 3" xfId="30843"/>
    <cellStyle name="Normal 1095 4" xfId="1647"/>
    <cellStyle name="Normal 1095 5" xfId="1648"/>
    <cellStyle name="Normal 1095 6" xfId="30844"/>
    <cellStyle name="Normal 1095 7" xfId="30845"/>
    <cellStyle name="Normal 1095 8" xfId="30846"/>
    <cellStyle name="Normal 1096" xfId="1649"/>
    <cellStyle name="Normal 1096 2" xfId="1650"/>
    <cellStyle name="Normal 1096 2 2" xfId="1651"/>
    <cellStyle name="Normal 1096 2 3" xfId="1652"/>
    <cellStyle name="Normal 1096 2 4" xfId="30847"/>
    <cellStyle name="Normal 1096 2 5" xfId="30848"/>
    <cellStyle name="Normal 1096 2 6" xfId="30849"/>
    <cellStyle name="Normal 1096 3" xfId="1653"/>
    <cellStyle name="Normal 1096 3 2" xfId="30850"/>
    <cellStyle name="Normal 1096 3 3" xfId="30851"/>
    <cellStyle name="Normal 1096 4" xfId="1654"/>
    <cellStyle name="Normal 1096 5" xfId="1655"/>
    <cellStyle name="Normal 1096 6" xfId="30852"/>
    <cellStyle name="Normal 1096 7" xfId="30853"/>
    <cellStyle name="Normal 1096 8" xfId="30854"/>
    <cellStyle name="Normal 1097" xfId="1656"/>
    <cellStyle name="Normal 1097 2" xfId="1657"/>
    <cellStyle name="Normal 1097 2 2" xfId="1658"/>
    <cellStyle name="Normal 1097 2 3" xfId="1659"/>
    <cellStyle name="Normal 1097 2 4" xfId="30855"/>
    <cellStyle name="Normal 1097 2 5" xfId="30856"/>
    <cellStyle name="Normal 1097 2 6" xfId="30857"/>
    <cellStyle name="Normal 1097 3" xfId="1660"/>
    <cellStyle name="Normal 1097 3 2" xfId="30858"/>
    <cellStyle name="Normal 1097 3 3" xfId="30859"/>
    <cellStyle name="Normal 1097 4" xfId="1661"/>
    <cellStyle name="Normal 1097 5" xfId="1662"/>
    <cellStyle name="Normal 1097 6" xfId="30860"/>
    <cellStyle name="Normal 1097 7" xfId="30861"/>
    <cellStyle name="Normal 1097 8" xfId="30862"/>
    <cellStyle name="Normal 1098" xfId="1663"/>
    <cellStyle name="Normal 1098 2" xfId="1664"/>
    <cellStyle name="Normal 1098 2 2" xfId="1665"/>
    <cellStyle name="Normal 1098 2 3" xfId="1666"/>
    <cellStyle name="Normal 1098 2 4" xfId="30863"/>
    <cellStyle name="Normal 1098 2 5" xfId="30864"/>
    <cellStyle name="Normal 1098 2 6" xfId="30865"/>
    <cellStyle name="Normal 1098 3" xfId="1667"/>
    <cellStyle name="Normal 1098 3 2" xfId="30866"/>
    <cellStyle name="Normal 1098 3 3" xfId="30867"/>
    <cellStyle name="Normal 1098 4" xfId="1668"/>
    <cellStyle name="Normal 1098 5" xfId="1669"/>
    <cellStyle name="Normal 1098 6" xfId="30868"/>
    <cellStyle name="Normal 1098 7" xfId="30869"/>
    <cellStyle name="Normal 1098 8" xfId="30870"/>
    <cellStyle name="Normal 1099" xfId="1670"/>
    <cellStyle name="Normal 1099 2" xfId="1671"/>
    <cellStyle name="Normal 1099 2 2" xfId="1672"/>
    <cellStyle name="Normal 1099 2 3" xfId="1673"/>
    <cellStyle name="Normal 1099 2 4" xfId="30871"/>
    <cellStyle name="Normal 1099 2 5" xfId="30872"/>
    <cellStyle name="Normal 1099 2 6" xfId="30873"/>
    <cellStyle name="Normal 1099 3" xfId="1674"/>
    <cellStyle name="Normal 1099 3 2" xfId="30874"/>
    <cellStyle name="Normal 1099 3 3" xfId="30875"/>
    <cellStyle name="Normal 1099 4" xfId="1675"/>
    <cellStyle name="Normal 1099 5" xfId="1676"/>
    <cellStyle name="Normal 1099 6" xfId="30876"/>
    <cellStyle name="Normal 1099 7" xfId="30877"/>
    <cellStyle name="Normal 1099 8" xfId="30878"/>
    <cellStyle name="Normal 11" xfId="1677"/>
    <cellStyle name="Normal 11 10" xfId="1678"/>
    <cellStyle name="Normal 11 11" xfId="1679"/>
    <cellStyle name="Normal 11 12" xfId="1680"/>
    <cellStyle name="Normal 11 13" xfId="1681"/>
    <cellStyle name="Normal 11 14" xfId="1682"/>
    <cellStyle name="Normal 11 15" xfId="1683"/>
    <cellStyle name="Normal 11 16" xfId="1684"/>
    <cellStyle name="Normal 11 17" xfId="1685"/>
    <cellStyle name="Normal 11 18" xfId="1686"/>
    <cellStyle name="Normal 11 19" xfId="1687"/>
    <cellStyle name="Normal 11 2" xfId="1688"/>
    <cellStyle name="Normal 11 2 2" xfId="1689"/>
    <cellStyle name="Normal 11 2 2 2" xfId="1690"/>
    <cellStyle name="Normal 11 2 2 3" xfId="1691"/>
    <cellStyle name="Normal 11 2 3" xfId="1692"/>
    <cellStyle name="Normal 11 2 3 2" xfId="30879"/>
    <cellStyle name="Normal 11 2 3 3" xfId="30880"/>
    <cellStyle name="Normal 11 2 4" xfId="1693"/>
    <cellStyle name="Normal 11 2 5" xfId="30881"/>
    <cellStyle name="Normal 11 2 6" xfId="30882"/>
    <cellStyle name="Normal 11 2 7" xfId="30883"/>
    <cellStyle name="Normal 11 2 8" xfId="30884"/>
    <cellStyle name="Normal 11 3" xfId="1694"/>
    <cellStyle name="Normal 11 3 2" xfId="1695"/>
    <cellStyle name="Normal 11 3 2 2" xfId="30885"/>
    <cellStyle name="Normal 11 3 2 3" xfId="30886"/>
    <cellStyle name="Normal 11 3 3" xfId="1696"/>
    <cellStyle name="Normal 11 3 3 2" xfId="30887"/>
    <cellStyle name="Normal 11 3 3 3" xfId="30888"/>
    <cellStyle name="Normal 11 3 4" xfId="1697"/>
    <cellStyle name="Normal 11 3 5" xfId="30889"/>
    <cellStyle name="Normal 11 4" xfId="1698"/>
    <cellStyle name="Normal 11 4 2" xfId="30890"/>
    <cellStyle name="Normal 11 4 3" xfId="30891"/>
    <cellStyle name="Normal 11 5" xfId="1699"/>
    <cellStyle name="Normal 11 5 2" xfId="30892"/>
    <cellStyle name="Normal 11 5 3" xfId="30893"/>
    <cellStyle name="Normal 11 6" xfId="1700"/>
    <cellStyle name="Normal 11 7" xfId="1701"/>
    <cellStyle name="Normal 11 8" xfId="1702"/>
    <cellStyle name="Normal 11 9" xfId="1703"/>
    <cellStyle name="Normal 110" xfId="1704"/>
    <cellStyle name="Normal 110 10" xfId="30894"/>
    <cellStyle name="Normal 110 2" xfId="1705"/>
    <cellStyle name="Normal 110 2 2" xfId="1706"/>
    <cellStyle name="Normal 110 2 2 2" xfId="1707"/>
    <cellStyle name="Normal 110 2 2 3" xfId="1708"/>
    <cellStyle name="Normal 110 2 3" xfId="1709"/>
    <cellStyle name="Normal 110 2 3 2" xfId="30895"/>
    <cellStyle name="Normal 110 2 3 3" xfId="30896"/>
    <cellStyle name="Normal 110 2 4" xfId="1710"/>
    <cellStyle name="Normal 110 2 5" xfId="1711"/>
    <cellStyle name="Normal 110 2 6" xfId="30897"/>
    <cellStyle name="Normal 110 2 7" xfId="30898"/>
    <cellStyle name="Normal 110 2 8" xfId="30899"/>
    <cellStyle name="Normal 110 3" xfId="1712"/>
    <cellStyle name="Normal 110 3 2" xfId="1713"/>
    <cellStyle name="Normal 110 3 2 2" xfId="30900"/>
    <cellStyle name="Normal 110 3 2 3" xfId="30901"/>
    <cellStyle name="Normal 110 3 3" xfId="1714"/>
    <cellStyle name="Normal 110 3 3 2" xfId="30902"/>
    <cellStyle name="Normal 110 3 3 3" xfId="30903"/>
    <cellStyle name="Normal 110 3 4" xfId="30904"/>
    <cellStyle name="Normal 110 3 5" xfId="30905"/>
    <cellStyle name="Normal 110 4" xfId="1715"/>
    <cellStyle name="Normal 110 4 2" xfId="30906"/>
    <cellStyle name="Normal 110 4 3" xfId="30907"/>
    <cellStyle name="Normal 110 5" xfId="1716"/>
    <cellStyle name="Normal 110 5 2" xfId="30908"/>
    <cellStyle name="Normal 110 5 3" xfId="30909"/>
    <cellStyle name="Normal 110 6" xfId="1717"/>
    <cellStyle name="Normal 110 7" xfId="30910"/>
    <cellStyle name="Normal 110 8" xfId="30911"/>
    <cellStyle name="Normal 110 9" xfId="30912"/>
    <cellStyle name="Normal 1100" xfId="1718"/>
    <cellStyle name="Normal 1100 2" xfId="1719"/>
    <cellStyle name="Normal 1100 2 2" xfId="1720"/>
    <cellStyle name="Normal 1100 2 3" xfId="1721"/>
    <cellStyle name="Normal 1100 2 4" xfId="30913"/>
    <cellStyle name="Normal 1100 2 5" xfId="30914"/>
    <cellStyle name="Normal 1100 2 6" xfId="30915"/>
    <cellStyle name="Normal 1100 3" xfId="1722"/>
    <cellStyle name="Normal 1100 3 2" xfId="30916"/>
    <cellStyle name="Normal 1100 3 3" xfId="30917"/>
    <cellStyle name="Normal 1100 4" xfId="1723"/>
    <cellStyle name="Normal 1100 5" xfId="1724"/>
    <cellStyle name="Normal 1100 6" xfId="30918"/>
    <cellStyle name="Normal 1100 7" xfId="30919"/>
    <cellStyle name="Normal 1100 8" xfId="30920"/>
    <cellStyle name="Normal 1101" xfId="1725"/>
    <cellStyle name="Normal 1101 2" xfId="1726"/>
    <cellStyle name="Normal 1101 2 2" xfId="1727"/>
    <cellStyle name="Normal 1101 2 3" xfId="1728"/>
    <cellStyle name="Normal 1101 2 4" xfId="30921"/>
    <cellStyle name="Normal 1101 2 5" xfId="30922"/>
    <cellStyle name="Normal 1101 2 6" xfId="30923"/>
    <cellStyle name="Normal 1101 3" xfId="1729"/>
    <cellStyle name="Normal 1101 3 2" xfId="30924"/>
    <cellStyle name="Normal 1101 3 3" xfId="30925"/>
    <cellStyle name="Normal 1101 4" xfId="1730"/>
    <cellStyle name="Normal 1101 5" xfId="1731"/>
    <cellStyle name="Normal 1101 6" xfId="30926"/>
    <cellStyle name="Normal 1101 7" xfId="30927"/>
    <cellStyle name="Normal 1101 8" xfId="30928"/>
    <cellStyle name="Normal 1102" xfId="1732"/>
    <cellStyle name="Normal 1102 2" xfId="1733"/>
    <cellStyle name="Normal 1102 2 2" xfId="1734"/>
    <cellStyle name="Normal 1102 2 3" xfId="1735"/>
    <cellStyle name="Normal 1102 2 4" xfId="30929"/>
    <cellStyle name="Normal 1102 2 5" xfId="30930"/>
    <cellStyle name="Normal 1102 2 6" xfId="30931"/>
    <cellStyle name="Normal 1102 3" xfId="1736"/>
    <cellStyle name="Normal 1102 3 2" xfId="30932"/>
    <cellStyle name="Normal 1102 3 3" xfId="30933"/>
    <cellStyle name="Normal 1102 4" xfId="1737"/>
    <cellStyle name="Normal 1102 5" xfId="1738"/>
    <cellStyle name="Normal 1102 6" xfId="30934"/>
    <cellStyle name="Normal 1102 7" xfId="30935"/>
    <cellStyle name="Normal 1102 8" xfId="30936"/>
    <cellStyle name="Normal 1103" xfId="1739"/>
    <cellStyle name="Normal 1103 2" xfId="1740"/>
    <cellStyle name="Normal 1103 2 2" xfId="1741"/>
    <cellStyle name="Normal 1103 2 3" xfId="1742"/>
    <cellStyle name="Normal 1103 2 4" xfId="30937"/>
    <cellStyle name="Normal 1103 2 5" xfId="30938"/>
    <cellStyle name="Normal 1103 2 6" xfId="30939"/>
    <cellStyle name="Normal 1103 3" xfId="1743"/>
    <cellStyle name="Normal 1103 3 2" xfId="30940"/>
    <cellStyle name="Normal 1103 3 3" xfId="30941"/>
    <cellStyle name="Normal 1103 4" xfId="1744"/>
    <cellStyle name="Normal 1103 5" xfId="1745"/>
    <cellStyle name="Normal 1103 6" xfId="30942"/>
    <cellStyle name="Normal 1103 7" xfId="30943"/>
    <cellStyle name="Normal 1103 8" xfId="30944"/>
    <cellStyle name="Normal 1104" xfId="1746"/>
    <cellStyle name="Normal 1104 2" xfId="1747"/>
    <cellStyle name="Normal 1104 2 2" xfId="1748"/>
    <cellStyle name="Normal 1104 2 3" xfId="1749"/>
    <cellStyle name="Normal 1104 2 4" xfId="30945"/>
    <cellStyle name="Normal 1104 2 5" xfId="30946"/>
    <cellStyle name="Normal 1104 2 6" xfId="30947"/>
    <cellStyle name="Normal 1104 3" xfId="1750"/>
    <cellStyle name="Normal 1104 3 2" xfId="30948"/>
    <cellStyle name="Normal 1104 3 3" xfId="30949"/>
    <cellStyle name="Normal 1104 4" xfId="1751"/>
    <cellStyle name="Normal 1104 5" xfId="1752"/>
    <cellStyle name="Normal 1104 6" xfId="30950"/>
    <cellStyle name="Normal 1104 7" xfId="30951"/>
    <cellStyle name="Normal 1104 8" xfId="30952"/>
    <cellStyle name="Normal 1105" xfId="1753"/>
    <cellStyle name="Normal 1105 2" xfId="1754"/>
    <cellStyle name="Normal 1105 2 2" xfId="1755"/>
    <cellStyle name="Normal 1105 2 3" xfId="1756"/>
    <cellStyle name="Normal 1105 2 4" xfId="30953"/>
    <cellStyle name="Normal 1105 2 5" xfId="30954"/>
    <cellStyle name="Normal 1105 2 6" xfId="30955"/>
    <cellStyle name="Normal 1105 3" xfId="1757"/>
    <cellStyle name="Normal 1105 3 2" xfId="30956"/>
    <cellStyle name="Normal 1105 3 3" xfId="30957"/>
    <cellStyle name="Normal 1105 4" xfId="1758"/>
    <cellStyle name="Normal 1105 5" xfId="1759"/>
    <cellStyle name="Normal 1105 6" xfId="30958"/>
    <cellStyle name="Normal 1105 7" xfId="30959"/>
    <cellStyle name="Normal 1105 8" xfId="30960"/>
    <cellStyle name="Normal 1106" xfId="1760"/>
    <cellStyle name="Normal 1106 2" xfId="1761"/>
    <cellStyle name="Normal 1106 2 2" xfId="1762"/>
    <cellStyle name="Normal 1106 2 3" xfId="1763"/>
    <cellStyle name="Normal 1106 2 4" xfId="30961"/>
    <cellStyle name="Normal 1106 2 5" xfId="30962"/>
    <cellStyle name="Normal 1106 2 6" xfId="30963"/>
    <cellStyle name="Normal 1106 3" xfId="1764"/>
    <cellStyle name="Normal 1106 3 2" xfId="30964"/>
    <cellStyle name="Normal 1106 3 3" xfId="30965"/>
    <cellStyle name="Normal 1106 4" xfId="1765"/>
    <cellStyle name="Normal 1106 5" xfId="1766"/>
    <cellStyle name="Normal 1106 6" xfId="30966"/>
    <cellStyle name="Normal 1106 7" xfId="30967"/>
    <cellStyle name="Normal 1106 8" xfId="30968"/>
    <cellStyle name="Normal 1107" xfId="1767"/>
    <cellStyle name="Normal 1107 2" xfId="1768"/>
    <cellStyle name="Normal 1107 2 2" xfId="1769"/>
    <cellStyle name="Normal 1107 2 3" xfId="1770"/>
    <cellStyle name="Normal 1107 2 4" xfId="30969"/>
    <cellStyle name="Normal 1107 2 5" xfId="30970"/>
    <cellStyle name="Normal 1107 2 6" xfId="30971"/>
    <cellStyle name="Normal 1107 3" xfId="1771"/>
    <cellStyle name="Normal 1107 3 2" xfId="30972"/>
    <cellStyle name="Normal 1107 3 3" xfId="30973"/>
    <cellStyle name="Normal 1107 4" xfId="1772"/>
    <cellStyle name="Normal 1107 5" xfId="1773"/>
    <cellStyle name="Normal 1107 6" xfId="30974"/>
    <cellStyle name="Normal 1107 7" xfId="30975"/>
    <cellStyle name="Normal 1107 8" xfId="30976"/>
    <cellStyle name="Normal 1108" xfId="1774"/>
    <cellStyle name="Normal 1108 2" xfId="1775"/>
    <cellStyle name="Normal 1108 2 2" xfId="1776"/>
    <cellStyle name="Normal 1108 2 3" xfId="1777"/>
    <cellStyle name="Normal 1108 2 4" xfId="30977"/>
    <cellStyle name="Normal 1108 2 5" xfId="30978"/>
    <cellStyle name="Normal 1108 2 6" xfId="30979"/>
    <cellStyle name="Normal 1108 3" xfId="1778"/>
    <cellStyle name="Normal 1108 3 2" xfId="30980"/>
    <cellStyle name="Normal 1108 3 3" xfId="30981"/>
    <cellStyle name="Normal 1108 4" xfId="1779"/>
    <cellStyle name="Normal 1108 5" xfId="1780"/>
    <cellStyle name="Normal 1108 6" xfId="30982"/>
    <cellStyle name="Normal 1108 7" xfId="30983"/>
    <cellStyle name="Normal 1108 8" xfId="30984"/>
    <cellStyle name="Normal 1109" xfId="1781"/>
    <cellStyle name="Normal 1109 2" xfId="1782"/>
    <cellStyle name="Normal 1109 2 2" xfId="1783"/>
    <cellStyle name="Normal 1109 2 3" xfId="1784"/>
    <cellStyle name="Normal 1109 2 4" xfId="30985"/>
    <cellStyle name="Normal 1109 2 5" xfId="30986"/>
    <cellStyle name="Normal 1109 2 6" xfId="30987"/>
    <cellStyle name="Normal 1109 3" xfId="1785"/>
    <cellStyle name="Normal 1109 3 2" xfId="30988"/>
    <cellStyle name="Normal 1109 3 3" xfId="30989"/>
    <cellStyle name="Normal 1109 4" xfId="1786"/>
    <cellStyle name="Normal 1109 5" xfId="1787"/>
    <cellStyle name="Normal 1109 6" xfId="30990"/>
    <cellStyle name="Normal 1109 7" xfId="30991"/>
    <cellStyle name="Normal 1109 8" xfId="30992"/>
    <cellStyle name="Normal 111" xfId="1788"/>
    <cellStyle name="Normal 111 10" xfId="30993"/>
    <cellStyle name="Normal 111 2" xfId="1789"/>
    <cellStyle name="Normal 111 2 2" xfId="1790"/>
    <cellStyle name="Normal 111 2 2 2" xfId="1791"/>
    <cellStyle name="Normal 111 2 2 3" xfId="1792"/>
    <cellStyle name="Normal 111 2 3" xfId="1793"/>
    <cellStyle name="Normal 111 2 3 2" xfId="30994"/>
    <cellStyle name="Normal 111 2 3 3" xfId="30995"/>
    <cellStyle name="Normal 111 2 4" xfId="1794"/>
    <cellStyle name="Normal 111 2 5" xfId="1795"/>
    <cellStyle name="Normal 111 2 6" xfId="30996"/>
    <cellStyle name="Normal 111 2 7" xfId="30997"/>
    <cellStyle name="Normal 111 2 8" xfId="30998"/>
    <cellStyle name="Normal 111 3" xfId="1796"/>
    <cellStyle name="Normal 111 3 2" xfId="1797"/>
    <cellStyle name="Normal 111 3 2 2" xfId="30999"/>
    <cellStyle name="Normal 111 3 2 3" xfId="31000"/>
    <cellStyle name="Normal 111 3 3" xfId="1798"/>
    <cellStyle name="Normal 111 3 3 2" xfId="31001"/>
    <cellStyle name="Normal 111 3 3 3" xfId="31002"/>
    <cellStyle name="Normal 111 3 4" xfId="31003"/>
    <cellStyle name="Normal 111 3 5" xfId="31004"/>
    <cellStyle name="Normal 111 4" xfId="1799"/>
    <cellStyle name="Normal 111 4 2" xfId="31005"/>
    <cellStyle name="Normal 111 4 3" xfId="31006"/>
    <cellStyle name="Normal 111 5" xfId="1800"/>
    <cellStyle name="Normal 111 5 2" xfId="31007"/>
    <cellStyle name="Normal 111 5 3" xfId="31008"/>
    <cellStyle name="Normal 111 6" xfId="1801"/>
    <cellStyle name="Normal 111 7" xfId="31009"/>
    <cellStyle name="Normal 111 8" xfId="31010"/>
    <cellStyle name="Normal 111 9" xfId="31011"/>
    <cellStyle name="Normal 1110" xfId="1802"/>
    <cellStyle name="Normal 1110 2" xfId="1803"/>
    <cellStyle name="Normal 1110 2 2" xfId="1804"/>
    <cellStyle name="Normal 1110 2 3" xfId="1805"/>
    <cellStyle name="Normal 1110 2 4" xfId="31012"/>
    <cellStyle name="Normal 1110 2 5" xfId="31013"/>
    <cellStyle name="Normal 1110 2 6" xfId="31014"/>
    <cellStyle name="Normal 1110 3" xfId="1806"/>
    <cellStyle name="Normal 1110 3 2" xfId="31015"/>
    <cellStyle name="Normal 1110 3 3" xfId="31016"/>
    <cellStyle name="Normal 1110 4" xfId="1807"/>
    <cellStyle name="Normal 1110 5" xfId="1808"/>
    <cellStyle name="Normal 1110 6" xfId="31017"/>
    <cellStyle name="Normal 1110 7" xfId="31018"/>
    <cellStyle name="Normal 1110 8" xfId="31019"/>
    <cellStyle name="Normal 1111" xfId="1809"/>
    <cellStyle name="Normal 1111 2" xfId="1810"/>
    <cellStyle name="Normal 1111 2 2" xfId="1811"/>
    <cellStyle name="Normal 1111 2 3" xfId="1812"/>
    <cellStyle name="Normal 1111 2 4" xfId="31020"/>
    <cellStyle name="Normal 1111 2 5" xfId="31021"/>
    <cellStyle name="Normal 1111 2 6" xfId="31022"/>
    <cellStyle name="Normal 1111 3" xfId="1813"/>
    <cellStyle name="Normal 1111 3 2" xfId="31023"/>
    <cellStyle name="Normal 1111 3 3" xfId="31024"/>
    <cellStyle name="Normal 1111 4" xfId="1814"/>
    <cellStyle name="Normal 1111 5" xfId="1815"/>
    <cellStyle name="Normal 1111 6" xfId="31025"/>
    <cellStyle name="Normal 1111 7" xfId="31026"/>
    <cellStyle name="Normal 1111 8" xfId="31027"/>
    <cellStyle name="Normal 1112" xfId="1816"/>
    <cellStyle name="Normal 1112 2" xfId="1817"/>
    <cellStyle name="Normal 1112 2 2" xfId="1818"/>
    <cellStyle name="Normal 1112 2 3" xfId="1819"/>
    <cellStyle name="Normal 1112 2 4" xfId="31028"/>
    <cellStyle name="Normal 1112 2 5" xfId="31029"/>
    <cellStyle name="Normal 1112 2 6" xfId="31030"/>
    <cellStyle name="Normal 1112 3" xfId="1820"/>
    <cellStyle name="Normal 1112 3 2" xfId="31031"/>
    <cellStyle name="Normal 1112 3 3" xfId="31032"/>
    <cellStyle name="Normal 1112 4" xfId="1821"/>
    <cellStyle name="Normal 1112 5" xfId="1822"/>
    <cellStyle name="Normal 1112 6" xfId="31033"/>
    <cellStyle name="Normal 1112 7" xfId="31034"/>
    <cellStyle name="Normal 1112 8" xfId="31035"/>
    <cellStyle name="Normal 1113" xfId="1823"/>
    <cellStyle name="Normal 1113 2" xfId="1824"/>
    <cellStyle name="Normal 1113 2 2" xfId="1825"/>
    <cellStyle name="Normal 1113 2 3" xfId="1826"/>
    <cellStyle name="Normal 1113 2 4" xfId="31036"/>
    <cellStyle name="Normal 1113 2 5" xfId="31037"/>
    <cellStyle name="Normal 1113 2 6" xfId="31038"/>
    <cellStyle name="Normal 1113 3" xfId="1827"/>
    <cellStyle name="Normal 1113 3 2" xfId="31039"/>
    <cellStyle name="Normal 1113 3 3" xfId="31040"/>
    <cellStyle name="Normal 1113 4" xfId="1828"/>
    <cellStyle name="Normal 1113 5" xfId="1829"/>
    <cellStyle name="Normal 1113 6" xfId="31041"/>
    <cellStyle name="Normal 1113 7" xfId="31042"/>
    <cellStyle name="Normal 1113 8" xfId="31043"/>
    <cellStyle name="Normal 1114" xfId="1830"/>
    <cellStyle name="Normal 1114 2" xfId="1831"/>
    <cellStyle name="Normal 1114 2 2" xfId="1832"/>
    <cellStyle name="Normal 1114 2 3" xfId="1833"/>
    <cellStyle name="Normal 1114 2 4" xfId="31044"/>
    <cellStyle name="Normal 1114 2 5" xfId="31045"/>
    <cellStyle name="Normal 1114 2 6" xfId="31046"/>
    <cellStyle name="Normal 1114 3" xfId="1834"/>
    <cellStyle name="Normal 1114 3 2" xfId="31047"/>
    <cellStyle name="Normal 1114 3 3" xfId="31048"/>
    <cellStyle name="Normal 1114 4" xfId="1835"/>
    <cellStyle name="Normal 1114 5" xfId="1836"/>
    <cellStyle name="Normal 1114 6" xfId="31049"/>
    <cellStyle name="Normal 1114 7" xfId="31050"/>
    <cellStyle name="Normal 1114 8" xfId="31051"/>
    <cellStyle name="Normal 1115" xfId="1837"/>
    <cellStyle name="Normal 1115 2" xfId="1838"/>
    <cellStyle name="Normal 1115 2 2" xfId="1839"/>
    <cellStyle name="Normal 1115 2 3" xfId="1840"/>
    <cellStyle name="Normal 1115 2 4" xfId="31052"/>
    <cellStyle name="Normal 1115 2 5" xfId="31053"/>
    <cellStyle name="Normal 1115 2 6" xfId="31054"/>
    <cellStyle name="Normal 1115 3" xfId="1841"/>
    <cellStyle name="Normal 1115 3 2" xfId="31055"/>
    <cellStyle name="Normal 1115 3 3" xfId="31056"/>
    <cellStyle name="Normal 1115 4" xfId="1842"/>
    <cellStyle name="Normal 1115 5" xfId="1843"/>
    <cellStyle name="Normal 1115 6" xfId="31057"/>
    <cellStyle name="Normal 1115 7" xfId="31058"/>
    <cellStyle name="Normal 1115 8" xfId="31059"/>
    <cellStyle name="Normal 1116" xfId="1844"/>
    <cellStyle name="Normal 1116 2" xfId="1845"/>
    <cellStyle name="Normal 1116 2 2" xfId="1846"/>
    <cellStyle name="Normal 1116 2 3" xfId="1847"/>
    <cellStyle name="Normal 1116 2 4" xfId="31060"/>
    <cellStyle name="Normal 1116 2 5" xfId="31061"/>
    <cellStyle name="Normal 1116 2 6" xfId="31062"/>
    <cellStyle name="Normal 1116 3" xfId="1848"/>
    <cellStyle name="Normal 1116 3 2" xfId="31063"/>
    <cellStyle name="Normal 1116 3 3" xfId="31064"/>
    <cellStyle name="Normal 1116 4" xfId="1849"/>
    <cellStyle name="Normal 1116 5" xfId="1850"/>
    <cellStyle name="Normal 1116 6" xfId="31065"/>
    <cellStyle name="Normal 1116 7" xfId="31066"/>
    <cellStyle name="Normal 1116 8" xfId="31067"/>
    <cellStyle name="Normal 1117" xfId="1851"/>
    <cellStyle name="Normal 1117 2" xfId="1852"/>
    <cellStyle name="Normal 1117 2 2" xfId="1853"/>
    <cellStyle name="Normal 1117 2 3" xfId="1854"/>
    <cellStyle name="Normal 1117 2 4" xfId="31068"/>
    <cellStyle name="Normal 1117 2 5" xfId="31069"/>
    <cellStyle name="Normal 1117 2 6" xfId="31070"/>
    <cellStyle name="Normal 1117 3" xfId="1855"/>
    <cellStyle name="Normal 1117 3 2" xfId="31071"/>
    <cellStyle name="Normal 1117 3 3" xfId="31072"/>
    <cellStyle name="Normal 1117 4" xfId="1856"/>
    <cellStyle name="Normal 1117 5" xfId="1857"/>
    <cellStyle name="Normal 1117 6" xfId="31073"/>
    <cellStyle name="Normal 1117 7" xfId="31074"/>
    <cellStyle name="Normal 1117 8" xfId="31075"/>
    <cellStyle name="Normal 1118" xfId="1858"/>
    <cellStyle name="Normal 1118 2" xfId="1859"/>
    <cellStyle name="Normal 1118 2 2" xfId="1860"/>
    <cellStyle name="Normal 1118 2 3" xfId="1861"/>
    <cellStyle name="Normal 1118 2 4" xfId="31076"/>
    <cellStyle name="Normal 1118 2 5" xfId="31077"/>
    <cellStyle name="Normal 1118 2 6" xfId="31078"/>
    <cellStyle name="Normal 1118 3" xfId="1862"/>
    <cellStyle name="Normal 1118 3 2" xfId="31079"/>
    <cellStyle name="Normal 1118 3 3" xfId="31080"/>
    <cellStyle name="Normal 1118 4" xfId="1863"/>
    <cellStyle name="Normal 1118 5" xfId="1864"/>
    <cellStyle name="Normal 1118 6" xfId="31081"/>
    <cellStyle name="Normal 1118 7" xfId="31082"/>
    <cellStyle name="Normal 1118 8" xfId="31083"/>
    <cellStyle name="Normal 1119" xfId="1865"/>
    <cellStyle name="Normal 1119 2" xfId="1866"/>
    <cellStyle name="Normal 1119 2 2" xfId="1867"/>
    <cellStyle name="Normal 1119 2 3" xfId="1868"/>
    <cellStyle name="Normal 1119 2 4" xfId="31084"/>
    <cellStyle name="Normal 1119 2 5" xfId="31085"/>
    <cellStyle name="Normal 1119 2 6" xfId="31086"/>
    <cellStyle name="Normal 1119 3" xfId="1869"/>
    <cellStyle name="Normal 1119 3 2" xfId="31087"/>
    <cellStyle name="Normal 1119 3 3" xfId="31088"/>
    <cellStyle name="Normal 1119 4" xfId="1870"/>
    <cellStyle name="Normal 1119 5" xfId="1871"/>
    <cellStyle name="Normal 1119 6" xfId="31089"/>
    <cellStyle name="Normal 1119 7" xfId="31090"/>
    <cellStyle name="Normal 1119 8" xfId="31091"/>
    <cellStyle name="Normal 112" xfId="1872"/>
    <cellStyle name="Normal 112 10" xfId="31092"/>
    <cellStyle name="Normal 112 2" xfId="1873"/>
    <cellStyle name="Normal 112 2 2" xfId="1874"/>
    <cellStyle name="Normal 112 2 2 2" xfId="1875"/>
    <cellStyle name="Normal 112 2 2 3" xfId="1876"/>
    <cellStyle name="Normal 112 2 3" xfId="1877"/>
    <cellStyle name="Normal 112 2 3 2" xfId="31093"/>
    <cellStyle name="Normal 112 2 3 3" xfId="31094"/>
    <cellStyle name="Normal 112 2 4" xfId="1878"/>
    <cellStyle name="Normal 112 2 5" xfId="1879"/>
    <cellStyle name="Normal 112 2 6" xfId="31095"/>
    <cellStyle name="Normal 112 2 7" xfId="31096"/>
    <cellStyle name="Normal 112 2 8" xfId="31097"/>
    <cellStyle name="Normal 112 3" xfId="1880"/>
    <cellStyle name="Normal 112 3 2" xfId="1881"/>
    <cellStyle name="Normal 112 3 2 2" xfId="31098"/>
    <cellStyle name="Normal 112 3 2 3" xfId="31099"/>
    <cellStyle name="Normal 112 3 3" xfId="1882"/>
    <cellStyle name="Normal 112 3 3 2" xfId="31100"/>
    <cellStyle name="Normal 112 3 3 3" xfId="31101"/>
    <cellStyle name="Normal 112 3 4" xfId="31102"/>
    <cellStyle name="Normal 112 3 5" xfId="31103"/>
    <cellStyle name="Normal 112 4" xfId="1883"/>
    <cellStyle name="Normal 112 4 2" xfId="31104"/>
    <cellStyle name="Normal 112 4 3" xfId="31105"/>
    <cellStyle name="Normal 112 5" xfId="1884"/>
    <cellStyle name="Normal 112 5 2" xfId="31106"/>
    <cellStyle name="Normal 112 5 3" xfId="31107"/>
    <cellStyle name="Normal 112 6" xfId="1885"/>
    <cellStyle name="Normal 112 7" xfId="31108"/>
    <cellStyle name="Normal 112 8" xfId="31109"/>
    <cellStyle name="Normal 112 9" xfId="31110"/>
    <cellStyle name="Normal 1120" xfId="1886"/>
    <cellStyle name="Normal 1120 2" xfId="1887"/>
    <cellStyle name="Normal 1120 2 2" xfId="1888"/>
    <cellStyle name="Normal 1120 2 3" xfId="1889"/>
    <cellStyle name="Normal 1120 2 4" xfId="31111"/>
    <cellStyle name="Normal 1120 2 5" xfId="31112"/>
    <cellStyle name="Normal 1120 2 6" xfId="31113"/>
    <cellStyle name="Normal 1120 3" xfId="1890"/>
    <cellStyle name="Normal 1120 3 2" xfId="31114"/>
    <cellStyle name="Normal 1120 3 3" xfId="31115"/>
    <cellStyle name="Normal 1120 4" xfId="1891"/>
    <cellStyle name="Normal 1120 5" xfId="1892"/>
    <cellStyle name="Normal 1120 6" xfId="31116"/>
    <cellStyle name="Normal 1120 7" xfId="31117"/>
    <cellStyle name="Normal 1120 8" xfId="31118"/>
    <cellStyle name="Normal 1121" xfId="1893"/>
    <cellStyle name="Normal 1121 2" xfId="1894"/>
    <cellStyle name="Normal 1121 2 2" xfId="1895"/>
    <cellStyle name="Normal 1121 2 3" xfId="1896"/>
    <cellStyle name="Normal 1121 2 4" xfId="31119"/>
    <cellStyle name="Normal 1121 2 5" xfId="31120"/>
    <cellStyle name="Normal 1121 2 6" xfId="31121"/>
    <cellStyle name="Normal 1121 3" xfId="1897"/>
    <cellStyle name="Normal 1121 3 2" xfId="31122"/>
    <cellStyle name="Normal 1121 3 3" xfId="31123"/>
    <cellStyle name="Normal 1121 4" xfId="1898"/>
    <cellStyle name="Normal 1121 5" xfId="1899"/>
    <cellStyle name="Normal 1121 6" xfId="31124"/>
    <cellStyle name="Normal 1121 7" xfId="31125"/>
    <cellStyle name="Normal 1121 8" xfId="31126"/>
    <cellStyle name="Normal 1122" xfId="1900"/>
    <cellStyle name="Normal 1122 2" xfId="1901"/>
    <cellStyle name="Normal 1122 2 2" xfId="1902"/>
    <cellStyle name="Normal 1122 2 3" xfId="1903"/>
    <cellStyle name="Normal 1122 2 4" xfId="31127"/>
    <cellStyle name="Normal 1122 2 5" xfId="31128"/>
    <cellStyle name="Normal 1122 2 6" xfId="31129"/>
    <cellStyle name="Normal 1122 3" xfId="1904"/>
    <cellStyle name="Normal 1122 3 2" xfId="31130"/>
    <cellStyle name="Normal 1122 3 3" xfId="31131"/>
    <cellStyle name="Normal 1122 4" xfId="1905"/>
    <cellStyle name="Normal 1122 5" xfId="1906"/>
    <cellStyle name="Normal 1122 6" xfId="31132"/>
    <cellStyle name="Normal 1122 7" xfId="31133"/>
    <cellStyle name="Normal 1122 8" xfId="31134"/>
    <cellStyle name="Normal 1123" xfId="1907"/>
    <cellStyle name="Normal 1123 2" xfId="1908"/>
    <cellStyle name="Normal 1123 2 2" xfId="1909"/>
    <cellStyle name="Normal 1123 2 3" xfId="1910"/>
    <cellStyle name="Normal 1123 2 4" xfId="31135"/>
    <cellStyle name="Normal 1123 2 5" xfId="31136"/>
    <cellStyle name="Normal 1123 2 6" xfId="31137"/>
    <cellStyle name="Normal 1123 3" xfId="1911"/>
    <cellStyle name="Normal 1123 3 2" xfId="31138"/>
    <cellStyle name="Normal 1123 3 3" xfId="31139"/>
    <cellStyle name="Normal 1123 4" xfId="1912"/>
    <cellStyle name="Normal 1123 5" xfId="1913"/>
    <cellStyle name="Normal 1123 6" xfId="31140"/>
    <cellStyle name="Normal 1123 7" xfId="31141"/>
    <cellStyle name="Normal 1123 8" xfId="31142"/>
    <cellStyle name="Normal 1124" xfId="1914"/>
    <cellStyle name="Normal 1124 2" xfId="1915"/>
    <cellStyle name="Normal 1124 2 2" xfId="1916"/>
    <cellStyle name="Normal 1124 2 3" xfId="1917"/>
    <cellStyle name="Normal 1124 2 4" xfId="31143"/>
    <cellStyle name="Normal 1124 2 5" xfId="31144"/>
    <cellStyle name="Normal 1124 2 6" xfId="31145"/>
    <cellStyle name="Normal 1124 3" xfId="1918"/>
    <cellStyle name="Normal 1124 3 2" xfId="31146"/>
    <cellStyle name="Normal 1124 3 3" xfId="31147"/>
    <cellStyle name="Normal 1124 4" xfId="1919"/>
    <cellStyle name="Normal 1124 5" xfId="1920"/>
    <cellStyle name="Normal 1124 6" xfId="31148"/>
    <cellStyle name="Normal 1124 7" xfId="31149"/>
    <cellStyle name="Normal 1124 8" xfId="31150"/>
    <cellStyle name="Normal 1125" xfId="1921"/>
    <cellStyle name="Normal 1125 2" xfId="1922"/>
    <cellStyle name="Normal 1125 2 2" xfId="1923"/>
    <cellStyle name="Normal 1125 2 3" xfId="1924"/>
    <cellStyle name="Normal 1125 2 4" xfId="31151"/>
    <cellStyle name="Normal 1125 2 5" xfId="31152"/>
    <cellStyle name="Normal 1125 2 6" xfId="31153"/>
    <cellStyle name="Normal 1125 3" xfId="1925"/>
    <cellStyle name="Normal 1125 3 2" xfId="31154"/>
    <cellStyle name="Normal 1125 3 3" xfId="31155"/>
    <cellStyle name="Normal 1125 4" xfId="1926"/>
    <cellStyle name="Normal 1125 5" xfId="1927"/>
    <cellStyle name="Normal 1125 6" xfId="31156"/>
    <cellStyle name="Normal 1125 7" xfId="31157"/>
    <cellStyle name="Normal 1125 8" xfId="31158"/>
    <cellStyle name="Normal 1126" xfId="1928"/>
    <cellStyle name="Normal 1126 2" xfId="1929"/>
    <cellStyle name="Normal 1126 2 2" xfId="1930"/>
    <cellStyle name="Normal 1126 2 3" xfId="1931"/>
    <cellStyle name="Normal 1126 2 4" xfId="31159"/>
    <cellStyle name="Normal 1126 2 5" xfId="31160"/>
    <cellStyle name="Normal 1126 2 6" xfId="31161"/>
    <cellStyle name="Normal 1126 3" xfId="1932"/>
    <cellStyle name="Normal 1126 3 2" xfId="31162"/>
    <cellStyle name="Normal 1126 3 3" xfId="31163"/>
    <cellStyle name="Normal 1126 4" xfId="1933"/>
    <cellStyle name="Normal 1126 5" xfId="1934"/>
    <cellStyle name="Normal 1126 6" xfId="31164"/>
    <cellStyle name="Normal 1126 7" xfId="31165"/>
    <cellStyle name="Normal 1126 8" xfId="31166"/>
    <cellStyle name="Normal 1127" xfId="1935"/>
    <cellStyle name="Normal 1127 2" xfId="1936"/>
    <cellStyle name="Normal 1127 2 2" xfId="1937"/>
    <cellStyle name="Normal 1127 2 3" xfId="1938"/>
    <cellStyle name="Normal 1127 2 4" xfId="31167"/>
    <cellStyle name="Normal 1127 2 5" xfId="31168"/>
    <cellStyle name="Normal 1127 2 6" xfId="31169"/>
    <cellStyle name="Normal 1127 3" xfId="1939"/>
    <cellStyle name="Normal 1127 3 2" xfId="31170"/>
    <cellStyle name="Normal 1127 3 3" xfId="31171"/>
    <cellStyle name="Normal 1127 4" xfId="1940"/>
    <cellStyle name="Normal 1127 5" xfId="1941"/>
    <cellStyle name="Normal 1127 6" xfId="31172"/>
    <cellStyle name="Normal 1127 7" xfId="31173"/>
    <cellStyle name="Normal 1127 8" xfId="31174"/>
    <cellStyle name="Normal 1128" xfId="1942"/>
    <cellStyle name="Normal 1128 2" xfId="1943"/>
    <cellStyle name="Normal 1128 2 2" xfId="1944"/>
    <cellStyle name="Normal 1128 2 3" xfId="1945"/>
    <cellStyle name="Normal 1128 2 4" xfId="31175"/>
    <cellStyle name="Normal 1128 2 5" xfId="31176"/>
    <cellStyle name="Normal 1128 2 6" xfId="31177"/>
    <cellStyle name="Normal 1128 3" xfId="1946"/>
    <cellStyle name="Normal 1128 3 2" xfId="31178"/>
    <cellStyle name="Normal 1128 3 3" xfId="31179"/>
    <cellStyle name="Normal 1128 4" xfId="1947"/>
    <cellStyle name="Normal 1128 5" xfId="1948"/>
    <cellStyle name="Normal 1128 6" xfId="31180"/>
    <cellStyle name="Normal 1128 7" xfId="31181"/>
    <cellStyle name="Normal 1128 8" xfId="31182"/>
    <cellStyle name="Normal 1129" xfId="1949"/>
    <cellStyle name="Normal 1129 2" xfId="1950"/>
    <cellStyle name="Normal 1129 2 2" xfId="1951"/>
    <cellStyle name="Normal 1129 2 3" xfId="1952"/>
    <cellStyle name="Normal 1129 2 4" xfId="31183"/>
    <cellStyle name="Normal 1129 2 5" xfId="31184"/>
    <cellStyle name="Normal 1129 2 6" xfId="31185"/>
    <cellStyle name="Normal 1129 3" xfId="1953"/>
    <cellStyle name="Normal 1129 3 2" xfId="31186"/>
    <cellStyle name="Normal 1129 3 3" xfId="31187"/>
    <cellStyle name="Normal 1129 4" xfId="1954"/>
    <cellStyle name="Normal 1129 5" xfId="1955"/>
    <cellStyle name="Normal 1129 6" xfId="31188"/>
    <cellStyle name="Normal 1129 7" xfId="31189"/>
    <cellStyle name="Normal 1129 8" xfId="31190"/>
    <cellStyle name="Normal 113" xfId="1956"/>
    <cellStyle name="Normal 113 10" xfId="31191"/>
    <cellStyle name="Normal 113 2" xfId="1957"/>
    <cellStyle name="Normal 113 2 2" xfId="1958"/>
    <cellStyle name="Normal 113 2 2 2" xfId="1959"/>
    <cellStyle name="Normal 113 2 2 3" xfId="1960"/>
    <cellStyle name="Normal 113 2 3" xfId="1961"/>
    <cellStyle name="Normal 113 2 3 2" xfId="31192"/>
    <cellStyle name="Normal 113 2 3 3" xfId="31193"/>
    <cellStyle name="Normal 113 2 4" xfId="1962"/>
    <cellStyle name="Normal 113 2 5" xfId="1963"/>
    <cellStyle name="Normal 113 2 6" xfId="31194"/>
    <cellStyle name="Normal 113 2 7" xfId="31195"/>
    <cellStyle name="Normal 113 2 8" xfId="31196"/>
    <cellStyle name="Normal 113 3" xfId="1964"/>
    <cellStyle name="Normal 113 3 2" xfId="1965"/>
    <cellStyle name="Normal 113 3 2 2" xfId="31197"/>
    <cellStyle name="Normal 113 3 2 3" xfId="31198"/>
    <cellStyle name="Normal 113 3 3" xfId="1966"/>
    <cellStyle name="Normal 113 3 3 2" xfId="31199"/>
    <cellStyle name="Normal 113 3 3 3" xfId="31200"/>
    <cellStyle name="Normal 113 3 4" xfId="31201"/>
    <cellStyle name="Normal 113 3 5" xfId="31202"/>
    <cellStyle name="Normal 113 4" xfId="1967"/>
    <cellStyle name="Normal 113 4 2" xfId="31203"/>
    <cellStyle name="Normal 113 4 3" xfId="31204"/>
    <cellStyle name="Normal 113 5" xfId="1968"/>
    <cellStyle name="Normal 113 5 2" xfId="31205"/>
    <cellStyle name="Normal 113 5 3" xfId="31206"/>
    <cellStyle name="Normal 113 6" xfId="1969"/>
    <cellStyle name="Normal 113 7" xfId="31207"/>
    <cellStyle name="Normal 113 8" xfId="31208"/>
    <cellStyle name="Normal 113 9" xfId="31209"/>
    <cellStyle name="Normal 1130" xfId="1970"/>
    <cellStyle name="Normal 1130 2" xfId="1971"/>
    <cellStyle name="Normal 1130 2 2" xfId="1972"/>
    <cellStyle name="Normal 1130 2 3" xfId="1973"/>
    <cellStyle name="Normal 1130 2 4" xfId="31210"/>
    <cellStyle name="Normal 1130 2 5" xfId="31211"/>
    <cellStyle name="Normal 1130 2 6" xfId="31212"/>
    <cellStyle name="Normal 1130 3" xfId="1974"/>
    <cellStyle name="Normal 1130 3 2" xfId="31213"/>
    <cellStyle name="Normal 1130 3 3" xfId="31214"/>
    <cellStyle name="Normal 1130 4" xfId="1975"/>
    <cellStyle name="Normal 1130 5" xfId="1976"/>
    <cellStyle name="Normal 1130 6" xfId="31215"/>
    <cellStyle name="Normal 1130 7" xfId="31216"/>
    <cellStyle name="Normal 1130 8" xfId="31217"/>
    <cellStyle name="Normal 1131" xfId="1977"/>
    <cellStyle name="Normal 1131 2" xfId="1978"/>
    <cellStyle name="Normal 1131 2 2" xfId="1979"/>
    <cellStyle name="Normal 1131 2 3" xfId="1980"/>
    <cellStyle name="Normal 1131 2 4" xfId="31218"/>
    <cellStyle name="Normal 1131 2 5" xfId="31219"/>
    <cellStyle name="Normal 1131 2 6" xfId="31220"/>
    <cellStyle name="Normal 1131 3" xfId="1981"/>
    <cellStyle name="Normal 1131 3 2" xfId="31221"/>
    <cellStyle name="Normal 1131 3 3" xfId="31222"/>
    <cellStyle name="Normal 1131 4" xfId="1982"/>
    <cellStyle name="Normal 1131 5" xfId="1983"/>
    <cellStyle name="Normal 1131 6" xfId="31223"/>
    <cellStyle name="Normal 1131 7" xfId="31224"/>
    <cellStyle name="Normal 1131 8" xfId="31225"/>
    <cellStyle name="Normal 1132" xfId="1984"/>
    <cellStyle name="Normal 1132 2" xfId="1985"/>
    <cellStyle name="Normal 1132 2 2" xfId="1986"/>
    <cellStyle name="Normal 1132 2 3" xfId="1987"/>
    <cellStyle name="Normal 1132 2 4" xfId="31226"/>
    <cellStyle name="Normal 1132 2 5" xfId="31227"/>
    <cellStyle name="Normal 1132 2 6" xfId="31228"/>
    <cellStyle name="Normal 1132 3" xfId="1988"/>
    <cellStyle name="Normal 1132 3 2" xfId="31229"/>
    <cellStyle name="Normal 1132 3 3" xfId="31230"/>
    <cellStyle name="Normal 1132 4" xfId="1989"/>
    <cellStyle name="Normal 1132 5" xfId="1990"/>
    <cellStyle name="Normal 1132 6" xfId="31231"/>
    <cellStyle name="Normal 1132 7" xfId="31232"/>
    <cellStyle name="Normal 1132 8" xfId="31233"/>
    <cellStyle name="Normal 1133" xfId="1991"/>
    <cellStyle name="Normal 1133 2" xfId="1992"/>
    <cellStyle name="Normal 1133 2 2" xfId="1993"/>
    <cellStyle name="Normal 1133 2 3" xfId="1994"/>
    <cellStyle name="Normal 1133 2 4" xfId="31234"/>
    <cellStyle name="Normal 1133 2 5" xfId="31235"/>
    <cellStyle name="Normal 1133 2 6" xfId="31236"/>
    <cellStyle name="Normal 1133 3" xfId="1995"/>
    <cellStyle name="Normal 1133 3 2" xfId="31237"/>
    <cellStyle name="Normal 1133 3 3" xfId="31238"/>
    <cellStyle name="Normal 1133 4" xfId="1996"/>
    <cellStyle name="Normal 1133 5" xfId="1997"/>
    <cellStyle name="Normal 1133 6" xfId="31239"/>
    <cellStyle name="Normal 1133 7" xfId="31240"/>
    <cellStyle name="Normal 1133 8" xfId="31241"/>
    <cellStyle name="Normal 1134" xfId="1998"/>
    <cellStyle name="Normal 1134 2" xfId="1999"/>
    <cellStyle name="Normal 1134 2 2" xfId="2000"/>
    <cellStyle name="Normal 1134 2 3" xfId="2001"/>
    <cellStyle name="Normal 1134 2 4" xfId="31242"/>
    <cellStyle name="Normal 1134 2 5" xfId="31243"/>
    <cellStyle name="Normal 1134 2 6" xfId="31244"/>
    <cellStyle name="Normal 1134 3" xfId="2002"/>
    <cellStyle name="Normal 1134 3 2" xfId="31245"/>
    <cellStyle name="Normal 1134 3 3" xfId="31246"/>
    <cellStyle name="Normal 1134 4" xfId="2003"/>
    <cellStyle name="Normal 1134 5" xfId="2004"/>
    <cellStyle name="Normal 1134 6" xfId="31247"/>
    <cellStyle name="Normal 1134 7" xfId="31248"/>
    <cellStyle name="Normal 1134 8" xfId="31249"/>
    <cellStyle name="Normal 1135" xfId="2005"/>
    <cellStyle name="Normal 1135 2" xfId="2006"/>
    <cellStyle name="Normal 1135 2 2" xfId="2007"/>
    <cellStyle name="Normal 1135 2 3" xfId="2008"/>
    <cellStyle name="Normal 1135 2 4" xfId="31250"/>
    <cellStyle name="Normal 1135 2 5" xfId="31251"/>
    <cellStyle name="Normal 1135 2 6" xfId="31252"/>
    <cellStyle name="Normal 1135 3" xfId="2009"/>
    <cellStyle name="Normal 1135 3 2" xfId="31253"/>
    <cellStyle name="Normal 1135 3 3" xfId="31254"/>
    <cellStyle name="Normal 1135 4" xfId="2010"/>
    <cellStyle name="Normal 1135 5" xfId="2011"/>
    <cellStyle name="Normal 1135 6" xfId="31255"/>
    <cellStyle name="Normal 1135 7" xfId="31256"/>
    <cellStyle name="Normal 1135 8" xfId="31257"/>
    <cellStyle name="Normal 1136" xfId="2012"/>
    <cellStyle name="Normal 1136 2" xfId="2013"/>
    <cellStyle name="Normal 1136 2 2" xfId="2014"/>
    <cellStyle name="Normal 1136 2 3" xfId="2015"/>
    <cellStyle name="Normal 1136 2 4" xfId="31258"/>
    <cellStyle name="Normal 1136 2 5" xfId="31259"/>
    <cellStyle name="Normal 1136 2 6" xfId="31260"/>
    <cellStyle name="Normal 1136 3" xfId="2016"/>
    <cellStyle name="Normal 1136 3 2" xfId="31261"/>
    <cellStyle name="Normal 1136 3 3" xfId="31262"/>
    <cellStyle name="Normal 1136 4" xfId="2017"/>
    <cellStyle name="Normal 1136 5" xfId="2018"/>
    <cellStyle name="Normal 1136 6" xfId="31263"/>
    <cellStyle name="Normal 1136 7" xfId="31264"/>
    <cellStyle name="Normal 1136 8" xfId="31265"/>
    <cellStyle name="Normal 1137" xfId="2019"/>
    <cellStyle name="Normal 1137 2" xfId="2020"/>
    <cellStyle name="Normal 1137 2 2" xfId="2021"/>
    <cellStyle name="Normal 1137 2 3" xfId="2022"/>
    <cellStyle name="Normal 1137 2 4" xfId="31266"/>
    <cellStyle name="Normal 1137 2 5" xfId="31267"/>
    <cellStyle name="Normal 1137 2 6" xfId="31268"/>
    <cellStyle name="Normal 1137 3" xfId="2023"/>
    <cellStyle name="Normal 1137 3 2" xfId="31269"/>
    <cellStyle name="Normal 1137 3 3" xfId="31270"/>
    <cellStyle name="Normal 1137 4" xfId="2024"/>
    <cellStyle name="Normal 1137 5" xfId="2025"/>
    <cellStyle name="Normal 1137 6" xfId="31271"/>
    <cellStyle name="Normal 1137 7" xfId="31272"/>
    <cellStyle name="Normal 1137 8" xfId="31273"/>
    <cellStyle name="Normal 1138" xfId="2026"/>
    <cellStyle name="Normal 1138 2" xfId="2027"/>
    <cellStyle name="Normal 1138 2 2" xfId="2028"/>
    <cellStyle name="Normal 1138 2 3" xfId="2029"/>
    <cellStyle name="Normal 1138 2 4" xfId="31274"/>
    <cellStyle name="Normal 1138 2 5" xfId="31275"/>
    <cellStyle name="Normal 1138 2 6" xfId="31276"/>
    <cellStyle name="Normal 1138 3" xfId="2030"/>
    <cellStyle name="Normal 1138 3 2" xfId="31277"/>
    <cellStyle name="Normal 1138 3 3" xfId="31278"/>
    <cellStyle name="Normal 1138 4" xfId="2031"/>
    <cellStyle name="Normal 1138 5" xfId="2032"/>
    <cellStyle name="Normal 1138 6" xfId="31279"/>
    <cellStyle name="Normal 1138 7" xfId="31280"/>
    <cellStyle name="Normal 1138 8" xfId="31281"/>
    <cellStyle name="Normal 1139" xfId="2033"/>
    <cellStyle name="Normal 1139 2" xfId="2034"/>
    <cellStyle name="Normal 1139 2 2" xfId="2035"/>
    <cellStyle name="Normal 1139 2 3" xfId="2036"/>
    <cellStyle name="Normal 1139 2 4" xfId="31282"/>
    <cellStyle name="Normal 1139 2 5" xfId="31283"/>
    <cellStyle name="Normal 1139 2 6" xfId="31284"/>
    <cellStyle name="Normal 1139 3" xfId="2037"/>
    <cellStyle name="Normal 1139 3 2" xfId="31285"/>
    <cellStyle name="Normal 1139 3 3" xfId="31286"/>
    <cellStyle name="Normal 1139 4" xfId="2038"/>
    <cellStyle name="Normal 1139 5" xfId="2039"/>
    <cellStyle name="Normal 1139 6" xfId="31287"/>
    <cellStyle name="Normal 1139 7" xfId="31288"/>
    <cellStyle name="Normal 1139 8" xfId="31289"/>
    <cellStyle name="Normal 114" xfId="2040"/>
    <cellStyle name="Normal 114 10" xfId="31290"/>
    <cellStyle name="Normal 114 2" xfId="2041"/>
    <cellStyle name="Normal 114 2 2" xfId="2042"/>
    <cellStyle name="Normal 114 2 2 2" xfId="2043"/>
    <cellStyle name="Normal 114 2 2 3" xfId="2044"/>
    <cellStyle name="Normal 114 2 3" xfId="2045"/>
    <cellStyle name="Normal 114 2 3 2" xfId="31291"/>
    <cellStyle name="Normal 114 2 3 3" xfId="31292"/>
    <cellStyle name="Normal 114 2 4" xfId="2046"/>
    <cellStyle name="Normal 114 2 5" xfId="2047"/>
    <cellStyle name="Normal 114 2 6" xfId="31293"/>
    <cellStyle name="Normal 114 2 7" xfId="31294"/>
    <cellStyle name="Normal 114 2 8" xfId="31295"/>
    <cellStyle name="Normal 114 3" xfId="2048"/>
    <cellStyle name="Normal 114 3 2" xfId="2049"/>
    <cellStyle name="Normal 114 3 2 2" xfId="31296"/>
    <cellStyle name="Normal 114 3 2 3" xfId="31297"/>
    <cellStyle name="Normal 114 3 3" xfId="2050"/>
    <cellStyle name="Normal 114 3 3 2" xfId="31298"/>
    <cellStyle name="Normal 114 3 3 3" xfId="31299"/>
    <cellStyle name="Normal 114 3 4" xfId="31300"/>
    <cellStyle name="Normal 114 3 5" xfId="31301"/>
    <cellStyle name="Normal 114 4" xfId="2051"/>
    <cellStyle name="Normal 114 4 2" xfId="31302"/>
    <cellStyle name="Normal 114 4 3" xfId="31303"/>
    <cellStyle name="Normal 114 5" xfId="2052"/>
    <cellStyle name="Normal 114 5 2" xfId="31304"/>
    <cellStyle name="Normal 114 5 3" xfId="31305"/>
    <cellStyle name="Normal 114 6" xfId="2053"/>
    <cellStyle name="Normal 114 7" xfId="31306"/>
    <cellStyle name="Normal 114 8" xfId="31307"/>
    <cellStyle name="Normal 114 9" xfId="31308"/>
    <cellStyle name="Normal 1140" xfId="2054"/>
    <cellStyle name="Normal 1140 2" xfId="2055"/>
    <cellStyle name="Normal 1140 2 2" xfId="2056"/>
    <cellStyle name="Normal 1140 2 3" xfId="2057"/>
    <cellStyle name="Normal 1140 2 4" xfId="31309"/>
    <cellStyle name="Normal 1140 2 5" xfId="31310"/>
    <cellStyle name="Normal 1140 2 6" xfId="31311"/>
    <cellStyle name="Normal 1140 3" xfId="2058"/>
    <cellStyle name="Normal 1140 3 2" xfId="31312"/>
    <cellStyle name="Normal 1140 3 3" xfId="31313"/>
    <cellStyle name="Normal 1140 4" xfId="2059"/>
    <cellStyle name="Normal 1140 5" xfId="2060"/>
    <cellStyle name="Normal 1140 6" xfId="31314"/>
    <cellStyle name="Normal 1140 7" xfId="31315"/>
    <cellStyle name="Normal 1140 8" xfId="31316"/>
    <cellStyle name="Normal 1141" xfId="2061"/>
    <cellStyle name="Normal 1141 2" xfId="2062"/>
    <cellStyle name="Normal 1141 2 2" xfId="2063"/>
    <cellStyle name="Normal 1141 2 3" xfId="2064"/>
    <cellStyle name="Normal 1141 2 4" xfId="31317"/>
    <cellStyle name="Normal 1141 2 5" xfId="31318"/>
    <cellStyle name="Normal 1141 2 6" xfId="31319"/>
    <cellStyle name="Normal 1141 3" xfId="2065"/>
    <cellStyle name="Normal 1141 3 2" xfId="31320"/>
    <cellStyle name="Normal 1141 3 3" xfId="31321"/>
    <cellStyle name="Normal 1141 4" xfId="2066"/>
    <cellStyle name="Normal 1141 5" xfId="2067"/>
    <cellStyle name="Normal 1141 6" xfId="31322"/>
    <cellStyle name="Normal 1141 7" xfId="31323"/>
    <cellStyle name="Normal 1141 8" xfId="31324"/>
    <cellStyle name="Normal 1142" xfId="2068"/>
    <cellStyle name="Normal 1142 2" xfId="2069"/>
    <cellStyle name="Normal 1142 2 2" xfId="2070"/>
    <cellStyle name="Normal 1142 2 3" xfId="2071"/>
    <cellStyle name="Normal 1142 2 4" xfId="31325"/>
    <cellStyle name="Normal 1142 2 5" xfId="31326"/>
    <cellStyle name="Normal 1142 2 6" xfId="31327"/>
    <cellStyle name="Normal 1142 3" xfId="2072"/>
    <cellStyle name="Normal 1142 3 2" xfId="31328"/>
    <cellStyle name="Normal 1142 3 3" xfId="31329"/>
    <cellStyle name="Normal 1142 4" xfId="2073"/>
    <cellStyle name="Normal 1142 5" xfId="2074"/>
    <cellStyle name="Normal 1142 6" xfId="31330"/>
    <cellStyle name="Normal 1142 7" xfId="31331"/>
    <cellStyle name="Normal 1142 8" xfId="31332"/>
    <cellStyle name="Normal 1143" xfId="2075"/>
    <cellStyle name="Normal 1143 2" xfId="2076"/>
    <cellStyle name="Normal 1143 2 2" xfId="2077"/>
    <cellStyle name="Normal 1143 2 3" xfId="2078"/>
    <cellStyle name="Normal 1143 2 4" xfId="31333"/>
    <cellStyle name="Normal 1143 2 5" xfId="31334"/>
    <cellStyle name="Normal 1143 2 6" xfId="31335"/>
    <cellStyle name="Normal 1143 3" xfId="2079"/>
    <cellStyle name="Normal 1143 3 2" xfId="31336"/>
    <cellStyle name="Normal 1143 3 3" xfId="31337"/>
    <cellStyle name="Normal 1143 4" xfId="2080"/>
    <cellStyle name="Normal 1143 5" xfId="2081"/>
    <cellStyle name="Normal 1143 6" xfId="31338"/>
    <cellStyle name="Normal 1143 7" xfId="31339"/>
    <cellStyle name="Normal 1143 8" xfId="31340"/>
    <cellStyle name="Normal 1144" xfId="2082"/>
    <cellStyle name="Normal 1144 2" xfId="2083"/>
    <cellStyle name="Normal 1144 2 2" xfId="2084"/>
    <cellStyle name="Normal 1144 2 3" xfId="2085"/>
    <cellStyle name="Normal 1144 2 4" xfId="31341"/>
    <cellStyle name="Normal 1144 2 5" xfId="31342"/>
    <cellStyle name="Normal 1144 2 6" xfId="31343"/>
    <cellStyle name="Normal 1144 3" xfId="2086"/>
    <cellStyle name="Normal 1144 3 2" xfId="31344"/>
    <cellStyle name="Normal 1144 3 3" xfId="31345"/>
    <cellStyle name="Normal 1144 4" xfId="2087"/>
    <cellStyle name="Normal 1144 5" xfId="2088"/>
    <cellStyle name="Normal 1144 6" xfId="31346"/>
    <cellStyle name="Normal 1144 7" xfId="31347"/>
    <cellStyle name="Normal 1144 8" xfId="31348"/>
    <cellStyle name="Normal 1145" xfId="2089"/>
    <cellStyle name="Normal 1145 2" xfId="2090"/>
    <cellStyle name="Normal 1145 2 2" xfId="2091"/>
    <cellStyle name="Normal 1145 2 3" xfId="2092"/>
    <cellStyle name="Normal 1145 2 4" xfId="31349"/>
    <cellStyle name="Normal 1145 2 5" xfId="31350"/>
    <cellStyle name="Normal 1145 2 6" xfId="31351"/>
    <cellStyle name="Normal 1145 3" xfId="2093"/>
    <cellStyle name="Normal 1145 3 2" xfId="31352"/>
    <cellStyle name="Normal 1145 3 3" xfId="31353"/>
    <cellStyle name="Normal 1145 4" xfId="2094"/>
    <cellStyle name="Normal 1145 5" xfId="2095"/>
    <cellStyle name="Normal 1145 6" xfId="31354"/>
    <cellStyle name="Normal 1145 7" xfId="31355"/>
    <cellStyle name="Normal 1145 8" xfId="31356"/>
    <cellStyle name="Normal 1146" xfId="2096"/>
    <cellStyle name="Normal 1146 2" xfId="2097"/>
    <cellStyle name="Normal 1146 2 2" xfId="2098"/>
    <cellStyle name="Normal 1146 2 3" xfId="2099"/>
    <cellStyle name="Normal 1146 2 4" xfId="31357"/>
    <cellStyle name="Normal 1146 2 5" xfId="31358"/>
    <cellStyle name="Normal 1146 2 6" xfId="31359"/>
    <cellStyle name="Normal 1146 3" xfId="2100"/>
    <cellStyle name="Normal 1146 3 2" xfId="31360"/>
    <cellStyle name="Normal 1146 3 3" xfId="31361"/>
    <cellStyle name="Normal 1146 4" xfId="2101"/>
    <cellStyle name="Normal 1146 5" xfId="2102"/>
    <cellStyle name="Normal 1146 6" xfId="31362"/>
    <cellStyle name="Normal 1146 7" xfId="31363"/>
    <cellStyle name="Normal 1146 8" xfId="31364"/>
    <cellStyle name="Normal 1147" xfId="2103"/>
    <cellStyle name="Normal 1147 2" xfId="2104"/>
    <cellStyle name="Normal 1147 2 2" xfId="2105"/>
    <cellStyle name="Normal 1147 2 3" xfId="2106"/>
    <cellStyle name="Normal 1147 2 4" xfId="31365"/>
    <cellStyle name="Normal 1147 2 5" xfId="31366"/>
    <cellStyle name="Normal 1147 2 6" xfId="31367"/>
    <cellStyle name="Normal 1147 3" xfId="2107"/>
    <cellStyle name="Normal 1147 3 2" xfId="31368"/>
    <cellStyle name="Normal 1147 3 3" xfId="31369"/>
    <cellStyle name="Normal 1147 4" xfId="2108"/>
    <cellStyle name="Normal 1147 5" xfId="2109"/>
    <cellStyle name="Normal 1147 6" xfId="31370"/>
    <cellStyle name="Normal 1147 7" xfId="31371"/>
    <cellStyle name="Normal 1147 8" xfId="31372"/>
    <cellStyle name="Normal 1148" xfId="2110"/>
    <cellStyle name="Normal 1148 2" xfId="2111"/>
    <cellStyle name="Normal 1148 2 2" xfId="2112"/>
    <cellStyle name="Normal 1148 2 3" xfId="2113"/>
    <cellStyle name="Normal 1148 2 4" xfId="31373"/>
    <cellStyle name="Normal 1148 2 5" xfId="31374"/>
    <cellStyle name="Normal 1148 2 6" xfId="31375"/>
    <cellStyle name="Normal 1148 3" xfId="2114"/>
    <cellStyle name="Normal 1148 3 2" xfId="31376"/>
    <cellStyle name="Normal 1148 3 3" xfId="31377"/>
    <cellStyle name="Normal 1148 4" xfId="2115"/>
    <cellStyle name="Normal 1148 5" xfId="2116"/>
    <cellStyle name="Normal 1148 6" xfId="31378"/>
    <cellStyle name="Normal 1148 7" xfId="31379"/>
    <cellStyle name="Normal 1148 8" xfId="31380"/>
    <cellStyle name="Normal 1149" xfId="2117"/>
    <cellStyle name="Normal 1149 2" xfId="2118"/>
    <cellStyle name="Normal 1149 2 2" xfId="2119"/>
    <cellStyle name="Normal 1149 2 3" xfId="2120"/>
    <cellStyle name="Normal 1149 2 4" xfId="31381"/>
    <cellStyle name="Normal 1149 2 5" xfId="31382"/>
    <cellStyle name="Normal 1149 2 6" xfId="31383"/>
    <cellStyle name="Normal 1149 3" xfId="2121"/>
    <cellStyle name="Normal 1149 3 2" xfId="31384"/>
    <cellStyle name="Normal 1149 3 3" xfId="31385"/>
    <cellStyle name="Normal 1149 4" xfId="2122"/>
    <cellStyle name="Normal 1149 5" xfId="2123"/>
    <cellStyle name="Normal 1149 6" xfId="31386"/>
    <cellStyle name="Normal 1149 7" xfId="31387"/>
    <cellStyle name="Normal 1149 8" xfId="31388"/>
    <cellStyle name="Normal 115" xfId="2124"/>
    <cellStyle name="Normal 115 10" xfId="31389"/>
    <cellStyle name="Normal 115 2" xfId="2125"/>
    <cellStyle name="Normal 115 2 2" xfId="2126"/>
    <cellStyle name="Normal 115 2 2 2" xfId="2127"/>
    <cellStyle name="Normal 115 2 2 3" xfId="2128"/>
    <cellStyle name="Normal 115 2 3" xfId="2129"/>
    <cellStyle name="Normal 115 2 3 2" xfId="31390"/>
    <cellStyle name="Normal 115 2 3 3" xfId="31391"/>
    <cellStyle name="Normal 115 2 4" xfId="2130"/>
    <cellStyle name="Normal 115 2 5" xfId="2131"/>
    <cellStyle name="Normal 115 2 6" xfId="31392"/>
    <cellStyle name="Normal 115 2 7" xfId="31393"/>
    <cellStyle name="Normal 115 2 8" xfId="31394"/>
    <cellStyle name="Normal 115 3" xfId="2132"/>
    <cellStyle name="Normal 115 3 2" xfId="2133"/>
    <cellStyle name="Normal 115 3 2 2" xfId="31395"/>
    <cellStyle name="Normal 115 3 2 3" xfId="31396"/>
    <cellStyle name="Normal 115 3 3" xfId="2134"/>
    <cellStyle name="Normal 115 3 3 2" xfId="31397"/>
    <cellStyle name="Normal 115 3 3 3" xfId="31398"/>
    <cellStyle name="Normal 115 3 4" xfId="31399"/>
    <cellStyle name="Normal 115 3 5" xfId="31400"/>
    <cellStyle name="Normal 115 4" xfId="2135"/>
    <cellStyle name="Normal 115 4 2" xfId="31401"/>
    <cellStyle name="Normal 115 4 3" xfId="31402"/>
    <cellStyle name="Normal 115 5" xfId="2136"/>
    <cellStyle name="Normal 115 5 2" xfId="31403"/>
    <cellStyle name="Normal 115 5 3" xfId="31404"/>
    <cellStyle name="Normal 115 6" xfId="2137"/>
    <cellStyle name="Normal 115 7" xfId="31405"/>
    <cellStyle name="Normal 115 8" xfId="31406"/>
    <cellStyle name="Normal 115 9" xfId="31407"/>
    <cellStyle name="Normal 1150" xfId="2138"/>
    <cellStyle name="Normal 1150 2" xfId="2139"/>
    <cellStyle name="Normal 1150 2 2" xfId="2140"/>
    <cellStyle name="Normal 1150 2 3" xfId="2141"/>
    <cellStyle name="Normal 1150 2 4" xfId="31408"/>
    <cellStyle name="Normal 1150 2 5" xfId="31409"/>
    <cellStyle name="Normal 1150 2 6" xfId="31410"/>
    <cellStyle name="Normal 1150 3" xfId="2142"/>
    <cellStyle name="Normal 1150 3 2" xfId="31411"/>
    <cellStyle name="Normal 1150 3 3" xfId="31412"/>
    <cellStyle name="Normal 1150 4" xfId="2143"/>
    <cellStyle name="Normal 1150 5" xfId="2144"/>
    <cellStyle name="Normal 1150 6" xfId="31413"/>
    <cellStyle name="Normal 1150 7" xfId="31414"/>
    <cellStyle name="Normal 1150 8" xfId="31415"/>
    <cellStyle name="Normal 1151" xfId="2145"/>
    <cellStyle name="Normal 1151 2" xfId="2146"/>
    <cellStyle name="Normal 1151 2 2" xfId="2147"/>
    <cellStyle name="Normal 1151 2 3" xfId="2148"/>
    <cellStyle name="Normal 1151 2 4" xfId="31416"/>
    <cellStyle name="Normal 1151 2 5" xfId="31417"/>
    <cellStyle name="Normal 1151 2 6" xfId="31418"/>
    <cellStyle name="Normal 1151 3" xfId="2149"/>
    <cellStyle name="Normal 1151 3 2" xfId="31419"/>
    <cellStyle name="Normal 1151 3 3" xfId="31420"/>
    <cellStyle name="Normal 1151 4" xfId="2150"/>
    <cellStyle name="Normal 1151 5" xfId="2151"/>
    <cellStyle name="Normal 1151 6" xfId="31421"/>
    <cellStyle name="Normal 1151 7" xfId="31422"/>
    <cellStyle name="Normal 1151 8" xfId="31423"/>
    <cellStyle name="Normal 1152" xfId="2152"/>
    <cellStyle name="Normal 1152 2" xfId="2153"/>
    <cellStyle name="Normal 1152 2 2" xfId="2154"/>
    <cellStyle name="Normal 1152 2 3" xfId="2155"/>
    <cellStyle name="Normal 1152 2 4" xfId="31424"/>
    <cellStyle name="Normal 1152 2 5" xfId="31425"/>
    <cellStyle name="Normal 1152 2 6" xfId="31426"/>
    <cellStyle name="Normal 1152 3" xfId="2156"/>
    <cellStyle name="Normal 1152 3 2" xfId="31427"/>
    <cellStyle name="Normal 1152 3 3" xfId="31428"/>
    <cellStyle name="Normal 1152 4" xfId="2157"/>
    <cellStyle name="Normal 1152 5" xfId="2158"/>
    <cellStyle name="Normal 1152 6" xfId="31429"/>
    <cellStyle name="Normal 1152 7" xfId="31430"/>
    <cellStyle name="Normal 1152 8" xfId="31431"/>
    <cellStyle name="Normal 1153" xfId="2159"/>
    <cellStyle name="Normal 1153 2" xfId="2160"/>
    <cellStyle name="Normal 1153 2 2" xfId="2161"/>
    <cellStyle name="Normal 1153 2 3" xfId="2162"/>
    <cellStyle name="Normal 1153 2 4" xfId="31432"/>
    <cellStyle name="Normal 1153 2 5" xfId="31433"/>
    <cellStyle name="Normal 1153 2 6" xfId="31434"/>
    <cellStyle name="Normal 1153 3" xfId="2163"/>
    <cellStyle name="Normal 1153 3 2" xfId="31435"/>
    <cellStyle name="Normal 1153 3 3" xfId="31436"/>
    <cellStyle name="Normal 1153 4" xfId="2164"/>
    <cellStyle name="Normal 1153 5" xfId="2165"/>
    <cellStyle name="Normal 1153 6" xfId="31437"/>
    <cellStyle name="Normal 1153 7" xfId="31438"/>
    <cellStyle name="Normal 1153 8" xfId="31439"/>
    <cellStyle name="Normal 1154" xfId="2166"/>
    <cellStyle name="Normal 1154 2" xfId="2167"/>
    <cellStyle name="Normal 1154 2 2" xfId="2168"/>
    <cellStyle name="Normal 1154 2 3" xfId="2169"/>
    <cellStyle name="Normal 1154 2 4" xfId="31440"/>
    <cellStyle name="Normal 1154 2 5" xfId="31441"/>
    <cellStyle name="Normal 1154 2 6" xfId="31442"/>
    <cellStyle name="Normal 1154 3" xfId="2170"/>
    <cellStyle name="Normal 1154 3 2" xfId="31443"/>
    <cellStyle name="Normal 1154 3 3" xfId="31444"/>
    <cellStyle name="Normal 1154 4" xfId="2171"/>
    <cellStyle name="Normal 1154 5" xfId="2172"/>
    <cellStyle name="Normal 1154 6" xfId="31445"/>
    <cellStyle name="Normal 1154 7" xfId="31446"/>
    <cellStyle name="Normal 1154 8" xfId="31447"/>
    <cellStyle name="Normal 1155" xfId="2173"/>
    <cellStyle name="Normal 1155 2" xfId="2174"/>
    <cellStyle name="Normal 1155 2 2" xfId="2175"/>
    <cellStyle name="Normal 1155 2 3" xfId="2176"/>
    <cellStyle name="Normal 1155 2 4" xfId="31448"/>
    <cellStyle name="Normal 1155 2 5" xfId="31449"/>
    <cellStyle name="Normal 1155 2 6" xfId="31450"/>
    <cellStyle name="Normal 1155 3" xfId="2177"/>
    <cellStyle name="Normal 1155 3 2" xfId="31451"/>
    <cellStyle name="Normal 1155 3 3" xfId="31452"/>
    <cellStyle name="Normal 1155 4" xfId="2178"/>
    <cellStyle name="Normal 1155 5" xfId="2179"/>
    <cellStyle name="Normal 1155 6" xfId="31453"/>
    <cellStyle name="Normal 1155 7" xfId="31454"/>
    <cellStyle name="Normal 1155 8" xfId="31455"/>
    <cellStyle name="Normal 1156" xfId="2180"/>
    <cellStyle name="Normal 1156 2" xfId="2181"/>
    <cellStyle name="Normal 1156 2 2" xfId="2182"/>
    <cellStyle name="Normal 1156 2 3" xfId="2183"/>
    <cellStyle name="Normal 1156 2 4" xfId="31456"/>
    <cellStyle name="Normal 1156 2 5" xfId="31457"/>
    <cellStyle name="Normal 1156 2 6" xfId="31458"/>
    <cellStyle name="Normal 1156 3" xfId="2184"/>
    <cellStyle name="Normal 1156 3 2" xfId="31459"/>
    <cellStyle name="Normal 1156 3 3" xfId="31460"/>
    <cellStyle name="Normal 1156 4" xfId="2185"/>
    <cellStyle name="Normal 1156 5" xfId="2186"/>
    <cellStyle name="Normal 1156 6" xfId="31461"/>
    <cellStyle name="Normal 1156 7" xfId="31462"/>
    <cellStyle name="Normal 1156 8" xfId="31463"/>
    <cellStyle name="Normal 1157" xfId="2187"/>
    <cellStyle name="Normal 1157 2" xfId="2188"/>
    <cellStyle name="Normal 1157 2 2" xfId="2189"/>
    <cellStyle name="Normal 1157 2 3" xfId="2190"/>
    <cellStyle name="Normal 1157 2 4" xfId="31464"/>
    <cellStyle name="Normal 1157 2 5" xfId="31465"/>
    <cellStyle name="Normal 1157 2 6" xfId="31466"/>
    <cellStyle name="Normal 1157 3" xfId="2191"/>
    <cellStyle name="Normal 1157 3 2" xfId="31467"/>
    <cellStyle name="Normal 1157 3 3" xfId="31468"/>
    <cellStyle name="Normal 1157 4" xfId="2192"/>
    <cellStyle name="Normal 1157 5" xfId="2193"/>
    <cellStyle name="Normal 1157 6" xfId="31469"/>
    <cellStyle name="Normal 1157 7" xfId="31470"/>
    <cellStyle name="Normal 1157 8" xfId="31471"/>
    <cellStyle name="Normal 1158" xfId="2194"/>
    <cellStyle name="Normal 1158 2" xfId="2195"/>
    <cellStyle name="Normal 1158 2 2" xfId="2196"/>
    <cellStyle name="Normal 1158 2 3" xfId="2197"/>
    <cellStyle name="Normal 1158 2 4" xfId="31472"/>
    <cellStyle name="Normal 1158 2 5" xfId="31473"/>
    <cellStyle name="Normal 1158 2 6" xfId="31474"/>
    <cellStyle name="Normal 1158 3" xfId="2198"/>
    <cellStyle name="Normal 1158 3 2" xfId="31475"/>
    <cellStyle name="Normal 1158 3 3" xfId="31476"/>
    <cellStyle name="Normal 1158 4" xfId="2199"/>
    <cellStyle name="Normal 1158 5" xfId="31477"/>
    <cellStyle name="Normal 1158 6" xfId="31478"/>
    <cellStyle name="Normal 1158 7" xfId="31479"/>
    <cellStyle name="Normal 1158 8" xfId="31480"/>
    <cellStyle name="Normal 1159" xfId="2200"/>
    <cellStyle name="Normal 1159 2" xfId="2201"/>
    <cellStyle name="Normal 1159 2 2" xfId="2202"/>
    <cellStyle name="Normal 1159 2 3" xfId="2203"/>
    <cellStyle name="Normal 1159 2 4" xfId="31481"/>
    <cellStyle name="Normal 1159 2 5" xfId="31482"/>
    <cellStyle name="Normal 1159 2 6" xfId="31483"/>
    <cellStyle name="Normal 1159 3" xfId="2204"/>
    <cellStyle name="Normal 1159 3 2" xfId="31484"/>
    <cellStyle name="Normal 1159 3 3" xfId="31485"/>
    <cellStyle name="Normal 1159 4" xfId="2205"/>
    <cellStyle name="Normal 1159 5" xfId="31486"/>
    <cellStyle name="Normal 1159 6" xfId="31487"/>
    <cellStyle name="Normal 1159 7" xfId="31488"/>
    <cellStyle name="Normal 1159 8" xfId="31489"/>
    <cellStyle name="Normal 116" xfId="2206"/>
    <cellStyle name="Normal 116 10" xfId="31490"/>
    <cellStyle name="Normal 116 2" xfId="2207"/>
    <cellStyle name="Normal 116 2 2" xfId="2208"/>
    <cellStyle name="Normal 116 2 2 2" xfId="2209"/>
    <cellStyle name="Normal 116 2 2 3" xfId="2210"/>
    <cellStyle name="Normal 116 2 3" xfId="2211"/>
    <cellStyle name="Normal 116 2 3 2" xfId="31491"/>
    <cellStyle name="Normal 116 2 3 3" xfId="31492"/>
    <cellStyle name="Normal 116 2 4" xfId="2212"/>
    <cellStyle name="Normal 116 2 5" xfId="2213"/>
    <cellStyle name="Normal 116 2 6" xfId="31493"/>
    <cellStyle name="Normal 116 2 7" xfId="31494"/>
    <cellStyle name="Normal 116 2 8" xfId="31495"/>
    <cellStyle name="Normal 116 3" xfId="2214"/>
    <cellStyle name="Normal 116 3 2" xfId="2215"/>
    <cellStyle name="Normal 116 3 2 2" xfId="31496"/>
    <cellStyle name="Normal 116 3 2 3" xfId="31497"/>
    <cellStyle name="Normal 116 3 3" xfId="2216"/>
    <cellStyle name="Normal 116 3 3 2" xfId="31498"/>
    <cellStyle name="Normal 116 3 3 3" xfId="31499"/>
    <cellStyle name="Normal 116 3 4" xfId="31500"/>
    <cellStyle name="Normal 116 3 5" xfId="31501"/>
    <cellStyle name="Normal 116 4" xfId="2217"/>
    <cellStyle name="Normal 116 4 2" xfId="31502"/>
    <cellStyle name="Normal 116 4 3" xfId="31503"/>
    <cellStyle name="Normal 116 5" xfId="2218"/>
    <cellStyle name="Normal 116 5 2" xfId="31504"/>
    <cellStyle name="Normal 116 5 3" xfId="31505"/>
    <cellStyle name="Normal 116 6" xfId="2219"/>
    <cellStyle name="Normal 116 7" xfId="31506"/>
    <cellStyle name="Normal 116 8" xfId="31507"/>
    <cellStyle name="Normal 116 9" xfId="31508"/>
    <cellStyle name="Normal 1160" xfId="2220"/>
    <cellStyle name="Normal 1160 2" xfId="2221"/>
    <cellStyle name="Normal 1160 2 2" xfId="2222"/>
    <cellStyle name="Normal 1160 2 3" xfId="2223"/>
    <cellStyle name="Normal 1160 2 4" xfId="31509"/>
    <cellStyle name="Normal 1160 2 5" xfId="31510"/>
    <cellStyle name="Normal 1160 2 6" xfId="31511"/>
    <cellStyle name="Normal 1160 3" xfId="2224"/>
    <cellStyle name="Normal 1160 3 2" xfId="31512"/>
    <cellStyle name="Normal 1160 3 3" xfId="31513"/>
    <cellStyle name="Normal 1160 4" xfId="2225"/>
    <cellStyle name="Normal 1160 5" xfId="31514"/>
    <cellStyle name="Normal 1160 6" xfId="31515"/>
    <cellStyle name="Normal 1160 7" xfId="31516"/>
    <cellStyle name="Normal 1160 8" xfId="31517"/>
    <cellStyle name="Normal 1161" xfId="2226"/>
    <cellStyle name="Normal 1161 2" xfId="2227"/>
    <cellStyle name="Normal 1161 2 2" xfId="2228"/>
    <cellStyle name="Normal 1161 2 3" xfId="2229"/>
    <cellStyle name="Normal 1161 2 4" xfId="31518"/>
    <cellStyle name="Normal 1161 3" xfId="2230"/>
    <cellStyle name="Normal 1161 4" xfId="2231"/>
    <cellStyle name="Normal 1161 5" xfId="31519"/>
    <cellStyle name="Normal 1161 6" xfId="31520"/>
    <cellStyle name="Normal 1162" xfId="2232"/>
    <cellStyle name="Normal 1162 2" xfId="2233"/>
    <cellStyle name="Normal 1162 2 2" xfId="2234"/>
    <cellStyle name="Normal 1162 2 3" xfId="2235"/>
    <cellStyle name="Normal 1162 2 4" xfId="31521"/>
    <cellStyle name="Normal 1162 3" xfId="2236"/>
    <cellStyle name="Normal 1162 4" xfId="2237"/>
    <cellStyle name="Normal 1162 5" xfId="31522"/>
    <cellStyle name="Normal 1162 6" xfId="31523"/>
    <cellStyle name="Normal 1163" xfId="2238"/>
    <cellStyle name="Normal 1163 2" xfId="2239"/>
    <cellStyle name="Normal 1163 2 2" xfId="2240"/>
    <cellStyle name="Normal 1163 2 3" xfId="2241"/>
    <cellStyle name="Normal 1163 2 4" xfId="31524"/>
    <cellStyle name="Normal 1163 3" xfId="2242"/>
    <cellStyle name="Normal 1163 4" xfId="2243"/>
    <cellStyle name="Normal 1163 5" xfId="31525"/>
    <cellStyle name="Normal 1163 6" xfId="31526"/>
    <cellStyle name="Normal 1164" xfId="2244"/>
    <cellStyle name="Normal 1164 2" xfId="2245"/>
    <cellStyle name="Normal 1164 2 2" xfId="2246"/>
    <cellStyle name="Normal 1164 2 3" xfId="2247"/>
    <cellStyle name="Normal 1164 2 4" xfId="31527"/>
    <cellStyle name="Normal 1164 3" xfId="2248"/>
    <cellStyle name="Normal 1164 4" xfId="2249"/>
    <cellStyle name="Normal 1164 5" xfId="31528"/>
    <cellStyle name="Normal 1164 6" xfId="31529"/>
    <cellStyle name="Normal 1165" xfId="2250"/>
    <cellStyle name="Normal 1165 2" xfId="2251"/>
    <cellStyle name="Normal 1165 2 2" xfId="2252"/>
    <cellStyle name="Normal 1165 2 3" xfId="2253"/>
    <cellStyle name="Normal 1165 2 4" xfId="31530"/>
    <cellStyle name="Normal 1165 3" xfId="2254"/>
    <cellStyle name="Normal 1165 4" xfId="2255"/>
    <cellStyle name="Normal 1165 5" xfId="31531"/>
    <cellStyle name="Normal 1165 6" xfId="31532"/>
    <cellStyle name="Normal 1166" xfId="2256"/>
    <cellStyle name="Normal 1166 2" xfId="2257"/>
    <cellStyle name="Normal 1166 2 2" xfId="2258"/>
    <cellStyle name="Normal 1166 2 3" xfId="2259"/>
    <cellStyle name="Normal 1166 2 4" xfId="31533"/>
    <cellStyle name="Normal 1166 3" xfId="2260"/>
    <cellStyle name="Normal 1166 4" xfId="2261"/>
    <cellStyle name="Normal 1166 5" xfId="31534"/>
    <cellStyle name="Normal 1166 6" xfId="31535"/>
    <cellStyle name="Normal 1167" xfId="2262"/>
    <cellStyle name="Normal 1167 2" xfId="2263"/>
    <cellStyle name="Normal 1167 2 2" xfId="2264"/>
    <cellStyle name="Normal 1167 2 3" xfId="2265"/>
    <cellStyle name="Normal 1167 2 4" xfId="31536"/>
    <cellStyle name="Normal 1167 3" xfId="2266"/>
    <cellStyle name="Normal 1167 4" xfId="2267"/>
    <cellStyle name="Normal 1167 5" xfId="31537"/>
    <cellStyle name="Normal 1167 6" xfId="31538"/>
    <cellStyle name="Normal 1168" xfId="2268"/>
    <cellStyle name="Normal 1168 2" xfId="2269"/>
    <cellStyle name="Normal 1168 2 2" xfId="2270"/>
    <cellStyle name="Normal 1168 2 3" xfId="2271"/>
    <cellStyle name="Normal 1168 2 4" xfId="31539"/>
    <cellStyle name="Normal 1168 3" xfId="2272"/>
    <cellStyle name="Normal 1168 4" xfId="2273"/>
    <cellStyle name="Normal 1168 5" xfId="31540"/>
    <cellStyle name="Normal 1168 6" xfId="31541"/>
    <cellStyle name="Normal 1169" xfId="2274"/>
    <cellStyle name="Normal 1169 2" xfId="2275"/>
    <cellStyle name="Normal 1169 2 2" xfId="2276"/>
    <cellStyle name="Normal 1169 2 3" xfId="2277"/>
    <cellStyle name="Normal 1169 2 4" xfId="31542"/>
    <cellStyle name="Normal 1169 3" xfId="2278"/>
    <cellStyle name="Normal 1169 4" xfId="2279"/>
    <cellStyle name="Normal 1169 5" xfId="31543"/>
    <cellStyle name="Normal 1169 6" xfId="31544"/>
    <cellStyle name="Normal 117" xfId="2280"/>
    <cellStyle name="Normal 117 10" xfId="31545"/>
    <cellStyle name="Normal 117 2" xfId="2281"/>
    <cellStyle name="Normal 117 2 2" xfId="2282"/>
    <cellStyle name="Normal 117 2 2 2" xfId="2283"/>
    <cellStyle name="Normal 117 2 2 3" xfId="2284"/>
    <cellStyle name="Normal 117 2 3" xfId="2285"/>
    <cellStyle name="Normal 117 2 3 2" xfId="31546"/>
    <cellStyle name="Normal 117 2 3 3" xfId="31547"/>
    <cellStyle name="Normal 117 2 4" xfId="2286"/>
    <cellStyle name="Normal 117 2 5" xfId="2287"/>
    <cellStyle name="Normal 117 2 6" xfId="31548"/>
    <cellStyle name="Normal 117 2 7" xfId="31549"/>
    <cellStyle name="Normal 117 2 8" xfId="31550"/>
    <cellStyle name="Normal 117 3" xfId="2288"/>
    <cellStyle name="Normal 117 3 2" xfId="2289"/>
    <cellStyle name="Normal 117 3 2 2" xfId="31551"/>
    <cellStyle name="Normal 117 3 2 3" xfId="31552"/>
    <cellStyle name="Normal 117 3 3" xfId="2290"/>
    <cellStyle name="Normal 117 3 3 2" xfId="31553"/>
    <cellStyle name="Normal 117 3 3 3" xfId="31554"/>
    <cellStyle name="Normal 117 3 4" xfId="31555"/>
    <cellStyle name="Normal 117 3 5" xfId="31556"/>
    <cellStyle name="Normal 117 4" xfId="2291"/>
    <cellStyle name="Normal 117 4 2" xfId="31557"/>
    <cellStyle name="Normal 117 4 3" xfId="31558"/>
    <cellStyle name="Normal 117 5" xfId="2292"/>
    <cellStyle name="Normal 117 5 2" xfId="31559"/>
    <cellStyle name="Normal 117 5 3" xfId="31560"/>
    <cellStyle name="Normal 117 6" xfId="2293"/>
    <cellStyle name="Normal 117 7" xfId="31561"/>
    <cellStyle name="Normal 117 8" xfId="31562"/>
    <cellStyle name="Normal 117 9" xfId="31563"/>
    <cellStyle name="Normal 1170" xfId="2294"/>
    <cellStyle name="Normal 1170 2" xfId="2295"/>
    <cellStyle name="Normal 1170 2 2" xfId="2296"/>
    <cellStyle name="Normal 1170 2 3" xfId="2297"/>
    <cellStyle name="Normal 1170 2 4" xfId="31564"/>
    <cellStyle name="Normal 1170 3" xfId="2298"/>
    <cellStyle name="Normal 1170 4" xfId="2299"/>
    <cellStyle name="Normal 1170 5" xfId="31565"/>
    <cellStyle name="Normal 1170 6" xfId="31566"/>
    <cellStyle name="Normal 1171" xfId="2300"/>
    <cellStyle name="Normal 1171 2" xfId="2301"/>
    <cellStyle name="Normal 1171 2 2" xfId="2302"/>
    <cellStyle name="Normal 1171 2 3" xfId="2303"/>
    <cellStyle name="Normal 1171 2 4" xfId="31567"/>
    <cellStyle name="Normal 1171 3" xfId="2304"/>
    <cellStyle name="Normal 1171 4" xfId="2305"/>
    <cellStyle name="Normal 1171 5" xfId="31568"/>
    <cellStyle name="Normal 1171 6" xfId="31569"/>
    <cellStyle name="Normal 1172" xfId="2306"/>
    <cellStyle name="Normal 1172 2" xfId="2307"/>
    <cellStyle name="Normal 1172 2 2" xfId="2308"/>
    <cellStyle name="Normal 1172 2 3" xfId="2309"/>
    <cellStyle name="Normal 1172 2 4" xfId="31570"/>
    <cellStyle name="Normal 1172 3" xfId="2310"/>
    <cellStyle name="Normal 1172 4" xfId="2311"/>
    <cellStyle name="Normal 1172 5" xfId="31571"/>
    <cellStyle name="Normal 1172 6" xfId="31572"/>
    <cellStyle name="Normal 1173" xfId="2312"/>
    <cellStyle name="Normal 1173 2" xfId="2313"/>
    <cellStyle name="Normal 1173 2 2" xfId="2314"/>
    <cellStyle name="Normal 1173 2 3" xfId="2315"/>
    <cellStyle name="Normal 1173 2 4" xfId="31573"/>
    <cellStyle name="Normal 1173 3" xfId="2316"/>
    <cellStyle name="Normal 1173 4" xfId="2317"/>
    <cellStyle name="Normal 1173 5" xfId="31574"/>
    <cellStyle name="Normal 1173 6" xfId="31575"/>
    <cellStyle name="Normal 1174" xfId="2318"/>
    <cellStyle name="Normal 1174 2" xfId="2319"/>
    <cellStyle name="Normal 1174 2 2" xfId="2320"/>
    <cellStyle name="Normal 1174 2 3" xfId="2321"/>
    <cellStyle name="Normal 1174 2 4" xfId="31576"/>
    <cellStyle name="Normal 1174 3" xfId="2322"/>
    <cellStyle name="Normal 1174 4" xfId="2323"/>
    <cellStyle name="Normal 1174 5" xfId="31577"/>
    <cellStyle name="Normal 1174 6" xfId="31578"/>
    <cellStyle name="Normal 1175" xfId="2324"/>
    <cellStyle name="Normal 1175 2" xfId="2325"/>
    <cellStyle name="Normal 1175 2 2" xfId="2326"/>
    <cellStyle name="Normal 1175 2 3" xfId="2327"/>
    <cellStyle name="Normal 1175 2 4" xfId="31579"/>
    <cellStyle name="Normal 1175 3" xfId="2328"/>
    <cellStyle name="Normal 1175 4" xfId="2329"/>
    <cellStyle name="Normal 1175 5" xfId="31580"/>
    <cellStyle name="Normal 1175 6" xfId="31581"/>
    <cellStyle name="Normal 1176" xfId="2330"/>
    <cellStyle name="Normal 1176 2" xfId="2331"/>
    <cellStyle name="Normal 1176 2 2" xfId="2332"/>
    <cellStyle name="Normal 1176 2 3" xfId="2333"/>
    <cellStyle name="Normal 1176 2 4" xfId="31582"/>
    <cellStyle name="Normal 1176 3" xfId="2334"/>
    <cellStyle name="Normal 1176 4" xfId="2335"/>
    <cellStyle name="Normal 1176 5" xfId="31583"/>
    <cellStyle name="Normal 1176 6" xfId="31584"/>
    <cellStyle name="Normal 1177" xfId="2336"/>
    <cellStyle name="Normal 1177 2" xfId="2337"/>
    <cellStyle name="Normal 1177 2 2" xfId="2338"/>
    <cellStyle name="Normal 1177 2 3" xfId="2339"/>
    <cellStyle name="Normal 1177 2 4" xfId="31585"/>
    <cellStyle name="Normal 1177 3" xfId="2340"/>
    <cellStyle name="Normal 1177 4" xfId="2341"/>
    <cellStyle name="Normal 1177 5" xfId="31586"/>
    <cellStyle name="Normal 1177 6" xfId="31587"/>
    <cellStyle name="Normal 1178" xfId="2342"/>
    <cellStyle name="Normal 1178 2" xfId="2343"/>
    <cellStyle name="Normal 1178 2 2" xfId="2344"/>
    <cellStyle name="Normal 1178 2 3" xfId="2345"/>
    <cellStyle name="Normal 1178 2 4" xfId="31588"/>
    <cellStyle name="Normal 1178 3" xfId="2346"/>
    <cellStyle name="Normal 1178 4" xfId="2347"/>
    <cellStyle name="Normal 1178 5" xfId="31589"/>
    <cellStyle name="Normal 1178 6" xfId="31590"/>
    <cellStyle name="Normal 1179" xfId="2348"/>
    <cellStyle name="Normal 1179 2" xfId="2349"/>
    <cellStyle name="Normal 1179 2 2" xfId="2350"/>
    <cellStyle name="Normal 1179 2 3" xfId="2351"/>
    <cellStyle name="Normal 1179 2 4" xfId="31591"/>
    <cellStyle name="Normal 1179 3" xfId="2352"/>
    <cellStyle name="Normal 1179 4" xfId="2353"/>
    <cellStyle name="Normal 1179 5" xfId="31592"/>
    <cellStyle name="Normal 1179 6" xfId="31593"/>
    <cellStyle name="Normal 118" xfId="2354"/>
    <cellStyle name="Normal 118 10" xfId="31594"/>
    <cellStyle name="Normal 118 2" xfId="2355"/>
    <cellStyle name="Normal 118 2 2" xfId="2356"/>
    <cellStyle name="Normal 118 2 2 2" xfId="2357"/>
    <cellStyle name="Normal 118 2 2 3" xfId="2358"/>
    <cellStyle name="Normal 118 2 3" xfId="2359"/>
    <cellStyle name="Normal 118 2 3 2" xfId="31595"/>
    <cellStyle name="Normal 118 2 3 3" xfId="31596"/>
    <cellStyle name="Normal 118 2 4" xfId="2360"/>
    <cellStyle name="Normal 118 2 5" xfId="2361"/>
    <cellStyle name="Normal 118 2 6" xfId="31597"/>
    <cellStyle name="Normal 118 2 7" xfId="31598"/>
    <cellStyle name="Normal 118 2 8" xfId="31599"/>
    <cellStyle name="Normal 118 3" xfId="2362"/>
    <cellStyle name="Normal 118 3 2" xfId="2363"/>
    <cellStyle name="Normal 118 3 2 2" xfId="31600"/>
    <cellStyle name="Normal 118 3 2 3" xfId="31601"/>
    <cellStyle name="Normal 118 3 3" xfId="2364"/>
    <cellStyle name="Normal 118 3 3 2" xfId="31602"/>
    <cellStyle name="Normal 118 3 3 3" xfId="31603"/>
    <cellStyle name="Normal 118 3 4" xfId="31604"/>
    <cellStyle name="Normal 118 3 5" xfId="31605"/>
    <cellStyle name="Normal 118 4" xfId="2365"/>
    <cellStyle name="Normal 118 4 2" xfId="31606"/>
    <cellStyle name="Normal 118 4 3" xfId="31607"/>
    <cellStyle name="Normal 118 5" xfId="2366"/>
    <cellStyle name="Normal 118 5 2" xfId="31608"/>
    <cellStyle name="Normal 118 5 3" xfId="31609"/>
    <cellStyle name="Normal 118 6" xfId="2367"/>
    <cellStyle name="Normal 118 7" xfId="31610"/>
    <cellStyle name="Normal 118 8" xfId="31611"/>
    <cellStyle name="Normal 118 9" xfId="31612"/>
    <cellStyle name="Normal 1180" xfId="2368"/>
    <cellStyle name="Normal 1180 2" xfId="2369"/>
    <cellStyle name="Normal 1180 2 2" xfId="2370"/>
    <cellStyle name="Normal 1180 2 3" xfId="2371"/>
    <cellStyle name="Normal 1180 2 4" xfId="31613"/>
    <cellStyle name="Normal 1180 3" xfId="2372"/>
    <cellStyle name="Normal 1180 4" xfId="2373"/>
    <cellStyle name="Normal 1180 5" xfId="31614"/>
    <cellStyle name="Normal 1180 6" xfId="31615"/>
    <cellStyle name="Normal 1181" xfId="2374"/>
    <cellStyle name="Normal 1181 2" xfId="2375"/>
    <cellStyle name="Normal 1181 2 2" xfId="2376"/>
    <cellStyle name="Normal 1181 2 3" xfId="2377"/>
    <cellStyle name="Normal 1181 2 4" xfId="31616"/>
    <cellStyle name="Normal 1181 3" xfId="2378"/>
    <cellStyle name="Normal 1181 4" xfId="2379"/>
    <cellStyle name="Normal 1181 5" xfId="31617"/>
    <cellStyle name="Normal 1181 6" xfId="31618"/>
    <cellStyle name="Normal 1182" xfId="2380"/>
    <cellStyle name="Normal 1182 2" xfId="2381"/>
    <cellStyle name="Normal 1182 2 2" xfId="2382"/>
    <cellStyle name="Normal 1182 2 3" xfId="2383"/>
    <cellStyle name="Normal 1182 2 4" xfId="31619"/>
    <cellStyle name="Normal 1182 3" xfId="2384"/>
    <cellStyle name="Normal 1182 4" xfId="2385"/>
    <cellStyle name="Normal 1182 5" xfId="31620"/>
    <cellStyle name="Normal 1182 6" xfId="31621"/>
    <cellStyle name="Normal 1183" xfId="2386"/>
    <cellStyle name="Normal 1183 2" xfId="2387"/>
    <cellStyle name="Normal 1183 2 2" xfId="2388"/>
    <cellStyle name="Normal 1183 2 3" xfId="2389"/>
    <cellStyle name="Normal 1183 2 4" xfId="31622"/>
    <cellStyle name="Normal 1183 3" xfId="2390"/>
    <cellStyle name="Normal 1183 4" xfId="2391"/>
    <cellStyle name="Normal 1183 5" xfId="31623"/>
    <cellStyle name="Normal 1183 6" xfId="31624"/>
    <cellStyle name="Normal 1184" xfId="2392"/>
    <cellStyle name="Normal 1184 2" xfId="2393"/>
    <cellStyle name="Normal 1184 2 2" xfId="2394"/>
    <cellStyle name="Normal 1184 2 3" xfId="2395"/>
    <cellStyle name="Normal 1184 2 4" xfId="31625"/>
    <cellStyle name="Normal 1184 3" xfId="2396"/>
    <cellStyle name="Normal 1184 4" xfId="2397"/>
    <cellStyle name="Normal 1184 5" xfId="31626"/>
    <cellStyle name="Normal 1184 6" xfId="31627"/>
    <cellStyle name="Normal 1185" xfId="2398"/>
    <cellStyle name="Normal 1185 2" xfId="2399"/>
    <cellStyle name="Normal 1185 2 2" xfId="2400"/>
    <cellStyle name="Normal 1185 2 3" xfId="2401"/>
    <cellStyle name="Normal 1185 2 4" xfId="31628"/>
    <cellStyle name="Normal 1185 3" xfId="2402"/>
    <cellStyle name="Normal 1185 4" xfId="2403"/>
    <cellStyle name="Normal 1185 5" xfId="31629"/>
    <cellStyle name="Normal 1185 6" xfId="31630"/>
    <cellStyle name="Normal 1186" xfId="2404"/>
    <cellStyle name="Normal 1186 2" xfId="2405"/>
    <cellStyle name="Normal 1186 2 2" xfId="2406"/>
    <cellStyle name="Normal 1186 2 3" xfId="2407"/>
    <cellStyle name="Normal 1186 2 4" xfId="31631"/>
    <cellStyle name="Normal 1186 3" xfId="2408"/>
    <cellStyle name="Normal 1186 4" xfId="2409"/>
    <cellStyle name="Normal 1186 5" xfId="31632"/>
    <cellStyle name="Normal 1186 6" xfId="31633"/>
    <cellStyle name="Normal 1187" xfId="2410"/>
    <cellStyle name="Normal 1187 2" xfId="2411"/>
    <cellStyle name="Normal 1187 2 2" xfId="2412"/>
    <cellStyle name="Normal 1187 2 3" xfId="2413"/>
    <cellStyle name="Normal 1187 2 4" xfId="31634"/>
    <cellStyle name="Normal 1187 3" xfId="2414"/>
    <cellStyle name="Normal 1187 4" xfId="2415"/>
    <cellStyle name="Normal 1187 5" xfId="31635"/>
    <cellStyle name="Normal 1187 6" xfId="31636"/>
    <cellStyle name="Normal 1188" xfId="2416"/>
    <cellStyle name="Normal 1188 2" xfId="2417"/>
    <cellStyle name="Normal 1188 2 2" xfId="2418"/>
    <cellStyle name="Normal 1188 2 3" xfId="2419"/>
    <cellStyle name="Normal 1188 2 4" xfId="31637"/>
    <cellStyle name="Normal 1188 3" xfId="2420"/>
    <cellStyle name="Normal 1188 4" xfId="2421"/>
    <cellStyle name="Normal 1188 5" xfId="31638"/>
    <cellStyle name="Normal 1188 6" xfId="31639"/>
    <cellStyle name="Normal 1189" xfId="2422"/>
    <cellStyle name="Normal 1189 2" xfId="2423"/>
    <cellStyle name="Normal 1189 2 2" xfId="2424"/>
    <cellStyle name="Normal 1189 2 3" xfId="2425"/>
    <cellStyle name="Normal 1189 2 4" xfId="31640"/>
    <cellStyle name="Normal 1189 3" xfId="2426"/>
    <cellStyle name="Normal 1189 4" xfId="2427"/>
    <cellStyle name="Normal 1189 5" xfId="31641"/>
    <cellStyle name="Normal 1189 6" xfId="31642"/>
    <cellStyle name="Normal 119" xfId="2428"/>
    <cellStyle name="Normal 119 10" xfId="31643"/>
    <cellStyle name="Normal 119 2" xfId="2429"/>
    <cellStyle name="Normal 119 2 2" xfId="2430"/>
    <cellStyle name="Normal 119 2 2 2" xfId="2431"/>
    <cellStyle name="Normal 119 2 2 3" xfId="2432"/>
    <cellStyle name="Normal 119 2 3" xfId="2433"/>
    <cellStyle name="Normal 119 2 3 2" xfId="31644"/>
    <cellStyle name="Normal 119 2 3 3" xfId="31645"/>
    <cellStyle name="Normal 119 2 4" xfId="2434"/>
    <cellStyle name="Normal 119 2 5" xfId="2435"/>
    <cellStyle name="Normal 119 2 6" xfId="31646"/>
    <cellStyle name="Normal 119 2 7" xfId="31647"/>
    <cellStyle name="Normal 119 2 8" xfId="31648"/>
    <cellStyle name="Normal 119 3" xfId="2436"/>
    <cellStyle name="Normal 119 3 2" xfId="2437"/>
    <cellStyle name="Normal 119 3 2 2" xfId="31649"/>
    <cellStyle name="Normal 119 3 2 3" xfId="31650"/>
    <cellStyle name="Normal 119 3 3" xfId="2438"/>
    <cellStyle name="Normal 119 3 3 2" xfId="31651"/>
    <cellStyle name="Normal 119 3 3 3" xfId="31652"/>
    <cellStyle name="Normal 119 3 4" xfId="31653"/>
    <cellStyle name="Normal 119 3 5" xfId="31654"/>
    <cellStyle name="Normal 119 4" xfId="2439"/>
    <cellStyle name="Normal 119 4 2" xfId="31655"/>
    <cellStyle name="Normal 119 4 3" xfId="31656"/>
    <cellStyle name="Normal 119 5" xfId="2440"/>
    <cellStyle name="Normal 119 5 2" xfId="31657"/>
    <cellStyle name="Normal 119 5 3" xfId="31658"/>
    <cellStyle name="Normal 119 6" xfId="2441"/>
    <cellStyle name="Normal 119 7" xfId="31659"/>
    <cellStyle name="Normal 119 8" xfId="31660"/>
    <cellStyle name="Normal 119 9" xfId="31661"/>
    <cellStyle name="Normal 1190" xfId="2442"/>
    <cellStyle name="Normal 1190 2" xfId="2443"/>
    <cellStyle name="Normal 1190 2 2" xfId="2444"/>
    <cellStyle name="Normal 1190 2 3" xfId="2445"/>
    <cellStyle name="Normal 1190 2 4" xfId="31662"/>
    <cellStyle name="Normal 1190 3" xfId="2446"/>
    <cellStyle name="Normal 1190 4" xfId="2447"/>
    <cellStyle name="Normal 1190 5" xfId="31663"/>
    <cellStyle name="Normal 1190 6" xfId="31664"/>
    <cellStyle name="Normal 1191" xfId="2448"/>
    <cellStyle name="Normal 1191 2" xfId="2449"/>
    <cellStyle name="Normal 1191 2 2" xfId="2450"/>
    <cellStyle name="Normal 1191 2 3" xfId="2451"/>
    <cellStyle name="Normal 1191 2 4" xfId="31665"/>
    <cellStyle name="Normal 1191 3" xfId="2452"/>
    <cellStyle name="Normal 1191 4" xfId="2453"/>
    <cellStyle name="Normal 1191 5" xfId="31666"/>
    <cellStyle name="Normal 1191 6" xfId="31667"/>
    <cellStyle name="Normal 1192" xfId="2454"/>
    <cellStyle name="Normal 1192 2" xfId="2455"/>
    <cellStyle name="Normal 1192 2 2" xfId="2456"/>
    <cellStyle name="Normal 1192 2 3" xfId="2457"/>
    <cellStyle name="Normal 1192 2 4" xfId="31668"/>
    <cellStyle name="Normal 1192 3" xfId="2458"/>
    <cellStyle name="Normal 1192 4" xfId="2459"/>
    <cellStyle name="Normal 1192 5" xfId="31669"/>
    <cellStyle name="Normal 1192 6" xfId="31670"/>
    <cellStyle name="Normal 1193" xfId="2460"/>
    <cellStyle name="Normal 1193 2" xfId="2461"/>
    <cellStyle name="Normal 1193 2 2" xfId="2462"/>
    <cellStyle name="Normal 1193 2 3" xfId="2463"/>
    <cellStyle name="Normal 1193 2 4" xfId="31671"/>
    <cellStyle name="Normal 1193 3" xfId="2464"/>
    <cellStyle name="Normal 1193 4" xfId="2465"/>
    <cellStyle name="Normal 1193 5" xfId="31672"/>
    <cellStyle name="Normal 1193 6" xfId="31673"/>
    <cellStyle name="Normal 1194" xfId="2466"/>
    <cellStyle name="Normal 1194 2" xfId="2467"/>
    <cellStyle name="Normal 1194 2 2" xfId="2468"/>
    <cellStyle name="Normal 1194 2 3" xfId="2469"/>
    <cellStyle name="Normal 1194 2 4" xfId="31674"/>
    <cellStyle name="Normal 1194 3" xfId="2470"/>
    <cellStyle name="Normal 1194 4" xfId="2471"/>
    <cellStyle name="Normal 1194 5" xfId="31675"/>
    <cellStyle name="Normal 1194 6" xfId="31676"/>
    <cellStyle name="Normal 1195" xfId="2472"/>
    <cellStyle name="Normal 1195 2" xfId="2473"/>
    <cellStyle name="Normal 1195 2 2" xfId="2474"/>
    <cellStyle name="Normal 1195 2 3" xfId="2475"/>
    <cellStyle name="Normal 1195 2 4" xfId="31677"/>
    <cellStyle name="Normal 1195 3" xfId="2476"/>
    <cellStyle name="Normal 1195 4" xfId="2477"/>
    <cellStyle name="Normal 1195 5" xfId="31678"/>
    <cellStyle name="Normal 1195 6" xfId="31679"/>
    <cellStyle name="Normal 1196" xfId="2478"/>
    <cellStyle name="Normal 1196 2" xfId="2479"/>
    <cellStyle name="Normal 1196 2 2" xfId="2480"/>
    <cellStyle name="Normal 1196 2 3" xfId="2481"/>
    <cellStyle name="Normal 1196 2 4" xfId="31680"/>
    <cellStyle name="Normal 1196 3" xfId="2482"/>
    <cellStyle name="Normal 1196 4" xfId="2483"/>
    <cellStyle name="Normal 1196 5" xfId="31681"/>
    <cellStyle name="Normal 1196 6" xfId="31682"/>
    <cellStyle name="Normal 1197" xfId="2484"/>
    <cellStyle name="Normal 1197 2" xfId="2485"/>
    <cellStyle name="Normal 1197 2 2" xfId="2486"/>
    <cellStyle name="Normal 1197 2 3" xfId="2487"/>
    <cellStyle name="Normal 1197 2 4" xfId="31683"/>
    <cellStyle name="Normal 1197 3" xfId="2488"/>
    <cellStyle name="Normal 1197 4" xfId="2489"/>
    <cellStyle name="Normal 1197 5" xfId="31684"/>
    <cellStyle name="Normal 1197 6" xfId="31685"/>
    <cellStyle name="Normal 1198" xfId="2490"/>
    <cellStyle name="Normal 1198 2" xfId="2491"/>
    <cellStyle name="Normal 1198 2 2" xfId="2492"/>
    <cellStyle name="Normal 1198 2 3" xfId="2493"/>
    <cellStyle name="Normal 1198 2 4" xfId="31686"/>
    <cellStyle name="Normal 1198 3" xfId="2494"/>
    <cellStyle name="Normal 1198 4" xfId="2495"/>
    <cellStyle name="Normal 1198 5" xfId="31687"/>
    <cellStyle name="Normal 1198 6" xfId="31688"/>
    <cellStyle name="Normal 1199" xfId="2496"/>
    <cellStyle name="Normal 1199 2" xfId="2497"/>
    <cellStyle name="Normal 1199 2 2" xfId="2498"/>
    <cellStyle name="Normal 1199 2 3" xfId="2499"/>
    <cellStyle name="Normal 1199 2 4" xfId="31689"/>
    <cellStyle name="Normal 1199 3" xfId="2500"/>
    <cellStyle name="Normal 1199 4" xfId="2501"/>
    <cellStyle name="Normal 1199 5" xfId="31690"/>
    <cellStyle name="Normal 1199 6" xfId="31691"/>
    <cellStyle name="Normal 12" xfId="2502"/>
    <cellStyle name="Normal 12 10" xfId="2503"/>
    <cellStyle name="Normal 12 11" xfId="2504"/>
    <cellStyle name="Normal 12 12" xfId="2505"/>
    <cellStyle name="Normal 12 13" xfId="2506"/>
    <cellStyle name="Normal 12 14" xfId="2507"/>
    <cellStyle name="Normal 12 15" xfId="2508"/>
    <cellStyle name="Normal 12 16" xfId="2509"/>
    <cellStyle name="Normal 12 17" xfId="2510"/>
    <cellStyle name="Normal 12 18" xfId="2511"/>
    <cellStyle name="Normal 12 19" xfId="2512"/>
    <cellStyle name="Normal 12 2" xfId="2513"/>
    <cellStyle name="Normal 12 2 2" xfId="2514"/>
    <cellStyle name="Normal 12 2 2 2" xfId="2515"/>
    <cellStyle name="Normal 12 2 2 3" xfId="2516"/>
    <cellStyle name="Normal 12 2 3" xfId="2517"/>
    <cellStyle name="Normal 12 2 3 2" xfId="31692"/>
    <cellStyle name="Normal 12 2 3 3" xfId="31693"/>
    <cellStyle name="Normal 12 2 4" xfId="2518"/>
    <cellStyle name="Normal 12 2 5" xfId="31694"/>
    <cellStyle name="Normal 12 2 6" xfId="31695"/>
    <cellStyle name="Normal 12 2 7" xfId="31696"/>
    <cellStyle name="Normal 12 2 8" xfId="31697"/>
    <cellStyle name="Normal 12 3" xfId="2519"/>
    <cellStyle name="Normal 12 3 2" xfId="2520"/>
    <cellStyle name="Normal 12 3 2 2" xfId="31698"/>
    <cellStyle name="Normal 12 3 2 3" xfId="31699"/>
    <cellStyle name="Normal 12 3 3" xfId="2521"/>
    <cellStyle name="Normal 12 3 3 2" xfId="31700"/>
    <cellStyle name="Normal 12 3 3 3" xfId="31701"/>
    <cellStyle name="Normal 12 3 4" xfId="2522"/>
    <cellStyle name="Normal 12 3 5" xfId="31702"/>
    <cellStyle name="Normal 12 4" xfId="2523"/>
    <cellStyle name="Normal 12 4 2" xfId="31703"/>
    <cellStyle name="Normal 12 4 3" xfId="31704"/>
    <cellStyle name="Normal 12 5" xfId="2524"/>
    <cellStyle name="Normal 12 5 2" xfId="31705"/>
    <cellStyle name="Normal 12 5 3" xfId="31706"/>
    <cellStyle name="Normal 12 6" xfId="2525"/>
    <cellStyle name="Normal 12 7" xfId="2526"/>
    <cellStyle name="Normal 12 8" xfId="2527"/>
    <cellStyle name="Normal 12 9" xfId="2528"/>
    <cellStyle name="Normal 120" xfId="2529"/>
    <cellStyle name="Normal 120 10" xfId="31707"/>
    <cellStyle name="Normal 120 2" xfId="2530"/>
    <cellStyle name="Normal 120 2 2" xfId="2531"/>
    <cellStyle name="Normal 120 2 2 2" xfId="2532"/>
    <cellStyle name="Normal 120 2 2 3" xfId="2533"/>
    <cellStyle name="Normal 120 2 3" xfId="2534"/>
    <cellStyle name="Normal 120 2 3 2" xfId="31708"/>
    <cellStyle name="Normal 120 2 3 3" xfId="31709"/>
    <cellStyle name="Normal 120 2 4" xfId="2535"/>
    <cellStyle name="Normal 120 2 5" xfId="2536"/>
    <cellStyle name="Normal 120 2 6" xfId="31710"/>
    <cellStyle name="Normal 120 2 7" xfId="31711"/>
    <cellStyle name="Normal 120 2 8" xfId="31712"/>
    <cellStyle name="Normal 120 3" xfId="2537"/>
    <cellStyle name="Normal 120 3 2" xfId="2538"/>
    <cellStyle name="Normal 120 3 2 2" xfId="31713"/>
    <cellStyle name="Normal 120 3 2 3" xfId="31714"/>
    <cellStyle name="Normal 120 3 3" xfId="2539"/>
    <cellStyle name="Normal 120 3 3 2" xfId="31715"/>
    <cellStyle name="Normal 120 3 3 3" xfId="31716"/>
    <cellStyle name="Normal 120 3 4" xfId="31717"/>
    <cellStyle name="Normal 120 3 5" xfId="31718"/>
    <cellStyle name="Normal 120 4" xfId="2540"/>
    <cellStyle name="Normal 120 4 2" xfId="31719"/>
    <cellStyle name="Normal 120 4 3" xfId="31720"/>
    <cellStyle name="Normal 120 5" xfId="2541"/>
    <cellStyle name="Normal 120 5 2" xfId="31721"/>
    <cellStyle name="Normal 120 5 3" xfId="31722"/>
    <cellStyle name="Normal 120 6" xfId="2542"/>
    <cellStyle name="Normal 120 7" xfId="31723"/>
    <cellStyle name="Normal 120 8" xfId="31724"/>
    <cellStyle name="Normal 120 9" xfId="31725"/>
    <cellStyle name="Normal 1200" xfId="2543"/>
    <cellStyle name="Normal 1200 2" xfId="2544"/>
    <cellStyle name="Normal 1200 2 2" xfId="2545"/>
    <cellStyle name="Normal 1200 2 3" xfId="2546"/>
    <cellStyle name="Normal 1200 2 4" xfId="31726"/>
    <cellStyle name="Normal 1200 3" xfId="2547"/>
    <cellStyle name="Normal 1200 4" xfId="2548"/>
    <cellStyle name="Normal 1200 5" xfId="31727"/>
    <cellStyle name="Normal 1200 6" xfId="31728"/>
    <cellStyle name="Normal 1201" xfId="2549"/>
    <cellStyle name="Normal 1201 2" xfId="2550"/>
    <cellStyle name="Normal 1201 2 2" xfId="2551"/>
    <cellStyle name="Normal 1201 2 3" xfId="2552"/>
    <cellStyle name="Normal 1201 2 4" xfId="31729"/>
    <cellStyle name="Normal 1201 3" xfId="2553"/>
    <cellStyle name="Normal 1201 4" xfId="2554"/>
    <cellStyle name="Normal 1201 5" xfId="31730"/>
    <cellStyle name="Normal 1201 6" xfId="31731"/>
    <cellStyle name="Normal 1202" xfId="2555"/>
    <cellStyle name="Normal 1202 2" xfId="2556"/>
    <cellStyle name="Normal 1202 2 2" xfId="2557"/>
    <cellStyle name="Normal 1202 2 3" xfId="2558"/>
    <cellStyle name="Normal 1202 2 4" xfId="31732"/>
    <cellStyle name="Normal 1202 3" xfId="2559"/>
    <cellStyle name="Normal 1202 4" xfId="2560"/>
    <cellStyle name="Normal 1202 5" xfId="31733"/>
    <cellStyle name="Normal 1202 6" xfId="31734"/>
    <cellStyle name="Normal 1203" xfId="2561"/>
    <cellStyle name="Normal 1203 2" xfId="2562"/>
    <cellStyle name="Normal 1203 2 2" xfId="2563"/>
    <cellStyle name="Normal 1203 2 3" xfId="2564"/>
    <cellStyle name="Normal 1203 2 4" xfId="31735"/>
    <cellStyle name="Normal 1203 3" xfId="2565"/>
    <cellStyle name="Normal 1203 4" xfId="2566"/>
    <cellStyle name="Normal 1203 5" xfId="31736"/>
    <cellStyle name="Normal 1203 6" xfId="31737"/>
    <cellStyle name="Normal 1204" xfId="2567"/>
    <cellStyle name="Normal 1204 2" xfId="2568"/>
    <cellStyle name="Normal 1204 2 2" xfId="2569"/>
    <cellStyle name="Normal 1204 2 3" xfId="2570"/>
    <cellStyle name="Normal 1204 2 4" xfId="31738"/>
    <cellStyle name="Normal 1204 3" xfId="2571"/>
    <cellStyle name="Normal 1204 4" xfId="2572"/>
    <cellStyle name="Normal 1204 5" xfId="31739"/>
    <cellStyle name="Normal 1204 6" xfId="31740"/>
    <cellStyle name="Normal 1205" xfId="2573"/>
    <cellStyle name="Normal 1205 2" xfId="2574"/>
    <cellStyle name="Normal 1205 2 2" xfId="2575"/>
    <cellStyle name="Normal 1205 2 3" xfId="2576"/>
    <cellStyle name="Normal 1205 2 4" xfId="31741"/>
    <cellStyle name="Normal 1205 3" xfId="2577"/>
    <cellStyle name="Normal 1205 4" xfId="2578"/>
    <cellStyle name="Normal 1205 5" xfId="31742"/>
    <cellStyle name="Normal 1205 6" xfId="31743"/>
    <cellStyle name="Normal 1206" xfId="2579"/>
    <cellStyle name="Normal 1206 2" xfId="2580"/>
    <cellStyle name="Normal 1206 2 2" xfId="2581"/>
    <cellStyle name="Normal 1206 2 3" xfId="2582"/>
    <cellStyle name="Normal 1206 2 4" xfId="31744"/>
    <cellStyle name="Normal 1206 3" xfId="2583"/>
    <cellStyle name="Normal 1206 4" xfId="2584"/>
    <cellStyle name="Normal 1206 5" xfId="31745"/>
    <cellStyle name="Normal 1206 6" xfId="31746"/>
    <cellStyle name="Normal 1207" xfId="2585"/>
    <cellStyle name="Normal 1207 2" xfId="2586"/>
    <cellStyle name="Normal 1207 2 2" xfId="2587"/>
    <cellStyle name="Normal 1207 2 3" xfId="2588"/>
    <cellStyle name="Normal 1207 2 4" xfId="31747"/>
    <cellStyle name="Normal 1207 3" xfId="2589"/>
    <cellStyle name="Normal 1207 4" xfId="2590"/>
    <cellStyle name="Normal 1207 5" xfId="31748"/>
    <cellStyle name="Normal 1207 6" xfId="31749"/>
    <cellStyle name="Normal 1208" xfId="2591"/>
    <cellStyle name="Normal 1208 2" xfId="2592"/>
    <cellStyle name="Normal 1208 2 2" xfId="2593"/>
    <cellStyle name="Normal 1208 2 3" xfId="2594"/>
    <cellStyle name="Normal 1208 2 4" xfId="31750"/>
    <cellStyle name="Normal 1208 3" xfId="2595"/>
    <cellStyle name="Normal 1208 4" xfId="2596"/>
    <cellStyle name="Normal 1208 5" xfId="31751"/>
    <cellStyle name="Normal 1208 6" xfId="31752"/>
    <cellStyle name="Normal 1209" xfId="2597"/>
    <cellStyle name="Normal 1209 2" xfId="2598"/>
    <cellStyle name="Normal 1209 2 2" xfId="2599"/>
    <cellStyle name="Normal 1209 2 3" xfId="2600"/>
    <cellStyle name="Normal 1209 2 4" xfId="31753"/>
    <cellStyle name="Normal 1209 3" xfId="2601"/>
    <cellStyle name="Normal 1209 4" xfId="2602"/>
    <cellStyle name="Normal 1209 5" xfId="31754"/>
    <cellStyle name="Normal 1209 6" xfId="31755"/>
    <cellStyle name="Normal 121" xfId="2603"/>
    <cellStyle name="Normal 121 10" xfId="31756"/>
    <cellStyle name="Normal 121 2" xfId="2604"/>
    <cellStyle name="Normal 121 2 2" xfId="2605"/>
    <cellStyle name="Normal 121 2 2 2" xfId="2606"/>
    <cellStyle name="Normal 121 2 2 3" xfId="2607"/>
    <cellStyle name="Normal 121 2 3" xfId="2608"/>
    <cellStyle name="Normal 121 2 3 2" xfId="31757"/>
    <cellStyle name="Normal 121 2 3 3" xfId="31758"/>
    <cellStyle name="Normal 121 2 4" xfId="2609"/>
    <cellStyle name="Normal 121 2 5" xfId="2610"/>
    <cellStyle name="Normal 121 2 6" xfId="31759"/>
    <cellStyle name="Normal 121 2 7" xfId="31760"/>
    <cellStyle name="Normal 121 2 8" xfId="31761"/>
    <cellStyle name="Normal 121 3" xfId="2611"/>
    <cellStyle name="Normal 121 3 2" xfId="2612"/>
    <cellStyle name="Normal 121 3 2 2" xfId="31762"/>
    <cellStyle name="Normal 121 3 2 3" xfId="31763"/>
    <cellStyle name="Normal 121 3 3" xfId="2613"/>
    <cellStyle name="Normal 121 3 3 2" xfId="31764"/>
    <cellStyle name="Normal 121 3 3 3" xfId="31765"/>
    <cellStyle name="Normal 121 3 4" xfId="31766"/>
    <cellStyle name="Normal 121 3 5" xfId="31767"/>
    <cellStyle name="Normal 121 4" xfId="2614"/>
    <cellStyle name="Normal 121 4 2" xfId="31768"/>
    <cellStyle name="Normal 121 4 3" xfId="31769"/>
    <cellStyle name="Normal 121 5" xfId="2615"/>
    <cellStyle name="Normal 121 5 2" xfId="31770"/>
    <cellStyle name="Normal 121 5 3" xfId="31771"/>
    <cellStyle name="Normal 121 6" xfId="2616"/>
    <cellStyle name="Normal 121 7" xfId="31772"/>
    <cellStyle name="Normal 121 8" xfId="31773"/>
    <cellStyle name="Normal 121 9" xfId="31774"/>
    <cellStyle name="Normal 1210" xfId="2617"/>
    <cellStyle name="Normal 1210 2" xfId="2618"/>
    <cellStyle name="Normal 1210 2 2" xfId="2619"/>
    <cellStyle name="Normal 1210 2 3" xfId="2620"/>
    <cellStyle name="Normal 1210 2 4" xfId="31775"/>
    <cellStyle name="Normal 1210 3" xfId="2621"/>
    <cellStyle name="Normal 1210 4" xfId="2622"/>
    <cellStyle name="Normal 1210 5" xfId="31776"/>
    <cellStyle name="Normal 1210 6" xfId="31777"/>
    <cellStyle name="Normal 1211" xfId="2623"/>
    <cellStyle name="Normal 1211 2" xfId="2624"/>
    <cellStyle name="Normal 1211 2 2" xfId="2625"/>
    <cellStyle name="Normal 1211 2 3" xfId="2626"/>
    <cellStyle name="Normal 1211 2 4" xfId="31778"/>
    <cellStyle name="Normal 1211 3" xfId="2627"/>
    <cellStyle name="Normal 1211 4" xfId="2628"/>
    <cellStyle name="Normal 1211 5" xfId="31779"/>
    <cellStyle name="Normal 1211 6" xfId="31780"/>
    <cellStyle name="Normal 1212" xfId="2629"/>
    <cellStyle name="Normal 1212 2" xfId="2630"/>
    <cellStyle name="Normal 1212 2 2" xfId="2631"/>
    <cellStyle name="Normal 1212 2 3" xfId="2632"/>
    <cellStyle name="Normal 1212 2 4" xfId="31781"/>
    <cellStyle name="Normal 1212 3" xfId="2633"/>
    <cellStyle name="Normal 1212 4" xfId="2634"/>
    <cellStyle name="Normal 1212 5" xfId="31782"/>
    <cellStyle name="Normal 1212 6" xfId="31783"/>
    <cellStyle name="Normal 1213" xfId="2635"/>
    <cellStyle name="Normal 1213 2" xfId="2636"/>
    <cellStyle name="Normal 1213 2 2" xfId="2637"/>
    <cellStyle name="Normal 1213 2 3" xfId="2638"/>
    <cellStyle name="Normal 1213 2 4" xfId="31784"/>
    <cellStyle name="Normal 1213 3" xfId="2639"/>
    <cellStyle name="Normal 1213 4" xfId="2640"/>
    <cellStyle name="Normal 1213 5" xfId="31785"/>
    <cellStyle name="Normal 1213 6" xfId="31786"/>
    <cellStyle name="Normal 1214" xfId="2641"/>
    <cellStyle name="Normal 1214 2" xfId="2642"/>
    <cellStyle name="Normal 1214 2 2" xfId="2643"/>
    <cellStyle name="Normal 1214 2 3" xfId="2644"/>
    <cellStyle name="Normal 1214 2 4" xfId="31787"/>
    <cellStyle name="Normal 1214 3" xfId="2645"/>
    <cellStyle name="Normal 1214 4" xfId="2646"/>
    <cellStyle name="Normal 1214 5" xfId="31788"/>
    <cellStyle name="Normal 1214 6" xfId="31789"/>
    <cellStyle name="Normal 1215" xfId="2647"/>
    <cellStyle name="Normal 1215 2" xfId="2648"/>
    <cellStyle name="Normal 1215 2 2" xfId="2649"/>
    <cellStyle name="Normal 1215 2 3" xfId="2650"/>
    <cellStyle name="Normal 1215 2 4" xfId="31790"/>
    <cellStyle name="Normal 1215 3" xfId="2651"/>
    <cellStyle name="Normal 1215 4" xfId="2652"/>
    <cellStyle name="Normal 1215 5" xfId="31791"/>
    <cellStyle name="Normal 1215 6" xfId="31792"/>
    <cellStyle name="Normal 1216" xfId="2653"/>
    <cellStyle name="Normal 1216 2" xfId="2654"/>
    <cellStyle name="Normal 1216 2 2" xfId="2655"/>
    <cellStyle name="Normal 1216 2 3" xfId="2656"/>
    <cellStyle name="Normal 1216 2 4" xfId="31793"/>
    <cellStyle name="Normal 1216 3" xfId="2657"/>
    <cellStyle name="Normal 1216 4" xfId="2658"/>
    <cellStyle name="Normal 1216 5" xfId="31794"/>
    <cellStyle name="Normal 1216 6" xfId="31795"/>
    <cellStyle name="Normal 1217" xfId="2659"/>
    <cellStyle name="Normal 1217 2" xfId="2660"/>
    <cellStyle name="Normal 1217 2 2" xfId="2661"/>
    <cellStyle name="Normal 1217 2 3" xfId="2662"/>
    <cellStyle name="Normal 1217 2 4" xfId="31796"/>
    <cellStyle name="Normal 1217 3" xfId="2663"/>
    <cellStyle name="Normal 1217 4" xfId="2664"/>
    <cellStyle name="Normal 1217 5" xfId="31797"/>
    <cellStyle name="Normal 1217 6" xfId="31798"/>
    <cellStyle name="Normal 1218" xfId="2665"/>
    <cellStyle name="Normal 1218 2" xfId="2666"/>
    <cellStyle name="Normal 1218 2 2" xfId="2667"/>
    <cellStyle name="Normal 1218 2 3" xfId="2668"/>
    <cellStyle name="Normal 1218 2 4" xfId="31799"/>
    <cellStyle name="Normal 1218 3" xfId="2669"/>
    <cellStyle name="Normal 1218 4" xfId="2670"/>
    <cellStyle name="Normal 1218 5" xfId="31800"/>
    <cellStyle name="Normal 1218 6" xfId="31801"/>
    <cellStyle name="Normal 1219" xfId="2671"/>
    <cellStyle name="Normal 1219 2" xfId="2672"/>
    <cellStyle name="Normal 1219 2 2" xfId="2673"/>
    <cellStyle name="Normal 1219 2 3" xfId="2674"/>
    <cellStyle name="Normal 1219 2 4" xfId="31802"/>
    <cellStyle name="Normal 1219 3" xfId="2675"/>
    <cellStyle name="Normal 1219 4" xfId="2676"/>
    <cellStyle name="Normal 1219 5" xfId="31803"/>
    <cellStyle name="Normal 1219 6" xfId="31804"/>
    <cellStyle name="Normal 122" xfId="2677"/>
    <cellStyle name="Normal 122 10" xfId="31805"/>
    <cellStyle name="Normal 122 2" xfId="2678"/>
    <cellStyle name="Normal 122 2 2" xfId="2679"/>
    <cellStyle name="Normal 122 2 2 2" xfId="2680"/>
    <cellStyle name="Normal 122 2 2 3" xfId="2681"/>
    <cellStyle name="Normal 122 2 3" xfId="2682"/>
    <cellStyle name="Normal 122 2 3 2" xfId="31806"/>
    <cellStyle name="Normal 122 2 3 3" xfId="31807"/>
    <cellStyle name="Normal 122 2 4" xfId="2683"/>
    <cellStyle name="Normal 122 2 5" xfId="2684"/>
    <cellStyle name="Normal 122 2 6" xfId="31808"/>
    <cellStyle name="Normal 122 2 7" xfId="31809"/>
    <cellStyle name="Normal 122 2 8" xfId="31810"/>
    <cellStyle name="Normal 122 3" xfId="2685"/>
    <cellStyle name="Normal 122 3 2" xfId="2686"/>
    <cellStyle name="Normal 122 3 2 2" xfId="31811"/>
    <cellStyle name="Normal 122 3 2 3" xfId="31812"/>
    <cellStyle name="Normal 122 3 3" xfId="2687"/>
    <cellStyle name="Normal 122 3 3 2" xfId="31813"/>
    <cellStyle name="Normal 122 3 3 3" xfId="31814"/>
    <cellStyle name="Normal 122 3 4" xfId="31815"/>
    <cellStyle name="Normal 122 3 5" xfId="31816"/>
    <cellStyle name="Normal 122 4" xfId="2688"/>
    <cellStyle name="Normal 122 4 2" xfId="31817"/>
    <cellStyle name="Normal 122 4 3" xfId="31818"/>
    <cellStyle name="Normal 122 5" xfId="2689"/>
    <cellStyle name="Normal 122 5 2" xfId="31819"/>
    <cellStyle name="Normal 122 5 3" xfId="31820"/>
    <cellStyle name="Normal 122 6" xfId="2690"/>
    <cellStyle name="Normal 122 7" xfId="31821"/>
    <cellStyle name="Normal 122 8" xfId="31822"/>
    <cellStyle name="Normal 122 9" xfId="31823"/>
    <cellStyle name="Normal 1220" xfId="2691"/>
    <cellStyle name="Normal 1220 2" xfId="2692"/>
    <cellStyle name="Normal 1220 2 2" xfId="2693"/>
    <cellStyle name="Normal 1220 2 3" xfId="2694"/>
    <cellStyle name="Normal 1220 2 4" xfId="31824"/>
    <cellStyle name="Normal 1220 3" xfId="2695"/>
    <cellStyle name="Normal 1220 4" xfId="2696"/>
    <cellStyle name="Normal 1220 5" xfId="31825"/>
    <cellStyle name="Normal 1220 6" xfId="31826"/>
    <cellStyle name="Normal 1221" xfId="2697"/>
    <cellStyle name="Normal 1221 2" xfId="2698"/>
    <cellStyle name="Normal 1221 2 2" xfId="2699"/>
    <cellStyle name="Normal 1221 2 3" xfId="2700"/>
    <cellStyle name="Normal 1221 2 4" xfId="31827"/>
    <cellStyle name="Normal 1221 3" xfId="2701"/>
    <cellStyle name="Normal 1221 4" xfId="2702"/>
    <cellStyle name="Normal 1221 5" xfId="31828"/>
    <cellStyle name="Normal 1221 6" xfId="31829"/>
    <cellStyle name="Normal 1222" xfId="2703"/>
    <cellStyle name="Normal 1222 2" xfId="2704"/>
    <cellStyle name="Normal 1222 2 2" xfId="2705"/>
    <cellStyle name="Normal 1222 2 3" xfId="2706"/>
    <cellStyle name="Normal 1222 2 4" xfId="31830"/>
    <cellStyle name="Normal 1222 3" xfId="2707"/>
    <cellStyle name="Normal 1222 4" xfId="2708"/>
    <cellStyle name="Normal 1222 5" xfId="31831"/>
    <cellStyle name="Normal 1222 6" xfId="31832"/>
    <cellStyle name="Normal 1223" xfId="2709"/>
    <cellStyle name="Normal 1223 2" xfId="2710"/>
    <cellStyle name="Normal 1223 2 2" xfId="2711"/>
    <cellStyle name="Normal 1223 2 3" xfId="2712"/>
    <cellStyle name="Normal 1223 2 4" xfId="31833"/>
    <cellStyle name="Normal 1223 3" xfId="2713"/>
    <cellStyle name="Normal 1223 4" xfId="2714"/>
    <cellStyle name="Normal 1223 5" xfId="31834"/>
    <cellStyle name="Normal 1223 6" xfId="31835"/>
    <cellStyle name="Normal 1224" xfId="2715"/>
    <cellStyle name="Normal 1224 2" xfId="2716"/>
    <cellStyle name="Normal 1224 2 2" xfId="2717"/>
    <cellStyle name="Normal 1224 2 3" xfId="2718"/>
    <cellStyle name="Normal 1224 2 4" xfId="31836"/>
    <cellStyle name="Normal 1224 3" xfId="2719"/>
    <cellStyle name="Normal 1224 4" xfId="2720"/>
    <cellStyle name="Normal 1224 5" xfId="31837"/>
    <cellStyle name="Normal 1224 6" xfId="31838"/>
    <cellStyle name="Normal 1225" xfId="2721"/>
    <cellStyle name="Normal 1225 2" xfId="2722"/>
    <cellStyle name="Normal 1225 2 2" xfId="2723"/>
    <cellStyle name="Normal 1225 2 3" xfId="2724"/>
    <cellStyle name="Normal 1225 2 4" xfId="31839"/>
    <cellStyle name="Normal 1225 3" xfId="2725"/>
    <cellStyle name="Normal 1225 4" xfId="2726"/>
    <cellStyle name="Normal 1225 5" xfId="31840"/>
    <cellStyle name="Normal 1225 6" xfId="31841"/>
    <cellStyle name="Normal 1226" xfId="2727"/>
    <cellStyle name="Normal 1226 2" xfId="2728"/>
    <cellStyle name="Normal 1226 2 2" xfId="2729"/>
    <cellStyle name="Normal 1226 2 3" xfId="2730"/>
    <cellStyle name="Normal 1226 2 4" xfId="31842"/>
    <cellStyle name="Normal 1226 3" xfId="2731"/>
    <cellStyle name="Normal 1226 4" xfId="2732"/>
    <cellStyle name="Normal 1226 5" xfId="31843"/>
    <cellStyle name="Normal 1226 6" xfId="31844"/>
    <cellStyle name="Normal 1227" xfId="2733"/>
    <cellStyle name="Normal 1227 2" xfId="2734"/>
    <cellStyle name="Normal 1227 2 2" xfId="2735"/>
    <cellStyle name="Normal 1227 2 3" xfId="2736"/>
    <cellStyle name="Normal 1227 2 4" xfId="31845"/>
    <cellStyle name="Normal 1227 3" xfId="2737"/>
    <cellStyle name="Normal 1227 4" xfId="2738"/>
    <cellStyle name="Normal 1227 5" xfId="31846"/>
    <cellStyle name="Normal 1227 6" xfId="31847"/>
    <cellStyle name="Normal 1228" xfId="2739"/>
    <cellStyle name="Normal 1228 2" xfId="2740"/>
    <cellStyle name="Normal 1228 2 2" xfId="2741"/>
    <cellStyle name="Normal 1228 2 3" xfId="2742"/>
    <cellStyle name="Normal 1228 2 4" xfId="31848"/>
    <cellStyle name="Normal 1228 3" xfId="2743"/>
    <cellStyle name="Normal 1228 4" xfId="2744"/>
    <cellStyle name="Normal 1228 5" xfId="31849"/>
    <cellStyle name="Normal 1228 6" xfId="31850"/>
    <cellStyle name="Normal 1229" xfId="2745"/>
    <cellStyle name="Normal 1229 2" xfId="2746"/>
    <cellStyle name="Normal 1229 2 2" xfId="2747"/>
    <cellStyle name="Normal 1229 2 3" xfId="2748"/>
    <cellStyle name="Normal 1229 2 4" xfId="31851"/>
    <cellStyle name="Normal 1229 3" xfId="2749"/>
    <cellStyle name="Normal 1229 4" xfId="2750"/>
    <cellStyle name="Normal 1229 5" xfId="31852"/>
    <cellStyle name="Normal 1229 6" xfId="31853"/>
    <cellStyle name="Normal 123" xfId="2751"/>
    <cellStyle name="Normal 123 10" xfId="31854"/>
    <cellStyle name="Normal 123 2" xfId="2752"/>
    <cellStyle name="Normal 123 2 2" xfId="2753"/>
    <cellStyle name="Normal 123 2 2 2" xfId="2754"/>
    <cellStyle name="Normal 123 2 2 3" xfId="2755"/>
    <cellStyle name="Normal 123 2 3" xfId="2756"/>
    <cellStyle name="Normal 123 2 3 2" xfId="31855"/>
    <cellStyle name="Normal 123 2 3 3" xfId="31856"/>
    <cellStyle name="Normal 123 2 4" xfId="2757"/>
    <cellStyle name="Normal 123 2 5" xfId="2758"/>
    <cellStyle name="Normal 123 2 6" xfId="31857"/>
    <cellStyle name="Normal 123 2 7" xfId="31858"/>
    <cellStyle name="Normal 123 2 8" xfId="31859"/>
    <cellStyle name="Normal 123 3" xfId="2759"/>
    <cellStyle name="Normal 123 3 2" xfId="2760"/>
    <cellStyle name="Normal 123 3 2 2" xfId="31860"/>
    <cellStyle name="Normal 123 3 2 3" xfId="31861"/>
    <cellStyle name="Normal 123 3 3" xfId="2761"/>
    <cellStyle name="Normal 123 3 3 2" xfId="31862"/>
    <cellStyle name="Normal 123 3 3 3" xfId="31863"/>
    <cellStyle name="Normal 123 3 4" xfId="31864"/>
    <cellStyle name="Normal 123 3 5" xfId="31865"/>
    <cellStyle name="Normal 123 4" xfId="2762"/>
    <cellStyle name="Normal 123 4 2" xfId="31866"/>
    <cellStyle name="Normal 123 4 3" xfId="31867"/>
    <cellStyle name="Normal 123 5" xfId="2763"/>
    <cellStyle name="Normal 123 5 2" xfId="31868"/>
    <cellStyle name="Normal 123 5 3" xfId="31869"/>
    <cellStyle name="Normal 123 6" xfId="2764"/>
    <cellStyle name="Normal 123 7" xfId="31870"/>
    <cellStyle name="Normal 123 8" xfId="31871"/>
    <cellStyle name="Normal 123 9" xfId="31872"/>
    <cellStyle name="Normal 1230" xfId="2765"/>
    <cellStyle name="Normal 1230 2" xfId="2766"/>
    <cellStyle name="Normal 1230 2 2" xfId="2767"/>
    <cellStyle name="Normal 1230 2 3" xfId="2768"/>
    <cellStyle name="Normal 1230 2 4" xfId="31873"/>
    <cellStyle name="Normal 1230 3" xfId="2769"/>
    <cellStyle name="Normal 1230 4" xfId="2770"/>
    <cellStyle name="Normal 1230 5" xfId="31874"/>
    <cellStyle name="Normal 1230 6" xfId="31875"/>
    <cellStyle name="Normal 1231" xfId="2771"/>
    <cellStyle name="Normal 1231 2" xfId="2772"/>
    <cellStyle name="Normal 1231 2 2" xfId="2773"/>
    <cellStyle name="Normal 1231 2 3" xfId="2774"/>
    <cellStyle name="Normal 1231 2 4" xfId="31876"/>
    <cellStyle name="Normal 1231 3" xfId="2775"/>
    <cellStyle name="Normal 1231 4" xfId="2776"/>
    <cellStyle name="Normal 1231 5" xfId="31877"/>
    <cellStyle name="Normal 1231 6" xfId="31878"/>
    <cellStyle name="Normal 1232" xfId="2777"/>
    <cellStyle name="Normal 1232 2" xfId="2778"/>
    <cellStyle name="Normal 1232 2 2" xfId="2779"/>
    <cellStyle name="Normal 1232 2 3" xfId="2780"/>
    <cellStyle name="Normal 1232 2 4" xfId="31879"/>
    <cellStyle name="Normal 1232 3" xfId="2781"/>
    <cellStyle name="Normal 1232 4" xfId="2782"/>
    <cellStyle name="Normal 1232 5" xfId="31880"/>
    <cellStyle name="Normal 1232 6" xfId="31881"/>
    <cellStyle name="Normal 1233" xfId="2783"/>
    <cellStyle name="Normal 1233 2" xfId="2784"/>
    <cellStyle name="Normal 1233 2 2" xfId="2785"/>
    <cellStyle name="Normal 1233 2 3" xfId="2786"/>
    <cellStyle name="Normal 1233 2 4" xfId="31882"/>
    <cellStyle name="Normal 1233 3" xfId="2787"/>
    <cellStyle name="Normal 1233 4" xfId="2788"/>
    <cellStyle name="Normal 1233 5" xfId="31883"/>
    <cellStyle name="Normal 1233 6" xfId="31884"/>
    <cellStyle name="Normal 1234" xfId="2789"/>
    <cellStyle name="Normal 1234 2" xfId="2790"/>
    <cellStyle name="Normal 1234 2 2" xfId="2791"/>
    <cellStyle name="Normal 1234 2 3" xfId="2792"/>
    <cellStyle name="Normal 1234 2 4" xfId="31885"/>
    <cellStyle name="Normal 1234 3" xfId="2793"/>
    <cellStyle name="Normal 1234 4" xfId="2794"/>
    <cellStyle name="Normal 1234 5" xfId="31886"/>
    <cellStyle name="Normal 1234 6" xfId="31887"/>
    <cellStyle name="Normal 1235" xfId="2795"/>
    <cellStyle name="Normal 1235 2" xfId="2796"/>
    <cellStyle name="Normal 1235 2 2" xfId="2797"/>
    <cellStyle name="Normal 1235 2 3" xfId="2798"/>
    <cellStyle name="Normal 1235 2 4" xfId="31888"/>
    <cellStyle name="Normal 1235 3" xfId="2799"/>
    <cellStyle name="Normal 1235 4" xfId="2800"/>
    <cellStyle name="Normal 1235 5" xfId="31889"/>
    <cellStyle name="Normal 1235 6" xfId="31890"/>
    <cellStyle name="Normal 1236" xfId="2801"/>
    <cellStyle name="Normal 1236 2" xfId="2802"/>
    <cellStyle name="Normal 1236 2 2" xfId="2803"/>
    <cellStyle name="Normal 1236 2 3" xfId="2804"/>
    <cellStyle name="Normal 1236 2 4" xfId="31891"/>
    <cellStyle name="Normal 1236 3" xfId="2805"/>
    <cellStyle name="Normal 1236 4" xfId="2806"/>
    <cellStyle name="Normal 1236 5" xfId="31892"/>
    <cellStyle name="Normal 1236 6" xfId="31893"/>
    <cellStyle name="Normal 1237" xfId="2807"/>
    <cellStyle name="Normal 1237 2" xfId="2808"/>
    <cellStyle name="Normal 1237 2 2" xfId="2809"/>
    <cellStyle name="Normal 1237 2 3" xfId="2810"/>
    <cellStyle name="Normal 1237 2 4" xfId="31894"/>
    <cellStyle name="Normal 1237 3" xfId="2811"/>
    <cellStyle name="Normal 1237 4" xfId="2812"/>
    <cellStyle name="Normal 1237 5" xfId="31895"/>
    <cellStyle name="Normal 1237 6" xfId="31896"/>
    <cellStyle name="Normal 1238" xfId="2813"/>
    <cellStyle name="Normal 1238 2" xfId="2814"/>
    <cellStyle name="Normal 1238 2 2" xfId="2815"/>
    <cellStyle name="Normal 1238 2 3" xfId="2816"/>
    <cellStyle name="Normal 1238 2 4" xfId="31897"/>
    <cellStyle name="Normal 1238 3" xfId="2817"/>
    <cellStyle name="Normal 1238 4" xfId="2818"/>
    <cellStyle name="Normal 1238 5" xfId="31898"/>
    <cellStyle name="Normal 1238 6" xfId="31899"/>
    <cellStyle name="Normal 1239" xfId="2819"/>
    <cellStyle name="Normal 1239 2" xfId="2820"/>
    <cellStyle name="Normal 1239 2 2" xfId="2821"/>
    <cellStyle name="Normal 1239 2 3" xfId="2822"/>
    <cellStyle name="Normal 1239 2 4" xfId="31900"/>
    <cellStyle name="Normal 1239 3" xfId="2823"/>
    <cellStyle name="Normal 1239 4" xfId="2824"/>
    <cellStyle name="Normal 1239 5" xfId="31901"/>
    <cellStyle name="Normal 1239 6" xfId="31902"/>
    <cellStyle name="Normal 124" xfId="2825"/>
    <cellStyle name="Normal 124 10" xfId="31903"/>
    <cellStyle name="Normal 124 2" xfId="2826"/>
    <cellStyle name="Normal 124 2 2" xfId="2827"/>
    <cellStyle name="Normal 124 2 2 2" xfId="2828"/>
    <cellStyle name="Normal 124 2 2 3" xfId="2829"/>
    <cellStyle name="Normal 124 2 3" xfId="2830"/>
    <cellStyle name="Normal 124 2 3 2" xfId="31904"/>
    <cellStyle name="Normal 124 2 3 3" xfId="31905"/>
    <cellStyle name="Normal 124 2 4" xfId="2831"/>
    <cellStyle name="Normal 124 2 5" xfId="2832"/>
    <cellStyle name="Normal 124 2 6" xfId="31906"/>
    <cellStyle name="Normal 124 2 7" xfId="31907"/>
    <cellStyle name="Normal 124 2 8" xfId="31908"/>
    <cellStyle name="Normal 124 3" xfId="2833"/>
    <cellStyle name="Normal 124 3 2" xfId="2834"/>
    <cellStyle name="Normal 124 3 2 2" xfId="31909"/>
    <cellStyle name="Normal 124 3 2 3" xfId="31910"/>
    <cellStyle name="Normal 124 3 3" xfId="2835"/>
    <cellStyle name="Normal 124 3 3 2" xfId="31911"/>
    <cellStyle name="Normal 124 3 3 3" xfId="31912"/>
    <cellStyle name="Normal 124 3 4" xfId="31913"/>
    <cellStyle name="Normal 124 3 5" xfId="31914"/>
    <cellStyle name="Normal 124 4" xfId="2836"/>
    <cellStyle name="Normal 124 4 2" xfId="31915"/>
    <cellStyle name="Normal 124 4 3" xfId="31916"/>
    <cellStyle name="Normal 124 5" xfId="2837"/>
    <cellStyle name="Normal 124 5 2" xfId="31917"/>
    <cellStyle name="Normal 124 5 3" xfId="31918"/>
    <cellStyle name="Normal 124 6" xfId="2838"/>
    <cellStyle name="Normal 124 7" xfId="31919"/>
    <cellStyle name="Normal 124 8" xfId="31920"/>
    <cellStyle name="Normal 124 9" xfId="31921"/>
    <cellStyle name="Normal 1240" xfId="2839"/>
    <cellStyle name="Normal 1240 2" xfId="2840"/>
    <cellStyle name="Normal 1240 2 2" xfId="2841"/>
    <cellStyle name="Normal 1240 2 3" xfId="2842"/>
    <cellStyle name="Normal 1240 2 4" xfId="31922"/>
    <cellStyle name="Normal 1240 3" xfId="2843"/>
    <cellStyle name="Normal 1240 4" xfId="2844"/>
    <cellStyle name="Normal 1240 5" xfId="31923"/>
    <cellStyle name="Normal 1240 6" xfId="31924"/>
    <cellStyle name="Normal 1241" xfId="2845"/>
    <cellStyle name="Normal 1241 2" xfId="2846"/>
    <cellStyle name="Normal 1241 2 2" xfId="2847"/>
    <cellStyle name="Normal 1241 2 3" xfId="2848"/>
    <cellStyle name="Normal 1241 2 4" xfId="31925"/>
    <cellStyle name="Normal 1241 3" xfId="2849"/>
    <cellStyle name="Normal 1241 4" xfId="2850"/>
    <cellStyle name="Normal 1241 5" xfId="31926"/>
    <cellStyle name="Normal 1241 6" xfId="31927"/>
    <cellStyle name="Normal 1242" xfId="2851"/>
    <cellStyle name="Normal 1242 2" xfId="2852"/>
    <cellStyle name="Normal 1242 2 2" xfId="2853"/>
    <cellStyle name="Normal 1242 2 3" xfId="2854"/>
    <cellStyle name="Normal 1242 2 4" xfId="31928"/>
    <cellStyle name="Normal 1242 3" xfId="2855"/>
    <cellStyle name="Normal 1242 4" xfId="2856"/>
    <cellStyle name="Normal 1242 5" xfId="31929"/>
    <cellStyle name="Normal 1242 6" xfId="31930"/>
    <cellStyle name="Normal 1243" xfId="2857"/>
    <cellStyle name="Normal 1243 2" xfId="2858"/>
    <cellStyle name="Normal 1243 2 2" xfId="2859"/>
    <cellStyle name="Normal 1243 2 3" xfId="2860"/>
    <cellStyle name="Normal 1243 2 4" xfId="31931"/>
    <cellStyle name="Normal 1243 3" xfId="2861"/>
    <cellStyle name="Normal 1243 4" xfId="2862"/>
    <cellStyle name="Normal 1243 5" xfId="31932"/>
    <cellStyle name="Normal 1243 6" xfId="31933"/>
    <cellStyle name="Normal 1244" xfId="2863"/>
    <cellStyle name="Normal 1244 2" xfId="2864"/>
    <cellStyle name="Normal 1244 2 2" xfId="2865"/>
    <cellStyle name="Normal 1244 2 3" xfId="2866"/>
    <cellStyle name="Normal 1244 2 4" xfId="31934"/>
    <cellStyle name="Normal 1244 3" xfId="2867"/>
    <cellStyle name="Normal 1244 4" xfId="2868"/>
    <cellStyle name="Normal 1244 5" xfId="31935"/>
    <cellStyle name="Normal 1244 6" xfId="31936"/>
    <cellStyle name="Normal 1245" xfId="2869"/>
    <cellStyle name="Normal 1245 2" xfId="2870"/>
    <cellStyle name="Normal 1245 2 2" xfId="2871"/>
    <cellStyle name="Normal 1245 2 3" xfId="2872"/>
    <cellStyle name="Normal 1245 2 4" xfId="31937"/>
    <cellStyle name="Normal 1245 3" xfId="2873"/>
    <cellStyle name="Normal 1245 4" xfId="2874"/>
    <cellStyle name="Normal 1245 5" xfId="31938"/>
    <cellStyle name="Normal 1245 6" xfId="31939"/>
    <cellStyle name="Normal 1246" xfId="2875"/>
    <cellStyle name="Normal 1246 2" xfId="2876"/>
    <cellStyle name="Normal 1246 2 2" xfId="2877"/>
    <cellStyle name="Normal 1246 2 3" xfId="2878"/>
    <cellStyle name="Normal 1246 2 4" xfId="31940"/>
    <cellStyle name="Normal 1246 3" xfId="2879"/>
    <cellStyle name="Normal 1246 4" xfId="2880"/>
    <cellStyle name="Normal 1246 5" xfId="31941"/>
    <cellStyle name="Normal 1246 6" xfId="31942"/>
    <cellStyle name="Normal 1247" xfId="2881"/>
    <cellStyle name="Normal 1247 2" xfId="2882"/>
    <cellStyle name="Normal 1247 2 2" xfId="2883"/>
    <cellStyle name="Normal 1247 2 3" xfId="2884"/>
    <cellStyle name="Normal 1247 2 4" xfId="31943"/>
    <cellStyle name="Normal 1247 3" xfId="2885"/>
    <cellStyle name="Normal 1247 4" xfId="2886"/>
    <cellStyle name="Normal 1247 5" xfId="31944"/>
    <cellStyle name="Normal 1247 6" xfId="31945"/>
    <cellStyle name="Normal 1248" xfId="2887"/>
    <cellStyle name="Normal 1248 2" xfId="2888"/>
    <cellStyle name="Normal 1248 2 2" xfId="2889"/>
    <cellStyle name="Normal 1248 2 3" xfId="2890"/>
    <cellStyle name="Normal 1248 2 4" xfId="31946"/>
    <cellStyle name="Normal 1248 3" xfId="2891"/>
    <cellStyle name="Normal 1248 4" xfId="2892"/>
    <cellStyle name="Normal 1248 5" xfId="31947"/>
    <cellStyle name="Normal 1248 6" xfId="31948"/>
    <cellStyle name="Normal 1249" xfId="2893"/>
    <cellStyle name="Normal 1249 2" xfId="2894"/>
    <cellStyle name="Normal 1249 2 2" xfId="2895"/>
    <cellStyle name="Normal 1249 2 3" xfId="2896"/>
    <cellStyle name="Normal 1249 2 4" xfId="31949"/>
    <cellStyle name="Normal 1249 3" xfId="2897"/>
    <cellStyle name="Normal 1249 4" xfId="2898"/>
    <cellStyle name="Normal 1249 5" xfId="31950"/>
    <cellStyle name="Normal 1249 6" xfId="31951"/>
    <cellStyle name="Normal 125" xfId="2899"/>
    <cellStyle name="Normal 125 10" xfId="31952"/>
    <cellStyle name="Normal 125 2" xfId="2900"/>
    <cellStyle name="Normal 125 2 2" xfId="2901"/>
    <cellStyle name="Normal 125 2 2 2" xfId="2902"/>
    <cellStyle name="Normal 125 2 2 3" xfId="2903"/>
    <cellStyle name="Normal 125 2 3" xfId="2904"/>
    <cellStyle name="Normal 125 2 3 2" xfId="31953"/>
    <cellStyle name="Normal 125 2 3 3" xfId="31954"/>
    <cellStyle name="Normal 125 2 4" xfId="2905"/>
    <cellStyle name="Normal 125 2 5" xfId="2906"/>
    <cellStyle name="Normal 125 2 6" xfId="31955"/>
    <cellStyle name="Normal 125 2 7" xfId="31956"/>
    <cellStyle name="Normal 125 2 8" xfId="31957"/>
    <cellStyle name="Normal 125 3" xfId="2907"/>
    <cellStyle name="Normal 125 3 2" xfId="2908"/>
    <cellStyle name="Normal 125 3 2 2" xfId="31958"/>
    <cellStyle name="Normal 125 3 2 3" xfId="31959"/>
    <cellStyle name="Normal 125 3 3" xfId="2909"/>
    <cellStyle name="Normal 125 3 3 2" xfId="31960"/>
    <cellStyle name="Normal 125 3 3 3" xfId="31961"/>
    <cellStyle name="Normal 125 3 4" xfId="31962"/>
    <cellStyle name="Normal 125 3 5" xfId="31963"/>
    <cellStyle name="Normal 125 4" xfId="2910"/>
    <cellStyle name="Normal 125 4 2" xfId="31964"/>
    <cellStyle name="Normal 125 4 3" xfId="31965"/>
    <cellStyle name="Normal 125 5" xfId="2911"/>
    <cellStyle name="Normal 125 5 2" xfId="31966"/>
    <cellStyle name="Normal 125 5 3" xfId="31967"/>
    <cellStyle name="Normal 125 6" xfId="2912"/>
    <cellStyle name="Normal 125 7" xfId="31968"/>
    <cellStyle name="Normal 125 8" xfId="31969"/>
    <cellStyle name="Normal 125 9" xfId="31970"/>
    <cellStyle name="Normal 1250" xfId="2913"/>
    <cellStyle name="Normal 1250 2" xfId="2914"/>
    <cellStyle name="Normal 1250 2 2" xfId="2915"/>
    <cellStyle name="Normal 1250 2 3" xfId="2916"/>
    <cellStyle name="Normal 1250 2 4" xfId="31971"/>
    <cellStyle name="Normal 1250 3" xfId="2917"/>
    <cellStyle name="Normal 1250 4" xfId="2918"/>
    <cellStyle name="Normal 1250 5" xfId="31972"/>
    <cellStyle name="Normal 1250 6" xfId="31973"/>
    <cellStyle name="Normal 1251" xfId="2919"/>
    <cellStyle name="Normal 1251 2" xfId="2920"/>
    <cellStyle name="Normal 1251 2 2" xfId="2921"/>
    <cellStyle name="Normal 1251 2 3" xfId="2922"/>
    <cellStyle name="Normal 1251 2 4" xfId="31974"/>
    <cellStyle name="Normal 1251 3" xfId="2923"/>
    <cellStyle name="Normal 1251 4" xfId="2924"/>
    <cellStyle name="Normal 1251 5" xfId="31975"/>
    <cellStyle name="Normal 1251 6" xfId="31976"/>
    <cellStyle name="Normal 1252" xfId="2925"/>
    <cellStyle name="Normal 1252 2" xfId="2926"/>
    <cellStyle name="Normal 1252 2 2" xfId="2927"/>
    <cellStyle name="Normal 1252 2 3" xfId="2928"/>
    <cellStyle name="Normal 1252 2 4" xfId="31977"/>
    <cellStyle name="Normal 1252 3" xfId="2929"/>
    <cellStyle name="Normal 1252 4" xfId="2930"/>
    <cellStyle name="Normal 1252 5" xfId="31978"/>
    <cellStyle name="Normal 1252 6" xfId="31979"/>
    <cellStyle name="Normal 1253" xfId="2931"/>
    <cellStyle name="Normal 1253 2" xfId="2932"/>
    <cellStyle name="Normal 1253 2 2" xfId="2933"/>
    <cellStyle name="Normal 1253 2 3" xfId="2934"/>
    <cellStyle name="Normal 1253 2 4" xfId="31980"/>
    <cellStyle name="Normal 1253 3" xfId="2935"/>
    <cellStyle name="Normal 1253 4" xfId="2936"/>
    <cellStyle name="Normal 1253 5" xfId="31981"/>
    <cellStyle name="Normal 1253 6" xfId="31982"/>
    <cellStyle name="Normal 1254" xfId="2937"/>
    <cellStyle name="Normal 1254 2" xfId="2938"/>
    <cellStyle name="Normal 1254 2 2" xfId="2939"/>
    <cellStyle name="Normal 1254 2 3" xfId="2940"/>
    <cellStyle name="Normal 1254 2 4" xfId="31983"/>
    <cellStyle name="Normal 1254 3" xfId="2941"/>
    <cellStyle name="Normal 1254 4" xfId="2942"/>
    <cellStyle name="Normal 1254 5" xfId="31984"/>
    <cellStyle name="Normal 1254 6" xfId="31985"/>
    <cellStyle name="Normal 1255" xfId="2943"/>
    <cellStyle name="Normal 1255 2" xfId="2944"/>
    <cellStyle name="Normal 1255 2 2" xfId="2945"/>
    <cellStyle name="Normal 1255 2 3" xfId="2946"/>
    <cellStyle name="Normal 1255 2 4" xfId="31986"/>
    <cellStyle name="Normal 1255 3" xfId="2947"/>
    <cellStyle name="Normal 1255 4" xfId="2948"/>
    <cellStyle name="Normal 1255 5" xfId="31987"/>
    <cellStyle name="Normal 1255 6" xfId="31988"/>
    <cellStyle name="Normal 1256" xfId="2949"/>
    <cellStyle name="Normal 1256 2" xfId="2950"/>
    <cellStyle name="Normal 1256 2 2" xfId="2951"/>
    <cellStyle name="Normal 1256 2 3" xfId="2952"/>
    <cellStyle name="Normal 1256 2 4" xfId="31989"/>
    <cellStyle name="Normal 1256 3" xfId="2953"/>
    <cellStyle name="Normal 1256 4" xfId="2954"/>
    <cellStyle name="Normal 1256 5" xfId="31990"/>
    <cellStyle name="Normal 1256 6" xfId="31991"/>
    <cellStyle name="Normal 1257" xfId="2955"/>
    <cellStyle name="Normal 1257 2" xfId="2956"/>
    <cellStyle name="Normal 1257 2 2" xfId="2957"/>
    <cellStyle name="Normal 1257 2 3" xfId="2958"/>
    <cellStyle name="Normal 1257 2 4" xfId="31992"/>
    <cellStyle name="Normal 1257 3" xfId="2959"/>
    <cellStyle name="Normal 1257 4" xfId="2960"/>
    <cellStyle name="Normal 1257 5" xfId="31993"/>
    <cellStyle name="Normal 1257 6" xfId="31994"/>
    <cellStyle name="Normal 1258" xfId="2961"/>
    <cellStyle name="Normal 1258 2" xfId="2962"/>
    <cellStyle name="Normal 1258 2 2" xfId="2963"/>
    <cellStyle name="Normal 1258 2 3" xfId="2964"/>
    <cellStyle name="Normal 1258 2 4" xfId="31995"/>
    <cellStyle name="Normal 1258 3" xfId="2965"/>
    <cellStyle name="Normal 1258 4" xfId="2966"/>
    <cellStyle name="Normal 1258 5" xfId="31996"/>
    <cellStyle name="Normal 1258 6" xfId="31997"/>
    <cellStyle name="Normal 1259" xfId="2967"/>
    <cellStyle name="Normal 1259 2" xfId="2968"/>
    <cellStyle name="Normal 1259 2 2" xfId="2969"/>
    <cellStyle name="Normal 1259 2 3" xfId="2970"/>
    <cellStyle name="Normal 1259 2 4" xfId="31998"/>
    <cellStyle name="Normal 1259 3" xfId="2971"/>
    <cellStyle name="Normal 1259 4" xfId="2972"/>
    <cellStyle name="Normal 1259 5" xfId="31999"/>
    <cellStyle name="Normal 1259 6" xfId="32000"/>
    <cellStyle name="Normal 126" xfId="2973"/>
    <cellStyle name="Normal 126 10" xfId="32001"/>
    <cellStyle name="Normal 126 2" xfId="2974"/>
    <cellStyle name="Normal 126 2 2" xfId="2975"/>
    <cellStyle name="Normal 126 2 2 2" xfId="2976"/>
    <cellStyle name="Normal 126 2 2 3" xfId="2977"/>
    <cellStyle name="Normal 126 2 3" xfId="2978"/>
    <cellStyle name="Normal 126 2 3 2" xfId="32002"/>
    <cellStyle name="Normal 126 2 3 3" xfId="32003"/>
    <cellStyle name="Normal 126 2 4" xfId="2979"/>
    <cellStyle name="Normal 126 2 5" xfId="2980"/>
    <cellStyle name="Normal 126 2 6" xfId="32004"/>
    <cellStyle name="Normal 126 2 7" xfId="32005"/>
    <cellStyle name="Normal 126 2 8" xfId="32006"/>
    <cellStyle name="Normal 126 3" xfId="2981"/>
    <cellStyle name="Normal 126 3 2" xfId="2982"/>
    <cellStyle name="Normal 126 3 2 2" xfId="32007"/>
    <cellStyle name="Normal 126 3 2 3" xfId="32008"/>
    <cellStyle name="Normal 126 3 3" xfId="2983"/>
    <cellStyle name="Normal 126 3 3 2" xfId="32009"/>
    <cellStyle name="Normal 126 3 3 3" xfId="32010"/>
    <cellStyle name="Normal 126 3 4" xfId="32011"/>
    <cellStyle name="Normal 126 3 5" xfId="32012"/>
    <cellStyle name="Normal 126 4" xfId="2984"/>
    <cellStyle name="Normal 126 4 2" xfId="32013"/>
    <cellStyle name="Normal 126 4 3" xfId="32014"/>
    <cellStyle name="Normal 126 5" xfId="2985"/>
    <cellStyle name="Normal 126 5 2" xfId="32015"/>
    <cellStyle name="Normal 126 5 3" xfId="32016"/>
    <cellStyle name="Normal 126 6" xfId="2986"/>
    <cellStyle name="Normal 126 7" xfId="32017"/>
    <cellStyle name="Normal 126 8" xfId="32018"/>
    <cellStyle name="Normal 126 9" xfId="32019"/>
    <cellStyle name="Normal 1260" xfId="2987"/>
    <cellStyle name="Normal 1260 2" xfId="2988"/>
    <cellStyle name="Normal 1260 2 2" xfId="2989"/>
    <cellStyle name="Normal 1260 2 3" xfId="2990"/>
    <cellStyle name="Normal 1260 2 4" xfId="32020"/>
    <cellStyle name="Normal 1260 3" xfId="2991"/>
    <cellStyle name="Normal 1260 4" xfId="2992"/>
    <cellStyle name="Normal 1260 5" xfId="32021"/>
    <cellStyle name="Normal 1260 6" xfId="32022"/>
    <cellStyle name="Normal 1261" xfId="2993"/>
    <cellStyle name="Normal 1261 2" xfId="2994"/>
    <cellStyle name="Normal 1261 2 2" xfId="2995"/>
    <cellStyle name="Normal 1261 2 3" xfId="2996"/>
    <cellStyle name="Normal 1261 2 4" xfId="32023"/>
    <cellStyle name="Normal 1261 3" xfId="2997"/>
    <cellStyle name="Normal 1261 4" xfId="2998"/>
    <cellStyle name="Normal 1261 5" xfId="32024"/>
    <cellStyle name="Normal 1261 6" xfId="32025"/>
    <cellStyle name="Normal 1262" xfId="2999"/>
    <cellStyle name="Normal 1262 2" xfId="3000"/>
    <cellStyle name="Normal 1262 2 2" xfId="3001"/>
    <cellStyle name="Normal 1262 2 3" xfId="3002"/>
    <cellStyle name="Normal 1262 2 4" xfId="32026"/>
    <cellStyle name="Normal 1262 3" xfId="3003"/>
    <cellStyle name="Normal 1262 4" xfId="3004"/>
    <cellStyle name="Normal 1262 5" xfId="32027"/>
    <cellStyle name="Normal 1262 6" xfId="32028"/>
    <cellStyle name="Normal 1263" xfId="3005"/>
    <cellStyle name="Normal 1263 2" xfId="3006"/>
    <cellStyle name="Normal 1263 2 2" xfId="3007"/>
    <cellStyle name="Normal 1263 2 3" xfId="3008"/>
    <cellStyle name="Normal 1263 2 4" xfId="32029"/>
    <cellStyle name="Normal 1263 3" xfId="3009"/>
    <cellStyle name="Normal 1263 4" xfId="3010"/>
    <cellStyle name="Normal 1263 5" xfId="32030"/>
    <cellStyle name="Normal 1263 6" xfId="32031"/>
    <cellStyle name="Normal 1264" xfId="3011"/>
    <cellStyle name="Normal 1264 2" xfId="3012"/>
    <cellStyle name="Normal 1264 2 2" xfId="3013"/>
    <cellStyle name="Normal 1264 2 3" xfId="3014"/>
    <cellStyle name="Normal 1264 2 4" xfId="32032"/>
    <cellStyle name="Normal 1264 3" xfId="3015"/>
    <cellStyle name="Normal 1264 4" xfId="3016"/>
    <cellStyle name="Normal 1264 5" xfId="32033"/>
    <cellStyle name="Normal 1264 6" xfId="32034"/>
    <cellStyle name="Normal 1265" xfId="3017"/>
    <cellStyle name="Normal 1265 2" xfId="3018"/>
    <cellStyle name="Normal 1265 2 2" xfId="3019"/>
    <cellStyle name="Normal 1265 2 3" xfId="3020"/>
    <cellStyle name="Normal 1265 2 4" xfId="32035"/>
    <cellStyle name="Normal 1265 3" xfId="3021"/>
    <cellStyle name="Normal 1265 4" xfId="3022"/>
    <cellStyle name="Normal 1265 5" xfId="32036"/>
    <cellStyle name="Normal 1265 6" xfId="32037"/>
    <cellStyle name="Normal 1266" xfId="3023"/>
    <cellStyle name="Normal 1266 2" xfId="3024"/>
    <cellStyle name="Normal 1266 2 2" xfId="3025"/>
    <cellStyle name="Normal 1266 2 3" xfId="3026"/>
    <cellStyle name="Normal 1266 2 4" xfId="32038"/>
    <cellStyle name="Normal 1266 3" xfId="3027"/>
    <cellStyle name="Normal 1266 4" xfId="3028"/>
    <cellStyle name="Normal 1266 5" xfId="32039"/>
    <cellStyle name="Normal 1266 6" xfId="32040"/>
    <cellStyle name="Normal 1267" xfId="3029"/>
    <cellStyle name="Normal 1267 2" xfId="3030"/>
    <cellStyle name="Normal 1267 2 2" xfId="3031"/>
    <cellStyle name="Normal 1267 2 3" xfId="3032"/>
    <cellStyle name="Normal 1267 2 4" xfId="32041"/>
    <cellStyle name="Normal 1267 3" xfId="3033"/>
    <cellStyle name="Normal 1267 4" xfId="3034"/>
    <cellStyle name="Normal 1267 5" xfId="32042"/>
    <cellStyle name="Normal 1267 6" xfId="32043"/>
    <cellStyle name="Normal 1268" xfId="3035"/>
    <cellStyle name="Normal 1268 2" xfId="3036"/>
    <cellStyle name="Normal 1268 2 2" xfId="3037"/>
    <cellStyle name="Normal 1268 2 3" xfId="3038"/>
    <cellStyle name="Normal 1268 2 4" xfId="32044"/>
    <cellStyle name="Normal 1268 3" xfId="3039"/>
    <cellStyle name="Normal 1268 4" xfId="3040"/>
    <cellStyle name="Normal 1268 5" xfId="32045"/>
    <cellStyle name="Normal 1268 6" xfId="32046"/>
    <cellStyle name="Normal 1269" xfId="3041"/>
    <cellStyle name="Normal 1269 2" xfId="3042"/>
    <cellStyle name="Normal 1269 2 2" xfId="3043"/>
    <cellStyle name="Normal 1269 2 3" xfId="3044"/>
    <cellStyle name="Normal 1269 2 4" xfId="32047"/>
    <cellStyle name="Normal 1269 3" xfId="3045"/>
    <cellStyle name="Normal 1269 4" xfId="3046"/>
    <cellStyle name="Normal 1269 5" xfId="32048"/>
    <cellStyle name="Normal 1269 6" xfId="32049"/>
    <cellStyle name="Normal 127" xfId="3047"/>
    <cellStyle name="Normal 127 10" xfId="32050"/>
    <cellStyle name="Normal 127 2" xfId="3048"/>
    <cellStyle name="Normal 127 2 2" xfId="3049"/>
    <cellStyle name="Normal 127 2 2 2" xfId="3050"/>
    <cellStyle name="Normal 127 2 2 3" xfId="3051"/>
    <cellStyle name="Normal 127 2 3" xfId="3052"/>
    <cellStyle name="Normal 127 2 3 2" xfId="32051"/>
    <cellStyle name="Normal 127 2 3 3" xfId="32052"/>
    <cellStyle name="Normal 127 2 4" xfId="3053"/>
    <cellStyle name="Normal 127 2 5" xfId="3054"/>
    <cellStyle name="Normal 127 2 6" xfId="32053"/>
    <cellStyle name="Normal 127 2 7" xfId="32054"/>
    <cellStyle name="Normal 127 2 8" xfId="32055"/>
    <cellStyle name="Normal 127 3" xfId="3055"/>
    <cellStyle name="Normal 127 3 2" xfId="3056"/>
    <cellStyle name="Normal 127 3 2 2" xfId="32056"/>
    <cellStyle name="Normal 127 3 2 3" xfId="32057"/>
    <cellStyle name="Normal 127 3 3" xfId="3057"/>
    <cellStyle name="Normal 127 3 3 2" xfId="32058"/>
    <cellStyle name="Normal 127 3 3 3" xfId="32059"/>
    <cellStyle name="Normal 127 3 4" xfId="32060"/>
    <cellStyle name="Normal 127 3 5" xfId="32061"/>
    <cellStyle name="Normal 127 4" xfId="3058"/>
    <cellStyle name="Normal 127 4 2" xfId="32062"/>
    <cellStyle name="Normal 127 4 3" xfId="32063"/>
    <cellStyle name="Normal 127 5" xfId="3059"/>
    <cellStyle name="Normal 127 5 2" xfId="32064"/>
    <cellStyle name="Normal 127 5 3" xfId="32065"/>
    <cellStyle name="Normal 127 6" xfId="3060"/>
    <cellStyle name="Normal 127 7" xfId="32066"/>
    <cellStyle name="Normal 127 8" xfId="32067"/>
    <cellStyle name="Normal 127 9" xfId="32068"/>
    <cellStyle name="Normal 1270" xfId="3061"/>
    <cellStyle name="Normal 1270 2" xfId="3062"/>
    <cellStyle name="Normal 1270 2 2" xfId="3063"/>
    <cellStyle name="Normal 1270 2 3" xfId="3064"/>
    <cellStyle name="Normal 1270 2 4" xfId="32069"/>
    <cellStyle name="Normal 1270 3" xfId="3065"/>
    <cellStyle name="Normal 1270 4" xfId="3066"/>
    <cellStyle name="Normal 1270 5" xfId="32070"/>
    <cellStyle name="Normal 1270 6" xfId="32071"/>
    <cellStyle name="Normal 1271" xfId="3067"/>
    <cellStyle name="Normal 1271 2" xfId="3068"/>
    <cellStyle name="Normal 1271 2 2" xfId="3069"/>
    <cellStyle name="Normal 1271 2 3" xfId="3070"/>
    <cellStyle name="Normal 1271 2 4" xfId="32072"/>
    <cellStyle name="Normal 1271 3" xfId="3071"/>
    <cellStyle name="Normal 1271 4" xfId="3072"/>
    <cellStyle name="Normal 1271 5" xfId="32073"/>
    <cellStyle name="Normal 1271 6" xfId="32074"/>
    <cellStyle name="Normal 1272" xfId="3073"/>
    <cellStyle name="Normal 1272 2" xfId="3074"/>
    <cellStyle name="Normal 1272 2 2" xfId="3075"/>
    <cellStyle name="Normal 1272 2 3" xfId="3076"/>
    <cellStyle name="Normal 1272 2 4" xfId="32075"/>
    <cellStyle name="Normal 1272 3" xfId="3077"/>
    <cellStyle name="Normal 1272 4" xfId="3078"/>
    <cellStyle name="Normal 1272 5" xfId="32076"/>
    <cellStyle name="Normal 1272 6" xfId="32077"/>
    <cellStyle name="Normal 1273" xfId="3079"/>
    <cellStyle name="Normal 1273 2" xfId="3080"/>
    <cellStyle name="Normal 1273 2 2" xfId="3081"/>
    <cellStyle name="Normal 1273 2 3" xfId="3082"/>
    <cellStyle name="Normal 1273 2 4" xfId="32078"/>
    <cellStyle name="Normal 1273 3" xfId="3083"/>
    <cellStyle name="Normal 1273 4" xfId="3084"/>
    <cellStyle name="Normal 1273 5" xfId="32079"/>
    <cellStyle name="Normal 1273 6" xfId="32080"/>
    <cellStyle name="Normal 1274" xfId="3085"/>
    <cellStyle name="Normal 1274 2" xfId="3086"/>
    <cellStyle name="Normal 1274 2 2" xfId="3087"/>
    <cellStyle name="Normal 1274 2 3" xfId="3088"/>
    <cellStyle name="Normal 1274 2 4" xfId="32081"/>
    <cellStyle name="Normal 1274 3" xfId="3089"/>
    <cellStyle name="Normal 1274 4" xfId="3090"/>
    <cellStyle name="Normal 1274 5" xfId="32082"/>
    <cellStyle name="Normal 1274 6" xfId="32083"/>
    <cellStyle name="Normal 1275" xfId="3091"/>
    <cellStyle name="Normal 1275 2" xfId="3092"/>
    <cellStyle name="Normal 1275 2 2" xfId="3093"/>
    <cellStyle name="Normal 1275 2 3" xfId="3094"/>
    <cellStyle name="Normal 1275 2 4" xfId="32084"/>
    <cellStyle name="Normal 1275 3" xfId="3095"/>
    <cellStyle name="Normal 1275 4" xfId="3096"/>
    <cellStyle name="Normal 1275 5" xfId="32085"/>
    <cellStyle name="Normal 1275 6" xfId="32086"/>
    <cellStyle name="Normal 1276" xfId="3097"/>
    <cellStyle name="Normal 1276 2" xfId="3098"/>
    <cellStyle name="Normal 1276 2 2" xfId="3099"/>
    <cellStyle name="Normal 1276 2 3" xfId="3100"/>
    <cellStyle name="Normal 1276 2 4" xfId="32087"/>
    <cellStyle name="Normal 1276 3" xfId="3101"/>
    <cellStyle name="Normal 1276 4" xfId="3102"/>
    <cellStyle name="Normal 1276 5" xfId="32088"/>
    <cellStyle name="Normal 1276 6" xfId="32089"/>
    <cellStyle name="Normal 1277" xfId="3103"/>
    <cellStyle name="Normal 1277 2" xfId="3104"/>
    <cellStyle name="Normal 1277 2 2" xfId="3105"/>
    <cellStyle name="Normal 1277 2 3" xfId="3106"/>
    <cellStyle name="Normal 1277 2 4" xfId="32090"/>
    <cellStyle name="Normal 1277 3" xfId="3107"/>
    <cellStyle name="Normal 1277 4" xfId="3108"/>
    <cellStyle name="Normal 1277 5" xfId="32091"/>
    <cellStyle name="Normal 1277 6" xfId="32092"/>
    <cellStyle name="Normal 1278" xfId="3109"/>
    <cellStyle name="Normal 1278 2" xfId="3110"/>
    <cellStyle name="Normal 1278 2 2" xfId="3111"/>
    <cellStyle name="Normal 1278 2 3" xfId="3112"/>
    <cellStyle name="Normal 1278 2 4" xfId="32093"/>
    <cellStyle name="Normal 1278 3" xfId="3113"/>
    <cellStyle name="Normal 1278 4" xfId="3114"/>
    <cellStyle name="Normal 1278 5" xfId="32094"/>
    <cellStyle name="Normal 1278 6" xfId="32095"/>
    <cellStyle name="Normal 1279" xfId="3115"/>
    <cellStyle name="Normal 1279 2" xfId="3116"/>
    <cellStyle name="Normal 1279 2 2" xfId="3117"/>
    <cellStyle name="Normal 1279 2 3" xfId="3118"/>
    <cellStyle name="Normal 1279 2 4" xfId="32096"/>
    <cellStyle name="Normal 1279 3" xfId="3119"/>
    <cellStyle name="Normal 1279 4" xfId="3120"/>
    <cellStyle name="Normal 1279 5" xfId="32097"/>
    <cellStyle name="Normal 1279 6" xfId="32098"/>
    <cellStyle name="Normal 128" xfId="3121"/>
    <cellStyle name="Normal 128 10" xfId="32099"/>
    <cellStyle name="Normal 128 2" xfId="3122"/>
    <cellStyle name="Normal 128 2 2" xfId="3123"/>
    <cellStyle name="Normal 128 2 2 2" xfId="3124"/>
    <cellStyle name="Normal 128 2 2 3" xfId="3125"/>
    <cellStyle name="Normal 128 2 3" xfId="3126"/>
    <cellStyle name="Normal 128 2 3 2" xfId="32100"/>
    <cellStyle name="Normal 128 2 3 3" xfId="32101"/>
    <cellStyle name="Normal 128 2 4" xfId="3127"/>
    <cellStyle name="Normal 128 2 5" xfId="3128"/>
    <cellStyle name="Normal 128 2 6" xfId="32102"/>
    <cellStyle name="Normal 128 2 7" xfId="32103"/>
    <cellStyle name="Normal 128 2 8" xfId="32104"/>
    <cellStyle name="Normal 128 3" xfId="3129"/>
    <cellStyle name="Normal 128 3 2" xfId="3130"/>
    <cellStyle name="Normal 128 3 2 2" xfId="32105"/>
    <cellStyle name="Normal 128 3 2 3" xfId="32106"/>
    <cellStyle name="Normal 128 3 3" xfId="3131"/>
    <cellStyle name="Normal 128 3 3 2" xfId="32107"/>
    <cellStyle name="Normal 128 3 3 3" xfId="32108"/>
    <cellStyle name="Normal 128 3 4" xfId="32109"/>
    <cellStyle name="Normal 128 3 5" xfId="32110"/>
    <cellStyle name="Normal 128 4" xfId="3132"/>
    <cellStyle name="Normal 128 4 2" xfId="32111"/>
    <cellStyle name="Normal 128 4 3" xfId="32112"/>
    <cellStyle name="Normal 128 5" xfId="3133"/>
    <cellStyle name="Normal 128 5 2" xfId="32113"/>
    <cellStyle name="Normal 128 5 3" xfId="32114"/>
    <cellStyle name="Normal 128 6" xfId="3134"/>
    <cellStyle name="Normal 128 7" xfId="32115"/>
    <cellStyle name="Normal 128 8" xfId="32116"/>
    <cellStyle name="Normal 128 9" xfId="32117"/>
    <cellStyle name="Normal 1280" xfId="3135"/>
    <cellStyle name="Normal 1280 2" xfId="3136"/>
    <cellStyle name="Normal 1280 2 2" xfId="3137"/>
    <cellStyle name="Normal 1280 2 3" xfId="3138"/>
    <cellStyle name="Normal 1280 2 4" xfId="32118"/>
    <cellStyle name="Normal 1280 3" xfId="3139"/>
    <cellStyle name="Normal 1280 4" xfId="3140"/>
    <cellStyle name="Normal 1280 5" xfId="32119"/>
    <cellStyle name="Normal 1280 6" xfId="32120"/>
    <cellStyle name="Normal 1281" xfId="3141"/>
    <cellStyle name="Normal 1281 2" xfId="3142"/>
    <cellStyle name="Normal 1281 2 2" xfId="3143"/>
    <cellStyle name="Normal 1281 2 3" xfId="3144"/>
    <cellStyle name="Normal 1281 2 4" xfId="32121"/>
    <cellStyle name="Normal 1281 3" xfId="3145"/>
    <cellStyle name="Normal 1281 4" xfId="3146"/>
    <cellStyle name="Normal 1281 5" xfId="32122"/>
    <cellStyle name="Normal 1281 6" xfId="32123"/>
    <cellStyle name="Normal 1282" xfId="3147"/>
    <cellStyle name="Normal 1282 2" xfId="3148"/>
    <cellStyle name="Normal 1282 2 2" xfId="3149"/>
    <cellStyle name="Normal 1282 2 3" xfId="3150"/>
    <cellStyle name="Normal 1282 2 4" xfId="32124"/>
    <cellStyle name="Normal 1282 3" xfId="3151"/>
    <cellStyle name="Normal 1282 4" xfId="3152"/>
    <cellStyle name="Normal 1282 5" xfId="32125"/>
    <cellStyle name="Normal 1282 6" xfId="32126"/>
    <cellStyle name="Normal 1283" xfId="3153"/>
    <cellStyle name="Normal 1283 2" xfId="3154"/>
    <cellStyle name="Normal 1283 2 2" xfId="3155"/>
    <cellStyle name="Normal 1283 2 3" xfId="3156"/>
    <cellStyle name="Normal 1283 2 4" xfId="32127"/>
    <cellStyle name="Normal 1283 3" xfId="3157"/>
    <cellStyle name="Normal 1283 4" xfId="3158"/>
    <cellStyle name="Normal 1283 5" xfId="32128"/>
    <cellStyle name="Normal 1283 6" xfId="32129"/>
    <cellStyle name="Normal 1284" xfId="3159"/>
    <cellStyle name="Normal 1284 2" xfId="3160"/>
    <cellStyle name="Normal 1284 2 2" xfId="3161"/>
    <cellStyle name="Normal 1284 2 3" xfId="3162"/>
    <cellStyle name="Normal 1284 2 4" xfId="32130"/>
    <cellStyle name="Normal 1284 3" xfId="3163"/>
    <cellStyle name="Normal 1284 4" xfId="3164"/>
    <cellStyle name="Normal 1284 5" xfId="32131"/>
    <cellStyle name="Normal 1284 6" xfId="32132"/>
    <cellStyle name="Normal 1285" xfId="3165"/>
    <cellStyle name="Normal 1285 2" xfId="3166"/>
    <cellStyle name="Normal 1285 2 2" xfId="3167"/>
    <cellStyle name="Normal 1285 2 3" xfId="3168"/>
    <cellStyle name="Normal 1285 2 4" xfId="32133"/>
    <cellStyle name="Normal 1285 3" xfId="3169"/>
    <cellStyle name="Normal 1285 4" xfId="3170"/>
    <cellStyle name="Normal 1285 5" xfId="32134"/>
    <cellStyle name="Normal 1285 6" xfId="32135"/>
    <cellStyle name="Normal 1286" xfId="3171"/>
    <cellStyle name="Normal 1286 2" xfId="3172"/>
    <cellStyle name="Normal 1286 2 2" xfId="3173"/>
    <cellStyle name="Normal 1286 2 3" xfId="3174"/>
    <cellStyle name="Normal 1286 2 4" xfId="32136"/>
    <cellStyle name="Normal 1286 3" xfId="3175"/>
    <cellStyle name="Normal 1286 4" xfId="3176"/>
    <cellStyle name="Normal 1286 5" xfId="32137"/>
    <cellStyle name="Normal 1286 6" xfId="32138"/>
    <cellStyle name="Normal 1287" xfId="3177"/>
    <cellStyle name="Normal 1287 2" xfId="3178"/>
    <cellStyle name="Normal 1287 2 2" xfId="3179"/>
    <cellStyle name="Normal 1287 2 3" xfId="3180"/>
    <cellStyle name="Normal 1287 2 4" xfId="32139"/>
    <cellStyle name="Normal 1287 3" xfId="3181"/>
    <cellStyle name="Normal 1287 4" xfId="3182"/>
    <cellStyle name="Normal 1287 5" xfId="32140"/>
    <cellStyle name="Normal 1287 6" xfId="32141"/>
    <cellStyle name="Normal 1288" xfId="3183"/>
    <cellStyle name="Normal 1288 2" xfId="3184"/>
    <cellStyle name="Normal 1288 2 2" xfId="3185"/>
    <cellStyle name="Normal 1288 2 3" xfId="3186"/>
    <cellStyle name="Normal 1288 2 4" xfId="32142"/>
    <cellStyle name="Normal 1288 3" xfId="3187"/>
    <cellStyle name="Normal 1288 4" xfId="3188"/>
    <cellStyle name="Normal 1288 5" xfId="32143"/>
    <cellStyle name="Normal 1288 6" xfId="32144"/>
    <cellStyle name="Normal 1289" xfId="3189"/>
    <cellStyle name="Normal 1289 2" xfId="3190"/>
    <cellStyle name="Normal 1289 2 2" xfId="3191"/>
    <cellStyle name="Normal 1289 2 3" xfId="3192"/>
    <cellStyle name="Normal 1289 2 4" xfId="32145"/>
    <cellStyle name="Normal 1289 3" xfId="3193"/>
    <cellStyle name="Normal 1289 4" xfId="3194"/>
    <cellStyle name="Normal 1289 5" xfId="32146"/>
    <cellStyle name="Normal 1289 6" xfId="32147"/>
    <cellStyle name="Normal 129" xfId="3195"/>
    <cellStyle name="Normal 129 10" xfId="32148"/>
    <cellStyle name="Normal 129 2" xfId="3196"/>
    <cellStyle name="Normal 129 2 2" xfId="3197"/>
    <cellStyle name="Normal 129 2 2 2" xfId="3198"/>
    <cellStyle name="Normal 129 2 2 3" xfId="3199"/>
    <cellStyle name="Normal 129 2 3" xfId="3200"/>
    <cellStyle name="Normal 129 2 3 2" xfId="32149"/>
    <cellStyle name="Normal 129 2 3 3" xfId="32150"/>
    <cellStyle name="Normal 129 2 4" xfId="3201"/>
    <cellStyle name="Normal 129 2 5" xfId="3202"/>
    <cellStyle name="Normal 129 2 6" xfId="32151"/>
    <cellStyle name="Normal 129 2 7" xfId="32152"/>
    <cellStyle name="Normal 129 2 8" xfId="32153"/>
    <cellStyle name="Normal 129 3" xfId="3203"/>
    <cellStyle name="Normal 129 3 2" xfId="3204"/>
    <cellStyle name="Normal 129 3 2 2" xfId="32154"/>
    <cellStyle name="Normal 129 3 2 3" xfId="32155"/>
    <cellStyle name="Normal 129 3 3" xfId="3205"/>
    <cellStyle name="Normal 129 3 3 2" xfId="32156"/>
    <cellStyle name="Normal 129 3 3 3" xfId="32157"/>
    <cellStyle name="Normal 129 3 4" xfId="32158"/>
    <cellStyle name="Normal 129 3 5" xfId="32159"/>
    <cellStyle name="Normal 129 4" xfId="3206"/>
    <cellStyle name="Normal 129 4 2" xfId="32160"/>
    <cellStyle name="Normal 129 4 3" xfId="32161"/>
    <cellStyle name="Normal 129 5" xfId="3207"/>
    <cellStyle name="Normal 129 5 2" xfId="32162"/>
    <cellStyle name="Normal 129 5 3" xfId="32163"/>
    <cellStyle name="Normal 129 6" xfId="3208"/>
    <cellStyle name="Normal 129 7" xfId="32164"/>
    <cellStyle name="Normal 129 8" xfId="32165"/>
    <cellStyle name="Normal 129 9" xfId="32166"/>
    <cellStyle name="Normal 1290" xfId="3209"/>
    <cellStyle name="Normal 1290 2" xfId="3210"/>
    <cellStyle name="Normal 1290 2 2" xfId="3211"/>
    <cellStyle name="Normal 1290 2 3" xfId="3212"/>
    <cellStyle name="Normal 1290 2 4" xfId="32167"/>
    <cellStyle name="Normal 1290 3" xfId="3213"/>
    <cellStyle name="Normal 1290 4" xfId="3214"/>
    <cellStyle name="Normal 1290 5" xfId="32168"/>
    <cellStyle name="Normal 1290 6" xfId="32169"/>
    <cellStyle name="Normal 1291" xfId="3215"/>
    <cellStyle name="Normal 1291 2" xfId="3216"/>
    <cellStyle name="Normal 1291 2 2" xfId="3217"/>
    <cellStyle name="Normal 1291 2 3" xfId="3218"/>
    <cellStyle name="Normal 1291 2 4" xfId="32170"/>
    <cellStyle name="Normal 1291 3" xfId="3219"/>
    <cellStyle name="Normal 1291 4" xfId="3220"/>
    <cellStyle name="Normal 1291 5" xfId="32171"/>
    <cellStyle name="Normal 1291 6" xfId="32172"/>
    <cellStyle name="Normal 1292" xfId="3221"/>
    <cellStyle name="Normal 1292 2" xfId="3222"/>
    <cellStyle name="Normal 1292 2 2" xfId="3223"/>
    <cellStyle name="Normal 1292 2 3" xfId="3224"/>
    <cellStyle name="Normal 1292 2 4" xfId="32173"/>
    <cellStyle name="Normal 1292 3" xfId="3225"/>
    <cellStyle name="Normal 1292 4" xfId="3226"/>
    <cellStyle name="Normal 1292 5" xfId="32174"/>
    <cellStyle name="Normal 1292 6" xfId="32175"/>
    <cellStyle name="Normal 1293" xfId="3227"/>
    <cellStyle name="Normal 1293 2" xfId="3228"/>
    <cellStyle name="Normal 1293 2 2" xfId="3229"/>
    <cellStyle name="Normal 1293 2 3" xfId="3230"/>
    <cellStyle name="Normal 1293 2 4" xfId="32176"/>
    <cellStyle name="Normal 1293 3" xfId="3231"/>
    <cellStyle name="Normal 1293 4" xfId="3232"/>
    <cellStyle name="Normal 1293 5" xfId="32177"/>
    <cellStyle name="Normal 1293 6" xfId="32178"/>
    <cellStyle name="Normal 1294" xfId="3233"/>
    <cellStyle name="Normal 1294 2" xfId="3234"/>
    <cellStyle name="Normal 1294 2 2" xfId="3235"/>
    <cellStyle name="Normal 1294 2 3" xfId="3236"/>
    <cellStyle name="Normal 1294 2 4" xfId="32179"/>
    <cellStyle name="Normal 1294 3" xfId="3237"/>
    <cellStyle name="Normal 1294 4" xfId="3238"/>
    <cellStyle name="Normal 1294 5" xfId="32180"/>
    <cellStyle name="Normal 1294 6" xfId="32181"/>
    <cellStyle name="Normal 1295" xfId="3239"/>
    <cellStyle name="Normal 1295 2" xfId="3240"/>
    <cellStyle name="Normal 1295 2 2" xfId="3241"/>
    <cellStyle name="Normal 1295 2 3" xfId="3242"/>
    <cellStyle name="Normal 1295 2 4" xfId="32182"/>
    <cellStyle name="Normal 1295 3" xfId="3243"/>
    <cellStyle name="Normal 1295 4" xfId="3244"/>
    <cellStyle name="Normal 1295 5" xfId="32183"/>
    <cellStyle name="Normal 1295 6" xfId="32184"/>
    <cellStyle name="Normal 1296" xfId="3245"/>
    <cellStyle name="Normal 1296 2" xfId="3246"/>
    <cellStyle name="Normal 1296 2 2" xfId="3247"/>
    <cellStyle name="Normal 1296 2 3" xfId="3248"/>
    <cellStyle name="Normal 1296 2 4" xfId="32185"/>
    <cellStyle name="Normal 1296 3" xfId="3249"/>
    <cellStyle name="Normal 1296 4" xfId="3250"/>
    <cellStyle name="Normal 1296 5" xfId="32186"/>
    <cellStyle name="Normal 1296 6" xfId="32187"/>
    <cellStyle name="Normal 1297" xfId="3251"/>
    <cellStyle name="Normal 1297 2" xfId="3252"/>
    <cellStyle name="Normal 1297 2 2" xfId="3253"/>
    <cellStyle name="Normal 1297 2 3" xfId="3254"/>
    <cellStyle name="Normal 1297 2 4" xfId="32188"/>
    <cellStyle name="Normal 1297 3" xfId="3255"/>
    <cellStyle name="Normal 1297 4" xfId="3256"/>
    <cellStyle name="Normal 1297 5" xfId="32189"/>
    <cellStyle name="Normal 1297 6" xfId="32190"/>
    <cellStyle name="Normal 1298" xfId="3257"/>
    <cellStyle name="Normal 1298 2" xfId="3258"/>
    <cellStyle name="Normal 1298 2 2" xfId="3259"/>
    <cellStyle name="Normal 1298 2 3" xfId="3260"/>
    <cellStyle name="Normal 1298 2 4" xfId="32191"/>
    <cellStyle name="Normal 1298 3" xfId="3261"/>
    <cellStyle name="Normal 1298 4" xfId="3262"/>
    <cellStyle name="Normal 1298 5" xfId="32192"/>
    <cellStyle name="Normal 1298 6" xfId="32193"/>
    <cellStyle name="Normal 1299" xfId="3263"/>
    <cellStyle name="Normal 1299 2" xfId="3264"/>
    <cellStyle name="Normal 1299 2 2" xfId="3265"/>
    <cellStyle name="Normal 1299 2 3" xfId="3266"/>
    <cellStyle name="Normal 1299 2 4" xfId="32194"/>
    <cellStyle name="Normal 1299 3" xfId="3267"/>
    <cellStyle name="Normal 1299 4" xfId="3268"/>
    <cellStyle name="Normal 1299 5" xfId="32195"/>
    <cellStyle name="Normal 1299 6" xfId="32196"/>
    <cellStyle name="Normal 13" xfId="3269"/>
    <cellStyle name="Normal 13 10" xfId="3270"/>
    <cellStyle name="Normal 13 11" xfId="3271"/>
    <cellStyle name="Normal 13 12" xfId="3272"/>
    <cellStyle name="Normal 13 13" xfId="3273"/>
    <cellStyle name="Normal 13 14" xfId="3274"/>
    <cellStyle name="Normal 13 15" xfId="3275"/>
    <cellStyle name="Normal 13 16" xfId="3276"/>
    <cellStyle name="Normal 13 17" xfId="3277"/>
    <cellStyle name="Normal 13 18" xfId="3278"/>
    <cellStyle name="Normal 13 19" xfId="3279"/>
    <cellStyle name="Normal 13 2" xfId="3280"/>
    <cellStyle name="Normal 13 2 2" xfId="3281"/>
    <cellStyle name="Normal 13 2 2 2" xfId="3282"/>
    <cellStyle name="Normal 13 2 2 3" xfId="3283"/>
    <cellStyle name="Normal 13 2 3" xfId="3284"/>
    <cellStyle name="Normal 13 2 3 2" xfId="32197"/>
    <cellStyle name="Normal 13 2 3 3" xfId="32198"/>
    <cellStyle name="Normal 13 2 4" xfId="3285"/>
    <cellStyle name="Normal 13 2 5" xfId="32199"/>
    <cellStyle name="Normal 13 2 6" xfId="32200"/>
    <cellStyle name="Normal 13 2 7" xfId="32201"/>
    <cellStyle name="Normal 13 2 8" xfId="32202"/>
    <cellStyle name="Normal 13 3" xfId="3286"/>
    <cellStyle name="Normal 13 3 2" xfId="3287"/>
    <cellStyle name="Normal 13 3 2 2" xfId="32203"/>
    <cellStyle name="Normal 13 3 2 3" xfId="32204"/>
    <cellStyle name="Normal 13 3 3" xfId="3288"/>
    <cellStyle name="Normal 13 3 3 2" xfId="32205"/>
    <cellStyle name="Normal 13 3 3 3" xfId="32206"/>
    <cellStyle name="Normal 13 3 4" xfId="3289"/>
    <cellStyle name="Normal 13 3 5" xfId="32207"/>
    <cellStyle name="Normal 13 4" xfId="3290"/>
    <cellStyle name="Normal 13 4 2" xfId="32208"/>
    <cellStyle name="Normal 13 4 3" xfId="32209"/>
    <cellStyle name="Normal 13 5" xfId="3291"/>
    <cellStyle name="Normal 13 5 2" xfId="32210"/>
    <cellStyle name="Normal 13 5 3" xfId="32211"/>
    <cellStyle name="Normal 13 6" xfId="3292"/>
    <cellStyle name="Normal 13 7" xfId="3293"/>
    <cellStyle name="Normal 13 8" xfId="3294"/>
    <cellStyle name="Normal 13 9" xfId="3295"/>
    <cellStyle name="Normal 130" xfId="3296"/>
    <cellStyle name="Normal 130 10" xfId="32212"/>
    <cellStyle name="Normal 130 2" xfId="3297"/>
    <cellStyle name="Normal 130 2 2" xfId="3298"/>
    <cellStyle name="Normal 130 2 2 2" xfId="3299"/>
    <cellStyle name="Normal 130 2 2 3" xfId="3300"/>
    <cellStyle name="Normal 130 2 3" xfId="3301"/>
    <cellStyle name="Normal 130 2 3 2" xfId="32213"/>
    <cellStyle name="Normal 130 2 3 3" xfId="32214"/>
    <cellStyle name="Normal 130 2 4" xfId="3302"/>
    <cellStyle name="Normal 130 2 5" xfId="3303"/>
    <cellStyle name="Normal 130 2 6" xfId="32215"/>
    <cellStyle name="Normal 130 2 7" xfId="32216"/>
    <cellStyle name="Normal 130 2 8" xfId="32217"/>
    <cellStyle name="Normal 130 3" xfId="3304"/>
    <cellStyle name="Normal 130 3 2" xfId="3305"/>
    <cellStyle name="Normal 130 3 2 2" xfId="32218"/>
    <cellStyle name="Normal 130 3 2 3" xfId="32219"/>
    <cellStyle name="Normal 130 3 3" xfId="3306"/>
    <cellStyle name="Normal 130 3 3 2" xfId="32220"/>
    <cellStyle name="Normal 130 3 3 3" xfId="32221"/>
    <cellStyle name="Normal 130 3 4" xfId="32222"/>
    <cellStyle name="Normal 130 3 5" xfId="32223"/>
    <cellStyle name="Normal 130 4" xfId="3307"/>
    <cellStyle name="Normal 130 4 2" xfId="32224"/>
    <cellStyle name="Normal 130 4 3" xfId="32225"/>
    <cellStyle name="Normal 130 5" xfId="3308"/>
    <cellStyle name="Normal 130 5 2" xfId="32226"/>
    <cellStyle name="Normal 130 5 3" xfId="32227"/>
    <cellStyle name="Normal 130 6" xfId="3309"/>
    <cellStyle name="Normal 130 7" xfId="32228"/>
    <cellStyle name="Normal 130 8" xfId="32229"/>
    <cellStyle name="Normal 130 9" xfId="32230"/>
    <cellStyle name="Normal 1300" xfId="3310"/>
    <cellStyle name="Normal 1300 2" xfId="3311"/>
    <cellStyle name="Normal 1300 2 2" xfId="3312"/>
    <cellStyle name="Normal 1300 2 3" xfId="3313"/>
    <cellStyle name="Normal 1300 2 4" xfId="32231"/>
    <cellStyle name="Normal 1300 3" xfId="3314"/>
    <cellStyle name="Normal 1300 4" xfId="3315"/>
    <cellStyle name="Normal 1300 5" xfId="32232"/>
    <cellStyle name="Normal 1300 6" xfId="32233"/>
    <cellStyle name="Normal 1301" xfId="3316"/>
    <cellStyle name="Normal 1301 2" xfId="3317"/>
    <cellStyle name="Normal 1301 2 2" xfId="3318"/>
    <cellStyle name="Normal 1301 2 3" xfId="3319"/>
    <cellStyle name="Normal 1301 2 4" xfId="32234"/>
    <cellStyle name="Normal 1301 3" xfId="3320"/>
    <cellStyle name="Normal 1301 4" xfId="3321"/>
    <cellStyle name="Normal 1301 5" xfId="32235"/>
    <cellStyle name="Normal 1301 6" xfId="32236"/>
    <cellStyle name="Normal 1302" xfId="3322"/>
    <cellStyle name="Normal 1302 2" xfId="3323"/>
    <cellStyle name="Normal 1302 2 2" xfId="3324"/>
    <cellStyle name="Normal 1302 2 3" xfId="3325"/>
    <cellStyle name="Normal 1302 2 4" xfId="32237"/>
    <cellStyle name="Normal 1302 3" xfId="3326"/>
    <cellStyle name="Normal 1302 4" xfId="3327"/>
    <cellStyle name="Normal 1302 5" xfId="32238"/>
    <cellStyle name="Normal 1302 6" xfId="32239"/>
    <cellStyle name="Normal 1303" xfId="3328"/>
    <cellStyle name="Normal 1303 2" xfId="3329"/>
    <cellStyle name="Normal 1303 2 2" xfId="3330"/>
    <cellStyle name="Normal 1303 2 3" xfId="3331"/>
    <cellStyle name="Normal 1303 2 4" xfId="32240"/>
    <cellStyle name="Normal 1303 3" xfId="3332"/>
    <cellStyle name="Normal 1303 4" xfId="3333"/>
    <cellStyle name="Normal 1303 5" xfId="32241"/>
    <cellStyle name="Normal 1303 6" xfId="32242"/>
    <cellStyle name="Normal 1304" xfId="3334"/>
    <cellStyle name="Normal 1304 2" xfId="3335"/>
    <cellStyle name="Normal 1304 2 2" xfId="3336"/>
    <cellStyle name="Normal 1304 2 3" xfId="3337"/>
    <cellStyle name="Normal 1304 2 4" xfId="32243"/>
    <cellStyle name="Normal 1304 3" xfId="3338"/>
    <cellStyle name="Normal 1304 4" xfId="3339"/>
    <cellStyle name="Normal 1304 5" xfId="32244"/>
    <cellStyle name="Normal 1304 6" xfId="32245"/>
    <cellStyle name="Normal 1305" xfId="3340"/>
    <cellStyle name="Normal 1305 2" xfId="3341"/>
    <cellStyle name="Normal 1305 2 2" xfId="3342"/>
    <cellStyle name="Normal 1305 2 3" xfId="3343"/>
    <cellStyle name="Normal 1305 2 4" xfId="32246"/>
    <cellStyle name="Normal 1305 3" xfId="3344"/>
    <cellStyle name="Normal 1305 4" xfId="3345"/>
    <cellStyle name="Normal 1305 5" xfId="32247"/>
    <cellStyle name="Normal 1305 6" xfId="32248"/>
    <cellStyle name="Normal 1306" xfId="3346"/>
    <cellStyle name="Normal 1306 2" xfId="3347"/>
    <cellStyle name="Normal 1306 2 2" xfId="3348"/>
    <cellStyle name="Normal 1306 2 3" xfId="3349"/>
    <cellStyle name="Normal 1306 2 4" xfId="32249"/>
    <cellStyle name="Normal 1306 3" xfId="3350"/>
    <cellStyle name="Normal 1306 4" xfId="3351"/>
    <cellStyle name="Normal 1306 5" xfId="32250"/>
    <cellStyle name="Normal 1306 6" xfId="32251"/>
    <cellStyle name="Normal 1307" xfId="3352"/>
    <cellStyle name="Normal 1307 2" xfId="3353"/>
    <cellStyle name="Normal 1307 2 2" xfId="3354"/>
    <cellStyle name="Normal 1307 2 3" xfId="3355"/>
    <cellStyle name="Normal 1307 2 4" xfId="32252"/>
    <cellStyle name="Normal 1307 3" xfId="3356"/>
    <cellStyle name="Normal 1307 4" xfId="3357"/>
    <cellStyle name="Normal 1307 5" xfId="32253"/>
    <cellStyle name="Normal 1307 6" xfId="32254"/>
    <cellStyle name="Normal 1308" xfId="3358"/>
    <cellStyle name="Normal 1308 2" xfId="3359"/>
    <cellStyle name="Normal 1308 2 2" xfId="3360"/>
    <cellStyle name="Normal 1308 2 3" xfId="3361"/>
    <cellStyle name="Normal 1308 2 4" xfId="32255"/>
    <cellStyle name="Normal 1308 3" xfId="3362"/>
    <cellStyle name="Normal 1308 4" xfId="3363"/>
    <cellStyle name="Normal 1308 5" xfId="32256"/>
    <cellStyle name="Normal 1308 6" xfId="32257"/>
    <cellStyle name="Normal 1309" xfId="3364"/>
    <cellStyle name="Normal 1309 2" xfId="3365"/>
    <cellStyle name="Normal 1309 2 2" xfId="3366"/>
    <cellStyle name="Normal 1309 2 3" xfId="3367"/>
    <cellStyle name="Normal 1309 2 4" xfId="32258"/>
    <cellStyle name="Normal 1309 3" xfId="3368"/>
    <cellStyle name="Normal 1309 4" xfId="3369"/>
    <cellStyle name="Normal 1309 5" xfId="32259"/>
    <cellStyle name="Normal 1309 6" xfId="32260"/>
    <cellStyle name="Normal 131" xfId="3370"/>
    <cellStyle name="Normal 131 10" xfId="32261"/>
    <cellStyle name="Normal 131 2" xfId="3371"/>
    <cellStyle name="Normal 131 2 2" xfId="3372"/>
    <cellStyle name="Normal 131 2 2 2" xfId="3373"/>
    <cellStyle name="Normal 131 2 2 3" xfId="3374"/>
    <cellStyle name="Normal 131 2 3" xfId="3375"/>
    <cellStyle name="Normal 131 2 3 2" xfId="32262"/>
    <cellStyle name="Normal 131 2 3 3" xfId="32263"/>
    <cellStyle name="Normal 131 2 4" xfId="3376"/>
    <cellStyle name="Normal 131 2 5" xfId="3377"/>
    <cellStyle name="Normal 131 2 6" xfId="32264"/>
    <cellStyle name="Normal 131 2 7" xfId="32265"/>
    <cellStyle name="Normal 131 2 8" xfId="32266"/>
    <cellStyle name="Normal 131 3" xfId="3378"/>
    <cellStyle name="Normal 131 3 2" xfId="3379"/>
    <cellStyle name="Normal 131 3 2 2" xfId="32267"/>
    <cellStyle name="Normal 131 3 2 3" xfId="32268"/>
    <cellStyle name="Normal 131 3 3" xfId="3380"/>
    <cellStyle name="Normal 131 3 3 2" xfId="32269"/>
    <cellStyle name="Normal 131 3 3 3" xfId="32270"/>
    <cellStyle name="Normal 131 3 4" xfId="32271"/>
    <cellStyle name="Normal 131 3 5" xfId="32272"/>
    <cellStyle name="Normal 131 4" xfId="3381"/>
    <cellStyle name="Normal 131 4 2" xfId="32273"/>
    <cellStyle name="Normal 131 4 3" xfId="32274"/>
    <cellStyle name="Normal 131 5" xfId="3382"/>
    <cellStyle name="Normal 131 5 2" xfId="32275"/>
    <cellStyle name="Normal 131 5 3" xfId="32276"/>
    <cellStyle name="Normal 131 6" xfId="3383"/>
    <cellStyle name="Normal 131 7" xfId="32277"/>
    <cellStyle name="Normal 131 8" xfId="32278"/>
    <cellStyle name="Normal 131 9" xfId="32279"/>
    <cellStyle name="Normal 1310" xfId="3384"/>
    <cellStyle name="Normal 1310 2" xfId="3385"/>
    <cellStyle name="Normal 1310 2 2" xfId="3386"/>
    <cellStyle name="Normal 1310 2 3" xfId="3387"/>
    <cellStyle name="Normal 1310 2 4" xfId="32280"/>
    <cellStyle name="Normal 1310 3" xfId="3388"/>
    <cellStyle name="Normal 1310 4" xfId="3389"/>
    <cellStyle name="Normal 1310 5" xfId="32281"/>
    <cellStyle name="Normal 1310 6" xfId="32282"/>
    <cellStyle name="Normal 1311" xfId="3390"/>
    <cellStyle name="Normal 1311 2" xfId="3391"/>
    <cellStyle name="Normal 1311 2 2" xfId="3392"/>
    <cellStyle name="Normal 1311 2 3" xfId="3393"/>
    <cellStyle name="Normal 1311 2 4" xfId="32283"/>
    <cellStyle name="Normal 1311 3" xfId="3394"/>
    <cellStyle name="Normal 1311 4" xfId="3395"/>
    <cellStyle name="Normal 1311 5" xfId="32284"/>
    <cellStyle name="Normal 1311 6" xfId="32285"/>
    <cellStyle name="Normal 1312" xfId="3396"/>
    <cellStyle name="Normal 1312 2" xfId="3397"/>
    <cellStyle name="Normal 1312 2 2" xfId="3398"/>
    <cellStyle name="Normal 1312 2 3" xfId="3399"/>
    <cellStyle name="Normal 1312 2 4" xfId="32286"/>
    <cellStyle name="Normal 1312 3" xfId="3400"/>
    <cellStyle name="Normal 1312 4" xfId="3401"/>
    <cellStyle name="Normal 1312 5" xfId="32287"/>
    <cellStyle name="Normal 1312 6" xfId="32288"/>
    <cellStyle name="Normal 1313" xfId="3402"/>
    <cellStyle name="Normal 1313 2" xfId="3403"/>
    <cellStyle name="Normal 1313 2 2" xfId="3404"/>
    <cellStyle name="Normal 1313 2 3" xfId="3405"/>
    <cellStyle name="Normal 1313 2 4" xfId="32289"/>
    <cellStyle name="Normal 1313 3" xfId="3406"/>
    <cellStyle name="Normal 1313 4" xfId="3407"/>
    <cellStyle name="Normal 1313 5" xfId="32290"/>
    <cellStyle name="Normal 1313 6" xfId="32291"/>
    <cellStyle name="Normal 1314" xfId="3408"/>
    <cellStyle name="Normal 1314 2" xfId="3409"/>
    <cellStyle name="Normal 1314 2 2" xfId="3410"/>
    <cellStyle name="Normal 1314 2 3" xfId="3411"/>
    <cellStyle name="Normal 1314 2 4" xfId="32292"/>
    <cellStyle name="Normal 1314 3" xfId="3412"/>
    <cellStyle name="Normal 1314 4" xfId="3413"/>
    <cellStyle name="Normal 1314 5" xfId="32293"/>
    <cellStyle name="Normal 1314 6" xfId="32294"/>
    <cellStyle name="Normal 1315" xfId="3414"/>
    <cellStyle name="Normal 1315 2" xfId="3415"/>
    <cellStyle name="Normal 1315 2 2" xfId="3416"/>
    <cellStyle name="Normal 1315 2 3" xfId="3417"/>
    <cellStyle name="Normal 1315 2 4" xfId="32295"/>
    <cellStyle name="Normal 1315 3" xfId="3418"/>
    <cellStyle name="Normal 1315 4" xfId="3419"/>
    <cellStyle name="Normal 1315 5" xfId="32296"/>
    <cellStyle name="Normal 1315 6" xfId="32297"/>
    <cellStyle name="Normal 1316" xfId="3420"/>
    <cellStyle name="Normal 1316 2" xfId="3421"/>
    <cellStyle name="Normal 1316 2 2" xfId="3422"/>
    <cellStyle name="Normal 1316 2 3" xfId="3423"/>
    <cellStyle name="Normal 1316 2 4" xfId="32298"/>
    <cellStyle name="Normal 1316 3" xfId="3424"/>
    <cellStyle name="Normal 1316 4" xfId="3425"/>
    <cellStyle name="Normal 1316 5" xfId="32299"/>
    <cellStyle name="Normal 1316 6" xfId="32300"/>
    <cellStyle name="Normal 1317" xfId="3426"/>
    <cellStyle name="Normal 1317 2" xfId="3427"/>
    <cellStyle name="Normal 1317 2 2" xfId="3428"/>
    <cellStyle name="Normal 1317 2 3" xfId="3429"/>
    <cellStyle name="Normal 1317 2 4" xfId="32301"/>
    <cellStyle name="Normal 1317 3" xfId="3430"/>
    <cellStyle name="Normal 1317 4" xfId="3431"/>
    <cellStyle name="Normal 1317 5" xfId="32302"/>
    <cellStyle name="Normal 1317 6" xfId="32303"/>
    <cellStyle name="Normal 1318" xfId="3432"/>
    <cellStyle name="Normal 1318 2" xfId="3433"/>
    <cellStyle name="Normal 1318 2 2" xfId="3434"/>
    <cellStyle name="Normal 1318 2 3" xfId="3435"/>
    <cellStyle name="Normal 1318 2 4" xfId="32304"/>
    <cellStyle name="Normal 1318 3" xfId="3436"/>
    <cellStyle name="Normal 1318 4" xfId="3437"/>
    <cellStyle name="Normal 1318 5" xfId="32305"/>
    <cellStyle name="Normal 1318 6" xfId="32306"/>
    <cellStyle name="Normal 1319" xfId="3438"/>
    <cellStyle name="Normal 1319 2" xfId="3439"/>
    <cellStyle name="Normal 1319 2 2" xfId="3440"/>
    <cellStyle name="Normal 1319 2 3" xfId="3441"/>
    <cellStyle name="Normal 1319 2 4" xfId="32307"/>
    <cellStyle name="Normal 1319 3" xfId="3442"/>
    <cellStyle name="Normal 1319 4" xfId="3443"/>
    <cellStyle name="Normal 1319 5" xfId="32308"/>
    <cellStyle name="Normal 1319 6" xfId="32309"/>
    <cellStyle name="Normal 132" xfId="3444"/>
    <cellStyle name="Normal 132 10" xfId="32310"/>
    <cellStyle name="Normal 132 2" xfId="3445"/>
    <cellStyle name="Normal 132 2 2" xfId="3446"/>
    <cellStyle name="Normal 132 2 2 2" xfId="3447"/>
    <cellStyle name="Normal 132 2 2 3" xfId="3448"/>
    <cellStyle name="Normal 132 2 3" xfId="3449"/>
    <cellStyle name="Normal 132 2 3 2" xfId="32311"/>
    <cellStyle name="Normal 132 2 3 3" xfId="32312"/>
    <cellStyle name="Normal 132 2 4" xfId="3450"/>
    <cellStyle name="Normal 132 2 5" xfId="3451"/>
    <cellStyle name="Normal 132 2 6" xfId="32313"/>
    <cellStyle name="Normal 132 2 7" xfId="32314"/>
    <cellStyle name="Normal 132 2 8" xfId="32315"/>
    <cellStyle name="Normal 132 3" xfId="3452"/>
    <cellStyle name="Normal 132 3 2" xfId="3453"/>
    <cellStyle name="Normal 132 3 2 2" xfId="32316"/>
    <cellStyle name="Normal 132 3 2 3" xfId="32317"/>
    <cellStyle name="Normal 132 3 3" xfId="3454"/>
    <cellStyle name="Normal 132 3 3 2" xfId="32318"/>
    <cellStyle name="Normal 132 3 3 3" xfId="32319"/>
    <cellStyle name="Normal 132 3 4" xfId="32320"/>
    <cellStyle name="Normal 132 3 5" xfId="32321"/>
    <cellStyle name="Normal 132 4" xfId="3455"/>
    <cellStyle name="Normal 132 4 2" xfId="32322"/>
    <cellStyle name="Normal 132 4 3" xfId="32323"/>
    <cellStyle name="Normal 132 5" xfId="3456"/>
    <cellStyle name="Normal 132 5 2" xfId="32324"/>
    <cellStyle name="Normal 132 5 3" xfId="32325"/>
    <cellStyle name="Normal 132 6" xfId="3457"/>
    <cellStyle name="Normal 132 7" xfId="32326"/>
    <cellStyle name="Normal 132 8" xfId="32327"/>
    <cellStyle name="Normal 132 9" xfId="32328"/>
    <cellStyle name="Normal 1320" xfId="3458"/>
    <cellStyle name="Normal 1320 2" xfId="3459"/>
    <cellStyle name="Normal 1320 2 2" xfId="3460"/>
    <cellStyle name="Normal 1320 2 3" xfId="3461"/>
    <cellStyle name="Normal 1320 2 4" xfId="32329"/>
    <cellStyle name="Normal 1320 3" xfId="3462"/>
    <cellStyle name="Normal 1320 4" xfId="3463"/>
    <cellStyle name="Normal 1320 5" xfId="32330"/>
    <cellStyle name="Normal 1320 6" xfId="32331"/>
    <cellStyle name="Normal 1321" xfId="3464"/>
    <cellStyle name="Normal 1321 2" xfId="3465"/>
    <cellStyle name="Normal 1321 2 2" xfId="3466"/>
    <cellStyle name="Normal 1321 2 3" xfId="3467"/>
    <cellStyle name="Normal 1321 2 4" xfId="32332"/>
    <cellStyle name="Normal 1321 3" xfId="3468"/>
    <cellStyle name="Normal 1321 4" xfId="3469"/>
    <cellStyle name="Normal 1321 5" xfId="32333"/>
    <cellStyle name="Normal 1321 6" xfId="32334"/>
    <cellStyle name="Normal 1322" xfId="3470"/>
    <cellStyle name="Normal 1322 2" xfId="3471"/>
    <cellStyle name="Normal 1322 2 2" xfId="3472"/>
    <cellStyle name="Normal 1322 2 3" xfId="3473"/>
    <cellStyle name="Normal 1322 2 4" xfId="32335"/>
    <cellStyle name="Normal 1322 3" xfId="3474"/>
    <cellStyle name="Normal 1322 4" xfId="3475"/>
    <cellStyle name="Normal 1322 5" xfId="32336"/>
    <cellStyle name="Normal 1322 6" xfId="32337"/>
    <cellStyle name="Normal 1323" xfId="3476"/>
    <cellStyle name="Normal 1323 2" xfId="3477"/>
    <cellStyle name="Normal 1323 2 2" xfId="3478"/>
    <cellStyle name="Normal 1323 2 3" xfId="3479"/>
    <cellStyle name="Normal 1323 2 4" xfId="32338"/>
    <cellStyle name="Normal 1323 3" xfId="3480"/>
    <cellStyle name="Normal 1323 4" xfId="3481"/>
    <cellStyle name="Normal 1323 5" xfId="32339"/>
    <cellStyle name="Normal 1323 6" xfId="32340"/>
    <cellStyle name="Normal 1324" xfId="3482"/>
    <cellStyle name="Normal 1324 2" xfId="3483"/>
    <cellStyle name="Normal 1324 2 2" xfId="3484"/>
    <cellStyle name="Normal 1324 2 3" xfId="3485"/>
    <cellStyle name="Normal 1324 2 4" xfId="32341"/>
    <cellStyle name="Normal 1324 3" xfId="3486"/>
    <cellStyle name="Normal 1324 4" xfId="3487"/>
    <cellStyle name="Normal 1324 5" xfId="32342"/>
    <cellStyle name="Normal 1324 6" xfId="32343"/>
    <cellStyle name="Normal 1325" xfId="3488"/>
    <cellStyle name="Normal 1325 2" xfId="3489"/>
    <cellStyle name="Normal 1325 2 2" xfId="3490"/>
    <cellStyle name="Normal 1325 2 3" xfId="3491"/>
    <cellStyle name="Normal 1325 2 4" xfId="32344"/>
    <cellStyle name="Normal 1325 3" xfId="3492"/>
    <cellStyle name="Normal 1325 4" xfId="3493"/>
    <cellStyle name="Normal 1325 5" xfId="32345"/>
    <cellStyle name="Normal 1325 6" xfId="32346"/>
    <cellStyle name="Normal 1326" xfId="3494"/>
    <cellStyle name="Normal 1326 2" xfId="3495"/>
    <cellStyle name="Normal 1326 2 2" xfId="3496"/>
    <cellStyle name="Normal 1326 2 3" xfId="3497"/>
    <cellStyle name="Normal 1326 2 4" xfId="32347"/>
    <cellStyle name="Normal 1326 3" xfId="3498"/>
    <cellStyle name="Normal 1326 4" xfId="3499"/>
    <cellStyle name="Normal 1326 5" xfId="32348"/>
    <cellStyle name="Normal 1326 6" xfId="32349"/>
    <cellStyle name="Normal 1327" xfId="3500"/>
    <cellStyle name="Normal 1327 2" xfId="3501"/>
    <cellStyle name="Normal 1327 2 2" xfId="3502"/>
    <cellStyle name="Normal 1327 2 3" xfId="3503"/>
    <cellStyle name="Normal 1327 2 4" xfId="32350"/>
    <cellStyle name="Normal 1327 3" xfId="3504"/>
    <cellStyle name="Normal 1327 4" xfId="3505"/>
    <cellStyle name="Normal 1327 5" xfId="32351"/>
    <cellStyle name="Normal 1327 6" xfId="32352"/>
    <cellStyle name="Normal 1328" xfId="3506"/>
    <cellStyle name="Normal 1328 2" xfId="3507"/>
    <cellStyle name="Normal 1328 2 2" xfId="3508"/>
    <cellStyle name="Normal 1328 2 3" xfId="3509"/>
    <cellStyle name="Normal 1328 2 4" xfId="32353"/>
    <cellStyle name="Normal 1328 3" xfId="3510"/>
    <cellStyle name="Normal 1328 4" xfId="3511"/>
    <cellStyle name="Normal 1328 5" xfId="32354"/>
    <cellStyle name="Normal 1328 6" xfId="32355"/>
    <cellStyle name="Normal 1329" xfId="3512"/>
    <cellStyle name="Normal 1329 2" xfId="3513"/>
    <cellStyle name="Normal 1329 2 2" xfId="3514"/>
    <cellStyle name="Normal 1329 2 3" xfId="3515"/>
    <cellStyle name="Normal 1329 2 4" xfId="32356"/>
    <cellStyle name="Normal 1329 3" xfId="3516"/>
    <cellStyle name="Normal 1329 4" xfId="3517"/>
    <cellStyle name="Normal 1329 5" xfId="32357"/>
    <cellStyle name="Normal 1329 6" xfId="32358"/>
    <cellStyle name="Normal 133" xfId="3518"/>
    <cellStyle name="Normal 133 10" xfId="32359"/>
    <cellStyle name="Normal 133 2" xfId="3519"/>
    <cellStyle name="Normal 133 2 2" xfId="3520"/>
    <cellStyle name="Normal 133 2 2 2" xfId="3521"/>
    <cellStyle name="Normal 133 2 2 3" xfId="3522"/>
    <cellStyle name="Normal 133 2 3" xfId="3523"/>
    <cellStyle name="Normal 133 2 3 2" xfId="32360"/>
    <cellStyle name="Normal 133 2 3 3" xfId="32361"/>
    <cellStyle name="Normal 133 2 4" xfId="3524"/>
    <cellStyle name="Normal 133 2 5" xfId="3525"/>
    <cellStyle name="Normal 133 2 6" xfId="32362"/>
    <cellStyle name="Normal 133 2 7" xfId="32363"/>
    <cellStyle name="Normal 133 2 8" xfId="32364"/>
    <cellStyle name="Normal 133 3" xfId="3526"/>
    <cellStyle name="Normal 133 3 2" xfId="3527"/>
    <cellStyle name="Normal 133 3 2 2" xfId="32365"/>
    <cellStyle name="Normal 133 3 2 3" xfId="32366"/>
    <cellStyle name="Normal 133 3 3" xfId="3528"/>
    <cellStyle name="Normal 133 3 3 2" xfId="32367"/>
    <cellStyle name="Normal 133 3 3 3" xfId="32368"/>
    <cellStyle name="Normal 133 3 4" xfId="32369"/>
    <cellStyle name="Normal 133 3 5" xfId="32370"/>
    <cellStyle name="Normal 133 4" xfId="3529"/>
    <cellStyle name="Normal 133 4 2" xfId="32371"/>
    <cellStyle name="Normal 133 4 3" xfId="32372"/>
    <cellStyle name="Normal 133 5" xfId="3530"/>
    <cellStyle name="Normal 133 5 2" xfId="32373"/>
    <cellStyle name="Normal 133 5 3" xfId="32374"/>
    <cellStyle name="Normal 133 6" xfId="3531"/>
    <cellStyle name="Normal 133 7" xfId="32375"/>
    <cellStyle name="Normal 133 8" xfId="32376"/>
    <cellStyle name="Normal 133 9" xfId="32377"/>
    <cellStyle name="Normal 1330" xfId="3532"/>
    <cellStyle name="Normal 1330 2" xfId="3533"/>
    <cellStyle name="Normal 1330 2 2" xfId="3534"/>
    <cellStyle name="Normal 1330 2 3" xfId="3535"/>
    <cellStyle name="Normal 1330 2 4" xfId="32378"/>
    <cellStyle name="Normal 1330 3" xfId="3536"/>
    <cellStyle name="Normal 1330 4" xfId="3537"/>
    <cellStyle name="Normal 1330 5" xfId="32379"/>
    <cellStyle name="Normal 1330 6" xfId="32380"/>
    <cellStyle name="Normal 1331" xfId="3538"/>
    <cellStyle name="Normal 1331 2" xfId="3539"/>
    <cellStyle name="Normal 1331 2 2" xfId="3540"/>
    <cellStyle name="Normal 1331 2 3" xfId="3541"/>
    <cellStyle name="Normal 1331 2 4" xfId="32381"/>
    <cellStyle name="Normal 1331 3" xfId="3542"/>
    <cellStyle name="Normal 1331 4" xfId="3543"/>
    <cellStyle name="Normal 1331 5" xfId="32382"/>
    <cellStyle name="Normal 1331 6" xfId="32383"/>
    <cellStyle name="Normal 1332" xfId="3544"/>
    <cellStyle name="Normal 1332 2" xfId="3545"/>
    <cellStyle name="Normal 1332 2 2" xfId="3546"/>
    <cellStyle name="Normal 1332 2 3" xfId="3547"/>
    <cellStyle name="Normal 1332 2 4" xfId="32384"/>
    <cellStyle name="Normal 1332 3" xfId="3548"/>
    <cellStyle name="Normal 1332 4" xfId="3549"/>
    <cellStyle name="Normal 1332 5" xfId="32385"/>
    <cellStyle name="Normal 1332 6" xfId="32386"/>
    <cellStyle name="Normal 1333" xfId="3550"/>
    <cellStyle name="Normal 1333 2" xfId="3551"/>
    <cellStyle name="Normal 1333 2 2" xfId="3552"/>
    <cellStyle name="Normal 1333 2 3" xfId="3553"/>
    <cellStyle name="Normal 1333 2 4" xfId="32387"/>
    <cellStyle name="Normal 1333 3" xfId="3554"/>
    <cellStyle name="Normal 1333 4" xfId="3555"/>
    <cellStyle name="Normal 1333 5" xfId="32388"/>
    <cellStyle name="Normal 1333 6" xfId="32389"/>
    <cellStyle name="Normal 1334" xfId="3556"/>
    <cellStyle name="Normal 1334 2" xfId="3557"/>
    <cellStyle name="Normal 1334 2 2" xfId="3558"/>
    <cellStyle name="Normal 1334 2 3" xfId="3559"/>
    <cellStyle name="Normal 1334 2 4" xfId="32390"/>
    <cellStyle name="Normal 1334 3" xfId="3560"/>
    <cellStyle name="Normal 1334 4" xfId="3561"/>
    <cellStyle name="Normal 1334 5" xfId="32391"/>
    <cellStyle name="Normal 1334 6" xfId="32392"/>
    <cellStyle name="Normal 1335" xfId="3562"/>
    <cellStyle name="Normal 1335 2" xfId="3563"/>
    <cellStyle name="Normal 1335 2 2" xfId="3564"/>
    <cellStyle name="Normal 1335 2 3" xfId="3565"/>
    <cellStyle name="Normal 1335 2 4" xfId="32393"/>
    <cellStyle name="Normal 1335 3" xfId="3566"/>
    <cellStyle name="Normal 1335 4" xfId="3567"/>
    <cellStyle name="Normal 1335 5" xfId="32394"/>
    <cellStyle name="Normal 1335 6" xfId="32395"/>
    <cellStyle name="Normal 1336" xfId="3568"/>
    <cellStyle name="Normal 1336 2" xfId="3569"/>
    <cellStyle name="Normal 1336 2 2" xfId="3570"/>
    <cellStyle name="Normal 1336 2 3" xfId="3571"/>
    <cellStyle name="Normal 1336 2 4" xfId="32396"/>
    <cellStyle name="Normal 1336 3" xfId="3572"/>
    <cellStyle name="Normal 1336 4" xfId="3573"/>
    <cellStyle name="Normal 1336 5" xfId="32397"/>
    <cellStyle name="Normal 1336 6" xfId="32398"/>
    <cellStyle name="Normal 1337" xfId="3574"/>
    <cellStyle name="Normal 1337 2" xfId="3575"/>
    <cellStyle name="Normal 1337 2 2" xfId="3576"/>
    <cellStyle name="Normal 1337 2 3" xfId="3577"/>
    <cellStyle name="Normal 1337 2 4" xfId="32399"/>
    <cellStyle name="Normal 1337 3" xfId="3578"/>
    <cellStyle name="Normal 1337 4" xfId="3579"/>
    <cellStyle name="Normal 1337 5" xfId="32400"/>
    <cellStyle name="Normal 1337 6" xfId="32401"/>
    <cellStyle name="Normal 1338" xfId="3580"/>
    <cellStyle name="Normal 1338 2" xfId="3581"/>
    <cellStyle name="Normal 1338 2 2" xfId="3582"/>
    <cellStyle name="Normal 1338 2 3" xfId="3583"/>
    <cellStyle name="Normal 1338 2 4" xfId="32402"/>
    <cellStyle name="Normal 1338 3" xfId="3584"/>
    <cellStyle name="Normal 1338 4" xfId="3585"/>
    <cellStyle name="Normal 1338 5" xfId="32403"/>
    <cellStyle name="Normal 1338 6" xfId="32404"/>
    <cellStyle name="Normal 1339" xfId="3586"/>
    <cellStyle name="Normal 1339 2" xfId="3587"/>
    <cellStyle name="Normal 1339 2 2" xfId="3588"/>
    <cellStyle name="Normal 1339 2 3" xfId="3589"/>
    <cellStyle name="Normal 1339 2 4" xfId="32405"/>
    <cellStyle name="Normal 1339 3" xfId="3590"/>
    <cellStyle name="Normal 1339 4" xfId="3591"/>
    <cellStyle name="Normal 1339 5" xfId="32406"/>
    <cellStyle name="Normal 1339 6" xfId="32407"/>
    <cellStyle name="Normal 134" xfId="3592"/>
    <cellStyle name="Normal 134 10" xfId="32408"/>
    <cellStyle name="Normal 134 2" xfId="3593"/>
    <cellStyle name="Normal 134 2 2" xfId="3594"/>
    <cellStyle name="Normal 134 2 2 2" xfId="3595"/>
    <cellStyle name="Normal 134 2 2 3" xfId="3596"/>
    <cellStyle name="Normal 134 2 3" xfId="3597"/>
    <cellStyle name="Normal 134 2 3 2" xfId="32409"/>
    <cellStyle name="Normal 134 2 3 3" xfId="32410"/>
    <cellStyle name="Normal 134 2 4" xfId="3598"/>
    <cellStyle name="Normal 134 2 5" xfId="3599"/>
    <cellStyle name="Normal 134 2 6" xfId="32411"/>
    <cellStyle name="Normal 134 2 7" xfId="32412"/>
    <cellStyle name="Normal 134 2 8" xfId="32413"/>
    <cellStyle name="Normal 134 3" xfId="3600"/>
    <cellStyle name="Normal 134 3 2" xfId="3601"/>
    <cellStyle name="Normal 134 3 2 2" xfId="32414"/>
    <cellStyle name="Normal 134 3 2 3" xfId="32415"/>
    <cellStyle name="Normal 134 3 3" xfId="3602"/>
    <cellStyle name="Normal 134 3 3 2" xfId="32416"/>
    <cellStyle name="Normal 134 3 3 3" xfId="32417"/>
    <cellStyle name="Normal 134 3 4" xfId="32418"/>
    <cellStyle name="Normal 134 3 5" xfId="32419"/>
    <cellStyle name="Normal 134 4" xfId="3603"/>
    <cellStyle name="Normal 134 4 2" xfId="32420"/>
    <cellStyle name="Normal 134 4 3" xfId="32421"/>
    <cellStyle name="Normal 134 5" xfId="3604"/>
    <cellStyle name="Normal 134 5 2" xfId="32422"/>
    <cellStyle name="Normal 134 5 3" xfId="32423"/>
    <cellStyle name="Normal 134 6" xfId="3605"/>
    <cellStyle name="Normal 134 7" xfId="32424"/>
    <cellStyle name="Normal 134 8" xfId="32425"/>
    <cellStyle name="Normal 134 9" xfId="32426"/>
    <cellStyle name="Normal 1340" xfId="3606"/>
    <cellStyle name="Normal 1340 2" xfId="3607"/>
    <cellStyle name="Normal 1340 2 2" xfId="3608"/>
    <cellStyle name="Normal 1340 2 3" xfId="3609"/>
    <cellStyle name="Normal 1340 2 4" xfId="32427"/>
    <cellStyle name="Normal 1340 3" xfId="3610"/>
    <cellStyle name="Normal 1340 4" xfId="3611"/>
    <cellStyle name="Normal 1340 5" xfId="32428"/>
    <cellStyle name="Normal 1340 6" xfId="32429"/>
    <cellStyle name="Normal 1341" xfId="3612"/>
    <cellStyle name="Normal 1341 2" xfId="3613"/>
    <cellStyle name="Normal 1341 2 2" xfId="3614"/>
    <cellStyle name="Normal 1341 2 3" xfId="3615"/>
    <cellStyle name="Normal 1341 2 4" xfId="32430"/>
    <cellStyle name="Normal 1341 3" xfId="3616"/>
    <cellStyle name="Normal 1341 4" xfId="3617"/>
    <cellStyle name="Normal 1341 5" xfId="32431"/>
    <cellStyle name="Normal 1341 6" xfId="32432"/>
    <cellStyle name="Normal 1342" xfId="3618"/>
    <cellStyle name="Normal 1342 2" xfId="3619"/>
    <cellStyle name="Normal 1342 2 2" xfId="3620"/>
    <cellStyle name="Normal 1342 2 3" xfId="3621"/>
    <cellStyle name="Normal 1342 2 4" xfId="32433"/>
    <cellStyle name="Normal 1342 3" xfId="3622"/>
    <cellStyle name="Normal 1342 4" xfId="3623"/>
    <cellStyle name="Normal 1342 5" xfId="32434"/>
    <cellStyle name="Normal 1342 6" xfId="32435"/>
    <cellStyle name="Normal 1343" xfId="3624"/>
    <cellStyle name="Normal 1343 2" xfId="3625"/>
    <cellStyle name="Normal 1343 2 2" xfId="3626"/>
    <cellStyle name="Normal 1343 2 3" xfId="3627"/>
    <cellStyle name="Normal 1343 2 4" xfId="32436"/>
    <cellStyle name="Normal 1343 3" xfId="3628"/>
    <cellStyle name="Normal 1343 4" xfId="3629"/>
    <cellStyle name="Normal 1343 5" xfId="32437"/>
    <cellStyle name="Normal 1343 6" xfId="32438"/>
    <cellStyle name="Normal 1344" xfId="3630"/>
    <cellStyle name="Normal 1344 2" xfId="3631"/>
    <cellStyle name="Normal 1344 2 2" xfId="3632"/>
    <cellStyle name="Normal 1344 2 3" xfId="3633"/>
    <cellStyle name="Normal 1344 2 4" xfId="32439"/>
    <cellStyle name="Normal 1344 3" xfId="3634"/>
    <cellStyle name="Normal 1344 4" xfId="3635"/>
    <cellStyle name="Normal 1344 5" xfId="32440"/>
    <cellStyle name="Normal 1344 6" xfId="32441"/>
    <cellStyle name="Normal 1345" xfId="3636"/>
    <cellStyle name="Normal 1345 2" xfId="3637"/>
    <cellStyle name="Normal 1345 2 2" xfId="3638"/>
    <cellStyle name="Normal 1345 2 3" xfId="3639"/>
    <cellStyle name="Normal 1345 2 4" xfId="32442"/>
    <cellStyle name="Normal 1345 3" xfId="3640"/>
    <cellStyle name="Normal 1345 4" xfId="3641"/>
    <cellStyle name="Normal 1345 5" xfId="32443"/>
    <cellStyle name="Normal 1345 6" xfId="32444"/>
    <cellStyle name="Normal 1346" xfId="3642"/>
    <cellStyle name="Normal 1346 2" xfId="3643"/>
    <cellStyle name="Normal 1346 2 2" xfId="3644"/>
    <cellStyle name="Normal 1346 2 3" xfId="3645"/>
    <cellStyle name="Normal 1346 2 4" xfId="32445"/>
    <cellStyle name="Normal 1346 3" xfId="3646"/>
    <cellStyle name="Normal 1346 4" xfId="3647"/>
    <cellStyle name="Normal 1346 5" xfId="32446"/>
    <cellStyle name="Normal 1346 6" xfId="32447"/>
    <cellStyle name="Normal 1347" xfId="3648"/>
    <cellStyle name="Normal 1347 2" xfId="3649"/>
    <cellStyle name="Normal 1347 2 2" xfId="3650"/>
    <cellStyle name="Normal 1347 2 3" xfId="3651"/>
    <cellStyle name="Normal 1347 2 4" xfId="32448"/>
    <cellStyle name="Normal 1347 3" xfId="3652"/>
    <cellStyle name="Normal 1347 4" xfId="3653"/>
    <cellStyle name="Normal 1347 5" xfId="32449"/>
    <cellStyle name="Normal 1347 6" xfId="32450"/>
    <cellStyle name="Normal 1348" xfId="3654"/>
    <cellStyle name="Normal 1348 2" xfId="3655"/>
    <cellStyle name="Normal 1348 2 2" xfId="3656"/>
    <cellStyle name="Normal 1348 2 3" xfId="3657"/>
    <cellStyle name="Normal 1348 2 4" xfId="32451"/>
    <cellStyle name="Normal 1348 3" xfId="3658"/>
    <cellStyle name="Normal 1348 4" xfId="3659"/>
    <cellStyle name="Normal 1348 5" xfId="32452"/>
    <cellStyle name="Normal 1348 6" xfId="32453"/>
    <cellStyle name="Normal 1349" xfId="3660"/>
    <cellStyle name="Normal 1349 2" xfId="3661"/>
    <cellStyle name="Normal 1349 2 2" xfId="3662"/>
    <cellStyle name="Normal 1349 2 3" xfId="3663"/>
    <cellStyle name="Normal 1349 2 4" xfId="32454"/>
    <cellStyle name="Normal 1349 3" xfId="3664"/>
    <cellStyle name="Normal 1349 4" xfId="3665"/>
    <cellStyle name="Normal 1349 5" xfId="32455"/>
    <cellStyle name="Normal 1349 6" xfId="32456"/>
    <cellStyle name="Normal 135" xfId="3666"/>
    <cellStyle name="Normal 135 10" xfId="32457"/>
    <cellStyle name="Normal 135 2" xfId="3667"/>
    <cellStyle name="Normal 135 2 2" xfId="3668"/>
    <cellStyle name="Normal 135 2 2 2" xfId="3669"/>
    <cellStyle name="Normal 135 2 2 3" xfId="3670"/>
    <cellStyle name="Normal 135 2 3" xfId="3671"/>
    <cellStyle name="Normal 135 2 3 2" xfId="32458"/>
    <cellStyle name="Normal 135 2 3 3" xfId="32459"/>
    <cellStyle name="Normal 135 2 4" xfId="3672"/>
    <cellStyle name="Normal 135 2 5" xfId="3673"/>
    <cellStyle name="Normal 135 2 6" xfId="32460"/>
    <cellStyle name="Normal 135 2 7" xfId="32461"/>
    <cellStyle name="Normal 135 2 8" xfId="32462"/>
    <cellStyle name="Normal 135 3" xfId="3674"/>
    <cellStyle name="Normal 135 3 2" xfId="3675"/>
    <cellStyle name="Normal 135 3 2 2" xfId="32463"/>
    <cellStyle name="Normal 135 3 2 3" xfId="32464"/>
    <cellStyle name="Normal 135 3 3" xfId="3676"/>
    <cellStyle name="Normal 135 3 3 2" xfId="32465"/>
    <cellStyle name="Normal 135 3 3 3" xfId="32466"/>
    <cellStyle name="Normal 135 3 4" xfId="32467"/>
    <cellStyle name="Normal 135 3 5" xfId="32468"/>
    <cellStyle name="Normal 135 4" xfId="3677"/>
    <cellStyle name="Normal 135 4 2" xfId="32469"/>
    <cellStyle name="Normal 135 4 3" xfId="32470"/>
    <cellStyle name="Normal 135 5" xfId="3678"/>
    <cellStyle name="Normal 135 5 2" xfId="32471"/>
    <cellStyle name="Normal 135 5 3" xfId="32472"/>
    <cellStyle name="Normal 135 6" xfId="3679"/>
    <cellStyle name="Normal 135 7" xfId="32473"/>
    <cellStyle name="Normal 135 8" xfId="32474"/>
    <cellStyle name="Normal 135 9" xfId="32475"/>
    <cellStyle name="Normal 1350" xfId="3680"/>
    <cellStyle name="Normal 1350 2" xfId="3681"/>
    <cellStyle name="Normal 1350 2 2" xfId="3682"/>
    <cellStyle name="Normal 1350 2 3" xfId="3683"/>
    <cellStyle name="Normal 1350 2 4" xfId="32476"/>
    <cellStyle name="Normal 1350 3" xfId="3684"/>
    <cellStyle name="Normal 1350 4" xfId="3685"/>
    <cellStyle name="Normal 1350 5" xfId="32477"/>
    <cellStyle name="Normal 1350 6" xfId="32478"/>
    <cellStyle name="Normal 1351" xfId="3686"/>
    <cellStyle name="Normal 1351 2" xfId="3687"/>
    <cellStyle name="Normal 1351 2 2" xfId="3688"/>
    <cellStyle name="Normal 1351 2 3" xfId="3689"/>
    <cellStyle name="Normal 1351 2 4" xfId="32479"/>
    <cellStyle name="Normal 1351 3" xfId="3690"/>
    <cellStyle name="Normal 1351 4" xfId="3691"/>
    <cellStyle name="Normal 1351 5" xfId="32480"/>
    <cellStyle name="Normal 1351 6" xfId="32481"/>
    <cellStyle name="Normal 1352" xfId="3692"/>
    <cellStyle name="Normal 1352 2" xfId="3693"/>
    <cellStyle name="Normal 1352 2 2" xfId="3694"/>
    <cellStyle name="Normal 1352 2 3" xfId="3695"/>
    <cellStyle name="Normal 1352 2 4" xfId="32482"/>
    <cellStyle name="Normal 1352 3" xfId="3696"/>
    <cellStyle name="Normal 1352 4" xfId="3697"/>
    <cellStyle name="Normal 1352 5" xfId="32483"/>
    <cellStyle name="Normal 1352 6" xfId="32484"/>
    <cellStyle name="Normal 1353" xfId="3698"/>
    <cellStyle name="Normal 1353 2" xfId="3699"/>
    <cellStyle name="Normal 1353 2 2" xfId="3700"/>
    <cellStyle name="Normal 1353 2 3" xfId="3701"/>
    <cellStyle name="Normal 1353 2 4" xfId="32485"/>
    <cellStyle name="Normal 1353 3" xfId="3702"/>
    <cellStyle name="Normal 1353 4" xfId="3703"/>
    <cellStyle name="Normal 1353 5" xfId="32486"/>
    <cellStyle name="Normal 1353 6" xfId="32487"/>
    <cellStyle name="Normal 1354" xfId="3704"/>
    <cellStyle name="Normal 1354 2" xfId="3705"/>
    <cellStyle name="Normal 1354 2 2" xfId="3706"/>
    <cellStyle name="Normal 1354 2 3" xfId="3707"/>
    <cellStyle name="Normal 1354 2 4" xfId="32488"/>
    <cellStyle name="Normal 1354 3" xfId="3708"/>
    <cellStyle name="Normal 1354 4" xfId="3709"/>
    <cellStyle name="Normal 1354 5" xfId="32489"/>
    <cellStyle name="Normal 1354 6" xfId="32490"/>
    <cellStyle name="Normal 1355" xfId="3710"/>
    <cellStyle name="Normal 1355 2" xfId="3711"/>
    <cellStyle name="Normal 1355 2 2" xfId="3712"/>
    <cellStyle name="Normal 1355 2 3" xfId="3713"/>
    <cellStyle name="Normal 1355 2 4" xfId="32491"/>
    <cellStyle name="Normal 1355 3" xfId="3714"/>
    <cellStyle name="Normal 1355 4" xfId="3715"/>
    <cellStyle name="Normal 1355 5" xfId="32492"/>
    <cellStyle name="Normal 1355 6" xfId="32493"/>
    <cellStyle name="Normal 1356" xfId="3716"/>
    <cellStyle name="Normal 1356 2" xfId="3717"/>
    <cellStyle name="Normal 1356 2 2" xfId="3718"/>
    <cellStyle name="Normal 1356 2 3" xfId="3719"/>
    <cellStyle name="Normal 1356 2 4" xfId="32494"/>
    <cellStyle name="Normal 1356 3" xfId="3720"/>
    <cellStyle name="Normal 1356 4" xfId="3721"/>
    <cellStyle name="Normal 1356 5" xfId="32495"/>
    <cellStyle name="Normal 1356 6" xfId="32496"/>
    <cellStyle name="Normal 1357" xfId="3722"/>
    <cellStyle name="Normal 1357 2" xfId="3723"/>
    <cellStyle name="Normal 1357 2 2" xfId="3724"/>
    <cellStyle name="Normal 1357 2 3" xfId="3725"/>
    <cellStyle name="Normal 1357 2 4" xfId="32497"/>
    <cellStyle name="Normal 1357 3" xfId="3726"/>
    <cellStyle name="Normal 1357 4" xfId="3727"/>
    <cellStyle name="Normal 1357 5" xfId="32498"/>
    <cellStyle name="Normal 1357 6" xfId="32499"/>
    <cellStyle name="Normal 1358" xfId="3728"/>
    <cellStyle name="Normal 1358 2" xfId="3729"/>
    <cellStyle name="Normal 1358 2 2" xfId="3730"/>
    <cellStyle name="Normal 1358 2 3" xfId="3731"/>
    <cellStyle name="Normal 1358 2 4" xfId="32500"/>
    <cellStyle name="Normal 1358 3" xfId="3732"/>
    <cellStyle name="Normal 1358 4" xfId="3733"/>
    <cellStyle name="Normal 1358 5" xfId="32501"/>
    <cellStyle name="Normal 1358 6" xfId="32502"/>
    <cellStyle name="Normal 1359" xfId="3734"/>
    <cellStyle name="Normal 1359 2" xfId="3735"/>
    <cellStyle name="Normal 1359 2 2" xfId="3736"/>
    <cellStyle name="Normal 1359 2 3" xfId="3737"/>
    <cellStyle name="Normal 1359 2 4" xfId="32503"/>
    <cellStyle name="Normal 1359 3" xfId="3738"/>
    <cellStyle name="Normal 1359 4" xfId="3739"/>
    <cellStyle name="Normal 1359 5" xfId="32504"/>
    <cellStyle name="Normal 1359 6" xfId="32505"/>
    <cellStyle name="Normal 136" xfId="3740"/>
    <cellStyle name="Normal 136 10" xfId="32506"/>
    <cellStyle name="Normal 136 2" xfId="3741"/>
    <cellStyle name="Normal 136 2 2" xfId="3742"/>
    <cellStyle name="Normal 136 2 2 2" xfId="3743"/>
    <cellStyle name="Normal 136 2 2 3" xfId="3744"/>
    <cellStyle name="Normal 136 2 3" xfId="3745"/>
    <cellStyle name="Normal 136 2 3 2" xfId="32507"/>
    <cellStyle name="Normal 136 2 3 3" xfId="32508"/>
    <cellStyle name="Normal 136 2 4" xfId="3746"/>
    <cellStyle name="Normal 136 2 5" xfId="3747"/>
    <cellStyle name="Normal 136 2 6" xfId="32509"/>
    <cellStyle name="Normal 136 2 7" xfId="32510"/>
    <cellStyle name="Normal 136 2 8" xfId="32511"/>
    <cellStyle name="Normal 136 3" xfId="3748"/>
    <cellStyle name="Normal 136 3 2" xfId="3749"/>
    <cellStyle name="Normal 136 3 2 2" xfId="32512"/>
    <cellStyle name="Normal 136 3 2 3" xfId="32513"/>
    <cellStyle name="Normal 136 3 3" xfId="3750"/>
    <cellStyle name="Normal 136 3 3 2" xfId="32514"/>
    <cellStyle name="Normal 136 3 3 3" xfId="32515"/>
    <cellStyle name="Normal 136 3 4" xfId="32516"/>
    <cellStyle name="Normal 136 3 5" xfId="32517"/>
    <cellStyle name="Normal 136 4" xfId="3751"/>
    <cellStyle name="Normal 136 4 2" xfId="32518"/>
    <cellStyle name="Normal 136 4 3" xfId="32519"/>
    <cellStyle name="Normal 136 5" xfId="3752"/>
    <cellStyle name="Normal 136 5 2" xfId="32520"/>
    <cellStyle name="Normal 136 5 3" xfId="32521"/>
    <cellStyle name="Normal 136 6" xfId="3753"/>
    <cellStyle name="Normal 136 7" xfId="32522"/>
    <cellStyle name="Normal 136 8" xfId="32523"/>
    <cellStyle name="Normal 136 9" xfId="32524"/>
    <cellStyle name="Normal 1360" xfId="3754"/>
    <cellStyle name="Normal 1360 2" xfId="3755"/>
    <cellStyle name="Normal 1360 2 2" xfId="3756"/>
    <cellStyle name="Normal 1360 2 3" xfId="3757"/>
    <cellStyle name="Normal 1360 2 4" xfId="32525"/>
    <cellStyle name="Normal 1360 3" xfId="3758"/>
    <cellStyle name="Normal 1360 4" xfId="3759"/>
    <cellStyle name="Normal 1360 5" xfId="32526"/>
    <cellStyle name="Normal 1360 6" xfId="32527"/>
    <cellStyle name="Normal 1361" xfId="3760"/>
    <cellStyle name="Normal 1361 2" xfId="3761"/>
    <cellStyle name="Normal 1361 2 2" xfId="3762"/>
    <cellStyle name="Normal 1361 2 3" xfId="3763"/>
    <cellStyle name="Normal 1361 2 4" xfId="32528"/>
    <cellStyle name="Normal 1361 3" xfId="3764"/>
    <cellStyle name="Normal 1361 4" xfId="3765"/>
    <cellStyle name="Normal 1361 5" xfId="32529"/>
    <cellStyle name="Normal 1361 6" xfId="32530"/>
    <cellStyle name="Normal 1362" xfId="3766"/>
    <cellStyle name="Normal 1362 2" xfId="3767"/>
    <cellStyle name="Normal 1362 2 2" xfId="3768"/>
    <cellStyle name="Normal 1362 2 3" xfId="3769"/>
    <cellStyle name="Normal 1362 2 4" xfId="32531"/>
    <cellStyle name="Normal 1362 3" xfId="3770"/>
    <cellStyle name="Normal 1362 4" xfId="3771"/>
    <cellStyle name="Normal 1362 5" xfId="32532"/>
    <cellStyle name="Normal 1362 6" xfId="32533"/>
    <cellStyle name="Normal 1363" xfId="3772"/>
    <cellStyle name="Normal 1363 2" xfId="3773"/>
    <cellStyle name="Normal 1363 2 2" xfId="3774"/>
    <cellStyle name="Normal 1363 2 3" xfId="3775"/>
    <cellStyle name="Normal 1363 2 4" xfId="32534"/>
    <cellStyle name="Normal 1363 3" xfId="3776"/>
    <cellStyle name="Normal 1363 4" xfId="3777"/>
    <cellStyle name="Normal 1363 5" xfId="32535"/>
    <cellStyle name="Normal 1363 6" xfId="32536"/>
    <cellStyle name="Normal 1364" xfId="3778"/>
    <cellStyle name="Normal 1364 2" xfId="3779"/>
    <cellStyle name="Normal 1364 2 2" xfId="3780"/>
    <cellStyle name="Normal 1364 2 3" xfId="3781"/>
    <cellStyle name="Normal 1364 2 4" xfId="32537"/>
    <cellStyle name="Normal 1364 3" xfId="3782"/>
    <cellStyle name="Normal 1364 4" xfId="3783"/>
    <cellStyle name="Normal 1364 5" xfId="32538"/>
    <cellStyle name="Normal 1364 6" xfId="32539"/>
    <cellStyle name="Normal 1365" xfId="3784"/>
    <cellStyle name="Normal 1365 2" xfId="3785"/>
    <cellStyle name="Normal 1365 2 2" xfId="3786"/>
    <cellStyle name="Normal 1365 2 3" xfId="3787"/>
    <cellStyle name="Normal 1365 2 4" xfId="32540"/>
    <cellStyle name="Normal 1365 3" xfId="3788"/>
    <cellStyle name="Normal 1365 4" xfId="3789"/>
    <cellStyle name="Normal 1365 5" xfId="32541"/>
    <cellStyle name="Normal 1365 6" xfId="32542"/>
    <cellStyle name="Normal 1366" xfId="3790"/>
    <cellStyle name="Normal 1366 2" xfId="3791"/>
    <cellStyle name="Normal 1366 2 2" xfId="3792"/>
    <cellStyle name="Normal 1366 2 3" xfId="3793"/>
    <cellStyle name="Normal 1366 2 4" xfId="32543"/>
    <cellStyle name="Normal 1366 3" xfId="3794"/>
    <cellStyle name="Normal 1366 4" xfId="3795"/>
    <cellStyle name="Normal 1366 5" xfId="32544"/>
    <cellStyle name="Normal 1366 6" xfId="32545"/>
    <cellStyle name="Normal 1367" xfId="3796"/>
    <cellStyle name="Normal 1367 2" xfId="3797"/>
    <cellStyle name="Normal 1367 2 2" xfId="3798"/>
    <cellStyle name="Normal 1367 2 3" xfId="3799"/>
    <cellStyle name="Normal 1367 2 4" xfId="32546"/>
    <cellStyle name="Normal 1367 3" xfId="3800"/>
    <cellStyle name="Normal 1367 4" xfId="3801"/>
    <cellStyle name="Normal 1367 5" xfId="32547"/>
    <cellStyle name="Normal 1367 6" xfId="32548"/>
    <cellStyle name="Normal 1368" xfId="3802"/>
    <cellStyle name="Normal 1368 2" xfId="3803"/>
    <cellStyle name="Normal 1368 2 2" xfId="3804"/>
    <cellStyle name="Normal 1368 2 3" xfId="3805"/>
    <cellStyle name="Normal 1368 2 4" xfId="32549"/>
    <cellStyle name="Normal 1368 3" xfId="3806"/>
    <cellStyle name="Normal 1368 4" xfId="3807"/>
    <cellStyle name="Normal 1368 5" xfId="32550"/>
    <cellStyle name="Normal 1368 6" xfId="32551"/>
    <cellStyle name="Normal 1369" xfId="3808"/>
    <cellStyle name="Normal 1369 2" xfId="3809"/>
    <cellStyle name="Normal 1369 2 2" xfId="3810"/>
    <cellStyle name="Normal 1369 2 3" xfId="3811"/>
    <cellStyle name="Normal 1369 2 4" xfId="32552"/>
    <cellStyle name="Normal 1369 3" xfId="3812"/>
    <cellStyle name="Normal 1369 4" xfId="3813"/>
    <cellStyle name="Normal 1369 5" xfId="32553"/>
    <cellStyle name="Normal 1369 6" xfId="32554"/>
    <cellStyle name="Normal 137" xfId="3814"/>
    <cellStyle name="Normal 137 10" xfId="32555"/>
    <cellStyle name="Normal 137 2" xfId="3815"/>
    <cellStyle name="Normal 137 2 2" xfId="3816"/>
    <cellStyle name="Normal 137 2 2 2" xfId="3817"/>
    <cellStyle name="Normal 137 2 2 3" xfId="3818"/>
    <cellStyle name="Normal 137 2 3" xfId="3819"/>
    <cellStyle name="Normal 137 2 3 2" xfId="32556"/>
    <cellStyle name="Normal 137 2 3 3" xfId="32557"/>
    <cellStyle name="Normal 137 2 4" xfId="3820"/>
    <cellStyle name="Normal 137 2 5" xfId="3821"/>
    <cellStyle name="Normal 137 2 6" xfId="32558"/>
    <cellStyle name="Normal 137 2 7" xfId="32559"/>
    <cellStyle name="Normal 137 2 8" xfId="32560"/>
    <cellStyle name="Normal 137 3" xfId="3822"/>
    <cellStyle name="Normal 137 3 2" xfId="3823"/>
    <cellStyle name="Normal 137 3 2 2" xfId="32561"/>
    <cellStyle name="Normal 137 3 2 3" xfId="32562"/>
    <cellStyle name="Normal 137 3 3" xfId="3824"/>
    <cellStyle name="Normal 137 3 3 2" xfId="32563"/>
    <cellStyle name="Normal 137 3 3 3" xfId="32564"/>
    <cellStyle name="Normal 137 3 4" xfId="32565"/>
    <cellStyle name="Normal 137 3 5" xfId="32566"/>
    <cellStyle name="Normal 137 4" xfId="3825"/>
    <cellStyle name="Normal 137 4 2" xfId="32567"/>
    <cellStyle name="Normal 137 4 3" xfId="32568"/>
    <cellStyle name="Normal 137 5" xfId="3826"/>
    <cellStyle name="Normal 137 5 2" xfId="32569"/>
    <cellStyle name="Normal 137 5 3" xfId="32570"/>
    <cellStyle name="Normal 137 6" xfId="3827"/>
    <cellStyle name="Normal 137 7" xfId="32571"/>
    <cellStyle name="Normal 137 8" xfId="32572"/>
    <cellStyle name="Normal 137 9" xfId="32573"/>
    <cellStyle name="Normal 1370" xfId="3828"/>
    <cellStyle name="Normal 1370 2" xfId="3829"/>
    <cellStyle name="Normal 1370 2 2" xfId="3830"/>
    <cellStyle name="Normal 1370 2 3" xfId="3831"/>
    <cellStyle name="Normal 1370 2 4" xfId="32574"/>
    <cellStyle name="Normal 1370 3" xfId="3832"/>
    <cellStyle name="Normal 1370 4" xfId="3833"/>
    <cellStyle name="Normal 1370 5" xfId="32575"/>
    <cellStyle name="Normal 1370 6" xfId="32576"/>
    <cellStyle name="Normal 1371" xfId="3834"/>
    <cellStyle name="Normal 1371 2" xfId="3835"/>
    <cellStyle name="Normal 1371 2 2" xfId="3836"/>
    <cellStyle name="Normal 1371 2 3" xfId="3837"/>
    <cellStyle name="Normal 1371 2 4" xfId="32577"/>
    <cellStyle name="Normal 1371 3" xfId="3838"/>
    <cellStyle name="Normal 1371 4" xfId="3839"/>
    <cellStyle name="Normal 1371 5" xfId="32578"/>
    <cellStyle name="Normal 1371 6" xfId="32579"/>
    <cellStyle name="Normal 1372" xfId="3840"/>
    <cellStyle name="Normal 1372 2" xfId="3841"/>
    <cellStyle name="Normal 1372 2 2" xfId="3842"/>
    <cellStyle name="Normal 1372 2 3" xfId="3843"/>
    <cellStyle name="Normal 1372 2 4" xfId="32580"/>
    <cellStyle name="Normal 1372 3" xfId="3844"/>
    <cellStyle name="Normal 1372 4" xfId="3845"/>
    <cellStyle name="Normal 1372 5" xfId="32581"/>
    <cellStyle name="Normal 1372 6" xfId="32582"/>
    <cellStyle name="Normal 1373" xfId="3846"/>
    <cellStyle name="Normal 1373 2" xfId="3847"/>
    <cellStyle name="Normal 1373 2 2" xfId="3848"/>
    <cellStyle name="Normal 1373 2 3" xfId="3849"/>
    <cellStyle name="Normal 1373 2 4" xfId="32583"/>
    <cellStyle name="Normal 1373 3" xfId="3850"/>
    <cellStyle name="Normal 1373 4" xfId="3851"/>
    <cellStyle name="Normal 1373 5" xfId="32584"/>
    <cellStyle name="Normal 1373 6" xfId="32585"/>
    <cellStyle name="Normal 1374" xfId="3852"/>
    <cellStyle name="Normal 1374 2" xfId="3853"/>
    <cellStyle name="Normal 1374 2 2" xfId="3854"/>
    <cellStyle name="Normal 1374 2 3" xfId="3855"/>
    <cellStyle name="Normal 1374 2 4" xfId="32586"/>
    <cellStyle name="Normal 1374 3" xfId="3856"/>
    <cellStyle name="Normal 1374 4" xfId="3857"/>
    <cellStyle name="Normal 1374 5" xfId="32587"/>
    <cellStyle name="Normal 1374 6" xfId="32588"/>
    <cellStyle name="Normal 1375" xfId="3858"/>
    <cellStyle name="Normal 1375 2" xfId="3859"/>
    <cellStyle name="Normal 1375 2 2" xfId="3860"/>
    <cellStyle name="Normal 1375 2 3" xfId="3861"/>
    <cellStyle name="Normal 1375 2 4" xfId="32589"/>
    <cellStyle name="Normal 1375 3" xfId="3862"/>
    <cellStyle name="Normal 1375 4" xfId="3863"/>
    <cellStyle name="Normal 1375 5" xfId="32590"/>
    <cellStyle name="Normal 1375 6" xfId="32591"/>
    <cellStyle name="Normal 1376" xfId="3864"/>
    <cellStyle name="Normal 1376 2" xfId="3865"/>
    <cellStyle name="Normal 1376 2 2" xfId="3866"/>
    <cellStyle name="Normal 1376 2 3" xfId="3867"/>
    <cellStyle name="Normal 1376 2 4" xfId="32592"/>
    <cellStyle name="Normal 1376 3" xfId="3868"/>
    <cellStyle name="Normal 1376 4" xfId="3869"/>
    <cellStyle name="Normal 1376 5" xfId="32593"/>
    <cellStyle name="Normal 1376 6" xfId="32594"/>
    <cellStyle name="Normal 1377" xfId="3870"/>
    <cellStyle name="Normal 1377 2" xfId="3871"/>
    <cellStyle name="Normal 1377 2 2" xfId="3872"/>
    <cellStyle name="Normal 1377 2 3" xfId="3873"/>
    <cellStyle name="Normal 1377 2 4" xfId="32595"/>
    <cellStyle name="Normal 1377 3" xfId="3874"/>
    <cellStyle name="Normal 1377 4" xfId="3875"/>
    <cellStyle name="Normal 1377 5" xfId="32596"/>
    <cellStyle name="Normal 1377 6" xfId="32597"/>
    <cellStyle name="Normal 1378" xfId="3876"/>
    <cellStyle name="Normal 1378 2" xfId="3877"/>
    <cellStyle name="Normal 1378 2 2" xfId="3878"/>
    <cellStyle name="Normal 1378 2 3" xfId="3879"/>
    <cellStyle name="Normal 1378 2 4" xfId="32598"/>
    <cellStyle name="Normal 1378 3" xfId="3880"/>
    <cellStyle name="Normal 1378 4" xfId="3881"/>
    <cellStyle name="Normal 1378 5" xfId="32599"/>
    <cellStyle name="Normal 1378 6" xfId="32600"/>
    <cellStyle name="Normal 1379" xfId="3882"/>
    <cellStyle name="Normal 1379 2" xfId="3883"/>
    <cellStyle name="Normal 1379 2 2" xfId="3884"/>
    <cellStyle name="Normal 1379 2 3" xfId="3885"/>
    <cellStyle name="Normal 1379 2 4" xfId="32601"/>
    <cellStyle name="Normal 1379 3" xfId="3886"/>
    <cellStyle name="Normal 1379 4" xfId="3887"/>
    <cellStyle name="Normal 1379 5" xfId="32602"/>
    <cellStyle name="Normal 1379 6" xfId="32603"/>
    <cellStyle name="Normal 138" xfId="3888"/>
    <cellStyle name="Normal 138 10" xfId="32604"/>
    <cellStyle name="Normal 138 2" xfId="3889"/>
    <cellStyle name="Normal 138 2 2" xfId="3890"/>
    <cellStyle name="Normal 138 2 2 2" xfId="3891"/>
    <cellStyle name="Normal 138 2 2 3" xfId="3892"/>
    <cellStyle name="Normal 138 2 3" xfId="3893"/>
    <cellStyle name="Normal 138 2 3 2" xfId="32605"/>
    <cellStyle name="Normal 138 2 3 3" xfId="32606"/>
    <cellStyle name="Normal 138 2 4" xfId="3894"/>
    <cellStyle name="Normal 138 2 5" xfId="3895"/>
    <cellStyle name="Normal 138 2 6" xfId="32607"/>
    <cellStyle name="Normal 138 2 7" xfId="32608"/>
    <cellStyle name="Normal 138 2 8" xfId="32609"/>
    <cellStyle name="Normal 138 3" xfId="3896"/>
    <cellStyle name="Normal 138 3 2" xfId="3897"/>
    <cellStyle name="Normal 138 3 2 2" xfId="32610"/>
    <cellStyle name="Normal 138 3 2 3" xfId="32611"/>
    <cellStyle name="Normal 138 3 3" xfId="3898"/>
    <cellStyle name="Normal 138 3 3 2" xfId="32612"/>
    <cellStyle name="Normal 138 3 3 3" xfId="32613"/>
    <cellStyle name="Normal 138 3 4" xfId="32614"/>
    <cellStyle name="Normal 138 3 5" xfId="32615"/>
    <cellStyle name="Normal 138 4" xfId="3899"/>
    <cellStyle name="Normal 138 4 2" xfId="32616"/>
    <cellStyle name="Normal 138 4 3" xfId="32617"/>
    <cellStyle name="Normal 138 5" xfId="3900"/>
    <cellStyle name="Normal 138 5 2" xfId="32618"/>
    <cellStyle name="Normal 138 5 3" xfId="32619"/>
    <cellStyle name="Normal 138 6" xfId="3901"/>
    <cellStyle name="Normal 138 7" xfId="32620"/>
    <cellStyle name="Normal 138 8" xfId="32621"/>
    <cellStyle name="Normal 138 9" xfId="32622"/>
    <cellStyle name="Normal 1380" xfId="3902"/>
    <cellStyle name="Normal 1380 2" xfId="3903"/>
    <cellStyle name="Normal 1380 2 2" xfId="3904"/>
    <cellStyle name="Normal 1380 2 3" xfId="3905"/>
    <cellStyle name="Normal 1380 2 4" xfId="32623"/>
    <cellStyle name="Normal 1380 3" xfId="3906"/>
    <cellStyle name="Normal 1380 4" xfId="3907"/>
    <cellStyle name="Normal 1380 5" xfId="32624"/>
    <cellStyle name="Normal 1380 6" xfId="32625"/>
    <cellStyle name="Normal 1381" xfId="3908"/>
    <cellStyle name="Normal 1381 2" xfId="3909"/>
    <cellStyle name="Normal 1381 2 2" xfId="3910"/>
    <cellStyle name="Normal 1381 2 3" xfId="3911"/>
    <cellStyle name="Normal 1381 2 4" xfId="32626"/>
    <cellStyle name="Normal 1381 3" xfId="3912"/>
    <cellStyle name="Normal 1381 4" xfId="3913"/>
    <cellStyle name="Normal 1381 5" xfId="32627"/>
    <cellStyle name="Normal 1381 6" xfId="32628"/>
    <cellStyle name="Normal 1382" xfId="3914"/>
    <cellStyle name="Normal 1382 2" xfId="3915"/>
    <cellStyle name="Normal 1382 2 2" xfId="3916"/>
    <cellStyle name="Normal 1382 2 3" xfId="3917"/>
    <cellStyle name="Normal 1382 2 4" xfId="32629"/>
    <cellStyle name="Normal 1382 3" xfId="3918"/>
    <cellStyle name="Normal 1382 4" xfId="3919"/>
    <cellStyle name="Normal 1382 5" xfId="32630"/>
    <cellStyle name="Normal 1382 6" xfId="32631"/>
    <cellStyle name="Normal 1383" xfId="3920"/>
    <cellStyle name="Normal 1383 2" xfId="3921"/>
    <cellStyle name="Normal 1383 2 2" xfId="3922"/>
    <cellStyle name="Normal 1383 2 3" xfId="3923"/>
    <cellStyle name="Normal 1383 2 4" xfId="32632"/>
    <cellStyle name="Normal 1383 3" xfId="3924"/>
    <cellStyle name="Normal 1383 4" xfId="3925"/>
    <cellStyle name="Normal 1383 5" xfId="32633"/>
    <cellStyle name="Normal 1383 6" xfId="32634"/>
    <cellStyle name="Normal 1384" xfId="3926"/>
    <cellStyle name="Normal 1384 2" xfId="3927"/>
    <cellStyle name="Normal 1384 2 2" xfId="3928"/>
    <cellStyle name="Normal 1384 2 3" xfId="3929"/>
    <cellStyle name="Normal 1384 2 4" xfId="32635"/>
    <cellStyle name="Normal 1384 3" xfId="3930"/>
    <cellStyle name="Normal 1384 4" xfId="3931"/>
    <cellStyle name="Normal 1384 5" xfId="32636"/>
    <cellStyle name="Normal 1384 6" xfId="32637"/>
    <cellStyle name="Normal 1385" xfId="3932"/>
    <cellStyle name="Normal 1385 2" xfId="3933"/>
    <cellStyle name="Normal 1385 2 2" xfId="3934"/>
    <cellStyle name="Normal 1385 2 3" xfId="3935"/>
    <cellStyle name="Normal 1385 2 4" xfId="32638"/>
    <cellStyle name="Normal 1385 3" xfId="3936"/>
    <cellStyle name="Normal 1385 4" xfId="3937"/>
    <cellStyle name="Normal 1385 5" xfId="32639"/>
    <cellStyle name="Normal 1385 6" xfId="32640"/>
    <cellStyle name="Normal 1386" xfId="3938"/>
    <cellStyle name="Normal 1386 2" xfId="3939"/>
    <cellStyle name="Normal 1386 2 2" xfId="3940"/>
    <cellStyle name="Normal 1386 2 3" xfId="3941"/>
    <cellStyle name="Normal 1386 2 4" xfId="32641"/>
    <cellStyle name="Normal 1386 3" xfId="3942"/>
    <cellStyle name="Normal 1386 4" xfId="3943"/>
    <cellStyle name="Normal 1386 5" xfId="32642"/>
    <cellStyle name="Normal 1386 6" xfId="32643"/>
    <cellStyle name="Normal 1387" xfId="3944"/>
    <cellStyle name="Normal 1387 2" xfId="3945"/>
    <cellStyle name="Normal 1387 2 2" xfId="3946"/>
    <cellStyle name="Normal 1387 2 3" xfId="3947"/>
    <cellStyle name="Normal 1387 2 4" xfId="32644"/>
    <cellStyle name="Normal 1387 3" xfId="3948"/>
    <cellStyle name="Normal 1387 4" xfId="3949"/>
    <cellStyle name="Normal 1387 5" xfId="32645"/>
    <cellStyle name="Normal 1387 6" xfId="32646"/>
    <cellStyle name="Normal 1388" xfId="3950"/>
    <cellStyle name="Normal 1388 2" xfId="3951"/>
    <cellStyle name="Normal 1388 2 2" xfId="3952"/>
    <cellStyle name="Normal 1388 2 3" xfId="3953"/>
    <cellStyle name="Normal 1388 2 4" xfId="32647"/>
    <cellStyle name="Normal 1388 3" xfId="3954"/>
    <cellStyle name="Normal 1388 4" xfId="3955"/>
    <cellStyle name="Normal 1388 5" xfId="32648"/>
    <cellStyle name="Normal 1388 6" xfId="32649"/>
    <cellStyle name="Normal 1389" xfId="3956"/>
    <cellStyle name="Normal 1389 2" xfId="3957"/>
    <cellStyle name="Normal 1389 2 2" xfId="3958"/>
    <cellStyle name="Normal 1389 2 3" xfId="3959"/>
    <cellStyle name="Normal 1389 2 4" xfId="32650"/>
    <cellStyle name="Normal 1389 3" xfId="3960"/>
    <cellStyle name="Normal 1389 4" xfId="3961"/>
    <cellStyle name="Normal 1389 5" xfId="32651"/>
    <cellStyle name="Normal 1389 6" xfId="32652"/>
    <cellStyle name="Normal 139" xfId="3962"/>
    <cellStyle name="Normal 139 10" xfId="32653"/>
    <cellStyle name="Normal 139 2" xfId="3963"/>
    <cellStyle name="Normal 139 2 2" xfId="3964"/>
    <cellStyle name="Normal 139 2 2 2" xfId="3965"/>
    <cellStyle name="Normal 139 2 2 3" xfId="3966"/>
    <cellStyle name="Normal 139 2 3" xfId="3967"/>
    <cellStyle name="Normal 139 2 3 2" xfId="32654"/>
    <cellStyle name="Normal 139 2 3 3" xfId="32655"/>
    <cellStyle name="Normal 139 2 4" xfId="3968"/>
    <cellStyle name="Normal 139 2 5" xfId="3969"/>
    <cellStyle name="Normal 139 2 6" xfId="32656"/>
    <cellStyle name="Normal 139 2 7" xfId="32657"/>
    <cellStyle name="Normal 139 2 8" xfId="32658"/>
    <cellStyle name="Normal 139 3" xfId="3970"/>
    <cellStyle name="Normal 139 3 2" xfId="3971"/>
    <cellStyle name="Normal 139 3 2 2" xfId="32659"/>
    <cellStyle name="Normal 139 3 2 3" xfId="32660"/>
    <cellStyle name="Normal 139 3 3" xfId="3972"/>
    <cellStyle name="Normal 139 3 3 2" xfId="32661"/>
    <cellStyle name="Normal 139 3 3 3" xfId="32662"/>
    <cellStyle name="Normal 139 3 4" xfId="32663"/>
    <cellStyle name="Normal 139 3 5" xfId="32664"/>
    <cellStyle name="Normal 139 4" xfId="3973"/>
    <cellStyle name="Normal 139 4 2" xfId="32665"/>
    <cellStyle name="Normal 139 4 3" xfId="32666"/>
    <cellStyle name="Normal 139 5" xfId="3974"/>
    <cellStyle name="Normal 139 5 2" xfId="32667"/>
    <cellStyle name="Normal 139 5 3" xfId="32668"/>
    <cellStyle name="Normal 139 6" xfId="3975"/>
    <cellStyle name="Normal 139 7" xfId="32669"/>
    <cellStyle name="Normal 139 8" xfId="32670"/>
    <cellStyle name="Normal 139 9" xfId="32671"/>
    <cellStyle name="Normal 1390" xfId="3976"/>
    <cellStyle name="Normal 1390 2" xfId="3977"/>
    <cellStyle name="Normal 1390 2 2" xfId="3978"/>
    <cellStyle name="Normal 1390 2 3" xfId="3979"/>
    <cellStyle name="Normal 1390 2 4" xfId="32672"/>
    <cellStyle name="Normal 1390 3" xfId="3980"/>
    <cellStyle name="Normal 1390 4" xfId="3981"/>
    <cellStyle name="Normal 1390 5" xfId="32673"/>
    <cellStyle name="Normal 1390 6" xfId="32674"/>
    <cellStyle name="Normal 1391" xfId="3982"/>
    <cellStyle name="Normal 1391 2" xfId="3983"/>
    <cellStyle name="Normal 1391 2 2" xfId="3984"/>
    <cellStyle name="Normal 1391 2 3" xfId="3985"/>
    <cellStyle name="Normal 1391 2 4" xfId="32675"/>
    <cellStyle name="Normal 1391 3" xfId="3986"/>
    <cellStyle name="Normal 1391 4" xfId="3987"/>
    <cellStyle name="Normal 1391 5" xfId="32676"/>
    <cellStyle name="Normal 1391 6" xfId="32677"/>
    <cellStyle name="Normal 1392" xfId="3988"/>
    <cellStyle name="Normal 1392 2" xfId="3989"/>
    <cellStyle name="Normal 1392 2 2" xfId="3990"/>
    <cellStyle name="Normal 1392 2 3" xfId="3991"/>
    <cellStyle name="Normal 1392 2 4" xfId="32678"/>
    <cellStyle name="Normal 1392 3" xfId="3992"/>
    <cellStyle name="Normal 1392 4" xfId="3993"/>
    <cellStyle name="Normal 1392 5" xfId="32679"/>
    <cellStyle name="Normal 1392 6" xfId="32680"/>
    <cellStyle name="Normal 1393" xfId="3994"/>
    <cellStyle name="Normal 1393 2" xfId="3995"/>
    <cellStyle name="Normal 1393 2 2" xfId="3996"/>
    <cellStyle name="Normal 1393 2 3" xfId="3997"/>
    <cellStyle name="Normal 1393 2 4" xfId="32681"/>
    <cellStyle name="Normal 1393 3" xfId="3998"/>
    <cellStyle name="Normal 1393 4" xfId="3999"/>
    <cellStyle name="Normal 1393 5" xfId="32682"/>
    <cellStyle name="Normal 1393 6" xfId="32683"/>
    <cellStyle name="Normal 1394" xfId="4000"/>
    <cellStyle name="Normal 1394 2" xfId="4001"/>
    <cellStyle name="Normal 1394 2 2" xfId="4002"/>
    <cellStyle name="Normal 1394 2 3" xfId="4003"/>
    <cellStyle name="Normal 1394 2 4" xfId="32684"/>
    <cellStyle name="Normal 1394 3" xfId="4004"/>
    <cellStyle name="Normal 1394 4" xfId="4005"/>
    <cellStyle name="Normal 1394 5" xfId="32685"/>
    <cellStyle name="Normal 1394 6" xfId="32686"/>
    <cellStyle name="Normal 1395" xfId="4006"/>
    <cellStyle name="Normal 1395 2" xfId="4007"/>
    <cellStyle name="Normal 1395 2 2" xfId="4008"/>
    <cellStyle name="Normal 1395 2 3" xfId="4009"/>
    <cellStyle name="Normal 1395 2 4" xfId="32687"/>
    <cellStyle name="Normal 1395 3" xfId="4010"/>
    <cellStyle name="Normal 1395 4" xfId="4011"/>
    <cellStyle name="Normal 1395 5" xfId="32688"/>
    <cellStyle name="Normal 1395 6" xfId="32689"/>
    <cellStyle name="Normal 1396" xfId="4012"/>
    <cellStyle name="Normal 1396 2" xfId="4013"/>
    <cellStyle name="Normal 1396 2 2" xfId="4014"/>
    <cellStyle name="Normal 1396 2 3" xfId="4015"/>
    <cellStyle name="Normal 1396 2 4" xfId="32690"/>
    <cellStyle name="Normal 1396 3" xfId="4016"/>
    <cellStyle name="Normal 1396 4" xfId="4017"/>
    <cellStyle name="Normal 1396 5" xfId="32691"/>
    <cellStyle name="Normal 1396 6" xfId="32692"/>
    <cellStyle name="Normal 1397" xfId="4018"/>
    <cellStyle name="Normal 1397 2" xfId="4019"/>
    <cellStyle name="Normal 1397 2 2" xfId="4020"/>
    <cellStyle name="Normal 1397 2 3" xfId="4021"/>
    <cellStyle name="Normal 1397 2 4" xfId="32693"/>
    <cellStyle name="Normal 1397 3" xfId="4022"/>
    <cellStyle name="Normal 1397 4" xfId="4023"/>
    <cellStyle name="Normal 1397 5" xfId="32694"/>
    <cellStyle name="Normal 1397 6" xfId="32695"/>
    <cellStyle name="Normal 1398" xfId="4024"/>
    <cellStyle name="Normal 1398 2" xfId="4025"/>
    <cellStyle name="Normal 1398 2 2" xfId="4026"/>
    <cellStyle name="Normal 1398 2 3" xfId="4027"/>
    <cellStyle name="Normal 1398 2 4" xfId="32696"/>
    <cellStyle name="Normal 1398 3" xfId="4028"/>
    <cellStyle name="Normal 1398 4" xfId="4029"/>
    <cellStyle name="Normal 1398 5" xfId="32697"/>
    <cellStyle name="Normal 1398 6" xfId="32698"/>
    <cellStyle name="Normal 1399" xfId="4030"/>
    <cellStyle name="Normal 1399 2" xfId="4031"/>
    <cellStyle name="Normal 1399 2 2" xfId="4032"/>
    <cellStyle name="Normal 1399 2 3" xfId="4033"/>
    <cellStyle name="Normal 1399 2 4" xfId="32699"/>
    <cellStyle name="Normal 1399 3" xfId="4034"/>
    <cellStyle name="Normal 1399 4" xfId="4035"/>
    <cellStyle name="Normal 1399 5" xfId="32700"/>
    <cellStyle name="Normal 1399 6" xfId="32701"/>
    <cellStyle name="Normal 14" xfId="4036"/>
    <cellStyle name="Normal 14 10" xfId="4037"/>
    <cellStyle name="Normal 14 11" xfId="4038"/>
    <cellStyle name="Normal 14 12" xfId="4039"/>
    <cellStyle name="Normal 14 13" xfId="4040"/>
    <cellStyle name="Normal 14 14" xfId="4041"/>
    <cellStyle name="Normal 14 15" xfId="4042"/>
    <cellStyle name="Normal 14 16" xfId="4043"/>
    <cellStyle name="Normal 14 17" xfId="4044"/>
    <cellStyle name="Normal 14 18" xfId="4045"/>
    <cellStyle name="Normal 14 19" xfId="4046"/>
    <cellStyle name="Normal 14 2" xfId="4047"/>
    <cellStyle name="Normal 14 2 2" xfId="4048"/>
    <cellStyle name="Normal 14 2 2 2" xfId="4049"/>
    <cellStyle name="Normal 14 2 2 3" xfId="4050"/>
    <cellStyle name="Normal 14 2 3" xfId="4051"/>
    <cellStyle name="Normal 14 2 3 2" xfId="32702"/>
    <cellStyle name="Normal 14 2 3 3" xfId="32703"/>
    <cellStyle name="Normal 14 2 4" xfId="4052"/>
    <cellStyle name="Normal 14 2 5" xfId="32704"/>
    <cellStyle name="Normal 14 2 6" xfId="32705"/>
    <cellStyle name="Normal 14 2 7" xfId="32706"/>
    <cellStyle name="Normal 14 2 8" xfId="32707"/>
    <cellStyle name="Normal 14 3" xfId="4053"/>
    <cellStyle name="Normal 14 3 2" xfId="4054"/>
    <cellStyle name="Normal 14 3 2 2" xfId="32708"/>
    <cellStyle name="Normal 14 3 2 3" xfId="32709"/>
    <cellStyle name="Normal 14 3 3" xfId="4055"/>
    <cellStyle name="Normal 14 3 3 2" xfId="32710"/>
    <cellStyle name="Normal 14 3 3 3" xfId="32711"/>
    <cellStyle name="Normal 14 3 4" xfId="4056"/>
    <cellStyle name="Normal 14 3 5" xfId="32712"/>
    <cellStyle name="Normal 14 4" xfId="4057"/>
    <cellStyle name="Normal 14 4 2" xfId="32713"/>
    <cellStyle name="Normal 14 4 3" xfId="32714"/>
    <cellStyle name="Normal 14 5" xfId="4058"/>
    <cellStyle name="Normal 14 5 2" xfId="32715"/>
    <cellStyle name="Normal 14 5 3" xfId="32716"/>
    <cellStyle name="Normal 14 6" xfId="4059"/>
    <cellStyle name="Normal 14 7" xfId="4060"/>
    <cellStyle name="Normal 14 8" xfId="4061"/>
    <cellStyle name="Normal 14 9" xfId="4062"/>
    <cellStyle name="Normal 140" xfId="4063"/>
    <cellStyle name="Normal 140 10" xfId="32717"/>
    <cellStyle name="Normal 140 2" xfId="4064"/>
    <cellStyle name="Normal 140 2 2" xfId="4065"/>
    <cellStyle name="Normal 140 2 2 2" xfId="4066"/>
    <cellStyle name="Normal 140 2 2 3" xfId="4067"/>
    <cellStyle name="Normal 140 2 3" xfId="4068"/>
    <cellStyle name="Normal 140 2 3 2" xfId="32718"/>
    <cellStyle name="Normal 140 2 3 3" xfId="32719"/>
    <cellStyle name="Normal 140 2 4" xfId="4069"/>
    <cellStyle name="Normal 140 2 5" xfId="4070"/>
    <cellStyle name="Normal 140 2 6" xfId="32720"/>
    <cellStyle name="Normal 140 2 7" xfId="32721"/>
    <cellStyle name="Normal 140 2 8" xfId="32722"/>
    <cellStyle name="Normal 140 3" xfId="4071"/>
    <cellStyle name="Normal 140 3 2" xfId="4072"/>
    <cellStyle name="Normal 140 3 2 2" xfId="32723"/>
    <cellStyle name="Normal 140 3 2 3" xfId="32724"/>
    <cellStyle name="Normal 140 3 3" xfId="4073"/>
    <cellStyle name="Normal 140 3 3 2" xfId="32725"/>
    <cellStyle name="Normal 140 3 3 3" xfId="32726"/>
    <cellStyle name="Normal 140 3 4" xfId="32727"/>
    <cellStyle name="Normal 140 3 5" xfId="32728"/>
    <cellStyle name="Normal 140 4" xfId="4074"/>
    <cellStyle name="Normal 140 4 2" xfId="32729"/>
    <cellStyle name="Normal 140 4 3" xfId="32730"/>
    <cellStyle name="Normal 140 5" xfId="4075"/>
    <cellStyle name="Normal 140 5 2" xfId="32731"/>
    <cellStyle name="Normal 140 5 3" xfId="32732"/>
    <cellStyle name="Normal 140 6" xfId="4076"/>
    <cellStyle name="Normal 140 7" xfId="32733"/>
    <cellStyle name="Normal 140 8" xfId="32734"/>
    <cellStyle name="Normal 140 9" xfId="32735"/>
    <cellStyle name="Normal 1400" xfId="4077"/>
    <cellStyle name="Normal 1400 2" xfId="4078"/>
    <cellStyle name="Normal 1400 2 2" xfId="4079"/>
    <cellStyle name="Normal 1400 2 3" xfId="4080"/>
    <cellStyle name="Normal 1400 2 4" xfId="32736"/>
    <cellStyle name="Normal 1400 3" xfId="4081"/>
    <cellStyle name="Normal 1400 4" xfId="4082"/>
    <cellStyle name="Normal 1400 5" xfId="32737"/>
    <cellStyle name="Normal 1400 6" xfId="32738"/>
    <cellStyle name="Normal 1401" xfId="4083"/>
    <cellStyle name="Normal 1401 2" xfId="4084"/>
    <cellStyle name="Normal 1401 2 2" xfId="4085"/>
    <cellStyle name="Normal 1401 2 3" xfId="4086"/>
    <cellStyle name="Normal 1401 2 4" xfId="32739"/>
    <cellStyle name="Normal 1401 3" xfId="4087"/>
    <cellStyle name="Normal 1401 4" xfId="4088"/>
    <cellStyle name="Normal 1401 5" xfId="32740"/>
    <cellStyle name="Normal 1401 6" xfId="32741"/>
    <cellStyle name="Normal 1402" xfId="4089"/>
    <cellStyle name="Normal 1402 2" xfId="4090"/>
    <cellStyle name="Normal 1402 2 2" xfId="4091"/>
    <cellStyle name="Normal 1402 2 3" xfId="4092"/>
    <cellStyle name="Normal 1402 2 4" xfId="32742"/>
    <cellStyle name="Normal 1402 3" xfId="4093"/>
    <cellStyle name="Normal 1402 4" xfId="4094"/>
    <cellStyle name="Normal 1402 5" xfId="32743"/>
    <cellStyle name="Normal 1402 6" xfId="32744"/>
    <cellStyle name="Normal 1403" xfId="4095"/>
    <cellStyle name="Normal 1403 2" xfId="4096"/>
    <cellStyle name="Normal 1403 2 2" xfId="4097"/>
    <cellStyle name="Normal 1403 2 3" xfId="4098"/>
    <cellStyle name="Normal 1403 2 4" xfId="32745"/>
    <cellStyle name="Normal 1403 3" xfId="4099"/>
    <cellStyle name="Normal 1403 4" xfId="4100"/>
    <cellStyle name="Normal 1403 5" xfId="32746"/>
    <cellStyle name="Normal 1403 6" xfId="32747"/>
    <cellStyle name="Normal 1404" xfId="4101"/>
    <cellStyle name="Normal 1404 2" xfId="4102"/>
    <cellStyle name="Normal 1404 2 2" xfId="4103"/>
    <cellStyle name="Normal 1404 2 3" xfId="4104"/>
    <cellStyle name="Normal 1404 2 4" xfId="32748"/>
    <cellStyle name="Normal 1404 3" xfId="4105"/>
    <cellStyle name="Normal 1404 4" xfId="4106"/>
    <cellStyle name="Normal 1404 5" xfId="32749"/>
    <cellStyle name="Normal 1404 6" xfId="32750"/>
    <cellStyle name="Normal 1405" xfId="4107"/>
    <cellStyle name="Normal 1405 2" xfId="4108"/>
    <cellStyle name="Normal 1405 2 2" xfId="4109"/>
    <cellStyle name="Normal 1405 2 3" xfId="4110"/>
    <cellStyle name="Normal 1405 2 4" xfId="32751"/>
    <cellStyle name="Normal 1405 3" xfId="4111"/>
    <cellStyle name="Normal 1405 4" xfId="4112"/>
    <cellStyle name="Normal 1405 5" xfId="32752"/>
    <cellStyle name="Normal 1405 6" xfId="32753"/>
    <cellStyle name="Normal 1406" xfId="4113"/>
    <cellStyle name="Normal 1406 2" xfId="4114"/>
    <cellStyle name="Normal 1406 2 2" xfId="4115"/>
    <cellStyle name="Normal 1406 2 3" xfId="4116"/>
    <cellStyle name="Normal 1406 2 4" xfId="32754"/>
    <cellStyle name="Normal 1406 3" xfId="4117"/>
    <cellStyle name="Normal 1406 4" xfId="4118"/>
    <cellStyle name="Normal 1406 5" xfId="32755"/>
    <cellStyle name="Normal 1406 6" xfId="32756"/>
    <cellStyle name="Normal 1407" xfId="4119"/>
    <cellStyle name="Normal 1407 2" xfId="4120"/>
    <cellStyle name="Normal 1407 2 2" xfId="4121"/>
    <cellStyle name="Normal 1407 2 3" xfId="4122"/>
    <cellStyle name="Normal 1407 2 4" xfId="32757"/>
    <cellStyle name="Normal 1407 3" xfId="4123"/>
    <cellStyle name="Normal 1407 4" xfId="4124"/>
    <cellStyle name="Normal 1407 5" xfId="32758"/>
    <cellStyle name="Normal 1407 6" xfId="32759"/>
    <cellStyle name="Normal 1408" xfId="4125"/>
    <cellStyle name="Normal 1408 2" xfId="4126"/>
    <cellStyle name="Normal 1408 2 2" xfId="4127"/>
    <cellStyle name="Normal 1408 2 3" xfId="4128"/>
    <cellStyle name="Normal 1408 2 4" xfId="32760"/>
    <cellStyle name="Normal 1408 3" xfId="4129"/>
    <cellStyle name="Normal 1408 4" xfId="4130"/>
    <cellStyle name="Normal 1408 5" xfId="32761"/>
    <cellStyle name="Normal 1408 6" xfId="32762"/>
    <cellStyle name="Normal 1409" xfId="4131"/>
    <cellStyle name="Normal 1409 2" xfId="4132"/>
    <cellStyle name="Normal 1409 2 2" xfId="4133"/>
    <cellStyle name="Normal 1409 2 3" xfId="4134"/>
    <cellStyle name="Normal 1409 2 4" xfId="32763"/>
    <cellStyle name="Normal 1409 3" xfId="4135"/>
    <cellStyle name="Normal 1409 4" xfId="4136"/>
    <cellStyle name="Normal 1409 5" xfId="32764"/>
    <cellStyle name="Normal 1409 6" xfId="32765"/>
    <cellStyle name="Normal 141" xfId="4137"/>
    <cellStyle name="Normal 141 10" xfId="32766"/>
    <cellStyle name="Normal 141 2" xfId="4138"/>
    <cellStyle name="Normal 141 2 2" xfId="4139"/>
    <cellStyle name="Normal 141 2 2 2" xfId="4140"/>
    <cellStyle name="Normal 141 2 2 3" xfId="4141"/>
    <cellStyle name="Normal 141 2 3" xfId="4142"/>
    <cellStyle name="Normal 141 2 3 2" xfId="32767"/>
    <cellStyle name="Normal 141 2 3 3" xfId="32768"/>
    <cellStyle name="Normal 141 2 4" xfId="4143"/>
    <cellStyle name="Normal 141 2 5" xfId="4144"/>
    <cellStyle name="Normal 141 2 6" xfId="32769"/>
    <cellStyle name="Normal 141 2 7" xfId="32770"/>
    <cellStyle name="Normal 141 2 8" xfId="32771"/>
    <cellStyle name="Normal 141 3" xfId="4145"/>
    <cellStyle name="Normal 141 3 2" xfId="4146"/>
    <cellStyle name="Normal 141 3 2 2" xfId="32772"/>
    <cellStyle name="Normal 141 3 2 3" xfId="32773"/>
    <cellStyle name="Normal 141 3 3" xfId="4147"/>
    <cellStyle name="Normal 141 3 3 2" xfId="32774"/>
    <cellStyle name="Normal 141 3 3 3" xfId="32775"/>
    <cellStyle name="Normal 141 3 4" xfId="32776"/>
    <cellStyle name="Normal 141 3 5" xfId="32777"/>
    <cellStyle name="Normal 141 4" xfId="4148"/>
    <cellStyle name="Normal 141 4 2" xfId="32778"/>
    <cellStyle name="Normal 141 4 3" xfId="32779"/>
    <cellStyle name="Normal 141 5" xfId="4149"/>
    <cellStyle name="Normal 141 5 2" xfId="32780"/>
    <cellStyle name="Normal 141 5 3" xfId="32781"/>
    <cellStyle name="Normal 141 6" xfId="4150"/>
    <cellStyle name="Normal 141 7" xfId="32782"/>
    <cellStyle name="Normal 141 8" xfId="32783"/>
    <cellStyle name="Normal 141 9" xfId="32784"/>
    <cellStyle name="Normal 1410" xfId="4151"/>
    <cellStyle name="Normal 1410 2" xfId="4152"/>
    <cellStyle name="Normal 1410 2 2" xfId="4153"/>
    <cellStyle name="Normal 1410 2 3" xfId="4154"/>
    <cellStyle name="Normal 1410 2 4" xfId="32785"/>
    <cellStyle name="Normal 1410 3" xfId="4155"/>
    <cellStyle name="Normal 1410 4" xfId="4156"/>
    <cellStyle name="Normal 1410 5" xfId="32786"/>
    <cellStyle name="Normal 1410 6" xfId="32787"/>
    <cellStyle name="Normal 1411" xfId="4157"/>
    <cellStyle name="Normal 1411 2" xfId="4158"/>
    <cellStyle name="Normal 1411 2 2" xfId="4159"/>
    <cellStyle name="Normal 1411 2 3" xfId="4160"/>
    <cellStyle name="Normal 1411 2 4" xfId="32788"/>
    <cellStyle name="Normal 1411 3" xfId="4161"/>
    <cellStyle name="Normal 1411 4" xfId="4162"/>
    <cellStyle name="Normal 1411 5" xfId="32789"/>
    <cellStyle name="Normal 1411 6" xfId="32790"/>
    <cellStyle name="Normal 1412" xfId="4163"/>
    <cellStyle name="Normal 1412 2" xfId="4164"/>
    <cellStyle name="Normal 1412 2 2" xfId="4165"/>
    <cellStyle name="Normal 1412 2 3" xfId="4166"/>
    <cellStyle name="Normal 1412 2 4" xfId="32791"/>
    <cellStyle name="Normal 1412 3" xfId="4167"/>
    <cellStyle name="Normal 1412 4" xfId="4168"/>
    <cellStyle name="Normal 1412 5" xfId="32792"/>
    <cellStyle name="Normal 1412 6" xfId="32793"/>
    <cellStyle name="Normal 1413" xfId="4169"/>
    <cellStyle name="Normal 1413 2" xfId="4170"/>
    <cellStyle name="Normal 1413 2 2" xfId="4171"/>
    <cellStyle name="Normal 1413 2 3" xfId="4172"/>
    <cellStyle name="Normal 1413 2 4" xfId="32794"/>
    <cellStyle name="Normal 1413 3" xfId="4173"/>
    <cellStyle name="Normal 1413 4" xfId="4174"/>
    <cellStyle name="Normal 1413 5" xfId="32795"/>
    <cellStyle name="Normal 1413 6" xfId="32796"/>
    <cellStyle name="Normal 1414" xfId="4175"/>
    <cellStyle name="Normal 1414 2" xfId="4176"/>
    <cellStyle name="Normal 1414 2 2" xfId="4177"/>
    <cellStyle name="Normal 1414 2 3" xfId="4178"/>
    <cellStyle name="Normal 1414 2 4" xfId="32797"/>
    <cellStyle name="Normal 1414 3" xfId="4179"/>
    <cellStyle name="Normal 1414 4" xfId="4180"/>
    <cellStyle name="Normal 1414 5" xfId="32798"/>
    <cellStyle name="Normal 1414 6" xfId="32799"/>
    <cellStyle name="Normal 1415" xfId="4181"/>
    <cellStyle name="Normal 1415 2" xfId="4182"/>
    <cellStyle name="Normal 1415 2 2" xfId="4183"/>
    <cellStyle name="Normal 1415 2 3" xfId="4184"/>
    <cellStyle name="Normal 1415 2 4" xfId="32800"/>
    <cellStyle name="Normal 1415 3" xfId="4185"/>
    <cellStyle name="Normal 1415 4" xfId="4186"/>
    <cellStyle name="Normal 1415 5" xfId="32801"/>
    <cellStyle name="Normal 1415 6" xfId="32802"/>
    <cellStyle name="Normal 1416" xfId="4187"/>
    <cellStyle name="Normal 1416 2" xfId="4188"/>
    <cellStyle name="Normal 1416 2 2" xfId="4189"/>
    <cellStyle name="Normal 1416 2 3" xfId="4190"/>
    <cellStyle name="Normal 1416 2 4" xfId="32803"/>
    <cellStyle name="Normal 1416 3" xfId="4191"/>
    <cellStyle name="Normal 1416 4" xfId="4192"/>
    <cellStyle name="Normal 1416 5" xfId="32804"/>
    <cellStyle name="Normal 1416 6" xfId="32805"/>
    <cellStyle name="Normal 1417" xfId="4193"/>
    <cellStyle name="Normal 1417 2" xfId="4194"/>
    <cellStyle name="Normal 1417 2 2" xfId="4195"/>
    <cellStyle name="Normal 1417 2 3" xfId="4196"/>
    <cellStyle name="Normal 1417 2 4" xfId="32806"/>
    <cellStyle name="Normal 1417 3" xfId="4197"/>
    <cellStyle name="Normal 1417 4" xfId="4198"/>
    <cellStyle name="Normal 1417 5" xfId="32807"/>
    <cellStyle name="Normal 1417 6" xfId="32808"/>
    <cellStyle name="Normal 1418" xfId="4199"/>
    <cellStyle name="Normal 1418 2" xfId="4200"/>
    <cellStyle name="Normal 1418 2 2" xfId="4201"/>
    <cellStyle name="Normal 1418 2 3" xfId="4202"/>
    <cellStyle name="Normal 1418 2 4" xfId="32809"/>
    <cellStyle name="Normal 1418 3" xfId="4203"/>
    <cellStyle name="Normal 1418 4" xfId="4204"/>
    <cellStyle name="Normal 1418 5" xfId="32810"/>
    <cellStyle name="Normal 1418 6" xfId="32811"/>
    <cellStyle name="Normal 1419" xfId="4205"/>
    <cellStyle name="Normal 1419 2" xfId="4206"/>
    <cellStyle name="Normal 1419 2 2" xfId="4207"/>
    <cellStyle name="Normal 1419 2 3" xfId="4208"/>
    <cellStyle name="Normal 1419 2 4" xfId="32812"/>
    <cellStyle name="Normal 1419 3" xfId="4209"/>
    <cellStyle name="Normal 1419 4" xfId="4210"/>
    <cellStyle name="Normal 1419 5" xfId="32813"/>
    <cellStyle name="Normal 1419 6" xfId="32814"/>
    <cellStyle name="Normal 142" xfId="4211"/>
    <cellStyle name="Normal 142 10" xfId="32815"/>
    <cellStyle name="Normal 142 2" xfId="4212"/>
    <cellStyle name="Normal 142 2 2" xfId="4213"/>
    <cellStyle name="Normal 142 2 2 2" xfId="4214"/>
    <cellStyle name="Normal 142 2 2 3" xfId="4215"/>
    <cellStyle name="Normal 142 2 3" xfId="4216"/>
    <cellStyle name="Normal 142 2 3 2" xfId="32816"/>
    <cellStyle name="Normal 142 2 3 3" xfId="32817"/>
    <cellStyle name="Normal 142 2 4" xfId="4217"/>
    <cellStyle name="Normal 142 2 5" xfId="4218"/>
    <cellStyle name="Normal 142 2 6" xfId="32818"/>
    <cellStyle name="Normal 142 2 7" xfId="32819"/>
    <cellStyle name="Normal 142 2 8" xfId="32820"/>
    <cellStyle name="Normal 142 3" xfId="4219"/>
    <cellStyle name="Normal 142 3 2" xfId="4220"/>
    <cellStyle name="Normal 142 3 2 2" xfId="32821"/>
    <cellStyle name="Normal 142 3 2 3" xfId="32822"/>
    <cellStyle name="Normal 142 3 3" xfId="4221"/>
    <cellStyle name="Normal 142 3 3 2" xfId="32823"/>
    <cellStyle name="Normal 142 3 3 3" xfId="32824"/>
    <cellStyle name="Normal 142 3 4" xfId="32825"/>
    <cellStyle name="Normal 142 3 5" xfId="32826"/>
    <cellStyle name="Normal 142 4" xfId="4222"/>
    <cellStyle name="Normal 142 4 2" xfId="32827"/>
    <cellStyle name="Normal 142 4 3" xfId="32828"/>
    <cellStyle name="Normal 142 5" xfId="4223"/>
    <cellStyle name="Normal 142 5 2" xfId="32829"/>
    <cellStyle name="Normal 142 5 3" xfId="32830"/>
    <cellStyle name="Normal 142 6" xfId="4224"/>
    <cellStyle name="Normal 142 7" xfId="32831"/>
    <cellStyle name="Normal 142 8" xfId="32832"/>
    <cellStyle name="Normal 142 9" xfId="32833"/>
    <cellStyle name="Normal 1420" xfId="4225"/>
    <cellStyle name="Normal 1420 2" xfId="4226"/>
    <cellStyle name="Normal 1420 2 2" xfId="4227"/>
    <cellStyle name="Normal 1420 2 3" xfId="4228"/>
    <cellStyle name="Normal 1420 2 4" xfId="32834"/>
    <cellStyle name="Normal 1420 3" xfId="4229"/>
    <cellStyle name="Normal 1420 4" xfId="4230"/>
    <cellStyle name="Normal 1420 5" xfId="32835"/>
    <cellStyle name="Normal 1420 6" xfId="32836"/>
    <cellStyle name="Normal 1421" xfId="4231"/>
    <cellStyle name="Normal 1421 2" xfId="4232"/>
    <cellStyle name="Normal 1421 2 2" xfId="4233"/>
    <cellStyle name="Normal 1421 2 3" xfId="4234"/>
    <cellStyle name="Normal 1421 2 4" xfId="32837"/>
    <cellStyle name="Normal 1421 3" xfId="4235"/>
    <cellStyle name="Normal 1421 4" xfId="4236"/>
    <cellStyle name="Normal 1421 5" xfId="32838"/>
    <cellStyle name="Normal 1421 6" xfId="32839"/>
    <cellStyle name="Normal 1422" xfId="4237"/>
    <cellStyle name="Normal 1422 2" xfId="4238"/>
    <cellStyle name="Normal 1422 2 2" xfId="4239"/>
    <cellStyle name="Normal 1422 2 3" xfId="4240"/>
    <cellStyle name="Normal 1422 2 4" xfId="32840"/>
    <cellStyle name="Normal 1422 3" xfId="4241"/>
    <cellStyle name="Normal 1422 4" xfId="4242"/>
    <cellStyle name="Normal 1422 5" xfId="32841"/>
    <cellStyle name="Normal 1422 6" xfId="32842"/>
    <cellStyle name="Normal 1423" xfId="4243"/>
    <cellStyle name="Normal 1423 2" xfId="4244"/>
    <cellStyle name="Normal 1423 2 2" xfId="4245"/>
    <cellStyle name="Normal 1423 2 3" xfId="4246"/>
    <cellStyle name="Normal 1423 2 4" xfId="32843"/>
    <cellStyle name="Normal 1423 3" xfId="4247"/>
    <cellStyle name="Normal 1423 4" xfId="4248"/>
    <cellStyle name="Normal 1423 5" xfId="32844"/>
    <cellStyle name="Normal 1423 6" xfId="32845"/>
    <cellStyle name="Normal 1424" xfId="4249"/>
    <cellStyle name="Normal 1424 2" xfId="4250"/>
    <cellStyle name="Normal 1424 2 2" xfId="4251"/>
    <cellStyle name="Normal 1424 2 3" xfId="4252"/>
    <cellStyle name="Normal 1424 2 4" xfId="32846"/>
    <cellStyle name="Normal 1424 3" xfId="4253"/>
    <cellStyle name="Normal 1424 4" xfId="4254"/>
    <cellStyle name="Normal 1424 5" xfId="32847"/>
    <cellStyle name="Normal 1424 6" xfId="32848"/>
    <cellStyle name="Normal 1425" xfId="4255"/>
    <cellStyle name="Normal 1425 2" xfId="4256"/>
    <cellStyle name="Normal 1425 2 2" xfId="4257"/>
    <cellStyle name="Normal 1425 2 3" xfId="4258"/>
    <cellStyle name="Normal 1425 2 4" xfId="32849"/>
    <cellStyle name="Normal 1425 3" xfId="4259"/>
    <cellStyle name="Normal 1425 4" xfId="4260"/>
    <cellStyle name="Normal 1425 5" xfId="32850"/>
    <cellStyle name="Normal 1425 6" xfId="32851"/>
    <cellStyle name="Normal 1426" xfId="4261"/>
    <cellStyle name="Normal 1426 2" xfId="4262"/>
    <cellStyle name="Normal 1426 2 2" xfId="4263"/>
    <cellStyle name="Normal 1426 2 3" xfId="4264"/>
    <cellStyle name="Normal 1426 2 4" xfId="32852"/>
    <cellStyle name="Normal 1426 3" xfId="4265"/>
    <cellStyle name="Normal 1426 4" xfId="4266"/>
    <cellStyle name="Normal 1426 5" xfId="32853"/>
    <cellStyle name="Normal 1426 6" xfId="32854"/>
    <cellStyle name="Normal 1427" xfId="4267"/>
    <cellStyle name="Normal 1427 2" xfId="4268"/>
    <cellStyle name="Normal 1427 2 2" xfId="4269"/>
    <cellStyle name="Normal 1427 2 3" xfId="4270"/>
    <cellStyle name="Normal 1427 2 4" xfId="32855"/>
    <cellStyle name="Normal 1427 3" xfId="4271"/>
    <cellStyle name="Normal 1427 4" xfId="4272"/>
    <cellStyle name="Normal 1427 5" xfId="32856"/>
    <cellStyle name="Normal 1427 6" xfId="32857"/>
    <cellStyle name="Normal 1428" xfId="4273"/>
    <cellStyle name="Normal 1428 2" xfId="4274"/>
    <cellStyle name="Normal 1428 2 2" xfId="4275"/>
    <cellStyle name="Normal 1428 2 3" xfId="4276"/>
    <cellStyle name="Normal 1428 2 4" xfId="32858"/>
    <cellStyle name="Normal 1428 3" xfId="4277"/>
    <cellStyle name="Normal 1428 4" xfId="4278"/>
    <cellStyle name="Normal 1428 5" xfId="32859"/>
    <cellStyle name="Normal 1428 6" xfId="32860"/>
    <cellStyle name="Normal 1429" xfId="4279"/>
    <cellStyle name="Normal 1429 2" xfId="4280"/>
    <cellStyle name="Normal 1429 2 2" xfId="4281"/>
    <cellStyle name="Normal 1429 2 3" xfId="4282"/>
    <cellStyle name="Normal 1429 2 4" xfId="32861"/>
    <cellStyle name="Normal 1429 3" xfId="4283"/>
    <cellStyle name="Normal 1429 4" xfId="4284"/>
    <cellStyle name="Normal 1429 5" xfId="32862"/>
    <cellStyle name="Normal 1429 6" xfId="32863"/>
    <cellStyle name="Normal 143" xfId="4285"/>
    <cellStyle name="Normal 143 10" xfId="32864"/>
    <cellStyle name="Normal 143 2" xfId="4286"/>
    <cellStyle name="Normal 143 2 2" xfId="4287"/>
    <cellStyle name="Normal 143 2 2 2" xfId="4288"/>
    <cellStyle name="Normal 143 2 2 3" xfId="4289"/>
    <cellStyle name="Normal 143 2 3" xfId="4290"/>
    <cellStyle name="Normal 143 2 3 2" xfId="32865"/>
    <cellStyle name="Normal 143 2 3 3" xfId="32866"/>
    <cellStyle name="Normal 143 2 4" xfId="4291"/>
    <cellStyle name="Normal 143 2 5" xfId="4292"/>
    <cellStyle name="Normal 143 2 6" xfId="32867"/>
    <cellStyle name="Normal 143 2 7" xfId="32868"/>
    <cellStyle name="Normal 143 2 8" xfId="32869"/>
    <cellStyle name="Normal 143 3" xfId="4293"/>
    <cellStyle name="Normal 143 3 2" xfId="4294"/>
    <cellStyle name="Normal 143 3 2 2" xfId="32870"/>
    <cellStyle name="Normal 143 3 2 3" xfId="32871"/>
    <cellStyle name="Normal 143 3 3" xfId="4295"/>
    <cellStyle name="Normal 143 3 3 2" xfId="32872"/>
    <cellStyle name="Normal 143 3 3 3" xfId="32873"/>
    <cellStyle name="Normal 143 3 4" xfId="32874"/>
    <cellStyle name="Normal 143 3 5" xfId="32875"/>
    <cellStyle name="Normal 143 4" xfId="4296"/>
    <cellStyle name="Normal 143 4 2" xfId="32876"/>
    <cellStyle name="Normal 143 4 3" xfId="32877"/>
    <cellStyle name="Normal 143 5" xfId="4297"/>
    <cellStyle name="Normal 143 5 2" xfId="32878"/>
    <cellStyle name="Normal 143 5 3" xfId="32879"/>
    <cellStyle name="Normal 143 6" xfId="4298"/>
    <cellStyle name="Normal 143 7" xfId="32880"/>
    <cellStyle name="Normal 143 8" xfId="32881"/>
    <cellStyle name="Normal 143 9" xfId="32882"/>
    <cellStyle name="Normal 1430" xfId="4299"/>
    <cellStyle name="Normal 1430 2" xfId="4300"/>
    <cellStyle name="Normal 1430 2 2" xfId="4301"/>
    <cellStyle name="Normal 1430 2 3" xfId="4302"/>
    <cellStyle name="Normal 1430 2 4" xfId="32883"/>
    <cellStyle name="Normal 1430 3" xfId="4303"/>
    <cellStyle name="Normal 1430 4" xfId="4304"/>
    <cellStyle name="Normal 1430 5" xfId="32884"/>
    <cellStyle name="Normal 1430 6" xfId="32885"/>
    <cellStyle name="Normal 1431" xfId="4305"/>
    <cellStyle name="Normal 1431 2" xfId="4306"/>
    <cellStyle name="Normal 1431 2 2" xfId="4307"/>
    <cellStyle name="Normal 1431 2 3" xfId="4308"/>
    <cellStyle name="Normal 1431 2 4" xfId="32886"/>
    <cellStyle name="Normal 1431 3" xfId="4309"/>
    <cellStyle name="Normal 1431 4" xfId="4310"/>
    <cellStyle name="Normal 1431 5" xfId="32887"/>
    <cellStyle name="Normal 1431 6" xfId="32888"/>
    <cellStyle name="Normal 1432" xfId="4311"/>
    <cellStyle name="Normal 1432 2" xfId="4312"/>
    <cellStyle name="Normal 1432 2 2" xfId="4313"/>
    <cellStyle name="Normal 1432 2 3" xfId="4314"/>
    <cellStyle name="Normal 1432 2 4" xfId="32889"/>
    <cellStyle name="Normal 1432 3" xfId="4315"/>
    <cellStyle name="Normal 1432 4" xfId="4316"/>
    <cellStyle name="Normal 1432 5" xfId="32890"/>
    <cellStyle name="Normal 1432 6" xfId="32891"/>
    <cellStyle name="Normal 1433" xfId="4317"/>
    <cellStyle name="Normal 1433 2" xfId="4318"/>
    <cellStyle name="Normal 1433 2 2" xfId="4319"/>
    <cellStyle name="Normal 1433 2 3" xfId="4320"/>
    <cellStyle name="Normal 1433 2 4" xfId="32892"/>
    <cellStyle name="Normal 1433 3" xfId="4321"/>
    <cellStyle name="Normal 1433 4" xfId="4322"/>
    <cellStyle name="Normal 1433 5" xfId="32893"/>
    <cellStyle name="Normal 1433 6" xfId="32894"/>
    <cellStyle name="Normal 1434" xfId="4323"/>
    <cellStyle name="Normal 1434 2" xfId="4324"/>
    <cellStyle name="Normal 1434 2 2" xfId="4325"/>
    <cellStyle name="Normal 1434 2 3" xfId="4326"/>
    <cellStyle name="Normal 1434 2 4" xfId="32895"/>
    <cellStyle name="Normal 1434 3" xfId="4327"/>
    <cellStyle name="Normal 1434 4" xfId="4328"/>
    <cellStyle name="Normal 1434 5" xfId="32896"/>
    <cellStyle name="Normal 1434 6" xfId="32897"/>
    <cellStyle name="Normal 1435" xfId="4329"/>
    <cellStyle name="Normal 1435 2" xfId="4330"/>
    <cellStyle name="Normal 1435 2 2" xfId="4331"/>
    <cellStyle name="Normal 1435 2 3" xfId="4332"/>
    <cellStyle name="Normal 1435 2 4" xfId="32898"/>
    <cellStyle name="Normal 1435 3" xfId="4333"/>
    <cellStyle name="Normal 1435 4" xfId="4334"/>
    <cellStyle name="Normal 1435 5" xfId="32899"/>
    <cellStyle name="Normal 1435 6" xfId="32900"/>
    <cellStyle name="Normal 1436" xfId="4335"/>
    <cellStyle name="Normal 1436 2" xfId="4336"/>
    <cellStyle name="Normal 1436 2 2" xfId="4337"/>
    <cellStyle name="Normal 1436 2 3" xfId="4338"/>
    <cellStyle name="Normal 1436 2 4" xfId="32901"/>
    <cellStyle name="Normal 1436 3" xfId="4339"/>
    <cellStyle name="Normal 1436 4" xfId="4340"/>
    <cellStyle name="Normal 1436 5" xfId="32902"/>
    <cellStyle name="Normal 1436 6" xfId="32903"/>
    <cellStyle name="Normal 1437" xfId="4341"/>
    <cellStyle name="Normal 1437 2" xfId="4342"/>
    <cellStyle name="Normal 1437 2 2" xfId="4343"/>
    <cellStyle name="Normal 1437 2 3" xfId="4344"/>
    <cellStyle name="Normal 1437 2 4" xfId="32904"/>
    <cellStyle name="Normal 1437 3" xfId="4345"/>
    <cellStyle name="Normal 1437 4" xfId="4346"/>
    <cellStyle name="Normal 1437 5" xfId="32905"/>
    <cellStyle name="Normal 1437 6" xfId="32906"/>
    <cellStyle name="Normal 1438" xfId="4347"/>
    <cellStyle name="Normal 1438 2" xfId="4348"/>
    <cellStyle name="Normal 1438 2 2" xfId="4349"/>
    <cellStyle name="Normal 1438 2 3" xfId="4350"/>
    <cellStyle name="Normal 1438 2 4" xfId="32907"/>
    <cellStyle name="Normal 1438 3" xfId="4351"/>
    <cellStyle name="Normal 1438 4" xfId="4352"/>
    <cellStyle name="Normal 1438 5" xfId="32908"/>
    <cellStyle name="Normal 1438 6" xfId="32909"/>
    <cellStyle name="Normal 1439" xfId="4353"/>
    <cellStyle name="Normal 1439 2" xfId="4354"/>
    <cellStyle name="Normal 1439 2 2" xfId="4355"/>
    <cellStyle name="Normal 1439 2 3" xfId="4356"/>
    <cellStyle name="Normal 1439 2 4" xfId="32910"/>
    <cellStyle name="Normal 1439 3" xfId="4357"/>
    <cellStyle name="Normal 1439 4" xfId="4358"/>
    <cellStyle name="Normal 1439 5" xfId="32911"/>
    <cellStyle name="Normal 1439 6" xfId="32912"/>
    <cellStyle name="Normal 144" xfId="4359"/>
    <cellStyle name="Normal 144 10" xfId="32913"/>
    <cellStyle name="Normal 144 2" xfId="4360"/>
    <cellStyle name="Normal 144 2 2" xfId="4361"/>
    <cellStyle name="Normal 144 2 2 2" xfId="4362"/>
    <cellStyle name="Normal 144 2 2 3" xfId="4363"/>
    <cellStyle name="Normal 144 2 3" xfId="4364"/>
    <cellStyle name="Normal 144 2 3 2" xfId="32914"/>
    <cellStyle name="Normal 144 2 3 3" xfId="32915"/>
    <cellStyle name="Normal 144 2 4" xfId="4365"/>
    <cellStyle name="Normal 144 2 5" xfId="4366"/>
    <cellStyle name="Normal 144 2 6" xfId="32916"/>
    <cellStyle name="Normal 144 2 7" xfId="32917"/>
    <cellStyle name="Normal 144 2 8" xfId="32918"/>
    <cellStyle name="Normal 144 3" xfId="4367"/>
    <cellStyle name="Normal 144 3 2" xfId="4368"/>
    <cellStyle name="Normal 144 3 2 2" xfId="32919"/>
    <cellStyle name="Normal 144 3 2 3" xfId="32920"/>
    <cellStyle name="Normal 144 3 3" xfId="4369"/>
    <cellStyle name="Normal 144 3 3 2" xfId="32921"/>
    <cellStyle name="Normal 144 3 3 3" xfId="32922"/>
    <cellStyle name="Normal 144 3 4" xfId="32923"/>
    <cellStyle name="Normal 144 3 5" xfId="32924"/>
    <cellStyle name="Normal 144 4" xfId="4370"/>
    <cellStyle name="Normal 144 4 2" xfId="32925"/>
    <cellStyle name="Normal 144 4 3" xfId="32926"/>
    <cellStyle name="Normal 144 5" xfId="4371"/>
    <cellStyle name="Normal 144 5 2" xfId="32927"/>
    <cellStyle name="Normal 144 5 3" xfId="32928"/>
    <cellStyle name="Normal 144 6" xfId="4372"/>
    <cellStyle name="Normal 144 7" xfId="32929"/>
    <cellStyle name="Normal 144 8" xfId="32930"/>
    <cellStyle name="Normal 144 9" xfId="32931"/>
    <cellStyle name="Normal 1440" xfId="4373"/>
    <cellStyle name="Normal 1440 2" xfId="4374"/>
    <cellStyle name="Normal 1440 2 2" xfId="4375"/>
    <cellStyle name="Normal 1440 2 3" xfId="4376"/>
    <cellStyle name="Normal 1440 2 4" xfId="32932"/>
    <cellStyle name="Normal 1440 3" xfId="4377"/>
    <cellStyle name="Normal 1440 4" xfId="4378"/>
    <cellStyle name="Normal 1440 5" xfId="32933"/>
    <cellStyle name="Normal 1440 6" xfId="32934"/>
    <cellStyle name="Normal 1441" xfId="4379"/>
    <cellStyle name="Normal 1441 2" xfId="4380"/>
    <cellStyle name="Normal 1441 2 2" xfId="4381"/>
    <cellStyle name="Normal 1441 2 3" xfId="4382"/>
    <cellStyle name="Normal 1441 2 4" xfId="32935"/>
    <cellStyle name="Normal 1441 3" xfId="4383"/>
    <cellStyle name="Normal 1441 4" xfId="4384"/>
    <cellStyle name="Normal 1441 5" xfId="32936"/>
    <cellStyle name="Normal 1441 6" xfId="32937"/>
    <cellStyle name="Normal 1442" xfId="4385"/>
    <cellStyle name="Normal 1442 2" xfId="4386"/>
    <cellStyle name="Normal 1442 2 2" xfId="4387"/>
    <cellStyle name="Normal 1442 2 3" xfId="4388"/>
    <cellStyle name="Normal 1442 2 4" xfId="32938"/>
    <cellStyle name="Normal 1442 3" xfId="4389"/>
    <cellStyle name="Normal 1442 4" xfId="4390"/>
    <cellStyle name="Normal 1442 5" xfId="32939"/>
    <cellStyle name="Normal 1442 6" xfId="32940"/>
    <cellStyle name="Normal 1443" xfId="4391"/>
    <cellStyle name="Normal 1443 2" xfId="4392"/>
    <cellStyle name="Normal 1443 2 2" xfId="4393"/>
    <cellStyle name="Normal 1443 2 3" xfId="4394"/>
    <cellStyle name="Normal 1443 2 4" xfId="32941"/>
    <cellStyle name="Normal 1443 3" xfId="4395"/>
    <cellStyle name="Normal 1443 4" xfId="4396"/>
    <cellStyle name="Normal 1443 5" xfId="32942"/>
    <cellStyle name="Normal 1443 6" xfId="32943"/>
    <cellStyle name="Normal 1444" xfId="4397"/>
    <cellStyle name="Normal 1444 2" xfId="4398"/>
    <cellStyle name="Normal 1444 2 2" xfId="4399"/>
    <cellStyle name="Normal 1444 2 3" xfId="4400"/>
    <cellStyle name="Normal 1444 2 4" xfId="32944"/>
    <cellStyle name="Normal 1444 3" xfId="4401"/>
    <cellStyle name="Normal 1444 4" xfId="4402"/>
    <cellStyle name="Normal 1444 5" xfId="32945"/>
    <cellStyle name="Normal 1444 6" xfId="32946"/>
    <cellStyle name="Normal 1445" xfId="4403"/>
    <cellStyle name="Normal 1445 2" xfId="4404"/>
    <cellStyle name="Normal 1445 2 2" xfId="4405"/>
    <cellStyle name="Normal 1445 2 3" xfId="4406"/>
    <cellStyle name="Normal 1445 2 4" xfId="32947"/>
    <cellStyle name="Normal 1445 3" xfId="4407"/>
    <cellStyle name="Normal 1445 4" xfId="4408"/>
    <cellStyle name="Normal 1445 5" xfId="32948"/>
    <cellStyle name="Normal 1445 6" xfId="32949"/>
    <cellStyle name="Normal 1446" xfId="4409"/>
    <cellStyle name="Normal 1446 2" xfId="4410"/>
    <cellStyle name="Normal 1446 2 2" xfId="4411"/>
    <cellStyle name="Normal 1446 2 3" xfId="4412"/>
    <cellStyle name="Normal 1446 2 4" xfId="32950"/>
    <cellStyle name="Normal 1446 3" xfId="4413"/>
    <cellStyle name="Normal 1446 4" xfId="4414"/>
    <cellStyle name="Normal 1446 5" xfId="32951"/>
    <cellStyle name="Normal 1446 6" xfId="32952"/>
    <cellStyle name="Normal 1447" xfId="4415"/>
    <cellStyle name="Normal 1447 2" xfId="4416"/>
    <cellStyle name="Normal 1447 2 2" xfId="4417"/>
    <cellStyle name="Normal 1447 2 3" xfId="4418"/>
    <cellStyle name="Normal 1447 2 4" xfId="32953"/>
    <cellStyle name="Normal 1447 3" xfId="4419"/>
    <cellStyle name="Normal 1447 4" xfId="4420"/>
    <cellStyle name="Normal 1447 5" xfId="32954"/>
    <cellStyle name="Normal 1447 6" xfId="32955"/>
    <cellStyle name="Normal 1448" xfId="4421"/>
    <cellStyle name="Normal 1448 2" xfId="4422"/>
    <cellStyle name="Normal 1448 2 2" xfId="4423"/>
    <cellStyle name="Normal 1448 2 3" xfId="4424"/>
    <cellStyle name="Normal 1448 2 4" xfId="32956"/>
    <cellStyle name="Normal 1448 3" xfId="4425"/>
    <cellStyle name="Normal 1448 4" xfId="4426"/>
    <cellStyle name="Normal 1448 5" xfId="32957"/>
    <cellStyle name="Normal 1448 6" xfId="32958"/>
    <cellStyle name="Normal 1449" xfId="4427"/>
    <cellStyle name="Normal 1449 2" xfId="4428"/>
    <cellStyle name="Normal 1449 2 2" xfId="4429"/>
    <cellStyle name="Normal 1449 2 3" xfId="4430"/>
    <cellStyle name="Normal 1449 2 4" xfId="32959"/>
    <cellStyle name="Normal 1449 3" xfId="4431"/>
    <cellStyle name="Normal 1449 4" xfId="4432"/>
    <cellStyle name="Normal 1449 5" xfId="32960"/>
    <cellStyle name="Normal 1449 6" xfId="32961"/>
    <cellStyle name="Normal 145" xfId="4433"/>
    <cellStyle name="Normal 145 10" xfId="32962"/>
    <cellStyle name="Normal 145 2" xfId="4434"/>
    <cellStyle name="Normal 145 2 2" xfId="4435"/>
    <cellStyle name="Normal 145 2 2 2" xfId="4436"/>
    <cellStyle name="Normal 145 2 2 3" xfId="4437"/>
    <cellStyle name="Normal 145 2 3" xfId="4438"/>
    <cellStyle name="Normal 145 2 3 2" xfId="32963"/>
    <cellStyle name="Normal 145 2 3 3" xfId="32964"/>
    <cellStyle name="Normal 145 2 4" xfId="4439"/>
    <cellStyle name="Normal 145 2 5" xfId="4440"/>
    <cellStyle name="Normal 145 2 6" xfId="32965"/>
    <cellStyle name="Normal 145 2 7" xfId="32966"/>
    <cellStyle name="Normal 145 2 8" xfId="32967"/>
    <cellStyle name="Normal 145 3" xfId="4441"/>
    <cellStyle name="Normal 145 3 2" xfId="4442"/>
    <cellStyle name="Normal 145 3 2 2" xfId="32968"/>
    <cellStyle name="Normal 145 3 2 3" xfId="32969"/>
    <cellStyle name="Normal 145 3 3" xfId="4443"/>
    <cellStyle name="Normal 145 3 3 2" xfId="32970"/>
    <cellStyle name="Normal 145 3 3 3" xfId="32971"/>
    <cellStyle name="Normal 145 3 4" xfId="32972"/>
    <cellStyle name="Normal 145 3 5" xfId="32973"/>
    <cellStyle name="Normal 145 4" xfId="4444"/>
    <cellStyle name="Normal 145 4 2" xfId="32974"/>
    <cellStyle name="Normal 145 4 3" xfId="32975"/>
    <cellStyle name="Normal 145 5" xfId="4445"/>
    <cellStyle name="Normal 145 5 2" xfId="32976"/>
    <cellStyle name="Normal 145 5 3" xfId="32977"/>
    <cellStyle name="Normal 145 6" xfId="4446"/>
    <cellStyle name="Normal 145 7" xfId="32978"/>
    <cellStyle name="Normal 145 8" xfId="32979"/>
    <cellStyle name="Normal 145 9" xfId="32980"/>
    <cellStyle name="Normal 1450" xfId="4447"/>
    <cellStyle name="Normal 1450 2" xfId="4448"/>
    <cellStyle name="Normal 1450 2 2" xfId="4449"/>
    <cellStyle name="Normal 1450 2 3" xfId="4450"/>
    <cellStyle name="Normal 1450 2 4" xfId="32981"/>
    <cellStyle name="Normal 1450 3" xfId="4451"/>
    <cellStyle name="Normal 1450 4" xfId="4452"/>
    <cellStyle name="Normal 1450 5" xfId="32982"/>
    <cellStyle name="Normal 1450 6" xfId="32983"/>
    <cellStyle name="Normal 1451" xfId="4453"/>
    <cellStyle name="Normal 1451 2" xfId="4454"/>
    <cellStyle name="Normal 1451 2 2" xfId="4455"/>
    <cellStyle name="Normal 1451 2 3" xfId="4456"/>
    <cellStyle name="Normal 1451 2 4" xfId="32984"/>
    <cellStyle name="Normal 1451 3" xfId="4457"/>
    <cellStyle name="Normal 1451 4" xfId="4458"/>
    <cellStyle name="Normal 1451 5" xfId="32985"/>
    <cellStyle name="Normal 1451 6" xfId="32986"/>
    <cellStyle name="Normal 1452" xfId="4459"/>
    <cellStyle name="Normal 1452 2" xfId="4460"/>
    <cellStyle name="Normal 1452 2 2" xfId="4461"/>
    <cellStyle name="Normal 1452 2 3" xfId="4462"/>
    <cellStyle name="Normal 1452 2 4" xfId="32987"/>
    <cellStyle name="Normal 1452 3" xfId="4463"/>
    <cellStyle name="Normal 1452 4" xfId="4464"/>
    <cellStyle name="Normal 1452 5" xfId="32988"/>
    <cellStyle name="Normal 1452 6" xfId="32989"/>
    <cellStyle name="Normal 1453" xfId="4465"/>
    <cellStyle name="Normal 1453 2" xfId="4466"/>
    <cellStyle name="Normal 1453 2 2" xfId="4467"/>
    <cellStyle name="Normal 1453 2 3" xfId="4468"/>
    <cellStyle name="Normal 1453 2 4" xfId="32990"/>
    <cellStyle name="Normal 1453 3" xfId="4469"/>
    <cellStyle name="Normal 1453 4" xfId="4470"/>
    <cellStyle name="Normal 1453 5" xfId="32991"/>
    <cellStyle name="Normal 1453 6" xfId="32992"/>
    <cellStyle name="Normal 1454" xfId="4471"/>
    <cellStyle name="Normal 1454 2" xfId="4472"/>
    <cellStyle name="Normal 1454 2 2" xfId="4473"/>
    <cellStyle name="Normal 1454 2 3" xfId="4474"/>
    <cellStyle name="Normal 1454 2 4" xfId="32993"/>
    <cellStyle name="Normal 1454 3" xfId="4475"/>
    <cellStyle name="Normal 1454 4" xfId="4476"/>
    <cellStyle name="Normal 1454 5" xfId="32994"/>
    <cellStyle name="Normal 1454 6" xfId="32995"/>
    <cellStyle name="Normal 1455" xfId="4477"/>
    <cellStyle name="Normal 1455 2" xfId="4478"/>
    <cellStyle name="Normal 1455 2 2" xfId="4479"/>
    <cellStyle name="Normal 1455 2 3" xfId="4480"/>
    <cellStyle name="Normal 1455 2 4" xfId="32996"/>
    <cellStyle name="Normal 1455 3" xfId="4481"/>
    <cellStyle name="Normal 1455 4" xfId="4482"/>
    <cellStyle name="Normal 1455 5" xfId="32997"/>
    <cellStyle name="Normal 1455 6" xfId="32998"/>
    <cellStyle name="Normal 1456" xfId="4483"/>
    <cellStyle name="Normal 1456 2" xfId="4484"/>
    <cellStyle name="Normal 1456 2 2" xfId="4485"/>
    <cellStyle name="Normal 1456 2 3" xfId="4486"/>
    <cellStyle name="Normal 1456 2 4" xfId="32999"/>
    <cellStyle name="Normal 1456 3" xfId="4487"/>
    <cellStyle name="Normal 1456 4" xfId="4488"/>
    <cellStyle name="Normal 1456 5" xfId="33000"/>
    <cellStyle name="Normal 1456 6" xfId="33001"/>
    <cellStyle name="Normal 1457" xfId="4489"/>
    <cellStyle name="Normal 1457 2" xfId="4490"/>
    <cellStyle name="Normal 1457 2 2" xfId="4491"/>
    <cellStyle name="Normal 1457 2 3" xfId="4492"/>
    <cellStyle name="Normal 1457 2 4" xfId="33002"/>
    <cellStyle name="Normal 1457 3" xfId="4493"/>
    <cellStyle name="Normal 1457 4" xfId="4494"/>
    <cellStyle name="Normal 1457 5" xfId="33003"/>
    <cellStyle name="Normal 1457 6" xfId="33004"/>
    <cellStyle name="Normal 1458" xfId="4495"/>
    <cellStyle name="Normal 1458 2" xfId="4496"/>
    <cellStyle name="Normal 1458 2 2" xfId="4497"/>
    <cellStyle name="Normal 1458 2 3" xfId="4498"/>
    <cellStyle name="Normal 1458 2 4" xfId="33005"/>
    <cellStyle name="Normal 1458 3" xfId="4499"/>
    <cellStyle name="Normal 1458 4" xfId="4500"/>
    <cellStyle name="Normal 1458 5" xfId="33006"/>
    <cellStyle name="Normal 1458 6" xfId="33007"/>
    <cellStyle name="Normal 1459" xfId="4501"/>
    <cellStyle name="Normal 1459 2" xfId="4502"/>
    <cellStyle name="Normal 1459 2 2" xfId="4503"/>
    <cellStyle name="Normal 1459 2 3" xfId="4504"/>
    <cellStyle name="Normal 1459 2 4" xfId="33008"/>
    <cellStyle name="Normal 1459 3" xfId="4505"/>
    <cellStyle name="Normal 1459 4" xfId="4506"/>
    <cellStyle name="Normal 1459 5" xfId="33009"/>
    <cellStyle name="Normal 1459 6" xfId="33010"/>
    <cellStyle name="Normal 146" xfId="4507"/>
    <cellStyle name="Normal 146 10" xfId="33011"/>
    <cellStyle name="Normal 146 2" xfId="4508"/>
    <cellStyle name="Normal 146 2 2" xfId="4509"/>
    <cellStyle name="Normal 146 2 2 2" xfId="4510"/>
    <cellStyle name="Normal 146 2 2 3" xfId="4511"/>
    <cellStyle name="Normal 146 2 3" xfId="4512"/>
    <cellStyle name="Normal 146 2 3 2" xfId="33012"/>
    <cellStyle name="Normal 146 2 3 3" xfId="33013"/>
    <cellStyle name="Normal 146 2 4" xfId="4513"/>
    <cellStyle name="Normal 146 2 5" xfId="4514"/>
    <cellStyle name="Normal 146 2 6" xfId="33014"/>
    <cellStyle name="Normal 146 2 7" xfId="33015"/>
    <cellStyle name="Normal 146 2 8" xfId="33016"/>
    <cellStyle name="Normal 146 3" xfId="4515"/>
    <cellStyle name="Normal 146 3 2" xfId="4516"/>
    <cellStyle name="Normal 146 3 2 2" xfId="33017"/>
    <cellStyle name="Normal 146 3 2 3" xfId="33018"/>
    <cellStyle name="Normal 146 3 3" xfId="4517"/>
    <cellStyle name="Normal 146 3 3 2" xfId="33019"/>
    <cellStyle name="Normal 146 3 3 3" xfId="33020"/>
    <cellStyle name="Normal 146 3 4" xfId="33021"/>
    <cellStyle name="Normal 146 3 5" xfId="33022"/>
    <cellStyle name="Normal 146 4" xfId="4518"/>
    <cellStyle name="Normal 146 4 2" xfId="33023"/>
    <cellStyle name="Normal 146 4 3" xfId="33024"/>
    <cellStyle name="Normal 146 5" xfId="4519"/>
    <cellStyle name="Normal 146 5 2" xfId="33025"/>
    <cellStyle name="Normal 146 5 3" xfId="33026"/>
    <cellStyle name="Normal 146 6" xfId="4520"/>
    <cellStyle name="Normal 146 7" xfId="33027"/>
    <cellStyle name="Normal 146 8" xfId="33028"/>
    <cellStyle name="Normal 146 9" xfId="33029"/>
    <cellStyle name="Normal 1460" xfId="4521"/>
    <cellStyle name="Normal 1460 2" xfId="4522"/>
    <cellStyle name="Normal 1460 2 2" xfId="4523"/>
    <cellStyle name="Normal 1460 2 3" xfId="4524"/>
    <cellStyle name="Normal 1460 2 4" xfId="33030"/>
    <cellStyle name="Normal 1460 3" xfId="4525"/>
    <cellStyle name="Normal 1460 4" xfId="4526"/>
    <cellStyle name="Normal 1460 5" xfId="33031"/>
    <cellStyle name="Normal 1460 6" xfId="33032"/>
    <cellStyle name="Normal 1461" xfId="4527"/>
    <cellStyle name="Normal 1461 2" xfId="4528"/>
    <cellStyle name="Normal 1461 2 2" xfId="4529"/>
    <cellStyle name="Normal 1461 2 3" xfId="4530"/>
    <cellStyle name="Normal 1461 2 4" xfId="33033"/>
    <cellStyle name="Normal 1461 3" xfId="4531"/>
    <cellStyle name="Normal 1461 4" xfId="4532"/>
    <cellStyle name="Normal 1461 5" xfId="33034"/>
    <cellStyle name="Normal 1461 6" xfId="33035"/>
    <cellStyle name="Normal 1462" xfId="4533"/>
    <cellStyle name="Normal 1462 2" xfId="4534"/>
    <cellStyle name="Normal 1462 2 2" xfId="4535"/>
    <cellStyle name="Normal 1462 2 3" xfId="4536"/>
    <cellStyle name="Normal 1462 2 4" xfId="33036"/>
    <cellStyle name="Normal 1462 3" xfId="4537"/>
    <cellStyle name="Normal 1462 4" xfId="4538"/>
    <cellStyle name="Normal 1462 5" xfId="33037"/>
    <cellStyle name="Normal 1462 6" xfId="33038"/>
    <cellStyle name="Normal 1463" xfId="4539"/>
    <cellStyle name="Normal 1463 2" xfId="4540"/>
    <cellStyle name="Normal 1463 2 2" xfId="4541"/>
    <cellStyle name="Normal 1463 2 3" xfId="4542"/>
    <cellStyle name="Normal 1463 2 4" xfId="33039"/>
    <cellStyle name="Normal 1463 3" xfId="4543"/>
    <cellStyle name="Normal 1463 4" xfId="4544"/>
    <cellStyle name="Normal 1463 5" xfId="33040"/>
    <cellStyle name="Normal 1464" xfId="4545"/>
    <cellStyle name="Normal 1464 2" xfId="4546"/>
    <cellStyle name="Normal 1464 2 2" xfId="4547"/>
    <cellStyle name="Normal 1464 2 3" xfId="4548"/>
    <cellStyle name="Normal 1464 2 4" xfId="33041"/>
    <cellStyle name="Normal 1464 3" xfId="4549"/>
    <cellStyle name="Normal 1464 4" xfId="4550"/>
    <cellStyle name="Normal 1464 5" xfId="33042"/>
    <cellStyle name="Normal 1464 6" xfId="33043"/>
    <cellStyle name="Normal 1465" xfId="4551"/>
    <cellStyle name="Normal 1465 2" xfId="4552"/>
    <cellStyle name="Normal 1465 2 2" xfId="4553"/>
    <cellStyle name="Normal 1465 2 3" xfId="4554"/>
    <cellStyle name="Normal 1465 2 4" xfId="33044"/>
    <cellStyle name="Normal 1465 3" xfId="4555"/>
    <cellStyle name="Normal 1465 4" xfId="4556"/>
    <cellStyle name="Normal 1465 5" xfId="33045"/>
    <cellStyle name="Normal 1465 6" xfId="33046"/>
    <cellStyle name="Normal 1466" xfId="4557"/>
    <cellStyle name="Normal 1466 2" xfId="4558"/>
    <cellStyle name="Normal 1466 2 2" xfId="4559"/>
    <cellStyle name="Normal 1466 2 3" xfId="4560"/>
    <cellStyle name="Normal 1466 2 4" xfId="33047"/>
    <cellStyle name="Normal 1466 3" xfId="4561"/>
    <cellStyle name="Normal 1466 4" xfId="4562"/>
    <cellStyle name="Normal 1466 5" xfId="33048"/>
    <cellStyle name="Normal 1466 6" xfId="33049"/>
    <cellStyle name="Normal 1467" xfId="4563"/>
    <cellStyle name="Normal 1467 2" xfId="4564"/>
    <cellStyle name="Normal 1467 2 2" xfId="4565"/>
    <cellStyle name="Normal 1467 2 3" xfId="4566"/>
    <cellStyle name="Normal 1467 2 4" xfId="33050"/>
    <cellStyle name="Normal 1467 3" xfId="4567"/>
    <cellStyle name="Normal 1467 4" xfId="4568"/>
    <cellStyle name="Normal 1467 5" xfId="33051"/>
    <cellStyle name="Normal 1467 6" xfId="33052"/>
    <cellStyle name="Normal 1468" xfId="4569"/>
    <cellStyle name="Normal 1468 2" xfId="4570"/>
    <cellStyle name="Normal 1468 2 2" xfId="4571"/>
    <cellStyle name="Normal 1468 2 3" xfId="4572"/>
    <cellStyle name="Normal 1468 2 4" xfId="33053"/>
    <cellStyle name="Normal 1468 3" xfId="4573"/>
    <cellStyle name="Normal 1468 4" xfId="4574"/>
    <cellStyle name="Normal 1468 5" xfId="33054"/>
    <cellStyle name="Normal 1468 6" xfId="33055"/>
    <cellStyle name="Normal 1469" xfId="4575"/>
    <cellStyle name="Normal 1469 2" xfId="4576"/>
    <cellStyle name="Normal 1469 2 2" xfId="4577"/>
    <cellStyle name="Normal 1469 2 3" xfId="4578"/>
    <cellStyle name="Normal 1469 2 4" xfId="33056"/>
    <cellStyle name="Normal 1469 3" xfId="4579"/>
    <cellStyle name="Normal 1469 4" xfId="4580"/>
    <cellStyle name="Normal 1469 5" xfId="33057"/>
    <cellStyle name="Normal 1469 6" xfId="33058"/>
    <cellStyle name="Normal 147" xfId="4581"/>
    <cellStyle name="Normal 147 10" xfId="33059"/>
    <cellStyle name="Normal 147 2" xfId="4582"/>
    <cellStyle name="Normal 147 2 2" xfId="4583"/>
    <cellStyle name="Normal 147 2 2 2" xfId="4584"/>
    <cellStyle name="Normal 147 2 2 3" xfId="4585"/>
    <cellStyle name="Normal 147 2 3" xfId="4586"/>
    <cellStyle name="Normal 147 2 3 2" xfId="33060"/>
    <cellStyle name="Normal 147 2 3 3" xfId="33061"/>
    <cellStyle name="Normal 147 2 4" xfId="4587"/>
    <cellStyle name="Normal 147 2 5" xfId="4588"/>
    <cellStyle name="Normal 147 2 6" xfId="33062"/>
    <cellStyle name="Normal 147 2 7" xfId="33063"/>
    <cellStyle name="Normal 147 2 8" xfId="33064"/>
    <cellStyle name="Normal 147 3" xfId="4589"/>
    <cellStyle name="Normal 147 3 2" xfId="4590"/>
    <cellStyle name="Normal 147 3 2 2" xfId="33065"/>
    <cellStyle name="Normal 147 3 2 3" xfId="33066"/>
    <cellStyle name="Normal 147 3 3" xfId="4591"/>
    <cellStyle name="Normal 147 3 3 2" xfId="33067"/>
    <cellStyle name="Normal 147 3 3 3" xfId="33068"/>
    <cellStyle name="Normal 147 3 4" xfId="33069"/>
    <cellStyle name="Normal 147 3 5" xfId="33070"/>
    <cellStyle name="Normal 147 4" xfId="4592"/>
    <cellStyle name="Normal 147 4 2" xfId="33071"/>
    <cellStyle name="Normal 147 4 3" xfId="33072"/>
    <cellStyle name="Normal 147 5" xfId="4593"/>
    <cellStyle name="Normal 147 5 2" xfId="33073"/>
    <cellStyle name="Normal 147 5 3" xfId="33074"/>
    <cellStyle name="Normal 147 6" xfId="4594"/>
    <cellStyle name="Normal 147 7" xfId="33075"/>
    <cellStyle name="Normal 147 8" xfId="33076"/>
    <cellStyle name="Normal 147 9" xfId="33077"/>
    <cellStyle name="Normal 1470" xfId="4595"/>
    <cellStyle name="Normal 1470 2" xfId="4596"/>
    <cellStyle name="Normal 1470 2 2" xfId="4597"/>
    <cellStyle name="Normal 1470 2 3" xfId="4598"/>
    <cellStyle name="Normal 1470 2 4" xfId="33078"/>
    <cellStyle name="Normal 1470 3" xfId="4599"/>
    <cellStyle name="Normal 1470 4" xfId="4600"/>
    <cellStyle name="Normal 1470 5" xfId="33079"/>
    <cellStyle name="Normal 1470 6" xfId="33080"/>
    <cellStyle name="Normal 1471" xfId="4601"/>
    <cellStyle name="Normal 1471 2" xfId="4602"/>
    <cellStyle name="Normal 1471 2 2" xfId="4603"/>
    <cellStyle name="Normal 1471 2 3" xfId="4604"/>
    <cellStyle name="Normal 1471 2 4" xfId="33081"/>
    <cellStyle name="Normal 1471 3" xfId="4605"/>
    <cellStyle name="Normal 1471 4" xfId="4606"/>
    <cellStyle name="Normal 1471 5" xfId="33082"/>
    <cellStyle name="Normal 1471 6" xfId="33083"/>
    <cellStyle name="Normal 1472" xfId="4607"/>
    <cellStyle name="Normal 1472 2" xfId="4608"/>
    <cellStyle name="Normal 1472 2 2" xfId="4609"/>
    <cellStyle name="Normal 1472 2 3" xfId="4610"/>
    <cellStyle name="Normal 1472 2 4" xfId="33084"/>
    <cellStyle name="Normal 1472 3" xfId="4611"/>
    <cellStyle name="Normal 1472 4" xfId="4612"/>
    <cellStyle name="Normal 1472 5" xfId="33085"/>
    <cellStyle name="Normal 1472 6" xfId="33086"/>
    <cellStyle name="Normal 1473" xfId="4613"/>
    <cellStyle name="Normal 1473 2" xfId="4614"/>
    <cellStyle name="Normal 1473 2 2" xfId="4615"/>
    <cellStyle name="Normal 1473 2 3" xfId="4616"/>
    <cellStyle name="Normal 1473 2 4" xfId="33087"/>
    <cellStyle name="Normal 1473 3" xfId="4617"/>
    <cellStyle name="Normal 1473 4" xfId="4618"/>
    <cellStyle name="Normal 1473 5" xfId="33088"/>
    <cellStyle name="Normal 1473 6" xfId="33089"/>
    <cellStyle name="Normal 1474" xfId="4619"/>
    <cellStyle name="Normal 1474 2" xfId="4620"/>
    <cellStyle name="Normal 1474 2 2" xfId="4621"/>
    <cellStyle name="Normal 1474 2 3" xfId="4622"/>
    <cellStyle name="Normal 1474 2 4" xfId="33090"/>
    <cellStyle name="Normal 1474 3" xfId="4623"/>
    <cellStyle name="Normal 1474 4" xfId="4624"/>
    <cellStyle name="Normal 1474 5" xfId="33091"/>
    <cellStyle name="Normal 1474 6" xfId="33092"/>
    <cellStyle name="Normal 1475" xfId="4625"/>
    <cellStyle name="Normal 1475 2" xfId="4626"/>
    <cellStyle name="Normal 1475 2 2" xfId="4627"/>
    <cellStyle name="Normal 1475 2 3" xfId="4628"/>
    <cellStyle name="Normal 1475 2 4" xfId="33093"/>
    <cellStyle name="Normal 1475 3" xfId="4629"/>
    <cellStyle name="Normal 1475 4" xfId="4630"/>
    <cellStyle name="Normal 1475 5" xfId="33094"/>
    <cellStyle name="Normal 1475 6" xfId="33095"/>
    <cellStyle name="Normal 1476" xfId="4631"/>
    <cellStyle name="Normal 1476 2" xfId="4632"/>
    <cellStyle name="Normal 1476 2 2" xfId="4633"/>
    <cellStyle name="Normal 1476 2 3" xfId="4634"/>
    <cellStyle name="Normal 1476 2 4" xfId="33096"/>
    <cellStyle name="Normal 1476 3" xfId="4635"/>
    <cellStyle name="Normal 1476 4" xfId="4636"/>
    <cellStyle name="Normal 1476 5" xfId="33097"/>
    <cellStyle name="Normal 1476 6" xfId="33098"/>
    <cellStyle name="Normal 1477" xfId="4637"/>
    <cellStyle name="Normal 1477 2" xfId="4638"/>
    <cellStyle name="Normal 1477 2 2" xfId="4639"/>
    <cellStyle name="Normal 1477 2 3" xfId="4640"/>
    <cellStyle name="Normal 1477 2 4" xfId="33099"/>
    <cellStyle name="Normal 1477 3" xfId="4641"/>
    <cellStyle name="Normal 1477 4" xfId="4642"/>
    <cellStyle name="Normal 1477 5" xfId="33100"/>
    <cellStyle name="Normal 1477 6" xfId="33101"/>
    <cellStyle name="Normal 1478" xfId="4643"/>
    <cellStyle name="Normal 1478 2" xfId="4644"/>
    <cellStyle name="Normal 1478 2 2" xfId="4645"/>
    <cellStyle name="Normal 1478 2 3" xfId="4646"/>
    <cellStyle name="Normal 1478 2 4" xfId="33102"/>
    <cellStyle name="Normal 1478 3" xfId="4647"/>
    <cellStyle name="Normal 1478 4" xfId="4648"/>
    <cellStyle name="Normal 1478 5" xfId="33103"/>
    <cellStyle name="Normal 1478 6" xfId="33104"/>
    <cellStyle name="Normal 1479" xfId="4649"/>
    <cellStyle name="Normal 1479 2" xfId="4650"/>
    <cellStyle name="Normal 1479 2 2" xfId="4651"/>
    <cellStyle name="Normal 1479 2 3" xfId="4652"/>
    <cellStyle name="Normal 1479 2 4" xfId="33105"/>
    <cellStyle name="Normal 1479 3" xfId="4653"/>
    <cellStyle name="Normal 1479 4" xfId="4654"/>
    <cellStyle name="Normal 1479 5" xfId="33106"/>
    <cellStyle name="Normal 1479 6" xfId="33107"/>
    <cellStyle name="Normal 148" xfId="4655"/>
    <cellStyle name="Normal 148 10" xfId="33108"/>
    <cellStyle name="Normal 148 2" xfId="4656"/>
    <cellStyle name="Normal 148 2 2" xfId="4657"/>
    <cellStyle name="Normal 148 2 2 2" xfId="4658"/>
    <cellStyle name="Normal 148 2 2 3" xfId="4659"/>
    <cellStyle name="Normal 148 2 3" xfId="4660"/>
    <cellStyle name="Normal 148 2 3 2" xfId="33109"/>
    <cellStyle name="Normal 148 2 3 3" xfId="33110"/>
    <cellStyle name="Normal 148 2 4" xfId="4661"/>
    <cellStyle name="Normal 148 2 5" xfId="4662"/>
    <cellStyle name="Normal 148 2 6" xfId="33111"/>
    <cellStyle name="Normal 148 2 7" xfId="33112"/>
    <cellStyle name="Normal 148 2 8" xfId="33113"/>
    <cellStyle name="Normal 148 3" xfId="4663"/>
    <cellStyle name="Normal 148 3 2" xfId="4664"/>
    <cellStyle name="Normal 148 3 2 2" xfId="33114"/>
    <cellStyle name="Normal 148 3 2 3" xfId="33115"/>
    <cellStyle name="Normal 148 3 3" xfId="4665"/>
    <cellStyle name="Normal 148 3 3 2" xfId="33116"/>
    <cellStyle name="Normal 148 3 3 3" xfId="33117"/>
    <cellStyle name="Normal 148 3 4" xfId="33118"/>
    <cellStyle name="Normal 148 3 5" xfId="33119"/>
    <cellStyle name="Normal 148 4" xfId="4666"/>
    <cellStyle name="Normal 148 4 2" xfId="33120"/>
    <cellStyle name="Normal 148 4 3" xfId="33121"/>
    <cellStyle name="Normal 148 5" xfId="4667"/>
    <cellStyle name="Normal 148 5 2" xfId="33122"/>
    <cellStyle name="Normal 148 5 3" xfId="33123"/>
    <cellStyle name="Normal 148 6" xfId="4668"/>
    <cellStyle name="Normal 148 7" xfId="33124"/>
    <cellStyle name="Normal 148 8" xfId="33125"/>
    <cellStyle name="Normal 148 9" xfId="33126"/>
    <cellStyle name="Normal 1480" xfId="4669"/>
    <cellStyle name="Normal 1480 2" xfId="4670"/>
    <cellStyle name="Normal 1480 2 2" xfId="4671"/>
    <cellStyle name="Normal 1480 2 3" xfId="4672"/>
    <cellStyle name="Normal 1480 2 4" xfId="33127"/>
    <cellStyle name="Normal 1480 2 5" xfId="33128"/>
    <cellStyle name="Normal 1480 3" xfId="4673"/>
    <cellStyle name="Normal 1480 4" xfId="4674"/>
    <cellStyle name="Normal 1480 5" xfId="33129"/>
    <cellStyle name="Normal 1480 6" xfId="33130"/>
    <cellStyle name="Normal 1480 7" xfId="33131"/>
    <cellStyle name="Normal 1481" xfId="4675"/>
    <cellStyle name="Normal 1481 2" xfId="4676"/>
    <cellStyle name="Normal 1481 2 2" xfId="4677"/>
    <cellStyle name="Normal 1481 2 3" xfId="4678"/>
    <cellStyle name="Normal 1481 2 4" xfId="33132"/>
    <cellStyle name="Normal 1481 3" xfId="4679"/>
    <cellStyle name="Normal 1481 4" xfId="4680"/>
    <cellStyle name="Normal 1481 5" xfId="33133"/>
    <cellStyle name="Normal 1481 6" xfId="33134"/>
    <cellStyle name="Normal 1482" xfId="4681"/>
    <cellStyle name="Normal 1482 2" xfId="4682"/>
    <cellStyle name="Normal 1482 2 2" xfId="4683"/>
    <cellStyle name="Normal 1482 2 3" xfId="4684"/>
    <cellStyle name="Normal 1482 2 4" xfId="33135"/>
    <cellStyle name="Normal 1482 3" xfId="4685"/>
    <cellStyle name="Normal 1482 4" xfId="4686"/>
    <cellStyle name="Normal 1482 5" xfId="33136"/>
    <cellStyle name="Normal 1482 6" xfId="33137"/>
    <cellStyle name="Normal 1483" xfId="4687"/>
    <cellStyle name="Normal 1483 2" xfId="4688"/>
    <cellStyle name="Normal 1483 2 2" xfId="4689"/>
    <cellStyle name="Normal 1483 2 3" xfId="4690"/>
    <cellStyle name="Normal 1483 2 4" xfId="33138"/>
    <cellStyle name="Normal 1483 3" xfId="4691"/>
    <cellStyle name="Normal 1483 4" xfId="4692"/>
    <cellStyle name="Normal 1483 5" xfId="33139"/>
    <cellStyle name="Normal 1483 6" xfId="33140"/>
    <cellStyle name="Normal 1484" xfId="4693"/>
    <cellStyle name="Normal 1484 2" xfId="4694"/>
    <cellStyle name="Normal 1484 2 2" xfId="4695"/>
    <cellStyle name="Normal 1484 2 3" xfId="4696"/>
    <cellStyle name="Normal 1484 2 4" xfId="33141"/>
    <cellStyle name="Normal 1484 2 5" xfId="33142"/>
    <cellStyle name="Normal 1484 3" xfId="4697"/>
    <cellStyle name="Normal 1484 4" xfId="4698"/>
    <cellStyle name="Normal 1484 5" xfId="33143"/>
    <cellStyle name="Normal 1484 6" xfId="33144"/>
    <cellStyle name="Normal 1484 7" xfId="33145"/>
    <cellStyle name="Normal 1485" xfId="4699"/>
    <cellStyle name="Normal 1485 2" xfId="4700"/>
    <cellStyle name="Normal 1485 2 2" xfId="4701"/>
    <cellStyle name="Normal 1485 2 3" xfId="4702"/>
    <cellStyle name="Normal 1485 2 4" xfId="33146"/>
    <cellStyle name="Normal 1485 2 5" xfId="33147"/>
    <cellStyle name="Normal 1485 3" xfId="4703"/>
    <cellStyle name="Normal 1485 4" xfId="4704"/>
    <cellStyle name="Normal 1485 5" xfId="33148"/>
    <cellStyle name="Normal 1485 6" xfId="33149"/>
    <cellStyle name="Normal 1485 7" xfId="33150"/>
    <cellStyle name="Normal 1486" xfId="4705"/>
    <cellStyle name="Normal 1486 2" xfId="4706"/>
    <cellStyle name="Normal 1486 2 2" xfId="4707"/>
    <cellStyle name="Normal 1486 2 3" xfId="4708"/>
    <cellStyle name="Normal 1486 2 4" xfId="33151"/>
    <cellStyle name="Normal 1486 3" xfId="4709"/>
    <cellStyle name="Normal 1486 4" xfId="4710"/>
    <cellStyle name="Normal 1486 5" xfId="33152"/>
    <cellStyle name="Normal 1486 6" xfId="33153"/>
    <cellStyle name="Normal 1487" xfId="4711"/>
    <cellStyle name="Normal 1487 2" xfId="4712"/>
    <cellStyle name="Normal 1487 2 2" xfId="4713"/>
    <cellStyle name="Normal 1487 2 3" xfId="4714"/>
    <cellStyle name="Normal 1487 2 4" xfId="33154"/>
    <cellStyle name="Normal 1487 3" xfId="4715"/>
    <cellStyle name="Normal 1487 4" xfId="4716"/>
    <cellStyle name="Normal 1487 5" xfId="33155"/>
    <cellStyle name="Normal 1487 6" xfId="33156"/>
    <cellStyle name="Normal 1488" xfId="4717"/>
    <cellStyle name="Normal 1488 2" xfId="4718"/>
    <cellStyle name="Normal 1488 2 2" xfId="4719"/>
    <cellStyle name="Normal 1488 2 3" xfId="4720"/>
    <cellStyle name="Normal 1488 2 4" xfId="33157"/>
    <cellStyle name="Normal 1488 3" xfId="4721"/>
    <cellStyle name="Normal 1488 4" xfId="4722"/>
    <cellStyle name="Normal 1488 5" xfId="33158"/>
    <cellStyle name="Normal 1488 6" xfId="33159"/>
    <cellStyle name="Normal 1489" xfId="4723"/>
    <cellStyle name="Normal 1489 2" xfId="4724"/>
    <cellStyle name="Normal 1489 2 2" xfId="4725"/>
    <cellStyle name="Normal 1489 2 3" xfId="4726"/>
    <cellStyle name="Normal 1489 2 4" xfId="33160"/>
    <cellStyle name="Normal 1489 2 5" xfId="33161"/>
    <cellStyle name="Normal 1489 3" xfId="4727"/>
    <cellStyle name="Normal 1489 4" xfId="4728"/>
    <cellStyle name="Normal 1489 5" xfId="33162"/>
    <cellStyle name="Normal 1489 6" xfId="33163"/>
    <cellStyle name="Normal 1489 7" xfId="33164"/>
    <cellStyle name="Normal 149" xfId="4729"/>
    <cellStyle name="Normal 149 10" xfId="33165"/>
    <cellStyle name="Normal 149 2" xfId="4730"/>
    <cellStyle name="Normal 149 2 2" xfId="4731"/>
    <cellStyle name="Normal 149 2 2 2" xfId="4732"/>
    <cellStyle name="Normal 149 2 2 3" xfId="4733"/>
    <cellStyle name="Normal 149 2 3" xfId="4734"/>
    <cellStyle name="Normal 149 2 3 2" xfId="33166"/>
    <cellStyle name="Normal 149 2 3 3" xfId="33167"/>
    <cellStyle name="Normal 149 2 4" xfId="4735"/>
    <cellStyle name="Normal 149 2 5" xfId="4736"/>
    <cellStyle name="Normal 149 2 6" xfId="33168"/>
    <cellStyle name="Normal 149 2 7" xfId="33169"/>
    <cellStyle name="Normal 149 2 8" xfId="33170"/>
    <cellStyle name="Normal 149 3" xfId="4737"/>
    <cellStyle name="Normal 149 3 2" xfId="4738"/>
    <cellStyle name="Normal 149 3 2 2" xfId="33171"/>
    <cellStyle name="Normal 149 3 2 3" xfId="33172"/>
    <cellStyle name="Normal 149 3 3" xfId="4739"/>
    <cellStyle name="Normal 149 3 3 2" xfId="33173"/>
    <cellStyle name="Normal 149 3 3 3" xfId="33174"/>
    <cellStyle name="Normal 149 3 4" xfId="33175"/>
    <cellStyle name="Normal 149 3 5" xfId="33176"/>
    <cellStyle name="Normal 149 4" xfId="4740"/>
    <cellStyle name="Normal 149 4 2" xfId="33177"/>
    <cellStyle name="Normal 149 4 3" xfId="33178"/>
    <cellStyle name="Normal 149 5" xfId="4741"/>
    <cellStyle name="Normal 149 5 2" xfId="33179"/>
    <cellStyle name="Normal 149 5 3" xfId="33180"/>
    <cellStyle name="Normal 149 6" xfId="4742"/>
    <cellStyle name="Normal 149 7" xfId="33181"/>
    <cellStyle name="Normal 149 8" xfId="33182"/>
    <cellStyle name="Normal 149 9" xfId="33183"/>
    <cellStyle name="Normal 1490" xfId="4743"/>
    <cellStyle name="Normal 1490 2" xfId="4744"/>
    <cellStyle name="Normal 1490 2 2" xfId="4745"/>
    <cellStyle name="Normal 1490 2 3" xfId="4746"/>
    <cellStyle name="Normal 1490 2 4" xfId="33184"/>
    <cellStyle name="Normal 1490 2 5" xfId="33185"/>
    <cellStyle name="Normal 1490 3" xfId="4747"/>
    <cellStyle name="Normal 1490 4" xfId="4748"/>
    <cellStyle name="Normal 1490 5" xfId="33186"/>
    <cellStyle name="Normal 1490 6" xfId="33187"/>
    <cellStyle name="Normal 1490 7" xfId="33188"/>
    <cellStyle name="Normal 1491" xfId="4749"/>
    <cellStyle name="Normal 1491 2" xfId="4750"/>
    <cellStyle name="Normal 1491 2 2" xfId="4751"/>
    <cellStyle name="Normal 1491 2 3" xfId="4752"/>
    <cellStyle name="Normal 1491 2 4" xfId="33189"/>
    <cellStyle name="Normal 1491 2 5" xfId="33190"/>
    <cellStyle name="Normal 1491 3" xfId="4753"/>
    <cellStyle name="Normal 1491 4" xfId="4754"/>
    <cellStyle name="Normal 1491 5" xfId="33191"/>
    <cellStyle name="Normal 1491 6" xfId="33192"/>
    <cellStyle name="Normal 1491 7" xfId="33193"/>
    <cellStyle name="Normal 1492" xfId="4755"/>
    <cellStyle name="Normal 1492 2" xfId="4756"/>
    <cellStyle name="Normal 1492 2 2" xfId="4757"/>
    <cellStyle name="Normal 1492 2 3" xfId="4758"/>
    <cellStyle name="Normal 1492 2 4" xfId="33194"/>
    <cellStyle name="Normal 1492 3" xfId="4759"/>
    <cellStyle name="Normal 1492 4" xfId="4760"/>
    <cellStyle name="Normal 1492 5" xfId="33195"/>
    <cellStyle name="Normal 1492 6" xfId="33196"/>
    <cellStyle name="Normal 1493" xfId="4761"/>
    <cellStyle name="Normal 1493 2" xfId="4762"/>
    <cellStyle name="Normal 1493 2 2" xfId="4763"/>
    <cellStyle name="Normal 1493 2 3" xfId="4764"/>
    <cellStyle name="Normal 1493 2 4" xfId="33197"/>
    <cellStyle name="Normal 1493 3" xfId="4765"/>
    <cellStyle name="Normal 1493 4" xfId="4766"/>
    <cellStyle name="Normal 1493 5" xfId="33198"/>
    <cellStyle name="Normal 1493 6" xfId="33199"/>
    <cellStyle name="Normal 1494" xfId="4767"/>
    <cellStyle name="Normal 1494 2" xfId="4768"/>
    <cellStyle name="Normal 1494 2 2" xfId="4769"/>
    <cellStyle name="Normal 1494 2 3" xfId="4770"/>
    <cellStyle name="Normal 1494 2 4" xfId="33200"/>
    <cellStyle name="Normal 1494 3" xfId="4771"/>
    <cellStyle name="Normal 1494 4" xfId="4772"/>
    <cellStyle name="Normal 1494 5" xfId="33201"/>
    <cellStyle name="Normal 1494 6" xfId="33202"/>
    <cellStyle name="Normal 1495" xfId="4773"/>
    <cellStyle name="Normal 1495 2" xfId="4774"/>
    <cellStyle name="Normal 1495 2 2" xfId="4775"/>
    <cellStyle name="Normal 1495 2 3" xfId="4776"/>
    <cellStyle name="Normal 1495 2 4" xfId="33203"/>
    <cellStyle name="Normal 1495 3" xfId="4777"/>
    <cellStyle name="Normal 1495 4" xfId="4778"/>
    <cellStyle name="Normal 1495 5" xfId="33204"/>
    <cellStyle name="Normal 1496" xfId="4779"/>
    <cellStyle name="Normal 1496 2" xfId="4780"/>
    <cellStyle name="Normal 1496 2 2" xfId="4781"/>
    <cellStyle name="Normal 1496 2 3" xfId="4782"/>
    <cellStyle name="Normal 1496 2 4" xfId="33205"/>
    <cellStyle name="Normal 1496 3" xfId="4783"/>
    <cellStyle name="Normal 1496 4" xfId="4784"/>
    <cellStyle name="Normal 1496 5" xfId="33206"/>
    <cellStyle name="Normal 1497" xfId="4785"/>
    <cellStyle name="Normal 1497 2" xfId="4786"/>
    <cellStyle name="Normal 1497 2 2" xfId="4787"/>
    <cellStyle name="Normal 1497 2 3" xfId="4788"/>
    <cellStyle name="Normal 1497 2 4" xfId="33207"/>
    <cellStyle name="Normal 1497 3" xfId="4789"/>
    <cellStyle name="Normal 1497 4" xfId="4790"/>
    <cellStyle name="Normal 1497 5" xfId="33208"/>
    <cellStyle name="Normal 1498" xfId="4791"/>
    <cellStyle name="Normal 1498 2" xfId="4792"/>
    <cellStyle name="Normal 1498 2 2" xfId="4793"/>
    <cellStyle name="Normal 1498 2 3" xfId="4794"/>
    <cellStyle name="Normal 1498 2 4" xfId="33209"/>
    <cellStyle name="Normal 1498 3" xfId="4795"/>
    <cellStyle name="Normal 1498 4" xfId="4796"/>
    <cellStyle name="Normal 1498 5" xfId="33210"/>
    <cellStyle name="Normal 1499" xfId="4797"/>
    <cellStyle name="Normal 1499 2" xfId="4798"/>
    <cellStyle name="Normal 1499 2 2" xfId="4799"/>
    <cellStyle name="Normal 1499 2 3" xfId="4800"/>
    <cellStyle name="Normal 1499 2 4" xfId="33211"/>
    <cellStyle name="Normal 1499 3" xfId="4801"/>
    <cellStyle name="Normal 1499 4" xfId="4802"/>
    <cellStyle name="Normal 1499 5" xfId="33212"/>
    <cellStyle name="Normal 15" xfId="4803"/>
    <cellStyle name="Normal 15 10" xfId="33213"/>
    <cellStyle name="Normal 15 2" xfId="4804"/>
    <cellStyle name="Normal 15 2 2" xfId="4805"/>
    <cellStyle name="Normal 15 2 2 2" xfId="4806"/>
    <cellStyle name="Normal 15 2 2 3" xfId="4807"/>
    <cellStyle name="Normal 15 2 3" xfId="4808"/>
    <cellStyle name="Normal 15 2 3 2" xfId="33214"/>
    <cellStyle name="Normal 15 2 3 3" xfId="33215"/>
    <cellStyle name="Normal 15 2 4" xfId="4809"/>
    <cellStyle name="Normal 15 2 5" xfId="4810"/>
    <cellStyle name="Normal 15 2 6" xfId="33216"/>
    <cellStyle name="Normal 15 2 7" xfId="33217"/>
    <cellStyle name="Normal 15 2 8" xfId="33218"/>
    <cellStyle name="Normal 15 3" xfId="4811"/>
    <cellStyle name="Normal 15 3 2" xfId="4812"/>
    <cellStyle name="Normal 15 3 2 2" xfId="33219"/>
    <cellStyle name="Normal 15 3 2 3" xfId="33220"/>
    <cellStyle name="Normal 15 3 3" xfId="4813"/>
    <cellStyle name="Normal 15 3 3 2" xfId="33221"/>
    <cellStyle name="Normal 15 3 3 3" xfId="33222"/>
    <cellStyle name="Normal 15 3 4" xfId="33223"/>
    <cellStyle name="Normal 15 3 5" xfId="33224"/>
    <cellStyle name="Normal 15 4" xfId="4814"/>
    <cellStyle name="Normal 15 4 2" xfId="33225"/>
    <cellStyle name="Normal 15 4 3" xfId="33226"/>
    <cellStyle name="Normal 15 5" xfId="4815"/>
    <cellStyle name="Normal 15 5 2" xfId="33227"/>
    <cellStyle name="Normal 15 5 3" xfId="33228"/>
    <cellStyle name="Normal 15 6" xfId="4816"/>
    <cellStyle name="Normal 15 7" xfId="33229"/>
    <cellStyle name="Normal 15 8" xfId="33230"/>
    <cellStyle name="Normal 15 9" xfId="33231"/>
    <cellStyle name="Normal 150" xfId="4817"/>
    <cellStyle name="Normal 150 10" xfId="33232"/>
    <cellStyle name="Normal 150 2" xfId="4818"/>
    <cellStyle name="Normal 150 2 2" xfId="4819"/>
    <cellStyle name="Normal 150 2 2 2" xfId="4820"/>
    <cellStyle name="Normal 150 2 2 3" xfId="4821"/>
    <cellStyle name="Normal 150 2 3" xfId="4822"/>
    <cellStyle name="Normal 150 2 3 2" xfId="33233"/>
    <cellStyle name="Normal 150 2 3 3" xfId="33234"/>
    <cellStyle name="Normal 150 2 4" xfId="4823"/>
    <cellStyle name="Normal 150 2 5" xfId="4824"/>
    <cellStyle name="Normal 150 2 6" xfId="33235"/>
    <cellStyle name="Normal 150 2 7" xfId="33236"/>
    <cellStyle name="Normal 150 2 8" xfId="33237"/>
    <cellStyle name="Normal 150 3" xfId="4825"/>
    <cellStyle name="Normal 150 3 2" xfId="4826"/>
    <cellStyle name="Normal 150 3 2 2" xfId="33238"/>
    <cellStyle name="Normal 150 3 2 3" xfId="33239"/>
    <cellStyle name="Normal 150 3 3" xfId="4827"/>
    <cellStyle name="Normal 150 3 3 2" xfId="33240"/>
    <cellStyle name="Normal 150 3 3 3" xfId="33241"/>
    <cellStyle name="Normal 150 3 4" xfId="33242"/>
    <cellStyle name="Normal 150 3 5" xfId="33243"/>
    <cellStyle name="Normal 150 4" xfId="4828"/>
    <cellStyle name="Normal 150 4 2" xfId="33244"/>
    <cellStyle name="Normal 150 4 3" xfId="33245"/>
    <cellStyle name="Normal 150 5" xfId="4829"/>
    <cellStyle name="Normal 150 5 2" xfId="33246"/>
    <cellStyle name="Normal 150 5 3" xfId="33247"/>
    <cellStyle name="Normal 150 6" xfId="4830"/>
    <cellStyle name="Normal 150 7" xfId="33248"/>
    <cellStyle name="Normal 150 8" xfId="33249"/>
    <cellStyle name="Normal 150 9" xfId="33250"/>
    <cellStyle name="Normal 1500" xfId="4831"/>
    <cellStyle name="Normal 1500 2" xfId="4832"/>
    <cellStyle name="Normal 1500 2 2" xfId="4833"/>
    <cellStyle name="Normal 1500 2 3" xfId="4834"/>
    <cellStyle name="Normal 1500 2 4" xfId="33251"/>
    <cellStyle name="Normal 1500 3" xfId="4835"/>
    <cellStyle name="Normal 1500 4" xfId="4836"/>
    <cellStyle name="Normal 1500 5" xfId="33252"/>
    <cellStyle name="Normal 1501" xfId="4837"/>
    <cellStyle name="Normal 1501 2" xfId="4838"/>
    <cellStyle name="Normal 1501 2 2" xfId="4839"/>
    <cellStyle name="Normal 1501 2 3" xfId="4840"/>
    <cellStyle name="Normal 1501 2 4" xfId="33253"/>
    <cellStyle name="Normal 1501 3" xfId="4841"/>
    <cellStyle name="Normal 1501 4" xfId="4842"/>
    <cellStyle name="Normal 1501 5" xfId="33254"/>
    <cellStyle name="Normal 1502" xfId="4843"/>
    <cellStyle name="Normal 1502 2" xfId="4844"/>
    <cellStyle name="Normal 1502 2 2" xfId="4845"/>
    <cellStyle name="Normal 1502 2 3" xfId="4846"/>
    <cellStyle name="Normal 1502 2 4" xfId="33255"/>
    <cellStyle name="Normal 1502 3" xfId="4847"/>
    <cellStyle name="Normal 1502 4" xfId="4848"/>
    <cellStyle name="Normal 1502 5" xfId="33256"/>
    <cellStyle name="Normal 1503" xfId="4849"/>
    <cellStyle name="Normal 1503 2" xfId="4850"/>
    <cellStyle name="Normal 1503 2 2" xfId="4851"/>
    <cellStyle name="Normal 1503 2 3" xfId="4852"/>
    <cellStyle name="Normal 1503 2 4" xfId="33257"/>
    <cellStyle name="Normal 1503 3" xfId="4853"/>
    <cellStyle name="Normal 1503 4" xfId="4854"/>
    <cellStyle name="Normal 1503 5" xfId="33258"/>
    <cellStyle name="Normal 1504" xfId="4855"/>
    <cellStyle name="Normal 1504 2" xfId="4856"/>
    <cellStyle name="Normal 1504 2 2" xfId="4857"/>
    <cellStyle name="Normal 1504 2 3" xfId="4858"/>
    <cellStyle name="Normal 1504 2 4" xfId="33259"/>
    <cellStyle name="Normal 1504 3" xfId="4859"/>
    <cellStyle name="Normal 1504 4" xfId="4860"/>
    <cellStyle name="Normal 1504 5" xfId="33260"/>
    <cellStyle name="Normal 1505" xfId="4861"/>
    <cellStyle name="Normal 1505 2" xfId="4862"/>
    <cellStyle name="Normal 1505 2 2" xfId="4863"/>
    <cellStyle name="Normal 1505 2 3" xfId="4864"/>
    <cellStyle name="Normal 1505 2 4" xfId="33261"/>
    <cellStyle name="Normal 1505 3" xfId="4865"/>
    <cellStyle name="Normal 1505 4" xfId="4866"/>
    <cellStyle name="Normal 1505 5" xfId="33262"/>
    <cellStyle name="Normal 1506" xfId="4867"/>
    <cellStyle name="Normal 1506 2" xfId="4868"/>
    <cellStyle name="Normal 1506 2 2" xfId="4869"/>
    <cellStyle name="Normal 1506 2 3" xfId="4870"/>
    <cellStyle name="Normal 1506 2 4" xfId="33263"/>
    <cellStyle name="Normal 1506 3" xfId="4871"/>
    <cellStyle name="Normal 1506 4" xfId="4872"/>
    <cellStyle name="Normal 1506 5" xfId="33264"/>
    <cellStyle name="Normal 1507" xfId="4873"/>
    <cellStyle name="Normal 1507 2" xfId="4874"/>
    <cellStyle name="Normal 1507 2 2" xfId="4875"/>
    <cellStyle name="Normal 1507 2 3" xfId="4876"/>
    <cellStyle name="Normal 1507 2 4" xfId="33265"/>
    <cellStyle name="Normal 1507 3" xfId="4877"/>
    <cellStyle name="Normal 1507 4" xfId="4878"/>
    <cellStyle name="Normal 1507 5" xfId="33266"/>
    <cellStyle name="Normal 1508" xfId="4879"/>
    <cellStyle name="Normal 1508 2" xfId="4880"/>
    <cellStyle name="Normal 1508 2 2" xfId="4881"/>
    <cellStyle name="Normal 1508 2 3" xfId="4882"/>
    <cellStyle name="Normal 1508 2 4" xfId="33267"/>
    <cellStyle name="Normal 1508 3" xfId="4883"/>
    <cellStyle name="Normal 1508 4" xfId="4884"/>
    <cellStyle name="Normal 1508 5" xfId="33268"/>
    <cellStyle name="Normal 1509" xfId="4885"/>
    <cellStyle name="Normal 1509 2" xfId="4886"/>
    <cellStyle name="Normal 1509 2 2" xfId="4887"/>
    <cellStyle name="Normal 1509 2 3" xfId="4888"/>
    <cellStyle name="Normal 1509 2 4" xfId="33269"/>
    <cellStyle name="Normal 1509 3" xfId="4889"/>
    <cellStyle name="Normal 1509 4" xfId="4890"/>
    <cellStyle name="Normal 1509 5" xfId="33270"/>
    <cellStyle name="Normal 151" xfId="4891"/>
    <cellStyle name="Normal 151 10" xfId="33271"/>
    <cellStyle name="Normal 151 2" xfId="4892"/>
    <cellStyle name="Normal 151 2 2" xfId="4893"/>
    <cellStyle name="Normal 151 2 2 2" xfId="4894"/>
    <cellStyle name="Normal 151 2 2 3" xfId="4895"/>
    <cellStyle name="Normal 151 2 3" xfId="4896"/>
    <cellStyle name="Normal 151 2 3 2" xfId="33272"/>
    <cellStyle name="Normal 151 2 3 3" xfId="33273"/>
    <cellStyle name="Normal 151 2 4" xfId="4897"/>
    <cellStyle name="Normal 151 2 5" xfId="4898"/>
    <cellStyle name="Normal 151 2 6" xfId="33274"/>
    <cellStyle name="Normal 151 2 7" xfId="33275"/>
    <cellStyle name="Normal 151 2 8" xfId="33276"/>
    <cellStyle name="Normal 151 3" xfId="4899"/>
    <cellStyle name="Normal 151 3 2" xfId="4900"/>
    <cellStyle name="Normal 151 3 2 2" xfId="33277"/>
    <cellStyle name="Normal 151 3 2 3" xfId="33278"/>
    <cellStyle name="Normal 151 3 3" xfId="4901"/>
    <cellStyle name="Normal 151 3 3 2" xfId="33279"/>
    <cellStyle name="Normal 151 3 3 3" xfId="33280"/>
    <cellStyle name="Normal 151 3 4" xfId="33281"/>
    <cellStyle name="Normal 151 3 5" xfId="33282"/>
    <cellStyle name="Normal 151 4" xfId="4902"/>
    <cellStyle name="Normal 151 4 2" xfId="33283"/>
    <cellStyle name="Normal 151 4 3" xfId="33284"/>
    <cellStyle name="Normal 151 5" xfId="4903"/>
    <cellStyle name="Normal 151 5 2" xfId="33285"/>
    <cellStyle name="Normal 151 5 3" xfId="33286"/>
    <cellStyle name="Normal 151 6" xfId="4904"/>
    <cellStyle name="Normal 151 7" xfId="33287"/>
    <cellStyle name="Normal 151 8" xfId="33288"/>
    <cellStyle name="Normal 151 9" xfId="33289"/>
    <cellStyle name="Normal 1510" xfId="4905"/>
    <cellStyle name="Normal 1510 2" xfId="4906"/>
    <cellStyle name="Normal 1510 2 2" xfId="4907"/>
    <cellStyle name="Normal 1510 2 3" xfId="4908"/>
    <cellStyle name="Normal 1510 2 4" xfId="33290"/>
    <cellStyle name="Normal 1510 3" xfId="4909"/>
    <cellStyle name="Normal 1510 4" xfId="4910"/>
    <cellStyle name="Normal 1510 5" xfId="33291"/>
    <cellStyle name="Normal 1511" xfId="4911"/>
    <cellStyle name="Normal 1511 2" xfId="4912"/>
    <cellStyle name="Normal 1511 2 2" xfId="4913"/>
    <cellStyle name="Normal 1511 2 3" xfId="4914"/>
    <cellStyle name="Normal 1511 2 4" xfId="33292"/>
    <cellStyle name="Normal 1511 3" xfId="4915"/>
    <cellStyle name="Normal 1511 4" xfId="4916"/>
    <cellStyle name="Normal 1511 5" xfId="33293"/>
    <cellStyle name="Normal 1512" xfId="4917"/>
    <cellStyle name="Normal 1512 2" xfId="4918"/>
    <cellStyle name="Normal 1512 2 2" xfId="4919"/>
    <cellStyle name="Normal 1512 2 3" xfId="4920"/>
    <cellStyle name="Normal 1512 2 4" xfId="33294"/>
    <cellStyle name="Normal 1512 3" xfId="4921"/>
    <cellStyle name="Normal 1512 4" xfId="4922"/>
    <cellStyle name="Normal 1512 5" xfId="33295"/>
    <cellStyle name="Normal 1513" xfId="4923"/>
    <cellStyle name="Normal 1513 2" xfId="4924"/>
    <cellStyle name="Normal 1513 2 2" xfId="4925"/>
    <cellStyle name="Normal 1513 2 3" xfId="4926"/>
    <cellStyle name="Normal 1513 2 4" xfId="33296"/>
    <cellStyle name="Normal 1513 3" xfId="4927"/>
    <cellStyle name="Normal 1513 4" xfId="4928"/>
    <cellStyle name="Normal 1513 5" xfId="33297"/>
    <cellStyle name="Normal 1514" xfId="4929"/>
    <cellStyle name="Normal 1514 2" xfId="4930"/>
    <cellStyle name="Normal 1514 2 2" xfId="4931"/>
    <cellStyle name="Normal 1514 2 3" xfId="4932"/>
    <cellStyle name="Normal 1514 2 4" xfId="33298"/>
    <cellStyle name="Normal 1514 3" xfId="4933"/>
    <cellStyle name="Normal 1514 4" xfId="4934"/>
    <cellStyle name="Normal 1514 5" xfId="33299"/>
    <cellStyle name="Normal 1515" xfId="4935"/>
    <cellStyle name="Normal 1515 2" xfId="4936"/>
    <cellStyle name="Normal 1515 2 2" xfId="4937"/>
    <cellStyle name="Normal 1515 2 3" xfId="4938"/>
    <cellStyle name="Normal 1515 2 4" xfId="33300"/>
    <cellStyle name="Normal 1515 3" xfId="4939"/>
    <cellStyle name="Normal 1515 4" xfId="4940"/>
    <cellStyle name="Normal 1515 5" xfId="33301"/>
    <cellStyle name="Normal 1516" xfId="4941"/>
    <cellStyle name="Normal 1516 2" xfId="4942"/>
    <cellStyle name="Normal 1516 2 2" xfId="4943"/>
    <cellStyle name="Normal 1516 2 3" xfId="4944"/>
    <cellStyle name="Normal 1516 2 4" xfId="33302"/>
    <cellStyle name="Normal 1516 3" xfId="4945"/>
    <cellStyle name="Normal 1516 4" xfId="4946"/>
    <cellStyle name="Normal 1516 5" xfId="33303"/>
    <cellStyle name="Normal 1517" xfId="4947"/>
    <cellStyle name="Normal 1517 2" xfId="4948"/>
    <cellStyle name="Normal 1517 2 2" xfId="4949"/>
    <cellStyle name="Normal 1517 2 3" xfId="4950"/>
    <cellStyle name="Normal 1517 2 4" xfId="33304"/>
    <cellStyle name="Normal 1517 3" xfId="4951"/>
    <cellStyle name="Normal 1517 4" xfId="4952"/>
    <cellStyle name="Normal 1517 5" xfId="33305"/>
    <cellStyle name="Normal 1518" xfId="4953"/>
    <cellStyle name="Normal 1518 2" xfId="4954"/>
    <cellStyle name="Normal 1518 2 2" xfId="4955"/>
    <cellStyle name="Normal 1518 2 3" xfId="4956"/>
    <cellStyle name="Normal 1518 2 4" xfId="33306"/>
    <cellStyle name="Normal 1518 3" xfId="4957"/>
    <cellStyle name="Normal 1518 4" xfId="4958"/>
    <cellStyle name="Normal 1518 5" xfId="33307"/>
    <cellStyle name="Normal 1519" xfId="4959"/>
    <cellStyle name="Normal 1519 2" xfId="4960"/>
    <cellStyle name="Normal 1519 2 2" xfId="4961"/>
    <cellStyle name="Normal 1519 2 3" xfId="4962"/>
    <cellStyle name="Normal 1519 2 4" xfId="33308"/>
    <cellStyle name="Normal 1519 3" xfId="4963"/>
    <cellStyle name="Normal 1519 4" xfId="4964"/>
    <cellStyle name="Normal 1519 5" xfId="33309"/>
    <cellStyle name="Normal 152" xfId="4965"/>
    <cellStyle name="Normal 152 10" xfId="33310"/>
    <cellStyle name="Normal 152 2" xfId="4966"/>
    <cellStyle name="Normal 152 2 2" xfId="4967"/>
    <cellStyle name="Normal 152 2 2 2" xfId="4968"/>
    <cellStyle name="Normal 152 2 2 3" xfId="4969"/>
    <cellStyle name="Normal 152 2 3" xfId="4970"/>
    <cellStyle name="Normal 152 2 3 2" xfId="33311"/>
    <cellStyle name="Normal 152 2 3 3" xfId="33312"/>
    <cellStyle name="Normal 152 2 4" xfId="4971"/>
    <cellStyle name="Normal 152 2 5" xfId="4972"/>
    <cellStyle name="Normal 152 2 6" xfId="33313"/>
    <cellStyle name="Normal 152 2 7" xfId="33314"/>
    <cellStyle name="Normal 152 2 8" xfId="33315"/>
    <cellStyle name="Normal 152 3" xfId="4973"/>
    <cellStyle name="Normal 152 3 2" xfId="4974"/>
    <cellStyle name="Normal 152 3 2 2" xfId="33316"/>
    <cellStyle name="Normal 152 3 2 3" xfId="33317"/>
    <cellStyle name="Normal 152 3 3" xfId="4975"/>
    <cellStyle name="Normal 152 3 3 2" xfId="33318"/>
    <cellStyle name="Normal 152 3 3 3" xfId="33319"/>
    <cellStyle name="Normal 152 3 4" xfId="33320"/>
    <cellStyle name="Normal 152 3 5" xfId="33321"/>
    <cellStyle name="Normal 152 4" xfId="4976"/>
    <cellStyle name="Normal 152 4 2" xfId="33322"/>
    <cellStyle name="Normal 152 4 3" xfId="33323"/>
    <cellStyle name="Normal 152 5" xfId="4977"/>
    <cellStyle name="Normal 152 5 2" xfId="33324"/>
    <cellStyle name="Normal 152 5 3" xfId="33325"/>
    <cellStyle name="Normal 152 6" xfId="4978"/>
    <cellStyle name="Normal 152 7" xfId="33326"/>
    <cellStyle name="Normal 152 8" xfId="33327"/>
    <cellStyle name="Normal 152 9" xfId="33328"/>
    <cellStyle name="Normal 1520" xfId="4979"/>
    <cellStyle name="Normal 1520 2" xfId="4980"/>
    <cellStyle name="Normal 1520 2 2" xfId="4981"/>
    <cellStyle name="Normal 1520 2 3" xfId="4982"/>
    <cellStyle name="Normal 1520 2 4" xfId="33329"/>
    <cellStyle name="Normal 1520 3" xfId="4983"/>
    <cellStyle name="Normal 1520 4" xfId="4984"/>
    <cellStyle name="Normal 1520 5" xfId="33330"/>
    <cellStyle name="Normal 1521" xfId="4985"/>
    <cellStyle name="Normal 1521 2" xfId="4986"/>
    <cellStyle name="Normal 1521 2 2" xfId="4987"/>
    <cellStyle name="Normal 1521 2 3" xfId="4988"/>
    <cellStyle name="Normal 1521 2 4" xfId="33331"/>
    <cellStyle name="Normal 1521 3" xfId="4989"/>
    <cellStyle name="Normal 1521 4" xfId="4990"/>
    <cellStyle name="Normal 1521 5" xfId="33332"/>
    <cellStyle name="Normal 1522" xfId="4991"/>
    <cellStyle name="Normal 1522 2" xfId="4992"/>
    <cellStyle name="Normal 1522 2 2" xfId="4993"/>
    <cellStyle name="Normal 1522 2 3" xfId="4994"/>
    <cellStyle name="Normal 1522 2 4" xfId="33333"/>
    <cellStyle name="Normal 1522 3" xfId="4995"/>
    <cellStyle name="Normal 1522 4" xfId="4996"/>
    <cellStyle name="Normal 1522 5" xfId="33334"/>
    <cellStyle name="Normal 1523" xfId="4997"/>
    <cellStyle name="Normal 1523 2" xfId="4998"/>
    <cellStyle name="Normal 1523 2 2" xfId="4999"/>
    <cellStyle name="Normal 1523 2 3" xfId="5000"/>
    <cellStyle name="Normal 1523 2 4" xfId="33335"/>
    <cellStyle name="Normal 1523 3" xfId="5001"/>
    <cellStyle name="Normal 1523 4" xfId="5002"/>
    <cellStyle name="Normal 1523 5" xfId="33336"/>
    <cellStyle name="Normal 1524" xfId="5003"/>
    <cellStyle name="Normal 1524 2" xfId="5004"/>
    <cellStyle name="Normal 1524 2 2" xfId="5005"/>
    <cellStyle name="Normal 1524 2 3" xfId="5006"/>
    <cellStyle name="Normal 1524 2 4" xfId="33337"/>
    <cellStyle name="Normal 1524 3" xfId="5007"/>
    <cellStyle name="Normal 1524 4" xfId="5008"/>
    <cellStyle name="Normal 1524 5" xfId="33338"/>
    <cellStyle name="Normal 1525" xfId="5009"/>
    <cellStyle name="Normal 1525 2" xfId="5010"/>
    <cellStyle name="Normal 1525 2 2" xfId="5011"/>
    <cellStyle name="Normal 1525 2 3" xfId="5012"/>
    <cellStyle name="Normal 1525 2 4" xfId="33339"/>
    <cellStyle name="Normal 1525 3" xfId="5013"/>
    <cellStyle name="Normal 1525 4" xfId="5014"/>
    <cellStyle name="Normal 1525 5" xfId="33340"/>
    <cellStyle name="Normal 1526" xfId="5015"/>
    <cellStyle name="Normal 1526 2" xfId="5016"/>
    <cellStyle name="Normal 1526 2 2" xfId="5017"/>
    <cellStyle name="Normal 1526 2 3" xfId="5018"/>
    <cellStyle name="Normal 1526 2 4" xfId="33341"/>
    <cellStyle name="Normal 1526 3" xfId="5019"/>
    <cellStyle name="Normal 1526 4" xfId="5020"/>
    <cellStyle name="Normal 1526 5" xfId="33342"/>
    <cellStyle name="Normal 1527" xfId="5021"/>
    <cellStyle name="Normal 1527 2" xfId="5022"/>
    <cellStyle name="Normal 1527 2 2" xfId="5023"/>
    <cellStyle name="Normal 1527 2 3" xfId="5024"/>
    <cellStyle name="Normal 1527 2 4" xfId="33343"/>
    <cellStyle name="Normal 1527 3" xfId="5025"/>
    <cellStyle name="Normal 1527 4" xfId="5026"/>
    <cellStyle name="Normal 1527 5" xfId="33344"/>
    <cellStyle name="Normal 1528" xfId="5027"/>
    <cellStyle name="Normal 1528 2" xfId="5028"/>
    <cellStyle name="Normal 1528 2 2" xfId="5029"/>
    <cellStyle name="Normal 1528 2 3" xfId="5030"/>
    <cellStyle name="Normal 1528 2 4" xfId="33345"/>
    <cellStyle name="Normal 1528 3" xfId="5031"/>
    <cellStyle name="Normal 1528 4" xfId="5032"/>
    <cellStyle name="Normal 1528 5" xfId="33346"/>
    <cellStyle name="Normal 1529" xfId="5033"/>
    <cellStyle name="Normal 1529 2" xfId="5034"/>
    <cellStyle name="Normal 1529 2 2" xfId="5035"/>
    <cellStyle name="Normal 1529 2 3" xfId="5036"/>
    <cellStyle name="Normal 1529 2 4" xfId="33347"/>
    <cellStyle name="Normal 1529 3" xfId="5037"/>
    <cellStyle name="Normal 1529 4" xfId="5038"/>
    <cellStyle name="Normal 1529 5" xfId="33348"/>
    <cellStyle name="Normal 153" xfId="5039"/>
    <cellStyle name="Normal 153 10" xfId="33349"/>
    <cellStyle name="Normal 153 2" xfId="5040"/>
    <cellStyle name="Normal 153 2 2" xfId="5041"/>
    <cellStyle name="Normal 153 2 2 2" xfId="5042"/>
    <cellStyle name="Normal 153 2 2 3" xfId="5043"/>
    <cellStyle name="Normal 153 2 3" xfId="5044"/>
    <cellStyle name="Normal 153 2 3 2" xfId="33350"/>
    <cellStyle name="Normal 153 2 3 3" xfId="33351"/>
    <cellStyle name="Normal 153 2 4" xfId="5045"/>
    <cellStyle name="Normal 153 2 5" xfId="5046"/>
    <cellStyle name="Normal 153 2 6" xfId="33352"/>
    <cellStyle name="Normal 153 2 7" xfId="33353"/>
    <cellStyle name="Normal 153 2 8" xfId="33354"/>
    <cellStyle name="Normal 153 3" xfId="5047"/>
    <cellStyle name="Normal 153 3 2" xfId="5048"/>
    <cellStyle name="Normal 153 3 2 2" xfId="33355"/>
    <cellStyle name="Normal 153 3 2 3" xfId="33356"/>
    <cellStyle name="Normal 153 3 3" xfId="5049"/>
    <cellStyle name="Normal 153 3 3 2" xfId="33357"/>
    <cellStyle name="Normal 153 3 3 3" xfId="33358"/>
    <cellStyle name="Normal 153 3 4" xfId="33359"/>
    <cellStyle name="Normal 153 3 5" xfId="33360"/>
    <cellStyle name="Normal 153 4" xfId="5050"/>
    <cellStyle name="Normal 153 4 2" xfId="33361"/>
    <cellStyle name="Normal 153 4 3" xfId="33362"/>
    <cellStyle name="Normal 153 5" xfId="5051"/>
    <cellStyle name="Normal 153 5 2" xfId="33363"/>
    <cellStyle name="Normal 153 5 3" xfId="33364"/>
    <cellStyle name="Normal 153 6" xfId="5052"/>
    <cellStyle name="Normal 153 7" xfId="33365"/>
    <cellStyle name="Normal 153 8" xfId="33366"/>
    <cellStyle name="Normal 153 9" xfId="33367"/>
    <cellStyle name="Normal 1530" xfId="5053"/>
    <cellStyle name="Normal 1530 2" xfId="5054"/>
    <cellStyle name="Normal 1530 2 2" xfId="5055"/>
    <cellStyle name="Normal 1530 2 3" xfId="5056"/>
    <cellStyle name="Normal 1530 2 4" xfId="33368"/>
    <cellStyle name="Normal 1530 3" xfId="5057"/>
    <cellStyle name="Normal 1530 4" xfId="5058"/>
    <cellStyle name="Normal 1530 5" xfId="33369"/>
    <cellStyle name="Normal 1531" xfId="5059"/>
    <cellStyle name="Normal 1531 2" xfId="5060"/>
    <cellStyle name="Normal 1531 2 2" xfId="5061"/>
    <cellStyle name="Normal 1531 2 3" xfId="5062"/>
    <cellStyle name="Normal 1531 2 4" xfId="33370"/>
    <cellStyle name="Normal 1531 3" xfId="5063"/>
    <cellStyle name="Normal 1531 4" xfId="5064"/>
    <cellStyle name="Normal 1531 5" xfId="33371"/>
    <cellStyle name="Normal 1532" xfId="5065"/>
    <cellStyle name="Normal 1532 2" xfId="5066"/>
    <cellStyle name="Normal 1532 2 2" xfId="5067"/>
    <cellStyle name="Normal 1532 2 3" xfId="5068"/>
    <cellStyle name="Normal 1532 2 4" xfId="33372"/>
    <cellStyle name="Normal 1532 3" xfId="5069"/>
    <cellStyle name="Normal 1532 4" xfId="5070"/>
    <cellStyle name="Normal 1532 5" xfId="33373"/>
    <cellStyle name="Normal 1533" xfId="5071"/>
    <cellStyle name="Normal 1533 2" xfId="5072"/>
    <cellStyle name="Normal 1533 2 2" xfId="5073"/>
    <cellStyle name="Normal 1533 2 3" xfId="5074"/>
    <cellStyle name="Normal 1533 2 4" xfId="33374"/>
    <cellStyle name="Normal 1533 3" xfId="5075"/>
    <cellStyle name="Normal 1533 4" xfId="5076"/>
    <cellStyle name="Normal 1533 5" xfId="33375"/>
    <cellStyle name="Normal 1534" xfId="5077"/>
    <cellStyle name="Normal 1534 2" xfId="5078"/>
    <cellStyle name="Normal 1534 2 2" xfId="5079"/>
    <cellStyle name="Normal 1534 2 3" xfId="5080"/>
    <cellStyle name="Normal 1534 2 4" xfId="33376"/>
    <cellStyle name="Normal 1534 3" xfId="5081"/>
    <cellStyle name="Normal 1534 4" xfId="5082"/>
    <cellStyle name="Normal 1534 5" xfId="33377"/>
    <cellStyle name="Normal 1535" xfId="5083"/>
    <cellStyle name="Normal 1535 2" xfId="5084"/>
    <cellStyle name="Normal 1535 2 2" xfId="5085"/>
    <cellStyle name="Normal 1535 2 3" xfId="5086"/>
    <cellStyle name="Normal 1535 2 4" xfId="33378"/>
    <cellStyle name="Normal 1535 3" xfId="5087"/>
    <cellStyle name="Normal 1535 4" xfId="5088"/>
    <cellStyle name="Normal 1535 5" xfId="33379"/>
    <cellStyle name="Normal 1536" xfId="5089"/>
    <cellStyle name="Normal 1536 2" xfId="5090"/>
    <cellStyle name="Normal 1536 2 2" xfId="5091"/>
    <cellStyle name="Normal 1536 2 3" xfId="5092"/>
    <cellStyle name="Normal 1536 2 4" xfId="33380"/>
    <cellStyle name="Normal 1536 3" xfId="5093"/>
    <cellStyle name="Normal 1536 4" xfId="5094"/>
    <cellStyle name="Normal 1536 5" xfId="33381"/>
    <cellStyle name="Normal 1537" xfId="5095"/>
    <cellStyle name="Normal 1537 2" xfId="5096"/>
    <cellStyle name="Normal 1537 2 2" xfId="5097"/>
    <cellStyle name="Normal 1537 2 3" xfId="5098"/>
    <cellStyle name="Normal 1537 2 4" xfId="33382"/>
    <cellStyle name="Normal 1537 3" xfId="5099"/>
    <cellStyle name="Normal 1537 4" xfId="5100"/>
    <cellStyle name="Normal 1537 5" xfId="33383"/>
    <cellStyle name="Normal 1538" xfId="5101"/>
    <cellStyle name="Normal 1538 2" xfId="5102"/>
    <cellStyle name="Normal 1538 2 2" xfId="5103"/>
    <cellStyle name="Normal 1538 2 3" xfId="5104"/>
    <cellStyle name="Normal 1538 2 4" xfId="33384"/>
    <cellStyle name="Normal 1538 3" xfId="5105"/>
    <cellStyle name="Normal 1538 4" xfId="5106"/>
    <cellStyle name="Normal 1538 5" xfId="33385"/>
    <cellStyle name="Normal 1539" xfId="5107"/>
    <cellStyle name="Normal 1539 2" xfId="5108"/>
    <cellStyle name="Normal 1539 2 2" xfId="5109"/>
    <cellStyle name="Normal 1539 2 3" xfId="5110"/>
    <cellStyle name="Normal 1539 2 4" xfId="33386"/>
    <cellStyle name="Normal 1539 3" xfId="5111"/>
    <cellStyle name="Normal 1539 4" xfId="5112"/>
    <cellStyle name="Normal 1539 5" xfId="33387"/>
    <cellStyle name="Normal 154" xfId="5113"/>
    <cellStyle name="Normal 154 10" xfId="33388"/>
    <cellStyle name="Normal 154 2" xfId="5114"/>
    <cellStyle name="Normal 154 2 2" xfId="5115"/>
    <cellStyle name="Normal 154 2 2 2" xfId="5116"/>
    <cellStyle name="Normal 154 2 2 3" xfId="5117"/>
    <cellStyle name="Normal 154 2 3" xfId="5118"/>
    <cellStyle name="Normal 154 2 3 2" xfId="33389"/>
    <cellStyle name="Normal 154 2 3 3" xfId="33390"/>
    <cellStyle name="Normal 154 2 4" xfId="5119"/>
    <cellStyle name="Normal 154 2 5" xfId="5120"/>
    <cellStyle name="Normal 154 2 6" xfId="33391"/>
    <cellStyle name="Normal 154 2 7" xfId="33392"/>
    <cellStyle name="Normal 154 2 8" xfId="33393"/>
    <cellStyle name="Normal 154 3" xfId="5121"/>
    <cellStyle name="Normal 154 3 2" xfId="5122"/>
    <cellStyle name="Normal 154 3 2 2" xfId="33394"/>
    <cellStyle name="Normal 154 3 2 3" xfId="33395"/>
    <cellStyle name="Normal 154 3 3" xfId="5123"/>
    <cellStyle name="Normal 154 3 3 2" xfId="33396"/>
    <cellStyle name="Normal 154 3 3 3" xfId="33397"/>
    <cellStyle name="Normal 154 3 4" xfId="33398"/>
    <cellStyle name="Normal 154 3 5" xfId="33399"/>
    <cellStyle name="Normal 154 4" xfId="5124"/>
    <cellStyle name="Normal 154 4 2" xfId="33400"/>
    <cellStyle name="Normal 154 4 3" xfId="33401"/>
    <cellStyle name="Normal 154 5" xfId="5125"/>
    <cellStyle name="Normal 154 5 2" xfId="33402"/>
    <cellStyle name="Normal 154 5 3" xfId="33403"/>
    <cellStyle name="Normal 154 6" xfId="5126"/>
    <cellStyle name="Normal 154 7" xfId="33404"/>
    <cellStyle name="Normal 154 8" xfId="33405"/>
    <cellStyle name="Normal 154 9" xfId="33406"/>
    <cellStyle name="Normal 1540" xfId="5127"/>
    <cellStyle name="Normal 1540 2" xfId="5128"/>
    <cellStyle name="Normal 1540 2 2" xfId="5129"/>
    <cellStyle name="Normal 1540 2 3" xfId="5130"/>
    <cellStyle name="Normal 1540 2 4" xfId="33407"/>
    <cellStyle name="Normal 1540 3" xfId="5131"/>
    <cellStyle name="Normal 1540 4" xfId="5132"/>
    <cellStyle name="Normal 1540 5" xfId="33408"/>
    <cellStyle name="Normal 1541" xfId="5133"/>
    <cellStyle name="Normal 1541 2" xfId="5134"/>
    <cellStyle name="Normal 1541 2 2" xfId="5135"/>
    <cellStyle name="Normal 1541 2 3" xfId="5136"/>
    <cellStyle name="Normal 1541 2 4" xfId="33409"/>
    <cellStyle name="Normal 1541 3" xfId="5137"/>
    <cellStyle name="Normal 1541 4" xfId="5138"/>
    <cellStyle name="Normal 1541 5" xfId="33410"/>
    <cellStyle name="Normal 1542" xfId="5139"/>
    <cellStyle name="Normal 1542 2" xfId="5140"/>
    <cellStyle name="Normal 1542 2 2" xfId="5141"/>
    <cellStyle name="Normal 1542 2 3" xfId="5142"/>
    <cellStyle name="Normal 1542 2 4" xfId="33411"/>
    <cellStyle name="Normal 1542 3" xfId="5143"/>
    <cellStyle name="Normal 1542 4" xfId="5144"/>
    <cellStyle name="Normal 1542 5" xfId="33412"/>
    <cellStyle name="Normal 1543" xfId="5145"/>
    <cellStyle name="Normal 1543 2" xfId="5146"/>
    <cellStyle name="Normal 1543 2 2" xfId="5147"/>
    <cellStyle name="Normal 1543 2 3" xfId="5148"/>
    <cellStyle name="Normal 1543 2 4" xfId="33413"/>
    <cellStyle name="Normal 1543 3" xfId="5149"/>
    <cellStyle name="Normal 1543 4" xfId="5150"/>
    <cellStyle name="Normal 1543 5" xfId="33414"/>
    <cellStyle name="Normal 1544" xfId="5151"/>
    <cellStyle name="Normal 1544 2" xfId="5152"/>
    <cellStyle name="Normal 1544 2 2" xfId="5153"/>
    <cellStyle name="Normal 1544 2 3" xfId="5154"/>
    <cellStyle name="Normal 1544 2 4" xfId="33415"/>
    <cellStyle name="Normal 1544 3" xfId="5155"/>
    <cellStyle name="Normal 1544 4" xfId="5156"/>
    <cellStyle name="Normal 1544 5" xfId="33416"/>
    <cellStyle name="Normal 1545" xfId="5157"/>
    <cellStyle name="Normal 1545 2" xfId="5158"/>
    <cellStyle name="Normal 1545 2 2" xfId="5159"/>
    <cellStyle name="Normal 1545 2 3" xfId="5160"/>
    <cellStyle name="Normal 1545 2 4" xfId="33417"/>
    <cellStyle name="Normal 1545 3" xfId="5161"/>
    <cellStyle name="Normal 1545 4" xfId="5162"/>
    <cellStyle name="Normal 1545 5" xfId="33418"/>
    <cellStyle name="Normal 1546" xfId="5163"/>
    <cellStyle name="Normal 1546 2" xfId="5164"/>
    <cellStyle name="Normal 1546 2 2" xfId="5165"/>
    <cellStyle name="Normal 1546 2 3" xfId="5166"/>
    <cellStyle name="Normal 1546 2 4" xfId="33419"/>
    <cellStyle name="Normal 1546 3" xfId="5167"/>
    <cellStyle name="Normal 1546 4" xfId="5168"/>
    <cellStyle name="Normal 1546 5" xfId="33420"/>
    <cellStyle name="Normal 1547" xfId="5169"/>
    <cellStyle name="Normal 1547 2" xfId="5170"/>
    <cellStyle name="Normal 1547 2 2" xfId="5171"/>
    <cellStyle name="Normal 1547 2 3" xfId="5172"/>
    <cellStyle name="Normal 1547 2 4" xfId="33421"/>
    <cellStyle name="Normal 1547 3" xfId="5173"/>
    <cellStyle name="Normal 1547 4" xfId="5174"/>
    <cellStyle name="Normal 1547 5" xfId="33422"/>
    <cellStyle name="Normal 1548" xfId="5175"/>
    <cellStyle name="Normal 1548 2" xfId="5176"/>
    <cellStyle name="Normal 1548 2 2" xfId="5177"/>
    <cellStyle name="Normal 1548 2 3" xfId="5178"/>
    <cellStyle name="Normal 1548 2 4" xfId="33423"/>
    <cellStyle name="Normal 1548 3" xfId="5179"/>
    <cellStyle name="Normal 1548 4" xfId="5180"/>
    <cellStyle name="Normal 1548 5" xfId="33424"/>
    <cellStyle name="Normal 1549" xfId="5181"/>
    <cellStyle name="Normal 1549 2" xfId="5182"/>
    <cellStyle name="Normal 1549 2 2" xfId="5183"/>
    <cellStyle name="Normal 1549 2 3" xfId="5184"/>
    <cellStyle name="Normal 1549 2 4" xfId="33425"/>
    <cellStyle name="Normal 1549 3" xfId="5185"/>
    <cellStyle name="Normal 1549 4" xfId="5186"/>
    <cellStyle name="Normal 1549 5" xfId="33426"/>
    <cellStyle name="Normal 155" xfId="5187"/>
    <cellStyle name="Normal 155 10" xfId="33427"/>
    <cellStyle name="Normal 155 2" xfId="5188"/>
    <cellStyle name="Normal 155 2 2" xfId="5189"/>
    <cellStyle name="Normal 155 2 2 2" xfId="5190"/>
    <cellStyle name="Normal 155 2 2 3" xfId="5191"/>
    <cellStyle name="Normal 155 2 3" xfId="5192"/>
    <cellStyle name="Normal 155 2 3 2" xfId="33428"/>
    <cellStyle name="Normal 155 2 3 3" xfId="33429"/>
    <cellStyle name="Normal 155 2 4" xfId="5193"/>
    <cellStyle name="Normal 155 2 5" xfId="5194"/>
    <cellStyle name="Normal 155 2 6" xfId="33430"/>
    <cellStyle name="Normal 155 2 7" xfId="33431"/>
    <cellStyle name="Normal 155 2 8" xfId="33432"/>
    <cellStyle name="Normal 155 3" xfId="5195"/>
    <cellStyle name="Normal 155 3 2" xfId="5196"/>
    <cellStyle name="Normal 155 3 2 2" xfId="33433"/>
    <cellStyle name="Normal 155 3 2 3" xfId="33434"/>
    <cellStyle name="Normal 155 3 3" xfId="5197"/>
    <cellStyle name="Normal 155 3 3 2" xfId="33435"/>
    <cellStyle name="Normal 155 3 3 3" xfId="33436"/>
    <cellStyle name="Normal 155 3 4" xfId="33437"/>
    <cellStyle name="Normal 155 3 5" xfId="33438"/>
    <cellStyle name="Normal 155 4" xfId="5198"/>
    <cellStyle name="Normal 155 4 2" xfId="33439"/>
    <cellStyle name="Normal 155 4 3" xfId="33440"/>
    <cellStyle name="Normal 155 5" xfId="5199"/>
    <cellStyle name="Normal 155 5 2" xfId="33441"/>
    <cellStyle name="Normal 155 5 3" xfId="33442"/>
    <cellStyle name="Normal 155 6" xfId="5200"/>
    <cellStyle name="Normal 155 7" xfId="33443"/>
    <cellStyle name="Normal 155 8" xfId="33444"/>
    <cellStyle name="Normal 155 9" xfId="33445"/>
    <cellStyle name="Normal 1550" xfId="5201"/>
    <cellStyle name="Normal 1550 2" xfId="5202"/>
    <cellStyle name="Normal 1550 2 2" xfId="5203"/>
    <cellStyle name="Normal 1550 2 3" xfId="5204"/>
    <cellStyle name="Normal 1550 2 4" xfId="33446"/>
    <cellStyle name="Normal 1550 3" xfId="5205"/>
    <cellStyle name="Normal 1550 4" xfId="5206"/>
    <cellStyle name="Normal 1550 5" xfId="33447"/>
    <cellStyle name="Normal 1551" xfId="5207"/>
    <cellStyle name="Normal 1551 2" xfId="5208"/>
    <cellStyle name="Normal 1551 2 2" xfId="5209"/>
    <cellStyle name="Normal 1551 2 3" xfId="5210"/>
    <cellStyle name="Normal 1551 2 4" xfId="33448"/>
    <cellStyle name="Normal 1551 3" xfId="5211"/>
    <cellStyle name="Normal 1551 4" xfId="5212"/>
    <cellStyle name="Normal 1551 5" xfId="33449"/>
    <cellStyle name="Normal 1552" xfId="5213"/>
    <cellStyle name="Normal 1552 2" xfId="5214"/>
    <cellStyle name="Normal 1552 2 2" xfId="5215"/>
    <cellStyle name="Normal 1552 2 3" xfId="5216"/>
    <cellStyle name="Normal 1552 2 4" xfId="33450"/>
    <cellStyle name="Normal 1552 3" xfId="5217"/>
    <cellStyle name="Normal 1552 4" xfId="5218"/>
    <cellStyle name="Normal 1552 5" xfId="33451"/>
    <cellStyle name="Normal 1553" xfId="5219"/>
    <cellStyle name="Normal 1553 2" xfId="5220"/>
    <cellStyle name="Normal 1553 2 2" xfId="5221"/>
    <cellStyle name="Normal 1553 2 3" xfId="5222"/>
    <cellStyle name="Normal 1553 2 4" xfId="33452"/>
    <cellStyle name="Normal 1553 3" xfId="5223"/>
    <cellStyle name="Normal 1553 4" xfId="5224"/>
    <cellStyle name="Normal 1553 5" xfId="33453"/>
    <cellStyle name="Normal 1554" xfId="5225"/>
    <cellStyle name="Normal 1554 2" xfId="5226"/>
    <cellStyle name="Normal 1554 2 2" xfId="5227"/>
    <cellStyle name="Normal 1554 2 3" xfId="5228"/>
    <cellStyle name="Normal 1554 2 4" xfId="33454"/>
    <cellStyle name="Normal 1554 3" xfId="5229"/>
    <cellStyle name="Normal 1554 4" xfId="5230"/>
    <cellStyle name="Normal 1554 5" xfId="33455"/>
    <cellStyle name="Normal 1555" xfId="5231"/>
    <cellStyle name="Normal 1555 2" xfId="5232"/>
    <cellStyle name="Normal 1555 2 2" xfId="5233"/>
    <cellStyle name="Normal 1555 2 3" xfId="5234"/>
    <cellStyle name="Normal 1555 2 4" xfId="33456"/>
    <cellStyle name="Normal 1555 3" xfId="5235"/>
    <cellStyle name="Normal 1555 4" xfId="5236"/>
    <cellStyle name="Normal 1555 5" xfId="33457"/>
    <cellStyle name="Normal 1556" xfId="5237"/>
    <cellStyle name="Normal 1556 2" xfId="5238"/>
    <cellStyle name="Normal 1556 2 2" xfId="5239"/>
    <cellStyle name="Normal 1556 2 3" xfId="5240"/>
    <cellStyle name="Normal 1556 2 4" xfId="33458"/>
    <cellStyle name="Normal 1556 3" xfId="5241"/>
    <cellStyle name="Normal 1556 4" xfId="5242"/>
    <cellStyle name="Normal 1556 5" xfId="33459"/>
    <cellStyle name="Normal 1557" xfId="5243"/>
    <cellStyle name="Normal 1557 2" xfId="5244"/>
    <cellStyle name="Normal 1557 2 2" xfId="5245"/>
    <cellStyle name="Normal 1557 2 3" xfId="5246"/>
    <cellStyle name="Normal 1557 2 4" xfId="33460"/>
    <cellStyle name="Normal 1557 3" xfId="5247"/>
    <cellStyle name="Normal 1557 4" xfId="5248"/>
    <cellStyle name="Normal 1557 5" xfId="33461"/>
    <cellStyle name="Normal 1558" xfId="5249"/>
    <cellStyle name="Normal 1558 2" xfId="5250"/>
    <cellStyle name="Normal 1558 2 2" xfId="5251"/>
    <cellStyle name="Normal 1558 2 3" xfId="5252"/>
    <cellStyle name="Normal 1558 2 4" xfId="33462"/>
    <cellStyle name="Normal 1558 3" xfId="5253"/>
    <cellStyle name="Normal 1558 4" xfId="5254"/>
    <cellStyle name="Normal 1558 5" xfId="33463"/>
    <cellStyle name="Normal 1559" xfId="5255"/>
    <cellStyle name="Normal 1559 2" xfId="5256"/>
    <cellStyle name="Normal 1559 2 2" xfId="5257"/>
    <cellStyle name="Normal 1559 2 3" xfId="5258"/>
    <cellStyle name="Normal 1559 2 4" xfId="33464"/>
    <cellStyle name="Normal 1559 3" xfId="5259"/>
    <cellStyle name="Normal 1559 4" xfId="5260"/>
    <cellStyle name="Normal 1559 5" xfId="33465"/>
    <cellStyle name="Normal 156" xfId="5261"/>
    <cellStyle name="Normal 156 10" xfId="33466"/>
    <cellStyle name="Normal 156 2" xfId="5262"/>
    <cellStyle name="Normal 156 2 2" xfId="5263"/>
    <cellStyle name="Normal 156 2 2 2" xfId="5264"/>
    <cellStyle name="Normal 156 2 2 3" xfId="5265"/>
    <cellStyle name="Normal 156 2 3" xfId="5266"/>
    <cellStyle name="Normal 156 2 3 2" xfId="33467"/>
    <cellStyle name="Normal 156 2 3 3" xfId="33468"/>
    <cellStyle name="Normal 156 2 4" xfId="5267"/>
    <cellStyle name="Normal 156 2 5" xfId="5268"/>
    <cellStyle name="Normal 156 2 6" xfId="33469"/>
    <cellStyle name="Normal 156 2 7" xfId="33470"/>
    <cellStyle name="Normal 156 2 8" xfId="33471"/>
    <cellStyle name="Normal 156 3" xfId="5269"/>
    <cellStyle name="Normal 156 3 2" xfId="5270"/>
    <cellStyle name="Normal 156 3 2 2" xfId="33472"/>
    <cellStyle name="Normal 156 3 2 3" xfId="33473"/>
    <cellStyle name="Normal 156 3 3" xfId="5271"/>
    <cellStyle name="Normal 156 3 3 2" xfId="33474"/>
    <cellStyle name="Normal 156 3 3 3" xfId="33475"/>
    <cellStyle name="Normal 156 3 4" xfId="33476"/>
    <cellStyle name="Normal 156 3 5" xfId="33477"/>
    <cellStyle name="Normal 156 4" xfId="5272"/>
    <cellStyle name="Normal 156 4 2" xfId="33478"/>
    <cellStyle name="Normal 156 4 3" xfId="33479"/>
    <cellStyle name="Normal 156 5" xfId="5273"/>
    <cellStyle name="Normal 156 5 2" xfId="33480"/>
    <cellStyle name="Normal 156 5 3" xfId="33481"/>
    <cellStyle name="Normal 156 6" xfId="5274"/>
    <cellStyle name="Normal 156 7" xfId="33482"/>
    <cellStyle name="Normal 156 8" xfId="33483"/>
    <cellStyle name="Normal 156 9" xfId="33484"/>
    <cellStyle name="Normal 1560" xfId="5275"/>
    <cellStyle name="Normal 1560 2" xfId="5276"/>
    <cellStyle name="Normal 1560 2 2" xfId="5277"/>
    <cellStyle name="Normal 1560 2 3" xfId="5278"/>
    <cellStyle name="Normal 1560 2 4" xfId="33485"/>
    <cellStyle name="Normal 1560 3" xfId="5279"/>
    <cellStyle name="Normal 1560 4" xfId="5280"/>
    <cellStyle name="Normal 1560 5" xfId="33486"/>
    <cellStyle name="Normal 1561" xfId="5281"/>
    <cellStyle name="Normal 1561 2" xfId="5282"/>
    <cellStyle name="Normal 1561 2 2" xfId="5283"/>
    <cellStyle name="Normal 1561 2 3" xfId="5284"/>
    <cellStyle name="Normal 1561 2 4" xfId="33487"/>
    <cellStyle name="Normal 1561 3" xfId="5285"/>
    <cellStyle name="Normal 1561 4" xfId="5286"/>
    <cellStyle name="Normal 1561 5" xfId="33488"/>
    <cellStyle name="Normal 1562" xfId="5287"/>
    <cellStyle name="Normal 1562 2" xfId="5288"/>
    <cellStyle name="Normal 1562 2 2" xfId="5289"/>
    <cellStyle name="Normal 1562 2 3" xfId="5290"/>
    <cellStyle name="Normal 1562 2 4" xfId="33489"/>
    <cellStyle name="Normal 1562 3" xfId="5291"/>
    <cellStyle name="Normal 1562 4" xfId="5292"/>
    <cellStyle name="Normal 1562 5" xfId="33490"/>
    <cellStyle name="Normal 1563" xfId="5293"/>
    <cellStyle name="Normal 1563 2" xfId="5294"/>
    <cellStyle name="Normal 1563 2 2" xfId="5295"/>
    <cellStyle name="Normal 1563 2 3" xfId="5296"/>
    <cellStyle name="Normal 1563 2 4" xfId="33491"/>
    <cellStyle name="Normal 1563 3" xfId="5297"/>
    <cellStyle name="Normal 1563 4" xfId="5298"/>
    <cellStyle name="Normal 1563 5" xfId="33492"/>
    <cellStyle name="Normal 1564" xfId="5299"/>
    <cellStyle name="Normal 1564 2" xfId="5300"/>
    <cellStyle name="Normal 1564 2 2" xfId="5301"/>
    <cellStyle name="Normal 1564 2 3" xfId="5302"/>
    <cellStyle name="Normal 1564 2 4" xfId="33493"/>
    <cellStyle name="Normal 1564 3" xfId="5303"/>
    <cellStyle name="Normal 1564 4" xfId="5304"/>
    <cellStyle name="Normal 1564 5" xfId="33494"/>
    <cellStyle name="Normal 1565" xfId="5305"/>
    <cellStyle name="Normal 1565 2" xfId="5306"/>
    <cellStyle name="Normal 1565 2 2" xfId="5307"/>
    <cellStyle name="Normal 1565 2 3" xfId="5308"/>
    <cellStyle name="Normal 1565 2 4" xfId="33495"/>
    <cellStyle name="Normal 1565 3" xfId="5309"/>
    <cellStyle name="Normal 1565 4" xfId="5310"/>
    <cellStyle name="Normal 1565 5" xfId="33496"/>
    <cellStyle name="Normal 1566" xfId="5311"/>
    <cellStyle name="Normal 1566 2" xfId="5312"/>
    <cellStyle name="Normal 1566 2 2" xfId="5313"/>
    <cellStyle name="Normal 1566 2 3" xfId="5314"/>
    <cellStyle name="Normal 1566 2 4" xfId="33497"/>
    <cellStyle name="Normal 1566 3" xfId="5315"/>
    <cellStyle name="Normal 1566 4" xfId="5316"/>
    <cellStyle name="Normal 1566 5" xfId="33498"/>
    <cellStyle name="Normal 1567" xfId="5317"/>
    <cellStyle name="Normal 1567 2" xfId="5318"/>
    <cellStyle name="Normal 1567 2 2" xfId="5319"/>
    <cellStyle name="Normal 1567 2 3" xfId="5320"/>
    <cellStyle name="Normal 1567 2 4" xfId="33499"/>
    <cellStyle name="Normal 1567 3" xfId="5321"/>
    <cellStyle name="Normal 1567 4" xfId="5322"/>
    <cellStyle name="Normal 1567 5" xfId="33500"/>
    <cellStyle name="Normal 1568" xfId="5323"/>
    <cellStyle name="Normal 1568 2" xfId="5324"/>
    <cellStyle name="Normal 1568 2 2" xfId="5325"/>
    <cellStyle name="Normal 1568 2 3" xfId="5326"/>
    <cellStyle name="Normal 1568 2 4" xfId="33501"/>
    <cellStyle name="Normal 1568 3" xfId="5327"/>
    <cellStyle name="Normal 1568 4" xfId="5328"/>
    <cellStyle name="Normal 1568 5" xfId="33502"/>
    <cellStyle name="Normal 1569" xfId="5329"/>
    <cellStyle name="Normal 1569 2" xfId="5330"/>
    <cellStyle name="Normal 1569 2 2" xfId="5331"/>
    <cellStyle name="Normal 1569 2 3" xfId="5332"/>
    <cellStyle name="Normal 1569 2 4" xfId="33503"/>
    <cellStyle name="Normal 1569 3" xfId="5333"/>
    <cellStyle name="Normal 1569 4" xfId="5334"/>
    <cellStyle name="Normal 1569 5" xfId="33504"/>
    <cellStyle name="Normal 157" xfId="5335"/>
    <cellStyle name="Normal 157 10" xfId="33505"/>
    <cellStyle name="Normal 157 2" xfId="5336"/>
    <cellStyle name="Normal 157 2 2" xfId="5337"/>
    <cellStyle name="Normal 157 2 2 2" xfId="5338"/>
    <cellStyle name="Normal 157 2 2 3" xfId="5339"/>
    <cellStyle name="Normal 157 2 3" xfId="5340"/>
    <cellStyle name="Normal 157 2 3 2" xfId="33506"/>
    <cellStyle name="Normal 157 2 3 3" xfId="33507"/>
    <cellStyle name="Normal 157 2 4" xfId="5341"/>
    <cellStyle name="Normal 157 2 5" xfId="5342"/>
    <cellStyle name="Normal 157 2 6" xfId="33508"/>
    <cellStyle name="Normal 157 2 7" xfId="33509"/>
    <cellStyle name="Normal 157 2 8" xfId="33510"/>
    <cellStyle name="Normal 157 3" xfId="5343"/>
    <cellStyle name="Normal 157 3 2" xfId="5344"/>
    <cellStyle name="Normal 157 3 2 2" xfId="33511"/>
    <cellStyle name="Normal 157 3 2 3" xfId="33512"/>
    <cellStyle name="Normal 157 3 3" xfId="5345"/>
    <cellStyle name="Normal 157 3 3 2" xfId="33513"/>
    <cellStyle name="Normal 157 3 3 3" xfId="33514"/>
    <cellStyle name="Normal 157 3 4" xfId="33515"/>
    <cellStyle name="Normal 157 3 5" xfId="33516"/>
    <cellStyle name="Normal 157 4" xfId="5346"/>
    <cellStyle name="Normal 157 4 2" xfId="33517"/>
    <cellStyle name="Normal 157 4 3" xfId="33518"/>
    <cellStyle name="Normal 157 5" xfId="5347"/>
    <cellStyle name="Normal 157 5 2" xfId="33519"/>
    <cellStyle name="Normal 157 5 3" xfId="33520"/>
    <cellStyle name="Normal 157 6" xfId="5348"/>
    <cellStyle name="Normal 157 7" xfId="33521"/>
    <cellStyle name="Normal 157 8" xfId="33522"/>
    <cellStyle name="Normal 157 9" xfId="33523"/>
    <cellStyle name="Normal 1570" xfId="5349"/>
    <cellStyle name="Normal 1570 2" xfId="5350"/>
    <cellStyle name="Normal 1570 2 2" xfId="5351"/>
    <cellStyle name="Normal 1570 2 3" xfId="5352"/>
    <cellStyle name="Normal 1570 2 4" xfId="33524"/>
    <cellStyle name="Normal 1570 3" xfId="5353"/>
    <cellStyle name="Normal 1570 4" xfId="5354"/>
    <cellStyle name="Normal 1570 5" xfId="33525"/>
    <cellStyle name="Normal 1571" xfId="5355"/>
    <cellStyle name="Normal 1571 2" xfId="5356"/>
    <cellStyle name="Normal 1571 2 2" xfId="5357"/>
    <cellStyle name="Normal 1571 2 3" xfId="5358"/>
    <cellStyle name="Normal 1571 2 4" xfId="33526"/>
    <cellStyle name="Normal 1571 3" xfId="5359"/>
    <cellStyle name="Normal 1571 4" xfId="5360"/>
    <cellStyle name="Normal 1571 5" xfId="33527"/>
    <cellStyle name="Normal 1572" xfId="5361"/>
    <cellStyle name="Normal 1572 2" xfId="5362"/>
    <cellStyle name="Normal 1572 2 2" xfId="5363"/>
    <cellStyle name="Normal 1572 2 3" xfId="5364"/>
    <cellStyle name="Normal 1572 2 4" xfId="33528"/>
    <cellStyle name="Normal 1572 3" xfId="5365"/>
    <cellStyle name="Normal 1572 4" xfId="5366"/>
    <cellStyle name="Normal 1572 5" xfId="33529"/>
    <cellStyle name="Normal 1573" xfId="5367"/>
    <cellStyle name="Normal 1573 2" xfId="5368"/>
    <cellStyle name="Normal 1573 2 2" xfId="5369"/>
    <cellStyle name="Normal 1573 2 3" xfId="5370"/>
    <cellStyle name="Normal 1573 2 4" xfId="33530"/>
    <cellStyle name="Normal 1573 3" xfId="5371"/>
    <cellStyle name="Normal 1573 4" xfId="5372"/>
    <cellStyle name="Normal 1573 5" xfId="33531"/>
    <cellStyle name="Normal 1574" xfId="5373"/>
    <cellStyle name="Normal 1574 2" xfId="5374"/>
    <cellStyle name="Normal 1574 2 2" xfId="5375"/>
    <cellStyle name="Normal 1574 2 3" xfId="5376"/>
    <cellStyle name="Normal 1574 2 4" xfId="33532"/>
    <cellStyle name="Normal 1574 3" xfId="5377"/>
    <cellStyle name="Normal 1574 4" xfId="5378"/>
    <cellStyle name="Normal 1574 5" xfId="33533"/>
    <cellStyle name="Normal 1575" xfId="5379"/>
    <cellStyle name="Normal 1575 2" xfId="5380"/>
    <cellStyle name="Normal 1575 2 2" xfId="5381"/>
    <cellStyle name="Normal 1575 2 3" xfId="5382"/>
    <cellStyle name="Normal 1575 2 4" xfId="33534"/>
    <cellStyle name="Normal 1575 3" xfId="5383"/>
    <cellStyle name="Normal 1575 4" xfId="5384"/>
    <cellStyle name="Normal 1575 5" xfId="33535"/>
    <cellStyle name="Normal 1576" xfId="5385"/>
    <cellStyle name="Normal 1576 2" xfId="5386"/>
    <cellStyle name="Normal 1576 2 2" xfId="5387"/>
    <cellStyle name="Normal 1576 2 3" xfId="5388"/>
    <cellStyle name="Normal 1576 2 4" xfId="33536"/>
    <cellStyle name="Normal 1576 3" xfId="5389"/>
    <cellStyle name="Normal 1576 4" xfId="5390"/>
    <cellStyle name="Normal 1576 5" xfId="33537"/>
    <cellStyle name="Normal 1577" xfId="5391"/>
    <cellStyle name="Normal 1577 2" xfId="5392"/>
    <cellStyle name="Normal 1577 2 2" xfId="5393"/>
    <cellStyle name="Normal 1577 2 3" xfId="5394"/>
    <cellStyle name="Normal 1577 2 4" xfId="33538"/>
    <cellStyle name="Normal 1577 3" xfId="5395"/>
    <cellStyle name="Normal 1577 4" xfId="5396"/>
    <cellStyle name="Normal 1577 5" xfId="33539"/>
    <cellStyle name="Normal 1578" xfId="5397"/>
    <cellStyle name="Normal 1578 2" xfId="5398"/>
    <cellStyle name="Normal 1578 2 2" xfId="5399"/>
    <cellStyle name="Normal 1578 2 3" xfId="5400"/>
    <cellStyle name="Normal 1578 2 4" xfId="33540"/>
    <cellStyle name="Normal 1578 3" xfId="5401"/>
    <cellStyle name="Normal 1578 4" xfId="5402"/>
    <cellStyle name="Normal 1578 5" xfId="33541"/>
    <cellStyle name="Normal 1579" xfId="5403"/>
    <cellStyle name="Normal 1579 2" xfId="5404"/>
    <cellStyle name="Normal 1579 2 2" xfId="5405"/>
    <cellStyle name="Normal 1579 2 3" xfId="5406"/>
    <cellStyle name="Normal 1579 2 4" xfId="33542"/>
    <cellStyle name="Normal 1579 3" xfId="5407"/>
    <cellStyle name="Normal 1579 4" xfId="5408"/>
    <cellStyle name="Normal 1579 5" xfId="33543"/>
    <cellStyle name="Normal 158" xfId="5409"/>
    <cellStyle name="Normal 158 10" xfId="33544"/>
    <cellStyle name="Normal 158 2" xfId="5410"/>
    <cellStyle name="Normal 158 2 2" xfId="5411"/>
    <cellStyle name="Normal 158 2 2 2" xfId="5412"/>
    <cellStyle name="Normal 158 2 2 3" xfId="5413"/>
    <cellStyle name="Normal 158 2 3" xfId="5414"/>
    <cellStyle name="Normal 158 2 3 2" xfId="33545"/>
    <cellStyle name="Normal 158 2 3 3" xfId="33546"/>
    <cellStyle name="Normal 158 2 4" xfId="5415"/>
    <cellStyle name="Normal 158 2 5" xfId="5416"/>
    <cellStyle name="Normal 158 2 6" xfId="33547"/>
    <cellStyle name="Normal 158 2 7" xfId="33548"/>
    <cellStyle name="Normal 158 2 8" xfId="33549"/>
    <cellStyle name="Normal 158 3" xfId="5417"/>
    <cellStyle name="Normal 158 3 2" xfId="5418"/>
    <cellStyle name="Normal 158 3 2 2" xfId="33550"/>
    <cellStyle name="Normal 158 3 2 3" xfId="33551"/>
    <cellStyle name="Normal 158 3 3" xfId="5419"/>
    <cellStyle name="Normal 158 3 3 2" xfId="33552"/>
    <cellStyle name="Normal 158 3 3 3" xfId="33553"/>
    <cellStyle name="Normal 158 3 4" xfId="33554"/>
    <cellStyle name="Normal 158 3 5" xfId="33555"/>
    <cellStyle name="Normal 158 4" xfId="5420"/>
    <cellStyle name="Normal 158 4 2" xfId="33556"/>
    <cellStyle name="Normal 158 4 3" xfId="33557"/>
    <cellStyle name="Normal 158 5" xfId="5421"/>
    <cellStyle name="Normal 158 5 2" xfId="33558"/>
    <cellStyle name="Normal 158 5 3" xfId="33559"/>
    <cellStyle name="Normal 158 6" xfId="5422"/>
    <cellStyle name="Normal 158 7" xfId="33560"/>
    <cellStyle name="Normal 158 8" xfId="33561"/>
    <cellStyle name="Normal 158 9" xfId="33562"/>
    <cellStyle name="Normal 1580" xfId="5423"/>
    <cellStyle name="Normal 1580 2" xfId="5424"/>
    <cellStyle name="Normal 1580 2 2" xfId="5425"/>
    <cellStyle name="Normal 1580 2 3" xfId="5426"/>
    <cellStyle name="Normal 1580 2 4" xfId="33563"/>
    <cellStyle name="Normal 1580 3" xfId="5427"/>
    <cellStyle name="Normal 1580 4" xfId="5428"/>
    <cellStyle name="Normal 1580 5" xfId="33564"/>
    <cellStyle name="Normal 1581" xfId="5429"/>
    <cellStyle name="Normal 1581 2" xfId="5430"/>
    <cellStyle name="Normal 1581 2 2" xfId="5431"/>
    <cellStyle name="Normal 1581 2 3" xfId="5432"/>
    <cellStyle name="Normal 1581 2 4" xfId="33565"/>
    <cellStyle name="Normal 1581 3" xfId="5433"/>
    <cellStyle name="Normal 1581 4" xfId="5434"/>
    <cellStyle name="Normal 1581 5" xfId="33566"/>
    <cellStyle name="Normal 1582" xfId="5435"/>
    <cellStyle name="Normal 1582 2" xfId="5436"/>
    <cellStyle name="Normal 1582 2 2" xfId="5437"/>
    <cellStyle name="Normal 1582 2 3" xfId="5438"/>
    <cellStyle name="Normal 1582 2 4" xfId="33567"/>
    <cellStyle name="Normal 1582 3" xfId="5439"/>
    <cellStyle name="Normal 1582 4" xfId="5440"/>
    <cellStyle name="Normal 1582 5" xfId="33568"/>
    <cellStyle name="Normal 1583" xfId="5441"/>
    <cellStyle name="Normal 1583 2" xfId="5442"/>
    <cellStyle name="Normal 1583 2 2" xfId="5443"/>
    <cellStyle name="Normal 1583 2 3" xfId="5444"/>
    <cellStyle name="Normal 1583 2 4" xfId="33569"/>
    <cellStyle name="Normal 1583 3" xfId="5445"/>
    <cellStyle name="Normal 1583 4" xfId="5446"/>
    <cellStyle name="Normal 1583 5" xfId="33570"/>
    <cellStyle name="Normal 1584" xfId="5447"/>
    <cellStyle name="Normal 1584 2" xfId="5448"/>
    <cellStyle name="Normal 1584 2 2" xfId="5449"/>
    <cellStyle name="Normal 1584 2 3" xfId="5450"/>
    <cellStyle name="Normal 1584 2 4" xfId="33571"/>
    <cellStyle name="Normal 1584 3" xfId="5451"/>
    <cellStyle name="Normal 1584 4" xfId="5452"/>
    <cellStyle name="Normal 1584 5" xfId="33572"/>
    <cellStyle name="Normal 1585" xfId="5453"/>
    <cellStyle name="Normal 1585 2" xfId="5454"/>
    <cellStyle name="Normal 1585 2 2" xfId="5455"/>
    <cellStyle name="Normal 1585 2 3" xfId="5456"/>
    <cellStyle name="Normal 1585 2 4" xfId="33573"/>
    <cellStyle name="Normal 1585 3" xfId="5457"/>
    <cellStyle name="Normal 1585 4" xfId="5458"/>
    <cellStyle name="Normal 1585 5" xfId="33574"/>
    <cellStyle name="Normal 1586" xfId="5459"/>
    <cellStyle name="Normal 1586 2" xfId="5460"/>
    <cellStyle name="Normal 1586 2 2" xfId="5461"/>
    <cellStyle name="Normal 1586 2 3" xfId="5462"/>
    <cellStyle name="Normal 1586 2 4" xfId="33575"/>
    <cellStyle name="Normal 1586 3" xfId="5463"/>
    <cellStyle name="Normal 1586 4" xfId="5464"/>
    <cellStyle name="Normal 1586 5" xfId="33576"/>
    <cellStyle name="Normal 1587" xfId="5465"/>
    <cellStyle name="Normal 1587 2" xfId="5466"/>
    <cellStyle name="Normal 1587 2 2" xfId="5467"/>
    <cellStyle name="Normal 1587 2 3" xfId="5468"/>
    <cellStyle name="Normal 1587 2 4" xfId="33577"/>
    <cellStyle name="Normal 1587 3" xfId="5469"/>
    <cellStyle name="Normal 1587 4" xfId="5470"/>
    <cellStyle name="Normal 1587 5" xfId="33578"/>
    <cellStyle name="Normal 1588" xfId="5471"/>
    <cellStyle name="Normal 1588 2" xfId="5472"/>
    <cellStyle name="Normal 1588 2 2" xfId="5473"/>
    <cellStyle name="Normal 1588 2 3" xfId="5474"/>
    <cellStyle name="Normal 1588 2 4" xfId="33579"/>
    <cellStyle name="Normal 1588 3" xfId="5475"/>
    <cellStyle name="Normal 1588 4" xfId="5476"/>
    <cellStyle name="Normal 1588 5" xfId="33580"/>
    <cellStyle name="Normal 1589" xfId="5477"/>
    <cellStyle name="Normal 1589 2" xfId="5478"/>
    <cellStyle name="Normal 1589 2 2" xfId="5479"/>
    <cellStyle name="Normal 1589 2 3" xfId="5480"/>
    <cellStyle name="Normal 1589 2 4" xfId="33581"/>
    <cellStyle name="Normal 1589 3" xfId="5481"/>
    <cellStyle name="Normal 1589 4" xfId="5482"/>
    <cellStyle name="Normal 1589 5" xfId="33582"/>
    <cellStyle name="Normal 159" xfId="5483"/>
    <cellStyle name="Normal 159 10" xfId="33583"/>
    <cellStyle name="Normal 159 2" xfId="5484"/>
    <cellStyle name="Normal 159 2 2" xfId="5485"/>
    <cellStyle name="Normal 159 2 2 2" xfId="5486"/>
    <cellStyle name="Normal 159 2 2 3" xfId="5487"/>
    <cellStyle name="Normal 159 2 3" xfId="5488"/>
    <cellStyle name="Normal 159 2 3 2" xfId="33584"/>
    <cellStyle name="Normal 159 2 3 3" xfId="33585"/>
    <cellStyle name="Normal 159 2 4" xfId="5489"/>
    <cellStyle name="Normal 159 2 5" xfId="5490"/>
    <cellStyle name="Normal 159 2 6" xfId="33586"/>
    <cellStyle name="Normal 159 2 7" xfId="33587"/>
    <cellStyle name="Normal 159 2 8" xfId="33588"/>
    <cellStyle name="Normal 159 3" xfId="5491"/>
    <cellStyle name="Normal 159 3 2" xfId="5492"/>
    <cellStyle name="Normal 159 3 2 2" xfId="33589"/>
    <cellStyle name="Normal 159 3 2 3" xfId="33590"/>
    <cellStyle name="Normal 159 3 3" xfId="5493"/>
    <cellStyle name="Normal 159 3 3 2" xfId="33591"/>
    <cellStyle name="Normal 159 3 3 3" xfId="33592"/>
    <cellStyle name="Normal 159 3 4" xfId="33593"/>
    <cellStyle name="Normal 159 3 5" xfId="33594"/>
    <cellStyle name="Normal 159 4" xfId="5494"/>
    <cellStyle name="Normal 159 4 2" xfId="33595"/>
    <cellStyle name="Normal 159 4 3" xfId="33596"/>
    <cellStyle name="Normal 159 5" xfId="5495"/>
    <cellStyle name="Normal 159 5 2" xfId="33597"/>
    <cellStyle name="Normal 159 5 3" xfId="33598"/>
    <cellStyle name="Normal 159 6" xfId="5496"/>
    <cellStyle name="Normal 159 7" xfId="33599"/>
    <cellStyle name="Normal 159 8" xfId="33600"/>
    <cellStyle name="Normal 159 9" xfId="33601"/>
    <cellStyle name="Normal 1590" xfId="5497"/>
    <cellStyle name="Normal 1590 2" xfId="5498"/>
    <cellStyle name="Normal 1590 2 2" xfId="5499"/>
    <cellStyle name="Normal 1590 2 3" xfId="5500"/>
    <cellStyle name="Normal 1590 2 4" xfId="33602"/>
    <cellStyle name="Normal 1590 3" xfId="5501"/>
    <cellStyle name="Normal 1590 4" xfId="5502"/>
    <cellStyle name="Normal 1590 5" xfId="33603"/>
    <cellStyle name="Normal 1591" xfId="5503"/>
    <cellStyle name="Normal 1591 2" xfId="5504"/>
    <cellStyle name="Normal 1591 2 2" xfId="5505"/>
    <cellStyle name="Normal 1591 2 3" xfId="5506"/>
    <cellStyle name="Normal 1591 2 4" xfId="33604"/>
    <cellStyle name="Normal 1591 3" xfId="5507"/>
    <cellStyle name="Normal 1591 4" xfId="5508"/>
    <cellStyle name="Normal 1591 5" xfId="33605"/>
    <cellStyle name="Normal 1592" xfId="5509"/>
    <cellStyle name="Normal 1592 2" xfId="5510"/>
    <cellStyle name="Normal 1592 2 2" xfId="5511"/>
    <cellStyle name="Normal 1592 2 3" xfId="5512"/>
    <cellStyle name="Normal 1592 2 4" xfId="33606"/>
    <cellStyle name="Normal 1592 3" xfId="5513"/>
    <cellStyle name="Normal 1592 4" xfId="5514"/>
    <cellStyle name="Normal 1592 5" xfId="33607"/>
    <cellStyle name="Normal 1593" xfId="5515"/>
    <cellStyle name="Normal 1593 2" xfId="5516"/>
    <cellStyle name="Normal 1593 2 2" xfId="5517"/>
    <cellStyle name="Normal 1593 2 3" xfId="5518"/>
    <cellStyle name="Normal 1593 2 4" xfId="33608"/>
    <cellStyle name="Normal 1593 3" xfId="5519"/>
    <cellStyle name="Normal 1593 4" xfId="5520"/>
    <cellStyle name="Normal 1593 5" xfId="33609"/>
    <cellStyle name="Normal 1594" xfId="5521"/>
    <cellStyle name="Normal 1594 2" xfId="5522"/>
    <cellStyle name="Normal 1594 2 2" xfId="5523"/>
    <cellStyle name="Normal 1594 2 3" xfId="5524"/>
    <cellStyle name="Normal 1594 2 4" xfId="33610"/>
    <cellStyle name="Normal 1594 3" xfId="5525"/>
    <cellStyle name="Normal 1594 4" xfId="5526"/>
    <cellStyle name="Normal 1594 5" xfId="33611"/>
    <cellStyle name="Normal 1595" xfId="5527"/>
    <cellStyle name="Normal 1595 2" xfId="5528"/>
    <cellStyle name="Normal 1595 2 2" xfId="5529"/>
    <cellStyle name="Normal 1595 2 3" xfId="5530"/>
    <cellStyle name="Normal 1595 2 4" xfId="33612"/>
    <cellStyle name="Normal 1595 3" xfId="5531"/>
    <cellStyle name="Normal 1595 4" xfId="5532"/>
    <cellStyle name="Normal 1595 5" xfId="33613"/>
    <cellStyle name="Normal 1596" xfId="5533"/>
    <cellStyle name="Normal 1596 2" xfId="5534"/>
    <cellStyle name="Normal 1596 2 2" xfId="5535"/>
    <cellStyle name="Normal 1596 2 3" xfId="5536"/>
    <cellStyle name="Normal 1596 2 4" xfId="33614"/>
    <cellStyle name="Normal 1596 3" xfId="5537"/>
    <cellStyle name="Normal 1596 4" xfId="5538"/>
    <cellStyle name="Normal 1596 5" xfId="33615"/>
    <cellStyle name="Normal 1597" xfId="5539"/>
    <cellStyle name="Normal 1597 2" xfId="5540"/>
    <cellStyle name="Normal 1597 2 2" xfId="5541"/>
    <cellStyle name="Normal 1597 2 3" xfId="5542"/>
    <cellStyle name="Normal 1597 2 4" xfId="33616"/>
    <cellStyle name="Normal 1597 3" xfId="5543"/>
    <cellStyle name="Normal 1597 4" xfId="5544"/>
    <cellStyle name="Normal 1597 5" xfId="33617"/>
    <cellStyle name="Normal 1598" xfId="5545"/>
    <cellStyle name="Normal 1598 2" xfId="5546"/>
    <cellStyle name="Normal 1598 2 2" xfId="5547"/>
    <cellStyle name="Normal 1598 2 3" xfId="5548"/>
    <cellStyle name="Normal 1598 2 4" xfId="33618"/>
    <cellStyle name="Normal 1598 3" xfId="5549"/>
    <cellStyle name="Normal 1598 4" xfId="5550"/>
    <cellStyle name="Normal 1598 5" xfId="33619"/>
    <cellStyle name="Normal 1599" xfId="5551"/>
    <cellStyle name="Normal 1599 2" xfId="5552"/>
    <cellStyle name="Normal 1599 2 2" xfId="5553"/>
    <cellStyle name="Normal 1599 2 3" xfId="5554"/>
    <cellStyle name="Normal 1599 2 4" xfId="33620"/>
    <cellStyle name="Normal 1599 3" xfId="5555"/>
    <cellStyle name="Normal 1599 4" xfId="5556"/>
    <cellStyle name="Normal 1599 5" xfId="33621"/>
    <cellStyle name="Normal 16" xfId="5557"/>
    <cellStyle name="Normal 16 10" xfId="33622"/>
    <cellStyle name="Normal 16 2" xfId="5558"/>
    <cellStyle name="Normal 16 2 2" xfId="5559"/>
    <cellStyle name="Normal 16 2 2 2" xfId="5560"/>
    <cellStyle name="Normal 16 2 2 3" xfId="5561"/>
    <cellStyle name="Normal 16 2 3" xfId="5562"/>
    <cellStyle name="Normal 16 2 3 2" xfId="33623"/>
    <cellStyle name="Normal 16 2 3 3" xfId="33624"/>
    <cellStyle name="Normal 16 2 4" xfId="5563"/>
    <cellStyle name="Normal 16 2 5" xfId="5564"/>
    <cellStyle name="Normal 16 2 6" xfId="33625"/>
    <cellStyle name="Normal 16 2 7" xfId="33626"/>
    <cellStyle name="Normal 16 2 8" xfId="33627"/>
    <cellStyle name="Normal 16 3" xfId="5565"/>
    <cellStyle name="Normal 16 3 2" xfId="5566"/>
    <cellStyle name="Normal 16 3 2 2" xfId="33628"/>
    <cellStyle name="Normal 16 3 2 3" xfId="33629"/>
    <cellStyle name="Normal 16 3 3" xfId="5567"/>
    <cellStyle name="Normal 16 3 3 2" xfId="33630"/>
    <cellStyle name="Normal 16 3 3 3" xfId="33631"/>
    <cellStyle name="Normal 16 3 4" xfId="5568"/>
    <cellStyle name="Normal 16 3 5" xfId="33632"/>
    <cellStyle name="Normal 16 4" xfId="5569"/>
    <cellStyle name="Normal 16 4 2" xfId="33633"/>
    <cellStyle name="Normal 16 4 3" xfId="33634"/>
    <cellStyle name="Normal 16 5" xfId="5570"/>
    <cellStyle name="Normal 16 5 2" xfId="33635"/>
    <cellStyle name="Normal 16 5 3" xfId="33636"/>
    <cellStyle name="Normal 16 6" xfId="5571"/>
    <cellStyle name="Normal 16 7" xfId="33637"/>
    <cellStyle name="Normal 16 8" xfId="33638"/>
    <cellStyle name="Normal 16 9" xfId="33639"/>
    <cellStyle name="Normal 160" xfId="5572"/>
    <cellStyle name="Normal 160 10" xfId="33640"/>
    <cellStyle name="Normal 160 2" xfId="5573"/>
    <cellStyle name="Normal 160 2 2" xfId="5574"/>
    <cellStyle name="Normal 160 2 2 2" xfId="5575"/>
    <cellStyle name="Normal 160 2 2 3" xfId="5576"/>
    <cellStyle name="Normal 160 2 3" xfId="5577"/>
    <cellStyle name="Normal 160 2 3 2" xfId="33641"/>
    <cellStyle name="Normal 160 2 3 3" xfId="33642"/>
    <cellStyle name="Normal 160 2 4" xfId="5578"/>
    <cellStyle name="Normal 160 2 5" xfId="5579"/>
    <cellStyle name="Normal 160 2 6" xfId="33643"/>
    <cellStyle name="Normal 160 2 7" xfId="33644"/>
    <cellStyle name="Normal 160 2 8" xfId="33645"/>
    <cellStyle name="Normal 160 3" xfId="5580"/>
    <cellStyle name="Normal 160 3 2" xfId="5581"/>
    <cellStyle name="Normal 160 3 2 2" xfId="33646"/>
    <cellStyle name="Normal 160 3 2 3" xfId="33647"/>
    <cellStyle name="Normal 160 3 3" xfId="5582"/>
    <cellStyle name="Normal 160 3 3 2" xfId="33648"/>
    <cellStyle name="Normal 160 3 3 3" xfId="33649"/>
    <cellStyle name="Normal 160 3 4" xfId="33650"/>
    <cellStyle name="Normal 160 3 5" xfId="33651"/>
    <cellStyle name="Normal 160 4" xfId="5583"/>
    <cellStyle name="Normal 160 4 2" xfId="33652"/>
    <cellStyle name="Normal 160 4 3" xfId="33653"/>
    <cellStyle name="Normal 160 5" xfId="5584"/>
    <cellStyle name="Normal 160 5 2" xfId="33654"/>
    <cellStyle name="Normal 160 5 3" xfId="33655"/>
    <cellStyle name="Normal 160 6" xfId="5585"/>
    <cellStyle name="Normal 160 7" xfId="33656"/>
    <cellStyle name="Normal 160 8" xfId="33657"/>
    <cellStyle name="Normal 160 9" xfId="33658"/>
    <cellStyle name="Normal 1600" xfId="5586"/>
    <cellStyle name="Normal 1600 2" xfId="5587"/>
    <cellStyle name="Normal 1600 2 2" xfId="5588"/>
    <cellStyle name="Normal 1600 2 3" xfId="5589"/>
    <cellStyle name="Normal 1600 2 4" xfId="33659"/>
    <cellStyle name="Normal 1600 3" xfId="5590"/>
    <cellStyle name="Normal 1600 4" xfId="5591"/>
    <cellStyle name="Normal 1600 5" xfId="33660"/>
    <cellStyle name="Normal 1601" xfId="5592"/>
    <cellStyle name="Normal 1601 2" xfId="5593"/>
    <cellStyle name="Normal 1601 2 2" xfId="5594"/>
    <cellStyle name="Normal 1601 2 3" xfId="5595"/>
    <cellStyle name="Normal 1601 2 4" xfId="33661"/>
    <cellStyle name="Normal 1601 3" xfId="5596"/>
    <cellStyle name="Normal 1601 4" xfId="5597"/>
    <cellStyle name="Normal 1601 5" xfId="33662"/>
    <cellStyle name="Normal 1602" xfId="5598"/>
    <cellStyle name="Normal 1602 2" xfId="5599"/>
    <cellStyle name="Normal 1602 2 2" xfId="5600"/>
    <cellStyle name="Normal 1602 2 3" xfId="5601"/>
    <cellStyle name="Normal 1602 2 4" xfId="33663"/>
    <cellStyle name="Normal 1602 3" xfId="5602"/>
    <cellStyle name="Normal 1602 4" xfId="5603"/>
    <cellStyle name="Normal 1602 5" xfId="33664"/>
    <cellStyle name="Normal 1603" xfId="5604"/>
    <cellStyle name="Normal 1603 2" xfId="5605"/>
    <cellStyle name="Normal 1603 2 2" xfId="5606"/>
    <cellStyle name="Normal 1603 2 3" xfId="5607"/>
    <cellStyle name="Normal 1603 2 4" xfId="33665"/>
    <cellStyle name="Normal 1603 3" xfId="5608"/>
    <cellStyle name="Normal 1603 4" xfId="5609"/>
    <cellStyle name="Normal 1603 5" xfId="33666"/>
    <cellStyle name="Normal 1604" xfId="5610"/>
    <cellStyle name="Normal 1604 2" xfId="5611"/>
    <cellStyle name="Normal 1604 2 2" xfId="5612"/>
    <cellStyle name="Normal 1604 2 3" xfId="5613"/>
    <cellStyle name="Normal 1604 2 4" xfId="33667"/>
    <cellStyle name="Normal 1604 3" xfId="5614"/>
    <cellStyle name="Normal 1604 4" xfId="5615"/>
    <cellStyle name="Normal 1604 5" xfId="33668"/>
    <cellStyle name="Normal 1605" xfId="5616"/>
    <cellStyle name="Normal 1605 2" xfId="5617"/>
    <cellStyle name="Normal 1605 2 2" xfId="5618"/>
    <cellStyle name="Normal 1605 2 3" xfId="5619"/>
    <cellStyle name="Normal 1605 2 4" xfId="33669"/>
    <cellStyle name="Normal 1605 3" xfId="5620"/>
    <cellStyle name="Normal 1605 4" xfId="5621"/>
    <cellStyle name="Normal 1605 5" xfId="33670"/>
    <cellStyle name="Normal 1606" xfId="5622"/>
    <cellStyle name="Normal 1606 2" xfId="5623"/>
    <cellStyle name="Normal 1606 2 2" xfId="5624"/>
    <cellStyle name="Normal 1606 2 3" xfId="5625"/>
    <cellStyle name="Normal 1606 2 4" xfId="33671"/>
    <cellStyle name="Normal 1606 3" xfId="5626"/>
    <cellStyle name="Normal 1606 4" xfId="5627"/>
    <cellStyle name="Normal 1606 5" xfId="33672"/>
    <cellStyle name="Normal 1607" xfId="5628"/>
    <cellStyle name="Normal 1607 2" xfId="5629"/>
    <cellStyle name="Normal 1607 2 2" xfId="5630"/>
    <cellStyle name="Normal 1607 2 3" xfId="5631"/>
    <cellStyle name="Normal 1607 2 4" xfId="33673"/>
    <cellStyle name="Normal 1607 3" xfId="5632"/>
    <cellStyle name="Normal 1607 4" xfId="5633"/>
    <cellStyle name="Normal 1607 5" xfId="33674"/>
    <cellStyle name="Normal 1608" xfId="5634"/>
    <cellStyle name="Normal 1608 2" xfId="5635"/>
    <cellStyle name="Normal 1608 2 2" xfId="5636"/>
    <cellStyle name="Normal 1608 2 3" xfId="5637"/>
    <cellStyle name="Normal 1608 2 4" xfId="33675"/>
    <cellStyle name="Normal 1608 3" xfId="5638"/>
    <cellStyle name="Normal 1608 4" xfId="5639"/>
    <cellStyle name="Normal 1608 5" xfId="33676"/>
    <cellStyle name="Normal 1609" xfId="5640"/>
    <cellStyle name="Normal 1609 2" xfId="5641"/>
    <cellStyle name="Normal 1609 2 2" xfId="5642"/>
    <cellStyle name="Normal 1609 2 3" xfId="5643"/>
    <cellStyle name="Normal 1609 2 4" xfId="33677"/>
    <cellStyle name="Normal 1609 3" xfId="5644"/>
    <cellStyle name="Normal 1609 4" xfId="5645"/>
    <cellStyle name="Normal 1609 5" xfId="33678"/>
    <cellStyle name="Normal 161" xfId="5646"/>
    <cellStyle name="Normal 161 10" xfId="33679"/>
    <cellStyle name="Normal 161 2" xfId="5647"/>
    <cellStyle name="Normal 161 2 2" xfId="5648"/>
    <cellStyle name="Normal 161 2 2 2" xfId="5649"/>
    <cellStyle name="Normal 161 2 2 3" xfId="5650"/>
    <cellStyle name="Normal 161 2 3" xfId="5651"/>
    <cellStyle name="Normal 161 2 3 2" xfId="33680"/>
    <cellStyle name="Normal 161 2 3 3" xfId="33681"/>
    <cellStyle name="Normal 161 2 4" xfId="5652"/>
    <cellStyle name="Normal 161 2 5" xfId="5653"/>
    <cellStyle name="Normal 161 2 6" xfId="33682"/>
    <cellStyle name="Normal 161 2 7" xfId="33683"/>
    <cellStyle name="Normal 161 2 8" xfId="33684"/>
    <cellStyle name="Normal 161 3" xfId="5654"/>
    <cellStyle name="Normal 161 3 2" xfId="5655"/>
    <cellStyle name="Normal 161 3 2 2" xfId="33685"/>
    <cellStyle name="Normal 161 3 2 3" xfId="33686"/>
    <cellStyle name="Normal 161 3 3" xfId="5656"/>
    <cellStyle name="Normal 161 3 3 2" xfId="33687"/>
    <cellStyle name="Normal 161 3 3 3" xfId="33688"/>
    <cellStyle name="Normal 161 3 4" xfId="33689"/>
    <cellStyle name="Normal 161 3 5" xfId="33690"/>
    <cellStyle name="Normal 161 4" xfId="5657"/>
    <cellStyle name="Normal 161 4 2" xfId="33691"/>
    <cellStyle name="Normal 161 4 3" xfId="33692"/>
    <cellStyle name="Normal 161 5" xfId="5658"/>
    <cellStyle name="Normal 161 5 2" xfId="33693"/>
    <cellStyle name="Normal 161 5 3" xfId="33694"/>
    <cellStyle name="Normal 161 6" xfId="5659"/>
    <cellStyle name="Normal 161 7" xfId="33695"/>
    <cellStyle name="Normal 161 8" xfId="33696"/>
    <cellStyle name="Normal 161 9" xfId="33697"/>
    <cellStyle name="Normal 1610" xfId="5660"/>
    <cellStyle name="Normal 1610 2" xfId="5661"/>
    <cellStyle name="Normal 1610 2 2" xfId="5662"/>
    <cellStyle name="Normal 1610 2 3" xfId="5663"/>
    <cellStyle name="Normal 1610 2 4" xfId="33698"/>
    <cellStyle name="Normal 1610 3" xfId="5664"/>
    <cellStyle name="Normal 1610 4" xfId="5665"/>
    <cellStyle name="Normal 1610 5" xfId="33699"/>
    <cellStyle name="Normal 1611" xfId="5666"/>
    <cellStyle name="Normal 1611 2" xfId="5667"/>
    <cellStyle name="Normal 1611 2 2" xfId="5668"/>
    <cellStyle name="Normal 1611 2 3" xfId="5669"/>
    <cellStyle name="Normal 1611 2 4" xfId="33700"/>
    <cellStyle name="Normal 1611 3" xfId="5670"/>
    <cellStyle name="Normal 1611 4" xfId="5671"/>
    <cellStyle name="Normal 1611 5" xfId="33701"/>
    <cellStyle name="Normal 1612" xfId="5672"/>
    <cellStyle name="Normal 1612 2" xfId="5673"/>
    <cellStyle name="Normal 1612 2 2" xfId="5674"/>
    <cellStyle name="Normal 1612 2 3" xfId="5675"/>
    <cellStyle name="Normal 1612 2 4" xfId="33702"/>
    <cellStyle name="Normal 1612 3" xfId="5676"/>
    <cellStyle name="Normal 1612 4" xfId="5677"/>
    <cellStyle name="Normal 1612 5" xfId="33703"/>
    <cellStyle name="Normal 1613" xfId="5678"/>
    <cellStyle name="Normal 1613 2" xfId="5679"/>
    <cellStyle name="Normal 1613 2 2" xfId="5680"/>
    <cellStyle name="Normal 1613 2 3" xfId="5681"/>
    <cellStyle name="Normal 1613 2 4" xfId="33704"/>
    <cellStyle name="Normal 1613 3" xfId="5682"/>
    <cellStyle name="Normal 1613 4" xfId="5683"/>
    <cellStyle name="Normal 1613 5" xfId="33705"/>
    <cellStyle name="Normal 1614" xfId="5684"/>
    <cellStyle name="Normal 1614 2" xfId="5685"/>
    <cellStyle name="Normal 1614 2 2" xfId="5686"/>
    <cellStyle name="Normal 1614 2 3" xfId="5687"/>
    <cellStyle name="Normal 1614 2 4" xfId="33706"/>
    <cellStyle name="Normal 1614 3" xfId="5688"/>
    <cellStyle name="Normal 1614 4" xfId="5689"/>
    <cellStyle name="Normal 1614 5" xfId="33707"/>
    <cellStyle name="Normal 1615" xfId="5690"/>
    <cellStyle name="Normal 1615 2" xfId="5691"/>
    <cellStyle name="Normal 1615 2 2" xfId="5692"/>
    <cellStyle name="Normal 1615 2 3" xfId="5693"/>
    <cellStyle name="Normal 1615 2 4" xfId="33708"/>
    <cellStyle name="Normal 1615 3" xfId="5694"/>
    <cellStyle name="Normal 1615 4" xfId="5695"/>
    <cellStyle name="Normal 1615 5" xfId="33709"/>
    <cellStyle name="Normal 1616" xfId="5696"/>
    <cellStyle name="Normal 1616 2" xfId="5697"/>
    <cellStyle name="Normal 1616 2 2" xfId="5698"/>
    <cellStyle name="Normal 1616 2 3" xfId="5699"/>
    <cellStyle name="Normal 1616 2 4" xfId="33710"/>
    <cellStyle name="Normal 1616 3" xfId="5700"/>
    <cellStyle name="Normal 1616 4" xfId="5701"/>
    <cellStyle name="Normal 1616 5" xfId="33711"/>
    <cellStyle name="Normal 1617" xfId="5702"/>
    <cellStyle name="Normal 1617 2" xfId="5703"/>
    <cellStyle name="Normal 1617 2 2" xfId="5704"/>
    <cellStyle name="Normal 1617 2 3" xfId="5705"/>
    <cellStyle name="Normal 1617 2 4" xfId="33712"/>
    <cellStyle name="Normal 1617 3" xfId="5706"/>
    <cellStyle name="Normal 1617 4" xfId="5707"/>
    <cellStyle name="Normal 1617 5" xfId="33713"/>
    <cellStyle name="Normal 1618" xfId="5708"/>
    <cellStyle name="Normal 1618 2" xfId="5709"/>
    <cellStyle name="Normal 1618 2 2" xfId="5710"/>
    <cellStyle name="Normal 1618 2 3" xfId="5711"/>
    <cellStyle name="Normal 1618 2 4" xfId="33714"/>
    <cellStyle name="Normal 1618 3" xfId="5712"/>
    <cellStyle name="Normal 1618 4" xfId="5713"/>
    <cellStyle name="Normal 1618 5" xfId="33715"/>
    <cellStyle name="Normal 1619" xfId="5714"/>
    <cellStyle name="Normal 1619 2" xfId="5715"/>
    <cellStyle name="Normal 1619 2 2" xfId="5716"/>
    <cellStyle name="Normal 1619 2 3" xfId="5717"/>
    <cellStyle name="Normal 1619 2 4" xfId="33716"/>
    <cellStyle name="Normal 1619 3" xfId="5718"/>
    <cellStyle name="Normal 1619 4" xfId="5719"/>
    <cellStyle name="Normal 1619 5" xfId="33717"/>
    <cellStyle name="Normal 162" xfId="5720"/>
    <cellStyle name="Normal 162 10" xfId="33718"/>
    <cellStyle name="Normal 162 2" xfId="5721"/>
    <cellStyle name="Normal 162 2 2" xfId="5722"/>
    <cellStyle name="Normal 162 2 2 2" xfId="5723"/>
    <cellStyle name="Normal 162 2 2 3" xfId="5724"/>
    <cellStyle name="Normal 162 2 3" xfId="5725"/>
    <cellStyle name="Normal 162 2 3 2" xfId="33719"/>
    <cellStyle name="Normal 162 2 3 3" xfId="33720"/>
    <cellStyle name="Normal 162 2 4" xfId="5726"/>
    <cellStyle name="Normal 162 2 5" xfId="5727"/>
    <cellStyle name="Normal 162 2 6" xfId="33721"/>
    <cellStyle name="Normal 162 2 7" xfId="33722"/>
    <cellStyle name="Normal 162 2 8" xfId="33723"/>
    <cellStyle name="Normal 162 3" xfId="5728"/>
    <cellStyle name="Normal 162 3 2" xfId="5729"/>
    <cellStyle name="Normal 162 3 2 2" xfId="33724"/>
    <cellStyle name="Normal 162 3 2 3" xfId="33725"/>
    <cellStyle name="Normal 162 3 3" xfId="5730"/>
    <cellStyle name="Normal 162 3 3 2" xfId="33726"/>
    <cellStyle name="Normal 162 3 3 3" xfId="33727"/>
    <cellStyle name="Normal 162 3 4" xfId="33728"/>
    <cellStyle name="Normal 162 3 5" xfId="33729"/>
    <cellStyle name="Normal 162 4" xfId="5731"/>
    <cellStyle name="Normal 162 4 2" xfId="33730"/>
    <cellStyle name="Normal 162 4 3" xfId="33731"/>
    <cellStyle name="Normal 162 5" xfId="5732"/>
    <cellStyle name="Normal 162 5 2" xfId="33732"/>
    <cellStyle name="Normal 162 5 3" xfId="33733"/>
    <cellStyle name="Normal 162 6" xfId="5733"/>
    <cellStyle name="Normal 162 7" xfId="33734"/>
    <cellStyle name="Normal 162 8" xfId="33735"/>
    <cellStyle name="Normal 162 9" xfId="33736"/>
    <cellStyle name="Normal 1620" xfId="5734"/>
    <cellStyle name="Normal 1620 2" xfId="5735"/>
    <cellStyle name="Normal 1620 2 2" xfId="5736"/>
    <cellStyle name="Normal 1620 2 3" xfId="5737"/>
    <cellStyle name="Normal 1620 2 4" xfId="33737"/>
    <cellStyle name="Normal 1620 3" xfId="5738"/>
    <cellStyle name="Normal 1620 4" xfId="5739"/>
    <cellStyle name="Normal 1620 5" xfId="33738"/>
    <cellStyle name="Normal 1621" xfId="5740"/>
    <cellStyle name="Normal 1621 2" xfId="5741"/>
    <cellStyle name="Normal 1621 2 2" xfId="5742"/>
    <cellStyle name="Normal 1621 2 3" xfId="5743"/>
    <cellStyle name="Normal 1621 2 4" xfId="33739"/>
    <cellStyle name="Normal 1621 3" xfId="5744"/>
    <cellStyle name="Normal 1621 4" xfId="5745"/>
    <cellStyle name="Normal 1621 5" xfId="33740"/>
    <cellStyle name="Normal 1622" xfId="5746"/>
    <cellStyle name="Normal 1622 2" xfId="5747"/>
    <cellStyle name="Normal 1622 2 2" xfId="5748"/>
    <cellStyle name="Normal 1622 2 3" xfId="5749"/>
    <cellStyle name="Normal 1622 2 4" xfId="33741"/>
    <cellStyle name="Normal 1622 3" xfId="5750"/>
    <cellStyle name="Normal 1622 4" xfId="5751"/>
    <cellStyle name="Normal 1622 5" xfId="33742"/>
    <cellStyle name="Normal 1623" xfId="5752"/>
    <cellStyle name="Normal 1623 2" xfId="5753"/>
    <cellStyle name="Normal 1623 2 2" xfId="5754"/>
    <cellStyle name="Normal 1623 2 3" xfId="5755"/>
    <cellStyle name="Normal 1623 2 4" xfId="33743"/>
    <cellStyle name="Normal 1623 3" xfId="5756"/>
    <cellStyle name="Normal 1623 4" xfId="5757"/>
    <cellStyle name="Normal 1623 5" xfId="33744"/>
    <cellStyle name="Normal 1624" xfId="5758"/>
    <cellStyle name="Normal 1624 2" xfId="5759"/>
    <cellStyle name="Normal 1624 2 2" xfId="5760"/>
    <cellStyle name="Normal 1624 2 3" xfId="5761"/>
    <cellStyle name="Normal 1624 2 4" xfId="33745"/>
    <cellStyle name="Normal 1624 3" xfId="5762"/>
    <cellStyle name="Normal 1624 4" xfId="5763"/>
    <cellStyle name="Normal 1624 5" xfId="33746"/>
    <cellStyle name="Normal 1625" xfId="5764"/>
    <cellStyle name="Normal 1625 2" xfId="5765"/>
    <cellStyle name="Normal 1625 2 2" xfId="5766"/>
    <cellStyle name="Normal 1625 2 3" xfId="5767"/>
    <cellStyle name="Normal 1625 2 4" xfId="33747"/>
    <cellStyle name="Normal 1625 3" xfId="5768"/>
    <cellStyle name="Normal 1625 4" xfId="5769"/>
    <cellStyle name="Normal 1625 5" xfId="33748"/>
    <cellStyle name="Normal 1626" xfId="5770"/>
    <cellStyle name="Normal 1626 2" xfId="5771"/>
    <cellStyle name="Normal 1626 2 2" xfId="5772"/>
    <cellStyle name="Normal 1626 2 3" xfId="5773"/>
    <cellStyle name="Normal 1626 2 4" xfId="33749"/>
    <cellStyle name="Normal 1626 3" xfId="5774"/>
    <cellStyle name="Normal 1626 4" xfId="5775"/>
    <cellStyle name="Normal 1626 5" xfId="33750"/>
    <cellStyle name="Normal 1627" xfId="5776"/>
    <cellStyle name="Normal 1627 2" xfId="5777"/>
    <cellStyle name="Normal 1627 2 2" xfId="5778"/>
    <cellStyle name="Normal 1627 2 3" xfId="5779"/>
    <cellStyle name="Normal 1627 2 4" xfId="33751"/>
    <cellStyle name="Normal 1627 3" xfId="5780"/>
    <cellStyle name="Normal 1627 4" xfId="5781"/>
    <cellStyle name="Normal 1627 5" xfId="33752"/>
    <cellStyle name="Normal 1628" xfId="5782"/>
    <cellStyle name="Normal 1628 2" xfId="5783"/>
    <cellStyle name="Normal 1628 2 2" xfId="5784"/>
    <cellStyle name="Normal 1628 2 3" xfId="5785"/>
    <cellStyle name="Normal 1628 2 4" xfId="33753"/>
    <cellStyle name="Normal 1628 3" xfId="5786"/>
    <cellStyle name="Normal 1628 4" xfId="5787"/>
    <cellStyle name="Normal 1628 5" xfId="33754"/>
    <cellStyle name="Normal 1629" xfId="5788"/>
    <cellStyle name="Normal 1629 2" xfId="5789"/>
    <cellStyle name="Normal 1629 2 2" xfId="5790"/>
    <cellStyle name="Normal 1629 2 3" xfId="5791"/>
    <cellStyle name="Normal 1629 2 4" xfId="33755"/>
    <cellStyle name="Normal 1629 3" xfId="5792"/>
    <cellStyle name="Normal 1629 4" xfId="5793"/>
    <cellStyle name="Normal 1629 5" xfId="33756"/>
    <cellStyle name="Normal 163" xfId="5794"/>
    <cellStyle name="Normal 163 10" xfId="33757"/>
    <cellStyle name="Normal 163 2" xfId="5795"/>
    <cellStyle name="Normal 163 2 2" xfId="5796"/>
    <cellStyle name="Normal 163 2 2 2" xfId="5797"/>
    <cellStyle name="Normal 163 2 2 3" xfId="5798"/>
    <cellStyle name="Normal 163 2 3" xfId="5799"/>
    <cellStyle name="Normal 163 2 3 2" xfId="33758"/>
    <cellStyle name="Normal 163 2 3 3" xfId="33759"/>
    <cellStyle name="Normal 163 2 4" xfId="5800"/>
    <cellStyle name="Normal 163 2 5" xfId="5801"/>
    <cellStyle name="Normal 163 2 6" xfId="33760"/>
    <cellStyle name="Normal 163 2 7" xfId="33761"/>
    <cellStyle name="Normal 163 2 8" xfId="33762"/>
    <cellStyle name="Normal 163 3" xfId="5802"/>
    <cellStyle name="Normal 163 3 2" xfId="5803"/>
    <cellStyle name="Normal 163 3 2 2" xfId="33763"/>
    <cellStyle name="Normal 163 3 2 3" xfId="33764"/>
    <cellStyle name="Normal 163 3 3" xfId="5804"/>
    <cellStyle name="Normal 163 3 3 2" xfId="33765"/>
    <cellStyle name="Normal 163 3 3 3" xfId="33766"/>
    <cellStyle name="Normal 163 3 4" xfId="33767"/>
    <cellStyle name="Normal 163 3 5" xfId="33768"/>
    <cellStyle name="Normal 163 4" xfId="5805"/>
    <cellStyle name="Normal 163 4 2" xfId="33769"/>
    <cellStyle name="Normal 163 4 3" xfId="33770"/>
    <cellStyle name="Normal 163 5" xfId="5806"/>
    <cellStyle name="Normal 163 5 2" xfId="33771"/>
    <cellStyle name="Normal 163 5 3" xfId="33772"/>
    <cellStyle name="Normal 163 6" xfId="5807"/>
    <cellStyle name="Normal 163 7" xfId="33773"/>
    <cellStyle name="Normal 163 8" xfId="33774"/>
    <cellStyle name="Normal 163 9" xfId="33775"/>
    <cellStyle name="Normal 1630" xfId="5808"/>
    <cellStyle name="Normal 1630 2" xfId="5809"/>
    <cellStyle name="Normal 1630 2 2" xfId="5810"/>
    <cellStyle name="Normal 1630 2 3" xfId="5811"/>
    <cellStyle name="Normal 1630 2 4" xfId="33776"/>
    <cellStyle name="Normal 1630 3" xfId="5812"/>
    <cellStyle name="Normal 1630 4" xfId="5813"/>
    <cellStyle name="Normal 1630 5" xfId="33777"/>
    <cellStyle name="Normal 1631" xfId="5814"/>
    <cellStyle name="Normal 1631 2" xfId="5815"/>
    <cellStyle name="Normal 1631 2 2" xfId="5816"/>
    <cellStyle name="Normal 1631 2 3" xfId="5817"/>
    <cellStyle name="Normal 1631 2 4" xfId="33778"/>
    <cellStyle name="Normal 1631 3" xfId="5818"/>
    <cellStyle name="Normal 1631 4" xfId="5819"/>
    <cellStyle name="Normal 1631 5" xfId="33779"/>
    <cellStyle name="Normal 1632" xfId="5820"/>
    <cellStyle name="Normal 1632 2" xfId="5821"/>
    <cellStyle name="Normal 1632 2 2" xfId="5822"/>
    <cellStyle name="Normal 1632 2 3" xfId="5823"/>
    <cellStyle name="Normal 1632 2 4" xfId="33780"/>
    <cellStyle name="Normal 1632 3" xfId="5824"/>
    <cellStyle name="Normal 1632 4" xfId="5825"/>
    <cellStyle name="Normal 1632 5" xfId="33781"/>
    <cellStyle name="Normal 1633" xfId="5826"/>
    <cellStyle name="Normal 1633 2" xfId="5827"/>
    <cellStyle name="Normal 1633 2 2" xfId="5828"/>
    <cellStyle name="Normal 1633 2 3" xfId="5829"/>
    <cellStyle name="Normal 1633 2 4" xfId="33782"/>
    <cellStyle name="Normal 1633 3" xfId="5830"/>
    <cellStyle name="Normal 1633 4" xfId="5831"/>
    <cellStyle name="Normal 1633 5" xfId="33783"/>
    <cellStyle name="Normal 1634" xfId="5832"/>
    <cellStyle name="Normal 1634 2" xfId="5833"/>
    <cellStyle name="Normal 1634 2 2" xfId="5834"/>
    <cellStyle name="Normal 1634 2 3" xfId="5835"/>
    <cellStyle name="Normal 1634 2 4" xfId="33784"/>
    <cellStyle name="Normal 1634 3" xfId="5836"/>
    <cellStyle name="Normal 1634 4" xfId="5837"/>
    <cellStyle name="Normal 1634 5" xfId="33785"/>
    <cellStyle name="Normal 1635" xfId="5838"/>
    <cellStyle name="Normal 1635 2" xfId="5839"/>
    <cellStyle name="Normal 1635 2 2" xfId="5840"/>
    <cellStyle name="Normal 1635 2 3" xfId="5841"/>
    <cellStyle name="Normal 1635 2 4" xfId="33786"/>
    <cellStyle name="Normal 1635 3" xfId="5842"/>
    <cellStyle name="Normal 1635 4" xfId="5843"/>
    <cellStyle name="Normal 1635 5" xfId="33787"/>
    <cellStyle name="Normal 1636" xfId="5844"/>
    <cellStyle name="Normal 1636 2" xfId="5845"/>
    <cellStyle name="Normal 1636 2 2" xfId="5846"/>
    <cellStyle name="Normal 1636 2 3" xfId="5847"/>
    <cellStyle name="Normal 1636 2 4" xfId="33788"/>
    <cellStyle name="Normal 1636 3" xfId="5848"/>
    <cellStyle name="Normal 1636 4" xfId="5849"/>
    <cellStyle name="Normal 1636 5" xfId="33789"/>
    <cellStyle name="Normal 1637" xfId="5850"/>
    <cellStyle name="Normal 1637 2" xfId="5851"/>
    <cellStyle name="Normal 1637 2 2" xfId="5852"/>
    <cellStyle name="Normal 1637 2 3" xfId="5853"/>
    <cellStyle name="Normal 1637 2 4" xfId="33790"/>
    <cellStyle name="Normal 1637 3" xfId="5854"/>
    <cellStyle name="Normal 1637 4" xfId="5855"/>
    <cellStyle name="Normal 1637 5" xfId="33791"/>
    <cellStyle name="Normal 1638" xfId="5856"/>
    <cellStyle name="Normal 1638 2" xfId="5857"/>
    <cellStyle name="Normal 1638 2 2" xfId="5858"/>
    <cellStyle name="Normal 1638 2 3" xfId="5859"/>
    <cellStyle name="Normal 1638 2 4" xfId="33792"/>
    <cellStyle name="Normal 1638 3" xfId="5860"/>
    <cellStyle name="Normal 1638 4" xfId="5861"/>
    <cellStyle name="Normal 1638 5" xfId="33793"/>
    <cellStyle name="Normal 1639" xfId="5862"/>
    <cellStyle name="Normal 1639 2" xfId="5863"/>
    <cellStyle name="Normal 1639 2 2" xfId="5864"/>
    <cellStyle name="Normal 1639 2 3" xfId="5865"/>
    <cellStyle name="Normal 1639 2 4" xfId="33794"/>
    <cellStyle name="Normal 1639 3" xfId="5866"/>
    <cellStyle name="Normal 1639 4" xfId="5867"/>
    <cellStyle name="Normal 1639 5" xfId="33795"/>
    <cellStyle name="Normal 164" xfId="5868"/>
    <cellStyle name="Normal 164 10" xfId="33796"/>
    <cellStyle name="Normal 164 2" xfId="5869"/>
    <cellStyle name="Normal 164 2 2" xfId="5870"/>
    <cellStyle name="Normal 164 2 2 2" xfId="5871"/>
    <cellStyle name="Normal 164 2 2 3" xfId="5872"/>
    <cellStyle name="Normal 164 2 3" xfId="5873"/>
    <cellStyle name="Normal 164 2 3 2" xfId="33797"/>
    <cellStyle name="Normal 164 2 3 3" xfId="33798"/>
    <cellStyle name="Normal 164 2 4" xfId="5874"/>
    <cellStyle name="Normal 164 2 5" xfId="5875"/>
    <cellStyle name="Normal 164 2 6" xfId="33799"/>
    <cellStyle name="Normal 164 2 7" xfId="33800"/>
    <cellStyle name="Normal 164 2 8" xfId="33801"/>
    <cellStyle name="Normal 164 3" xfId="5876"/>
    <cellStyle name="Normal 164 3 2" xfId="5877"/>
    <cellStyle name="Normal 164 3 2 2" xfId="33802"/>
    <cellStyle name="Normal 164 3 2 3" xfId="33803"/>
    <cellStyle name="Normal 164 3 3" xfId="5878"/>
    <cellStyle name="Normal 164 3 3 2" xfId="33804"/>
    <cellStyle name="Normal 164 3 3 3" xfId="33805"/>
    <cellStyle name="Normal 164 3 4" xfId="33806"/>
    <cellStyle name="Normal 164 3 5" xfId="33807"/>
    <cellStyle name="Normal 164 4" xfId="5879"/>
    <cellStyle name="Normal 164 4 2" xfId="33808"/>
    <cellStyle name="Normal 164 4 3" xfId="33809"/>
    <cellStyle name="Normal 164 5" xfId="5880"/>
    <cellStyle name="Normal 164 5 2" xfId="33810"/>
    <cellStyle name="Normal 164 5 3" xfId="33811"/>
    <cellStyle name="Normal 164 6" xfId="5881"/>
    <cellStyle name="Normal 164 7" xfId="33812"/>
    <cellStyle name="Normal 164 8" xfId="33813"/>
    <cellStyle name="Normal 164 9" xfId="33814"/>
    <cellStyle name="Normal 1640" xfId="5882"/>
    <cellStyle name="Normal 1640 2" xfId="5883"/>
    <cellStyle name="Normal 1640 2 2" xfId="5884"/>
    <cellStyle name="Normal 1640 2 3" xfId="5885"/>
    <cellStyle name="Normal 1640 2 4" xfId="33815"/>
    <cellStyle name="Normal 1640 3" xfId="5886"/>
    <cellStyle name="Normal 1640 4" xfId="5887"/>
    <cellStyle name="Normal 1640 5" xfId="33816"/>
    <cellStyle name="Normal 1641" xfId="5888"/>
    <cellStyle name="Normal 1641 2" xfId="5889"/>
    <cellStyle name="Normal 1641 2 2" xfId="5890"/>
    <cellStyle name="Normal 1641 2 3" xfId="5891"/>
    <cellStyle name="Normal 1641 2 4" xfId="33817"/>
    <cellStyle name="Normal 1641 3" xfId="5892"/>
    <cellStyle name="Normal 1641 4" xfId="5893"/>
    <cellStyle name="Normal 1641 5" xfId="33818"/>
    <cellStyle name="Normal 1642" xfId="5894"/>
    <cellStyle name="Normal 1642 2" xfId="5895"/>
    <cellStyle name="Normal 1642 2 2" xfId="5896"/>
    <cellStyle name="Normal 1642 2 3" xfId="5897"/>
    <cellStyle name="Normal 1642 2 4" xfId="33819"/>
    <cellStyle name="Normal 1642 3" xfId="5898"/>
    <cellStyle name="Normal 1642 4" xfId="5899"/>
    <cellStyle name="Normal 1642 5" xfId="33820"/>
    <cellStyle name="Normal 1643" xfId="5900"/>
    <cellStyle name="Normal 1643 2" xfId="5901"/>
    <cellStyle name="Normal 1643 2 2" xfId="5902"/>
    <cellStyle name="Normal 1643 2 3" xfId="5903"/>
    <cellStyle name="Normal 1643 2 4" xfId="33821"/>
    <cellStyle name="Normal 1643 3" xfId="5904"/>
    <cellStyle name="Normal 1643 4" xfId="5905"/>
    <cellStyle name="Normal 1643 5" xfId="33822"/>
    <cellStyle name="Normal 1644" xfId="5906"/>
    <cellStyle name="Normal 1644 2" xfId="5907"/>
    <cellStyle name="Normal 1644 2 2" xfId="5908"/>
    <cellStyle name="Normal 1644 2 3" xfId="5909"/>
    <cellStyle name="Normal 1644 2 4" xfId="33823"/>
    <cellStyle name="Normal 1644 3" xfId="5910"/>
    <cellStyle name="Normal 1644 4" xfId="5911"/>
    <cellStyle name="Normal 1644 5" xfId="33824"/>
    <cellStyle name="Normal 1645" xfId="5912"/>
    <cellStyle name="Normal 1645 2" xfId="5913"/>
    <cellStyle name="Normal 1645 2 2" xfId="5914"/>
    <cellStyle name="Normal 1645 2 3" xfId="5915"/>
    <cellStyle name="Normal 1645 2 4" xfId="33825"/>
    <cellStyle name="Normal 1645 3" xfId="5916"/>
    <cellStyle name="Normal 1645 4" xfId="5917"/>
    <cellStyle name="Normal 1645 5" xfId="33826"/>
    <cellStyle name="Normal 1646" xfId="5918"/>
    <cellStyle name="Normal 1646 2" xfId="5919"/>
    <cellStyle name="Normal 1646 2 2" xfId="5920"/>
    <cellStyle name="Normal 1646 2 3" xfId="5921"/>
    <cellStyle name="Normal 1646 2 4" xfId="33827"/>
    <cellStyle name="Normal 1646 3" xfId="5922"/>
    <cellStyle name="Normal 1646 4" xfId="5923"/>
    <cellStyle name="Normal 1646 5" xfId="33828"/>
    <cellStyle name="Normal 1647" xfId="5924"/>
    <cellStyle name="Normal 1647 2" xfId="5925"/>
    <cellStyle name="Normal 1647 2 2" xfId="5926"/>
    <cellStyle name="Normal 1647 2 3" xfId="5927"/>
    <cellStyle name="Normal 1647 2 4" xfId="33829"/>
    <cellStyle name="Normal 1647 3" xfId="5928"/>
    <cellStyle name="Normal 1647 4" xfId="5929"/>
    <cellStyle name="Normal 1647 5" xfId="33830"/>
    <cellStyle name="Normal 1648" xfId="5930"/>
    <cellStyle name="Normal 1648 2" xfId="5931"/>
    <cellStyle name="Normal 1648 2 2" xfId="5932"/>
    <cellStyle name="Normal 1648 2 3" xfId="5933"/>
    <cellStyle name="Normal 1648 2 4" xfId="33831"/>
    <cellStyle name="Normal 1648 3" xfId="5934"/>
    <cellStyle name="Normal 1648 4" xfId="5935"/>
    <cellStyle name="Normal 1648 5" xfId="33832"/>
    <cellStyle name="Normal 1649" xfId="5936"/>
    <cellStyle name="Normal 1649 2" xfId="5937"/>
    <cellStyle name="Normal 1649 2 2" xfId="5938"/>
    <cellStyle name="Normal 1649 2 3" xfId="5939"/>
    <cellStyle name="Normal 1649 2 4" xfId="33833"/>
    <cellStyle name="Normal 1649 3" xfId="5940"/>
    <cellStyle name="Normal 1649 4" xfId="5941"/>
    <cellStyle name="Normal 1649 5" xfId="33834"/>
    <cellStyle name="Normal 165" xfId="5942"/>
    <cellStyle name="Normal 165 10" xfId="33835"/>
    <cellStyle name="Normal 165 2" xfId="5943"/>
    <cellStyle name="Normal 165 2 2" xfId="5944"/>
    <cellStyle name="Normal 165 2 2 2" xfId="5945"/>
    <cellStyle name="Normal 165 2 2 3" xfId="5946"/>
    <cellStyle name="Normal 165 2 3" xfId="5947"/>
    <cellStyle name="Normal 165 2 3 2" xfId="33836"/>
    <cellStyle name="Normal 165 2 3 3" xfId="33837"/>
    <cellStyle name="Normal 165 2 4" xfId="5948"/>
    <cellStyle name="Normal 165 2 5" xfId="5949"/>
    <cellStyle name="Normal 165 2 6" xfId="33838"/>
    <cellStyle name="Normal 165 2 7" xfId="33839"/>
    <cellStyle name="Normal 165 2 8" xfId="33840"/>
    <cellStyle name="Normal 165 3" xfId="5950"/>
    <cellStyle name="Normal 165 3 2" xfId="5951"/>
    <cellStyle name="Normal 165 3 2 2" xfId="33841"/>
    <cellStyle name="Normal 165 3 2 3" xfId="33842"/>
    <cellStyle name="Normal 165 3 3" xfId="5952"/>
    <cellStyle name="Normal 165 3 3 2" xfId="33843"/>
    <cellStyle name="Normal 165 3 3 3" xfId="33844"/>
    <cellStyle name="Normal 165 3 4" xfId="33845"/>
    <cellStyle name="Normal 165 3 5" xfId="33846"/>
    <cellStyle name="Normal 165 4" xfId="5953"/>
    <cellStyle name="Normal 165 4 2" xfId="33847"/>
    <cellStyle name="Normal 165 4 3" xfId="33848"/>
    <cellStyle name="Normal 165 5" xfId="5954"/>
    <cellStyle name="Normal 165 5 2" xfId="33849"/>
    <cellStyle name="Normal 165 5 3" xfId="33850"/>
    <cellStyle name="Normal 165 6" xfId="5955"/>
    <cellStyle name="Normal 165 7" xfId="33851"/>
    <cellStyle name="Normal 165 8" xfId="33852"/>
    <cellStyle name="Normal 165 9" xfId="33853"/>
    <cellStyle name="Normal 1650" xfId="5956"/>
    <cellStyle name="Normal 1650 2" xfId="5957"/>
    <cellStyle name="Normal 1650 2 2" xfId="5958"/>
    <cellStyle name="Normal 1650 2 3" xfId="5959"/>
    <cellStyle name="Normal 1650 2 4" xfId="33854"/>
    <cellStyle name="Normal 1650 3" xfId="5960"/>
    <cellStyle name="Normal 1650 4" xfId="5961"/>
    <cellStyle name="Normal 1650 5" xfId="33855"/>
    <cellStyle name="Normal 1651" xfId="5962"/>
    <cellStyle name="Normal 1651 2" xfId="5963"/>
    <cellStyle name="Normal 1651 2 2" xfId="5964"/>
    <cellStyle name="Normal 1651 2 3" xfId="5965"/>
    <cellStyle name="Normal 1651 2 4" xfId="33856"/>
    <cellStyle name="Normal 1651 3" xfId="5966"/>
    <cellStyle name="Normal 1651 4" xfId="5967"/>
    <cellStyle name="Normal 1651 5" xfId="33857"/>
    <cellStyle name="Normal 1652" xfId="5968"/>
    <cellStyle name="Normal 1652 2" xfId="5969"/>
    <cellStyle name="Normal 1652 2 2" xfId="5970"/>
    <cellStyle name="Normal 1652 2 3" xfId="5971"/>
    <cellStyle name="Normal 1652 2 4" xfId="33858"/>
    <cellStyle name="Normal 1652 3" xfId="5972"/>
    <cellStyle name="Normal 1652 4" xfId="5973"/>
    <cellStyle name="Normal 1652 5" xfId="33859"/>
    <cellStyle name="Normal 1653" xfId="5974"/>
    <cellStyle name="Normal 1653 2" xfId="5975"/>
    <cellStyle name="Normal 1653 2 2" xfId="5976"/>
    <cellStyle name="Normal 1653 2 3" xfId="5977"/>
    <cellStyle name="Normal 1653 2 4" xfId="33860"/>
    <cellStyle name="Normal 1653 3" xfId="5978"/>
    <cellStyle name="Normal 1653 4" xfId="5979"/>
    <cellStyle name="Normal 1653 5" xfId="33861"/>
    <cellStyle name="Normal 1654" xfId="5980"/>
    <cellStyle name="Normal 1654 2" xfId="5981"/>
    <cellStyle name="Normal 1654 2 2" xfId="5982"/>
    <cellStyle name="Normal 1654 2 3" xfId="5983"/>
    <cellStyle name="Normal 1654 2 4" xfId="33862"/>
    <cellStyle name="Normal 1654 3" xfId="5984"/>
    <cellStyle name="Normal 1654 4" xfId="5985"/>
    <cellStyle name="Normal 1654 5" xfId="33863"/>
    <cellStyle name="Normal 1655" xfId="5986"/>
    <cellStyle name="Normal 1655 2" xfId="5987"/>
    <cellStyle name="Normal 1655 2 2" xfId="5988"/>
    <cellStyle name="Normal 1655 2 3" xfId="5989"/>
    <cellStyle name="Normal 1655 2 4" xfId="33864"/>
    <cellStyle name="Normal 1655 3" xfId="5990"/>
    <cellStyle name="Normal 1655 4" xfId="5991"/>
    <cellStyle name="Normal 1655 5" xfId="33865"/>
    <cellStyle name="Normal 1656" xfId="5992"/>
    <cellStyle name="Normal 1656 2" xfId="5993"/>
    <cellStyle name="Normal 1656 2 2" xfId="5994"/>
    <cellStyle name="Normal 1656 2 3" xfId="5995"/>
    <cellStyle name="Normal 1656 2 4" xfId="33866"/>
    <cellStyle name="Normal 1656 3" xfId="5996"/>
    <cellStyle name="Normal 1656 4" xfId="5997"/>
    <cellStyle name="Normal 1656 5" xfId="33867"/>
    <cellStyle name="Normal 1657" xfId="5998"/>
    <cellStyle name="Normal 1657 2" xfId="5999"/>
    <cellStyle name="Normal 1657 2 2" xfId="6000"/>
    <cellStyle name="Normal 1657 2 3" xfId="6001"/>
    <cellStyle name="Normal 1657 2 4" xfId="33868"/>
    <cellStyle name="Normal 1657 3" xfId="6002"/>
    <cellStyle name="Normal 1657 4" xfId="6003"/>
    <cellStyle name="Normal 1657 5" xfId="33869"/>
    <cellStyle name="Normal 1658" xfId="6004"/>
    <cellStyle name="Normal 1658 2" xfId="6005"/>
    <cellStyle name="Normal 1658 2 2" xfId="6006"/>
    <cellStyle name="Normal 1658 2 3" xfId="6007"/>
    <cellStyle name="Normal 1658 2 4" xfId="33870"/>
    <cellStyle name="Normal 1658 3" xfId="6008"/>
    <cellStyle name="Normal 1658 4" xfId="6009"/>
    <cellStyle name="Normal 1658 5" xfId="33871"/>
    <cellStyle name="Normal 1659" xfId="6010"/>
    <cellStyle name="Normal 1659 2" xfId="6011"/>
    <cellStyle name="Normal 1659 2 2" xfId="6012"/>
    <cellStyle name="Normal 1659 2 3" xfId="6013"/>
    <cellStyle name="Normal 1659 2 4" xfId="33872"/>
    <cellStyle name="Normal 1659 3" xfId="6014"/>
    <cellStyle name="Normal 1659 4" xfId="6015"/>
    <cellStyle name="Normal 1659 5" xfId="33873"/>
    <cellStyle name="Normal 166" xfId="6016"/>
    <cellStyle name="Normal 166 10" xfId="33874"/>
    <cellStyle name="Normal 166 2" xfId="6017"/>
    <cellStyle name="Normal 166 2 2" xfId="6018"/>
    <cellStyle name="Normal 166 2 2 2" xfId="6019"/>
    <cellStyle name="Normal 166 2 2 3" xfId="6020"/>
    <cellStyle name="Normal 166 2 3" xfId="6021"/>
    <cellStyle name="Normal 166 2 3 2" xfId="33875"/>
    <cellStyle name="Normal 166 2 3 3" xfId="33876"/>
    <cellStyle name="Normal 166 2 4" xfId="6022"/>
    <cellStyle name="Normal 166 2 5" xfId="6023"/>
    <cellStyle name="Normal 166 2 6" xfId="33877"/>
    <cellStyle name="Normal 166 2 7" xfId="33878"/>
    <cellStyle name="Normal 166 2 8" xfId="33879"/>
    <cellStyle name="Normal 166 3" xfId="6024"/>
    <cellStyle name="Normal 166 3 2" xfId="6025"/>
    <cellStyle name="Normal 166 3 2 2" xfId="33880"/>
    <cellStyle name="Normal 166 3 2 3" xfId="33881"/>
    <cellStyle name="Normal 166 3 3" xfId="6026"/>
    <cellStyle name="Normal 166 3 3 2" xfId="33882"/>
    <cellStyle name="Normal 166 3 3 3" xfId="33883"/>
    <cellStyle name="Normal 166 3 4" xfId="33884"/>
    <cellStyle name="Normal 166 3 5" xfId="33885"/>
    <cellStyle name="Normal 166 4" xfId="6027"/>
    <cellStyle name="Normal 166 4 2" xfId="33886"/>
    <cellStyle name="Normal 166 4 3" xfId="33887"/>
    <cellStyle name="Normal 166 5" xfId="6028"/>
    <cellStyle name="Normal 166 5 2" xfId="33888"/>
    <cellStyle name="Normal 166 5 3" xfId="33889"/>
    <cellStyle name="Normal 166 6" xfId="6029"/>
    <cellStyle name="Normal 166 7" xfId="33890"/>
    <cellStyle name="Normal 166 8" xfId="33891"/>
    <cellStyle name="Normal 166 9" xfId="33892"/>
    <cellStyle name="Normal 1660" xfId="6030"/>
    <cellStyle name="Normal 1660 2" xfId="6031"/>
    <cellStyle name="Normal 1660 2 2" xfId="6032"/>
    <cellStyle name="Normal 1660 2 3" xfId="6033"/>
    <cellStyle name="Normal 1660 2 4" xfId="33893"/>
    <cellStyle name="Normal 1660 3" xfId="6034"/>
    <cellStyle name="Normal 1660 4" xfId="6035"/>
    <cellStyle name="Normal 1660 5" xfId="33894"/>
    <cellStyle name="Normal 1661" xfId="6036"/>
    <cellStyle name="Normal 1661 2" xfId="6037"/>
    <cellStyle name="Normal 1661 2 2" xfId="6038"/>
    <cellStyle name="Normal 1661 2 3" xfId="6039"/>
    <cellStyle name="Normal 1661 2 4" xfId="33895"/>
    <cellStyle name="Normal 1661 3" xfId="6040"/>
    <cellStyle name="Normal 1661 4" xfId="6041"/>
    <cellStyle name="Normal 1661 5" xfId="33896"/>
    <cellStyle name="Normal 1662" xfId="6042"/>
    <cellStyle name="Normal 1662 2" xfId="6043"/>
    <cellStyle name="Normal 1662 2 2" xfId="6044"/>
    <cellStyle name="Normal 1662 2 3" xfId="6045"/>
    <cellStyle name="Normal 1662 2 4" xfId="33897"/>
    <cellStyle name="Normal 1662 3" xfId="6046"/>
    <cellStyle name="Normal 1662 4" xfId="6047"/>
    <cellStyle name="Normal 1662 5" xfId="33898"/>
    <cellStyle name="Normal 1663" xfId="6048"/>
    <cellStyle name="Normal 1663 2" xfId="6049"/>
    <cellStyle name="Normal 1663 2 2" xfId="6050"/>
    <cellStyle name="Normal 1663 2 3" xfId="6051"/>
    <cellStyle name="Normal 1663 2 4" xfId="33899"/>
    <cellStyle name="Normal 1663 3" xfId="6052"/>
    <cellStyle name="Normal 1663 4" xfId="6053"/>
    <cellStyle name="Normal 1663 5" xfId="33900"/>
    <cellStyle name="Normal 1664" xfId="6054"/>
    <cellStyle name="Normal 1664 2" xfId="6055"/>
    <cellStyle name="Normal 1664 2 2" xfId="6056"/>
    <cellStyle name="Normal 1664 2 3" xfId="6057"/>
    <cellStyle name="Normal 1664 2 4" xfId="33901"/>
    <cellStyle name="Normal 1664 3" xfId="6058"/>
    <cellStyle name="Normal 1664 4" xfId="6059"/>
    <cellStyle name="Normal 1664 5" xfId="33902"/>
    <cellStyle name="Normal 1665" xfId="6060"/>
    <cellStyle name="Normal 1665 2" xfId="6061"/>
    <cellStyle name="Normal 1665 2 2" xfId="6062"/>
    <cellStyle name="Normal 1665 2 3" xfId="6063"/>
    <cellStyle name="Normal 1665 2 4" xfId="33903"/>
    <cellStyle name="Normal 1665 3" xfId="6064"/>
    <cellStyle name="Normal 1665 4" xfId="6065"/>
    <cellStyle name="Normal 1665 5" xfId="33904"/>
    <cellStyle name="Normal 1666" xfId="6066"/>
    <cellStyle name="Normal 1666 2" xfId="6067"/>
    <cellStyle name="Normal 1666 2 2" xfId="6068"/>
    <cellStyle name="Normal 1666 2 3" xfId="6069"/>
    <cellStyle name="Normal 1666 2 4" xfId="33905"/>
    <cellStyle name="Normal 1666 3" xfId="6070"/>
    <cellStyle name="Normal 1666 4" xfId="6071"/>
    <cellStyle name="Normal 1666 5" xfId="33906"/>
    <cellStyle name="Normal 1667" xfId="6072"/>
    <cellStyle name="Normal 1667 2" xfId="6073"/>
    <cellStyle name="Normal 1667 2 2" xfId="6074"/>
    <cellStyle name="Normal 1667 2 3" xfId="6075"/>
    <cellStyle name="Normal 1667 2 4" xfId="33907"/>
    <cellStyle name="Normal 1667 3" xfId="6076"/>
    <cellStyle name="Normal 1667 4" xfId="6077"/>
    <cellStyle name="Normal 1667 5" xfId="33908"/>
    <cellStyle name="Normal 1668" xfId="6078"/>
    <cellStyle name="Normal 1668 2" xfId="6079"/>
    <cellStyle name="Normal 1668 2 2" xfId="6080"/>
    <cellStyle name="Normal 1668 2 3" xfId="6081"/>
    <cellStyle name="Normal 1668 2 4" xfId="33909"/>
    <cellStyle name="Normal 1668 3" xfId="6082"/>
    <cellStyle name="Normal 1668 4" xfId="6083"/>
    <cellStyle name="Normal 1668 5" xfId="33910"/>
    <cellStyle name="Normal 1669" xfId="6084"/>
    <cellStyle name="Normal 1669 2" xfId="6085"/>
    <cellStyle name="Normal 1669 2 2" xfId="6086"/>
    <cellStyle name="Normal 1669 2 3" xfId="6087"/>
    <cellStyle name="Normal 1669 2 4" xfId="33911"/>
    <cellStyle name="Normal 1669 3" xfId="6088"/>
    <cellStyle name="Normal 1669 4" xfId="6089"/>
    <cellStyle name="Normal 1669 5" xfId="33912"/>
    <cellStyle name="Normal 167" xfId="6090"/>
    <cellStyle name="Normal 167 10" xfId="33913"/>
    <cellStyle name="Normal 167 2" xfId="6091"/>
    <cellStyle name="Normal 167 2 2" xfId="6092"/>
    <cellStyle name="Normal 167 2 2 2" xfId="6093"/>
    <cellStyle name="Normal 167 2 2 3" xfId="6094"/>
    <cellStyle name="Normal 167 2 3" xfId="6095"/>
    <cellStyle name="Normal 167 2 3 2" xfId="33914"/>
    <cellStyle name="Normal 167 2 3 3" xfId="33915"/>
    <cellStyle name="Normal 167 2 4" xfId="6096"/>
    <cellStyle name="Normal 167 2 5" xfId="6097"/>
    <cellStyle name="Normal 167 2 6" xfId="33916"/>
    <cellStyle name="Normal 167 2 7" xfId="33917"/>
    <cellStyle name="Normal 167 2 8" xfId="33918"/>
    <cellStyle name="Normal 167 3" xfId="6098"/>
    <cellStyle name="Normal 167 3 2" xfId="6099"/>
    <cellStyle name="Normal 167 3 2 2" xfId="33919"/>
    <cellStyle name="Normal 167 3 2 3" xfId="33920"/>
    <cellStyle name="Normal 167 3 3" xfId="6100"/>
    <cellStyle name="Normal 167 3 3 2" xfId="33921"/>
    <cellStyle name="Normal 167 3 3 3" xfId="33922"/>
    <cellStyle name="Normal 167 3 4" xfId="33923"/>
    <cellStyle name="Normal 167 3 5" xfId="33924"/>
    <cellStyle name="Normal 167 4" xfId="6101"/>
    <cellStyle name="Normal 167 4 2" xfId="33925"/>
    <cellStyle name="Normal 167 4 3" xfId="33926"/>
    <cellStyle name="Normal 167 5" xfId="6102"/>
    <cellStyle name="Normal 167 5 2" xfId="33927"/>
    <cellStyle name="Normal 167 5 3" xfId="33928"/>
    <cellStyle name="Normal 167 6" xfId="6103"/>
    <cellStyle name="Normal 167 7" xfId="33929"/>
    <cellStyle name="Normal 167 8" xfId="33930"/>
    <cellStyle name="Normal 167 9" xfId="33931"/>
    <cellStyle name="Normal 1670" xfId="6104"/>
    <cellStyle name="Normal 1670 2" xfId="6105"/>
    <cellStyle name="Normal 1670 2 2" xfId="6106"/>
    <cellStyle name="Normal 1670 2 3" xfId="6107"/>
    <cellStyle name="Normal 1670 2 4" xfId="33932"/>
    <cellStyle name="Normal 1670 3" xfId="6108"/>
    <cellStyle name="Normal 1670 4" xfId="6109"/>
    <cellStyle name="Normal 1670 5" xfId="33933"/>
    <cellStyle name="Normal 1671" xfId="6110"/>
    <cellStyle name="Normal 1671 2" xfId="6111"/>
    <cellStyle name="Normal 1671 2 2" xfId="6112"/>
    <cellStyle name="Normal 1671 2 3" xfId="6113"/>
    <cellStyle name="Normal 1671 2 4" xfId="33934"/>
    <cellStyle name="Normal 1671 3" xfId="6114"/>
    <cellStyle name="Normal 1671 4" xfId="6115"/>
    <cellStyle name="Normal 1671 5" xfId="33935"/>
    <cellStyle name="Normal 1672" xfId="6116"/>
    <cellStyle name="Normal 1672 2" xfId="6117"/>
    <cellStyle name="Normal 1672 2 2" xfId="6118"/>
    <cellStyle name="Normal 1672 2 3" xfId="6119"/>
    <cellStyle name="Normal 1672 2 4" xfId="33936"/>
    <cellStyle name="Normal 1672 3" xfId="6120"/>
    <cellStyle name="Normal 1672 4" xfId="6121"/>
    <cellStyle name="Normal 1672 5" xfId="33937"/>
    <cellStyle name="Normal 1673" xfId="6122"/>
    <cellStyle name="Normal 1673 2" xfId="6123"/>
    <cellStyle name="Normal 1673 2 2" xfId="6124"/>
    <cellStyle name="Normal 1673 2 3" xfId="6125"/>
    <cellStyle name="Normal 1673 2 4" xfId="33938"/>
    <cellStyle name="Normal 1673 3" xfId="6126"/>
    <cellStyle name="Normal 1673 4" xfId="6127"/>
    <cellStyle name="Normal 1673 5" xfId="33939"/>
    <cellStyle name="Normal 1674" xfId="6128"/>
    <cellStyle name="Normal 1674 2" xfId="6129"/>
    <cellStyle name="Normal 1674 2 2" xfId="6130"/>
    <cellStyle name="Normal 1674 2 3" xfId="6131"/>
    <cellStyle name="Normal 1674 2 4" xfId="33940"/>
    <cellStyle name="Normal 1674 3" xfId="6132"/>
    <cellStyle name="Normal 1674 4" xfId="6133"/>
    <cellStyle name="Normal 1674 5" xfId="33941"/>
    <cellStyle name="Normal 1675" xfId="6134"/>
    <cellStyle name="Normal 1675 2" xfId="6135"/>
    <cellStyle name="Normal 1675 2 2" xfId="6136"/>
    <cellStyle name="Normal 1675 2 3" xfId="6137"/>
    <cellStyle name="Normal 1675 2 4" xfId="33942"/>
    <cellStyle name="Normal 1675 3" xfId="6138"/>
    <cellStyle name="Normal 1675 4" xfId="6139"/>
    <cellStyle name="Normal 1675 5" xfId="33943"/>
    <cellStyle name="Normal 1676" xfId="6140"/>
    <cellStyle name="Normal 1676 2" xfId="6141"/>
    <cellStyle name="Normal 1676 2 2" xfId="6142"/>
    <cellStyle name="Normal 1676 2 3" xfId="6143"/>
    <cellStyle name="Normal 1676 2 4" xfId="33944"/>
    <cellStyle name="Normal 1676 3" xfId="6144"/>
    <cellStyle name="Normal 1676 4" xfId="6145"/>
    <cellStyle name="Normal 1676 5" xfId="33945"/>
    <cellStyle name="Normal 1677" xfId="6146"/>
    <cellStyle name="Normal 1677 2" xfId="6147"/>
    <cellStyle name="Normal 1677 2 2" xfId="6148"/>
    <cellStyle name="Normal 1677 2 3" xfId="6149"/>
    <cellStyle name="Normal 1677 2 4" xfId="33946"/>
    <cellStyle name="Normal 1677 3" xfId="6150"/>
    <cellStyle name="Normal 1677 4" xfId="6151"/>
    <cellStyle name="Normal 1677 5" xfId="33947"/>
    <cellStyle name="Normal 1678" xfId="6152"/>
    <cellStyle name="Normal 1678 2" xfId="6153"/>
    <cellStyle name="Normal 1678 2 2" xfId="6154"/>
    <cellStyle name="Normal 1678 2 3" xfId="6155"/>
    <cellStyle name="Normal 1678 2 4" xfId="33948"/>
    <cellStyle name="Normal 1678 3" xfId="6156"/>
    <cellStyle name="Normal 1678 4" xfId="6157"/>
    <cellStyle name="Normal 1678 5" xfId="33949"/>
    <cellStyle name="Normal 1679" xfId="6158"/>
    <cellStyle name="Normal 1679 2" xfId="6159"/>
    <cellStyle name="Normal 1679 2 2" xfId="6160"/>
    <cellStyle name="Normal 1679 2 3" xfId="6161"/>
    <cellStyle name="Normal 1679 2 4" xfId="33950"/>
    <cellStyle name="Normal 1679 3" xfId="6162"/>
    <cellStyle name="Normal 1679 4" xfId="6163"/>
    <cellStyle name="Normal 1679 5" xfId="33951"/>
    <cellStyle name="Normal 168" xfId="6164"/>
    <cellStyle name="Normal 168 10" xfId="33952"/>
    <cellStyle name="Normal 168 2" xfId="6165"/>
    <cellStyle name="Normal 168 2 2" xfId="6166"/>
    <cellStyle name="Normal 168 2 2 2" xfId="6167"/>
    <cellStyle name="Normal 168 2 2 3" xfId="6168"/>
    <cellStyle name="Normal 168 2 3" xfId="6169"/>
    <cellStyle name="Normal 168 2 3 2" xfId="33953"/>
    <cellStyle name="Normal 168 2 3 3" xfId="33954"/>
    <cellStyle name="Normal 168 2 4" xfId="6170"/>
    <cellStyle name="Normal 168 2 5" xfId="6171"/>
    <cellStyle name="Normal 168 2 6" xfId="33955"/>
    <cellStyle name="Normal 168 2 7" xfId="33956"/>
    <cellStyle name="Normal 168 2 8" xfId="33957"/>
    <cellStyle name="Normal 168 3" xfId="6172"/>
    <cellStyle name="Normal 168 3 2" xfId="6173"/>
    <cellStyle name="Normal 168 3 2 2" xfId="33958"/>
    <cellStyle name="Normal 168 3 2 3" xfId="33959"/>
    <cellStyle name="Normal 168 3 3" xfId="6174"/>
    <cellStyle name="Normal 168 3 3 2" xfId="33960"/>
    <cellStyle name="Normal 168 3 3 3" xfId="33961"/>
    <cellStyle name="Normal 168 3 4" xfId="33962"/>
    <cellStyle name="Normal 168 3 5" xfId="33963"/>
    <cellStyle name="Normal 168 4" xfId="6175"/>
    <cellStyle name="Normal 168 4 2" xfId="33964"/>
    <cellStyle name="Normal 168 4 3" xfId="33965"/>
    <cellStyle name="Normal 168 5" xfId="6176"/>
    <cellStyle name="Normal 168 5 2" xfId="33966"/>
    <cellStyle name="Normal 168 5 3" xfId="33967"/>
    <cellStyle name="Normal 168 6" xfId="6177"/>
    <cellStyle name="Normal 168 7" xfId="33968"/>
    <cellStyle name="Normal 168 8" xfId="33969"/>
    <cellStyle name="Normal 168 9" xfId="33970"/>
    <cellStyle name="Normal 1680" xfId="6178"/>
    <cellStyle name="Normal 1680 2" xfId="6179"/>
    <cellStyle name="Normal 1680 2 2" xfId="6180"/>
    <cellStyle name="Normal 1680 2 3" xfId="6181"/>
    <cellStyle name="Normal 1680 2 4" xfId="33971"/>
    <cellStyle name="Normal 1680 3" xfId="6182"/>
    <cellStyle name="Normal 1680 4" xfId="6183"/>
    <cellStyle name="Normal 1680 5" xfId="33972"/>
    <cellStyle name="Normal 1681" xfId="6184"/>
    <cellStyle name="Normal 1681 2" xfId="6185"/>
    <cellStyle name="Normal 1681 2 2" xfId="6186"/>
    <cellStyle name="Normal 1681 2 3" xfId="6187"/>
    <cellStyle name="Normal 1681 2 4" xfId="33973"/>
    <cellStyle name="Normal 1681 3" xfId="6188"/>
    <cellStyle name="Normal 1681 4" xfId="6189"/>
    <cellStyle name="Normal 1681 5" xfId="33974"/>
    <cellStyle name="Normal 1682" xfId="6190"/>
    <cellStyle name="Normal 1682 2" xfId="6191"/>
    <cellStyle name="Normal 1682 2 2" xfId="6192"/>
    <cellStyle name="Normal 1682 2 3" xfId="6193"/>
    <cellStyle name="Normal 1682 2 4" xfId="33975"/>
    <cellStyle name="Normal 1682 3" xfId="6194"/>
    <cellStyle name="Normal 1682 4" xfId="6195"/>
    <cellStyle name="Normal 1682 5" xfId="33976"/>
    <cellStyle name="Normal 1683" xfId="6196"/>
    <cellStyle name="Normal 1683 2" xfId="6197"/>
    <cellStyle name="Normal 1683 2 2" xfId="6198"/>
    <cellStyle name="Normal 1683 2 3" xfId="6199"/>
    <cellStyle name="Normal 1683 2 4" xfId="33977"/>
    <cellStyle name="Normal 1683 3" xfId="6200"/>
    <cellStyle name="Normal 1683 4" xfId="6201"/>
    <cellStyle name="Normal 1683 5" xfId="33978"/>
    <cellStyle name="Normal 1684" xfId="6202"/>
    <cellStyle name="Normal 1684 2" xfId="6203"/>
    <cellStyle name="Normal 1684 2 2" xfId="6204"/>
    <cellStyle name="Normal 1684 2 3" xfId="6205"/>
    <cellStyle name="Normal 1684 2 4" xfId="33979"/>
    <cellStyle name="Normal 1684 3" xfId="6206"/>
    <cellStyle name="Normal 1684 4" xfId="6207"/>
    <cellStyle name="Normal 1684 5" xfId="33980"/>
    <cellStyle name="Normal 1685" xfId="6208"/>
    <cellStyle name="Normal 1685 2" xfId="6209"/>
    <cellStyle name="Normal 1685 2 2" xfId="6210"/>
    <cellStyle name="Normal 1685 2 3" xfId="6211"/>
    <cellStyle name="Normal 1685 2 4" xfId="33981"/>
    <cellStyle name="Normal 1685 3" xfId="6212"/>
    <cellStyle name="Normal 1685 4" xfId="6213"/>
    <cellStyle name="Normal 1685 5" xfId="33982"/>
    <cellStyle name="Normal 1686" xfId="6214"/>
    <cellStyle name="Normal 1686 2" xfId="6215"/>
    <cellStyle name="Normal 1686 2 2" xfId="6216"/>
    <cellStyle name="Normal 1686 2 3" xfId="6217"/>
    <cellStyle name="Normal 1686 2 4" xfId="33983"/>
    <cellStyle name="Normal 1686 3" xfId="6218"/>
    <cellStyle name="Normal 1686 4" xfId="6219"/>
    <cellStyle name="Normal 1686 5" xfId="33984"/>
    <cellStyle name="Normal 1687" xfId="6220"/>
    <cellStyle name="Normal 1687 2" xfId="6221"/>
    <cellStyle name="Normal 1687 2 2" xfId="6222"/>
    <cellStyle name="Normal 1687 2 3" xfId="6223"/>
    <cellStyle name="Normal 1687 2 4" xfId="33985"/>
    <cellStyle name="Normal 1687 3" xfId="6224"/>
    <cellStyle name="Normal 1687 4" xfId="6225"/>
    <cellStyle name="Normal 1687 5" xfId="33986"/>
    <cellStyle name="Normal 1688" xfId="6226"/>
    <cellStyle name="Normal 1688 2" xfId="6227"/>
    <cellStyle name="Normal 1688 2 2" xfId="6228"/>
    <cellStyle name="Normal 1688 2 3" xfId="6229"/>
    <cellStyle name="Normal 1688 2 4" xfId="33987"/>
    <cellStyle name="Normal 1688 3" xfId="6230"/>
    <cellStyle name="Normal 1688 4" xfId="6231"/>
    <cellStyle name="Normal 1688 5" xfId="33988"/>
    <cellStyle name="Normal 1689" xfId="6232"/>
    <cellStyle name="Normal 1689 2" xfId="6233"/>
    <cellStyle name="Normal 1689 2 2" xfId="6234"/>
    <cellStyle name="Normal 1689 2 3" xfId="6235"/>
    <cellStyle name="Normal 1689 2 4" xfId="33989"/>
    <cellStyle name="Normal 1689 3" xfId="6236"/>
    <cellStyle name="Normal 1689 4" xfId="6237"/>
    <cellStyle name="Normal 1689 5" xfId="33990"/>
    <cellStyle name="Normal 169" xfId="6238"/>
    <cellStyle name="Normal 169 10" xfId="33991"/>
    <cellStyle name="Normal 169 2" xfId="6239"/>
    <cellStyle name="Normal 169 2 2" xfId="6240"/>
    <cellStyle name="Normal 169 2 2 2" xfId="6241"/>
    <cellStyle name="Normal 169 2 2 3" xfId="6242"/>
    <cellStyle name="Normal 169 2 3" xfId="6243"/>
    <cellStyle name="Normal 169 2 3 2" xfId="33992"/>
    <cellStyle name="Normal 169 2 3 3" xfId="33993"/>
    <cellStyle name="Normal 169 2 4" xfId="6244"/>
    <cellStyle name="Normal 169 2 5" xfId="6245"/>
    <cellStyle name="Normal 169 2 6" xfId="33994"/>
    <cellStyle name="Normal 169 2 7" xfId="33995"/>
    <cellStyle name="Normal 169 2 8" xfId="33996"/>
    <cellStyle name="Normal 169 3" xfId="6246"/>
    <cellStyle name="Normal 169 3 2" xfId="6247"/>
    <cellStyle name="Normal 169 3 2 2" xfId="33997"/>
    <cellStyle name="Normal 169 3 2 3" xfId="33998"/>
    <cellStyle name="Normal 169 3 3" xfId="6248"/>
    <cellStyle name="Normal 169 3 3 2" xfId="33999"/>
    <cellStyle name="Normal 169 3 3 3" xfId="34000"/>
    <cellStyle name="Normal 169 3 4" xfId="34001"/>
    <cellStyle name="Normal 169 3 5" xfId="34002"/>
    <cellStyle name="Normal 169 4" xfId="6249"/>
    <cellStyle name="Normal 169 4 2" xfId="34003"/>
    <cellStyle name="Normal 169 4 3" xfId="34004"/>
    <cellStyle name="Normal 169 5" xfId="6250"/>
    <cellStyle name="Normal 169 5 2" xfId="34005"/>
    <cellStyle name="Normal 169 5 3" xfId="34006"/>
    <cellStyle name="Normal 169 6" xfId="6251"/>
    <cellStyle name="Normal 169 7" xfId="34007"/>
    <cellStyle name="Normal 169 8" xfId="34008"/>
    <cellStyle name="Normal 169 9" xfId="34009"/>
    <cellStyle name="Normal 1690" xfId="6252"/>
    <cellStyle name="Normal 1690 2" xfId="6253"/>
    <cellStyle name="Normal 1690 2 2" xfId="6254"/>
    <cellStyle name="Normal 1690 2 3" xfId="6255"/>
    <cellStyle name="Normal 1690 2 4" xfId="34010"/>
    <cellStyle name="Normal 1690 3" xfId="6256"/>
    <cellStyle name="Normal 1690 4" xfId="6257"/>
    <cellStyle name="Normal 1690 5" xfId="34011"/>
    <cellStyle name="Normal 1691" xfId="6258"/>
    <cellStyle name="Normal 1691 2" xfId="6259"/>
    <cellStyle name="Normal 1691 2 2" xfId="6260"/>
    <cellStyle name="Normal 1691 2 3" xfId="6261"/>
    <cellStyle name="Normal 1691 2 4" xfId="34012"/>
    <cellStyle name="Normal 1691 3" xfId="6262"/>
    <cellStyle name="Normal 1691 4" xfId="6263"/>
    <cellStyle name="Normal 1691 5" xfId="34013"/>
    <cellStyle name="Normal 1692" xfId="6264"/>
    <cellStyle name="Normal 1692 2" xfId="6265"/>
    <cellStyle name="Normal 1692 2 2" xfId="6266"/>
    <cellStyle name="Normal 1692 2 3" xfId="6267"/>
    <cellStyle name="Normal 1692 2 4" xfId="34014"/>
    <cellStyle name="Normal 1692 3" xfId="6268"/>
    <cellStyle name="Normal 1692 4" xfId="6269"/>
    <cellStyle name="Normal 1692 5" xfId="34015"/>
    <cellStyle name="Normal 1693" xfId="6270"/>
    <cellStyle name="Normal 1693 2" xfId="6271"/>
    <cellStyle name="Normal 1693 2 2" xfId="6272"/>
    <cellStyle name="Normal 1693 2 3" xfId="6273"/>
    <cellStyle name="Normal 1693 2 4" xfId="34016"/>
    <cellStyle name="Normal 1693 3" xfId="6274"/>
    <cellStyle name="Normal 1693 4" xfId="6275"/>
    <cellStyle name="Normal 1693 5" xfId="34017"/>
    <cellStyle name="Normal 1694" xfId="6276"/>
    <cellStyle name="Normal 1694 2" xfId="6277"/>
    <cellStyle name="Normal 1694 2 2" xfId="6278"/>
    <cellStyle name="Normal 1694 2 3" xfId="6279"/>
    <cellStyle name="Normal 1694 2 4" xfId="34018"/>
    <cellStyle name="Normal 1694 3" xfId="6280"/>
    <cellStyle name="Normal 1694 4" xfId="6281"/>
    <cellStyle name="Normal 1694 5" xfId="34019"/>
    <cellStyle name="Normal 1695" xfId="6282"/>
    <cellStyle name="Normal 1695 2" xfId="6283"/>
    <cellStyle name="Normal 1695 2 2" xfId="6284"/>
    <cellStyle name="Normal 1695 2 3" xfId="6285"/>
    <cellStyle name="Normal 1695 2 4" xfId="34020"/>
    <cellStyle name="Normal 1695 3" xfId="6286"/>
    <cellStyle name="Normal 1695 4" xfId="6287"/>
    <cellStyle name="Normal 1695 5" xfId="34021"/>
    <cellStyle name="Normal 1696" xfId="6288"/>
    <cellStyle name="Normal 1696 2" xfId="6289"/>
    <cellStyle name="Normal 1696 2 2" xfId="6290"/>
    <cellStyle name="Normal 1696 2 3" xfId="6291"/>
    <cellStyle name="Normal 1696 2 4" xfId="34022"/>
    <cellStyle name="Normal 1696 3" xfId="6292"/>
    <cellStyle name="Normal 1696 4" xfId="6293"/>
    <cellStyle name="Normal 1696 5" xfId="34023"/>
    <cellStyle name="Normal 1697" xfId="6294"/>
    <cellStyle name="Normal 1697 2" xfId="6295"/>
    <cellStyle name="Normal 1697 2 2" xfId="6296"/>
    <cellStyle name="Normal 1697 2 3" xfId="6297"/>
    <cellStyle name="Normal 1697 2 4" xfId="34024"/>
    <cellStyle name="Normal 1697 3" xfId="6298"/>
    <cellStyle name="Normal 1697 4" xfId="6299"/>
    <cellStyle name="Normal 1697 5" xfId="34025"/>
    <cellStyle name="Normal 1698" xfId="6300"/>
    <cellStyle name="Normal 1698 2" xfId="6301"/>
    <cellStyle name="Normal 1698 2 2" xfId="6302"/>
    <cellStyle name="Normal 1698 2 3" xfId="6303"/>
    <cellStyle name="Normal 1698 2 4" xfId="34026"/>
    <cellStyle name="Normal 1698 3" xfId="6304"/>
    <cellStyle name="Normal 1698 4" xfId="6305"/>
    <cellStyle name="Normal 1698 5" xfId="34027"/>
    <cellStyle name="Normal 1699" xfId="6306"/>
    <cellStyle name="Normal 1699 2" xfId="6307"/>
    <cellStyle name="Normal 1699 2 2" xfId="6308"/>
    <cellStyle name="Normal 1699 2 3" xfId="6309"/>
    <cellStyle name="Normal 1699 2 4" xfId="34028"/>
    <cellStyle name="Normal 1699 3" xfId="6310"/>
    <cellStyle name="Normal 1699 4" xfId="6311"/>
    <cellStyle name="Normal 1699 5" xfId="34029"/>
    <cellStyle name="Normal 17" xfId="6312"/>
    <cellStyle name="Normal 17 10" xfId="34030"/>
    <cellStyle name="Normal 17 2" xfId="6313"/>
    <cellStyle name="Normal 17 2 2" xfId="6314"/>
    <cellStyle name="Normal 17 2 2 2" xfId="6315"/>
    <cellStyle name="Normal 17 2 2 3" xfId="6316"/>
    <cellStyle name="Normal 17 2 3" xfId="6317"/>
    <cellStyle name="Normal 17 2 3 2" xfId="34031"/>
    <cellStyle name="Normal 17 2 3 3" xfId="34032"/>
    <cellStyle name="Normal 17 2 4" xfId="6318"/>
    <cellStyle name="Normal 17 2 5" xfId="6319"/>
    <cellStyle name="Normal 17 2 6" xfId="34033"/>
    <cellStyle name="Normal 17 2 7" xfId="34034"/>
    <cellStyle name="Normal 17 2 8" xfId="34035"/>
    <cellStyle name="Normal 17 3" xfId="6320"/>
    <cellStyle name="Normal 17 3 2" xfId="6321"/>
    <cellStyle name="Normal 17 3 2 2" xfId="34036"/>
    <cellStyle name="Normal 17 3 2 3" xfId="34037"/>
    <cellStyle name="Normal 17 3 3" xfId="6322"/>
    <cellStyle name="Normal 17 3 3 2" xfId="34038"/>
    <cellStyle name="Normal 17 3 3 3" xfId="34039"/>
    <cellStyle name="Normal 17 3 4" xfId="6323"/>
    <cellStyle name="Normal 17 3 5" xfId="34040"/>
    <cellStyle name="Normal 17 4" xfId="6324"/>
    <cellStyle name="Normal 17 4 2" xfId="34041"/>
    <cellStyle name="Normal 17 4 3" xfId="34042"/>
    <cellStyle name="Normal 17 5" xfId="6325"/>
    <cellStyle name="Normal 17 5 2" xfId="34043"/>
    <cellStyle name="Normal 17 5 3" xfId="34044"/>
    <cellStyle name="Normal 17 6" xfId="6326"/>
    <cellStyle name="Normal 17 7" xfId="34045"/>
    <cellStyle name="Normal 17 8" xfId="34046"/>
    <cellStyle name="Normal 17 9" xfId="34047"/>
    <cellStyle name="Normal 170" xfId="6327"/>
    <cellStyle name="Normal 170 10" xfId="34048"/>
    <cellStyle name="Normal 170 2" xfId="6328"/>
    <cellStyle name="Normal 170 2 2" xfId="6329"/>
    <cellStyle name="Normal 170 2 2 2" xfId="6330"/>
    <cellStyle name="Normal 170 2 2 3" xfId="6331"/>
    <cellStyle name="Normal 170 2 3" xfId="6332"/>
    <cellStyle name="Normal 170 2 3 2" xfId="34049"/>
    <cellStyle name="Normal 170 2 3 3" xfId="34050"/>
    <cellStyle name="Normal 170 2 4" xfId="6333"/>
    <cellStyle name="Normal 170 2 5" xfId="6334"/>
    <cellStyle name="Normal 170 2 6" xfId="34051"/>
    <cellStyle name="Normal 170 2 7" xfId="34052"/>
    <cellStyle name="Normal 170 2 8" xfId="34053"/>
    <cellStyle name="Normal 170 3" xfId="6335"/>
    <cellStyle name="Normal 170 3 2" xfId="6336"/>
    <cellStyle name="Normal 170 3 2 2" xfId="34054"/>
    <cellStyle name="Normal 170 3 2 3" xfId="34055"/>
    <cellStyle name="Normal 170 3 3" xfId="6337"/>
    <cellStyle name="Normal 170 3 3 2" xfId="34056"/>
    <cellStyle name="Normal 170 3 3 3" xfId="34057"/>
    <cellStyle name="Normal 170 3 4" xfId="34058"/>
    <cellStyle name="Normal 170 3 5" xfId="34059"/>
    <cellStyle name="Normal 170 4" xfId="6338"/>
    <cellStyle name="Normal 170 4 2" xfId="34060"/>
    <cellStyle name="Normal 170 4 3" xfId="34061"/>
    <cellStyle name="Normal 170 5" xfId="6339"/>
    <cellStyle name="Normal 170 5 2" xfId="34062"/>
    <cellStyle name="Normal 170 5 3" xfId="34063"/>
    <cellStyle name="Normal 170 6" xfId="6340"/>
    <cellStyle name="Normal 170 7" xfId="34064"/>
    <cellStyle name="Normal 170 8" xfId="34065"/>
    <cellStyle name="Normal 170 9" xfId="34066"/>
    <cellStyle name="Normal 1700" xfId="6341"/>
    <cellStyle name="Normal 1700 2" xfId="6342"/>
    <cellStyle name="Normal 1700 2 2" xfId="6343"/>
    <cellStyle name="Normal 1700 2 3" xfId="6344"/>
    <cellStyle name="Normal 1700 2 4" xfId="34067"/>
    <cellStyle name="Normal 1700 3" xfId="6345"/>
    <cellStyle name="Normal 1700 4" xfId="6346"/>
    <cellStyle name="Normal 1700 5" xfId="34068"/>
    <cellStyle name="Normal 1701" xfId="6347"/>
    <cellStyle name="Normal 1701 2" xfId="6348"/>
    <cellStyle name="Normal 1701 2 2" xfId="6349"/>
    <cellStyle name="Normal 1701 2 3" xfId="6350"/>
    <cellStyle name="Normal 1701 2 4" xfId="34069"/>
    <cellStyle name="Normal 1701 3" xfId="6351"/>
    <cellStyle name="Normal 1701 4" xfId="6352"/>
    <cellStyle name="Normal 1701 5" xfId="34070"/>
    <cellStyle name="Normal 1702" xfId="6353"/>
    <cellStyle name="Normal 1702 2" xfId="6354"/>
    <cellStyle name="Normal 1702 2 2" xfId="6355"/>
    <cellStyle name="Normal 1702 2 3" xfId="6356"/>
    <cellStyle name="Normal 1702 2 4" xfId="34071"/>
    <cellStyle name="Normal 1702 3" xfId="6357"/>
    <cellStyle name="Normal 1702 4" xfId="6358"/>
    <cellStyle name="Normal 1702 5" xfId="34072"/>
    <cellStyle name="Normal 1703" xfId="6359"/>
    <cellStyle name="Normal 1703 2" xfId="6360"/>
    <cellStyle name="Normal 1703 2 2" xfId="6361"/>
    <cellStyle name="Normal 1703 2 3" xfId="6362"/>
    <cellStyle name="Normal 1703 2 4" xfId="34073"/>
    <cellStyle name="Normal 1703 3" xfId="6363"/>
    <cellStyle name="Normal 1703 4" xfId="6364"/>
    <cellStyle name="Normal 1703 5" xfId="34074"/>
    <cellStyle name="Normal 1704" xfId="6365"/>
    <cellStyle name="Normal 1704 2" xfId="6366"/>
    <cellStyle name="Normal 1704 2 2" xfId="6367"/>
    <cellStyle name="Normal 1704 2 3" xfId="6368"/>
    <cellStyle name="Normal 1704 2 4" xfId="34075"/>
    <cellStyle name="Normal 1704 3" xfId="6369"/>
    <cellStyle name="Normal 1704 4" xfId="6370"/>
    <cellStyle name="Normal 1704 5" xfId="34076"/>
    <cellStyle name="Normal 1705" xfId="6371"/>
    <cellStyle name="Normal 1705 2" xfId="6372"/>
    <cellStyle name="Normal 1705 2 2" xfId="6373"/>
    <cellStyle name="Normal 1705 2 3" xfId="6374"/>
    <cellStyle name="Normal 1705 2 4" xfId="34077"/>
    <cellStyle name="Normal 1705 3" xfId="6375"/>
    <cellStyle name="Normal 1705 4" xfId="6376"/>
    <cellStyle name="Normal 1705 5" xfId="34078"/>
    <cellStyle name="Normal 1706" xfId="6377"/>
    <cellStyle name="Normal 1706 2" xfId="6378"/>
    <cellStyle name="Normal 1706 2 2" xfId="6379"/>
    <cellStyle name="Normal 1706 2 3" xfId="6380"/>
    <cellStyle name="Normal 1706 2 4" xfId="34079"/>
    <cellStyle name="Normal 1706 3" xfId="6381"/>
    <cellStyle name="Normal 1706 4" xfId="6382"/>
    <cellStyle name="Normal 1706 5" xfId="34080"/>
    <cellStyle name="Normal 1707" xfId="6383"/>
    <cellStyle name="Normal 1707 2" xfId="6384"/>
    <cellStyle name="Normal 1707 2 2" xfId="6385"/>
    <cellStyle name="Normal 1707 2 3" xfId="6386"/>
    <cellStyle name="Normal 1707 2 4" xfId="34081"/>
    <cellStyle name="Normal 1707 3" xfId="6387"/>
    <cellStyle name="Normal 1707 4" xfId="6388"/>
    <cellStyle name="Normal 1707 5" xfId="34082"/>
    <cellStyle name="Normal 1708" xfId="6389"/>
    <cellStyle name="Normal 1708 2" xfId="6390"/>
    <cellStyle name="Normal 1708 2 2" xfId="6391"/>
    <cellStyle name="Normal 1708 2 3" xfId="6392"/>
    <cellStyle name="Normal 1708 2 4" xfId="34083"/>
    <cellStyle name="Normal 1708 3" xfId="6393"/>
    <cellStyle name="Normal 1708 4" xfId="6394"/>
    <cellStyle name="Normal 1708 5" xfId="34084"/>
    <cellStyle name="Normal 1709" xfId="6395"/>
    <cellStyle name="Normal 1709 2" xfId="6396"/>
    <cellStyle name="Normal 1709 2 2" xfId="6397"/>
    <cellStyle name="Normal 1709 2 3" xfId="6398"/>
    <cellStyle name="Normal 1709 2 4" xfId="34085"/>
    <cellStyle name="Normal 1709 3" xfId="6399"/>
    <cellStyle name="Normal 1709 4" xfId="6400"/>
    <cellStyle name="Normal 1709 5" xfId="34086"/>
    <cellStyle name="Normal 171" xfId="6401"/>
    <cellStyle name="Normal 171 10" xfId="34087"/>
    <cellStyle name="Normal 171 2" xfId="6402"/>
    <cellStyle name="Normal 171 2 2" xfId="6403"/>
    <cellStyle name="Normal 171 2 2 2" xfId="6404"/>
    <cellStyle name="Normal 171 2 2 3" xfId="6405"/>
    <cellStyle name="Normal 171 2 3" xfId="6406"/>
    <cellStyle name="Normal 171 2 3 2" xfId="34088"/>
    <cellStyle name="Normal 171 2 3 3" xfId="34089"/>
    <cellStyle name="Normal 171 2 4" xfId="6407"/>
    <cellStyle name="Normal 171 2 5" xfId="6408"/>
    <cellStyle name="Normal 171 2 6" xfId="34090"/>
    <cellStyle name="Normal 171 2 7" xfId="34091"/>
    <cellStyle name="Normal 171 2 8" xfId="34092"/>
    <cellStyle name="Normal 171 3" xfId="6409"/>
    <cellStyle name="Normal 171 3 2" xfId="6410"/>
    <cellStyle name="Normal 171 3 2 2" xfId="34093"/>
    <cellStyle name="Normal 171 3 2 3" xfId="34094"/>
    <cellStyle name="Normal 171 3 3" xfId="6411"/>
    <cellStyle name="Normal 171 3 3 2" xfId="34095"/>
    <cellStyle name="Normal 171 3 3 3" xfId="34096"/>
    <cellStyle name="Normal 171 3 4" xfId="34097"/>
    <cellStyle name="Normal 171 3 5" xfId="34098"/>
    <cellStyle name="Normal 171 4" xfId="6412"/>
    <cellStyle name="Normal 171 4 2" xfId="34099"/>
    <cellStyle name="Normal 171 4 3" xfId="34100"/>
    <cellStyle name="Normal 171 5" xfId="6413"/>
    <cellStyle name="Normal 171 5 2" xfId="34101"/>
    <cellStyle name="Normal 171 5 3" xfId="34102"/>
    <cellStyle name="Normal 171 6" xfId="6414"/>
    <cellStyle name="Normal 171 7" xfId="34103"/>
    <cellStyle name="Normal 171 8" xfId="34104"/>
    <cellStyle name="Normal 171 9" xfId="34105"/>
    <cellStyle name="Normal 1710" xfId="6415"/>
    <cellStyle name="Normal 1710 2" xfId="6416"/>
    <cellStyle name="Normal 1710 2 2" xfId="6417"/>
    <cellStyle name="Normal 1710 2 3" xfId="6418"/>
    <cellStyle name="Normal 1710 2 4" xfId="34106"/>
    <cellStyle name="Normal 1710 3" xfId="6419"/>
    <cellStyle name="Normal 1710 4" xfId="6420"/>
    <cellStyle name="Normal 1710 5" xfId="34107"/>
    <cellStyle name="Normal 1711" xfId="6421"/>
    <cellStyle name="Normal 1711 2" xfId="6422"/>
    <cellStyle name="Normal 1711 2 2" xfId="6423"/>
    <cellStyle name="Normal 1711 2 3" xfId="6424"/>
    <cellStyle name="Normal 1711 2 4" xfId="34108"/>
    <cellStyle name="Normal 1711 3" xfId="6425"/>
    <cellStyle name="Normal 1711 4" xfId="6426"/>
    <cellStyle name="Normal 1711 5" xfId="34109"/>
    <cellStyle name="Normal 1712" xfId="6427"/>
    <cellStyle name="Normal 1712 2" xfId="6428"/>
    <cellStyle name="Normal 1712 2 2" xfId="6429"/>
    <cellStyle name="Normal 1712 2 3" xfId="6430"/>
    <cellStyle name="Normal 1712 2 4" xfId="34110"/>
    <cellStyle name="Normal 1712 3" xfId="6431"/>
    <cellStyle name="Normal 1712 4" xfId="6432"/>
    <cellStyle name="Normal 1712 5" xfId="34111"/>
    <cellStyle name="Normal 1713" xfId="6433"/>
    <cellStyle name="Normal 1713 2" xfId="6434"/>
    <cellStyle name="Normal 1713 2 2" xfId="6435"/>
    <cellStyle name="Normal 1713 2 3" xfId="6436"/>
    <cellStyle name="Normal 1713 2 4" xfId="34112"/>
    <cellStyle name="Normal 1713 3" xfId="6437"/>
    <cellStyle name="Normal 1713 4" xfId="6438"/>
    <cellStyle name="Normal 1713 5" xfId="34113"/>
    <cellStyle name="Normal 1714" xfId="6439"/>
    <cellStyle name="Normal 1714 2" xfId="6440"/>
    <cellStyle name="Normal 1714 2 2" xfId="6441"/>
    <cellStyle name="Normal 1714 2 3" xfId="6442"/>
    <cellStyle name="Normal 1714 2 4" xfId="34114"/>
    <cellStyle name="Normal 1714 3" xfId="6443"/>
    <cellStyle name="Normal 1714 4" xfId="6444"/>
    <cellStyle name="Normal 1714 5" xfId="34115"/>
    <cellStyle name="Normal 1715" xfId="6445"/>
    <cellStyle name="Normal 1715 2" xfId="6446"/>
    <cellStyle name="Normal 1715 2 2" xfId="6447"/>
    <cellStyle name="Normal 1715 2 3" xfId="6448"/>
    <cellStyle name="Normal 1715 2 4" xfId="34116"/>
    <cellStyle name="Normal 1715 3" xfId="6449"/>
    <cellStyle name="Normal 1715 4" xfId="6450"/>
    <cellStyle name="Normal 1715 5" xfId="34117"/>
    <cellStyle name="Normal 1716" xfId="6451"/>
    <cellStyle name="Normal 1716 2" xfId="6452"/>
    <cellStyle name="Normal 1716 2 2" xfId="6453"/>
    <cellStyle name="Normal 1716 2 3" xfId="6454"/>
    <cellStyle name="Normal 1716 2 4" xfId="34118"/>
    <cellStyle name="Normal 1716 3" xfId="6455"/>
    <cellStyle name="Normal 1716 4" xfId="6456"/>
    <cellStyle name="Normal 1716 5" xfId="34119"/>
    <cellStyle name="Normal 1717" xfId="6457"/>
    <cellStyle name="Normal 1717 2" xfId="6458"/>
    <cellStyle name="Normal 1717 2 2" xfId="6459"/>
    <cellStyle name="Normal 1717 2 3" xfId="6460"/>
    <cellStyle name="Normal 1717 2 4" xfId="34120"/>
    <cellStyle name="Normal 1717 3" xfId="6461"/>
    <cellStyle name="Normal 1717 4" xfId="6462"/>
    <cellStyle name="Normal 1717 5" xfId="34121"/>
    <cellStyle name="Normal 1718" xfId="6463"/>
    <cellStyle name="Normal 1718 2" xfId="6464"/>
    <cellStyle name="Normal 1718 2 2" xfId="6465"/>
    <cellStyle name="Normal 1718 2 3" xfId="6466"/>
    <cellStyle name="Normal 1718 2 4" xfId="34122"/>
    <cellStyle name="Normal 1718 3" xfId="6467"/>
    <cellStyle name="Normal 1718 4" xfId="6468"/>
    <cellStyle name="Normal 1718 5" xfId="34123"/>
    <cellStyle name="Normal 1719" xfId="6469"/>
    <cellStyle name="Normal 1719 2" xfId="6470"/>
    <cellStyle name="Normal 1719 2 2" xfId="6471"/>
    <cellStyle name="Normal 1719 2 3" xfId="6472"/>
    <cellStyle name="Normal 1719 2 4" xfId="34124"/>
    <cellStyle name="Normal 1719 3" xfId="6473"/>
    <cellStyle name="Normal 1719 4" xfId="6474"/>
    <cellStyle name="Normal 1719 5" xfId="34125"/>
    <cellStyle name="Normal 172" xfId="6475"/>
    <cellStyle name="Normal 172 10" xfId="34126"/>
    <cellStyle name="Normal 172 2" xfId="6476"/>
    <cellStyle name="Normal 172 2 2" xfId="6477"/>
    <cellStyle name="Normal 172 2 2 2" xfId="6478"/>
    <cellStyle name="Normal 172 2 2 3" xfId="6479"/>
    <cellStyle name="Normal 172 2 3" xfId="6480"/>
    <cellStyle name="Normal 172 2 3 2" xfId="34127"/>
    <cellStyle name="Normal 172 2 3 3" xfId="34128"/>
    <cellStyle name="Normal 172 2 4" xfId="6481"/>
    <cellStyle name="Normal 172 2 5" xfId="6482"/>
    <cellStyle name="Normal 172 2 6" xfId="34129"/>
    <cellStyle name="Normal 172 2 7" xfId="34130"/>
    <cellStyle name="Normal 172 2 8" xfId="34131"/>
    <cellStyle name="Normal 172 3" xfId="6483"/>
    <cellStyle name="Normal 172 3 2" xfId="6484"/>
    <cellStyle name="Normal 172 3 2 2" xfId="34132"/>
    <cellStyle name="Normal 172 3 2 3" xfId="34133"/>
    <cellStyle name="Normal 172 3 3" xfId="6485"/>
    <cellStyle name="Normal 172 3 3 2" xfId="34134"/>
    <cellStyle name="Normal 172 3 3 3" xfId="34135"/>
    <cellStyle name="Normal 172 3 4" xfId="34136"/>
    <cellStyle name="Normal 172 3 5" xfId="34137"/>
    <cellStyle name="Normal 172 4" xfId="6486"/>
    <cellStyle name="Normal 172 4 2" xfId="34138"/>
    <cellStyle name="Normal 172 4 3" xfId="34139"/>
    <cellStyle name="Normal 172 5" xfId="6487"/>
    <cellStyle name="Normal 172 5 2" xfId="34140"/>
    <cellStyle name="Normal 172 5 3" xfId="34141"/>
    <cellStyle name="Normal 172 6" xfId="6488"/>
    <cellStyle name="Normal 172 7" xfId="34142"/>
    <cellStyle name="Normal 172 8" xfId="34143"/>
    <cellStyle name="Normal 172 9" xfId="34144"/>
    <cellStyle name="Normal 1720" xfId="6489"/>
    <cellStyle name="Normal 1720 2" xfId="6490"/>
    <cellStyle name="Normal 1720 2 2" xfId="6491"/>
    <cellStyle name="Normal 1720 2 3" xfId="6492"/>
    <cellStyle name="Normal 1720 2 4" xfId="34145"/>
    <cellStyle name="Normal 1720 3" xfId="6493"/>
    <cellStyle name="Normal 1720 4" xfId="6494"/>
    <cellStyle name="Normal 1720 5" xfId="34146"/>
    <cellStyle name="Normal 1721" xfId="6495"/>
    <cellStyle name="Normal 1721 2" xfId="6496"/>
    <cellStyle name="Normal 1721 2 2" xfId="6497"/>
    <cellStyle name="Normal 1721 2 3" xfId="6498"/>
    <cellStyle name="Normal 1721 2 4" xfId="34147"/>
    <cellStyle name="Normal 1721 3" xfId="6499"/>
    <cellStyle name="Normal 1721 4" xfId="6500"/>
    <cellStyle name="Normal 1721 5" xfId="34148"/>
    <cellStyle name="Normal 1722" xfId="6501"/>
    <cellStyle name="Normal 1722 2" xfId="6502"/>
    <cellStyle name="Normal 1722 2 2" xfId="6503"/>
    <cellStyle name="Normal 1722 2 3" xfId="6504"/>
    <cellStyle name="Normal 1722 2 4" xfId="34149"/>
    <cellStyle name="Normal 1722 3" xfId="6505"/>
    <cellStyle name="Normal 1722 4" xfId="6506"/>
    <cellStyle name="Normal 1722 5" xfId="34150"/>
    <cellStyle name="Normal 1723" xfId="6507"/>
    <cellStyle name="Normal 1723 2" xfId="6508"/>
    <cellStyle name="Normal 1723 2 2" xfId="6509"/>
    <cellStyle name="Normal 1723 2 3" xfId="6510"/>
    <cellStyle name="Normal 1723 2 4" xfId="34151"/>
    <cellStyle name="Normal 1723 3" xfId="6511"/>
    <cellStyle name="Normal 1723 4" xfId="6512"/>
    <cellStyle name="Normal 1723 5" xfId="34152"/>
    <cellStyle name="Normal 1724" xfId="6513"/>
    <cellStyle name="Normal 1724 2" xfId="6514"/>
    <cellStyle name="Normal 1724 2 2" xfId="6515"/>
    <cellStyle name="Normal 1724 2 3" xfId="6516"/>
    <cellStyle name="Normal 1724 2 4" xfId="34153"/>
    <cellStyle name="Normal 1724 3" xfId="6517"/>
    <cellStyle name="Normal 1724 4" xfId="6518"/>
    <cellStyle name="Normal 1724 5" xfId="34154"/>
    <cellStyle name="Normal 1725" xfId="6519"/>
    <cellStyle name="Normal 1725 2" xfId="6520"/>
    <cellStyle name="Normal 1725 2 2" xfId="6521"/>
    <cellStyle name="Normal 1725 2 3" xfId="6522"/>
    <cellStyle name="Normal 1725 2 4" xfId="34155"/>
    <cellStyle name="Normal 1725 3" xfId="6523"/>
    <cellStyle name="Normal 1725 4" xfId="6524"/>
    <cellStyle name="Normal 1725 5" xfId="34156"/>
    <cellStyle name="Normal 1726" xfId="6525"/>
    <cellStyle name="Normal 1726 2" xfId="6526"/>
    <cellStyle name="Normal 1726 2 2" xfId="6527"/>
    <cellStyle name="Normal 1726 2 3" xfId="6528"/>
    <cellStyle name="Normal 1726 2 4" xfId="34157"/>
    <cellStyle name="Normal 1726 3" xfId="6529"/>
    <cellStyle name="Normal 1726 4" xfId="6530"/>
    <cellStyle name="Normal 1726 5" xfId="34158"/>
    <cellStyle name="Normal 1727" xfId="6531"/>
    <cellStyle name="Normal 1727 2" xfId="6532"/>
    <cellStyle name="Normal 1727 2 2" xfId="6533"/>
    <cellStyle name="Normal 1727 2 3" xfId="6534"/>
    <cellStyle name="Normal 1727 2 4" xfId="34159"/>
    <cellStyle name="Normal 1727 3" xfId="6535"/>
    <cellStyle name="Normal 1727 4" xfId="6536"/>
    <cellStyle name="Normal 1727 5" xfId="34160"/>
    <cellStyle name="Normal 1728" xfId="6537"/>
    <cellStyle name="Normal 1728 2" xfId="6538"/>
    <cellStyle name="Normal 1728 2 2" xfId="6539"/>
    <cellStyle name="Normal 1728 2 3" xfId="6540"/>
    <cellStyle name="Normal 1728 2 4" xfId="34161"/>
    <cellStyle name="Normal 1728 3" xfId="6541"/>
    <cellStyle name="Normal 1728 4" xfId="6542"/>
    <cellStyle name="Normal 1728 5" xfId="34162"/>
    <cellStyle name="Normal 1729" xfId="6543"/>
    <cellStyle name="Normal 1729 2" xfId="6544"/>
    <cellStyle name="Normal 1729 2 2" xfId="6545"/>
    <cellStyle name="Normal 1729 2 3" xfId="6546"/>
    <cellStyle name="Normal 1729 2 4" xfId="34163"/>
    <cellStyle name="Normal 1729 3" xfId="6547"/>
    <cellStyle name="Normal 1729 4" xfId="6548"/>
    <cellStyle name="Normal 1729 5" xfId="34164"/>
    <cellStyle name="Normal 173" xfId="6549"/>
    <cellStyle name="Normal 173 10" xfId="34165"/>
    <cellStyle name="Normal 173 2" xfId="6550"/>
    <cellStyle name="Normal 173 2 2" xfId="6551"/>
    <cellStyle name="Normal 173 2 2 2" xfId="6552"/>
    <cellStyle name="Normal 173 2 2 3" xfId="6553"/>
    <cellStyle name="Normal 173 2 3" xfId="6554"/>
    <cellStyle name="Normal 173 2 3 2" xfId="34166"/>
    <cellStyle name="Normal 173 2 3 3" xfId="34167"/>
    <cellStyle name="Normal 173 2 4" xfId="6555"/>
    <cellStyle name="Normal 173 2 5" xfId="6556"/>
    <cellStyle name="Normal 173 2 6" xfId="34168"/>
    <cellStyle name="Normal 173 2 7" xfId="34169"/>
    <cellStyle name="Normal 173 2 8" xfId="34170"/>
    <cellStyle name="Normal 173 3" xfId="6557"/>
    <cellStyle name="Normal 173 3 2" xfId="6558"/>
    <cellStyle name="Normal 173 3 2 2" xfId="34171"/>
    <cellStyle name="Normal 173 3 2 3" xfId="34172"/>
    <cellStyle name="Normal 173 3 3" xfId="6559"/>
    <cellStyle name="Normal 173 3 3 2" xfId="34173"/>
    <cellStyle name="Normal 173 3 3 3" xfId="34174"/>
    <cellStyle name="Normal 173 3 4" xfId="34175"/>
    <cellStyle name="Normal 173 3 5" xfId="34176"/>
    <cellStyle name="Normal 173 4" xfId="6560"/>
    <cellStyle name="Normal 173 4 2" xfId="34177"/>
    <cellStyle name="Normal 173 4 3" xfId="34178"/>
    <cellStyle name="Normal 173 5" xfId="6561"/>
    <cellStyle name="Normal 173 5 2" xfId="34179"/>
    <cellStyle name="Normal 173 5 3" xfId="34180"/>
    <cellStyle name="Normal 173 6" xfId="6562"/>
    <cellStyle name="Normal 173 7" xfId="34181"/>
    <cellStyle name="Normal 173 8" xfId="34182"/>
    <cellStyle name="Normal 173 9" xfId="34183"/>
    <cellStyle name="Normal 1730" xfId="6563"/>
    <cellStyle name="Normal 1730 2" xfId="6564"/>
    <cellStyle name="Normal 1730 2 2" xfId="6565"/>
    <cellStyle name="Normal 1730 2 3" xfId="6566"/>
    <cellStyle name="Normal 1730 2 4" xfId="34184"/>
    <cellStyle name="Normal 1730 3" xfId="6567"/>
    <cellStyle name="Normal 1730 4" xfId="6568"/>
    <cellStyle name="Normal 1730 5" xfId="34185"/>
    <cellStyle name="Normal 1731" xfId="6569"/>
    <cellStyle name="Normal 1731 2" xfId="6570"/>
    <cellStyle name="Normal 1731 2 2" xfId="6571"/>
    <cellStyle name="Normal 1731 2 3" xfId="6572"/>
    <cellStyle name="Normal 1731 2 4" xfId="34186"/>
    <cellStyle name="Normal 1731 3" xfId="6573"/>
    <cellStyle name="Normal 1731 4" xfId="6574"/>
    <cellStyle name="Normal 1731 5" xfId="34187"/>
    <cellStyle name="Normal 1732" xfId="6575"/>
    <cellStyle name="Normal 1732 2" xfId="6576"/>
    <cellStyle name="Normal 1732 2 2" xfId="6577"/>
    <cellStyle name="Normal 1732 2 3" xfId="6578"/>
    <cellStyle name="Normal 1732 2 4" xfId="34188"/>
    <cellStyle name="Normal 1732 3" xfId="6579"/>
    <cellStyle name="Normal 1732 4" xfId="6580"/>
    <cellStyle name="Normal 1732 5" xfId="34189"/>
    <cellStyle name="Normal 1733" xfId="6581"/>
    <cellStyle name="Normal 1733 2" xfId="6582"/>
    <cellStyle name="Normal 1733 2 2" xfId="6583"/>
    <cellStyle name="Normal 1733 2 3" xfId="6584"/>
    <cellStyle name="Normal 1733 2 4" xfId="34190"/>
    <cellStyle name="Normal 1733 3" xfId="6585"/>
    <cellStyle name="Normal 1733 4" xfId="6586"/>
    <cellStyle name="Normal 1733 5" xfId="34191"/>
    <cellStyle name="Normal 1734" xfId="6587"/>
    <cellStyle name="Normal 1734 2" xfId="6588"/>
    <cellStyle name="Normal 1734 2 2" xfId="6589"/>
    <cellStyle name="Normal 1734 2 3" xfId="6590"/>
    <cellStyle name="Normal 1734 2 4" xfId="34192"/>
    <cellStyle name="Normal 1734 3" xfId="6591"/>
    <cellStyle name="Normal 1734 4" xfId="6592"/>
    <cellStyle name="Normal 1734 5" xfId="34193"/>
    <cellStyle name="Normal 1735" xfId="6593"/>
    <cellStyle name="Normal 1735 2" xfId="6594"/>
    <cellStyle name="Normal 1735 2 2" xfId="6595"/>
    <cellStyle name="Normal 1735 2 3" xfId="6596"/>
    <cellStyle name="Normal 1735 2 4" xfId="34194"/>
    <cellStyle name="Normal 1735 3" xfId="6597"/>
    <cellStyle name="Normal 1735 4" xfId="6598"/>
    <cellStyle name="Normal 1735 5" xfId="34195"/>
    <cellStyle name="Normal 1736" xfId="6599"/>
    <cellStyle name="Normal 1736 2" xfId="6600"/>
    <cellStyle name="Normal 1736 2 2" xfId="6601"/>
    <cellStyle name="Normal 1736 2 3" xfId="6602"/>
    <cellStyle name="Normal 1736 2 4" xfId="34196"/>
    <cellStyle name="Normal 1736 3" xfId="6603"/>
    <cellStyle name="Normal 1736 4" xfId="6604"/>
    <cellStyle name="Normal 1736 5" xfId="34197"/>
    <cellStyle name="Normal 1737" xfId="6605"/>
    <cellStyle name="Normal 1737 2" xfId="6606"/>
    <cellStyle name="Normal 1737 2 2" xfId="6607"/>
    <cellStyle name="Normal 1737 2 3" xfId="6608"/>
    <cellStyle name="Normal 1737 2 4" xfId="34198"/>
    <cellStyle name="Normal 1737 3" xfId="6609"/>
    <cellStyle name="Normal 1737 4" xfId="6610"/>
    <cellStyle name="Normal 1737 5" xfId="34199"/>
    <cellStyle name="Normal 1738" xfId="6611"/>
    <cellStyle name="Normal 1738 2" xfId="6612"/>
    <cellStyle name="Normal 1738 2 2" xfId="6613"/>
    <cellStyle name="Normal 1738 2 3" xfId="6614"/>
    <cellStyle name="Normal 1738 2 4" xfId="34200"/>
    <cellStyle name="Normal 1738 3" xfId="6615"/>
    <cellStyle name="Normal 1738 4" xfId="6616"/>
    <cellStyle name="Normal 1738 5" xfId="34201"/>
    <cellStyle name="Normal 1739" xfId="6617"/>
    <cellStyle name="Normal 1739 2" xfId="6618"/>
    <cellStyle name="Normal 1739 2 2" xfId="6619"/>
    <cellStyle name="Normal 1739 2 3" xfId="6620"/>
    <cellStyle name="Normal 1739 2 4" xfId="34202"/>
    <cellStyle name="Normal 1739 3" xfId="6621"/>
    <cellStyle name="Normal 1739 4" xfId="6622"/>
    <cellStyle name="Normal 1739 5" xfId="34203"/>
    <cellStyle name="Normal 174" xfId="6623"/>
    <cellStyle name="Normal 174 10" xfId="34204"/>
    <cellStyle name="Normal 174 2" xfId="6624"/>
    <cellStyle name="Normal 174 2 2" xfId="6625"/>
    <cellStyle name="Normal 174 2 2 2" xfId="6626"/>
    <cellStyle name="Normal 174 2 2 3" xfId="6627"/>
    <cellStyle name="Normal 174 2 3" xfId="6628"/>
    <cellStyle name="Normal 174 2 3 2" xfId="34205"/>
    <cellStyle name="Normal 174 2 3 3" xfId="34206"/>
    <cellStyle name="Normal 174 2 4" xfId="6629"/>
    <cellStyle name="Normal 174 2 5" xfId="6630"/>
    <cellStyle name="Normal 174 2 6" xfId="34207"/>
    <cellStyle name="Normal 174 2 7" xfId="34208"/>
    <cellStyle name="Normal 174 2 8" xfId="34209"/>
    <cellStyle name="Normal 174 3" xfId="6631"/>
    <cellStyle name="Normal 174 3 2" xfId="6632"/>
    <cellStyle name="Normal 174 3 2 2" xfId="34210"/>
    <cellStyle name="Normal 174 3 2 3" xfId="34211"/>
    <cellStyle name="Normal 174 3 3" xfId="6633"/>
    <cellStyle name="Normal 174 3 3 2" xfId="34212"/>
    <cellStyle name="Normal 174 3 3 3" xfId="34213"/>
    <cellStyle name="Normal 174 3 4" xfId="34214"/>
    <cellStyle name="Normal 174 3 5" xfId="34215"/>
    <cellStyle name="Normal 174 4" xfId="6634"/>
    <cellStyle name="Normal 174 4 2" xfId="34216"/>
    <cellStyle name="Normal 174 4 3" xfId="34217"/>
    <cellStyle name="Normal 174 5" xfId="6635"/>
    <cellStyle name="Normal 174 5 2" xfId="34218"/>
    <cellStyle name="Normal 174 5 3" xfId="34219"/>
    <cellStyle name="Normal 174 6" xfId="6636"/>
    <cellStyle name="Normal 174 7" xfId="34220"/>
    <cellStyle name="Normal 174 8" xfId="34221"/>
    <cellStyle name="Normal 174 9" xfId="34222"/>
    <cellStyle name="Normal 1740" xfId="6637"/>
    <cellStyle name="Normal 1740 2" xfId="6638"/>
    <cellStyle name="Normal 1740 2 2" xfId="6639"/>
    <cellStyle name="Normal 1740 2 3" xfId="6640"/>
    <cellStyle name="Normal 1740 2 4" xfId="34223"/>
    <cellStyle name="Normal 1740 3" xfId="6641"/>
    <cellStyle name="Normal 1740 4" xfId="6642"/>
    <cellStyle name="Normal 1740 5" xfId="34224"/>
    <cellStyle name="Normal 1741" xfId="6643"/>
    <cellStyle name="Normal 1741 2" xfId="6644"/>
    <cellStyle name="Normal 1741 2 2" xfId="6645"/>
    <cellStyle name="Normal 1741 2 3" xfId="6646"/>
    <cellStyle name="Normal 1741 2 4" xfId="34225"/>
    <cellStyle name="Normal 1741 3" xfId="6647"/>
    <cellStyle name="Normal 1741 4" xfId="6648"/>
    <cellStyle name="Normal 1741 5" xfId="34226"/>
    <cellStyle name="Normal 1742" xfId="6649"/>
    <cellStyle name="Normal 1742 2" xfId="6650"/>
    <cellStyle name="Normal 1742 2 2" xfId="6651"/>
    <cellStyle name="Normal 1742 2 3" xfId="6652"/>
    <cellStyle name="Normal 1742 2 4" xfId="34227"/>
    <cellStyle name="Normal 1742 3" xfId="6653"/>
    <cellStyle name="Normal 1742 4" xfId="6654"/>
    <cellStyle name="Normal 1742 5" xfId="34228"/>
    <cellStyle name="Normal 1743" xfId="6655"/>
    <cellStyle name="Normal 1743 2" xfId="6656"/>
    <cellStyle name="Normal 1743 2 2" xfId="6657"/>
    <cellStyle name="Normal 1743 2 3" xfId="6658"/>
    <cellStyle name="Normal 1743 2 4" xfId="34229"/>
    <cellStyle name="Normal 1743 3" xfId="6659"/>
    <cellStyle name="Normal 1743 4" xfId="6660"/>
    <cellStyle name="Normal 1743 5" xfId="34230"/>
    <cellStyle name="Normal 1744" xfId="6661"/>
    <cellStyle name="Normal 1744 2" xfId="6662"/>
    <cellStyle name="Normal 1744 2 2" xfId="6663"/>
    <cellStyle name="Normal 1744 2 3" xfId="6664"/>
    <cellStyle name="Normal 1744 2 4" xfId="34231"/>
    <cellStyle name="Normal 1744 3" xfId="6665"/>
    <cellStyle name="Normal 1744 4" xfId="6666"/>
    <cellStyle name="Normal 1744 5" xfId="34232"/>
    <cellStyle name="Normal 1745" xfId="6667"/>
    <cellStyle name="Normal 1745 2" xfId="6668"/>
    <cellStyle name="Normal 1745 2 2" xfId="6669"/>
    <cellStyle name="Normal 1745 2 3" xfId="6670"/>
    <cellStyle name="Normal 1745 2 4" xfId="34233"/>
    <cellStyle name="Normal 1745 3" xfId="6671"/>
    <cellStyle name="Normal 1745 4" xfId="6672"/>
    <cellStyle name="Normal 1745 5" xfId="34234"/>
    <cellStyle name="Normal 1746" xfId="6673"/>
    <cellStyle name="Normal 1746 2" xfId="6674"/>
    <cellStyle name="Normal 1746 2 2" xfId="6675"/>
    <cellStyle name="Normal 1746 2 3" xfId="6676"/>
    <cellStyle name="Normal 1746 2 4" xfId="34235"/>
    <cellStyle name="Normal 1746 3" xfId="6677"/>
    <cellStyle name="Normal 1746 4" xfId="6678"/>
    <cellStyle name="Normal 1746 5" xfId="34236"/>
    <cellStyle name="Normal 1747" xfId="6679"/>
    <cellStyle name="Normal 1747 2" xfId="6680"/>
    <cellStyle name="Normal 1747 2 2" xfId="6681"/>
    <cellStyle name="Normal 1747 2 3" xfId="6682"/>
    <cellStyle name="Normal 1747 2 4" xfId="34237"/>
    <cellStyle name="Normal 1747 3" xfId="6683"/>
    <cellStyle name="Normal 1747 4" xfId="6684"/>
    <cellStyle name="Normal 1747 5" xfId="34238"/>
    <cellStyle name="Normal 1748" xfId="6685"/>
    <cellStyle name="Normal 1748 2" xfId="6686"/>
    <cellStyle name="Normal 1748 2 2" xfId="6687"/>
    <cellStyle name="Normal 1748 2 3" xfId="6688"/>
    <cellStyle name="Normal 1748 2 4" xfId="34239"/>
    <cellStyle name="Normal 1748 3" xfId="6689"/>
    <cellStyle name="Normal 1748 4" xfId="6690"/>
    <cellStyle name="Normal 1748 5" xfId="34240"/>
    <cellStyle name="Normal 1749" xfId="6691"/>
    <cellStyle name="Normal 1749 2" xfId="6692"/>
    <cellStyle name="Normal 1749 2 2" xfId="6693"/>
    <cellStyle name="Normal 1749 2 3" xfId="6694"/>
    <cellStyle name="Normal 1749 2 4" xfId="34241"/>
    <cellStyle name="Normal 1749 3" xfId="6695"/>
    <cellStyle name="Normal 1749 4" xfId="6696"/>
    <cellStyle name="Normal 1749 5" xfId="34242"/>
    <cellStyle name="Normal 175" xfId="6697"/>
    <cellStyle name="Normal 175 10" xfId="34243"/>
    <cellStyle name="Normal 175 2" xfId="6698"/>
    <cellStyle name="Normal 175 2 2" xfId="6699"/>
    <cellStyle name="Normal 175 2 2 2" xfId="6700"/>
    <cellStyle name="Normal 175 2 2 3" xfId="6701"/>
    <cellStyle name="Normal 175 2 3" xfId="6702"/>
    <cellStyle name="Normal 175 2 3 2" xfId="34244"/>
    <cellStyle name="Normal 175 2 3 3" xfId="34245"/>
    <cellStyle name="Normal 175 2 4" xfId="6703"/>
    <cellStyle name="Normal 175 2 5" xfId="6704"/>
    <cellStyle name="Normal 175 2 6" xfId="34246"/>
    <cellStyle name="Normal 175 2 7" xfId="34247"/>
    <cellStyle name="Normal 175 2 8" xfId="34248"/>
    <cellStyle name="Normal 175 3" xfId="6705"/>
    <cellStyle name="Normal 175 3 2" xfId="6706"/>
    <cellStyle name="Normal 175 3 2 2" xfId="34249"/>
    <cellStyle name="Normal 175 3 2 3" xfId="34250"/>
    <cellStyle name="Normal 175 3 3" xfId="6707"/>
    <cellStyle name="Normal 175 3 3 2" xfId="34251"/>
    <cellStyle name="Normal 175 3 3 3" xfId="34252"/>
    <cellStyle name="Normal 175 3 4" xfId="34253"/>
    <cellStyle name="Normal 175 3 5" xfId="34254"/>
    <cellStyle name="Normal 175 4" xfId="6708"/>
    <cellStyle name="Normal 175 4 2" xfId="34255"/>
    <cellStyle name="Normal 175 4 3" xfId="34256"/>
    <cellStyle name="Normal 175 5" xfId="6709"/>
    <cellStyle name="Normal 175 5 2" xfId="34257"/>
    <cellStyle name="Normal 175 5 3" xfId="34258"/>
    <cellStyle name="Normal 175 6" xfId="6710"/>
    <cellStyle name="Normal 175 7" xfId="34259"/>
    <cellStyle name="Normal 175 8" xfId="34260"/>
    <cellStyle name="Normal 175 9" xfId="34261"/>
    <cellStyle name="Normal 1750" xfId="6711"/>
    <cellStyle name="Normal 1750 2" xfId="6712"/>
    <cellStyle name="Normal 1750 2 2" xfId="6713"/>
    <cellStyle name="Normal 1750 2 3" xfId="6714"/>
    <cellStyle name="Normal 1750 2 4" xfId="34262"/>
    <cellStyle name="Normal 1750 3" xfId="6715"/>
    <cellStyle name="Normal 1750 4" xfId="6716"/>
    <cellStyle name="Normal 1750 5" xfId="34263"/>
    <cellStyle name="Normal 1751" xfId="6717"/>
    <cellStyle name="Normal 1751 2" xfId="6718"/>
    <cellStyle name="Normal 1751 2 2" xfId="6719"/>
    <cellStyle name="Normal 1751 2 3" xfId="6720"/>
    <cellStyle name="Normal 1751 2 4" xfId="34264"/>
    <cellStyle name="Normal 1751 3" xfId="6721"/>
    <cellStyle name="Normal 1751 4" xfId="6722"/>
    <cellStyle name="Normal 1751 5" xfId="34265"/>
    <cellStyle name="Normal 1752" xfId="6723"/>
    <cellStyle name="Normal 1752 2" xfId="6724"/>
    <cellStyle name="Normal 1752 2 2" xfId="6725"/>
    <cellStyle name="Normal 1752 2 3" xfId="6726"/>
    <cellStyle name="Normal 1752 2 4" xfId="34266"/>
    <cellStyle name="Normal 1752 3" xfId="6727"/>
    <cellStyle name="Normal 1752 4" xfId="6728"/>
    <cellStyle name="Normal 1752 5" xfId="34267"/>
    <cellStyle name="Normal 1753" xfId="6729"/>
    <cellStyle name="Normal 1753 2" xfId="6730"/>
    <cellStyle name="Normal 1753 2 2" xfId="6731"/>
    <cellStyle name="Normal 1753 2 3" xfId="6732"/>
    <cellStyle name="Normal 1753 2 4" xfId="34268"/>
    <cellStyle name="Normal 1753 3" xfId="6733"/>
    <cellStyle name="Normal 1753 4" xfId="6734"/>
    <cellStyle name="Normal 1753 5" xfId="34269"/>
    <cellStyle name="Normal 1754" xfId="6735"/>
    <cellStyle name="Normal 1754 2" xfId="6736"/>
    <cellStyle name="Normal 1754 2 2" xfId="6737"/>
    <cellStyle name="Normal 1754 2 3" xfId="6738"/>
    <cellStyle name="Normal 1754 2 4" xfId="34270"/>
    <cellStyle name="Normal 1754 3" xfId="6739"/>
    <cellStyle name="Normal 1754 4" xfId="6740"/>
    <cellStyle name="Normal 1754 5" xfId="34271"/>
    <cellStyle name="Normal 1755" xfId="6741"/>
    <cellStyle name="Normal 1755 2" xfId="6742"/>
    <cellStyle name="Normal 1755 2 2" xfId="6743"/>
    <cellStyle name="Normal 1755 2 3" xfId="6744"/>
    <cellStyle name="Normal 1755 2 4" xfId="34272"/>
    <cellStyle name="Normal 1755 3" xfId="6745"/>
    <cellStyle name="Normal 1755 4" xfId="6746"/>
    <cellStyle name="Normal 1755 5" xfId="34273"/>
    <cellStyle name="Normal 1756" xfId="6747"/>
    <cellStyle name="Normal 1756 2" xfId="6748"/>
    <cellStyle name="Normal 1756 2 2" xfId="6749"/>
    <cellStyle name="Normal 1756 2 3" xfId="6750"/>
    <cellStyle name="Normal 1756 2 4" xfId="34274"/>
    <cellStyle name="Normal 1756 3" xfId="6751"/>
    <cellStyle name="Normal 1756 4" xfId="6752"/>
    <cellStyle name="Normal 1756 5" xfId="34275"/>
    <cellStyle name="Normal 1757" xfId="6753"/>
    <cellStyle name="Normal 1757 2" xfId="6754"/>
    <cellStyle name="Normal 1757 2 2" xfId="6755"/>
    <cellStyle name="Normal 1757 2 3" xfId="6756"/>
    <cellStyle name="Normal 1757 2 4" xfId="34276"/>
    <cellStyle name="Normal 1757 3" xfId="6757"/>
    <cellStyle name="Normal 1757 4" xfId="6758"/>
    <cellStyle name="Normal 1757 5" xfId="34277"/>
    <cellStyle name="Normal 1758" xfId="6759"/>
    <cellStyle name="Normal 1758 2" xfId="6760"/>
    <cellStyle name="Normal 1758 2 2" xfId="6761"/>
    <cellStyle name="Normal 1758 2 3" xfId="6762"/>
    <cellStyle name="Normal 1758 2 4" xfId="34278"/>
    <cellStyle name="Normal 1758 3" xfId="6763"/>
    <cellStyle name="Normal 1758 4" xfId="6764"/>
    <cellStyle name="Normal 1758 5" xfId="34279"/>
    <cellStyle name="Normal 1759" xfId="6765"/>
    <cellStyle name="Normal 1759 2" xfId="6766"/>
    <cellStyle name="Normal 1759 2 2" xfId="6767"/>
    <cellStyle name="Normal 1759 2 3" xfId="6768"/>
    <cellStyle name="Normal 1759 2 4" xfId="34280"/>
    <cellStyle name="Normal 1759 3" xfId="6769"/>
    <cellStyle name="Normal 1759 4" xfId="6770"/>
    <cellStyle name="Normal 1759 5" xfId="34281"/>
    <cellStyle name="Normal 176" xfId="6771"/>
    <cellStyle name="Normal 176 10" xfId="34282"/>
    <cellStyle name="Normal 176 2" xfId="6772"/>
    <cellStyle name="Normal 176 2 2" xfId="6773"/>
    <cellStyle name="Normal 176 2 2 2" xfId="6774"/>
    <cellStyle name="Normal 176 2 2 3" xfId="6775"/>
    <cellStyle name="Normal 176 2 3" xfId="6776"/>
    <cellStyle name="Normal 176 2 3 2" xfId="34283"/>
    <cellStyle name="Normal 176 2 3 3" xfId="34284"/>
    <cellStyle name="Normal 176 2 4" xfId="6777"/>
    <cellStyle name="Normal 176 2 5" xfId="6778"/>
    <cellStyle name="Normal 176 2 6" xfId="34285"/>
    <cellStyle name="Normal 176 2 7" xfId="34286"/>
    <cellStyle name="Normal 176 2 8" xfId="34287"/>
    <cellStyle name="Normal 176 3" xfId="6779"/>
    <cellStyle name="Normal 176 3 2" xfId="6780"/>
    <cellStyle name="Normal 176 3 2 2" xfId="34288"/>
    <cellStyle name="Normal 176 3 2 3" xfId="34289"/>
    <cellStyle name="Normal 176 3 3" xfId="6781"/>
    <cellStyle name="Normal 176 3 3 2" xfId="34290"/>
    <cellStyle name="Normal 176 3 3 3" xfId="34291"/>
    <cellStyle name="Normal 176 3 4" xfId="34292"/>
    <cellStyle name="Normal 176 3 5" xfId="34293"/>
    <cellStyle name="Normal 176 4" xfId="6782"/>
    <cellStyle name="Normal 176 4 2" xfId="34294"/>
    <cellStyle name="Normal 176 4 3" xfId="34295"/>
    <cellStyle name="Normal 176 5" xfId="6783"/>
    <cellStyle name="Normal 176 5 2" xfId="34296"/>
    <cellStyle name="Normal 176 5 3" xfId="34297"/>
    <cellStyle name="Normal 176 6" xfId="6784"/>
    <cellStyle name="Normal 176 7" xfId="34298"/>
    <cellStyle name="Normal 176 8" xfId="34299"/>
    <cellStyle name="Normal 176 9" xfId="34300"/>
    <cellStyle name="Normal 1760" xfId="6785"/>
    <cellStyle name="Normal 1760 2" xfId="6786"/>
    <cellStyle name="Normal 1760 2 2" xfId="6787"/>
    <cellStyle name="Normal 1760 2 3" xfId="6788"/>
    <cellStyle name="Normal 1760 2 4" xfId="34301"/>
    <cellStyle name="Normal 1760 3" xfId="6789"/>
    <cellStyle name="Normal 1760 4" xfId="6790"/>
    <cellStyle name="Normal 1760 5" xfId="34302"/>
    <cellStyle name="Normal 1761" xfId="6791"/>
    <cellStyle name="Normal 1761 2" xfId="6792"/>
    <cellStyle name="Normal 1761 2 2" xfId="6793"/>
    <cellStyle name="Normal 1761 2 3" xfId="6794"/>
    <cellStyle name="Normal 1761 2 4" xfId="34303"/>
    <cellStyle name="Normal 1761 3" xfId="6795"/>
    <cellStyle name="Normal 1761 4" xfId="6796"/>
    <cellStyle name="Normal 1761 5" xfId="34304"/>
    <cellStyle name="Normal 1762" xfId="6797"/>
    <cellStyle name="Normal 1762 2" xfId="6798"/>
    <cellStyle name="Normal 1762 2 2" xfId="6799"/>
    <cellStyle name="Normal 1762 2 3" xfId="6800"/>
    <cellStyle name="Normal 1762 2 4" xfId="34305"/>
    <cellStyle name="Normal 1762 3" xfId="6801"/>
    <cellStyle name="Normal 1762 4" xfId="6802"/>
    <cellStyle name="Normal 1762 5" xfId="34306"/>
    <cellStyle name="Normal 1763" xfId="6803"/>
    <cellStyle name="Normal 1763 2" xfId="6804"/>
    <cellStyle name="Normal 1763 2 2" xfId="6805"/>
    <cellStyle name="Normal 1763 2 3" xfId="6806"/>
    <cellStyle name="Normal 1763 2 4" xfId="34307"/>
    <cellStyle name="Normal 1763 3" xfId="6807"/>
    <cellStyle name="Normal 1763 4" xfId="6808"/>
    <cellStyle name="Normal 1763 5" xfId="34308"/>
    <cellStyle name="Normal 1764" xfId="6809"/>
    <cellStyle name="Normal 1764 2" xfId="6810"/>
    <cellStyle name="Normal 1764 2 2" xfId="6811"/>
    <cellStyle name="Normal 1764 2 3" xfId="6812"/>
    <cellStyle name="Normal 1764 2 4" xfId="34309"/>
    <cellStyle name="Normal 1764 3" xfId="6813"/>
    <cellStyle name="Normal 1764 4" xfId="6814"/>
    <cellStyle name="Normal 1764 5" xfId="34310"/>
    <cellStyle name="Normal 1765" xfId="6815"/>
    <cellStyle name="Normal 1765 2" xfId="6816"/>
    <cellStyle name="Normal 1765 2 2" xfId="6817"/>
    <cellStyle name="Normal 1765 2 3" xfId="6818"/>
    <cellStyle name="Normal 1765 2 4" xfId="34311"/>
    <cellStyle name="Normal 1765 3" xfId="6819"/>
    <cellStyle name="Normal 1765 4" xfId="6820"/>
    <cellStyle name="Normal 1765 5" xfId="34312"/>
    <cellStyle name="Normal 1766" xfId="6821"/>
    <cellStyle name="Normal 1766 2" xfId="6822"/>
    <cellStyle name="Normal 1766 2 2" xfId="6823"/>
    <cellStyle name="Normal 1766 2 3" xfId="6824"/>
    <cellStyle name="Normal 1766 2 4" xfId="34313"/>
    <cellStyle name="Normal 1766 3" xfId="6825"/>
    <cellStyle name="Normal 1766 4" xfId="6826"/>
    <cellStyle name="Normal 1766 5" xfId="34314"/>
    <cellStyle name="Normal 1767" xfId="6827"/>
    <cellStyle name="Normal 1767 2" xfId="6828"/>
    <cellStyle name="Normal 1767 2 2" xfId="6829"/>
    <cellStyle name="Normal 1767 2 3" xfId="6830"/>
    <cellStyle name="Normal 1767 2 4" xfId="34315"/>
    <cellStyle name="Normal 1767 3" xfId="6831"/>
    <cellStyle name="Normal 1767 4" xfId="6832"/>
    <cellStyle name="Normal 1767 5" xfId="34316"/>
    <cellStyle name="Normal 1768" xfId="6833"/>
    <cellStyle name="Normal 1768 2" xfId="6834"/>
    <cellStyle name="Normal 1768 2 2" xfId="6835"/>
    <cellStyle name="Normal 1768 2 3" xfId="6836"/>
    <cellStyle name="Normal 1768 2 4" xfId="34317"/>
    <cellStyle name="Normal 1768 3" xfId="6837"/>
    <cellStyle name="Normal 1768 4" xfId="6838"/>
    <cellStyle name="Normal 1768 5" xfId="34318"/>
    <cellStyle name="Normal 1769" xfId="6839"/>
    <cellStyle name="Normal 1769 2" xfId="6840"/>
    <cellStyle name="Normal 1769 2 2" xfId="6841"/>
    <cellStyle name="Normal 1769 2 3" xfId="6842"/>
    <cellStyle name="Normal 1769 2 4" xfId="34319"/>
    <cellStyle name="Normal 1769 3" xfId="6843"/>
    <cellStyle name="Normal 1769 4" xfId="6844"/>
    <cellStyle name="Normal 1769 5" xfId="34320"/>
    <cellStyle name="Normal 177" xfId="6845"/>
    <cellStyle name="Normal 177 10" xfId="34321"/>
    <cellStyle name="Normal 177 2" xfId="6846"/>
    <cellStyle name="Normal 177 2 2" xfId="6847"/>
    <cellStyle name="Normal 177 2 2 2" xfId="6848"/>
    <cellStyle name="Normal 177 2 2 3" xfId="6849"/>
    <cellStyle name="Normal 177 2 3" xfId="6850"/>
    <cellStyle name="Normal 177 2 3 2" xfId="34322"/>
    <cellStyle name="Normal 177 2 3 3" xfId="34323"/>
    <cellStyle name="Normal 177 2 4" xfId="6851"/>
    <cellStyle name="Normal 177 2 5" xfId="6852"/>
    <cellStyle name="Normal 177 2 6" xfId="34324"/>
    <cellStyle name="Normal 177 2 7" xfId="34325"/>
    <cellStyle name="Normal 177 2 8" xfId="34326"/>
    <cellStyle name="Normal 177 3" xfId="6853"/>
    <cellStyle name="Normal 177 3 2" xfId="6854"/>
    <cellStyle name="Normal 177 3 2 2" xfId="34327"/>
    <cellStyle name="Normal 177 3 2 3" xfId="34328"/>
    <cellStyle name="Normal 177 3 3" xfId="6855"/>
    <cellStyle name="Normal 177 3 3 2" xfId="34329"/>
    <cellStyle name="Normal 177 3 3 3" xfId="34330"/>
    <cellStyle name="Normal 177 3 4" xfId="34331"/>
    <cellStyle name="Normal 177 3 5" xfId="34332"/>
    <cellStyle name="Normal 177 4" xfId="6856"/>
    <cellStyle name="Normal 177 4 2" xfId="34333"/>
    <cellStyle name="Normal 177 4 3" xfId="34334"/>
    <cellStyle name="Normal 177 5" xfId="6857"/>
    <cellStyle name="Normal 177 5 2" xfId="34335"/>
    <cellStyle name="Normal 177 5 3" xfId="34336"/>
    <cellStyle name="Normal 177 6" xfId="6858"/>
    <cellStyle name="Normal 177 7" xfId="34337"/>
    <cellStyle name="Normal 177 8" xfId="34338"/>
    <cellStyle name="Normal 177 9" xfId="34339"/>
    <cellStyle name="Normal 1770" xfId="6859"/>
    <cellStyle name="Normal 1770 2" xfId="6860"/>
    <cellStyle name="Normal 1770 2 2" xfId="6861"/>
    <cellStyle name="Normal 1770 2 3" xfId="6862"/>
    <cellStyle name="Normal 1770 2 4" xfId="34340"/>
    <cellStyle name="Normal 1770 3" xfId="6863"/>
    <cellStyle name="Normal 1770 4" xfId="6864"/>
    <cellStyle name="Normal 1770 5" xfId="34341"/>
    <cellStyle name="Normal 1771" xfId="6865"/>
    <cellStyle name="Normal 1771 2" xfId="6866"/>
    <cellStyle name="Normal 1771 2 2" xfId="6867"/>
    <cellStyle name="Normal 1771 2 3" xfId="6868"/>
    <cellStyle name="Normal 1771 2 4" xfId="34342"/>
    <cellStyle name="Normal 1771 3" xfId="6869"/>
    <cellStyle name="Normal 1771 4" xfId="6870"/>
    <cellStyle name="Normal 1771 5" xfId="34343"/>
    <cellStyle name="Normal 1772" xfId="6871"/>
    <cellStyle name="Normal 1772 2" xfId="6872"/>
    <cellStyle name="Normal 1772 2 2" xfId="6873"/>
    <cellStyle name="Normal 1772 2 3" xfId="6874"/>
    <cellStyle name="Normal 1772 2 4" xfId="34344"/>
    <cellStyle name="Normal 1772 3" xfId="6875"/>
    <cellStyle name="Normal 1772 4" xfId="6876"/>
    <cellStyle name="Normal 1772 5" xfId="34345"/>
    <cellStyle name="Normal 1773" xfId="6877"/>
    <cellStyle name="Normal 1773 2" xfId="6878"/>
    <cellStyle name="Normal 1773 2 2" xfId="6879"/>
    <cellStyle name="Normal 1773 2 3" xfId="6880"/>
    <cellStyle name="Normal 1773 2 4" xfId="34346"/>
    <cellStyle name="Normal 1773 3" xfId="6881"/>
    <cellStyle name="Normal 1773 4" xfId="6882"/>
    <cellStyle name="Normal 1773 5" xfId="34347"/>
    <cellStyle name="Normal 1774" xfId="6883"/>
    <cellStyle name="Normal 1774 2" xfId="6884"/>
    <cellStyle name="Normal 1774 2 2" xfId="6885"/>
    <cellStyle name="Normal 1774 2 3" xfId="6886"/>
    <cellStyle name="Normal 1774 2 4" xfId="34348"/>
    <cellStyle name="Normal 1774 3" xfId="6887"/>
    <cellStyle name="Normal 1774 4" xfId="6888"/>
    <cellStyle name="Normal 1774 5" xfId="34349"/>
    <cellStyle name="Normal 1775" xfId="6889"/>
    <cellStyle name="Normal 1775 2" xfId="6890"/>
    <cellStyle name="Normal 1775 2 2" xfId="6891"/>
    <cellStyle name="Normal 1775 2 3" xfId="6892"/>
    <cellStyle name="Normal 1775 2 4" xfId="34350"/>
    <cellStyle name="Normal 1775 3" xfId="6893"/>
    <cellStyle name="Normal 1775 4" xfId="6894"/>
    <cellStyle name="Normal 1775 5" xfId="34351"/>
    <cellStyle name="Normal 1776" xfId="6895"/>
    <cellStyle name="Normal 1776 2" xfId="6896"/>
    <cellStyle name="Normal 1776 2 2" xfId="6897"/>
    <cellStyle name="Normal 1776 2 3" xfId="6898"/>
    <cellStyle name="Normal 1776 2 4" xfId="34352"/>
    <cellStyle name="Normal 1776 3" xfId="6899"/>
    <cellStyle name="Normal 1776 4" xfId="6900"/>
    <cellStyle name="Normal 1776 5" xfId="34353"/>
    <cellStyle name="Normal 1777" xfId="6901"/>
    <cellStyle name="Normal 1777 2" xfId="6902"/>
    <cellStyle name="Normal 1777 2 2" xfId="6903"/>
    <cellStyle name="Normal 1777 2 3" xfId="6904"/>
    <cellStyle name="Normal 1777 2 4" xfId="34354"/>
    <cellStyle name="Normal 1777 3" xfId="6905"/>
    <cellStyle name="Normal 1777 4" xfId="6906"/>
    <cellStyle name="Normal 1777 5" xfId="34355"/>
    <cellStyle name="Normal 1778" xfId="6907"/>
    <cellStyle name="Normal 1778 2" xfId="6908"/>
    <cellStyle name="Normal 1778 2 2" xfId="6909"/>
    <cellStyle name="Normal 1778 2 3" xfId="6910"/>
    <cellStyle name="Normal 1778 2 4" xfId="34356"/>
    <cellStyle name="Normal 1778 3" xfId="6911"/>
    <cellStyle name="Normal 1778 4" xfId="6912"/>
    <cellStyle name="Normal 1778 5" xfId="34357"/>
    <cellStyle name="Normal 1779" xfId="6913"/>
    <cellStyle name="Normal 1779 2" xfId="6914"/>
    <cellStyle name="Normal 1779 2 2" xfId="6915"/>
    <cellStyle name="Normal 1779 2 3" xfId="6916"/>
    <cellStyle name="Normal 1779 2 4" xfId="34358"/>
    <cellStyle name="Normal 1779 3" xfId="6917"/>
    <cellStyle name="Normal 1779 4" xfId="6918"/>
    <cellStyle name="Normal 1779 5" xfId="34359"/>
    <cellStyle name="Normal 178" xfId="6919"/>
    <cellStyle name="Normal 178 10" xfId="34360"/>
    <cellStyle name="Normal 178 2" xfId="6920"/>
    <cellStyle name="Normal 178 2 2" xfId="6921"/>
    <cellStyle name="Normal 178 2 2 2" xfId="6922"/>
    <cellStyle name="Normal 178 2 2 3" xfId="6923"/>
    <cellStyle name="Normal 178 2 3" xfId="6924"/>
    <cellStyle name="Normal 178 2 3 2" xfId="34361"/>
    <cellStyle name="Normal 178 2 3 3" xfId="34362"/>
    <cellStyle name="Normal 178 2 4" xfId="6925"/>
    <cellStyle name="Normal 178 2 5" xfId="6926"/>
    <cellStyle name="Normal 178 2 6" xfId="34363"/>
    <cellStyle name="Normal 178 2 7" xfId="34364"/>
    <cellStyle name="Normal 178 2 8" xfId="34365"/>
    <cellStyle name="Normal 178 3" xfId="6927"/>
    <cellStyle name="Normal 178 3 2" xfId="6928"/>
    <cellStyle name="Normal 178 3 2 2" xfId="34366"/>
    <cellStyle name="Normal 178 3 2 3" xfId="34367"/>
    <cellStyle name="Normal 178 3 3" xfId="6929"/>
    <cellStyle name="Normal 178 3 3 2" xfId="34368"/>
    <cellStyle name="Normal 178 3 3 3" xfId="34369"/>
    <cellStyle name="Normal 178 3 4" xfId="34370"/>
    <cellStyle name="Normal 178 3 5" xfId="34371"/>
    <cellStyle name="Normal 178 4" xfId="6930"/>
    <cellStyle name="Normal 178 4 2" xfId="34372"/>
    <cellStyle name="Normal 178 4 3" xfId="34373"/>
    <cellStyle name="Normal 178 5" xfId="6931"/>
    <cellStyle name="Normal 178 5 2" xfId="34374"/>
    <cellStyle name="Normal 178 5 3" xfId="34375"/>
    <cellStyle name="Normal 178 6" xfId="6932"/>
    <cellStyle name="Normal 178 7" xfId="34376"/>
    <cellStyle name="Normal 178 8" xfId="34377"/>
    <cellStyle name="Normal 178 9" xfId="34378"/>
    <cellStyle name="Normal 1780" xfId="6933"/>
    <cellStyle name="Normal 1780 2" xfId="6934"/>
    <cellStyle name="Normal 1780 2 2" xfId="6935"/>
    <cellStyle name="Normal 1780 2 3" xfId="6936"/>
    <cellStyle name="Normal 1780 2 4" xfId="34379"/>
    <cellStyle name="Normal 1780 3" xfId="6937"/>
    <cellStyle name="Normal 1780 4" xfId="6938"/>
    <cellStyle name="Normal 1780 5" xfId="34380"/>
    <cellStyle name="Normal 1781" xfId="6939"/>
    <cellStyle name="Normal 1781 2" xfId="6940"/>
    <cellStyle name="Normal 1781 2 2" xfId="6941"/>
    <cellStyle name="Normal 1781 2 3" xfId="6942"/>
    <cellStyle name="Normal 1781 2 4" xfId="34381"/>
    <cellStyle name="Normal 1781 3" xfId="6943"/>
    <cellStyle name="Normal 1781 4" xfId="6944"/>
    <cellStyle name="Normal 1781 5" xfId="34382"/>
    <cellStyle name="Normal 1782" xfId="6945"/>
    <cellStyle name="Normal 1782 2" xfId="6946"/>
    <cellStyle name="Normal 1782 2 2" xfId="6947"/>
    <cellStyle name="Normal 1782 2 3" xfId="6948"/>
    <cellStyle name="Normal 1782 2 4" xfId="34383"/>
    <cellStyle name="Normal 1782 3" xfId="6949"/>
    <cellStyle name="Normal 1782 4" xfId="6950"/>
    <cellStyle name="Normal 1782 5" xfId="34384"/>
    <cellStyle name="Normal 1783" xfId="6951"/>
    <cellStyle name="Normal 1783 2" xfId="6952"/>
    <cellStyle name="Normal 1783 2 2" xfId="6953"/>
    <cellStyle name="Normal 1783 2 3" xfId="6954"/>
    <cellStyle name="Normal 1783 2 4" xfId="34385"/>
    <cellStyle name="Normal 1783 3" xfId="6955"/>
    <cellStyle name="Normal 1783 4" xfId="6956"/>
    <cellStyle name="Normal 1783 5" xfId="34386"/>
    <cellStyle name="Normal 1784" xfId="6957"/>
    <cellStyle name="Normal 1784 2" xfId="6958"/>
    <cellStyle name="Normal 1784 2 2" xfId="6959"/>
    <cellStyle name="Normal 1784 2 3" xfId="6960"/>
    <cellStyle name="Normal 1784 2 4" xfId="34387"/>
    <cellStyle name="Normal 1784 3" xfId="6961"/>
    <cellStyle name="Normal 1784 4" xfId="6962"/>
    <cellStyle name="Normal 1784 5" xfId="34388"/>
    <cellStyle name="Normal 1785" xfId="6963"/>
    <cellStyle name="Normal 1785 2" xfId="6964"/>
    <cellStyle name="Normal 1785 2 2" xfId="6965"/>
    <cellStyle name="Normal 1785 2 3" xfId="6966"/>
    <cellStyle name="Normal 1785 2 4" xfId="34389"/>
    <cellStyle name="Normal 1785 3" xfId="6967"/>
    <cellStyle name="Normal 1785 4" xfId="6968"/>
    <cellStyle name="Normal 1785 5" xfId="34390"/>
    <cellStyle name="Normal 1786" xfId="6969"/>
    <cellStyle name="Normal 1786 2" xfId="6970"/>
    <cellStyle name="Normal 1786 2 2" xfId="6971"/>
    <cellStyle name="Normal 1786 2 3" xfId="6972"/>
    <cellStyle name="Normal 1786 2 4" xfId="34391"/>
    <cellStyle name="Normal 1786 3" xfId="6973"/>
    <cellStyle name="Normal 1786 4" xfId="6974"/>
    <cellStyle name="Normal 1786 5" xfId="34392"/>
    <cellStyle name="Normal 1787" xfId="6975"/>
    <cellStyle name="Normal 1787 2" xfId="6976"/>
    <cellStyle name="Normal 1787 2 2" xfId="6977"/>
    <cellStyle name="Normal 1787 2 3" xfId="6978"/>
    <cellStyle name="Normal 1787 2 4" xfId="34393"/>
    <cellStyle name="Normal 1787 3" xfId="6979"/>
    <cellStyle name="Normal 1787 4" xfId="6980"/>
    <cellStyle name="Normal 1787 5" xfId="34394"/>
    <cellStyle name="Normal 1788" xfId="6981"/>
    <cellStyle name="Normal 1788 2" xfId="6982"/>
    <cellStyle name="Normal 1788 2 2" xfId="6983"/>
    <cellStyle name="Normal 1788 2 3" xfId="6984"/>
    <cellStyle name="Normal 1788 2 4" xfId="34395"/>
    <cellStyle name="Normal 1788 3" xfId="6985"/>
    <cellStyle name="Normal 1788 4" xfId="6986"/>
    <cellStyle name="Normal 1788 5" xfId="34396"/>
    <cellStyle name="Normal 1789" xfId="6987"/>
    <cellStyle name="Normal 1789 2" xfId="6988"/>
    <cellStyle name="Normal 1789 2 2" xfId="6989"/>
    <cellStyle name="Normal 1789 2 3" xfId="6990"/>
    <cellStyle name="Normal 1789 2 4" xfId="34397"/>
    <cellStyle name="Normal 1789 3" xfId="6991"/>
    <cellStyle name="Normal 1789 4" xfId="6992"/>
    <cellStyle name="Normal 1789 5" xfId="34398"/>
    <cellStyle name="Normal 179" xfId="6993"/>
    <cellStyle name="Normal 179 10" xfId="34399"/>
    <cellStyle name="Normal 179 2" xfId="6994"/>
    <cellStyle name="Normal 179 2 2" xfId="6995"/>
    <cellStyle name="Normal 179 2 2 2" xfId="6996"/>
    <cellStyle name="Normal 179 2 2 3" xfId="6997"/>
    <cellStyle name="Normal 179 2 3" xfId="6998"/>
    <cellStyle name="Normal 179 2 3 2" xfId="34400"/>
    <cellStyle name="Normal 179 2 3 3" xfId="34401"/>
    <cellStyle name="Normal 179 2 4" xfId="6999"/>
    <cellStyle name="Normal 179 2 5" xfId="7000"/>
    <cellStyle name="Normal 179 2 6" xfId="34402"/>
    <cellStyle name="Normal 179 2 7" xfId="34403"/>
    <cellStyle name="Normal 179 2 8" xfId="34404"/>
    <cellStyle name="Normal 179 3" xfId="7001"/>
    <cellStyle name="Normal 179 3 2" xfId="7002"/>
    <cellStyle name="Normal 179 3 2 2" xfId="34405"/>
    <cellStyle name="Normal 179 3 2 3" xfId="34406"/>
    <cellStyle name="Normal 179 3 3" xfId="7003"/>
    <cellStyle name="Normal 179 3 3 2" xfId="34407"/>
    <cellStyle name="Normal 179 3 3 3" xfId="34408"/>
    <cellStyle name="Normal 179 3 4" xfId="34409"/>
    <cellStyle name="Normal 179 3 5" xfId="34410"/>
    <cellStyle name="Normal 179 4" xfId="7004"/>
    <cellStyle name="Normal 179 4 2" xfId="34411"/>
    <cellStyle name="Normal 179 4 3" xfId="34412"/>
    <cellStyle name="Normal 179 5" xfId="7005"/>
    <cellStyle name="Normal 179 5 2" xfId="34413"/>
    <cellStyle name="Normal 179 5 3" xfId="34414"/>
    <cellStyle name="Normal 179 6" xfId="7006"/>
    <cellStyle name="Normal 179 7" xfId="34415"/>
    <cellStyle name="Normal 179 8" xfId="34416"/>
    <cellStyle name="Normal 179 9" xfId="34417"/>
    <cellStyle name="Normal 1790" xfId="7007"/>
    <cellStyle name="Normal 1790 2" xfId="7008"/>
    <cellStyle name="Normal 1790 2 2" xfId="7009"/>
    <cellStyle name="Normal 1790 2 3" xfId="7010"/>
    <cellStyle name="Normal 1790 2 4" xfId="34418"/>
    <cellStyle name="Normal 1790 3" xfId="7011"/>
    <cellStyle name="Normal 1790 4" xfId="7012"/>
    <cellStyle name="Normal 1790 5" xfId="34419"/>
    <cellStyle name="Normal 1791" xfId="7013"/>
    <cellStyle name="Normal 1791 2" xfId="7014"/>
    <cellStyle name="Normal 1791 2 2" xfId="7015"/>
    <cellStyle name="Normal 1791 2 3" xfId="7016"/>
    <cellStyle name="Normal 1791 2 4" xfId="34420"/>
    <cellStyle name="Normal 1791 3" xfId="7017"/>
    <cellStyle name="Normal 1791 4" xfId="7018"/>
    <cellStyle name="Normal 1791 5" xfId="34421"/>
    <cellStyle name="Normal 1792" xfId="7019"/>
    <cellStyle name="Normal 1792 2" xfId="7020"/>
    <cellStyle name="Normal 1792 2 2" xfId="7021"/>
    <cellStyle name="Normal 1792 2 3" xfId="7022"/>
    <cellStyle name="Normal 1792 2 4" xfId="34422"/>
    <cellStyle name="Normal 1792 3" xfId="7023"/>
    <cellStyle name="Normal 1792 4" xfId="7024"/>
    <cellStyle name="Normal 1792 5" xfId="34423"/>
    <cellStyle name="Normal 1793" xfId="7025"/>
    <cellStyle name="Normal 1793 2" xfId="7026"/>
    <cellStyle name="Normal 1793 2 2" xfId="7027"/>
    <cellStyle name="Normal 1793 2 3" xfId="7028"/>
    <cellStyle name="Normal 1793 2 4" xfId="34424"/>
    <cellStyle name="Normal 1793 3" xfId="7029"/>
    <cellStyle name="Normal 1793 4" xfId="7030"/>
    <cellStyle name="Normal 1793 5" xfId="34425"/>
    <cellStyle name="Normal 1794" xfId="7031"/>
    <cellStyle name="Normal 1794 2" xfId="7032"/>
    <cellStyle name="Normal 1794 2 2" xfId="7033"/>
    <cellStyle name="Normal 1794 2 3" xfId="7034"/>
    <cellStyle name="Normal 1794 2 4" xfId="34426"/>
    <cellStyle name="Normal 1794 3" xfId="7035"/>
    <cellStyle name="Normal 1794 4" xfId="7036"/>
    <cellStyle name="Normal 1794 5" xfId="34427"/>
    <cellStyle name="Normal 1795" xfId="7037"/>
    <cellStyle name="Normal 1795 2" xfId="7038"/>
    <cellStyle name="Normal 1795 2 2" xfId="7039"/>
    <cellStyle name="Normal 1795 2 3" xfId="7040"/>
    <cellStyle name="Normal 1795 2 4" xfId="34428"/>
    <cellStyle name="Normal 1795 3" xfId="7041"/>
    <cellStyle name="Normal 1795 4" xfId="7042"/>
    <cellStyle name="Normal 1795 5" xfId="34429"/>
    <cellStyle name="Normal 1796" xfId="7043"/>
    <cellStyle name="Normal 1796 2" xfId="7044"/>
    <cellStyle name="Normal 1796 2 2" xfId="7045"/>
    <cellStyle name="Normal 1796 2 3" xfId="7046"/>
    <cellStyle name="Normal 1796 2 4" xfId="34430"/>
    <cellStyle name="Normal 1796 3" xfId="7047"/>
    <cellStyle name="Normal 1796 4" xfId="7048"/>
    <cellStyle name="Normal 1796 5" xfId="34431"/>
    <cellStyle name="Normal 1797" xfId="7049"/>
    <cellStyle name="Normal 1797 2" xfId="7050"/>
    <cellStyle name="Normal 1797 2 2" xfId="7051"/>
    <cellStyle name="Normal 1797 2 3" xfId="7052"/>
    <cellStyle name="Normal 1797 2 4" xfId="34432"/>
    <cellStyle name="Normal 1797 3" xfId="7053"/>
    <cellStyle name="Normal 1797 4" xfId="7054"/>
    <cellStyle name="Normal 1797 5" xfId="34433"/>
    <cellStyle name="Normal 1798" xfId="7055"/>
    <cellStyle name="Normal 1798 2" xfId="7056"/>
    <cellStyle name="Normal 1798 2 2" xfId="7057"/>
    <cellStyle name="Normal 1798 2 3" xfId="7058"/>
    <cellStyle name="Normal 1798 2 4" xfId="34434"/>
    <cellStyle name="Normal 1798 3" xfId="7059"/>
    <cellStyle name="Normal 1798 4" xfId="7060"/>
    <cellStyle name="Normal 1798 5" xfId="34435"/>
    <cellStyle name="Normal 1799" xfId="7061"/>
    <cellStyle name="Normal 1799 2" xfId="7062"/>
    <cellStyle name="Normal 1799 2 2" xfId="7063"/>
    <cellStyle name="Normal 1799 2 3" xfId="7064"/>
    <cellStyle name="Normal 1799 2 4" xfId="34436"/>
    <cellStyle name="Normal 1799 3" xfId="7065"/>
    <cellStyle name="Normal 1799 4" xfId="7066"/>
    <cellStyle name="Normal 1799 5" xfId="34437"/>
    <cellStyle name="Normal 18" xfId="7067"/>
    <cellStyle name="Normal 18 10" xfId="34438"/>
    <cellStyle name="Normal 18 2" xfId="7068"/>
    <cellStyle name="Normal 18 2 2" xfId="7069"/>
    <cellStyle name="Normal 18 2 2 2" xfId="7070"/>
    <cellStyle name="Normal 18 2 2 3" xfId="7071"/>
    <cellStyle name="Normal 18 2 3" xfId="7072"/>
    <cellStyle name="Normal 18 2 3 2" xfId="34439"/>
    <cellStyle name="Normal 18 2 3 3" xfId="34440"/>
    <cellStyle name="Normal 18 2 4" xfId="7073"/>
    <cellStyle name="Normal 18 2 5" xfId="7074"/>
    <cellStyle name="Normal 18 2 6" xfId="34441"/>
    <cellStyle name="Normal 18 2 7" xfId="34442"/>
    <cellStyle name="Normal 18 2 8" xfId="34443"/>
    <cellStyle name="Normal 18 3" xfId="7075"/>
    <cellStyle name="Normal 18 3 2" xfId="7076"/>
    <cellStyle name="Normal 18 3 2 2" xfId="34444"/>
    <cellStyle name="Normal 18 3 2 3" xfId="34445"/>
    <cellStyle name="Normal 18 3 3" xfId="7077"/>
    <cellStyle name="Normal 18 3 3 2" xfId="34446"/>
    <cellStyle name="Normal 18 3 3 3" xfId="34447"/>
    <cellStyle name="Normal 18 3 4" xfId="7078"/>
    <cellStyle name="Normal 18 3 5" xfId="34448"/>
    <cellStyle name="Normal 18 4" xfId="7079"/>
    <cellStyle name="Normal 18 4 2" xfId="34449"/>
    <cellStyle name="Normal 18 4 3" xfId="34450"/>
    <cellStyle name="Normal 18 5" xfId="7080"/>
    <cellStyle name="Normal 18 5 2" xfId="34451"/>
    <cellStyle name="Normal 18 5 3" xfId="34452"/>
    <cellStyle name="Normal 18 6" xfId="7081"/>
    <cellStyle name="Normal 18 7" xfId="34453"/>
    <cellStyle name="Normal 18 8" xfId="34454"/>
    <cellStyle name="Normal 18 9" xfId="34455"/>
    <cellStyle name="Normal 180" xfId="7082"/>
    <cellStyle name="Normal 180 10" xfId="34456"/>
    <cellStyle name="Normal 180 2" xfId="7083"/>
    <cellStyle name="Normal 180 2 2" xfId="7084"/>
    <cellStyle name="Normal 180 2 2 2" xfId="7085"/>
    <cellStyle name="Normal 180 2 2 3" xfId="7086"/>
    <cellStyle name="Normal 180 2 3" xfId="7087"/>
    <cellStyle name="Normal 180 2 3 2" xfId="34457"/>
    <cellStyle name="Normal 180 2 3 3" xfId="34458"/>
    <cellStyle name="Normal 180 2 4" xfId="7088"/>
    <cellStyle name="Normal 180 2 5" xfId="7089"/>
    <cellStyle name="Normal 180 2 6" xfId="34459"/>
    <cellStyle name="Normal 180 2 7" xfId="34460"/>
    <cellStyle name="Normal 180 2 8" xfId="34461"/>
    <cellStyle name="Normal 180 3" xfId="7090"/>
    <cellStyle name="Normal 180 3 2" xfId="7091"/>
    <cellStyle name="Normal 180 3 2 2" xfId="34462"/>
    <cellStyle name="Normal 180 3 2 3" xfId="34463"/>
    <cellStyle name="Normal 180 3 3" xfId="7092"/>
    <cellStyle name="Normal 180 3 3 2" xfId="34464"/>
    <cellStyle name="Normal 180 3 3 3" xfId="34465"/>
    <cellStyle name="Normal 180 3 4" xfId="34466"/>
    <cellStyle name="Normal 180 3 5" xfId="34467"/>
    <cellStyle name="Normal 180 4" xfId="7093"/>
    <cellStyle name="Normal 180 4 2" xfId="34468"/>
    <cellStyle name="Normal 180 4 3" xfId="34469"/>
    <cellStyle name="Normal 180 5" xfId="7094"/>
    <cellStyle name="Normal 180 5 2" xfId="34470"/>
    <cellStyle name="Normal 180 5 3" xfId="34471"/>
    <cellStyle name="Normal 180 6" xfId="7095"/>
    <cellStyle name="Normal 180 7" xfId="34472"/>
    <cellStyle name="Normal 180 8" xfId="34473"/>
    <cellStyle name="Normal 180 9" xfId="34474"/>
    <cellStyle name="Normal 1800" xfId="7096"/>
    <cellStyle name="Normal 1800 2" xfId="7097"/>
    <cellStyle name="Normal 1800 2 2" xfId="7098"/>
    <cellStyle name="Normal 1800 2 3" xfId="7099"/>
    <cellStyle name="Normal 1800 2 4" xfId="34475"/>
    <cellStyle name="Normal 1800 3" xfId="7100"/>
    <cellStyle name="Normal 1800 4" xfId="7101"/>
    <cellStyle name="Normal 1800 5" xfId="34476"/>
    <cellStyle name="Normal 1801" xfId="7102"/>
    <cellStyle name="Normal 1801 2" xfId="7103"/>
    <cellStyle name="Normal 1801 2 2" xfId="7104"/>
    <cellStyle name="Normal 1801 2 3" xfId="7105"/>
    <cellStyle name="Normal 1801 2 4" xfId="34477"/>
    <cellStyle name="Normal 1801 3" xfId="7106"/>
    <cellStyle name="Normal 1801 4" xfId="7107"/>
    <cellStyle name="Normal 1801 5" xfId="34478"/>
    <cellStyle name="Normal 1802" xfId="7108"/>
    <cellStyle name="Normal 1802 2" xfId="7109"/>
    <cellStyle name="Normal 1802 2 2" xfId="7110"/>
    <cellStyle name="Normal 1802 2 3" xfId="7111"/>
    <cellStyle name="Normal 1802 2 4" xfId="34479"/>
    <cellStyle name="Normal 1802 3" xfId="7112"/>
    <cellStyle name="Normal 1802 4" xfId="7113"/>
    <cellStyle name="Normal 1802 5" xfId="34480"/>
    <cellStyle name="Normal 1803" xfId="7114"/>
    <cellStyle name="Normal 1803 2" xfId="7115"/>
    <cellStyle name="Normal 1803 2 2" xfId="7116"/>
    <cellStyle name="Normal 1803 2 3" xfId="7117"/>
    <cellStyle name="Normal 1803 2 4" xfId="34481"/>
    <cellStyle name="Normal 1803 3" xfId="7118"/>
    <cellStyle name="Normal 1803 4" xfId="7119"/>
    <cellStyle name="Normal 1803 5" xfId="34482"/>
    <cellStyle name="Normal 1804" xfId="7120"/>
    <cellStyle name="Normal 1804 2" xfId="7121"/>
    <cellStyle name="Normal 1804 2 2" xfId="7122"/>
    <cellStyle name="Normal 1804 2 3" xfId="7123"/>
    <cellStyle name="Normal 1804 2 4" xfId="34483"/>
    <cellStyle name="Normal 1804 3" xfId="7124"/>
    <cellStyle name="Normal 1804 4" xfId="7125"/>
    <cellStyle name="Normal 1804 5" xfId="34484"/>
    <cellStyle name="Normal 1805" xfId="7126"/>
    <cellStyle name="Normal 1805 2" xfId="7127"/>
    <cellStyle name="Normal 1805 2 2" xfId="7128"/>
    <cellStyle name="Normal 1805 2 3" xfId="7129"/>
    <cellStyle name="Normal 1805 2 4" xfId="34485"/>
    <cellStyle name="Normal 1805 3" xfId="7130"/>
    <cellStyle name="Normal 1805 4" xfId="7131"/>
    <cellStyle name="Normal 1805 5" xfId="34486"/>
    <cellStyle name="Normal 1806" xfId="7132"/>
    <cellStyle name="Normal 1806 2" xfId="7133"/>
    <cellStyle name="Normal 1806 2 2" xfId="7134"/>
    <cellStyle name="Normal 1806 2 3" xfId="7135"/>
    <cellStyle name="Normal 1806 2 4" xfId="34487"/>
    <cellStyle name="Normal 1806 3" xfId="7136"/>
    <cellStyle name="Normal 1806 4" xfId="7137"/>
    <cellStyle name="Normal 1806 5" xfId="34488"/>
    <cellStyle name="Normal 1807" xfId="7138"/>
    <cellStyle name="Normal 1807 2" xfId="7139"/>
    <cellStyle name="Normal 1807 2 2" xfId="7140"/>
    <cellStyle name="Normal 1807 2 3" xfId="7141"/>
    <cellStyle name="Normal 1807 2 4" xfId="34489"/>
    <cellStyle name="Normal 1807 3" xfId="7142"/>
    <cellStyle name="Normal 1807 4" xfId="7143"/>
    <cellStyle name="Normal 1807 5" xfId="34490"/>
    <cellStyle name="Normal 1808" xfId="7144"/>
    <cellStyle name="Normal 1808 2" xfId="7145"/>
    <cellStyle name="Normal 1808 2 2" xfId="7146"/>
    <cellStyle name="Normal 1808 2 3" xfId="7147"/>
    <cellStyle name="Normal 1808 2 4" xfId="34491"/>
    <cellStyle name="Normal 1808 3" xfId="7148"/>
    <cellStyle name="Normal 1808 4" xfId="7149"/>
    <cellStyle name="Normal 1808 5" xfId="34492"/>
    <cellStyle name="Normal 1809" xfId="7150"/>
    <cellStyle name="Normal 1809 2" xfId="7151"/>
    <cellStyle name="Normal 1809 2 2" xfId="7152"/>
    <cellStyle name="Normal 1809 2 3" xfId="7153"/>
    <cellStyle name="Normal 1809 2 4" xfId="34493"/>
    <cellStyle name="Normal 1809 3" xfId="7154"/>
    <cellStyle name="Normal 1809 4" xfId="7155"/>
    <cellStyle name="Normal 1809 5" xfId="34494"/>
    <cellStyle name="Normal 181" xfId="7156"/>
    <cellStyle name="Normal 181 10" xfId="34495"/>
    <cellStyle name="Normal 181 2" xfId="7157"/>
    <cellStyle name="Normal 181 2 2" xfId="7158"/>
    <cellStyle name="Normal 181 2 2 2" xfId="7159"/>
    <cellStyle name="Normal 181 2 2 3" xfId="7160"/>
    <cellStyle name="Normal 181 2 3" xfId="7161"/>
    <cellStyle name="Normal 181 2 3 2" xfId="34496"/>
    <cellStyle name="Normal 181 2 3 3" xfId="34497"/>
    <cellStyle name="Normal 181 2 4" xfId="7162"/>
    <cellStyle name="Normal 181 2 5" xfId="7163"/>
    <cellStyle name="Normal 181 2 6" xfId="34498"/>
    <cellStyle name="Normal 181 2 7" xfId="34499"/>
    <cellStyle name="Normal 181 2 8" xfId="34500"/>
    <cellStyle name="Normal 181 3" xfId="7164"/>
    <cellStyle name="Normal 181 3 2" xfId="7165"/>
    <cellStyle name="Normal 181 3 2 2" xfId="34501"/>
    <cellStyle name="Normal 181 3 2 3" xfId="34502"/>
    <cellStyle name="Normal 181 3 3" xfId="7166"/>
    <cellStyle name="Normal 181 3 3 2" xfId="34503"/>
    <cellStyle name="Normal 181 3 3 3" xfId="34504"/>
    <cellStyle name="Normal 181 3 4" xfId="34505"/>
    <cellStyle name="Normal 181 3 5" xfId="34506"/>
    <cellStyle name="Normal 181 4" xfId="7167"/>
    <cellStyle name="Normal 181 4 2" xfId="34507"/>
    <cellStyle name="Normal 181 4 3" xfId="34508"/>
    <cellStyle name="Normal 181 5" xfId="7168"/>
    <cellStyle name="Normal 181 5 2" xfId="34509"/>
    <cellStyle name="Normal 181 5 3" xfId="34510"/>
    <cellStyle name="Normal 181 6" xfId="7169"/>
    <cellStyle name="Normal 181 7" xfId="34511"/>
    <cellStyle name="Normal 181 8" xfId="34512"/>
    <cellStyle name="Normal 181 9" xfId="34513"/>
    <cellStyle name="Normal 1810" xfId="7170"/>
    <cellStyle name="Normal 1810 2" xfId="7171"/>
    <cellStyle name="Normal 1810 2 2" xfId="7172"/>
    <cellStyle name="Normal 1810 2 3" xfId="7173"/>
    <cellStyle name="Normal 1810 2 4" xfId="34514"/>
    <cellStyle name="Normal 1810 3" xfId="7174"/>
    <cellStyle name="Normal 1810 4" xfId="7175"/>
    <cellStyle name="Normal 1810 5" xfId="34515"/>
    <cellStyle name="Normal 1811" xfId="7176"/>
    <cellStyle name="Normal 1811 2" xfId="7177"/>
    <cellStyle name="Normal 1811 2 2" xfId="7178"/>
    <cellStyle name="Normal 1811 2 3" xfId="7179"/>
    <cellStyle name="Normal 1811 2 4" xfId="34516"/>
    <cellStyle name="Normal 1811 3" xfId="7180"/>
    <cellStyle name="Normal 1811 4" xfId="7181"/>
    <cellStyle name="Normal 1811 5" xfId="34517"/>
    <cellStyle name="Normal 1812" xfId="7182"/>
    <cellStyle name="Normal 1812 2" xfId="7183"/>
    <cellStyle name="Normal 1812 2 2" xfId="7184"/>
    <cellStyle name="Normal 1812 2 3" xfId="7185"/>
    <cellStyle name="Normal 1812 2 4" xfId="34518"/>
    <cellStyle name="Normal 1812 3" xfId="7186"/>
    <cellStyle name="Normal 1812 4" xfId="7187"/>
    <cellStyle name="Normal 1812 5" xfId="34519"/>
    <cellStyle name="Normal 1813" xfId="7188"/>
    <cellStyle name="Normal 1813 2" xfId="7189"/>
    <cellStyle name="Normal 1813 2 2" xfId="7190"/>
    <cellStyle name="Normal 1813 2 3" xfId="7191"/>
    <cellStyle name="Normal 1813 2 4" xfId="34520"/>
    <cellStyle name="Normal 1813 3" xfId="7192"/>
    <cellStyle name="Normal 1813 4" xfId="7193"/>
    <cellStyle name="Normal 1813 5" xfId="34521"/>
    <cellStyle name="Normal 1814" xfId="7194"/>
    <cellStyle name="Normal 1814 2" xfId="7195"/>
    <cellStyle name="Normal 1814 2 2" xfId="7196"/>
    <cellStyle name="Normal 1814 2 3" xfId="7197"/>
    <cellStyle name="Normal 1814 2 4" xfId="34522"/>
    <cellStyle name="Normal 1814 3" xfId="7198"/>
    <cellStyle name="Normal 1814 4" xfId="7199"/>
    <cellStyle name="Normal 1814 5" xfId="34523"/>
    <cellStyle name="Normal 1815" xfId="7200"/>
    <cellStyle name="Normal 1815 2" xfId="7201"/>
    <cellStyle name="Normal 1815 2 2" xfId="7202"/>
    <cellStyle name="Normal 1815 2 3" xfId="7203"/>
    <cellStyle name="Normal 1815 2 4" xfId="34524"/>
    <cellStyle name="Normal 1815 3" xfId="7204"/>
    <cellStyle name="Normal 1815 4" xfId="7205"/>
    <cellStyle name="Normal 1815 5" xfId="34525"/>
    <cellStyle name="Normal 1816" xfId="7206"/>
    <cellStyle name="Normal 1816 2" xfId="7207"/>
    <cellStyle name="Normal 1816 2 2" xfId="7208"/>
    <cellStyle name="Normal 1816 2 3" xfId="7209"/>
    <cellStyle name="Normal 1816 2 4" xfId="34526"/>
    <cellStyle name="Normal 1816 3" xfId="7210"/>
    <cellStyle name="Normal 1816 4" xfId="7211"/>
    <cellStyle name="Normal 1816 5" xfId="34527"/>
    <cellStyle name="Normal 1817" xfId="7212"/>
    <cellStyle name="Normal 1817 2" xfId="7213"/>
    <cellStyle name="Normal 1817 2 2" xfId="7214"/>
    <cellStyle name="Normal 1817 2 3" xfId="7215"/>
    <cellStyle name="Normal 1817 2 4" xfId="34528"/>
    <cellStyle name="Normal 1817 3" xfId="7216"/>
    <cellStyle name="Normal 1817 4" xfId="7217"/>
    <cellStyle name="Normal 1817 5" xfId="34529"/>
    <cellStyle name="Normal 1818" xfId="7218"/>
    <cellStyle name="Normal 1818 2" xfId="7219"/>
    <cellStyle name="Normal 1818 2 2" xfId="7220"/>
    <cellStyle name="Normal 1818 2 3" xfId="7221"/>
    <cellStyle name="Normal 1818 2 4" xfId="34530"/>
    <cellStyle name="Normal 1818 3" xfId="7222"/>
    <cellStyle name="Normal 1818 4" xfId="7223"/>
    <cellStyle name="Normal 1818 5" xfId="34531"/>
    <cellStyle name="Normal 1819" xfId="7224"/>
    <cellStyle name="Normal 1819 2" xfId="7225"/>
    <cellStyle name="Normal 1819 2 2" xfId="7226"/>
    <cellStyle name="Normal 1819 2 3" xfId="7227"/>
    <cellStyle name="Normal 1819 2 4" xfId="34532"/>
    <cellStyle name="Normal 1819 3" xfId="7228"/>
    <cellStyle name="Normal 1819 4" xfId="7229"/>
    <cellStyle name="Normal 1819 5" xfId="34533"/>
    <cellStyle name="Normal 182" xfId="7230"/>
    <cellStyle name="Normal 182 10" xfId="34534"/>
    <cellStyle name="Normal 182 2" xfId="7231"/>
    <cellStyle name="Normal 182 2 2" xfId="7232"/>
    <cellStyle name="Normal 182 2 2 2" xfId="7233"/>
    <cellStyle name="Normal 182 2 2 3" xfId="7234"/>
    <cellStyle name="Normal 182 2 3" xfId="7235"/>
    <cellStyle name="Normal 182 2 3 2" xfId="34535"/>
    <cellStyle name="Normal 182 2 3 3" xfId="34536"/>
    <cellStyle name="Normal 182 2 4" xfId="7236"/>
    <cellStyle name="Normal 182 2 5" xfId="7237"/>
    <cellStyle name="Normal 182 2 6" xfId="34537"/>
    <cellStyle name="Normal 182 2 7" xfId="34538"/>
    <cellStyle name="Normal 182 2 8" xfId="34539"/>
    <cellStyle name="Normal 182 3" xfId="7238"/>
    <cellStyle name="Normal 182 3 2" xfId="7239"/>
    <cellStyle name="Normal 182 3 2 2" xfId="34540"/>
    <cellStyle name="Normal 182 3 2 3" xfId="34541"/>
    <cellStyle name="Normal 182 3 3" xfId="7240"/>
    <cellStyle name="Normal 182 3 3 2" xfId="34542"/>
    <cellStyle name="Normal 182 3 3 3" xfId="34543"/>
    <cellStyle name="Normal 182 3 4" xfId="34544"/>
    <cellStyle name="Normal 182 3 5" xfId="34545"/>
    <cellStyle name="Normal 182 4" xfId="7241"/>
    <cellStyle name="Normal 182 4 2" xfId="34546"/>
    <cellStyle name="Normal 182 4 3" xfId="34547"/>
    <cellStyle name="Normal 182 5" xfId="7242"/>
    <cellStyle name="Normal 182 5 2" xfId="34548"/>
    <cellStyle name="Normal 182 5 3" xfId="34549"/>
    <cellStyle name="Normal 182 6" xfId="7243"/>
    <cellStyle name="Normal 182 7" xfId="34550"/>
    <cellStyle name="Normal 182 8" xfId="34551"/>
    <cellStyle name="Normal 182 9" xfId="34552"/>
    <cellStyle name="Normal 1820" xfId="7244"/>
    <cellStyle name="Normal 1820 2" xfId="7245"/>
    <cellStyle name="Normal 1820 2 2" xfId="7246"/>
    <cellStyle name="Normal 1820 2 3" xfId="7247"/>
    <cellStyle name="Normal 1820 2 4" xfId="34553"/>
    <cellStyle name="Normal 1820 3" xfId="7248"/>
    <cellStyle name="Normal 1820 4" xfId="7249"/>
    <cellStyle name="Normal 1820 5" xfId="34554"/>
    <cellStyle name="Normal 1821" xfId="7250"/>
    <cellStyle name="Normal 1821 2" xfId="7251"/>
    <cellStyle name="Normal 1821 2 2" xfId="7252"/>
    <cellStyle name="Normal 1821 2 3" xfId="7253"/>
    <cellStyle name="Normal 1821 2 4" xfId="34555"/>
    <cellStyle name="Normal 1821 3" xfId="7254"/>
    <cellStyle name="Normal 1821 4" xfId="7255"/>
    <cellStyle name="Normal 1821 5" xfId="34556"/>
    <cellStyle name="Normal 1822" xfId="7256"/>
    <cellStyle name="Normal 1822 2" xfId="7257"/>
    <cellStyle name="Normal 1822 2 2" xfId="7258"/>
    <cellStyle name="Normal 1822 2 3" xfId="7259"/>
    <cellStyle name="Normal 1822 2 4" xfId="34557"/>
    <cellStyle name="Normal 1822 3" xfId="7260"/>
    <cellStyle name="Normal 1822 4" xfId="7261"/>
    <cellStyle name="Normal 1822 5" xfId="34558"/>
    <cellStyle name="Normal 1823" xfId="7262"/>
    <cellStyle name="Normal 1823 2" xfId="7263"/>
    <cellStyle name="Normal 1823 2 2" xfId="7264"/>
    <cellStyle name="Normal 1823 2 3" xfId="7265"/>
    <cellStyle name="Normal 1823 2 4" xfId="34559"/>
    <cellStyle name="Normal 1823 3" xfId="7266"/>
    <cellStyle name="Normal 1823 4" xfId="7267"/>
    <cellStyle name="Normal 1823 5" xfId="34560"/>
    <cellStyle name="Normal 1824" xfId="7268"/>
    <cellStyle name="Normal 1824 2" xfId="7269"/>
    <cellStyle name="Normal 1824 2 2" xfId="7270"/>
    <cellStyle name="Normal 1824 2 3" xfId="7271"/>
    <cellStyle name="Normal 1824 2 4" xfId="34561"/>
    <cellStyle name="Normal 1824 3" xfId="7272"/>
    <cellStyle name="Normal 1824 4" xfId="7273"/>
    <cellStyle name="Normal 1824 5" xfId="34562"/>
    <cellStyle name="Normal 1825" xfId="7274"/>
    <cellStyle name="Normal 1825 2" xfId="7275"/>
    <cellStyle name="Normal 1825 2 2" xfId="7276"/>
    <cellStyle name="Normal 1825 2 3" xfId="7277"/>
    <cellStyle name="Normal 1825 3" xfId="7278"/>
    <cellStyle name="Normal 1825 4" xfId="7279"/>
    <cellStyle name="Normal 1825 5" xfId="34563"/>
    <cellStyle name="Normal 1826" xfId="7280"/>
    <cellStyle name="Normal 1826 2" xfId="7281"/>
    <cellStyle name="Normal 1826 2 2" xfId="7282"/>
    <cellStyle name="Normal 1826 2 3" xfId="7283"/>
    <cellStyle name="Normal 1826 3" xfId="7284"/>
    <cellStyle name="Normal 1826 4" xfId="7285"/>
    <cellStyle name="Normal 1826 5" xfId="34564"/>
    <cellStyle name="Normal 1827" xfId="7286"/>
    <cellStyle name="Normal 1827 2" xfId="7287"/>
    <cellStyle name="Normal 1827 2 2" xfId="7288"/>
    <cellStyle name="Normal 1827 2 3" xfId="7289"/>
    <cellStyle name="Normal 1827 3" xfId="7290"/>
    <cellStyle name="Normal 1827 4" xfId="7291"/>
    <cellStyle name="Normal 1827 5" xfId="34565"/>
    <cellStyle name="Normal 1828" xfId="7292"/>
    <cellStyle name="Normal 1828 2" xfId="7293"/>
    <cellStyle name="Normal 1828 2 2" xfId="7294"/>
    <cellStyle name="Normal 1828 2 3" xfId="7295"/>
    <cellStyle name="Normal 1828 3" xfId="7296"/>
    <cellStyle name="Normal 1828 4" xfId="7297"/>
    <cellStyle name="Normal 1828 5" xfId="34566"/>
    <cellStyle name="Normal 1829" xfId="7298"/>
    <cellStyle name="Normal 1829 2" xfId="7299"/>
    <cellStyle name="Normal 1829 2 2" xfId="7300"/>
    <cellStyle name="Normal 1829 2 3" xfId="7301"/>
    <cellStyle name="Normal 1829 3" xfId="7302"/>
    <cellStyle name="Normal 1829 4" xfId="7303"/>
    <cellStyle name="Normal 1829 5" xfId="34567"/>
    <cellStyle name="Normal 183" xfId="7304"/>
    <cellStyle name="Normal 183 10" xfId="34568"/>
    <cellStyle name="Normal 183 2" xfId="7305"/>
    <cellStyle name="Normal 183 2 2" xfId="7306"/>
    <cellStyle name="Normal 183 2 2 2" xfId="7307"/>
    <cellStyle name="Normal 183 2 2 3" xfId="7308"/>
    <cellStyle name="Normal 183 2 3" xfId="7309"/>
    <cellStyle name="Normal 183 2 3 2" xfId="34569"/>
    <cellStyle name="Normal 183 2 3 3" xfId="34570"/>
    <cellStyle name="Normal 183 2 4" xfId="7310"/>
    <cellStyle name="Normal 183 2 5" xfId="7311"/>
    <cellStyle name="Normal 183 2 6" xfId="34571"/>
    <cellStyle name="Normal 183 2 7" xfId="34572"/>
    <cellStyle name="Normal 183 2 8" xfId="34573"/>
    <cellStyle name="Normal 183 3" xfId="7312"/>
    <cellStyle name="Normal 183 3 2" xfId="7313"/>
    <cellStyle name="Normal 183 3 2 2" xfId="34574"/>
    <cellStyle name="Normal 183 3 2 3" xfId="34575"/>
    <cellStyle name="Normal 183 3 3" xfId="7314"/>
    <cellStyle name="Normal 183 3 3 2" xfId="34576"/>
    <cellStyle name="Normal 183 3 3 3" xfId="34577"/>
    <cellStyle name="Normal 183 3 4" xfId="34578"/>
    <cellStyle name="Normal 183 3 5" xfId="34579"/>
    <cellStyle name="Normal 183 4" xfId="7315"/>
    <cellStyle name="Normal 183 4 2" xfId="34580"/>
    <cellStyle name="Normal 183 4 3" xfId="34581"/>
    <cellStyle name="Normal 183 5" xfId="7316"/>
    <cellStyle name="Normal 183 5 2" xfId="34582"/>
    <cellStyle name="Normal 183 5 3" xfId="34583"/>
    <cellStyle name="Normal 183 6" xfId="7317"/>
    <cellStyle name="Normal 183 7" xfId="34584"/>
    <cellStyle name="Normal 183 8" xfId="34585"/>
    <cellStyle name="Normal 183 9" xfId="34586"/>
    <cellStyle name="Normal 1830" xfId="7318"/>
    <cellStyle name="Normal 1830 2" xfId="7319"/>
    <cellStyle name="Normal 1830 2 2" xfId="7320"/>
    <cellStyle name="Normal 1830 2 3" xfId="7321"/>
    <cellStyle name="Normal 1830 3" xfId="7322"/>
    <cellStyle name="Normal 1830 4" xfId="7323"/>
    <cellStyle name="Normal 1830 5" xfId="34587"/>
    <cellStyle name="Normal 1831" xfId="7324"/>
    <cellStyle name="Normal 1831 2" xfId="7325"/>
    <cellStyle name="Normal 1831 2 2" xfId="7326"/>
    <cellStyle name="Normal 1831 2 3" xfId="7327"/>
    <cellStyle name="Normal 1831 3" xfId="7328"/>
    <cellStyle name="Normal 1831 4" xfId="7329"/>
    <cellStyle name="Normal 1831 5" xfId="34588"/>
    <cellStyle name="Normal 1832" xfId="7330"/>
    <cellStyle name="Normal 1832 2" xfId="7331"/>
    <cellStyle name="Normal 1832 2 2" xfId="7332"/>
    <cellStyle name="Normal 1832 2 3" xfId="7333"/>
    <cellStyle name="Normal 1832 3" xfId="7334"/>
    <cellStyle name="Normal 1832 4" xfId="7335"/>
    <cellStyle name="Normal 1832 5" xfId="34589"/>
    <cellStyle name="Normal 1833" xfId="7336"/>
    <cellStyle name="Normal 1833 2" xfId="7337"/>
    <cellStyle name="Normal 1833 2 2" xfId="7338"/>
    <cellStyle name="Normal 1833 2 3" xfId="7339"/>
    <cellStyle name="Normal 1833 3" xfId="7340"/>
    <cellStyle name="Normal 1833 4" xfId="7341"/>
    <cellStyle name="Normal 1833 5" xfId="34590"/>
    <cellStyle name="Normal 1834" xfId="7342"/>
    <cellStyle name="Normal 1834 2" xfId="7343"/>
    <cellStyle name="Normal 1834 2 2" xfId="7344"/>
    <cellStyle name="Normal 1834 2 3" xfId="7345"/>
    <cellStyle name="Normal 1834 3" xfId="7346"/>
    <cellStyle name="Normal 1834 4" xfId="7347"/>
    <cellStyle name="Normal 1834 5" xfId="34591"/>
    <cellStyle name="Normal 1835" xfId="7348"/>
    <cellStyle name="Normal 1835 2" xfId="7349"/>
    <cellStyle name="Normal 1835 2 2" xfId="7350"/>
    <cellStyle name="Normal 1835 2 3" xfId="7351"/>
    <cellStyle name="Normal 1835 3" xfId="7352"/>
    <cellStyle name="Normal 1835 4" xfId="7353"/>
    <cellStyle name="Normal 1835 5" xfId="34592"/>
    <cellStyle name="Normal 1836" xfId="7354"/>
    <cellStyle name="Normal 1836 2" xfId="7355"/>
    <cellStyle name="Normal 1836 2 2" xfId="7356"/>
    <cellStyle name="Normal 1836 2 3" xfId="7357"/>
    <cellStyle name="Normal 1836 3" xfId="7358"/>
    <cellStyle name="Normal 1836 4" xfId="7359"/>
    <cellStyle name="Normal 1836 5" xfId="34593"/>
    <cellStyle name="Normal 1837" xfId="7360"/>
    <cellStyle name="Normal 1837 2" xfId="7361"/>
    <cellStyle name="Normal 1837 2 2" xfId="7362"/>
    <cellStyle name="Normal 1837 2 3" xfId="7363"/>
    <cellStyle name="Normal 1837 3" xfId="7364"/>
    <cellStyle name="Normal 1837 4" xfId="7365"/>
    <cellStyle name="Normal 1837 5" xfId="34594"/>
    <cellStyle name="Normal 1838" xfId="7366"/>
    <cellStyle name="Normal 1838 2" xfId="7367"/>
    <cellStyle name="Normal 1838 2 2" xfId="7368"/>
    <cellStyle name="Normal 1838 2 3" xfId="7369"/>
    <cellStyle name="Normal 1838 3" xfId="7370"/>
    <cellStyle name="Normal 1838 4" xfId="7371"/>
    <cellStyle name="Normal 1838 5" xfId="34595"/>
    <cellStyle name="Normal 1839" xfId="7372"/>
    <cellStyle name="Normal 1839 2" xfId="7373"/>
    <cellStyle name="Normal 1839 2 2" xfId="7374"/>
    <cellStyle name="Normal 1839 2 3" xfId="7375"/>
    <cellStyle name="Normal 1839 3" xfId="7376"/>
    <cellStyle name="Normal 1839 4" xfId="7377"/>
    <cellStyle name="Normal 1839 5" xfId="34596"/>
    <cellStyle name="Normal 184" xfId="7378"/>
    <cellStyle name="Normal 184 10" xfId="34597"/>
    <cellStyle name="Normal 184 2" xfId="7379"/>
    <cellStyle name="Normal 184 2 2" xfId="7380"/>
    <cellStyle name="Normal 184 2 2 2" xfId="7381"/>
    <cellStyle name="Normal 184 2 2 3" xfId="7382"/>
    <cellStyle name="Normal 184 2 3" xfId="7383"/>
    <cellStyle name="Normal 184 2 3 2" xfId="34598"/>
    <cellStyle name="Normal 184 2 3 3" xfId="34599"/>
    <cellStyle name="Normal 184 2 4" xfId="7384"/>
    <cellStyle name="Normal 184 2 5" xfId="7385"/>
    <cellStyle name="Normal 184 2 6" xfId="34600"/>
    <cellStyle name="Normal 184 2 7" xfId="34601"/>
    <cellStyle name="Normal 184 2 8" xfId="34602"/>
    <cellStyle name="Normal 184 3" xfId="7386"/>
    <cellStyle name="Normal 184 3 2" xfId="7387"/>
    <cellStyle name="Normal 184 3 2 2" xfId="34603"/>
    <cellStyle name="Normal 184 3 2 3" xfId="34604"/>
    <cellStyle name="Normal 184 3 3" xfId="7388"/>
    <cellStyle name="Normal 184 3 3 2" xfId="34605"/>
    <cellStyle name="Normal 184 3 3 3" xfId="34606"/>
    <cellStyle name="Normal 184 3 4" xfId="34607"/>
    <cellStyle name="Normal 184 3 5" xfId="34608"/>
    <cellStyle name="Normal 184 4" xfId="7389"/>
    <cellStyle name="Normal 184 4 2" xfId="34609"/>
    <cellStyle name="Normal 184 4 3" xfId="34610"/>
    <cellStyle name="Normal 184 5" xfId="7390"/>
    <cellStyle name="Normal 184 5 2" xfId="34611"/>
    <cellStyle name="Normal 184 5 3" xfId="34612"/>
    <cellStyle name="Normal 184 6" xfId="7391"/>
    <cellStyle name="Normal 184 7" xfId="34613"/>
    <cellStyle name="Normal 184 8" xfId="34614"/>
    <cellStyle name="Normal 184 9" xfId="34615"/>
    <cellStyle name="Normal 1840" xfId="7392"/>
    <cellStyle name="Normal 1840 2" xfId="7393"/>
    <cellStyle name="Normal 1840 2 2" xfId="7394"/>
    <cellStyle name="Normal 1840 2 3" xfId="7395"/>
    <cellStyle name="Normal 1840 3" xfId="7396"/>
    <cellStyle name="Normal 1840 4" xfId="7397"/>
    <cellStyle name="Normal 1840 5" xfId="34616"/>
    <cellStyle name="Normal 1841" xfId="7398"/>
    <cellStyle name="Normal 1841 2" xfId="7399"/>
    <cellStyle name="Normal 1841 2 2" xfId="7400"/>
    <cellStyle name="Normal 1841 2 3" xfId="7401"/>
    <cellStyle name="Normal 1841 3" xfId="7402"/>
    <cellStyle name="Normal 1841 4" xfId="7403"/>
    <cellStyle name="Normal 1841 5" xfId="34617"/>
    <cellStyle name="Normal 1842" xfId="7404"/>
    <cellStyle name="Normal 1842 2" xfId="7405"/>
    <cellStyle name="Normal 1842 2 2" xfId="7406"/>
    <cellStyle name="Normal 1842 2 3" xfId="7407"/>
    <cellStyle name="Normal 1842 3" xfId="7408"/>
    <cellStyle name="Normal 1842 4" xfId="7409"/>
    <cellStyle name="Normal 1842 5" xfId="34618"/>
    <cellStyle name="Normal 1843" xfId="7410"/>
    <cellStyle name="Normal 1843 2" xfId="7411"/>
    <cellStyle name="Normal 1843 2 2" xfId="7412"/>
    <cellStyle name="Normal 1843 2 3" xfId="7413"/>
    <cellStyle name="Normal 1843 3" xfId="7414"/>
    <cellStyle name="Normal 1843 4" xfId="7415"/>
    <cellStyle name="Normal 1843 5" xfId="34619"/>
    <cellStyle name="Normal 1844" xfId="7416"/>
    <cellStyle name="Normal 1844 2" xfId="7417"/>
    <cellStyle name="Normal 1844 2 2" xfId="7418"/>
    <cellStyle name="Normal 1844 2 3" xfId="7419"/>
    <cellStyle name="Normal 1844 3" xfId="7420"/>
    <cellStyle name="Normal 1844 4" xfId="7421"/>
    <cellStyle name="Normal 1844 5" xfId="34620"/>
    <cellStyle name="Normal 1845" xfId="7422"/>
    <cellStyle name="Normal 1845 2" xfId="7423"/>
    <cellStyle name="Normal 1845 2 2" xfId="7424"/>
    <cellStyle name="Normal 1845 2 3" xfId="7425"/>
    <cellStyle name="Normal 1845 3" xfId="7426"/>
    <cellStyle name="Normal 1845 4" xfId="7427"/>
    <cellStyle name="Normal 1845 5" xfId="34621"/>
    <cellStyle name="Normal 1846" xfId="7428"/>
    <cellStyle name="Normal 1846 2" xfId="7429"/>
    <cellStyle name="Normal 1846 2 2" xfId="7430"/>
    <cellStyle name="Normal 1846 2 3" xfId="7431"/>
    <cellStyle name="Normal 1846 3" xfId="7432"/>
    <cellStyle name="Normal 1846 4" xfId="7433"/>
    <cellStyle name="Normal 1846 5" xfId="34622"/>
    <cellStyle name="Normal 1847" xfId="7434"/>
    <cellStyle name="Normal 1847 2" xfId="7435"/>
    <cellStyle name="Normal 1847 2 2" xfId="7436"/>
    <cellStyle name="Normal 1847 2 3" xfId="7437"/>
    <cellStyle name="Normal 1847 3" xfId="7438"/>
    <cellStyle name="Normal 1847 4" xfId="7439"/>
    <cellStyle name="Normal 1847 5" xfId="34623"/>
    <cellStyle name="Normal 1848" xfId="7440"/>
    <cellStyle name="Normal 1848 2" xfId="7441"/>
    <cellStyle name="Normal 1848 2 2" xfId="7442"/>
    <cellStyle name="Normal 1848 2 3" xfId="7443"/>
    <cellStyle name="Normal 1848 3" xfId="7444"/>
    <cellStyle name="Normal 1848 4" xfId="7445"/>
    <cellStyle name="Normal 1848 5" xfId="34624"/>
    <cellStyle name="Normal 1849" xfId="7446"/>
    <cellStyle name="Normal 1849 2" xfId="7447"/>
    <cellStyle name="Normal 1849 2 2" xfId="7448"/>
    <cellStyle name="Normal 1849 2 3" xfId="7449"/>
    <cellStyle name="Normal 1849 3" xfId="7450"/>
    <cellStyle name="Normal 1849 4" xfId="7451"/>
    <cellStyle name="Normal 1849 5" xfId="34625"/>
    <cellStyle name="Normal 185" xfId="7452"/>
    <cellStyle name="Normal 185 10" xfId="34626"/>
    <cellStyle name="Normal 185 2" xfId="7453"/>
    <cellStyle name="Normal 185 2 2" xfId="7454"/>
    <cellStyle name="Normal 185 2 2 2" xfId="7455"/>
    <cellStyle name="Normal 185 2 2 3" xfId="7456"/>
    <cellStyle name="Normal 185 2 3" xfId="7457"/>
    <cellStyle name="Normal 185 2 3 2" xfId="34627"/>
    <cellStyle name="Normal 185 2 3 3" xfId="34628"/>
    <cellStyle name="Normal 185 2 4" xfId="7458"/>
    <cellStyle name="Normal 185 2 5" xfId="7459"/>
    <cellStyle name="Normal 185 2 6" xfId="34629"/>
    <cellStyle name="Normal 185 2 7" xfId="34630"/>
    <cellStyle name="Normal 185 2 8" xfId="34631"/>
    <cellStyle name="Normal 185 3" xfId="7460"/>
    <cellStyle name="Normal 185 3 2" xfId="7461"/>
    <cellStyle name="Normal 185 3 2 2" xfId="34632"/>
    <cellStyle name="Normal 185 3 2 3" xfId="34633"/>
    <cellStyle name="Normal 185 3 3" xfId="7462"/>
    <cellStyle name="Normal 185 3 3 2" xfId="34634"/>
    <cellStyle name="Normal 185 3 3 3" xfId="34635"/>
    <cellStyle name="Normal 185 3 4" xfId="34636"/>
    <cellStyle name="Normal 185 3 5" xfId="34637"/>
    <cellStyle name="Normal 185 4" xfId="7463"/>
    <cellStyle name="Normal 185 4 2" xfId="34638"/>
    <cellStyle name="Normal 185 4 3" xfId="34639"/>
    <cellStyle name="Normal 185 5" xfId="7464"/>
    <cellStyle name="Normal 185 5 2" xfId="34640"/>
    <cellStyle name="Normal 185 5 3" xfId="34641"/>
    <cellStyle name="Normal 185 6" xfId="7465"/>
    <cellStyle name="Normal 185 7" xfId="34642"/>
    <cellStyle name="Normal 185 8" xfId="34643"/>
    <cellStyle name="Normal 185 9" xfId="34644"/>
    <cellStyle name="Normal 1850" xfId="7466"/>
    <cellStyle name="Normal 1850 2" xfId="7467"/>
    <cellStyle name="Normal 1850 2 2" xfId="7468"/>
    <cellStyle name="Normal 1850 2 3" xfId="7469"/>
    <cellStyle name="Normal 1850 3" xfId="7470"/>
    <cellStyle name="Normal 1850 4" xfId="7471"/>
    <cellStyle name="Normal 1850 5" xfId="34645"/>
    <cellStyle name="Normal 1851" xfId="7472"/>
    <cellStyle name="Normal 1851 2" xfId="7473"/>
    <cellStyle name="Normal 1851 2 2" xfId="7474"/>
    <cellStyle name="Normal 1851 2 3" xfId="7475"/>
    <cellStyle name="Normal 1851 3" xfId="7476"/>
    <cellStyle name="Normal 1851 4" xfId="7477"/>
    <cellStyle name="Normal 1851 5" xfId="34646"/>
    <cellStyle name="Normal 1852" xfId="7478"/>
    <cellStyle name="Normal 1852 2" xfId="7479"/>
    <cellStyle name="Normal 1852 2 2" xfId="7480"/>
    <cellStyle name="Normal 1852 2 3" xfId="7481"/>
    <cellStyle name="Normal 1852 3" xfId="7482"/>
    <cellStyle name="Normal 1852 4" xfId="7483"/>
    <cellStyle name="Normal 1852 5" xfId="34647"/>
    <cellStyle name="Normal 1853" xfId="7484"/>
    <cellStyle name="Normal 1853 2" xfId="7485"/>
    <cellStyle name="Normal 1853 2 2" xfId="7486"/>
    <cellStyle name="Normal 1853 2 3" xfId="7487"/>
    <cellStyle name="Normal 1853 3" xfId="7488"/>
    <cellStyle name="Normal 1853 4" xfId="7489"/>
    <cellStyle name="Normal 1853 5" xfId="34648"/>
    <cellStyle name="Normal 1854" xfId="7490"/>
    <cellStyle name="Normal 1854 2" xfId="7491"/>
    <cellStyle name="Normal 1854 2 2" xfId="7492"/>
    <cellStyle name="Normal 1854 2 3" xfId="7493"/>
    <cellStyle name="Normal 1854 3" xfId="7494"/>
    <cellStyle name="Normal 1854 4" xfId="7495"/>
    <cellStyle name="Normal 1854 5" xfId="34649"/>
    <cellStyle name="Normal 1855" xfId="7496"/>
    <cellStyle name="Normal 1855 2" xfId="7497"/>
    <cellStyle name="Normal 1855 2 2" xfId="7498"/>
    <cellStyle name="Normal 1855 2 3" xfId="7499"/>
    <cellStyle name="Normal 1855 3" xfId="7500"/>
    <cellStyle name="Normal 1855 4" xfId="7501"/>
    <cellStyle name="Normal 1855 5" xfId="34650"/>
    <cellStyle name="Normal 1856" xfId="7502"/>
    <cellStyle name="Normal 1856 2" xfId="7503"/>
    <cellStyle name="Normal 1856 2 2" xfId="7504"/>
    <cellStyle name="Normal 1856 2 3" xfId="7505"/>
    <cellStyle name="Normal 1856 3" xfId="7506"/>
    <cellStyle name="Normal 1856 4" xfId="7507"/>
    <cellStyle name="Normal 1856 5" xfId="34651"/>
    <cellStyle name="Normal 1857" xfId="7508"/>
    <cellStyle name="Normal 1857 2" xfId="7509"/>
    <cellStyle name="Normal 1857 2 2" xfId="7510"/>
    <cellStyle name="Normal 1857 2 3" xfId="7511"/>
    <cellStyle name="Normal 1857 3" xfId="7512"/>
    <cellStyle name="Normal 1857 4" xfId="7513"/>
    <cellStyle name="Normal 1857 5" xfId="34652"/>
    <cellStyle name="Normal 1858" xfId="7514"/>
    <cellStyle name="Normal 1858 2" xfId="7515"/>
    <cellStyle name="Normal 1858 2 2" xfId="7516"/>
    <cellStyle name="Normal 1858 2 3" xfId="7517"/>
    <cellStyle name="Normal 1858 3" xfId="7518"/>
    <cellStyle name="Normal 1858 4" xfId="7519"/>
    <cellStyle name="Normal 1858 5" xfId="34653"/>
    <cellStyle name="Normal 1859" xfId="7520"/>
    <cellStyle name="Normal 1859 2" xfId="7521"/>
    <cellStyle name="Normal 1859 2 2" xfId="7522"/>
    <cellStyle name="Normal 1859 2 3" xfId="7523"/>
    <cellStyle name="Normal 1859 3" xfId="7524"/>
    <cellStyle name="Normal 1859 4" xfId="7525"/>
    <cellStyle name="Normal 1859 5" xfId="34654"/>
    <cellStyle name="Normal 186" xfId="7526"/>
    <cellStyle name="Normal 186 10" xfId="34655"/>
    <cellStyle name="Normal 186 2" xfId="7527"/>
    <cellStyle name="Normal 186 2 2" xfId="7528"/>
    <cellStyle name="Normal 186 2 2 2" xfId="7529"/>
    <cellStyle name="Normal 186 2 2 3" xfId="7530"/>
    <cellStyle name="Normal 186 2 3" xfId="7531"/>
    <cellStyle name="Normal 186 2 3 2" xfId="34656"/>
    <cellStyle name="Normal 186 2 3 3" xfId="34657"/>
    <cellStyle name="Normal 186 2 4" xfId="7532"/>
    <cellStyle name="Normal 186 2 5" xfId="7533"/>
    <cellStyle name="Normal 186 2 6" xfId="34658"/>
    <cellStyle name="Normal 186 2 7" xfId="34659"/>
    <cellStyle name="Normal 186 2 8" xfId="34660"/>
    <cellStyle name="Normal 186 3" xfId="7534"/>
    <cellStyle name="Normal 186 3 2" xfId="7535"/>
    <cellStyle name="Normal 186 3 2 2" xfId="34661"/>
    <cellStyle name="Normal 186 3 2 3" xfId="34662"/>
    <cellStyle name="Normal 186 3 3" xfId="7536"/>
    <cellStyle name="Normal 186 3 3 2" xfId="34663"/>
    <cellStyle name="Normal 186 3 3 3" xfId="34664"/>
    <cellStyle name="Normal 186 3 4" xfId="34665"/>
    <cellStyle name="Normal 186 3 5" xfId="34666"/>
    <cellStyle name="Normal 186 4" xfId="7537"/>
    <cellStyle name="Normal 186 4 2" xfId="34667"/>
    <cellStyle name="Normal 186 4 3" xfId="34668"/>
    <cellStyle name="Normal 186 5" xfId="7538"/>
    <cellStyle name="Normal 186 5 2" xfId="34669"/>
    <cellStyle name="Normal 186 5 3" xfId="34670"/>
    <cellStyle name="Normal 186 6" xfId="7539"/>
    <cellStyle name="Normal 186 7" xfId="34671"/>
    <cellStyle name="Normal 186 8" xfId="34672"/>
    <cellStyle name="Normal 186 9" xfId="34673"/>
    <cellStyle name="Normal 1860" xfId="7540"/>
    <cellStyle name="Normal 1860 2" xfId="7541"/>
    <cellStyle name="Normal 1860 2 2" xfId="7542"/>
    <cellStyle name="Normal 1860 2 3" xfId="7543"/>
    <cellStyle name="Normal 1860 3" xfId="7544"/>
    <cellStyle name="Normal 1860 4" xfId="7545"/>
    <cellStyle name="Normal 1860 5" xfId="34674"/>
    <cellStyle name="Normal 1861" xfId="7546"/>
    <cellStyle name="Normal 1861 2" xfId="7547"/>
    <cellStyle name="Normal 1861 2 2" xfId="7548"/>
    <cellStyle name="Normal 1861 2 3" xfId="7549"/>
    <cellStyle name="Normal 1861 3" xfId="7550"/>
    <cellStyle name="Normal 1861 4" xfId="7551"/>
    <cellStyle name="Normal 1861 5" xfId="34675"/>
    <cellStyle name="Normal 1862" xfId="7552"/>
    <cellStyle name="Normal 1862 2" xfId="7553"/>
    <cellStyle name="Normal 1862 2 2" xfId="7554"/>
    <cellStyle name="Normal 1862 2 3" xfId="7555"/>
    <cellStyle name="Normal 1862 3" xfId="7556"/>
    <cellStyle name="Normal 1862 4" xfId="7557"/>
    <cellStyle name="Normal 1862 5" xfId="34676"/>
    <cellStyle name="Normal 1863" xfId="7558"/>
    <cellStyle name="Normal 1863 2" xfId="7559"/>
    <cellStyle name="Normal 1863 2 2" xfId="7560"/>
    <cellStyle name="Normal 1863 2 3" xfId="7561"/>
    <cellStyle name="Normal 1863 3" xfId="7562"/>
    <cellStyle name="Normal 1863 4" xfId="7563"/>
    <cellStyle name="Normal 1863 5" xfId="34677"/>
    <cellStyle name="Normal 1864" xfId="7564"/>
    <cellStyle name="Normal 1864 2" xfId="7565"/>
    <cellStyle name="Normal 1864 2 2" xfId="7566"/>
    <cellStyle name="Normal 1864 2 3" xfId="7567"/>
    <cellStyle name="Normal 1864 3" xfId="7568"/>
    <cellStyle name="Normal 1864 4" xfId="7569"/>
    <cellStyle name="Normal 1864 5" xfId="34678"/>
    <cellStyle name="Normal 1865" xfId="7570"/>
    <cellStyle name="Normal 1865 2" xfId="7571"/>
    <cellStyle name="Normal 1865 2 2" xfId="7572"/>
    <cellStyle name="Normal 1865 2 3" xfId="7573"/>
    <cellStyle name="Normal 1865 3" xfId="7574"/>
    <cellStyle name="Normal 1865 4" xfId="7575"/>
    <cellStyle name="Normal 1865 5" xfId="34679"/>
    <cellStyle name="Normal 1866" xfId="7576"/>
    <cellStyle name="Normal 1866 2" xfId="7577"/>
    <cellStyle name="Normal 1866 2 2" xfId="7578"/>
    <cellStyle name="Normal 1866 2 3" xfId="7579"/>
    <cellStyle name="Normal 1866 3" xfId="7580"/>
    <cellStyle name="Normal 1866 4" xfId="7581"/>
    <cellStyle name="Normal 1866 5" xfId="34680"/>
    <cellStyle name="Normal 1867" xfId="7582"/>
    <cellStyle name="Normal 1867 2" xfId="7583"/>
    <cellStyle name="Normal 1867 2 2" xfId="7584"/>
    <cellStyle name="Normal 1867 2 3" xfId="7585"/>
    <cellStyle name="Normal 1867 3" xfId="7586"/>
    <cellStyle name="Normal 1867 4" xfId="7587"/>
    <cellStyle name="Normal 1867 5" xfId="34681"/>
    <cellStyle name="Normal 1868" xfId="7588"/>
    <cellStyle name="Normal 1868 2" xfId="7589"/>
    <cellStyle name="Normal 1868 2 2" xfId="7590"/>
    <cellStyle name="Normal 1868 2 3" xfId="7591"/>
    <cellStyle name="Normal 1868 3" xfId="7592"/>
    <cellStyle name="Normal 1868 4" xfId="7593"/>
    <cellStyle name="Normal 1868 5" xfId="34682"/>
    <cellStyle name="Normal 1869" xfId="7594"/>
    <cellStyle name="Normal 1869 2" xfId="7595"/>
    <cellStyle name="Normal 1869 2 2" xfId="7596"/>
    <cellStyle name="Normal 1869 2 3" xfId="7597"/>
    <cellStyle name="Normal 1869 3" xfId="7598"/>
    <cellStyle name="Normal 1869 4" xfId="7599"/>
    <cellStyle name="Normal 1869 5" xfId="34683"/>
    <cellStyle name="Normal 187" xfId="7600"/>
    <cellStyle name="Normal 187 10" xfId="34684"/>
    <cellStyle name="Normal 187 2" xfId="7601"/>
    <cellStyle name="Normal 187 2 2" xfId="7602"/>
    <cellStyle name="Normal 187 2 2 2" xfId="7603"/>
    <cellStyle name="Normal 187 2 2 3" xfId="7604"/>
    <cellStyle name="Normal 187 2 3" xfId="7605"/>
    <cellStyle name="Normal 187 2 3 2" xfId="34685"/>
    <cellStyle name="Normal 187 2 3 3" xfId="34686"/>
    <cellStyle name="Normal 187 2 4" xfId="7606"/>
    <cellStyle name="Normal 187 2 5" xfId="7607"/>
    <cellStyle name="Normal 187 2 6" xfId="34687"/>
    <cellStyle name="Normal 187 2 7" xfId="34688"/>
    <cellStyle name="Normal 187 2 8" xfId="34689"/>
    <cellStyle name="Normal 187 3" xfId="7608"/>
    <cellStyle name="Normal 187 3 2" xfId="7609"/>
    <cellStyle name="Normal 187 3 2 2" xfId="34690"/>
    <cellStyle name="Normal 187 3 2 3" xfId="34691"/>
    <cellStyle name="Normal 187 3 3" xfId="7610"/>
    <cellStyle name="Normal 187 3 3 2" xfId="34692"/>
    <cellStyle name="Normal 187 3 3 3" xfId="34693"/>
    <cellStyle name="Normal 187 3 4" xfId="34694"/>
    <cellStyle name="Normal 187 3 5" xfId="34695"/>
    <cellStyle name="Normal 187 4" xfId="7611"/>
    <cellStyle name="Normal 187 4 2" xfId="34696"/>
    <cellStyle name="Normal 187 4 3" xfId="34697"/>
    <cellStyle name="Normal 187 5" xfId="7612"/>
    <cellStyle name="Normal 187 5 2" xfId="34698"/>
    <cellStyle name="Normal 187 5 3" xfId="34699"/>
    <cellStyle name="Normal 187 6" xfId="7613"/>
    <cellStyle name="Normal 187 7" xfId="34700"/>
    <cellStyle name="Normal 187 8" xfId="34701"/>
    <cellStyle name="Normal 187 9" xfId="34702"/>
    <cellStyle name="Normal 1870" xfId="7614"/>
    <cellStyle name="Normal 1870 2" xfId="7615"/>
    <cellStyle name="Normal 1870 2 2" xfId="7616"/>
    <cellStyle name="Normal 1870 2 3" xfId="7617"/>
    <cellStyle name="Normal 1870 3" xfId="7618"/>
    <cellStyle name="Normal 1870 4" xfId="7619"/>
    <cellStyle name="Normal 1870 5" xfId="34703"/>
    <cellStyle name="Normal 1871" xfId="7620"/>
    <cellStyle name="Normal 1871 2" xfId="7621"/>
    <cellStyle name="Normal 1871 2 2" xfId="7622"/>
    <cellStyle name="Normal 1871 2 3" xfId="7623"/>
    <cellStyle name="Normal 1871 3" xfId="7624"/>
    <cellStyle name="Normal 1871 4" xfId="7625"/>
    <cellStyle name="Normal 1871 5" xfId="34704"/>
    <cellStyle name="Normal 1872" xfId="7626"/>
    <cellStyle name="Normal 1872 2" xfId="7627"/>
    <cellStyle name="Normal 1872 2 2" xfId="7628"/>
    <cellStyle name="Normal 1872 2 3" xfId="7629"/>
    <cellStyle name="Normal 1872 3" xfId="7630"/>
    <cellStyle name="Normal 1872 4" xfId="7631"/>
    <cellStyle name="Normal 1872 5" xfId="34705"/>
    <cellStyle name="Normal 1873" xfId="7632"/>
    <cellStyle name="Normal 1873 2" xfId="7633"/>
    <cellStyle name="Normal 1873 2 2" xfId="7634"/>
    <cellStyle name="Normal 1873 2 3" xfId="7635"/>
    <cellStyle name="Normal 1873 3" xfId="7636"/>
    <cellStyle name="Normal 1873 4" xfId="7637"/>
    <cellStyle name="Normal 1873 5" xfId="34706"/>
    <cellStyle name="Normal 1874" xfId="7638"/>
    <cellStyle name="Normal 1874 2" xfId="7639"/>
    <cellStyle name="Normal 1874 2 2" xfId="7640"/>
    <cellStyle name="Normal 1874 2 3" xfId="7641"/>
    <cellStyle name="Normal 1874 3" xfId="7642"/>
    <cellStyle name="Normal 1874 4" xfId="7643"/>
    <cellStyle name="Normal 1874 5" xfId="34707"/>
    <cellStyle name="Normal 1875" xfId="7644"/>
    <cellStyle name="Normal 1875 2" xfId="7645"/>
    <cellStyle name="Normal 1875 2 2" xfId="7646"/>
    <cellStyle name="Normal 1875 2 3" xfId="7647"/>
    <cellStyle name="Normal 1875 3" xfId="7648"/>
    <cellStyle name="Normal 1875 4" xfId="7649"/>
    <cellStyle name="Normal 1875 5" xfId="34708"/>
    <cellStyle name="Normal 1876" xfId="7650"/>
    <cellStyle name="Normal 1876 2" xfId="7651"/>
    <cellStyle name="Normal 1876 2 2" xfId="7652"/>
    <cellStyle name="Normal 1876 2 3" xfId="7653"/>
    <cellStyle name="Normal 1876 3" xfId="7654"/>
    <cellStyle name="Normal 1876 4" xfId="7655"/>
    <cellStyle name="Normal 1876 5" xfId="34709"/>
    <cellStyle name="Normal 1877" xfId="7656"/>
    <cellStyle name="Normal 1877 2" xfId="7657"/>
    <cellStyle name="Normal 1877 2 2" xfId="7658"/>
    <cellStyle name="Normal 1877 2 3" xfId="7659"/>
    <cellStyle name="Normal 1877 3" xfId="7660"/>
    <cellStyle name="Normal 1877 4" xfId="7661"/>
    <cellStyle name="Normal 1877 5" xfId="34710"/>
    <cellStyle name="Normal 1878" xfId="7662"/>
    <cellStyle name="Normal 1878 2" xfId="7663"/>
    <cellStyle name="Normal 1878 2 2" xfId="7664"/>
    <cellStyle name="Normal 1878 2 3" xfId="7665"/>
    <cellStyle name="Normal 1878 3" xfId="7666"/>
    <cellStyle name="Normal 1878 4" xfId="7667"/>
    <cellStyle name="Normal 1878 5" xfId="34711"/>
    <cellStyle name="Normal 1879" xfId="7668"/>
    <cellStyle name="Normal 1879 2" xfId="7669"/>
    <cellStyle name="Normal 1879 2 2" xfId="7670"/>
    <cellStyle name="Normal 1879 2 3" xfId="7671"/>
    <cellStyle name="Normal 1879 3" xfId="7672"/>
    <cellStyle name="Normal 1879 4" xfId="7673"/>
    <cellStyle name="Normal 1879 5" xfId="34712"/>
    <cellStyle name="Normal 188" xfId="7674"/>
    <cellStyle name="Normal 188 10" xfId="34713"/>
    <cellStyle name="Normal 188 2" xfId="7675"/>
    <cellStyle name="Normal 188 2 2" xfId="7676"/>
    <cellStyle name="Normal 188 2 2 2" xfId="7677"/>
    <cellStyle name="Normal 188 2 2 3" xfId="7678"/>
    <cellStyle name="Normal 188 2 3" xfId="7679"/>
    <cellStyle name="Normal 188 2 3 2" xfId="34714"/>
    <cellStyle name="Normal 188 2 3 3" xfId="34715"/>
    <cellStyle name="Normal 188 2 4" xfId="7680"/>
    <cellStyle name="Normal 188 2 5" xfId="7681"/>
    <cellStyle name="Normal 188 2 6" xfId="34716"/>
    <cellStyle name="Normal 188 2 7" xfId="34717"/>
    <cellStyle name="Normal 188 2 8" xfId="34718"/>
    <cellStyle name="Normal 188 3" xfId="7682"/>
    <cellStyle name="Normal 188 3 2" xfId="7683"/>
    <cellStyle name="Normal 188 3 2 2" xfId="34719"/>
    <cellStyle name="Normal 188 3 2 3" xfId="34720"/>
    <cellStyle name="Normal 188 3 3" xfId="7684"/>
    <cellStyle name="Normal 188 3 3 2" xfId="34721"/>
    <cellStyle name="Normal 188 3 3 3" xfId="34722"/>
    <cellStyle name="Normal 188 3 4" xfId="34723"/>
    <cellStyle name="Normal 188 3 5" xfId="34724"/>
    <cellStyle name="Normal 188 4" xfId="7685"/>
    <cellStyle name="Normal 188 4 2" xfId="34725"/>
    <cellStyle name="Normal 188 4 3" xfId="34726"/>
    <cellStyle name="Normal 188 5" xfId="7686"/>
    <cellStyle name="Normal 188 5 2" xfId="34727"/>
    <cellStyle name="Normal 188 5 3" xfId="34728"/>
    <cellStyle name="Normal 188 6" xfId="7687"/>
    <cellStyle name="Normal 188 7" xfId="34729"/>
    <cellStyle name="Normal 188 8" xfId="34730"/>
    <cellStyle name="Normal 188 9" xfId="34731"/>
    <cellStyle name="Normal 1880" xfId="7688"/>
    <cellStyle name="Normal 1880 2" xfId="7689"/>
    <cellStyle name="Normal 1880 2 2" xfId="7690"/>
    <cellStyle name="Normal 1880 2 3" xfId="7691"/>
    <cellStyle name="Normal 1880 3" xfId="7692"/>
    <cellStyle name="Normal 1880 4" xfId="7693"/>
    <cellStyle name="Normal 1880 5" xfId="34732"/>
    <cellStyle name="Normal 1881" xfId="7694"/>
    <cellStyle name="Normal 1881 2" xfId="7695"/>
    <cellStyle name="Normal 1881 2 2" xfId="7696"/>
    <cellStyle name="Normal 1881 2 3" xfId="7697"/>
    <cellStyle name="Normal 1881 3" xfId="7698"/>
    <cellStyle name="Normal 1881 4" xfId="7699"/>
    <cellStyle name="Normal 1881 5" xfId="34733"/>
    <cellStyle name="Normal 1882" xfId="7700"/>
    <cellStyle name="Normal 1882 2" xfId="7701"/>
    <cellStyle name="Normal 1882 2 2" xfId="7702"/>
    <cellStyle name="Normal 1882 2 3" xfId="7703"/>
    <cellStyle name="Normal 1882 3" xfId="7704"/>
    <cellStyle name="Normal 1882 4" xfId="7705"/>
    <cellStyle name="Normal 1882 5" xfId="34734"/>
    <cellStyle name="Normal 1883" xfId="7706"/>
    <cellStyle name="Normal 1883 2" xfId="7707"/>
    <cellStyle name="Normal 1883 2 2" xfId="7708"/>
    <cellStyle name="Normal 1883 2 3" xfId="7709"/>
    <cellStyle name="Normal 1883 3" xfId="7710"/>
    <cellStyle name="Normal 1883 4" xfId="7711"/>
    <cellStyle name="Normal 1883 5" xfId="34735"/>
    <cellStyle name="Normal 1884" xfId="7712"/>
    <cellStyle name="Normal 1884 2" xfId="7713"/>
    <cellStyle name="Normal 1884 2 2" xfId="7714"/>
    <cellStyle name="Normal 1884 2 3" xfId="7715"/>
    <cellStyle name="Normal 1884 3" xfId="7716"/>
    <cellStyle name="Normal 1884 4" xfId="7717"/>
    <cellStyle name="Normal 1884 5" xfId="34736"/>
    <cellStyle name="Normal 1885" xfId="7718"/>
    <cellStyle name="Normal 1885 2" xfId="7719"/>
    <cellStyle name="Normal 1885 2 2" xfId="7720"/>
    <cellStyle name="Normal 1885 2 3" xfId="7721"/>
    <cellStyle name="Normal 1885 3" xfId="7722"/>
    <cellStyle name="Normal 1885 4" xfId="7723"/>
    <cellStyle name="Normal 1885 5" xfId="34737"/>
    <cellStyle name="Normal 1886" xfId="7724"/>
    <cellStyle name="Normal 1886 2" xfId="7725"/>
    <cellStyle name="Normal 1886 2 2" xfId="7726"/>
    <cellStyle name="Normal 1886 2 3" xfId="7727"/>
    <cellStyle name="Normal 1886 3" xfId="7728"/>
    <cellStyle name="Normal 1886 4" xfId="7729"/>
    <cellStyle name="Normal 1886 5" xfId="34738"/>
    <cellStyle name="Normal 1887" xfId="7730"/>
    <cellStyle name="Normal 1887 2" xfId="7731"/>
    <cellStyle name="Normal 1887 2 2" xfId="7732"/>
    <cellStyle name="Normal 1887 2 3" xfId="7733"/>
    <cellStyle name="Normal 1887 3" xfId="7734"/>
    <cellStyle name="Normal 1887 4" xfId="7735"/>
    <cellStyle name="Normal 1887 5" xfId="34739"/>
    <cellStyle name="Normal 1888" xfId="7736"/>
    <cellStyle name="Normal 1888 2" xfId="7737"/>
    <cellStyle name="Normal 1888 2 2" xfId="7738"/>
    <cellStyle name="Normal 1888 2 3" xfId="7739"/>
    <cellStyle name="Normal 1888 3" xfId="7740"/>
    <cellStyle name="Normal 1888 4" xfId="7741"/>
    <cellStyle name="Normal 1888 5" xfId="34740"/>
    <cellStyle name="Normal 1889" xfId="7742"/>
    <cellStyle name="Normal 1889 2" xfId="7743"/>
    <cellStyle name="Normal 1889 2 2" xfId="7744"/>
    <cellStyle name="Normal 1889 2 3" xfId="7745"/>
    <cellStyle name="Normal 1889 3" xfId="7746"/>
    <cellStyle name="Normal 1889 4" xfId="7747"/>
    <cellStyle name="Normal 1889 5" xfId="34741"/>
    <cellStyle name="Normal 189" xfId="7748"/>
    <cellStyle name="Normal 189 10" xfId="34742"/>
    <cellStyle name="Normal 189 2" xfId="7749"/>
    <cellStyle name="Normal 189 2 2" xfId="7750"/>
    <cellStyle name="Normal 189 2 2 2" xfId="7751"/>
    <cellStyle name="Normal 189 2 2 3" xfId="7752"/>
    <cellStyle name="Normal 189 2 3" xfId="7753"/>
    <cellStyle name="Normal 189 2 3 2" xfId="34743"/>
    <cellStyle name="Normal 189 2 3 3" xfId="34744"/>
    <cellStyle name="Normal 189 2 4" xfId="7754"/>
    <cellStyle name="Normal 189 2 5" xfId="7755"/>
    <cellStyle name="Normal 189 2 6" xfId="34745"/>
    <cellStyle name="Normal 189 2 7" xfId="34746"/>
    <cellStyle name="Normal 189 2 8" xfId="34747"/>
    <cellStyle name="Normal 189 3" xfId="7756"/>
    <cellStyle name="Normal 189 3 2" xfId="7757"/>
    <cellStyle name="Normal 189 3 2 2" xfId="34748"/>
    <cellStyle name="Normal 189 3 2 3" xfId="34749"/>
    <cellStyle name="Normal 189 3 3" xfId="7758"/>
    <cellStyle name="Normal 189 3 3 2" xfId="34750"/>
    <cellStyle name="Normal 189 3 3 3" xfId="34751"/>
    <cellStyle name="Normal 189 3 4" xfId="34752"/>
    <cellStyle name="Normal 189 3 5" xfId="34753"/>
    <cellStyle name="Normal 189 4" xfId="7759"/>
    <cellStyle name="Normal 189 4 2" xfId="34754"/>
    <cellStyle name="Normal 189 4 3" xfId="34755"/>
    <cellStyle name="Normal 189 5" xfId="7760"/>
    <cellStyle name="Normal 189 5 2" xfId="34756"/>
    <cellStyle name="Normal 189 5 3" xfId="34757"/>
    <cellStyle name="Normal 189 6" xfId="7761"/>
    <cellStyle name="Normal 189 7" xfId="34758"/>
    <cellStyle name="Normal 189 8" xfId="34759"/>
    <cellStyle name="Normal 189 9" xfId="34760"/>
    <cellStyle name="Normal 1890" xfId="7762"/>
    <cellStyle name="Normal 1890 2" xfId="7763"/>
    <cellStyle name="Normal 1890 2 2" xfId="7764"/>
    <cellStyle name="Normal 1890 2 3" xfId="7765"/>
    <cellStyle name="Normal 1890 3" xfId="7766"/>
    <cellStyle name="Normal 1890 4" xfId="7767"/>
    <cellStyle name="Normal 1890 5" xfId="34761"/>
    <cellStyle name="Normal 1891" xfId="7768"/>
    <cellStyle name="Normal 1891 2" xfId="7769"/>
    <cellStyle name="Normal 1891 2 2" xfId="7770"/>
    <cellStyle name="Normal 1891 2 3" xfId="7771"/>
    <cellStyle name="Normal 1891 3" xfId="7772"/>
    <cellStyle name="Normal 1891 4" xfId="7773"/>
    <cellStyle name="Normal 1891 5" xfId="34762"/>
    <cellStyle name="Normal 1892" xfId="7774"/>
    <cellStyle name="Normal 1892 2" xfId="7775"/>
    <cellStyle name="Normal 1892 2 2" xfId="7776"/>
    <cellStyle name="Normal 1892 2 3" xfId="7777"/>
    <cellStyle name="Normal 1892 3" xfId="7778"/>
    <cellStyle name="Normal 1892 4" xfId="7779"/>
    <cellStyle name="Normal 1892 5" xfId="34763"/>
    <cellStyle name="Normal 1893" xfId="7780"/>
    <cellStyle name="Normal 1893 2" xfId="7781"/>
    <cellStyle name="Normal 1893 2 2" xfId="7782"/>
    <cellStyle name="Normal 1893 2 3" xfId="7783"/>
    <cellStyle name="Normal 1893 3" xfId="7784"/>
    <cellStyle name="Normal 1893 4" xfId="7785"/>
    <cellStyle name="Normal 1893 5" xfId="34764"/>
    <cellStyle name="Normal 1894" xfId="7786"/>
    <cellStyle name="Normal 1894 2" xfId="7787"/>
    <cellStyle name="Normal 1894 2 2" xfId="7788"/>
    <cellStyle name="Normal 1894 2 3" xfId="7789"/>
    <cellStyle name="Normal 1894 3" xfId="7790"/>
    <cellStyle name="Normal 1894 4" xfId="7791"/>
    <cellStyle name="Normal 1894 5" xfId="34765"/>
    <cellStyle name="Normal 1895" xfId="7792"/>
    <cellStyle name="Normal 1895 2" xfId="7793"/>
    <cellStyle name="Normal 1895 2 2" xfId="7794"/>
    <cellStyle name="Normal 1895 2 3" xfId="7795"/>
    <cellStyle name="Normal 1895 3" xfId="7796"/>
    <cellStyle name="Normal 1895 4" xfId="7797"/>
    <cellStyle name="Normal 1895 5" xfId="34766"/>
    <cellStyle name="Normal 1896" xfId="7798"/>
    <cellStyle name="Normal 1896 2" xfId="7799"/>
    <cellStyle name="Normal 1896 2 2" xfId="7800"/>
    <cellStyle name="Normal 1896 2 3" xfId="7801"/>
    <cellStyle name="Normal 1896 3" xfId="7802"/>
    <cellStyle name="Normal 1896 4" xfId="7803"/>
    <cellStyle name="Normal 1896 5" xfId="34767"/>
    <cellStyle name="Normal 1897" xfId="7804"/>
    <cellStyle name="Normal 1897 2" xfId="7805"/>
    <cellStyle name="Normal 1897 2 2" xfId="7806"/>
    <cellStyle name="Normal 1897 2 3" xfId="7807"/>
    <cellStyle name="Normal 1897 3" xfId="7808"/>
    <cellStyle name="Normal 1897 4" xfId="7809"/>
    <cellStyle name="Normal 1897 5" xfId="34768"/>
    <cellStyle name="Normal 1898" xfId="7810"/>
    <cellStyle name="Normal 1898 2" xfId="7811"/>
    <cellStyle name="Normal 1898 2 2" xfId="7812"/>
    <cellStyle name="Normal 1898 2 3" xfId="7813"/>
    <cellStyle name="Normal 1898 3" xfId="7814"/>
    <cellStyle name="Normal 1898 4" xfId="7815"/>
    <cellStyle name="Normal 1898 5" xfId="34769"/>
    <cellStyle name="Normal 1899" xfId="7816"/>
    <cellStyle name="Normal 1899 2" xfId="7817"/>
    <cellStyle name="Normal 1899 2 2" xfId="7818"/>
    <cellStyle name="Normal 1899 2 3" xfId="7819"/>
    <cellStyle name="Normal 1899 3" xfId="7820"/>
    <cellStyle name="Normal 1899 4" xfId="7821"/>
    <cellStyle name="Normal 1899 5" xfId="34770"/>
    <cellStyle name="Normal 19" xfId="7822"/>
    <cellStyle name="Normal 19 10" xfId="34771"/>
    <cellStyle name="Normal 19 2" xfId="7823"/>
    <cellStyle name="Normal 19 2 2" xfId="7824"/>
    <cellStyle name="Normal 19 2 2 2" xfId="7825"/>
    <cellStyle name="Normal 19 2 2 3" xfId="7826"/>
    <cellStyle name="Normal 19 2 3" xfId="7827"/>
    <cellStyle name="Normal 19 2 3 2" xfId="34772"/>
    <cellStyle name="Normal 19 2 3 3" xfId="34773"/>
    <cellStyle name="Normal 19 2 4" xfId="7828"/>
    <cellStyle name="Normal 19 2 5" xfId="7829"/>
    <cellStyle name="Normal 19 2 6" xfId="34774"/>
    <cellStyle name="Normal 19 2 7" xfId="34775"/>
    <cellStyle name="Normal 19 2 8" xfId="34776"/>
    <cellStyle name="Normal 19 3" xfId="7830"/>
    <cellStyle name="Normal 19 3 2" xfId="7831"/>
    <cellStyle name="Normal 19 3 2 2" xfId="34777"/>
    <cellStyle name="Normal 19 3 2 3" xfId="34778"/>
    <cellStyle name="Normal 19 3 3" xfId="7832"/>
    <cellStyle name="Normal 19 3 3 2" xfId="34779"/>
    <cellStyle name="Normal 19 3 3 3" xfId="34780"/>
    <cellStyle name="Normal 19 3 4" xfId="7833"/>
    <cellStyle name="Normal 19 3 5" xfId="34781"/>
    <cellStyle name="Normal 19 4" xfId="7834"/>
    <cellStyle name="Normal 19 4 2" xfId="34782"/>
    <cellStyle name="Normal 19 4 3" xfId="34783"/>
    <cellStyle name="Normal 19 5" xfId="7835"/>
    <cellStyle name="Normal 19 5 2" xfId="34784"/>
    <cellStyle name="Normal 19 5 3" xfId="34785"/>
    <cellStyle name="Normal 19 6" xfId="7836"/>
    <cellStyle name="Normal 19 7" xfId="34786"/>
    <cellStyle name="Normal 19 8" xfId="34787"/>
    <cellStyle name="Normal 19 9" xfId="34788"/>
    <cellStyle name="Normal 190" xfId="7837"/>
    <cellStyle name="Normal 190 10" xfId="34789"/>
    <cellStyle name="Normal 190 2" xfId="7838"/>
    <cellStyle name="Normal 190 2 2" xfId="7839"/>
    <cellStyle name="Normal 190 2 2 2" xfId="7840"/>
    <cellStyle name="Normal 190 2 2 3" xfId="7841"/>
    <cellStyle name="Normal 190 2 3" xfId="7842"/>
    <cellStyle name="Normal 190 2 3 2" xfId="34790"/>
    <cellStyle name="Normal 190 2 3 3" xfId="34791"/>
    <cellStyle name="Normal 190 2 4" xfId="7843"/>
    <cellStyle name="Normal 190 2 5" xfId="7844"/>
    <cellStyle name="Normal 190 2 6" xfId="34792"/>
    <cellStyle name="Normal 190 2 7" xfId="34793"/>
    <cellStyle name="Normal 190 2 8" xfId="34794"/>
    <cellStyle name="Normal 190 3" xfId="7845"/>
    <cellStyle name="Normal 190 3 2" xfId="7846"/>
    <cellStyle name="Normal 190 3 2 2" xfId="34795"/>
    <cellStyle name="Normal 190 3 2 3" xfId="34796"/>
    <cellStyle name="Normal 190 3 3" xfId="7847"/>
    <cellStyle name="Normal 190 3 3 2" xfId="34797"/>
    <cellStyle name="Normal 190 3 3 3" xfId="34798"/>
    <cellStyle name="Normal 190 3 4" xfId="34799"/>
    <cellStyle name="Normal 190 3 5" xfId="34800"/>
    <cellStyle name="Normal 190 4" xfId="7848"/>
    <cellStyle name="Normal 190 4 2" xfId="34801"/>
    <cellStyle name="Normal 190 4 3" xfId="34802"/>
    <cellStyle name="Normal 190 5" xfId="7849"/>
    <cellStyle name="Normal 190 5 2" xfId="34803"/>
    <cellStyle name="Normal 190 5 3" xfId="34804"/>
    <cellStyle name="Normal 190 6" xfId="7850"/>
    <cellStyle name="Normal 190 7" xfId="34805"/>
    <cellStyle name="Normal 190 8" xfId="34806"/>
    <cellStyle name="Normal 190 9" xfId="34807"/>
    <cellStyle name="Normal 1900" xfId="7851"/>
    <cellStyle name="Normal 1900 2" xfId="7852"/>
    <cellStyle name="Normal 1900 2 2" xfId="7853"/>
    <cellStyle name="Normal 1900 2 3" xfId="7854"/>
    <cellStyle name="Normal 1900 3" xfId="7855"/>
    <cellStyle name="Normal 1900 4" xfId="7856"/>
    <cellStyle name="Normal 1900 5" xfId="34808"/>
    <cellStyle name="Normal 1901" xfId="7857"/>
    <cellStyle name="Normal 1901 2" xfId="7858"/>
    <cellStyle name="Normal 1901 2 2" xfId="7859"/>
    <cellStyle name="Normal 1901 2 3" xfId="7860"/>
    <cellStyle name="Normal 1901 3" xfId="7861"/>
    <cellStyle name="Normal 1901 4" xfId="7862"/>
    <cellStyle name="Normal 1901 5" xfId="34809"/>
    <cellStyle name="Normal 1902" xfId="7863"/>
    <cellStyle name="Normal 1902 2" xfId="7864"/>
    <cellStyle name="Normal 1902 2 2" xfId="7865"/>
    <cellStyle name="Normal 1902 2 3" xfId="7866"/>
    <cellStyle name="Normal 1902 3" xfId="7867"/>
    <cellStyle name="Normal 1902 4" xfId="7868"/>
    <cellStyle name="Normal 1902 5" xfId="34810"/>
    <cellStyle name="Normal 1903" xfId="7869"/>
    <cellStyle name="Normal 1903 2" xfId="7870"/>
    <cellStyle name="Normal 1903 2 2" xfId="7871"/>
    <cellStyle name="Normal 1903 2 3" xfId="7872"/>
    <cellStyle name="Normal 1903 3" xfId="7873"/>
    <cellStyle name="Normal 1903 4" xfId="7874"/>
    <cellStyle name="Normal 1903 5" xfId="34811"/>
    <cellStyle name="Normal 1904" xfId="7875"/>
    <cellStyle name="Normal 1904 2" xfId="7876"/>
    <cellStyle name="Normal 1904 2 2" xfId="7877"/>
    <cellStyle name="Normal 1904 2 3" xfId="7878"/>
    <cellStyle name="Normal 1904 3" xfId="7879"/>
    <cellStyle name="Normal 1904 4" xfId="7880"/>
    <cellStyle name="Normal 1904 5" xfId="34812"/>
    <cellStyle name="Normal 1905" xfId="7881"/>
    <cellStyle name="Normal 1905 2" xfId="7882"/>
    <cellStyle name="Normal 1905 2 2" xfId="7883"/>
    <cellStyle name="Normal 1905 2 3" xfId="7884"/>
    <cellStyle name="Normal 1905 3" xfId="7885"/>
    <cellStyle name="Normal 1905 4" xfId="7886"/>
    <cellStyle name="Normal 1905 5" xfId="34813"/>
    <cellStyle name="Normal 1906" xfId="7887"/>
    <cellStyle name="Normal 1906 2" xfId="7888"/>
    <cellStyle name="Normal 1906 2 2" xfId="7889"/>
    <cellStyle name="Normal 1906 2 3" xfId="7890"/>
    <cellStyle name="Normal 1906 3" xfId="7891"/>
    <cellStyle name="Normal 1906 4" xfId="7892"/>
    <cellStyle name="Normal 1906 5" xfId="34814"/>
    <cellStyle name="Normal 1907" xfId="7893"/>
    <cellStyle name="Normal 1907 2" xfId="7894"/>
    <cellStyle name="Normal 1907 2 2" xfId="7895"/>
    <cellStyle name="Normal 1907 2 3" xfId="7896"/>
    <cellStyle name="Normal 1907 3" xfId="7897"/>
    <cellStyle name="Normal 1907 4" xfId="7898"/>
    <cellStyle name="Normal 1907 5" xfId="34815"/>
    <cellStyle name="Normal 1908" xfId="7899"/>
    <cellStyle name="Normal 1908 2" xfId="7900"/>
    <cellStyle name="Normal 1908 2 2" xfId="7901"/>
    <cellStyle name="Normal 1908 2 3" xfId="7902"/>
    <cellStyle name="Normal 1908 3" xfId="7903"/>
    <cellStyle name="Normal 1908 4" xfId="7904"/>
    <cellStyle name="Normal 1908 5" xfId="34816"/>
    <cellStyle name="Normal 1909" xfId="7905"/>
    <cellStyle name="Normal 1909 2" xfId="7906"/>
    <cellStyle name="Normal 1909 2 2" xfId="7907"/>
    <cellStyle name="Normal 1909 2 3" xfId="7908"/>
    <cellStyle name="Normal 1909 3" xfId="7909"/>
    <cellStyle name="Normal 1909 4" xfId="7910"/>
    <cellStyle name="Normal 1909 5" xfId="34817"/>
    <cellStyle name="Normal 191" xfId="7911"/>
    <cellStyle name="Normal 191 10" xfId="34818"/>
    <cellStyle name="Normal 191 2" xfId="7912"/>
    <cellStyle name="Normal 191 2 2" xfId="7913"/>
    <cellStyle name="Normal 191 2 2 2" xfId="7914"/>
    <cellStyle name="Normal 191 2 2 3" xfId="7915"/>
    <cellStyle name="Normal 191 2 3" xfId="7916"/>
    <cellStyle name="Normal 191 2 3 2" xfId="34819"/>
    <cellStyle name="Normal 191 2 3 3" xfId="34820"/>
    <cellStyle name="Normal 191 2 4" xfId="7917"/>
    <cellStyle name="Normal 191 2 5" xfId="7918"/>
    <cellStyle name="Normal 191 2 6" xfId="34821"/>
    <cellStyle name="Normal 191 2 7" xfId="34822"/>
    <cellStyle name="Normal 191 2 8" xfId="34823"/>
    <cellStyle name="Normal 191 3" xfId="7919"/>
    <cellStyle name="Normal 191 3 2" xfId="7920"/>
    <cellStyle name="Normal 191 3 2 2" xfId="34824"/>
    <cellStyle name="Normal 191 3 2 3" xfId="34825"/>
    <cellStyle name="Normal 191 3 3" xfId="7921"/>
    <cellStyle name="Normal 191 3 3 2" xfId="34826"/>
    <cellStyle name="Normal 191 3 3 3" xfId="34827"/>
    <cellStyle name="Normal 191 3 4" xfId="34828"/>
    <cellStyle name="Normal 191 3 5" xfId="34829"/>
    <cellStyle name="Normal 191 4" xfId="7922"/>
    <cellStyle name="Normal 191 4 2" xfId="34830"/>
    <cellStyle name="Normal 191 4 3" xfId="34831"/>
    <cellStyle name="Normal 191 5" xfId="7923"/>
    <cellStyle name="Normal 191 5 2" xfId="34832"/>
    <cellStyle name="Normal 191 5 3" xfId="34833"/>
    <cellStyle name="Normal 191 6" xfId="7924"/>
    <cellStyle name="Normal 191 7" xfId="34834"/>
    <cellStyle name="Normal 191 8" xfId="34835"/>
    <cellStyle name="Normal 191 9" xfId="34836"/>
    <cellStyle name="Normal 1910" xfId="7925"/>
    <cellStyle name="Normal 1910 2" xfId="7926"/>
    <cellStyle name="Normal 1910 2 2" xfId="7927"/>
    <cellStyle name="Normal 1910 2 3" xfId="7928"/>
    <cellStyle name="Normal 1910 3" xfId="7929"/>
    <cellStyle name="Normal 1910 4" xfId="7930"/>
    <cellStyle name="Normal 1910 5" xfId="34837"/>
    <cellStyle name="Normal 1911" xfId="7931"/>
    <cellStyle name="Normal 1911 2" xfId="7932"/>
    <cellStyle name="Normal 1911 2 2" xfId="7933"/>
    <cellStyle name="Normal 1911 2 3" xfId="7934"/>
    <cellStyle name="Normal 1911 3" xfId="7935"/>
    <cellStyle name="Normal 1911 4" xfId="7936"/>
    <cellStyle name="Normal 1911 5" xfId="34838"/>
    <cellStyle name="Normal 1912" xfId="7937"/>
    <cellStyle name="Normal 1912 2" xfId="7938"/>
    <cellStyle name="Normal 1912 2 2" xfId="7939"/>
    <cellStyle name="Normal 1912 2 3" xfId="7940"/>
    <cellStyle name="Normal 1912 3" xfId="7941"/>
    <cellStyle name="Normal 1912 4" xfId="7942"/>
    <cellStyle name="Normal 1912 5" xfId="34839"/>
    <cellStyle name="Normal 1913" xfId="7943"/>
    <cellStyle name="Normal 1913 2" xfId="7944"/>
    <cellStyle name="Normal 1913 2 2" xfId="7945"/>
    <cellStyle name="Normal 1913 2 3" xfId="7946"/>
    <cellStyle name="Normal 1913 3" xfId="7947"/>
    <cellStyle name="Normal 1913 4" xfId="7948"/>
    <cellStyle name="Normal 1913 5" xfId="34840"/>
    <cellStyle name="Normal 1914" xfId="7949"/>
    <cellStyle name="Normal 1914 2" xfId="7950"/>
    <cellStyle name="Normal 1914 2 2" xfId="7951"/>
    <cellStyle name="Normal 1914 2 3" xfId="7952"/>
    <cellStyle name="Normal 1914 3" xfId="7953"/>
    <cellStyle name="Normal 1914 4" xfId="7954"/>
    <cellStyle name="Normal 1914 5" xfId="34841"/>
    <cellStyle name="Normal 1915" xfId="7955"/>
    <cellStyle name="Normal 1915 2" xfId="7956"/>
    <cellStyle name="Normal 1915 2 2" xfId="7957"/>
    <cellStyle name="Normal 1915 2 3" xfId="7958"/>
    <cellStyle name="Normal 1915 3" xfId="7959"/>
    <cellStyle name="Normal 1915 4" xfId="7960"/>
    <cellStyle name="Normal 1915 5" xfId="34842"/>
    <cellStyle name="Normal 1916" xfId="7961"/>
    <cellStyle name="Normal 1916 2" xfId="7962"/>
    <cellStyle name="Normal 1916 2 2" xfId="7963"/>
    <cellStyle name="Normal 1916 2 3" xfId="7964"/>
    <cellStyle name="Normal 1916 3" xfId="7965"/>
    <cellStyle name="Normal 1916 4" xfId="7966"/>
    <cellStyle name="Normal 1916 5" xfId="34843"/>
    <cellStyle name="Normal 1917" xfId="7967"/>
    <cellStyle name="Normal 1917 2" xfId="7968"/>
    <cellStyle name="Normal 1917 2 2" xfId="7969"/>
    <cellStyle name="Normal 1917 2 3" xfId="7970"/>
    <cellStyle name="Normal 1917 3" xfId="7971"/>
    <cellStyle name="Normal 1917 4" xfId="7972"/>
    <cellStyle name="Normal 1917 5" xfId="34844"/>
    <cellStyle name="Normal 1918" xfId="7973"/>
    <cellStyle name="Normal 1918 2" xfId="7974"/>
    <cellStyle name="Normal 1918 2 2" xfId="7975"/>
    <cellStyle name="Normal 1918 2 3" xfId="7976"/>
    <cellStyle name="Normal 1918 3" xfId="7977"/>
    <cellStyle name="Normal 1918 4" xfId="7978"/>
    <cellStyle name="Normal 1918 5" xfId="34845"/>
    <cellStyle name="Normal 1919" xfId="7979"/>
    <cellStyle name="Normal 1919 2" xfId="7980"/>
    <cellStyle name="Normal 1919 2 2" xfId="7981"/>
    <cellStyle name="Normal 1919 2 3" xfId="7982"/>
    <cellStyle name="Normal 1919 3" xfId="7983"/>
    <cellStyle name="Normal 1919 4" xfId="7984"/>
    <cellStyle name="Normal 1919 5" xfId="34846"/>
    <cellStyle name="Normal 192" xfId="7985"/>
    <cellStyle name="Normal 192 10" xfId="34847"/>
    <cellStyle name="Normal 192 2" xfId="7986"/>
    <cellStyle name="Normal 192 2 2" xfId="7987"/>
    <cellStyle name="Normal 192 2 2 2" xfId="7988"/>
    <cellStyle name="Normal 192 2 2 3" xfId="7989"/>
    <cellStyle name="Normal 192 2 3" xfId="7990"/>
    <cellStyle name="Normal 192 2 3 2" xfId="34848"/>
    <cellStyle name="Normal 192 2 3 3" xfId="34849"/>
    <cellStyle name="Normal 192 2 4" xfId="7991"/>
    <cellStyle name="Normal 192 2 5" xfId="7992"/>
    <cellStyle name="Normal 192 2 6" xfId="34850"/>
    <cellStyle name="Normal 192 2 7" xfId="34851"/>
    <cellStyle name="Normal 192 2 8" xfId="34852"/>
    <cellStyle name="Normal 192 3" xfId="7993"/>
    <cellStyle name="Normal 192 3 2" xfId="7994"/>
    <cellStyle name="Normal 192 3 2 2" xfId="34853"/>
    <cellStyle name="Normal 192 3 2 3" xfId="34854"/>
    <cellStyle name="Normal 192 3 3" xfId="7995"/>
    <cellStyle name="Normal 192 3 3 2" xfId="34855"/>
    <cellStyle name="Normal 192 3 3 3" xfId="34856"/>
    <cellStyle name="Normal 192 3 4" xfId="34857"/>
    <cellStyle name="Normal 192 3 5" xfId="34858"/>
    <cellStyle name="Normal 192 4" xfId="7996"/>
    <cellStyle name="Normal 192 4 2" xfId="34859"/>
    <cellStyle name="Normal 192 4 3" xfId="34860"/>
    <cellStyle name="Normal 192 5" xfId="7997"/>
    <cellStyle name="Normal 192 5 2" xfId="34861"/>
    <cellStyle name="Normal 192 5 3" xfId="34862"/>
    <cellStyle name="Normal 192 6" xfId="7998"/>
    <cellStyle name="Normal 192 7" xfId="34863"/>
    <cellStyle name="Normal 192 8" xfId="34864"/>
    <cellStyle name="Normal 192 9" xfId="34865"/>
    <cellStyle name="Normal 1920" xfId="7999"/>
    <cellStyle name="Normal 1920 2" xfId="8000"/>
    <cellStyle name="Normal 1920 2 2" xfId="8001"/>
    <cellStyle name="Normal 1920 2 3" xfId="8002"/>
    <cellStyle name="Normal 1920 3" xfId="8003"/>
    <cellStyle name="Normal 1920 4" xfId="8004"/>
    <cellStyle name="Normal 1920 5" xfId="34866"/>
    <cellStyle name="Normal 1921" xfId="8005"/>
    <cellStyle name="Normal 1921 2" xfId="8006"/>
    <cellStyle name="Normal 1921 2 2" xfId="8007"/>
    <cellStyle name="Normal 1921 2 3" xfId="8008"/>
    <cellStyle name="Normal 1921 3" xfId="8009"/>
    <cellStyle name="Normal 1921 4" xfId="8010"/>
    <cellStyle name="Normal 1921 5" xfId="34867"/>
    <cellStyle name="Normal 1922" xfId="8011"/>
    <cellStyle name="Normal 1922 2" xfId="8012"/>
    <cellStyle name="Normal 1922 2 2" xfId="8013"/>
    <cellStyle name="Normal 1922 2 3" xfId="8014"/>
    <cellStyle name="Normal 1922 3" xfId="8015"/>
    <cellStyle name="Normal 1922 4" xfId="8016"/>
    <cellStyle name="Normal 1922 5" xfId="34868"/>
    <cellStyle name="Normal 1923" xfId="8017"/>
    <cellStyle name="Normal 1923 2" xfId="8018"/>
    <cellStyle name="Normal 1923 2 2" xfId="8019"/>
    <cellStyle name="Normal 1923 2 3" xfId="8020"/>
    <cellStyle name="Normal 1923 3" xfId="8021"/>
    <cellStyle name="Normal 1923 4" xfId="8022"/>
    <cellStyle name="Normal 1923 5" xfId="34869"/>
    <cellStyle name="Normal 1924" xfId="8023"/>
    <cellStyle name="Normal 1924 2" xfId="8024"/>
    <cellStyle name="Normal 1924 2 2" xfId="8025"/>
    <cellStyle name="Normal 1924 2 3" xfId="8026"/>
    <cellStyle name="Normal 1924 3" xfId="8027"/>
    <cellStyle name="Normal 1924 4" xfId="8028"/>
    <cellStyle name="Normal 1924 5" xfId="34870"/>
    <cellStyle name="Normal 1925" xfId="8029"/>
    <cellStyle name="Normal 1925 2" xfId="8030"/>
    <cellStyle name="Normal 1925 2 2" xfId="8031"/>
    <cellStyle name="Normal 1925 2 3" xfId="8032"/>
    <cellStyle name="Normal 1925 3" xfId="8033"/>
    <cellStyle name="Normal 1925 4" xfId="8034"/>
    <cellStyle name="Normal 1925 5" xfId="34871"/>
    <cellStyle name="Normal 1926" xfId="8035"/>
    <cellStyle name="Normal 1926 2" xfId="8036"/>
    <cellStyle name="Normal 1926 2 2" xfId="8037"/>
    <cellStyle name="Normal 1926 2 3" xfId="8038"/>
    <cellStyle name="Normal 1926 3" xfId="8039"/>
    <cellStyle name="Normal 1926 4" xfId="8040"/>
    <cellStyle name="Normal 1926 5" xfId="34872"/>
    <cellStyle name="Normal 1927" xfId="8041"/>
    <cellStyle name="Normal 1927 2" xfId="8042"/>
    <cellStyle name="Normal 1927 2 2" xfId="8043"/>
    <cellStyle name="Normal 1927 2 3" xfId="8044"/>
    <cellStyle name="Normal 1927 3" xfId="8045"/>
    <cellStyle name="Normal 1927 4" xfId="8046"/>
    <cellStyle name="Normal 1927 5" xfId="34873"/>
    <cellStyle name="Normal 1928" xfId="8047"/>
    <cellStyle name="Normal 1928 2" xfId="8048"/>
    <cellStyle name="Normal 1928 2 2" xfId="8049"/>
    <cellStyle name="Normal 1928 2 3" xfId="8050"/>
    <cellStyle name="Normal 1928 3" xfId="8051"/>
    <cellStyle name="Normal 1928 4" xfId="8052"/>
    <cellStyle name="Normal 1928 5" xfId="34874"/>
    <cellStyle name="Normal 1929" xfId="8053"/>
    <cellStyle name="Normal 1929 2" xfId="8054"/>
    <cellStyle name="Normal 1929 2 2" xfId="8055"/>
    <cellStyle name="Normal 1929 2 3" xfId="8056"/>
    <cellStyle name="Normal 1929 3" xfId="8057"/>
    <cellStyle name="Normal 1929 4" xfId="8058"/>
    <cellStyle name="Normal 1929 5" xfId="34875"/>
    <cellStyle name="Normal 193" xfId="8059"/>
    <cellStyle name="Normal 193 10" xfId="34876"/>
    <cellStyle name="Normal 193 2" xfId="8060"/>
    <cellStyle name="Normal 193 2 2" xfId="8061"/>
    <cellStyle name="Normal 193 2 2 2" xfId="8062"/>
    <cellStyle name="Normal 193 2 2 3" xfId="8063"/>
    <cellStyle name="Normal 193 2 3" xfId="8064"/>
    <cellStyle name="Normal 193 2 3 2" xfId="34877"/>
    <cellStyle name="Normal 193 2 3 3" xfId="34878"/>
    <cellStyle name="Normal 193 2 4" xfId="8065"/>
    <cellStyle name="Normal 193 2 5" xfId="8066"/>
    <cellStyle name="Normal 193 2 6" xfId="34879"/>
    <cellStyle name="Normal 193 2 7" xfId="34880"/>
    <cellStyle name="Normal 193 2 8" xfId="34881"/>
    <cellStyle name="Normal 193 3" xfId="8067"/>
    <cellStyle name="Normal 193 3 2" xfId="8068"/>
    <cellStyle name="Normal 193 3 2 2" xfId="34882"/>
    <cellStyle name="Normal 193 3 2 3" xfId="34883"/>
    <cellStyle name="Normal 193 3 3" xfId="8069"/>
    <cellStyle name="Normal 193 3 3 2" xfId="34884"/>
    <cellStyle name="Normal 193 3 3 3" xfId="34885"/>
    <cellStyle name="Normal 193 3 4" xfId="34886"/>
    <cellStyle name="Normal 193 3 5" xfId="34887"/>
    <cellStyle name="Normal 193 4" xfId="8070"/>
    <cellStyle name="Normal 193 4 2" xfId="34888"/>
    <cellStyle name="Normal 193 4 3" xfId="34889"/>
    <cellStyle name="Normal 193 5" xfId="8071"/>
    <cellStyle name="Normal 193 5 2" xfId="34890"/>
    <cellStyle name="Normal 193 5 3" xfId="34891"/>
    <cellStyle name="Normal 193 6" xfId="8072"/>
    <cellStyle name="Normal 193 7" xfId="34892"/>
    <cellStyle name="Normal 193 8" xfId="34893"/>
    <cellStyle name="Normal 193 9" xfId="34894"/>
    <cellStyle name="Normal 1930" xfId="8073"/>
    <cellStyle name="Normal 1930 2" xfId="8074"/>
    <cellStyle name="Normal 1930 2 2" xfId="8075"/>
    <cellStyle name="Normal 1930 2 3" xfId="8076"/>
    <cellStyle name="Normal 1930 3" xfId="8077"/>
    <cellStyle name="Normal 1930 4" xfId="8078"/>
    <cellStyle name="Normal 1930 5" xfId="34895"/>
    <cellStyle name="Normal 1931" xfId="8079"/>
    <cellStyle name="Normal 1931 2" xfId="8080"/>
    <cellStyle name="Normal 1931 2 2" xfId="8081"/>
    <cellStyle name="Normal 1931 2 3" xfId="8082"/>
    <cellStyle name="Normal 1931 3" xfId="8083"/>
    <cellStyle name="Normal 1931 4" xfId="8084"/>
    <cellStyle name="Normal 1931 5" xfId="34896"/>
    <cellStyle name="Normal 1932" xfId="8085"/>
    <cellStyle name="Normal 1932 2" xfId="8086"/>
    <cellStyle name="Normal 1932 2 2" xfId="8087"/>
    <cellStyle name="Normal 1932 2 3" xfId="8088"/>
    <cellStyle name="Normal 1932 3" xfId="8089"/>
    <cellStyle name="Normal 1932 4" xfId="8090"/>
    <cellStyle name="Normal 1932 5" xfId="34897"/>
    <cellStyle name="Normal 1933" xfId="8091"/>
    <cellStyle name="Normal 1933 2" xfId="8092"/>
    <cellStyle name="Normal 1933 2 2" xfId="8093"/>
    <cellStyle name="Normal 1933 2 3" xfId="8094"/>
    <cellStyle name="Normal 1933 3" xfId="8095"/>
    <cellStyle name="Normal 1933 4" xfId="8096"/>
    <cellStyle name="Normal 1933 5" xfId="34898"/>
    <cellStyle name="Normal 1934" xfId="8097"/>
    <cellStyle name="Normal 1934 2" xfId="8098"/>
    <cellStyle name="Normal 1934 2 2" xfId="8099"/>
    <cellStyle name="Normal 1934 2 3" xfId="8100"/>
    <cellStyle name="Normal 1934 3" xfId="8101"/>
    <cellStyle name="Normal 1934 4" xfId="8102"/>
    <cellStyle name="Normal 1934 5" xfId="34899"/>
    <cellStyle name="Normal 1935" xfId="8103"/>
    <cellStyle name="Normal 1935 2" xfId="8104"/>
    <cellStyle name="Normal 1935 2 2" xfId="8105"/>
    <cellStyle name="Normal 1935 2 3" xfId="8106"/>
    <cellStyle name="Normal 1935 3" xfId="8107"/>
    <cellStyle name="Normal 1935 4" xfId="8108"/>
    <cellStyle name="Normal 1935 5" xfId="34900"/>
    <cellStyle name="Normal 1936" xfId="8109"/>
    <cellStyle name="Normal 1936 2" xfId="8110"/>
    <cellStyle name="Normal 1936 2 2" xfId="8111"/>
    <cellStyle name="Normal 1936 2 3" xfId="8112"/>
    <cellStyle name="Normal 1936 3" xfId="8113"/>
    <cellStyle name="Normal 1936 4" xfId="8114"/>
    <cellStyle name="Normal 1936 5" xfId="34901"/>
    <cellStyle name="Normal 1937" xfId="8115"/>
    <cellStyle name="Normal 1937 2" xfId="8116"/>
    <cellStyle name="Normal 1937 2 2" xfId="8117"/>
    <cellStyle name="Normal 1937 2 3" xfId="8118"/>
    <cellStyle name="Normal 1937 3" xfId="8119"/>
    <cellStyle name="Normal 1937 4" xfId="8120"/>
    <cellStyle name="Normal 1937 5" xfId="34902"/>
    <cellStyle name="Normal 1938" xfId="8121"/>
    <cellStyle name="Normal 1938 2" xfId="8122"/>
    <cellStyle name="Normal 1938 2 2" xfId="8123"/>
    <cellStyle name="Normal 1938 2 3" xfId="8124"/>
    <cellStyle name="Normal 1938 3" xfId="8125"/>
    <cellStyle name="Normal 1938 4" xfId="8126"/>
    <cellStyle name="Normal 1938 5" xfId="34903"/>
    <cellStyle name="Normal 1939" xfId="8127"/>
    <cellStyle name="Normal 1939 2" xfId="8128"/>
    <cellStyle name="Normal 1939 2 2" xfId="8129"/>
    <cellStyle name="Normal 1939 2 3" xfId="8130"/>
    <cellStyle name="Normal 1939 3" xfId="8131"/>
    <cellStyle name="Normal 1939 4" xfId="8132"/>
    <cellStyle name="Normal 194" xfId="8133"/>
    <cellStyle name="Normal 194 10" xfId="34904"/>
    <cellStyle name="Normal 194 2" xfId="8134"/>
    <cellStyle name="Normal 194 2 2" xfId="8135"/>
    <cellStyle name="Normal 194 2 2 2" xfId="8136"/>
    <cellStyle name="Normal 194 2 2 3" xfId="8137"/>
    <cellStyle name="Normal 194 2 3" xfId="8138"/>
    <cellStyle name="Normal 194 2 3 2" xfId="34905"/>
    <cellStyle name="Normal 194 2 3 3" xfId="34906"/>
    <cellStyle name="Normal 194 2 4" xfId="8139"/>
    <cellStyle name="Normal 194 2 5" xfId="8140"/>
    <cellStyle name="Normal 194 2 6" xfId="34907"/>
    <cellStyle name="Normal 194 2 7" xfId="34908"/>
    <cellStyle name="Normal 194 2 8" xfId="34909"/>
    <cellStyle name="Normal 194 3" xfId="8141"/>
    <cellStyle name="Normal 194 3 2" xfId="8142"/>
    <cellStyle name="Normal 194 3 2 2" xfId="34910"/>
    <cellStyle name="Normal 194 3 2 3" xfId="34911"/>
    <cellStyle name="Normal 194 3 3" xfId="8143"/>
    <cellStyle name="Normal 194 3 3 2" xfId="34912"/>
    <cellStyle name="Normal 194 3 3 3" xfId="34913"/>
    <cellStyle name="Normal 194 3 4" xfId="34914"/>
    <cellStyle name="Normal 194 3 5" xfId="34915"/>
    <cellStyle name="Normal 194 4" xfId="8144"/>
    <cellStyle name="Normal 194 4 2" xfId="34916"/>
    <cellStyle name="Normal 194 4 3" xfId="34917"/>
    <cellStyle name="Normal 194 5" xfId="8145"/>
    <cellStyle name="Normal 194 5 2" xfId="34918"/>
    <cellStyle name="Normal 194 5 3" xfId="34919"/>
    <cellStyle name="Normal 194 6" xfId="8146"/>
    <cellStyle name="Normal 194 7" xfId="34920"/>
    <cellStyle name="Normal 194 8" xfId="34921"/>
    <cellStyle name="Normal 194 9" xfId="34922"/>
    <cellStyle name="Normal 1940" xfId="8147"/>
    <cellStyle name="Normal 1940 2" xfId="8148"/>
    <cellStyle name="Normal 1940 2 2" xfId="8149"/>
    <cellStyle name="Normal 1940 2 3" xfId="8150"/>
    <cellStyle name="Normal 1940 3" xfId="8151"/>
    <cellStyle name="Normal 1940 4" xfId="8152"/>
    <cellStyle name="Normal 1941" xfId="8153"/>
    <cellStyle name="Normal 1941 2" xfId="8154"/>
    <cellStyle name="Normal 1941 2 2" xfId="8155"/>
    <cellStyle name="Normal 1941 2 3" xfId="8156"/>
    <cellStyle name="Normal 1941 3" xfId="8157"/>
    <cellStyle name="Normal 1941 4" xfId="8158"/>
    <cellStyle name="Normal 1942" xfId="8159"/>
    <cellStyle name="Normal 1942 2" xfId="8160"/>
    <cellStyle name="Normal 1942 2 2" xfId="8161"/>
    <cellStyle name="Normal 1942 2 3" xfId="8162"/>
    <cellStyle name="Normal 1942 3" xfId="8163"/>
    <cellStyle name="Normal 1942 4" xfId="8164"/>
    <cellStyle name="Normal 1943" xfId="8165"/>
    <cellStyle name="Normal 1943 2" xfId="8166"/>
    <cellStyle name="Normal 1943 2 2" xfId="8167"/>
    <cellStyle name="Normal 1943 2 3" xfId="8168"/>
    <cellStyle name="Normal 1943 3" xfId="8169"/>
    <cellStyle name="Normal 1943 4" xfId="8170"/>
    <cellStyle name="Normal 1944" xfId="8171"/>
    <cellStyle name="Normal 1944 2" xfId="8172"/>
    <cellStyle name="Normal 1944 2 2" xfId="8173"/>
    <cellStyle name="Normal 1944 2 3" xfId="8174"/>
    <cellStyle name="Normal 1944 3" xfId="8175"/>
    <cellStyle name="Normal 1944 4" xfId="8176"/>
    <cellStyle name="Normal 1945" xfId="8177"/>
    <cellStyle name="Normal 1945 2" xfId="8178"/>
    <cellStyle name="Normal 1945 2 2" xfId="8179"/>
    <cellStyle name="Normal 1945 2 3" xfId="8180"/>
    <cellStyle name="Normal 1945 3" xfId="8181"/>
    <cellStyle name="Normal 1945 4" xfId="8182"/>
    <cellStyle name="Normal 1946" xfId="8183"/>
    <cellStyle name="Normal 1946 2" xfId="8184"/>
    <cellStyle name="Normal 1946 2 2" xfId="8185"/>
    <cellStyle name="Normal 1946 2 3" xfId="8186"/>
    <cellStyle name="Normal 1946 3" xfId="8187"/>
    <cellStyle name="Normal 1946 4" xfId="8188"/>
    <cellStyle name="Normal 1947" xfId="8189"/>
    <cellStyle name="Normal 1947 2" xfId="8190"/>
    <cellStyle name="Normal 1947 2 2" xfId="8191"/>
    <cellStyle name="Normal 1947 2 3" xfId="8192"/>
    <cellStyle name="Normal 1947 3" xfId="8193"/>
    <cellStyle name="Normal 1947 4" xfId="8194"/>
    <cellStyle name="Normal 1948" xfId="8195"/>
    <cellStyle name="Normal 1948 2" xfId="8196"/>
    <cellStyle name="Normal 1948 2 2" xfId="8197"/>
    <cellStyle name="Normal 1948 2 3" xfId="8198"/>
    <cellStyle name="Normal 1948 3" xfId="8199"/>
    <cellStyle name="Normal 1948 4" xfId="8200"/>
    <cellStyle name="Normal 1949" xfId="8201"/>
    <cellStyle name="Normal 1949 2" xfId="8202"/>
    <cellStyle name="Normal 1949 2 2" xfId="8203"/>
    <cellStyle name="Normal 1949 2 3" xfId="8204"/>
    <cellStyle name="Normal 1949 3" xfId="8205"/>
    <cellStyle name="Normal 1949 4" xfId="8206"/>
    <cellStyle name="Normal 195" xfId="8207"/>
    <cellStyle name="Normal 195 10" xfId="34923"/>
    <cellStyle name="Normal 195 2" xfId="8208"/>
    <cellStyle name="Normal 195 2 2" xfId="8209"/>
    <cellStyle name="Normal 195 2 2 2" xfId="8210"/>
    <cellStyle name="Normal 195 2 2 3" xfId="8211"/>
    <cellStyle name="Normal 195 2 3" xfId="8212"/>
    <cellStyle name="Normal 195 2 3 2" xfId="34924"/>
    <cellStyle name="Normal 195 2 3 3" xfId="34925"/>
    <cellStyle name="Normal 195 2 4" xfId="8213"/>
    <cellStyle name="Normal 195 2 5" xfId="8214"/>
    <cellStyle name="Normal 195 2 6" xfId="34926"/>
    <cellStyle name="Normal 195 2 7" xfId="34927"/>
    <cellStyle name="Normal 195 2 8" xfId="34928"/>
    <cellStyle name="Normal 195 3" xfId="8215"/>
    <cellStyle name="Normal 195 3 2" xfId="8216"/>
    <cellStyle name="Normal 195 3 2 2" xfId="34929"/>
    <cellStyle name="Normal 195 3 2 3" xfId="34930"/>
    <cellStyle name="Normal 195 3 3" xfId="8217"/>
    <cellStyle name="Normal 195 3 3 2" xfId="34931"/>
    <cellStyle name="Normal 195 3 3 3" xfId="34932"/>
    <cellStyle name="Normal 195 3 4" xfId="34933"/>
    <cellStyle name="Normal 195 3 5" xfId="34934"/>
    <cellStyle name="Normal 195 4" xfId="8218"/>
    <cellStyle name="Normal 195 4 2" xfId="34935"/>
    <cellStyle name="Normal 195 4 3" xfId="34936"/>
    <cellStyle name="Normal 195 5" xfId="8219"/>
    <cellStyle name="Normal 195 5 2" xfId="34937"/>
    <cellStyle name="Normal 195 5 3" xfId="34938"/>
    <cellStyle name="Normal 195 6" xfId="8220"/>
    <cellStyle name="Normal 195 7" xfId="34939"/>
    <cellStyle name="Normal 195 8" xfId="34940"/>
    <cellStyle name="Normal 195 9" xfId="34941"/>
    <cellStyle name="Normal 1950" xfId="8221"/>
    <cellStyle name="Normal 1950 2" xfId="8222"/>
    <cellStyle name="Normal 1950 2 2" xfId="8223"/>
    <cellStyle name="Normal 1950 2 3" xfId="8224"/>
    <cellStyle name="Normal 1950 3" xfId="8225"/>
    <cellStyle name="Normal 1950 4" xfId="8226"/>
    <cellStyle name="Normal 1951" xfId="8227"/>
    <cellStyle name="Normal 1951 2" xfId="8228"/>
    <cellStyle name="Normal 1951 2 2" xfId="8229"/>
    <cellStyle name="Normal 1951 2 3" xfId="8230"/>
    <cellStyle name="Normal 1951 3" xfId="8231"/>
    <cellStyle name="Normal 1951 4" xfId="8232"/>
    <cellStyle name="Normal 1952" xfId="8233"/>
    <cellStyle name="Normal 1952 2" xfId="8234"/>
    <cellStyle name="Normal 1952 2 2" xfId="8235"/>
    <cellStyle name="Normal 1952 2 3" xfId="8236"/>
    <cellStyle name="Normal 1952 3" xfId="8237"/>
    <cellStyle name="Normal 1952 4" xfId="8238"/>
    <cellStyle name="Normal 1953" xfId="8239"/>
    <cellStyle name="Normal 1953 2" xfId="8240"/>
    <cellStyle name="Normal 1953 2 2" xfId="8241"/>
    <cellStyle name="Normal 1953 2 3" xfId="8242"/>
    <cellStyle name="Normal 1953 3" xfId="8243"/>
    <cellStyle name="Normal 1953 4" xfId="8244"/>
    <cellStyle name="Normal 1954" xfId="8245"/>
    <cellStyle name="Normal 1954 2" xfId="8246"/>
    <cellStyle name="Normal 1954 2 2" xfId="8247"/>
    <cellStyle name="Normal 1954 2 3" xfId="8248"/>
    <cellStyle name="Normal 1954 3" xfId="8249"/>
    <cellStyle name="Normal 1954 4" xfId="8250"/>
    <cellStyle name="Normal 1955" xfId="8251"/>
    <cellStyle name="Normal 1955 2" xfId="8252"/>
    <cellStyle name="Normal 1955 2 2" xfId="8253"/>
    <cellStyle name="Normal 1955 2 3" xfId="8254"/>
    <cellStyle name="Normal 1955 3" xfId="8255"/>
    <cellStyle name="Normal 1955 4" xfId="8256"/>
    <cellStyle name="Normal 1956" xfId="8257"/>
    <cellStyle name="Normal 1956 2" xfId="8258"/>
    <cellStyle name="Normal 1956 2 2" xfId="8259"/>
    <cellStyle name="Normal 1956 2 3" xfId="8260"/>
    <cellStyle name="Normal 1956 3" xfId="8261"/>
    <cellStyle name="Normal 1956 4" xfId="8262"/>
    <cellStyle name="Normal 1957" xfId="8263"/>
    <cellStyle name="Normal 1957 2" xfId="8264"/>
    <cellStyle name="Normal 1957 2 2" xfId="8265"/>
    <cellStyle name="Normal 1957 2 3" xfId="8266"/>
    <cellStyle name="Normal 1957 3" xfId="8267"/>
    <cellStyle name="Normal 1957 4" xfId="8268"/>
    <cellStyle name="Normal 1958" xfId="8269"/>
    <cellStyle name="Normal 1958 2" xfId="8270"/>
    <cellStyle name="Normal 1958 2 2" xfId="8271"/>
    <cellStyle name="Normal 1958 2 3" xfId="8272"/>
    <cellStyle name="Normal 1958 3" xfId="8273"/>
    <cellStyle name="Normal 1958 4" xfId="8274"/>
    <cellStyle name="Normal 1959" xfId="8275"/>
    <cellStyle name="Normal 1959 2" xfId="8276"/>
    <cellStyle name="Normal 1959 2 2" xfId="8277"/>
    <cellStyle name="Normal 1959 2 3" xfId="8278"/>
    <cellStyle name="Normal 1959 3" xfId="8279"/>
    <cellStyle name="Normal 1959 4" xfId="8280"/>
    <cellStyle name="Normal 196" xfId="8281"/>
    <cellStyle name="Normal 196 10" xfId="34942"/>
    <cellStyle name="Normal 196 2" xfId="8282"/>
    <cellStyle name="Normal 196 2 2" xfId="8283"/>
    <cellStyle name="Normal 196 2 2 2" xfId="8284"/>
    <cellStyle name="Normal 196 2 2 3" xfId="8285"/>
    <cellStyle name="Normal 196 2 3" xfId="8286"/>
    <cellStyle name="Normal 196 2 3 2" xfId="34943"/>
    <cellStyle name="Normal 196 2 3 3" xfId="34944"/>
    <cellStyle name="Normal 196 2 4" xfId="8287"/>
    <cellStyle name="Normal 196 2 5" xfId="8288"/>
    <cellStyle name="Normal 196 2 6" xfId="34945"/>
    <cellStyle name="Normal 196 2 7" xfId="34946"/>
    <cellStyle name="Normal 196 2 8" xfId="34947"/>
    <cellStyle name="Normal 196 3" xfId="8289"/>
    <cellStyle name="Normal 196 3 2" xfId="8290"/>
    <cellStyle name="Normal 196 3 2 2" xfId="34948"/>
    <cellStyle name="Normal 196 3 2 3" xfId="34949"/>
    <cellStyle name="Normal 196 3 3" xfId="8291"/>
    <cellStyle name="Normal 196 3 3 2" xfId="34950"/>
    <cellStyle name="Normal 196 3 3 3" xfId="34951"/>
    <cellStyle name="Normal 196 3 4" xfId="34952"/>
    <cellStyle name="Normal 196 3 5" xfId="34953"/>
    <cellStyle name="Normal 196 4" xfId="8292"/>
    <cellStyle name="Normal 196 4 2" xfId="34954"/>
    <cellStyle name="Normal 196 4 3" xfId="34955"/>
    <cellStyle name="Normal 196 5" xfId="8293"/>
    <cellStyle name="Normal 196 5 2" xfId="34956"/>
    <cellStyle name="Normal 196 5 3" xfId="34957"/>
    <cellStyle name="Normal 196 6" xfId="8294"/>
    <cellStyle name="Normal 196 7" xfId="34958"/>
    <cellStyle name="Normal 196 8" xfId="34959"/>
    <cellStyle name="Normal 196 9" xfId="34960"/>
    <cellStyle name="Normal 1960" xfId="8295"/>
    <cellStyle name="Normal 1960 2" xfId="8296"/>
    <cellStyle name="Normal 1960 2 2" xfId="8297"/>
    <cellStyle name="Normal 1960 2 3" xfId="8298"/>
    <cellStyle name="Normal 1960 3" xfId="8299"/>
    <cellStyle name="Normal 1960 4" xfId="8300"/>
    <cellStyle name="Normal 1961" xfId="8301"/>
    <cellStyle name="Normal 1961 2" xfId="8302"/>
    <cellStyle name="Normal 1961 2 2" xfId="8303"/>
    <cellStyle name="Normal 1961 2 3" xfId="8304"/>
    <cellStyle name="Normal 1961 3" xfId="8305"/>
    <cellStyle name="Normal 1961 4" xfId="8306"/>
    <cellStyle name="Normal 1962" xfId="8307"/>
    <cellStyle name="Normal 1962 2" xfId="8308"/>
    <cellStyle name="Normal 1962 2 2" xfId="8309"/>
    <cellStyle name="Normal 1962 2 3" xfId="8310"/>
    <cellStyle name="Normal 1962 3" xfId="8311"/>
    <cellStyle name="Normal 1962 4" xfId="8312"/>
    <cellStyle name="Normal 1963" xfId="8313"/>
    <cellStyle name="Normal 1963 2" xfId="8314"/>
    <cellStyle name="Normal 1963 2 2" xfId="8315"/>
    <cellStyle name="Normal 1963 2 3" xfId="8316"/>
    <cellStyle name="Normal 1963 3" xfId="8317"/>
    <cellStyle name="Normal 1963 4" xfId="8318"/>
    <cellStyle name="Normal 1964" xfId="8319"/>
    <cellStyle name="Normal 1964 2" xfId="8320"/>
    <cellStyle name="Normal 1964 2 2" xfId="8321"/>
    <cellStyle name="Normal 1964 2 3" xfId="8322"/>
    <cellStyle name="Normal 1964 3" xfId="8323"/>
    <cellStyle name="Normal 1964 4" xfId="8324"/>
    <cellStyle name="Normal 1965" xfId="8325"/>
    <cellStyle name="Normal 1965 2" xfId="8326"/>
    <cellStyle name="Normal 1965 2 2" xfId="8327"/>
    <cellStyle name="Normal 1965 2 3" xfId="8328"/>
    <cellStyle name="Normal 1965 3" xfId="8329"/>
    <cellStyle name="Normal 1965 4" xfId="8330"/>
    <cellStyle name="Normal 1966" xfId="8331"/>
    <cellStyle name="Normal 1966 2" xfId="8332"/>
    <cellStyle name="Normal 1966 2 2" xfId="8333"/>
    <cellStyle name="Normal 1966 2 3" xfId="8334"/>
    <cellStyle name="Normal 1966 3" xfId="8335"/>
    <cellStyle name="Normal 1966 4" xfId="8336"/>
    <cellStyle name="Normal 1967" xfId="8337"/>
    <cellStyle name="Normal 1967 2" xfId="8338"/>
    <cellStyle name="Normal 1967 2 2" xfId="8339"/>
    <cellStyle name="Normal 1967 2 3" xfId="8340"/>
    <cellStyle name="Normal 1967 3" xfId="8341"/>
    <cellStyle name="Normal 1967 4" xfId="8342"/>
    <cellStyle name="Normal 1968" xfId="8343"/>
    <cellStyle name="Normal 1968 2" xfId="8344"/>
    <cellStyle name="Normal 1968 2 2" xfId="8345"/>
    <cellStyle name="Normal 1968 2 3" xfId="8346"/>
    <cellStyle name="Normal 1968 3" xfId="8347"/>
    <cellStyle name="Normal 1968 4" xfId="8348"/>
    <cellStyle name="Normal 1969" xfId="8349"/>
    <cellStyle name="Normal 1969 2" xfId="8350"/>
    <cellStyle name="Normal 1969 2 2" xfId="8351"/>
    <cellStyle name="Normal 1969 2 3" xfId="8352"/>
    <cellStyle name="Normal 1969 3" xfId="8353"/>
    <cellStyle name="Normal 1969 4" xfId="8354"/>
    <cellStyle name="Normal 197" xfId="8355"/>
    <cellStyle name="Normal 197 10" xfId="34961"/>
    <cellStyle name="Normal 197 2" xfId="8356"/>
    <cellStyle name="Normal 197 2 2" xfId="8357"/>
    <cellStyle name="Normal 197 2 2 2" xfId="8358"/>
    <cellStyle name="Normal 197 2 2 3" xfId="8359"/>
    <cellStyle name="Normal 197 2 3" xfId="8360"/>
    <cellStyle name="Normal 197 2 3 2" xfId="34962"/>
    <cellStyle name="Normal 197 2 3 3" xfId="34963"/>
    <cellStyle name="Normal 197 2 4" xfId="8361"/>
    <cellStyle name="Normal 197 2 5" xfId="8362"/>
    <cellStyle name="Normal 197 2 6" xfId="34964"/>
    <cellStyle name="Normal 197 2 7" xfId="34965"/>
    <cellStyle name="Normal 197 2 8" xfId="34966"/>
    <cellStyle name="Normal 197 3" xfId="8363"/>
    <cellStyle name="Normal 197 3 2" xfId="8364"/>
    <cellStyle name="Normal 197 3 2 2" xfId="34967"/>
    <cellStyle name="Normal 197 3 2 3" xfId="34968"/>
    <cellStyle name="Normal 197 3 3" xfId="8365"/>
    <cellStyle name="Normal 197 3 3 2" xfId="34969"/>
    <cellStyle name="Normal 197 3 3 3" xfId="34970"/>
    <cellStyle name="Normal 197 3 4" xfId="34971"/>
    <cellStyle name="Normal 197 3 5" xfId="34972"/>
    <cellStyle name="Normal 197 4" xfId="8366"/>
    <cellStyle name="Normal 197 4 2" xfId="34973"/>
    <cellStyle name="Normal 197 4 3" xfId="34974"/>
    <cellStyle name="Normal 197 5" xfId="8367"/>
    <cellStyle name="Normal 197 5 2" xfId="34975"/>
    <cellStyle name="Normal 197 5 3" xfId="34976"/>
    <cellStyle name="Normal 197 6" xfId="8368"/>
    <cellStyle name="Normal 197 7" xfId="34977"/>
    <cellStyle name="Normal 197 8" xfId="34978"/>
    <cellStyle name="Normal 197 9" xfId="34979"/>
    <cellStyle name="Normal 1970" xfId="8369"/>
    <cellStyle name="Normal 1970 2" xfId="8370"/>
    <cellStyle name="Normal 1970 2 2" xfId="8371"/>
    <cellStyle name="Normal 1970 2 3" xfId="8372"/>
    <cellStyle name="Normal 1970 3" xfId="8373"/>
    <cellStyle name="Normal 1970 4" xfId="8374"/>
    <cellStyle name="Normal 1971" xfId="8375"/>
    <cellStyle name="Normal 1971 2" xfId="8376"/>
    <cellStyle name="Normal 1971 2 2" xfId="8377"/>
    <cellStyle name="Normal 1971 2 3" xfId="8378"/>
    <cellStyle name="Normal 1971 3" xfId="8379"/>
    <cellStyle name="Normal 1971 4" xfId="8380"/>
    <cellStyle name="Normal 1972" xfId="8381"/>
    <cellStyle name="Normal 1972 2" xfId="8382"/>
    <cellStyle name="Normal 1972 2 2" xfId="8383"/>
    <cellStyle name="Normal 1972 2 3" xfId="8384"/>
    <cellStyle name="Normal 1972 3" xfId="8385"/>
    <cellStyle name="Normal 1972 4" xfId="8386"/>
    <cellStyle name="Normal 1973" xfId="8387"/>
    <cellStyle name="Normal 1973 2" xfId="8388"/>
    <cellStyle name="Normal 1973 2 2" xfId="8389"/>
    <cellStyle name="Normal 1973 2 3" xfId="8390"/>
    <cellStyle name="Normal 1973 3" xfId="8391"/>
    <cellStyle name="Normal 1973 4" xfId="8392"/>
    <cellStyle name="Normal 1974" xfId="8393"/>
    <cellStyle name="Normal 1974 2" xfId="8394"/>
    <cellStyle name="Normal 1974 2 2" xfId="8395"/>
    <cellStyle name="Normal 1974 2 3" xfId="8396"/>
    <cellStyle name="Normal 1974 3" xfId="8397"/>
    <cellStyle name="Normal 1974 4" xfId="8398"/>
    <cellStyle name="Normal 1975" xfId="8399"/>
    <cellStyle name="Normal 1975 2" xfId="8400"/>
    <cellStyle name="Normal 1975 2 2" xfId="8401"/>
    <cellStyle name="Normal 1975 2 3" xfId="8402"/>
    <cellStyle name="Normal 1975 3" xfId="8403"/>
    <cellStyle name="Normal 1975 4" xfId="8404"/>
    <cellStyle name="Normal 1976" xfId="8405"/>
    <cellStyle name="Normal 1976 2" xfId="8406"/>
    <cellStyle name="Normal 1976 2 2" xfId="8407"/>
    <cellStyle name="Normal 1976 2 3" xfId="8408"/>
    <cellStyle name="Normal 1976 3" xfId="8409"/>
    <cellStyle name="Normal 1976 4" xfId="8410"/>
    <cellStyle name="Normal 1977" xfId="8411"/>
    <cellStyle name="Normal 1977 2" xfId="8412"/>
    <cellStyle name="Normal 1977 2 2" xfId="8413"/>
    <cellStyle name="Normal 1977 2 3" xfId="8414"/>
    <cellStyle name="Normal 1977 3" xfId="8415"/>
    <cellStyle name="Normal 1977 4" xfId="8416"/>
    <cellStyle name="Normal 1978" xfId="8417"/>
    <cellStyle name="Normal 1978 2" xfId="8418"/>
    <cellStyle name="Normal 1978 2 2" xfId="8419"/>
    <cellStyle name="Normal 1978 2 3" xfId="8420"/>
    <cellStyle name="Normal 1978 3" xfId="8421"/>
    <cellStyle name="Normal 1978 4" xfId="8422"/>
    <cellStyle name="Normal 1979" xfId="8423"/>
    <cellStyle name="Normal 1979 2" xfId="8424"/>
    <cellStyle name="Normal 1979 2 2" xfId="8425"/>
    <cellStyle name="Normal 1979 2 3" xfId="8426"/>
    <cellStyle name="Normal 1979 3" xfId="8427"/>
    <cellStyle name="Normal 1979 4" xfId="8428"/>
    <cellStyle name="Normal 198" xfId="8429"/>
    <cellStyle name="Normal 198 10" xfId="34980"/>
    <cellStyle name="Normal 198 2" xfId="8430"/>
    <cellStyle name="Normal 198 2 2" xfId="8431"/>
    <cellStyle name="Normal 198 2 2 2" xfId="8432"/>
    <cellStyle name="Normal 198 2 2 3" xfId="8433"/>
    <cellStyle name="Normal 198 2 3" xfId="8434"/>
    <cellStyle name="Normal 198 2 3 2" xfId="34981"/>
    <cellStyle name="Normal 198 2 3 3" xfId="34982"/>
    <cellStyle name="Normal 198 2 4" xfId="8435"/>
    <cellStyle name="Normal 198 2 5" xfId="8436"/>
    <cellStyle name="Normal 198 2 6" xfId="34983"/>
    <cellStyle name="Normal 198 2 7" xfId="34984"/>
    <cellStyle name="Normal 198 2 8" xfId="34985"/>
    <cellStyle name="Normal 198 3" xfId="8437"/>
    <cellStyle name="Normal 198 3 2" xfId="8438"/>
    <cellStyle name="Normal 198 3 2 2" xfId="34986"/>
    <cellStyle name="Normal 198 3 2 3" xfId="34987"/>
    <cellStyle name="Normal 198 3 3" xfId="8439"/>
    <cellStyle name="Normal 198 3 3 2" xfId="34988"/>
    <cellStyle name="Normal 198 3 3 3" xfId="34989"/>
    <cellStyle name="Normal 198 3 4" xfId="34990"/>
    <cellStyle name="Normal 198 3 5" xfId="34991"/>
    <cellStyle name="Normal 198 4" xfId="8440"/>
    <cellStyle name="Normal 198 4 2" xfId="34992"/>
    <cellStyle name="Normal 198 4 3" xfId="34993"/>
    <cellStyle name="Normal 198 5" xfId="8441"/>
    <cellStyle name="Normal 198 5 2" xfId="34994"/>
    <cellStyle name="Normal 198 5 3" xfId="34995"/>
    <cellStyle name="Normal 198 6" xfId="8442"/>
    <cellStyle name="Normal 198 7" xfId="34996"/>
    <cellStyle name="Normal 198 8" xfId="34997"/>
    <cellStyle name="Normal 198 9" xfId="34998"/>
    <cellStyle name="Normal 1980" xfId="8443"/>
    <cellStyle name="Normal 1980 2" xfId="8444"/>
    <cellStyle name="Normal 1980 2 2" xfId="8445"/>
    <cellStyle name="Normal 1980 2 3" xfId="8446"/>
    <cellStyle name="Normal 1980 3" xfId="8447"/>
    <cellStyle name="Normal 1980 4" xfId="8448"/>
    <cellStyle name="Normal 1981" xfId="8449"/>
    <cellStyle name="Normal 1981 2" xfId="8450"/>
    <cellStyle name="Normal 1981 2 2" xfId="8451"/>
    <cellStyle name="Normal 1981 2 3" xfId="8452"/>
    <cellStyle name="Normal 1981 3" xfId="8453"/>
    <cellStyle name="Normal 1981 4" xfId="8454"/>
    <cellStyle name="Normal 1982" xfId="8455"/>
    <cellStyle name="Normal 1982 2" xfId="8456"/>
    <cellStyle name="Normal 1982 2 2" xfId="8457"/>
    <cellStyle name="Normal 1982 2 3" xfId="8458"/>
    <cellStyle name="Normal 1982 3" xfId="8459"/>
    <cellStyle name="Normal 1982 4" xfId="8460"/>
    <cellStyle name="Normal 1983" xfId="8461"/>
    <cellStyle name="Normal 1983 2" xfId="8462"/>
    <cellStyle name="Normal 1983 2 2" xfId="8463"/>
    <cellStyle name="Normal 1983 2 3" xfId="8464"/>
    <cellStyle name="Normal 1983 3" xfId="8465"/>
    <cellStyle name="Normal 1983 4" xfId="8466"/>
    <cellStyle name="Normal 1984" xfId="8467"/>
    <cellStyle name="Normal 1984 2" xfId="8468"/>
    <cellStyle name="Normal 1984 2 2" xfId="8469"/>
    <cellStyle name="Normal 1984 2 3" xfId="8470"/>
    <cellStyle name="Normal 1984 3" xfId="8471"/>
    <cellStyle name="Normal 1984 4" xfId="8472"/>
    <cellStyle name="Normal 1985" xfId="8473"/>
    <cellStyle name="Normal 1985 2" xfId="8474"/>
    <cellStyle name="Normal 1985 2 2" xfId="8475"/>
    <cellStyle name="Normal 1985 2 3" xfId="8476"/>
    <cellStyle name="Normal 1985 3" xfId="8477"/>
    <cellStyle name="Normal 1985 4" xfId="8478"/>
    <cellStyle name="Normal 1986" xfId="8479"/>
    <cellStyle name="Normal 1986 2" xfId="8480"/>
    <cellStyle name="Normal 1986 2 2" xfId="8481"/>
    <cellStyle name="Normal 1986 2 3" xfId="8482"/>
    <cellStyle name="Normal 1986 3" xfId="8483"/>
    <cellStyle name="Normal 1986 4" xfId="8484"/>
    <cellStyle name="Normal 1987" xfId="8485"/>
    <cellStyle name="Normal 1987 2" xfId="8486"/>
    <cellStyle name="Normal 1987 2 2" xfId="8487"/>
    <cellStyle name="Normal 1987 2 3" xfId="8488"/>
    <cellStyle name="Normal 1987 3" xfId="8489"/>
    <cellStyle name="Normal 1987 4" xfId="8490"/>
    <cellStyle name="Normal 1988" xfId="8491"/>
    <cellStyle name="Normal 1988 2" xfId="8492"/>
    <cellStyle name="Normal 1988 2 2" xfId="8493"/>
    <cellStyle name="Normal 1988 2 3" xfId="8494"/>
    <cellStyle name="Normal 1988 3" xfId="8495"/>
    <cellStyle name="Normal 1988 4" xfId="8496"/>
    <cellStyle name="Normal 1989" xfId="8497"/>
    <cellStyle name="Normal 1989 2" xfId="8498"/>
    <cellStyle name="Normal 1989 2 2" xfId="8499"/>
    <cellStyle name="Normal 1989 2 3" xfId="8500"/>
    <cellStyle name="Normal 1989 3" xfId="8501"/>
    <cellStyle name="Normal 1989 4" xfId="8502"/>
    <cellStyle name="Normal 199" xfId="8503"/>
    <cellStyle name="Normal 199 10" xfId="34999"/>
    <cellStyle name="Normal 199 2" xfId="8504"/>
    <cellStyle name="Normal 199 2 2" xfId="8505"/>
    <cellStyle name="Normal 199 2 2 2" xfId="8506"/>
    <cellStyle name="Normal 199 2 2 3" xfId="8507"/>
    <cellStyle name="Normal 199 2 3" xfId="8508"/>
    <cellStyle name="Normal 199 2 3 2" xfId="35000"/>
    <cellStyle name="Normal 199 2 3 3" xfId="35001"/>
    <cellStyle name="Normal 199 2 4" xfId="8509"/>
    <cellStyle name="Normal 199 2 5" xfId="8510"/>
    <cellStyle name="Normal 199 2 6" xfId="35002"/>
    <cellStyle name="Normal 199 2 7" xfId="35003"/>
    <cellStyle name="Normal 199 2 8" xfId="35004"/>
    <cellStyle name="Normal 199 3" xfId="8511"/>
    <cellStyle name="Normal 199 3 2" xfId="8512"/>
    <cellStyle name="Normal 199 3 2 2" xfId="35005"/>
    <cellStyle name="Normal 199 3 2 3" xfId="35006"/>
    <cellStyle name="Normal 199 3 3" xfId="8513"/>
    <cellStyle name="Normal 199 3 3 2" xfId="35007"/>
    <cellStyle name="Normal 199 3 3 3" xfId="35008"/>
    <cellStyle name="Normal 199 3 4" xfId="35009"/>
    <cellStyle name="Normal 199 3 5" xfId="35010"/>
    <cellStyle name="Normal 199 4" xfId="8514"/>
    <cellStyle name="Normal 199 4 2" xfId="35011"/>
    <cellStyle name="Normal 199 4 3" xfId="35012"/>
    <cellStyle name="Normal 199 5" xfId="8515"/>
    <cellStyle name="Normal 199 5 2" xfId="35013"/>
    <cellStyle name="Normal 199 5 3" xfId="35014"/>
    <cellStyle name="Normal 199 6" xfId="8516"/>
    <cellStyle name="Normal 199 7" xfId="35015"/>
    <cellStyle name="Normal 199 8" xfId="35016"/>
    <cellStyle name="Normal 199 9" xfId="35017"/>
    <cellStyle name="Normal 1990" xfId="8517"/>
    <cellStyle name="Normal 1990 2" xfId="8518"/>
    <cellStyle name="Normal 1990 2 2" xfId="8519"/>
    <cellStyle name="Normal 1990 2 3" xfId="8520"/>
    <cellStyle name="Normal 1990 3" xfId="8521"/>
    <cellStyle name="Normal 1990 4" xfId="8522"/>
    <cellStyle name="Normal 1991" xfId="8523"/>
    <cellStyle name="Normal 1991 2" xfId="8524"/>
    <cellStyle name="Normal 1991 2 2" xfId="8525"/>
    <cellStyle name="Normal 1991 2 3" xfId="8526"/>
    <cellStyle name="Normal 1991 3" xfId="8527"/>
    <cellStyle name="Normal 1991 4" xfId="8528"/>
    <cellStyle name="Normal 1992" xfId="8529"/>
    <cellStyle name="Normal 1992 2" xfId="8530"/>
    <cellStyle name="Normal 1992 2 2" xfId="8531"/>
    <cellStyle name="Normal 1992 2 3" xfId="8532"/>
    <cellStyle name="Normal 1992 3" xfId="8533"/>
    <cellStyle name="Normal 1992 4" xfId="8534"/>
    <cellStyle name="Normal 1993" xfId="8535"/>
    <cellStyle name="Normal 1993 2" xfId="8536"/>
    <cellStyle name="Normal 1993 2 2" xfId="8537"/>
    <cellStyle name="Normal 1993 2 3" xfId="8538"/>
    <cellStyle name="Normal 1993 3" xfId="8539"/>
    <cellStyle name="Normal 1993 4" xfId="8540"/>
    <cellStyle name="Normal 1994" xfId="8541"/>
    <cellStyle name="Normal 1994 2" xfId="8542"/>
    <cellStyle name="Normal 1994 2 2" xfId="8543"/>
    <cellStyle name="Normal 1994 2 3" xfId="8544"/>
    <cellStyle name="Normal 1994 3" xfId="8545"/>
    <cellStyle name="Normal 1994 4" xfId="8546"/>
    <cellStyle name="Normal 1995" xfId="8547"/>
    <cellStyle name="Normal 1995 2" xfId="8548"/>
    <cellStyle name="Normal 1995 2 2" xfId="8549"/>
    <cellStyle name="Normal 1995 2 3" xfId="8550"/>
    <cellStyle name="Normal 1995 3" xfId="8551"/>
    <cellStyle name="Normal 1995 4" xfId="8552"/>
    <cellStyle name="Normal 1996" xfId="8553"/>
    <cellStyle name="Normal 1996 2" xfId="8554"/>
    <cellStyle name="Normal 1996 2 2" xfId="8555"/>
    <cellStyle name="Normal 1996 2 3" xfId="8556"/>
    <cellStyle name="Normal 1996 3" xfId="8557"/>
    <cellStyle name="Normal 1996 4" xfId="8558"/>
    <cellStyle name="Normal 1997" xfId="8559"/>
    <cellStyle name="Normal 1997 2" xfId="8560"/>
    <cellStyle name="Normal 1997 2 2" xfId="8561"/>
    <cellStyle name="Normal 1997 2 3" xfId="8562"/>
    <cellStyle name="Normal 1997 3" xfId="8563"/>
    <cellStyle name="Normal 1997 4" xfId="8564"/>
    <cellStyle name="Normal 1998" xfId="8565"/>
    <cellStyle name="Normal 1998 2" xfId="8566"/>
    <cellStyle name="Normal 1998 2 2" xfId="8567"/>
    <cellStyle name="Normal 1998 2 3" xfId="8568"/>
    <cellStyle name="Normal 1998 3" xfId="8569"/>
    <cellStyle name="Normal 1998 4" xfId="8570"/>
    <cellStyle name="Normal 1999" xfId="8571"/>
    <cellStyle name="Normal 1999 2" xfId="8572"/>
    <cellStyle name="Normal 1999 2 2" xfId="8573"/>
    <cellStyle name="Normal 1999 2 3" xfId="8574"/>
    <cellStyle name="Normal 1999 3" xfId="8575"/>
    <cellStyle name="Normal 1999 4" xfId="8576"/>
    <cellStyle name="Normal 2" xfId="11"/>
    <cellStyle name="Normal 2 10" xfId="35018"/>
    <cellStyle name="Normal 2 11" xfId="35019"/>
    <cellStyle name="Normal 2 12" xfId="35020"/>
    <cellStyle name="Normal 2 2" xfId="8577"/>
    <cellStyle name="Normal 2 2 10" xfId="35021"/>
    <cellStyle name="Normal 2 2 2" xfId="8578"/>
    <cellStyle name="Normal 2 2 2 2" xfId="35022"/>
    <cellStyle name="Normal 2 2 2 2 2" xfId="35023"/>
    <cellStyle name="Normal 2 2 2 2 3" xfId="35024"/>
    <cellStyle name="Normal 2 2 2 3" xfId="35025"/>
    <cellStyle name="Normal 2 2 2 3 2" xfId="35026"/>
    <cellStyle name="Normal 2 2 2 3 3" xfId="35027"/>
    <cellStyle name="Normal 2 2 2 4" xfId="35028"/>
    <cellStyle name="Normal 2 2 2 5" xfId="35029"/>
    <cellStyle name="Normal 2 2 2 6" xfId="35030"/>
    <cellStyle name="Normal 2 2 2 7" xfId="35031"/>
    <cellStyle name="Normal 2 2 2 8" xfId="35032"/>
    <cellStyle name="Normal 2 2 3" xfId="8579"/>
    <cellStyle name="Normal 2 2 3 2" xfId="35033"/>
    <cellStyle name="Normal 2 2 3 2 2" xfId="35034"/>
    <cellStyle name="Normal 2 2 3 2 3" xfId="35035"/>
    <cellStyle name="Normal 2 2 3 3" xfId="35036"/>
    <cellStyle name="Normal 2 2 3 3 2" xfId="35037"/>
    <cellStyle name="Normal 2 2 3 3 3" xfId="35038"/>
    <cellStyle name="Normal 2 2 3 4" xfId="35039"/>
    <cellStyle name="Normal 2 2 3 5" xfId="35040"/>
    <cellStyle name="Normal 2 2 3 6" xfId="35041"/>
    <cellStyle name="Normal 2 2 3 7" xfId="35042"/>
    <cellStyle name="Normal 2 2 3 8" xfId="35043"/>
    <cellStyle name="Normal 2 2 4" xfId="35044"/>
    <cellStyle name="Normal 2 2 4 2" xfId="35045"/>
    <cellStyle name="Normal 2 2 4 3" xfId="35046"/>
    <cellStyle name="Normal 2 2 5" xfId="35047"/>
    <cellStyle name="Normal 2 2 5 2" xfId="35048"/>
    <cellStyle name="Normal 2 2 5 3" xfId="35049"/>
    <cellStyle name="Normal 2 2 6" xfId="35050"/>
    <cellStyle name="Normal 2 2 7" xfId="35051"/>
    <cellStyle name="Normal 2 2 8" xfId="35052"/>
    <cellStyle name="Normal 2 2 9" xfId="35053"/>
    <cellStyle name="Normal 2 3" xfId="8580"/>
    <cellStyle name="Normal 2 3 10" xfId="35054"/>
    <cellStyle name="Normal 2 3 2" xfId="8581"/>
    <cellStyle name="Normal 2 3 2 2" xfId="8582"/>
    <cellStyle name="Normal 2 3 2 2 2" xfId="8583"/>
    <cellStyle name="Normal 2 3 2 2 3" xfId="8584"/>
    <cellStyle name="Normal 2 3 2 2 4" xfId="35055"/>
    <cellStyle name="Normal 2 3 2 2 5" xfId="35056"/>
    <cellStyle name="Normal 2 3 2 2 6" xfId="35057"/>
    <cellStyle name="Normal 2 3 2 3" xfId="8585"/>
    <cellStyle name="Normal 2 3 2 3 2" xfId="35058"/>
    <cellStyle name="Normal 2 3 2 3 3" xfId="35059"/>
    <cellStyle name="Normal 2 3 2 4" xfId="8586"/>
    <cellStyle name="Normal 2 3 2 5" xfId="35060"/>
    <cellStyle name="Normal 2 3 2 6" xfId="35061"/>
    <cellStyle name="Normal 2 3 2 7" xfId="35062"/>
    <cellStyle name="Normal 2 3 2 8" xfId="35063"/>
    <cellStyle name="Normal 2 3 3" xfId="8587"/>
    <cellStyle name="Normal 2 3 3 2" xfId="8588"/>
    <cellStyle name="Normal 2 3 3 2 2" xfId="35064"/>
    <cellStyle name="Normal 2 3 3 2 3" xfId="35065"/>
    <cellStyle name="Normal 2 3 3 2 4" xfId="35066"/>
    <cellStyle name="Normal 2 3 3 3" xfId="8589"/>
    <cellStyle name="Normal 2 3 3 4" xfId="35067"/>
    <cellStyle name="Normal 2 3 3 5" xfId="35068"/>
    <cellStyle name="Normal 2 3 3 6" xfId="35069"/>
    <cellStyle name="Normal 2 3 4" xfId="8590"/>
    <cellStyle name="Normal 2 3 4 2" xfId="8591"/>
    <cellStyle name="Normal 2 3 4 2 2" xfId="35070"/>
    <cellStyle name="Normal 2 3 4 2 3" xfId="35071"/>
    <cellStyle name="Normal 2 3 4 2 4" xfId="35072"/>
    <cellStyle name="Normal 2 3 4 3" xfId="35073"/>
    <cellStyle name="Normal 2 3 4 4" xfId="35074"/>
    <cellStyle name="Normal 2 3 4 5" xfId="35075"/>
    <cellStyle name="Normal 2 3 4 6" xfId="35076"/>
    <cellStyle name="Normal 2 3 5" xfId="8592"/>
    <cellStyle name="Normal 2 3 5 2" xfId="35077"/>
    <cellStyle name="Normal 2 3 5 2 2" xfId="35078"/>
    <cellStyle name="Normal 2 3 5 2 3" xfId="35079"/>
    <cellStyle name="Normal 2 3 5 3" xfId="35080"/>
    <cellStyle name="Normal 2 3 5 4" xfId="35081"/>
    <cellStyle name="Normal 2 3 5 5" xfId="35082"/>
    <cellStyle name="Normal 2 3 6" xfId="35083"/>
    <cellStyle name="Normal 2 3 6 2" xfId="35084"/>
    <cellStyle name="Normal 2 3 6 3" xfId="35085"/>
    <cellStyle name="Normal 2 3 6 4" xfId="35086"/>
    <cellStyle name="Normal 2 3 7" xfId="35087"/>
    <cellStyle name="Normal 2 3 7 2" xfId="35088"/>
    <cellStyle name="Normal 2 3 7 2 2" xfId="35089"/>
    <cellStyle name="Normal 2 3 7 2 3" xfId="35090"/>
    <cellStyle name="Normal 2 3 7 3" xfId="35091"/>
    <cellStyle name="Normal 2 3 7 4" xfId="35092"/>
    <cellStyle name="Normal 2 3 8" xfId="35093"/>
    <cellStyle name="Normal 2 3 9" xfId="35094"/>
    <cellStyle name="Normal 2 4" xfId="8593"/>
    <cellStyle name="Normal 2 4 2" xfId="8594"/>
    <cellStyle name="Normal 2 4 2 2" xfId="8595"/>
    <cellStyle name="Normal 2 4 2 3" xfId="8596"/>
    <cellStyle name="Normal 2 4 2 4" xfId="35095"/>
    <cellStyle name="Normal 2 4 2 5" xfId="35096"/>
    <cellStyle name="Normal 2 4 2 6" xfId="35097"/>
    <cellStyle name="Normal 2 4 3" xfId="8597"/>
    <cellStyle name="Normal 2 4 3 2" xfId="35098"/>
    <cellStyle name="Normal 2 4 3 3" xfId="35099"/>
    <cellStyle name="Normal 2 4 4" xfId="8598"/>
    <cellStyle name="Normal 2 4 5" xfId="35100"/>
    <cellStyle name="Normal 2 4 6" xfId="35101"/>
    <cellStyle name="Normal 2 4 7" xfId="35102"/>
    <cellStyle name="Normal 2 4 8" xfId="35103"/>
    <cellStyle name="Normal 2 5" xfId="8599"/>
    <cellStyle name="Normal 2 5 2" xfId="8600"/>
    <cellStyle name="Normal 2 5 2 2" xfId="35104"/>
    <cellStyle name="Normal 2 5 2 3" xfId="35105"/>
    <cellStyle name="Normal 2 5 3" xfId="8601"/>
    <cellStyle name="Normal 2 5 3 2" xfId="35106"/>
    <cellStyle name="Normal 2 5 3 3" xfId="35107"/>
    <cellStyle name="Normal 2 5 4" xfId="35108"/>
    <cellStyle name="Normal 2 5 5" xfId="35109"/>
    <cellStyle name="Normal 2 5 6" xfId="35110"/>
    <cellStyle name="Normal 2 5 7" xfId="35111"/>
    <cellStyle name="Normal 2 5 8" xfId="35112"/>
    <cellStyle name="Normal 2 6" xfId="8602"/>
    <cellStyle name="Normal 2 6 2" xfId="35113"/>
    <cellStyle name="Normal 2 6 2 2" xfId="35114"/>
    <cellStyle name="Normal 2 6 2 3" xfId="35115"/>
    <cellStyle name="Normal 2 6 3" xfId="35116"/>
    <cellStyle name="Normal 2 6 4" xfId="35117"/>
    <cellStyle name="Normal 2 6 5" xfId="35118"/>
    <cellStyle name="Normal 2 6 6" xfId="35119"/>
    <cellStyle name="Normal 2 6 7" xfId="35120"/>
    <cellStyle name="Normal 2 7" xfId="8603"/>
    <cellStyle name="Normal 2 7 2" xfId="35121"/>
    <cellStyle name="Normal 2 7 3" xfId="35122"/>
    <cellStyle name="Normal 2 8" xfId="35123"/>
    <cellStyle name="Normal 2 9" xfId="35124"/>
    <cellStyle name="Normal 20" xfId="8604"/>
    <cellStyle name="Normal 20 10" xfId="35125"/>
    <cellStyle name="Normal 20 2" xfId="8605"/>
    <cellStyle name="Normal 20 2 2" xfId="8606"/>
    <cellStyle name="Normal 20 2 2 2" xfId="8607"/>
    <cellStyle name="Normal 20 2 2 3" xfId="8608"/>
    <cellStyle name="Normal 20 2 3" xfId="8609"/>
    <cellStyle name="Normal 20 2 3 2" xfId="35126"/>
    <cellStyle name="Normal 20 2 3 3" xfId="35127"/>
    <cellStyle name="Normal 20 2 4" xfId="8610"/>
    <cellStyle name="Normal 20 2 5" xfId="8611"/>
    <cellStyle name="Normal 20 2 6" xfId="35128"/>
    <cellStyle name="Normal 20 2 7" xfId="35129"/>
    <cellStyle name="Normal 20 2 8" xfId="35130"/>
    <cellStyle name="Normal 20 3" xfId="8612"/>
    <cellStyle name="Normal 20 3 2" xfId="8613"/>
    <cellStyle name="Normal 20 3 2 2" xfId="35131"/>
    <cellStyle name="Normal 20 3 2 3" xfId="35132"/>
    <cellStyle name="Normal 20 3 3" xfId="8614"/>
    <cellStyle name="Normal 20 3 3 2" xfId="35133"/>
    <cellStyle name="Normal 20 3 3 3" xfId="35134"/>
    <cellStyle name="Normal 20 3 4" xfId="8615"/>
    <cellStyle name="Normal 20 3 5" xfId="35135"/>
    <cellStyle name="Normal 20 4" xfId="8616"/>
    <cellStyle name="Normal 20 4 2" xfId="35136"/>
    <cellStyle name="Normal 20 4 3" xfId="35137"/>
    <cellStyle name="Normal 20 5" xfId="8617"/>
    <cellStyle name="Normal 20 5 2" xfId="35138"/>
    <cellStyle name="Normal 20 5 3" xfId="35139"/>
    <cellStyle name="Normal 20 6" xfId="8618"/>
    <cellStyle name="Normal 20 7" xfId="35140"/>
    <cellStyle name="Normal 20 8" xfId="35141"/>
    <cellStyle name="Normal 20 9" xfId="35142"/>
    <cellStyle name="Normal 200" xfId="8619"/>
    <cellStyle name="Normal 200 10" xfId="35143"/>
    <cellStyle name="Normal 200 2" xfId="8620"/>
    <cellStyle name="Normal 200 2 2" xfId="8621"/>
    <cellStyle name="Normal 200 2 2 2" xfId="8622"/>
    <cellStyle name="Normal 200 2 2 3" xfId="8623"/>
    <cellStyle name="Normal 200 2 3" xfId="8624"/>
    <cellStyle name="Normal 200 2 3 2" xfId="35144"/>
    <cellStyle name="Normal 200 2 3 3" xfId="35145"/>
    <cellStyle name="Normal 200 2 4" xfId="8625"/>
    <cellStyle name="Normal 200 2 5" xfId="8626"/>
    <cellStyle name="Normal 200 2 6" xfId="35146"/>
    <cellStyle name="Normal 200 2 7" xfId="35147"/>
    <cellStyle name="Normal 200 2 8" xfId="35148"/>
    <cellStyle name="Normal 200 3" xfId="8627"/>
    <cellStyle name="Normal 200 3 2" xfId="8628"/>
    <cellStyle name="Normal 200 3 2 2" xfId="35149"/>
    <cellStyle name="Normal 200 3 2 3" xfId="35150"/>
    <cellStyle name="Normal 200 3 3" xfId="8629"/>
    <cellStyle name="Normal 200 3 3 2" xfId="35151"/>
    <cellStyle name="Normal 200 3 3 3" xfId="35152"/>
    <cellStyle name="Normal 200 3 4" xfId="35153"/>
    <cellStyle name="Normal 200 3 5" xfId="35154"/>
    <cellStyle name="Normal 200 4" xfId="8630"/>
    <cellStyle name="Normal 200 4 2" xfId="35155"/>
    <cellStyle name="Normal 200 4 3" xfId="35156"/>
    <cellStyle name="Normal 200 5" xfId="8631"/>
    <cellStyle name="Normal 200 5 2" xfId="35157"/>
    <cellStyle name="Normal 200 5 3" xfId="35158"/>
    <cellStyle name="Normal 200 6" xfId="8632"/>
    <cellStyle name="Normal 200 7" xfId="35159"/>
    <cellStyle name="Normal 200 8" xfId="35160"/>
    <cellStyle name="Normal 200 9" xfId="35161"/>
    <cellStyle name="Normal 2000" xfId="8633"/>
    <cellStyle name="Normal 2000 2" xfId="8634"/>
    <cellStyle name="Normal 2000 2 2" xfId="8635"/>
    <cellStyle name="Normal 2000 2 3" xfId="8636"/>
    <cellStyle name="Normal 2000 3" xfId="8637"/>
    <cellStyle name="Normal 2000 4" xfId="8638"/>
    <cellStyle name="Normal 2001" xfId="8639"/>
    <cellStyle name="Normal 2001 2" xfId="8640"/>
    <cellStyle name="Normal 2001 2 2" xfId="8641"/>
    <cellStyle name="Normal 2001 2 3" xfId="8642"/>
    <cellStyle name="Normal 2001 3" xfId="8643"/>
    <cellStyle name="Normal 2001 4" xfId="8644"/>
    <cellStyle name="Normal 2002" xfId="8645"/>
    <cellStyle name="Normal 2002 2" xfId="8646"/>
    <cellStyle name="Normal 2002 2 2" xfId="8647"/>
    <cellStyle name="Normal 2002 2 3" xfId="8648"/>
    <cellStyle name="Normal 2002 3" xfId="8649"/>
    <cellStyle name="Normal 2002 4" xfId="8650"/>
    <cellStyle name="Normal 2003" xfId="8651"/>
    <cellStyle name="Normal 2003 2" xfId="8652"/>
    <cellStyle name="Normal 2003 2 2" xfId="8653"/>
    <cellStyle name="Normal 2003 2 3" xfId="8654"/>
    <cellStyle name="Normal 2003 3" xfId="8655"/>
    <cellStyle name="Normal 2003 4" xfId="8656"/>
    <cellStyle name="Normal 2004" xfId="8657"/>
    <cellStyle name="Normal 2004 2" xfId="8658"/>
    <cellStyle name="Normal 2004 2 2" xfId="8659"/>
    <cellStyle name="Normal 2004 2 3" xfId="8660"/>
    <cellStyle name="Normal 2004 3" xfId="8661"/>
    <cellStyle name="Normal 2004 4" xfId="8662"/>
    <cellStyle name="Normal 2005" xfId="8663"/>
    <cellStyle name="Normal 2005 2" xfId="8664"/>
    <cellStyle name="Normal 2005 2 2" xfId="8665"/>
    <cellStyle name="Normal 2005 2 3" xfId="8666"/>
    <cellStyle name="Normal 2005 3" xfId="8667"/>
    <cellStyle name="Normal 2005 4" xfId="8668"/>
    <cellStyle name="Normal 2006" xfId="8669"/>
    <cellStyle name="Normal 2006 2" xfId="8670"/>
    <cellStyle name="Normal 2006 2 2" xfId="8671"/>
    <cellStyle name="Normal 2006 2 3" xfId="8672"/>
    <cellStyle name="Normal 2006 3" xfId="8673"/>
    <cellStyle name="Normal 2006 4" xfId="8674"/>
    <cellStyle name="Normal 2007" xfId="8675"/>
    <cellStyle name="Normal 2007 2" xfId="8676"/>
    <cellStyle name="Normal 2007 2 2" xfId="8677"/>
    <cellStyle name="Normal 2007 2 3" xfId="8678"/>
    <cellStyle name="Normal 2007 3" xfId="8679"/>
    <cellStyle name="Normal 2007 4" xfId="8680"/>
    <cellStyle name="Normal 2008" xfId="8681"/>
    <cellStyle name="Normal 2008 2" xfId="8682"/>
    <cellStyle name="Normal 2008 2 2" xfId="8683"/>
    <cellStyle name="Normal 2008 2 3" xfId="8684"/>
    <cellStyle name="Normal 2008 3" xfId="8685"/>
    <cellStyle name="Normal 2008 4" xfId="8686"/>
    <cellStyle name="Normal 2009" xfId="8687"/>
    <cellStyle name="Normal 2009 2" xfId="8688"/>
    <cellStyle name="Normal 2009 2 2" xfId="8689"/>
    <cellStyle name="Normal 2009 2 3" xfId="8690"/>
    <cellStyle name="Normal 2009 3" xfId="8691"/>
    <cellStyle name="Normal 2009 4" xfId="8692"/>
    <cellStyle name="Normal 201" xfId="8693"/>
    <cellStyle name="Normal 201 10" xfId="35162"/>
    <cellStyle name="Normal 201 2" xfId="8694"/>
    <cellStyle name="Normal 201 2 2" xfId="8695"/>
    <cellStyle name="Normal 201 2 2 2" xfId="8696"/>
    <cellStyle name="Normal 201 2 2 3" xfId="8697"/>
    <cellStyle name="Normal 201 2 3" xfId="8698"/>
    <cellStyle name="Normal 201 2 3 2" xfId="35163"/>
    <cellStyle name="Normal 201 2 3 3" xfId="35164"/>
    <cellStyle name="Normal 201 2 4" xfId="8699"/>
    <cellStyle name="Normal 201 2 5" xfId="8700"/>
    <cellStyle name="Normal 201 2 6" xfId="35165"/>
    <cellStyle name="Normal 201 2 7" xfId="35166"/>
    <cellStyle name="Normal 201 2 8" xfId="35167"/>
    <cellStyle name="Normal 201 3" xfId="8701"/>
    <cellStyle name="Normal 201 3 2" xfId="8702"/>
    <cellStyle name="Normal 201 3 2 2" xfId="35168"/>
    <cellStyle name="Normal 201 3 2 3" xfId="35169"/>
    <cellStyle name="Normal 201 3 3" xfId="8703"/>
    <cellStyle name="Normal 201 3 3 2" xfId="35170"/>
    <cellStyle name="Normal 201 3 3 3" xfId="35171"/>
    <cellStyle name="Normal 201 3 4" xfId="35172"/>
    <cellStyle name="Normal 201 3 5" xfId="35173"/>
    <cellStyle name="Normal 201 4" xfId="8704"/>
    <cellStyle name="Normal 201 4 2" xfId="35174"/>
    <cellStyle name="Normal 201 4 3" xfId="35175"/>
    <cellStyle name="Normal 201 5" xfId="8705"/>
    <cellStyle name="Normal 201 5 2" xfId="35176"/>
    <cellStyle name="Normal 201 5 3" xfId="35177"/>
    <cellStyle name="Normal 201 6" xfId="8706"/>
    <cellStyle name="Normal 201 7" xfId="35178"/>
    <cellStyle name="Normal 201 8" xfId="35179"/>
    <cellStyle name="Normal 201 9" xfId="35180"/>
    <cellStyle name="Normal 2010" xfId="8707"/>
    <cellStyle name="Normal 2010 2" xfId="8708"/>
    <cellStyle name="Normal 2010 2 2" xfId="8709"/>
    <cellStyle name="Normal 2010 2 3" xfId="8710"/>
    <cellStyle name="Normal 2010 3" xfId="8711"/>
    <cellStyle name="Normal 2010 4" xfId="8712"/>
    <cellStyle name="Normal 2011" xfId="8713"/>
    <cellStyle name="Normal 2011 2" xfId="8714"/>
    <cellStyle name="Normal 2011 2 2" xfId="8715"/>
    <cellStyle name="Normal 2011 2 3" xfId="8716"/>
    <cellStyle name="Normal 2011 3" xfId="8717"/>
    <cellStyle name="Normal 2011 4" xfId="8718"/>
    <cellStyle name="Normal 2012" xfId="8719"/>
    <cellStyle name="Normal 2012 2" xfId="8720"/>
    <cellStyle name="Normal 2012 2 2" xfId="8721"/>
    <cellStyle name="Normal 2012 2 3" xfId="8722"/>
    <cellStyle name="Normal 2012 3" xfId="8723"/>
    <cellStyle name="Normal 2012 4" xfId="8724"/>
    <cellStyle name="Normal 2013" xfId="8725"/>
    <cellStyle name="Normal 2013 2" xfId="8726"/>
    <cellStyle name="Normal 2013 2 2" xfId="8727"/>
    <cellStyle name="Normal 2013 2 3" xfId="8728"/>
    <cellStyle name="Normal 2013 3" xfId="8729"/>
    <cellStyle name="Normal 2013 4" xfId="8730"/>
    <cellStyle name="Normal 2014" xfId="8731"/>
    <cellStyle name="Normal 2014 2" xfId="8732"/>
    <cellStyle name="Normal 2014 2 2" xfId="8733"/>
    <cellStyle name="Normal 2014 2 3" xfId="8734"/>
    <cellStyle name="Normal 2014 3" xfId="8735"/>
    <cellStyle name="Normal 2014 4" xfId="8736"/>
    <cellStyle name="Normal 2015" xfId="8737"/>
    <cellStyle name="Normal 2015 2" xfId="8738"/>
    <cellStyle name="Normal 2015 2 2" xfId="8739"/>
    <cellStyle name="Normal 2015 2 3" xfId="8740"/>
    <cellStyle name="Normal 2015 3" xfId="8741"/>
    <cellStyle name="Normal 2015 4" xfId="8742"/>
    <cellStyle name="Normal 2016" xfId="8743"/>
    <cellStyle name="Normal 2016 2" xfId="8744"/>
    <cellStyle name="Normal 2016 2 2" xfId="8745"/>
    <cellStyle name="Normal 2016 2 3" xfId="8746"/>
    <cellStyle name="Normal 2016 3" xfId="8747"/>
    <cellStyle name="Normal 2016 4" xfId="8748"/>
    <cellStyle name="Normal 2017" xfId="8749"/>
    <cellStyle name="Normal 2017 2" xfId="8750"/>
    <cellStyle name="Normal 2017 2 2" xfId="8751"/>
    <cellStyle name="Normal 2017 2 3" xfId="8752"/>
    <cellStyle name="Normal 2017 3" xfId="8753"/>
    <cellStyle name="Normal 2017 4" xfId="8754"/>
    <cellStyle name="Normal 2018" xfId="8755"/>
    <cellStyle name="Normal 2018 2" xfId="8756"/>
    <cellStyle name="Normal 2018 2 2" xfId="8757"/>
    <cellStyle name="Normal 2018 2 3" xfId="8758"/>
    <cellStyle name="Normal 2018 3" xfId="8759"/>
    <cellStyle name="Normal 2018 4" xfId="8760"/>
    <cellStyle name="Normal 2019" xfId="8761"/>
    <cellStyle name="Normal 2019 2" xfId="8762"/>
    <cellStyle name="Normal 2019 2 2" xfId="8763"/>
    <cellStyle name="Normal 2019 2 3" xfId="8764"/>
    <cellStyle name="Normal 2019 3" xfId="8765"/>
    <cellStyle name="Normal 2019 4" xfId="8766"/>
    <cellStyle name="Normal 202" xfId="8767"/>
    <cellStyle name="Normal 202 10" xfId="35181"/>
    <cellStyle name="Normal 202 2" xfId="8768"/>
    <cellStyle name="Normal 202 2 2" xfId="8769"/>
    <cellStyle name="Normal 202 2 2 2" xfId="8770"/>
    <cellStyle name="Normal 202 2 2 3" xfId="8771"/>
    <cellStyle name="Normal 202 2 3" xfId="8772"/>
    <cellStyle name="Normal 202 2 3 2" xfId="35182"/>
    <cellStyle name="Normal 202 2 3 3" xfId="35183"/>
    <cellStyle name="Normal 202 2 4" xfId="8773"/>
    <cellStyle name="Normal 202 2 5" xfId="8774"/>
    <cellStyle name="Normal 202 2 6" xfId="35184"/>
    <cellStyle name="Normal 202 2 7" xfId="35185"/>
    <cellStyle name="Normal 202 2 8" xfId="35186"/>
    <cellStyle name="Normal 202 3" xfId="8775"/>
    <cellStyle name="Normal 202 3 2" xfId="8776"/>
    <cellStyle name="Normal 202 3 2 2" xfId="35187"/>
    <cellStyle name="Normal 202 3 2 3" xfId="35188"/>
    <cellStyle name="Normal 202 3 3" xfId="8777"/>
    <cellStyle name="Normal 202 3 3 2" xfId="35189"/>
    <cellStyle name="Normal 202 3 3 3" xfId="35190"/>
    <cellStyle name="Normal 202 3 4" xfId="35191"/>
    <cellStyle name="Normal 202 3 5" xfId="35192"/>
    <cellStyle name="Normal 202 4" xfId="8778"/>
    <cellStyle name="Normal 202 4 2" xfId="35193"/>
    <cellStyle name="Normal 202 4 3" xfId="35194"/>
    <cellStyle name="Normal 202 5" xfId="8779"/>
    <cellStyle name="Normal 202 5 2" xfId="35195"/>
    <cellStyle name="Normal 202 5 3" xfId="35196"/>
    <cellStyle name="Normal 202 6" xfId="8780"/>
    <cellStyle name="Normal 202 7" xfId="35197"/>
    <cellStyle name="Normal 202 8" xfId="35198"/>
    <cellStyle name="Normal 202 9" xfId="35199"/>
    <cellStyle name="Normal 2020" xfId="8781"/>
    <cellStyle name="Normal 2020 2" xfId="8782"/>
    <cellStyle name="Normal 2020 2 2" xfId="8783"/>
    <cellStyle name="Normal 2020 2 3" xfId="8784"/>
    <cellStyle name="Normal 2020 3" xfId="8785"/>
    <cellStyle name="Normal 2020 4" xfId="8786"/>
    <cellStyle name="Normal 2021" xfId="8787"/>
    <cellStyle name="Normal 2021 2" xfId="8788"/>
    <cellStyle name="Normal 2021 2 2" xfId="8789"/>
    <cellStyle name="Normal 2021 2 3" xfId="8790"/>
    <cellStyle name="Normal 2021 3" xfId="8791"/>
    <cellStyle name="Normal 2021 4" xfId="8792"/>
    <cellStyle name="Normal 2022" xfId="8793"/>
    <cellStyle name="Normal 2022 2" xfId="8794"/>
    <cellStyle name="Normal 2022 2 2" xfId="8795"/>
    <cellStyle name="Normal 2022 2 3" xfId="8796"/>
    <cellStyle name="Normal 2022 3" xfId="8797"/>
    <cellStyle name="Normal 2022 4" xfId="8798"/>
    <cellStyle name="Normal 2023" xfId="8799"/>
    <cellStyle name="Normal 2023 2" xfId="8800"/>
    <cellStyle name="Normal 2023 2 2" xfId="8801"/>
    <cellStyle name="Normal 2023 2 3" xfId="8802"/>
    <cellStyle name="Normal 2023 3" xfId="8803"/>
    <cellStyle name="Normal 2023 4" xfId="8804"/>
    <cellStyle name="Normal 2024" xfId="8805"/>
    <cellStyle name="Normal 2024 2" xfId="8806"/>
    <cellStyle name="Normal 2024 2 2" xfId="8807"/>
    <cellStyle name="Normal 2024 2 3" xfId="8808"/>
    <cellStyle name="Normal 2024 3" xfId="8809"/>
    <cellStyle name="Normal 2024 4" xfId="8810"/>
    <cellStyle name="Normal 2025" xfId="8811"/>
    <cellStyle name="Normal 2025 2" xfId="8812"/>
    <cellStyle name="Normal 2025 2 2" xfId="8813"/>
    <cellStyle name="Normal 2025 2 3" xfId="8814"/>
    <cellStyle name="Normal 2025 3" xfId="8815"/>
    <cellStyle name="Normal 2025 4" xfId="8816"/>
    <cellStyle name="Normal 2026" xfId="8817"/>
    <cellStyle name="Normal 2026 2" xfId="8818"/>
    <cellStyle name="Normal 2026 2 2" xfId="8819"/>
    <cellStyle name="Normal 2026 2 3" xfId="8820"/>
    <cellStyle name="Normal 2026 3" xfId="8821"/>
    <cellStyle name="Normal 2026 4" xfId="8822"/>
    <cellStyle name="Normal 2027" xfId="8823"/>
    <cellStyle name="Normal 2027 2" xfId="8824"/>
    <cellStyle name="Normal 2027 2 2" xfId="8825"/>
    <cellStyle name="Normal 2027 2 3" xfId="8826"/>
    <cellStyle name="Normal 2027 3" xfId="8827"/>
    <cellStyle name="Normal 2027 4" xfId="8828"/>
    <cellStyle name="Normal 2028" xfId="8829"/>
    <cellStyle name="Normal 2028 2" xfId="8830"/>
    <cellStyle name="Normal 2028 2 2" xfId="8831"/>
    <cellStyle name="Normal 2028 2 3" xfId="8832"/>
    <cellStyle name="Normal 2028 3" xfId="8833"/>
    <cellStyle name="Normal 2028 4" xfId="8834"/>
    <cellStyle name="Normal 2029" xfId="8835"/>
    <cellStyle name="Normal 2029 2" xfId="8836"/>
    <cellStyle name="Normal 2029 2 2" xfId="8837"/>
    <cellStyle name="Normal 2029 2 3" xfId="8838"/>
    <cellStyle name="Normal 2029 3" xfId="8839"/>
    <cellStyle name="Normal 2029 4" xfId="8840"/>
    <cellStyle name="Normal 203" xfId="8841"/>
    <cellStyle name="Normal 203 10" xfId="35200"/>
    <cellStyle name="Normal 203 2" xfId="8842"/>
    <cellStyle name="Normal 203 2 2" xfId="8843"/>
    <cellStyle name="Normal 203 2 2 2" xfId="8844"/>
    <cellStyle name="Normal 203 2 2 3" xfId="8845"/>
    <cellStyle name="Normal 203 2 3" xfId="8846"/>
    <cellStyle name="Normal 203 2 3 2" xfId="35201"/>
    <cellStyle name="Normal 203 2 3 3" xfId="35202"/>
    <cellStyle name="Normal 203 2 4" xfId="8847"/>
    <cellStyle name="Normal 203 2 5" xfId="8848"/>
    <cellStyle name="Normal 203 2 6" xfId="35203"/>
    <cellStyle name="Normal 203 2 7" xfId="35204"/>
    <cellStyle name="Normal 203 2 8" xfId="35205"/>
    <cellStyle name="Normal 203 3" xfId="8849"/>
    <cellStyle name="Normal 203 3 2" xfId="8850"/>
    <cellStyle name="Normal 203 3 2 2" xfId="35206"/>
    <cellStyle name="Normal 203 3 2 3" xfId="35207"/>
    <cellStyle name="Normal 203 3 3" xfId="8851"/>
    <cellStyle name="Normal 203 3 3 2" xfId="35208"/>
    <cellStyle name="Normal 203 3 3 3" xfId="35209"/>
    <cellStyle name="Normal 203 3 4" xfId="35210"/>
    <cellStyle name="Normal 203 3 5" xfId="35211"/>
    <cellStyle name="Normal 203 4" xfId="8852"/>
    <cellStyle name="Normal 203 4 2" xfId="35212"/>
    <cellStyle name="Normal 203 4 3" xfId="35213"/>
    <cellStyle name="Normal 203 5" xfId="8853"/>
    <cellStyle name="Normal 203 5 2" xfId="35214"/>
    <cellStyle name="Normal 203 5 3" xfId="35215"/>
    <cellStyle name="Normal 203 6" xfId="8854"/>
    <cellStyle name="Normal 203 7" xfId="35216"/>
    <cellStyle name="Normal 203 8" xfId="35217"/>
    <cellStyle name="Normal 203 9" xfId="35218"/>
    <cellStyle name="Normal 2030" xfId="8855"/>
    <cellStyle name="Normal 2030 2" xfId="8856"/>
    <cellStyle name="Normal 2030 2 2" xfId="8857"/>
    <cellStyle name="Normal 2030 2 3" xfId="8858"/>
    <cellStyle name="Normal 2030 3" xfId="8859"/>
    <cellStyle name="Normal 2030 4" xfId="8860"/>
    <cellStyle name="Normal 2031" xfId="8861"/>
    <cellStyle name="Normal 2031 2" xfId="8862"/>
    <cellStyle name="Normal 2031 2 2" xfId="8863"/>
    <cellStyle name="Normal 2031 2 3" xfId="8864"/>
    <cellStyle name="Normal 2031 3" xfId="8865"/>
    <cellStyle name="Normal 2031 4" xfId="8866"/>
    <cellStyle name="Normal 2032" xfId="8867"/>
    <cellStyle name="Normal 2032 2" xfId="8868"/>
    <cellStyle name="Normal 2032 2 2" xfId="8869"/>
    <cellStyle name="Normal 2032 2 3" xfId="8870"/>
    <cellStyle name="Normal 2032 3" xfId="8871"/>
    <cellStyle name="Normal 2032 4" xfId="8872"/>
    <cellStyle name="Normal 2033" xfId="8873"/>
    <cellStyle name="Normal 2033 2" xfId="8874"/>
    <cellStyle name="Normal 2033 2 2" xfId="8875"/>
    <cellStyle name="Normal 2033 2 3" xfId="8876"/>
    <cellStyle name="Normal 2033 3" xfId="8877"/>
    <cellStyle name="Normal 2033 4" xfId="8878"/>
    <cellStyle name="Normal 2034" xfId="8879"/>
    <cellStyle name="Normal 2034 2" xfId="8880"/>
    <cellStyle name="Normal 2034 2 2" xfId="8881"/>
    <cellStyle name="Normal 2034 2 3" xfId="8882"/>
    <cellStyle name="Normal 2034 3" xfId="8883"/>
    <cellStyle name="Normal 2034 4" xfId="8884"/>
    <cellStyle name="Normal 2035" xfId="8885"/>
    <cellStyle name="Normal 2035 2" xfId="8886"/>
    <cellStyle name="Normal 2035 2 2" xfId="8887"/>
    <cellStyle name="Normal 2035 2 3" xfId="8888"/>
    <cellStyle name="Normal 2035 3" xfId="8889"/>
    <cellStyle name="Normal 2035 4" xfId="8890"/>
    <cellStyle name="Normal 2036" xfId="8891"/>
    <cellStyle name="Normal 2036 2" xfId="8892"/>
    <cellStyle name="Normal 2036 2 2" xfId="8893"/>
    <cellStyle name="Normal 2036 2 3" xfId="8894"/>
    <cellStyle name="Normal 2036 3" xfId="8895"/>
    <cellStyle name="Normal 2036 4" xfId="8896"/>
    <cellStyle name="Normal 2037" xfId="8897"/>
    <cellStyle name="Normal 2037 2" xfId="8898"/>
    <cellStyle name="Normal 2037 2 2" xfId="8899"/>
    <cellStyle name="Normal 2037 2 3" xfId="8900"/>
    <cellStyle name="Normal 2037 3" xfId="8901"/>
    <cellStyle name="Normal 2037 4" xfId="8902"/>
    <cellStyle name="Normal 2038" xfId="8903"/>
    <cellStyle name="Normal 2038 2" xfId="8904"/>
    <cellStyle name="Normal 2038 2 2" xfId="8905"/>
    <cellStyle name="Normal 2038 2 3" xfId="8906"/>
    <cellStyle name="Normal 2038 3" xfId="8907"/>
    <cellStyle name="Normal 2038 4" xfId="8908"/>
    <cellStyle name="Normal 2039" xfId="8909"/>
    <cellStyle name="Normal 2039 2" xfId="8910"/>
    <cellStyle name="Normal 2039 2 2" xfId="8911"/>
    <cellStyle name="Normal 2039 2 3" xfId="8912"/>
    <cellStyle name="Normal 2039 3" xfId="8913"/>
    <cellStyle name="Normal 2039 4" xfId="8914"/>
    <cellStyle name="Normal 204" xfId="8915"/>
    <cellStyle name="Normal 204 10" xfId="35219"/>
    <cellStyle name="Normal 204 2" xfId="8916"/>
    <cellStyle name="Normal 204 2 2" xfId="8917"/>
    <cellStyle name="Normal 204 2 2 2" xfId="8918"/>
    <cellStyle name="Normal 204 2 2 3" xfId="8919"/>
    <cellStyle name="Normal 204 2 3" xfId="8920"/>
    <cellStyle name="Normal 204 2 3 2" xfId="35220"/>
    <cellStyle name="Normal 204 2 3 3" xfId="35221"/>
    <cellStyle name="Normal 204 2 4" xfId="8921"/>
    <cellStyle name="Normal 204 2 5" xfId="8922"/>
    <cellStyle name="Normal 204 2 6" xfId="35222"/>
    <cellStyle name="Normal 204 2 7" xfId="35223"/>
    <cellStyle name="Normal 204 2 8" xfId="35224"/>
    <cellStyle name="Normal 204 3" xfId="8923"/>
    <cellStyle name="Normal 204 3 2" xfId="8924"/>
    <cellStyle name="Normal 204 3 2 2" xfId="35225"/>
    <cellStyle name="Normal 204 3 2 3" xfId="35226"/>
    <cellStyle name="Normal 204 3 3" xfId="8925"/>
    <cellStyle name="Normal 204 3 3 2" xfId="35227"/>
    <cellStyle name="Normal 204 3 3 3" xfId="35228"/>
    <cellStyle name="Normal 204 3 4" xfId="35229"/>
    <cellStyle name="Normal 204 3 5" xfId="35230"/>
    <cellStyle name="Normal 204 4" xfId="8926"/>
    <cellStyle name="Normal 204 4 2" xfId="35231"/>
    <cellStyle name="Normal 204 4 3" xfId="35232"/>
    <cellStyle name="Normal 204 5" xfId="8927"/>
    <cellStyle name="Normal 204 5 2" xfId="35233"/>
    <cellStyle name="Normal 204 5 3" xfId="35234"/>
    <cellStyle name="Normal 204 6" xfId="8928"/>
    <cellStyle name="Normal 204 7" xfId="35235"/>
    <cellStyle name="Normal 204 8" xfId="35236"/>
    <cellStyle name="Normal 204 9" xfId="35237"/>
    <cellStyle name="Normal 2040" xfId="8929"/>
    <cellStyle name="Normal 2040 2" xfId="8930"/>
    <cellStyle name="Normal 2040 2 2" xfId="8931"/>
    <cellStyle name="Normal 2040 2 3" xfId="8932"/>
    <cellStyle name="Normal 2040 3" xfId="8933"/>
    <cellStyle name="Normal 2040 4" xfId="8934"/>
    <cellStyle name="Normal 2041" xfId="8935"/>
    <cellStyle name="Normal 2041 2" xfId="8936"/>
    <cellStyle name="Normal 2041 2 2" xfId="8937"/>
    <cellStyle name="Normal 2041 2 3" xfId="8938"/>
    <cellStyle name="Normal 2041 3" xfId="8939"/>
    <cellStyle name="Normal 2041 4" xfId="8940"/>
    <cellStyle name="Normal 2042" xfId="8941"/>
    <cellStyle name="Normal 2042 2" xfId="8942"/>
    <cellStyle name="Normal 2042 2 2" xfId="8943"/>
    <cellStyle name="Normal 2042 2 3" xfId="8944"/>
    <cellStyle name="Normal 2042 3" xfId="8945"/>
    <cellStyle name="Normal 2042 4" xfId="8946"/>
    <cellStyle name="Normal 2043" xfId="8947"/>
    <cellStyle name="Normal 2043 2" xfId="8948"/>
    <cellStyle name="Normal 2043 2 2" xfId="8949"/>
    <cellStyle name="Normal 2043 2 3" xfId="8950"/>
    <cellStyle name="Normal 2043 3" xfId="8951"/>
    <cellStyle name="Normal 2043 4" xfId="8952"/>
    <cellStyle name="Normal 2044" xfId="8953"/>
    <cellStyle name="Normal 2044 2" xfId="8954"/>
    <cellStyle name="Normal 2044 2 2" xfId="8955"/>
    <cellStyle name="Normal 2044 2 3" xfId="8956"/>
    <cellStyle name="Normal 2044 3" xfId="8957"/>
    <cellStyle name="Normal 2044 4" xfId="8958"/>
    <cellStyle name="Normal 2045" xfId="8959"/>
    <cellStyle name="Normal 2045 2" xfId="8960"/>
    <cellStyle name="Normal 2045 2 2" xfId="8961"/>
    <cellStyle name="Normal 2045 2 3" xfId="8962"/>
    <cellStyle name="Normal 2045 3" xfId="8963"/>
    <cellStyle name="Normal 2045 4" xfId="8964"/>
    <cellStyle name="Normal 2046" xfId="8965"/>
    <cellStyle name="Normal 2046 2" xfId="8966"/>
    <cellStyle name="Normal 2046 2 2" xfId="8967"/>
    <cellStyle name="Normal 2046 2 3" xfId="8968"/>
    <cellStyle name="Normal 2046 3" xfId="8969"/>
    <cellStyle name="Normal 2046 4" xfId="8970"/>
    <cellStyle name="Normal 2047" xfId="8971"/>
    <cellStyle name="Normal 2047 2" xfId="8972"/>
    <cellStyle name="Normal 2047 2 2" xfId="8973"/>
    <cellStyle name="Normal 2047 2 3" xfId="8974"/>
    <cellStyle name="Normal 2047 3" xfId="8975"/>
    <cellStyle name="Normal 2047 4" xfId="8976"/>
    <cellStyle name="Normal 2048" xfId="8977"/>
    <cellStyle name="Normal 2048 2" xfId="8978"/>
    <cellStyle name="Normal 2048 2 2" xfId="8979"/>
    <cellStyle name="Normal 2048 2 3" xfId="8980"/>
    <cellStyle name="Normal 2048 3" xfId="8981"/>
    <cellStyle name="Normal 2048 4" xfId="8982"/>
    <cellStyle name="Normal 2049" xfId="8983"/>
    <cellStyle name="Normal 2049 2" xfId="8984"/>
    <cellStyle name="Normal 2049 2 2" xfId="8985"/>
    <cellStyle name="Normal 2049 2 3" xfId="8986"/>
    <cellStyle name="Normal 2049 3" xfId="8987"/>
    <cellStyle name="Normal 2049 4" xfId="8988"/>
    <cellStyle name="Normal 205" xfId="8989"/>
    <cellStyle name="Normal 205 10" xfId="35238"/>
    <cellStyle name="Normal 205 2" xfId="8990"/>
    <cellStyle name="Normal 205 2 2" xfId="8991"/>
    <cellStyle name="Normal 205 2 2 2" xfId="8992"/>
    <cellStyle name="Normal 205 2 2 3" xfId="8993"/>
    <cellStyle name="Normal 205 2 3" xfId="8994"/>
    <cellStyle name="Normal 205 2 3 2" xfId="35239"/>
    <cellStyle name="Normal 205 2 3 3" xfId="35240"/>
    <cellStyle name="Normal 205 2 4" xfId="8995"/>
    <cellStyle name="Normal 205 2 5" xfId="8996"/>
    <cellStyle name="Normal 205 2 6" xfId="35241"/>
    <cellStyle name="Normal 205 2 7" xfId="35242"/>
    <cellStyle name="Normal 205 2 8" xfId="35243"/>
    <cellStyle name="Normal 205 3" xfId="8997"/>
    <cellStyle name="Normal 205 3 2" xfId="8998"/>
    <cellStyle name="Normal 205 3 2 2" xfId="35244"/>
    <cellStyle name="Normal 205 3 2 3" xfId="35245"/>
    <cellStyle name="Normal 205 3 3" xfId="8999"/>
    <cellStyle name="Normal 205 3 3 2" xfId="35246"/>
    <cellStyle name="Normal 205 3 3 3" xfId="35247"/>
    <cellStyle name="Normal 205 3 4" xfId="35248"/>
    <cellStyle name="Normal 205 3 5" xfId="35249"/>
    <cellStyle name="Normal 205 4" xfId="9000"/>
    <cellStyle name="Normal 205 4 2" xfId="35250"/>
    <cellStyle name="Normal 205 4 3" xfId="35251"/>
    <cellStyle name="Normal 205 5" xfId="9001"/>
    <cellStyle name="Normal 205 5 2" xfId="35252"/>
    <cellStyle name="Normal 205 5 3" xfId="35253"/>
    <cellStyle name="Normal 205 6" xfId="9002"/>
    <cellStyle name="Normal 205 7" xfId="35254"/>
    <cellStyle name="Normal 205 8" xfId="35255"/>
    <cellStyle name="Normal 205 9" xfId="35256"/>
    <cellStyle name="Normal 2050" xfId="9003"/>
    <cellStyle name="Normal 2050 2" xfId="9004"/>
    <cellStyle name="Normal 2050 2 2" xfId="9005"/>
    <cellStyle name="Normal 2050 2 3" xfId="9006"/>
    <cellStyle name="Normal 2050 3" xfId="9007"/>
    <cellStyle name="Normal 2050 4" xfId="9008"/>
    <cellStyle name="Normal 2051" xfId="9009"/>
    <cellStyle name="Normal 2051 2" xfId="9010"/>
    <cellStyle name="Normal 2051 2 2" xfId="9011"/>
    <cellStyle name="Normal 2051 2 3" xfId="9012"/>
    <cellStyle name="Normal 2051 3" xfId="9013"/>
    <cellStyle name="Normal 2051 4" xfId="9014"/>
    <cellStyle name="Normal 2052" xfId="9015"/>
    <cellStyle name="Normal 2052 2" xfId="9016"/>
    <cellStyle name="Normal 2052 2 2" xfId="9017"/>
    <cellStyle name="Normal 2052 2 3" xfId="9018"/>
    <cellStyle name="Normal 2052 3" xfId="9019"/>
    <cellStyle name="Normal 2052 4" xfId="9020"/>
    <cellStyle name="Normal 2053" xfId="9021"/>
    <cellStyle name="Normal 2053 2" xfId="9022"/>
    <cellStyle name="Normal 2053 2 2" xfId="9023"/>
    <cellStyle name="Normal 2053 2 3" xfId="9024"/>
    <cellStyle name="Normal 2053 3" xfId="9025"/>
    <cellStyle name="Normal 2053 4" xfId="9026"/>
    <cellStyle name="Normal 2054" xfId="9027"/>
    <cellStyle name="Normal 2054 2" xfId="9028"/>
    <cellStyle name="Normal 2054 2 2" xfId="9029"/>
    <cellStyle name="Normal 2054 2 3" xfId="9030"/>
    <cellStyle name="Normal 2054 3" xfId="9031"/>
    <cellStyle name="Normal 2054 4" xfId="9032"/>
    <cellStyle name="Normal 2055" xfId="9033"/>
    <cellStyle name="Normal 2055 2" xfId="9034"/>
    <cellStyle name="Normal 2055 2 2" xfId="9035"/>
    <cellStyle name="Normal 2055 2 3" xfId="9036"/>
    <cellStyle name="Normal 2055 3" xfId="9037"/>
    <cellStyle name="Normal 2055 4" xfId="9038"/>
    <cellStyle name="Normal 2056" xfId="9039"/>
    <cellStyle name="Normal 2056 2" xfId="9040"/>
    <cellStyle name="Normal 2056 2 2" xfId="9041"/>
    <cellStyle name="Normal 2056 2 3" xfId="9042"/>
    <cellStyle name="Normal 2056 3" xfId="9043"/>
    <cellStyle name="Normal 2056 4" xfId="9044"/>
    <cellStyle name="Normal 2057" xfId="9045"/>
    <cellStyle name="Normal 2057 2" xfId="9046"/>
    <cellStyle name="Normal 2057 2 2" xfId="9047"/>
    <cellStyle name="Normal 2057 2 3" xfId="9048"/>
    <cellStyle name="Normal 2057 3" xfId="9049"/>
    <cellStyle name="Normal 2057 4" xfId="9050"/>
    <cellStyle name="Normal 2058" xfId="9051"/>
    <cellStyle name="Normal 2058 2" xfId="9052"/>
    <cellStyle name="Normal 2058 2 2" xfId="9053"/>
    <cellStyle name="Normal 2058 2 3" xfId="9054"/>
    <cellStyle name="Normal 2058 3" xfId="9055"/>
    <cellStyle name="Normal 2058 4" xfId="9056"/>
    <cellStyle name="Normal 2059" xfId="9057"/>
    <cellStyle name="Normal 2059 2" xfId="9058"/>
    <cellStyle name="Normal 2059 2 2" xfId="9059"/>
    <cellStyle name="Normal 2059 2 3" xfId="9060"/>
    <cellStyle name="Normal 2059 3" xfId="9061"/>
    <cellStyle name="Normal 2059 4" xfId="9062"/>
    <cellStyle name="Normal 206" xfId="9063"/>
    <cellStyle name="Normal 206 10" xfId="35257"/>
    <cellStyle name="Normal 206 2" xfId="9064"/>
    <cellStyle name="Normal 206 2 2" xfId="9065"/>
    <cellStyle name="Normal 206 2 2 2" xfId="9066"/>
    <cellStyle name="Normal 206 2 2 3" xfId="9067"/>
    <cellStyle name="Normal 206 2 3" xfId="9068"/>
    <cellStyle name="Normal 206 2 3 2" xfId="35258"/>
    <cellStyle name="Normal 206 2 3 3" xfId="35259"/>
    <cellStyle name="Normal 206 2 4" xfId="9069"/>
    <cellStyle name="Normal 206 2 5" xfId="9070"/>
    <cellStyle name="Normal 206 2 6" xfId="35260"/>
    <cellStyle name="Normal 206 2 7" xfId="35261"/>
    <cellStyle name="Normal 206 2 8" xfId="35262"/>
    <cellStyle name="Normal 206 3" xfId="9071"/>
    <cellStyle name="Normal 206 3 2" xfId="9072"/>
    <cellStyle name="Normal 206 3 2 2" xfId="35263"/>
    <cellStyle name="Normal 206 3 2 3" xfId="35264"/>
    <cellStyle name="Normal 206 3 3" xfId="9073"/>
    <cellStyle name="Normal 206 3 3 2" xfId="35265"/>
    <cellStyle name="Normal 206 3 3 3" xfId="35266"/>
    <cellStyle name="Normal 206 3 4" xfId="35267"/>
    <cellStyle name="Normal 206 3 5" xfId="35268"/>
    <cellStyle name="Normal 206 4" xfId="9074"/>
    <cellStyle name="Normal 206 4 2" xfId="35269"/>
    <cellStyle name="Normal 206 4 3" xfId="35270"/>
    <cellStyle name="Normal 206 5" xfId="9075"/>
    <cellStyle name="Normal 206 5 2" xfId="35271"/>
    <cellStyle name="Normal 206 5 3" xfId="35272"/>
    <cellStyle name="Normal 206 6" xfId="9076"/>
    <cellStyle name="Normal 206 7" xfId="35273"/>
    <cellStyle name="Normal 206 8" xfId="35274"/>
    <cellStyle name="Normal 206 9" xfId="35275"/>
    <cellStyle name="Normal 2060" xfId="9077"/>
    <cellStyle name="Normal 2060 2" xfId="9078"/>
    <cellStyle name="Normal 2060 2 2" xfId="9079"/>
    <cellStyle name="Normal 2060 2 3" xfId="9080"/>
    <cellStyle name="Normal 2060 3" xfId="9081"/>
    <cellStyle name="Normal 2060 4" xfId="9082"/>
    <cellStyle name="Normal 2061" xfId="9083"/>
    <cellStyle name="Normal 2061 2" xfId="9084"/>
    <cellStyle name="Normal 2061 2 2" xfId="9085"/>
    <cellStyle name="Normal 2061 2 3" xfId="9086"/>
    <cellStyle name="Normal 2061 3" xfId="9087"/>
    <cellStyle name="Normal 2061 4" xfId="9088"/>
    <cellStyle name="Normal 2062" xfId="9089"/>
    <cellStyle name="Normal 2062 2" xfId="9090"/>
    <cellStyle name="Normal 2062 2 2" xfId="9091"/>
    <cellStyle name="Normal 2062 2 3" xfId="9092"/>
    <cellStyle name="Normal 2062 3" xfId="9093"/>
    <cellStyle name="Normal 2062 4" xfId="9094"/>
    <cellStyle name="Normal 2063" xfId="9095"/>
    <cellStyle name="Normal 2063 2" xfId="9096"/>
    <cellStyle name="Normal 2063 2 2" xfId="9097"/>
    <cellStyle name="Normal 2063 2 3" xfId="9098"/>
    <cellStyle name="Normal 2063 3" xfId="9099"/>
    <cellStyle name="Normal 2063 4" xfId="9100"/>
    <cellStyle name="Normal 2064" xfId="9101"/>
    <cellStyle name="Normal 2064 2" xfId="9102"/>
    <cellStyle name="Normal 2064 2 2" xfId="9103"/>
    <cellStyle name="Normal 2064 2 3" xfId="9104"/>
    <cellStyle name="Normal 2064 3" xfId="9105"/>
    <cellStyle name="Normal 2064 4" xfId="9106"/>
    <cellStyle name="Normal 2065" xfId="9107"/>
    <cellStyle name="Normal 2065 2" xfId="9108"/>
    <cellStyle name="Normal 2065 2 2" xfId="9109"/>
    <cellStyle name="Normal 2065 2 3" xfId="9110"/>
    <cellStyle name="Normal 2065 3" xfId="9111"/>
    <cellStyle name="Normal 2065 4" xfId="9112"/>
    <cellStyle name="Normal 2066" xfId="9113"/>
    <cellStyle name="Normal 2066 2" xfId="9114"/>
    <cellStyle name="Normal 2066 2 2" xfId="9115"/>
    <cellStyle name="Normal 2066 2 3" xfId="9116"/>
    <cellStyle name="Normal 2066 3" xfId="9117"/>
    <cellStyle name="Normal 2066 4" xfId="9118"/>
    <cellStyle name="Normal 2067" xfId="9119"/>
    <cellStyle name="Normal 2067 2" xfId="9120"/>
    <cellStyle name="Normal 2067 2 2" xfId="9121"/>
    <cellStyle name="Normal 2067 2 3" xfId="9122"/>
    <cellStyle name="Normal 2067 3" xfId="9123"/>
    <cellStyle name="Normal 2067 4" xfId="9124"/>
    <cellStyle name="Normal 2068" xfId="9125"/>
    <cellStyle name="Normal 2068 2" xfId="9126"/>
    <cellStyle name="Normal 2068 2 2" xfId="9127"/>
    <cellStyle name="Normal 2068 2 3" xfId="9128"/>
    <cellStyle name="Normal 2068 3" xfId="9129"/>
    <cellStyle name="Normal 2068 4" xfId="9130"/>
    <cellStyle name="Normal 2069" xfId="9131"/>
    <cellStyle name="Normal 2069 2" xfId="9132"/>
    <cellStyle name="Normal 2069 2 2" xfId="9133"/>
    <cellStyle name="Normal 2069 2 3" xfId="9134"/>
    <cellStyle name="Normal 2069 3" xfId="9135"/>
    <cellStyle name="Normal 2069 4" xfId="9136"/>
    <cellStyle name="Normal 207" xfId="9137"/>
    <cellStyle name="Normal 207 10" xfId="35276"/>
    <cellStyle name="Normal 207 2" xfId="9138"/>
    <cellStyle name="Normal 207 2 2" xfId="9139"/>
    <cellStyle name="Normal 207 2 2 2" xfId="9140"/>
    <cellStyle name="Normal 207 2 2 3" xfId="9141"/>
    <cellStyle name="Normal 207 2 3" xfId="9142"/>
    <cellStyle name="Normal 207 2 3 2" xfId="35277"/>
    <cellStyle name="Normal 207 2 3 3" xfId="35278"/>
    <cellStyle name="Normal 207 2 4" xfId="9143"/>
    <cellStyle name="Normal 207 2 5" xfId="9144"/>
    <cellStyle name="Normal 207 2 6" xfId="35279"/>
    <cellStyle name="Normal 207 2 7" xfId="35280"/>
    <cellStyle name="Normal 207 2 8" xfId="35281"/>
    <cellStyle name="Normal 207 3" xfId="9145"/>
    <cellStyle name="Normal 207 3 2" xfId="9146"/>
    <cellStyle name="Normal 207 3 2 2" xfId="35282"/>
    <cellStyle name="Normal 207 3 2 3" xfId="35283"/>
    <cellStyle name="Normal 207 3 3" xfId="9147"/>
    <cellStyle name="Normal 207 3 3 2" xfId="35284"/>
    <cellStyle name="Normal 207 3 3 3" xfId="35285"/>
    <cellStyle name="Normal 207 3 4" xfId="35286"/>
    <cellStyle name="Normal 207 3 5" xfId="35287"/>
    <cellStyle name="Normal 207 4" xfId="9148"/>
    <cellStyle name="Normal 207 4 2" xfId="35288"/>
    <cellStyle name="Normal 207 4 3" xfId="35289"/>
    <cellStyle name="Normal 207 5" xfId="9149"/>
    <cellStyle name="Normal 207 5 2" xfId="35290"/>
    <cellStyle name="Normal 207 5 3" xfId="35291"/>
    <cellStyle name="Normal 207 6" xfId="9150"/>
    <cellStyle name="Normal 207 7" xfId="35292"/>
    <cellStyle name="Normal 207 8" xfId="35293"/>
    <cellStyle name="Normal 207 9" xfId="35294"/>
    <cellStyle name="Normal 2070" xfId="9151"/>
    <cellStyle name="Normal 2070 2" xfId="9152"/>
    <cellStyle name="Normal 2070 2 2" xfId="9153"/>
    <cellStyle name="Normal 2070 2 3" xfId="9154"/>
    <cellStyle name="Normal 2070 3" xfId="9155"/>
    <cellStyle name="Normal 2070 4" xfId="9156"/>
    <cellStyle name="Normal 2071" xfId="9157"/>
    <cellStyle name="Normal 2071 2" xfId="9158"/>
    <cellStyle name="Normal 2071 2 2" xfId="9159"/>
    <cellStyle name="Normal 2071 2 3" xfId="9160"/>
    <cellStyle name="Normal 2071 3" xfId="9161"/>
    <cellStyle name="Normal 2071 4" xfId="9162"/>
    <cellStyle name="Normal 2072" xfId="9163"/>
    <cellStyle name="Normal 2072 2" xfId="9164"/>
    <cellStyle name="Normal 2072 2 2" xfId="9165"/>
    <cellStyle name="Normal 2072 2 3" xfId="9166"/>
    <cellStyle name="Normal 2072 3" xfId="9167"/>
    <cellStyle name="Normal 2072 4" xfId="9168"/>
    <cellStyle name="Normal 2073" xfId="9169"/>
    <cellStyle name="Normal 2073 2" xfId="9170"/>
    <cellStyle name="Normal 2073 2 2" xfId="9171"/>
    <cellStyle name="Normal 2073 2 3" xfId="9172"/>
    <cellStyle name="Normal 2073 3" xfId="9173"/>
    <cellStyle name="Normal 2073 4" xfId="9174"/>
    <cellStyle name="Normal 2074" xfId="9175"/>
    <cellStyle name="Normal 2074 2" xfId="9176"/>
    <cellStyle name="Normal 2074 2 2" xfId="9177"/>
    <cellStyle name="Normal 2074 2 3" xfId="9178"/>
    <cellStyle name="Normal 2074 3" xfId="9179"/>
    <cellStyle name="Normal 2074 4" xfId="9180"/>
    <cellStyle name="Normal 2075" xfId="9181"/>
    <cellStyle name="Normal 2075 2" xfId="9182"/>
    <cellStyle name="Normal 2075 2 2" xfId="9183"/>
    <cellStyle name="Normal 2075 2 3" xfId="9184"/>
    <cellStyle name="Normal 2075 3" xfId="9185"/>
    <cellStyle name="Normal 2075 4" xfId="9186"/>
    <cellStyle name="Normal 2076" xfId="9187"/>
    <cellStyle name="Normal 2076 2" xfId="9188"/>
    <cellStyle name="Normal 2076 2 2" xfId="9189"/>
    <cellStyle name="Normal 2076 2 3" xfId="9190"/>
    <cellStyle name="Normal 2076 3" xfId="9191"/>
    <cellStyle name="Normal 2076 4" xfId="9192"/>
    <cellStyle name="Normal 2077" xfId="9193"/>
    <cellStyle name="Normal 2077 2" xfId="9194"/>
    <cellStyle name="Normal 2077 2 2" xfId="9195"/>
    <cellStyle name="Normal 2077 2 3" xfId="9196"/>
    <cellStyle name="Normal 2077 3" xfId="9197"/>
    <cellStyle name="Normal 2077 4" xfId="9198"/>
    <cellStyle name="Normal 2078" xfId="9199"/>
    <cellStyle name="Normal 2078 2" xfId="9200"/>
    <cellStyle name="Normal 2078 2 2" xfId="9201"/>
    <cellStyle name="Normal 2078 2 3" xfId="9202"/>
    <cellStyle name="Normal 2078 3" xfId="9203"/>
    <cellStyle name="Normal 2078 4" xfId="9204"/>
    <cellStyle name="Normal 2079" xfId="9205"/>
    <cellStyle name="Normal 2079 2" xfId="9206"/>
    <cellStyle name="Normal 2079 2 2" xfId="9207"/>
    <cellStyle name="Normal 2079 2 3" xfId="9208"/>
    <cellStyle name="Normal 2079 3" xfId="9209"/>
    <cellStyle name="Normal 2079 4" xfId="9210"/>
    <cellStyle name="Normal 208" xfId="9211"/>
    <cellStyle name="Normal 208 10" xfId="35295"/>
    <cellStyle name="Normal 208 2" xfId="9212"/>
    <cellStyle name="Normal 208 2 2" xfId="9213"/>
    <cellStyle name="Normal 208 2 2 2" xfId="9214"/>
    <cellStyle name="Normal 208 2 2 3" xfId="9215"/>
    <cellStyle name="Normal 208 2 3" xfId="9216"/>
    <cellStyle name="Normal 208 2 3 2" xfId="35296"/>
    <cellStyle name="Normal 208 2 3 3" xfId="35297"/>
    <cellStyle name="Normal 208 2 4" xfId="9217"/>
    <cellStyle name="Normal 208 2 5" xfId="9218"/>
    <cellStyle name="Normal 208 2 6" xfId="35298"/>
    <cellStyle name="Normal 208 2 7" xfId="35299"/>
    <cellStyle name="Normal 208 2 8" xfId="35300"/>
    <cellStyle name="Normal 208 3" xfId="9219"/>
    <cellStyle name="Normal 208 3 2" xfId="9220"/>
    <cellStyle name="Normal 208 3 2 2" xfId="35301"/>
    <cellStyle name="Normal 208 3 2 3" xfId="35302"/>
    <cellStyle name="Normal 208 3 3" xfId="9221"/>
    <cellStyle name="Normal 208 3 3 2" xfId="35303"/>
    <cellStyle name="Normal 208 3 3 3" xfId="35304"/>
    <cellStyle name="Normal 208 3 4" xfId="35305"/>
    <cellStyle name="Normal 208 3 5" xfId="35306"/>
    <cellStyle name="Normal 208 4" xfId="9222"/>
    <cellStyle name="Normal 208 4 2" xfId="35307"/>
    <cellStyle name="Normal 208 4 3" xfId="35308"/>
    <cellStyle name="Normal 208 5" xfId="9223"/>
    <cellStyle name="Normal 208 5 2" xfId="35309"/>
    <cellStyle name="Normal 208 5 3" xfId="35310"/>
    <cellStyle name="Normal 208 6" xfId="9224"/>
    <cellStyle name="Normal 208 7" xfId="35311"/>
    <cellStyle name="Normal 208 8" xfId="35312"/>
    <cellStyle name="Normal 208 9" xfId="35313"/>
    <cellStyle name="Normal 2080" xfId="9225"/>
    <cellStyle name="Normal 2080 2" xfId="9226"/>
    <cellStyle name="Normal 2080 2 2" xfId="9227"/>
    <cellStyle name="Normal 2080 2 3" xfId="9228"/>
    <cellStyle name="Normal 2080 3" xfId="9229"/>
    <cellStyle name="Normal 2080 4" xfId="9230"/>
    <cellStyle name="Normal 2081" xfId="9231"/>
    <cellStyle name="Normal 2081 2" xfId="9232"/>
    <cellStyle name="Normal 2081 2 2" xfId="9233"/>
    <cellStyle name="Normal 2081 2 3" xfId="9234"/>
    <cellStyle name="Normal 2081 3" xfId="9235"/>
    <cellStyle name="Normal 2081 4" xfId="9236"/>
    <cellStyle name="Normal 2082" xfId="9237"/>
    <cellStyle name="Normal 2082 2" xfId="9238"/>
    <cellStyle name="Normal 2082 2 2" xfId="9239"/>
    <cellStyle name="Normal 2082 2 3" xfId="9240"/>
    <cellStyle name="Normal 2082 3" xfId="9241"/>
    <cellStyle name="Normal 2082 4" xfId="9242"/>
    <cellStyle name="Normal 2083" xfId="9243"/>
    <cellStyle name="Normal 2083 2" xfId="9244"/>
    <cellStyle name="Normal 2083 2 2" xfId="9245"/>
    <cellStyle name="Normal 2083 2 3" xfId="9246"/>
    <cellStyle name="Normal 2083 3" xfId="9247"/>
    <cellStyle name="Normal 2083 4" xfId="9248"/>
    <cellStyle name="Normal 2084" xfId="9249"/>
    <cellStyle name="Normal 2084 2" xfId="9250"/>
    <cellStyle name="Normal 2084 2 2" xfId="9251"/>
    <cellStyle name="Normal 2084 2 3" xfId="9252"/>
    <cellStyle name="Normal 2084 3" xfId="9253"/>
    <cellStyle name="Normal 2084 4" xfId="9254"/>
    <cellStyle name="Normal 2085" xfId="9255"/>
    <cellStyle name="Normal 2085 2" xfId="9256"/>
    <cellStyle name="Normal 2085 2 2" xfId="9257"/>
    <cellStyle name="Normal 2085 2 3" xfId="9258"/>
    <cellStyle name="Normal 2085 3" xfId="9259"/>
    <cellStyle name="Normal 2085 4" xfId="9260"/>
    <cellStyle name="Normal 2086" xfId="9261"/>
    <cellStyle name="Normal 2086 2" xfId="9262"/>
    <cellStyle name="Normal 2086 2 2" xfId="9263"/>
    <cellStyle name="Normal 2086 2 3" xfId="9264"/>
    <cellStyle name="Normal 2086 3" xfId="9265"/>
    <cellStyle name="Normal 2086 4" xfId="9266"/>
    <cellStyle name="Normal 2087" xfId="9267"/>
    <cellStyle name="Normal 2087 2" xfId="9268"/>
    <cellStyle name="Normal 2087 2 2" xfId="9269"/>
    <cellStyle name="Normal 2087 2 3" xfId="9270"/>
    <cellStyle name="Normal 2087 3" xfId="9271"/>
    <cellStyle name="Normal 2087 4" xfId="9272"/>
    <cellStyle name="Normal 2088" xfId="9273"/>
    <cellStyle name="Normal 2088 2" xfId="9274"/>
    <cellStyle name="Normal 2088 2 2" xfId="9275"/>
    <cellStyle name="Normal 2088 2 3" xfId="9276"/>
    <cellStyle name="Normal 2088 3" xfId="9277"/>
    <cellStyle name="Normal 2088 4" xfId="9278"/>
    <cellStyle name="Normal 2089" xfId="9279"/>
    <cellStyle name="Normal 2089 2" xfId="9280"/>
    <cellStyle name="Normal 2089 2 2" xfId="9281"/>
    <cellStyle name="Normal 2089 2 3" xfId="9282"/>
    <cellStyle name="Normal 2089 3" xfId="9283"/>
    <cellStyle name="Normal 2089 4" xfId="9284"/>
    <cellStyle name="Normal 209" xfId="9285"/>
    <cellStyle name="Normal 209 10" xfId="35314"/>
    <cellStyle name="Normal 209 2" xfId="9286"/>
    <cellStyle name="Normal 209 2 2" xfId="9287"/>
    <cellStyle name="Normal 209 2 2 2" xfId="9288"/>
    <cellStyle name="Normal 209 2 2 3" xfId="9289"/>
    <cellStyle name="Normal 209 2 3" xfId="9290"/>
    <cellStyle name="Normal 209 2 3 2" xfId="35315"/>
    <cellStyle name="Normal 209 2 3 3" xfId="35316"/>
    <cellStyle name="Normal 209 2 4" xfId="9291"/>
    <cellStyle name="Normal 209 2 5" xfId="9292"/>
    <cellStyle name="Normal 209 2 6" xfId="35317"/>
    <cellStyle name="Normal 209 2 7" xfId="35318"/>
    <cellStyle name="Normal 209 2 8" xfId="35319"/>
    <cellStyle name="Normal 209 3" xfId="9293"/>
    <cellStyle name="Normal 209 3 2" xfId="9294"/>
    <cellStyle name="Normal 209 3 2 2" xfId="35320"/>
    <cellStyle name="Normal 209 3 2 3" xfId="35321"/>
    <cellStyle name="Normal 209 3 3" xfId="9295"/>
    <cellStyle name="Normal 209 3 3 2" xfId="35322"/>
    <cellStyle name="Normal 209 3 3 3" xfId="35323"/>
    <cellStyle name="Normal 209 3 4" xfId="35324"/>
    <cellStyle name="Normal 209 3 5" xfId="35325"/>
    <cellStyle name="Normal 209 4" xfId="9296"/>
    <cellStyle name="Normal 209 4 2" xfId="35326"/>
    <cellStyle name="Normal 209 4 3" xfId="35327"/>
    <cellStyle name="Normal 209 5" xfId="9297"/>
    <cellStyle name="Normal 209 5 2" xfId="35328"/>
    <cellStyle name="Normal 209 5 3" xfId="35329"/>
    <cellStyle name="Normal 209 6" xfId="9298"/>
    <cellStyle name="Normal 209 7" xfId="35330"/>
    <cellStyle name="Normal 209 8" xfId="35331"/>
    <cellStyle name="Normal 209 9" xfId="35332"/>
    <cellStyle name="Normal 2090" xfId="9299"/>
    <cellStyle name="Normal 2090 2" xfId="9300"/>
    <cellStyle name="Normal 2090 2 2" xfId="9301"/>
    <cellStyle name="Normal 2090 2 3" xfId="9302"/>
    <cellStyle name="Normal 2090 3" xfId="9303"/>
    <cellStyle name="Normal 2090 4" xfId="9304"/>
    <cellStyle name="Normal 2091" xfId="9305"/>
    <cellStyle name="Normal 2091 2" xfId="9306"/>
    <cellStyle name="Normal 2091 2 2" xfId="9307"/>
    <cellStyle name="Normal 2091 2 3" xfId="9308"/>
    <cellStyle name="Normal 2091 3" xfId="9309"/>
    <cellStyle name="Normal 2091 4" xfId="9310"/>
    <cellStyle name="Normal 2092" xfId="9311"/>
    <cellStyle name="Normal 2092 2" xfId="9312"/>
    <cellStyle name="Normal 2092 2 2" xfId="9313"/>
    <cellStyle name="Normal 2092 2 3" xfId="9314"/>
    <cellStyle name="Normal 2092 3" xfId="9315"/>
    <cellStyle name="Normal 2092 4" xfId="9316"/>
    <cellStyle name="Normal 2093" xfId="9317"/>
    <cellStyle name="Normal 2093 2" xfId="9318"/>
    <cellStyle name="Normal 2093 2 2" xfId="9319"/>
    <cellStyle name="Normal 2093 2 3" xfId="9320"/>
    <cellStyle name="Normal 2093 3" xfId="9321"/>
    <cellStyle name="Normal 2093 4" xfId="9322"/>
    <cellStyle name="Normal 2094" xfId="9323"/>
    <cellStyle name="Normal 2094 2" xfId="9324"/>
    <cellStyle name="Normal 2094 2 2" xfId="9325"/>
    <cellStyle name="Normal 2094 2 3" xfId="9326"/>
    <cellStyle name="Normal 2094 3" xfId="9327"/>
    <cellStyle name="Normal 2094 4" xfId="9328"/>
    <cellStyle name="Normal 2095" xfId="9329"/>
    <cellStyle name="Normal 2095 2" xfId="9330"/>
    <cellStyle name="Normal 2095 2 2" xfId="9331"/>
    <cellStyle name="Normal 2095 2 3" xfId="9332"/>
    <cellStyle name="Normal 2095 3" xfId="9333"/>
    <cellStyle name="Normal 2095 4" xfId="9334"/>
    <cellStyle name="Normal 2096" xfId="9335"/>
    <cellStyle name="Normal 2096 2" xfId="9336"/>
    <cellStyle name="Normal 2096 2 2" xfId="9337"/>
    <cellStyle name="Normal 2096 2 3" xfId="9338"/>
    <cellStyle name="Normal 2096 3" xfId="9339"/>
    <cellStyle name="Normal 2096 4" xfId="9340"/>
    <cellStyle name="Normal 2097" xfId="9341"/>
    <cellStyle name="Normal 2097 2" xfId="9342"/>
    <cellStyle name="Normal 2097 2 2" xfId="9343"/>
    <cellStyle name="Normal 2097 2 3" xfId="9344"/>
    <cellStyle name="Normal 2097 3" xfId="9345"/>
    <cellStyle name="Normal 2097 4" xfId="9346"/>
    <cellStyle name="Normal 2098" xfId="9347"/>
    <cellStyle name="Normal 2098 2" xfId="9348"/>
    <cellStyle name="Normal 2098 2 2" xfId="9349"/>
    <cellStyle name="Normal 2098 2 3" xfId="9350"/>
    <cellStyle name="Normal 2098 3" xfId="9351"/>
    <cellStyle name="Normal 2098 4" xfId="9352"/>
    <cellStyle name="Normal 2099" xfId="9353"/>
    <cellStyle name="Normal 2099 2" xfId="9354"/>
    <cellStyle name="Normal 2099 2 2" xfId="9355"/>
    <cellStyle name="Normal 2099 2 3" xfId="9356"/>
    <cellStyle name="Normal 2099 3" xfId="9357"/>
    <cellStyle name="Normal 2099 4" xfId="9358"/>
    <cellStyle name="Normal 21" xfId="9359"/>
    <cellStyle name="Normal 21 10" xfId="35333"/>
    <cellStyle name="Normal 21 2" xfId="9360"/>
    <cellStyle name="Normal 21 2 2" xfId="9361"/>
    <cellStyle name="Normal 21 2 2 2" xfId="9362"/>
    <cellStyle name="Normal 21 2 2 3" xfId="9363"/>
    <cellStyle name="Normal 21 2 3" xfId="9364"/>
    <cellStyle name="Normal 21 2 3 2" xfId="35334"/>
    <cellStyle name="Normal 21 2 3 3" xfId="35335"/>
    <cellStyle name="Normal 21 2 4" xfId="9365"/>
    <cellStyle name="Normal 21 2 5" xfId="9366"/>
    <cellStyle name="Normal 21 2 6" xfId="35336"/>
    <cellStyle name="Normal 21 2 7" xfId="35337"/>
    <cellStyle name="Normal 21 2 8" xfId="35338"/>
    <cellStyle name="Normal 21 3" xfId="9367"/>
    <cellStyle name="Normal 21 3 2" xfId="9368"/>
    <cellStyle name="Normal 21 3 2 2" xfId="35339"/>
    <cellStyle name="Normal 21 3 2 3" xfId="35340"/>
    <cellStyle name="Normal 21 3 3" xfId="9369"/>
    <cellStyle name="Normal 21 3 3 2" xfId="35341"/>
    <cellStyle name="Normal 21 3 3 3" xfId="35342"/>
    <cellStyle name="Normal 21 3 4" xfId="9370"/>
    <cellStyle name="Normal 21 3 5" xfId="35343"/>
    <cellStyle name="Normal 21 4" xfId="9371"/>
    <cellStyle name="Normal 21 4 2" xfId="35344"/>
    <cellStyle name="Normal 21 4 3" xfId="35345"/>
    <cellStyle name="Normal 21 5" xfId="9372"/>
    <cellStyle name="Normal 21 5 2" xfId="35346"/>
    <cellStyle name="Normal 21 5 3" xfId="35347"/>
    <cellStyle name="Normal 21 6" xfId="35348"/>
    <cellStyle name="Normal 21 7" xfId="35349"/>
    <cellStyle name="Normal 21 8" xfId="35350"/>
    <cellStyle name="Normal 21 9" xfId="35351"/>
    <cellStyle name="Normal 210" xfId="9373"/>
    <cellStyle name="Normal 210 10" xfId="35352"/>
    <cellStyle name="Normal 210 11" xfId="35353"/>
    <cellStyle name="Normal 210 12" xfId="35354"/>
    <cellStyle name="Normal 210 2" xfId="9374"/>
    <cellStyle name="Normal 210 2 10" xfId="35355"/>
    <cellStyle name="Normal 210 2 2" xfId="9375"/>
    <cellStyle name="Normal 210 2 2 2" xfId="9376"/>
    <cellStyle name="Normal 210 2 2 2 2" xfId="35356"/>
    <cellStyle name="Normal 210 2 2 2 3" xfId="35357"/>
    <cellStyle name="Normal 210 2 2 3" xfId="9377"/>
    <cellStyle name="Normal 210 2 2 3 2" xfId="35358"/>
    <cellStyle name="Normal 210 2 2 3 3" xfId="35359"/>
    <cellStyle name="Normal 210 2 2 4" xfId="35360"/>
    <cellStyle name="Normal 210 2 2 5" xfId="35361"/>
    <cellStyle name="Normal 210 2 2 6" xfId="35362"/>
    <cellStyle name="Normal 210 2 2 7" xfId="35363"/>
    <cellStyle name="Normal 210 2 2 8" xfId="35364"/>
    <cellStyle name="Normal 210 2 3" xfId="9378"/>
    <cellStyle name="Normal 210 2 3 2" xfId="35365"/>
    <cellStyle name="Normal 210 2 3 2 2" xfId="35366"/>
    <cellStyle name="Normal 210 2 3 2 3" xfId="35367"/>
    <cellStyle name="Normal 210 2 3 3" xfId="35368"/>
    <cellStyle name="Normal 210 2 3 3 2" xfId="35369"/>
    <cellStyle name="Normal 210 2 3 3 3" xfId="35370"/>
    <cellStyle name="Normal 210 2 3 4" xfId="35371"/>
    <cellStyle name="Normal 210 2 3 5" xfId="35372"/>
    <cellStyle name="Normal 210 2 4" xfId="9379"/>
    <cellStyle name="Normal 210 2 4 2" xfId="35373"/>
    <cellStyle name="Normal 210 2 4 3" xfId="35374"/>
    <cellStyle name="Normal 210 2 5" xfId="9380"/>
    <cellStyle name="Normal 210 2 5 2" xfId="35375"/>
    <cellStyle name="Normal 210 2 5 3" xfId="35376"/>
    <cellStyle name="Normal 210 2 6" xfId="35377"/>
    <cellStyle name="Normal 210 2 7" xfId="35378"/>
    <cellStyle name="Normal 210 2 8" xfId="35379"/>
    <cellStyle name="Normal 210 2 9" xfId="35380"/>
    <cellStyle name="Normal 210 3" xfId="9381"/>
    <cellStyle name="Normal 210 3 2" xfId="9382"/>
    <cellStyle name="Normal 210 3 2 2" xfId="35381"/>
    <cellStyle name="Normal 210 3 2 2 2" xfId="35382"/>
    <cellStyle name="Normal 210 3 2 2 3" xfId="35383"/>
    <cellStyle name="Normal 210 3 2 3" xfId="35384"/>
    <cellStyle name="Normal 210 3 2 3 2" xfId="35385"/>
    <cellStyle name="Normal 210 3 2 3 3" xfId="35386"/>
    <cellStyle name="Normal 210 3 2 4" xfId="35387"/>
    <cellStyle name="Normal 210 3 2 5" xfId="35388"/>
    <cellStyle name="Normal 210 3 2 6" xfId="35389"/>
    <cellStyle name="Normal 210 3 2 7" xfId="35390"/>
    <cellStyle name="Normal 210 3 2 8" xfId="35391"/>
    <cellStyle name="Normal 210 3 3" xfId="9383"/>
    <cellStyle name="Normal 210 3 3 2" xfId="35392"/>
    <cellStyle name="Normal 210 3 3 3" xfId="35393"/>
    <cellStyle name="Normal 210 3 4" xfId="35394"/>
    <cellStyle name="Normal 210 3 4 2" xfId="35395"/>
    <cellStyle name="Normal 210 3 4 3" xfId="35396"/>
    <cellStyle name="Normal 210 3 5" xfId="35397"/>
    <cellStyle name="Normal 210 3 6" xfId="35398"/>
    <cellStyle name="Normal 210 3 7" xfId="35399"/>
    <cellStyle name="Normal 210 3 8" xfId="35400"/>
    <cellStyle name="Normal 210 3 9" xfId="35401"/>
    <cellStyle name="Normal 210 4" xfId="9384"/>
    <cellStyle name="Normal 210 4 2" xfId="35402"/>
    <cellStyle name="Normal 210 4 2 2" xfId="35403"/>
    <cellStyle name="Normal 210 4 2 3" xfId="35404"/>
    <cellStyle name="Normal 210 4 3" xfId="35405"/>
    <cellStyle name="Normal 210 4 3 2" xfId="35406"/>
    <cellStyle name="Normal 210 4 3 3" xfId="35407"/>
    <cellStyle name="Normal 210 4 4" xfId="35408"/>
    <cellStyle name="Normal 210 4 5" xfId="35409"/>
    <cellStyle name="Normal 210 4 6" xfId="35410"/>
    <cellStyle name="Normal 210 4 7" xfId="35411"/>
    <cellStyle name="Normal 210 4 8" xfId="35412"/>
    <cellStyle name="Normal 210 5" xfId="9385"/>
    <cellStyle name="Normal 210 5 2" xfId="35413"/>
    <cellStyle name="Normal 210 5 2 2" xfId="35414"/>
    <cellStyle name="Normal 210 5 2 3" xfId="35415"/>
    <cellStyle name="Normal 210 5 3" xfId="35416"/>
    <cellStyle name="Normal 210 5 3 2" xfId="35417"/>
    <cellStyle name="Normal 210 5 3 3" xfId="35418"/>
    <cellStyle name="Normal 210 5 4" xfId="35419"/>
    <cellStyle name="Normal 210 5 5" xfId="35420"/>
    <cellStyle name="Normal 210 6" xfId="9386"/>
    <cellStyle name="Normal 210 6 2" xfId="35421"/>
    <cellStyle name="Normal 210 6 2 2" xfId="35422"/>
    <cellStyle name="Normal 210 6 2 3" xfId="35423"/>
    <cellStyle name="Normal 210 6 3" xfId="35424"/>
    <cellStyle name="Normal 210 6 4" xfId="35425"/>
    <cellStyle name="Normal 210 7" xfId="35426"/>
    <cellStyle name="Normal 210 7 2" xfId="35427"/>
    <cellStyle name="Normal 210 7 3" xfId="35428"/>
    <cellStyle name="Normal 210 8" xfId="35429"/>
    <cellStyle name="Normal 210 9" xfId="35430"/>
    <cellStyle name="Normal 2100" xfId="9387"/>
    <cellStyle name="Normal 2100 2" xfId="9388"/>
    <cellStyle name="Normal 2100 2 2" xfId="9389"/>
    <cellStyle name="Normal 2100 2 3" xfId="9390"/>
    <cellStyle name="Normal 2100 3" xfId="9391"/>
    <cellStyle name="Normal 2100 4" xfId="9392"/>
    <cellStyle name="Normal 2101" xfId="9393"/>
    <cellStyle name="Normal 2101 2" xfId="9394"/>
    <cellStyle name="Normal 2101 2 2" xfId="9395"/>
    <cellStyle name="Normal 2101 2 3" xfId="9396"/>
    <cellStyle name="Normal 2101 3" xfId="9397"/>
    <cellStyle name="Normal 2101 4" xfId="9398"/>
    <cellStyle name="Normal 2102" xfId="9399"/>
    <cellStyle name="Normal 2102 2" xfId="9400"/>
    <cellStyle name="Normal 2102 2 2" xfId="9401"/>
    <cellStyle name="Normal 2102 2 3" xfId="9402"/>
    <cellStyle name="Normal 2102 3" xfId="9403"/>
    <cellStyle name="Normal 2102 4" xfId="9404"/>
    <cellStyle name="Normal 2103" xfId="9405"/>
    <cellStyle name="Normal 2103 2" xfId="9406"/>
    <cellStyle name="Normal 2103 2 2" xfId="9407"/>
    <cellStyle name="Normal 2103 2 3" xfId="9408"/>
    <cellStyle name="Normal 2103 3" xfId="9409"/>
    <cellStyle name="Normal 2103 4" xfId="9410"/>
    <cellStyle name="Normal 2104" xfId="9411"/>
    <cellStyle name="Normal 2104 2" xfId="9412"/>
    <cellStyle name="Normal 2104 2 2" xfId="9413"/>
    <cellStyle name="Normal 2104 2 3" xfId="9414"/>
    <cellStyle name="Normal 2104 3" xfId="9415"/>
    <cellStyle name="Normal 2104 4" xfId="9416"/>
    <cellStyle name="Normal 2105" xfId="9417"/>
    <cellStyle name="Normal 2105 2" xfId="9418"/>
    <cellStyle name="Normal 2105 2 2" xfId="9419"/>
    <cellStyle name="Normal 2105 2 3" xfId="9420"/>
    <cellStyle name="Normal 2105 3" xfId="9421"/>
    <cellStyle name="Normal 2105 4" xfId="9422"/>
    <cellStyle name="Normal 2106" xfId="9423"/>
    <cellStyle name="Normal 2106 2" xfId="9424"/>
    <cellStyle name="Normal 2106 2 2" xfId="9425"/>
    <cellStyle name="Normal 2106 2 3" xfId="9426"/>
    <cellStyle name="Normal 2106 3" xfId="9427"/>
    <cellStyle name="Normal 2106 4" xfId="9428"/>
    <cellStyle name="Normal 2107" xfId="9429"/>
    <cellStyle name="Normal 2107 2" xfId="9430"/>
    <cellStyle name="Normal 2107 2 2" xfId="9431"/>
    <cellStyle name="Normal 2107 2 3" xfId="9432"/>
    <cellStyle name="Normal 2107 3" xfId="9433"/>
    <cellStyle name="Normal 2107 4" xfId="9434"/>
    <cellStyle name="Normal 2108" xfId="9435"/>
    <cellStyle name="Normal 2108 2" xfId="9436"/>
    <cellStyle name="Normal 2108 2 2" xfId="9437"/>
    <cellStyle name="Normal 2108 2 3" xfId="9438"/>
    <cellStyle name="Normal 2108 3" xfId="9439"/>
    <cellStyle name="Normal 2108 4" xfId="9440"/>
    <cellStyle name="Normal 2109" xfId="9441"/>
    <cellStyle name="Normal 2109 2" xfId="9442"/>
    <cellStyle name="Normal 2109 2 2" xfId="9443"/>
    <cellStyle name="Normal 2109 2 3" xfId="9444"/>
    <cellStyle name="Normal 2109 3" xfId="9445"/>
    <cellStyle name="Normal 2109 4" xfId="9446"/>
    <cellStyle name="Normal 211" xfId="9447"/>
    <cellStyle name="Normal 211 10" xfId="35431"/>
    <cellStyle name="Normal 211 2" xfId="9448"/>
    <cellStyle name="Normal 211 2 2" xfId="9449"/>
    <cellStyle name="Normal 211 2 2 2" xfId="9450"/>
    <cellStyle name="Normal 211 2 2 3" xfId="9451"/>
    <cellStyle name="Normal 211 2 3" xfId="9452"/>
    <cellStyle name="Normal 211 2 3 2" xfId="35432"/>
    <cellStyle name="Normal 211 2 3 3" xfId="35433"/>
    <cellStyle name="Normal 211 2 4" xfId="9453"/>
    <cellStyle name="Normal 211 2 5" xfId="9454"/>
    <cellStyle name="Normal 211 2 6" xfId="35434"/>
    <cellStyle name="Normal 211 2 7" xfId="35435"/>
    <cellStyle name="Normal 211 2 8" xfId="35436"/>
    <cellStyle name="Normal 211 3" xfId="9455"/>
    <cellStyle name="Normal 211 3 2" xfId="9456"/>
    <cellStyle name="Normal 211 3 2 2" xfId="35437"/>
    <cellStyle name="Normal 211 3 2 3" xfId="35438"/>
    <cellStyle name="Normal 211 3 3" xfId="9457"/>
    <cellStyle name="Normal 211 3 3 2" xfId="35439"/>
    <cellStyle name="Normal 211 3 3 3" xfId="35440"/>
    <cellStyle name="Normal 211 3 4" xfId="35441"/>
    <cellStyle name="Normal 211 3 5" xfId="35442"/>
    <cellStyle name="Normal 211 4" xfId="9458"/>
    <cellStyle name="Normal 211 4 2" xfId="35443"/>
    <cellStyle name="Normal 211 4 3" xfId="35444"/>
    <cellStyle name="Normal 211 5" xfId="9459"/>
    <cellStyle name="Normal 211 5 2" xfId="35445"/>
    <cellStyle name="Normal 211 5 3" xfId="35446"/>
    <cellStyle name="Normal 211 6" xfId="9460"/>
    <cellStyle name="Normal 211 7" xfId="35447"/>
    <cellStyle name="Normal 211 8" xfId="35448"/>
    <cellStyle name="Normal 211 9" xfId="35449"/>
    <cellStyle name="Normal 2110" xfId="9461"/>
    <cellStyle name="Normal 2110 2" xfId="9462"/>
    <cellStyle name="Normal 2110 2 2" xfId="9463"/>
    <cellStyle name="Normal 2110 2 3" xfId="9464"/>
    <cellStyle name="Normal 2110 3" xfId="9465"/>
    <cellStyle name="Normal 2110 4" xfId="9466"/>
    <cellStyle name="Normal 2111" xfId="9467"/>
    <cellStyle name="Normal 2111 2" xfId="9468"/>
    <cellStyle name="Normal 2111 2 2" xfId="9469"/>
    <cellStyle name="Normal 2111 2 3" xfId="9470"/>
    <cellStyle name="Normal 2111 3" xfId="9471"/>
    <cellStyle name="Normal 2111 4" xfId="9472"/>
    <cellStyle name="Normal 2112" xfId="9473"/>
    <cellStyle name="Normal 2112 2" xfId="9474"/>
    <cellStyle name="Normal 2112 2 2" xfId="9475"/>
    <cellStyle name="Normal 2112 2 3" xfId="9476"/>
    <cellStyle name="Normal 2112 3" xfId="9477"/>
    <cellStyle name="Normal 2112 4" xfId="9478"/>
    <cellStyle name="Normal 2113" xfId="9479"/>
    <cellStyle name="Normal 2113 2" xfId="9480"/>
    <cellStyle name="Normal 2113 2 2" xfId="9481"/>
    <cellStyle name="Normal 2113 2 3" xfId="9482"/>
    <cellStyle name="Normal 2113 3" xfId="9483"/>
    <cellStyle name="Normal 2113 4" xfId="9484"/>
    <cellStyle name="Normal 2114" xfId="9485"/>
    <cellStyle name="Normal 2114 2" xfId="9486"/>
    <cellStyle name="Normal 2114 2 2" xfId="9487"/>
    <cellStyle name="Normal 2114 2 3" xfId="9488"/>
    <cellStyle name="Normal 2114 3" xfId="9489"/>
    <cellStyle name="Normal 2114 4" xfId="9490"/>
    <cellStyle name="Normal 2115" xfId="9491"/>
    <cellStyle name="Normal 2115 2" xfId="9492"/>
    <cellStyle name="Normal 2115 2 2" xfId="9493"/>
    <cellStyle name="Normal 2115 2 3" xfId="9494"/>
    <cellStyle name="Normal 2115 3" xfId="9495"/>
    <cellStyle name="Normal 2115 4" xfId="9496"/>
    <cellStyle name="Normal 2116" xfId="9497"/>
    <cellStyle name="Normal 2116 2" xfId="9498"/>
    <cellStyle name="Normal 2116 2 2" xfId="9499"/>
    <cellStyle name="Normal 2116 2 3" xfId="9500"/>
    <cellStyle name="Normal 2116 3" xfId="9501"/>
    <cellStyle name="Normal 2116 4" xfId="9502"/>
    <cellStyle name="Normal 2117" xfId="9503"/>
    <cellStyle name="Normal 2117 2" xfId="9504"/>
    <cellStyle name="Normal 2117 2 2" xfId="9505"/>
    <cellStyle name="Normal 2117 2 3" xfId="9506"/>
    <cellStyle name="Normal 2117 3" xfId="9507"/>
    <cellStyle name="Normal 2117 4" xfId="9508"/>
    <cellStyle name="Normal 2118" xfId="9509"/>
    <cellStyle name="Normal 2118 2" xfId="9510"/>
    <cellStyle name="Normal 2118 2 2" xfId="9511"/>
    <cellStyle name="Normal 2118 2 3" xfId="9512"/>
    <cellStyle name="Normal 2118 3" xfId="9513"/>
    <cellStyle name="Normal 2118 4" xfId="9514"/>
    <cellStyle name="Normal 2119" xfId="9515"/>
    <cellStyle name="Normal 2119 2" xfId="9516"/>
    <cellStyle name="Normal 2119 2 2" xfId="9517"/>
    <cellStyle name="Normal 2119 2 3" xfId="9518"/>
    <cellStyle name="Normal 2119 3" xfId="9519"/>
    <cellStyle name="Normal 2119 4" xfId="9520"/>
    <cellStyle name="Normal 212" xfId="9521"/>
    <cellStyle name="Normal 212 10" xfId="35450"/>
    <cellStyle name="Normal 212 2" xfId="9522"/>
    <cellStyle name="Normal 212 2 2" xfId="9523"/>
    <cellStyle name="Normal 212 2 2 2" xfId="9524"/>
    <cellStyle name="Normal 212 2 2 3" xfId="9525"/>
    <cellStyle name="Normal 212 2 3" xfId="9526"/>
    <cellStyle name="Normal 212 2 3 2" xfId="35451"/>
    <cellStyle name="Normal 212 2 3 3" xfId="35452"/>
    <cellStyle name="Normal 212 2 4" xfId="9527"/>
    <cellStyle name="Normal 212 2 5" xfId="9528"/>
    <cellStyle name="Normal 212 2 6" xfId="35453"/>
    <cellStyle name="Normal 212 2 7" xfId="35454"/>
    <cellStyle name="Normal 212 2 8" xfId="35455"/>
    <cellStyle name="Normal 212 3" xfId="9529"/>
    <cellStyle name="Normal 212 3 2" xfId="9530"/>
    <cellStyle name="Normal 212 3 2 2" xfId="35456"/>
    <cellStyle name="Normal 212 3 2 3" xfId="35457"/>
    <cellStyle name="Normal 212 3 3" xfId="9531"/>
    <cellStyle name="Normal 212 3 3 2" xfId="35458"/>
    <cellStyle name="Normal 212 3 3 3" xfId="35459"/>
    <cellStyle name="Normal 212 3 4" xfId="35460"/>
    <cellStyle name="Normal 212 3 5" xfId="35461"/>
    <cellStyle name="Normal 212 4" xfId="9532"/>
    <cellStyle name="Normal 212 4 2" xfId="35462"/>
    <cellStyle name="Normal 212 4 3" xfId="35463"/>
    <cellStyle name="Normal 212 5" xfId="9533"/>
    <cellStyle name="Normal 212 5 2" xfId="35464"/>
    <cellStyle name="Normal 212 5 3" xfId="35465"/>
    <cellStyle name="Normal 212 6" xfId="9534"/>
    <cellStyle name="Normal 212 7" xfId="35466"/>
    <cellStyle name="Normal 212 8" xfId="35467"/>
    <cellStyle name="Normal 212 9" xfId="35468"/>
    <cellStyle name="Normal 2120" xfId="9535"/>
    <cellStyle name="Normal 2120 2" xfId="9536"/>
    <cellStyle name="Normal 2120 2 2" xfId="9537"/>
    <cellStyle name="Normal 2120 2 3" xfId="9538"/>
    <cellStyle name="Normal 2120 3" xfId="9539"/>
    <cellStyle name="Normal 2120 4" xfId="9540"/>
    <cellStyle name="Normal 2121" xfId="9541"/>
    <cellStyle name="Normal 2121 2" xfId="9542"/>
    <cellStyle name="Normal 2121 2 2" xfId="9543"/>
    <cellStyle name="Normal 2121 2 3" xfId="9544"/>
    <cellStyle name="Normal 2121 3" xfId="9545"/>
    <cellStyle name="Normal 2121 4" xfId="9546"/>
    <cellStyle name="Normal 2122" xfId="9547"/>
    <cellStyle name="Normal 2122 2" xfId="9548"/>
    <cellStyle name="Normal 2122 2 2" xfId="9549"/>
    <cellStyle name="Normal 2122 2 3" xfId="9550"/>
    <cellStyle name="Normal 2122 3" xfId="9551"/>
    <cellStyle name="Normal 2122 4" xfId="9552"/>
    <cellStyle name="Normal 2123" xfId="9553"/>
    <cellStyle name="Normal 2123 2" xfId="9554"/>
    <cellStyle name="Normal 2123 2 2" xfId="9555"/>
    <cellStyle name="Normal 2123 2 3" xfId="9556"/>
    <cellStyle name="Normal 2123 3" xfId="9557"/>
    <cellStyle name="Normal 2123 4" xfId="9558"/>
    <cellStyle name="Normal 2124" xfId="9559"/>
    <cellStyle name="Normal 2124 2" xfId="9560"/>
    <cellStyle name="Normal 2124 2 2" xfId="9561"/>
    <cellStyle name="Normal 2124 2 3" xfId="9562"/>
    <cellStyle name="Normal 2124 3" xfId="9563"/>
    <cellStyle name="Normal 2124 4" xfId="9564"/>
    <cellStyle name="Normal 2125" xfId="9565"/>
    <cellStyle name="Normal 2125 2" xfId="9566"/>
    <cellStyle name="Normal 2125 2 2" xfId="9567"/>
    <cellStyle name="Normal 2125 2 3" xfId="9568"/>
    <cellStyle name="Normal 2125 3" xfId="9569"/>
    <cellStyle name="Normal 2125 4" xfId="9570"/>
    <cellStyle name="Normal 2126" xfId="9571"/>
    <cellStyle name="Normal 2126 2" xfId="9572"/>
    <cellStyle name="Normal 2126 2 2" xfId="9573"/>
    <cellStyle name="Normal 2126 2 3" xfId="9574"/>
    <cellStyle name="Normal 2126 3" xfId="9575"/>
    <cellStyle name="Normal 2126 4" xfId="9576"/>
    <cellStyle name="Normal 2127" xfId="9577"/>
    <cellStyle name="Normal 2127 2" xfId="9578"/>
    <cellStyle name="Normal 2127 2 2" xfId="9579"/>
    <cellStyle name="Normal 2127 2 3" xfId="9580"/>
    <cellStyle name="Normal 2127 3" xfId="9581"/>
    <cellStyle name="Normal 2127 4" xfId="9582"/>
    <cellStyle name="Normal 2128" xfId="9583"/>
    <cellStyle name="Normal 2128 2" xfId="9584"/>
    <cellStyle name="Normal 2128 2 2" xfId="9585"/>
    <cellStyle name="Normal 2128 2 3" xfId="9586"/>
    <cellStyle name="Normal 2128 3" xfId="9587"/>
    <cellStyle name="Normal 2128 4" xfId="9588"/>
    <cellStyle name="Normal 2129" xfId="9589"/>
    <cellStyle name="Normal 2129 2" xfId="9590"/>
    <cellStyle name="Normal 2129 2 2" xfId="9591"/>
    <cellStyle name="Normal 2129 2 3" xfId="9592"/>
    <cellStyle name="Normal 2129 3" xfId="9593"/>
    <cellStyle name="Normal 2129 4" xfId="9594"/>
    <cellStyle name="Normal 213" xfId="9595"/>
    <cellStyle name="Normal 213 10" xfId="35469"/>
    <cellStyle name="Normal 213 2" xfId="9596"/>
    <cellStyle name="Normal 213 2 2" xfId="9597"/>
    <cellStyle name="Normal 213 2 2 2" xfId="9598"/>
    <cellStyle name="Normal 213 2 2 3" xfId="9599"/>
    <cellStyle name="Normal 213 2 3" xfId="9600"/>
    <cellStyle name="Normal 213 2 3 2" xfId="35470"/>
    <cellStyle name="Normal 213 2 3 3" xfId="35471"/>
    <cellStyle name="Normal 213 2 4" xfId="9601"/>
    <cellStyle name="Normal 213 2 5" xfId="9602"/>
    <cellStyle name="Normal 213 2 6" xfId="35472"/>
    <cellStyle name="Normal 213 2 7" xfId="35473"/>
    <cellStyle name="Normal 213 2 8" xfId="35474"/>
    <cellStyle name="Normal 213 3" xfId="9603"/>
    <cellStyle name="Normal 213 3 2" xfId="9604"/>
    <cellStyle name="Normal 213 3 2 2" xfId="35475"/>
    <cellStyle name="Normal 213 3 2 3" xfId="35476"/>
    <cellStyle name="Normal 213 3 3" xfId="9605"/>
    <cellStyle name="Normal 213 3 3 2" xfId="35477"/>
    <cellStyle name="Normal 213 3 3 3" xfId="35478"/>
    <cellStyle name="Normal 213 3 4" xfId="35479"/>
    <cellStyle name="Normal 213 3 5" xfId="35480"/>
    <cellStyle name="Normal 213 4" xfId="9606"/>
    <cellStyle name="Normal 213 4 2" xfId="35481"/>
    <cellStyle name="Normal 213 4 3" xfId="35482"/>
    <cellStyle name="Normal 213 5" xfId="9607"/>
    <cellStyle name="Normal 213 5 2" xfId="35483"/>
    <cellStyle name="Normal 213 5 3" xfId="35484"/>
    <cellStyle name="Normal 213 6" xfId="9608"/>
    <cellStyle name="Normal 213 7" xfId="35485"/>
    <cellStyle name="Normal 213 8" xfId="35486"/>
    <cellStyle name="Normal 213 9" xfId="35487"/>
    <cellStyle name="Normal 2130" xfId="9609"/>
    <cellStyle name="Normal 2130 2" xfId="9610"/>
    <cellStyle name="Normal 2130 2 2" xfId="9611"/>
    <cellStyle name="Normal 2130 2 3" xfId="9612"/>
    <cellStyle name="Normal 2130 3" xfId="9613"/>
    <cellStyle name="Normal 2130 4" xfId="9614"/>
    <cellStyle name="Normal 2131" xfId="9615"/>
    <cellStyle name="Normal 2131 2" xfId="9616"/>
    <cellStyle name="Normal 2131 2 2" xfId="9617"/>
    <cellStyle name="Normal 2131 2 3" xfId="9618"/>
    <cellStyle name="Normal 2131 3" xfId="9619"/>
    <cellStyle name="Normal 2131 4" xfId="9620"/>
    <cellStyle name="Normal 2132" xfId="9621"/>
    <cellStyle name="Normal 2132 2" xfId="9622"/>
    <cellStyle name="Normal 2132 2 2" xfId="9623"/>
    <cellStyle name="Normal 2132 2 3" xfId="9624"/>
    <cellStyle name="Normal 2132 3" xfId="9625"/>
    <cellStyle name="Normal 2132 4" xfId="9626"/>
    <cellStyle name="Normal 2133" xfId="9627"/>
    <cellStyle name="Normal 2133 2" xfId="9628"/>
    <cellStyle name="Normal 2133 2 2" xfId="9629"/>
    <cellStyle name="Normal 2133 2 3" xfId="9630"/>
    <cellStyle name="Normal 2133 3" xfId="9631"/>
    <cellStyle name="Normal 2133 4" xfId="9632"/>
    <cellStyle name="Normal 2134" xfId="9633"/>
    <cellStyle name="Normal 2134 2" xfId="9634"/>
    <cellStyle name="Normal 2134 2 2" xfId="9635"/>
    <cellStyle name="Normal 2134 2 3" xfId="9636"/>
    <cellStyle name="Normal 2134 3" xfId="9637"/>
    <cellStyle name="Normal 2134 4" xfId="9638"/>
    <cellStyle name="Normal 2135" xfId="9639"/>
    <cellStyle name="Normal 2135 2" xfId="9640"/>
    <cellStyle name="Normal 2135 2 2" xfId="9641"/>
    <cellStyle name="Normal 2135 2 3" xfId="9642"/>
    <cellStyle name="Normal 2135 3" xfId="9643"/>
    <cellStyle name="Normal 2135 4" xfId="9644"/>
    <cellStyle name="Normal 2136" xfId="9645"/>
    <cellStyle name="Normal 2136 2" xfId="9646"/>
    <cellStyle name="Normal 2136 2 2" xfId="9647"/>
    <cellStyle name="Normal 2136 2 3" xfId="9648"/>
    <cellStyle name="Normal 2136 3" xfId="9649"/>
    <cellStyle name="Normal 2136 4" xfId="9650"/>
    <cellStyle name="Normal 2137" xfId="9651"/>
    <cellStyle name="Normal 2137 2" xfId="9652"/>
    <cellStyle name="Normal 2137 2 2" xfId="9653"/>
    <cellStyle name="Normal 2137 2 3" xfId="9654"/>
    <cellStyle name="Normal 2137 3" xfId="9655"/>
    <cellStyle name="Normal 2137 4" xfId="9656"/>
    <cellStyle name="Normal 2138" xfId="9657"/>
    <cellStyle name="Normal 2138 2" xfId="9658"/>
    <cellStyle name="Normal 2138 2 2" xfId="9659"/>
    <cellStyle name="Normal 2138 2 3" xfId="9660"/>
    <cellStyle name="Normal 2138 3" xfId="9661"/>
    <cellStyle name="Normal 2138 4" xfId="9662"/>
    <cellStyle name="Normal 2139" xfId="9663"/>
    <cellStyle name="Normal 2139 2" xfId="9664"/>
    <cellStyle name="Normal 2139 2 2" xfId="9665"/>
    <cellStyle name="Normal 2139 2 3" xfId="9666"/>
    <cellStyle name="Normal 2139 3" xfId="9667"/>
    <cellStyle name="Normal 2139 4" xfId="9668"/>
    <cellStyle name="Normal 214" xfId="9669"/>
    <cellStyle name="Normal 214 10" xfId="35488"/>
    <cellStyle name="Normal 214 2" xfId="9670"/>
    <cellStyle name="Normal 214 2 2" xfId="9671"/>
    <cellStyle name="Normal 214 2 2 2" xfId="9672"/>
    <cellStyle name="Normal 214 2 2 3" xfId="9673"/>
    <cellStyle name="Normal 214 2 3" xfId="9674"/>
    <cellStyle name="Normal 214 2 3 2" xfId="35489"/>
    <cellStyle name="Normal 214 2 3 3" xfId="35490"/>
    <cellStyle name="Normal 214 2 4" xfId="9675"/>
    <cellStyle name="Normal 214 2 5" xfId="9676"/>
    <cellStyle name="Normal 214 2 6" xfId="35491"/>
    <cellStyle name="Normal 214 2 7" xfId="35492"/>
    <cellStyle name="Normal 214 2 8" xfId="35493"/>
    <cellStyle name="Normal 214 3" xfId="9677"/>
    <cellStyle name="Normal 214 3 2" xfId="9678"/>
    <cellStyle name="Normal 214 3 2 2" xfId="35494"/>
    <cellStyle name="Normal 214 3 2 3" xfId="35495"/>
    <cellStyle name="Normal 214 3 3" xfId="9679"/>
    <cellStyle name="Normal 214 3 3 2" xfId="35496"/>
    <cellStyle name="Normal 214 3 3 3" xfId="35497"/>
    <cellStyle name="Normal 214 3 4" xfId="35498"/>
    <cellStyle name="Normal 214 3 5" xfId="35499"/>
    <cellStyle name="Normal 214 4" xfId="9680"/>
    <cellStyle name="Normal 214 4 2" xfId="35500"/>
    <cellStyle name="Normal 214 4 3" xfId="35501"/>
    <cellStyle name="Normal 214 5" xfId="9681"/>
    <cellStyle name="Normal 214 5 2" xfId="35502"/>
    <cellStyle name="Normal 214 5 3" xfId="35503"/>
    <cellStyle name="Normal 214 6" xfId="9682"/>
    <cellStyle name="Normal 214 7" xfId="35504"/>
    <cellStyle name="Normal 214 8" xfId="35505"/>
    <cellStyle name="Normal 214 9" xfId="35506"/>
    <cellStyle name="Normal 2140" xfId="9683"/>
    <cellStyle name="Normal 2140 2" xfId="9684"/>
    <cellStyle name="Normal 2140 2 2" xfId="9685"/>
    <cellStyle name="Normal 2140 2 3" xfId="9686"/>
    <cellStyle name="Normal 2140 3" xfId="9687"/>
    <cellStyle name="Normal 2140 4" xfId="9688"/>
    <cellStyle name="Normal 2141" xfId="9689"/>
    <cellStyle name="Normal 2141 2" xfId="9690"/>
    <cellStyle name="Normal 2141 2 2" xfId="9691"/>
    <cellStyle name="Normal 2141 2 3" xfId="9692"/>
    <cellStyle name="Normal 2141 3" xfId="9693"/>
    <cellStyle name="Normal 2141 4" xfId="9694"/>
    <cellStyle name="Normal 2142" xfId="9695"/>
    <cellStyle name="Normal 2142 2" xfId="9696"/>
    <cellStyle name="Normal 2142 2 2" xfId="9697"/>
    <cellStyle name="Normal 2142 2 3" xfId="9698"/>
    <cellStyle name="Normal 2142 3" xfId="9699"/>
    <cellStyle name="Normal 2142 4" xfId="9700"/>
    <cellStyle name="Normal 2143" xfId="9701"/>
    <cellStyle name="Normal 2143 2" xfId="9702"/>
    <cellStyle name="Normal 2143 2 2" xfId="9703"/>
    <cellStyle name="Normal 2143 2 3" xfId="9704"/>
    <cellStyle name="Normal 2143 3" xfId="9705"/>
    <cellStyle name="Normal 2143 4" xfId="9706"/>
    <cellStyle name="Normal 2144" xfId="9707"/>
    <cellStyle name="Normal 2144 2" xfId="9708"/>
    <cellStyle name="Normal 2144 2 2" xfId="9709"/>
    <cellStyle name="Normal 2144 2 3" xfId="9710"/>
    <cellStyle name="Normal 2144 3" xfId="9711"/>
    <cellStyle name="Normal 2144 4" xfId="9712"/>
    <cellStyle name="Normal 2145" xfId="9713"/>
    <cellStyle name="Normal 2145 2" xfId="9714"/>
    <cellStyle name="Normal 2145 2 2" xfId="9715"/>
    <cellStyle name="Normal 2145 2 3" xfId="9716"/>
    <cellStyle name="Normal 2145 3" xfId="9717"/>
    <cellStyle name="Normal 2145 4" xfId="9718"/>
    <cellStyle name="Normal 2146" xfId="9719"/>
    <cellStyle name="Normal 2146 2" xfId="9720"/>
    <cellStyle name="Normal 2146 2 2" xfId="9721"/>
    <cellStyle name="Normal 2146 2 3" xfId="9722"/>
    <cellStyle name="Normal 2146 3" xfId="9723"/>
    <cellStyle name="Normal 2146 4" xfId="9724"/>
    <cellStyle name="Normal 2147" xfId="9725"/>
    <cellStyle name="Normal 2147 2" xfId="9726"/>
    <cellStyle name="Normal 2147 2 2" xfId="9727"/>
    <cellStyle name="Normal 2147 2 3" xfId="9728"/>
    <cellStyle name="Normal 2147 3" xfId="9729"/>
    <cellStyle name="Normal 2147 4" xfId="9730"/>
    <cellStyle name="Normal 2148" xfId="9731"/>
    <cellStyle name="Normal 2148 2" xfId="9732"/>
    <cellStyle name="Normal 2148 2 2" xfId="9733"/>
    <cellStyle name="Normal 2148 2 3" xfId="9734"/>
    <cellStyle name="Normal 2148 3" xfId="9735"/>
    <cellStyle name="Normal 2148 4" xfId="9736"/>
    <cellStyle name="Normal 2149" xfId="9737"/>
    <cellStyle name="Normal 2149 2" xfId="9738"/>
    <cellStyle name="Normal 2149 2 2" xfId="9739"/>
    <cellStyle name="Normal 2149 2 3" xfId="9740"/>
    <cellStyle name="Normal 2149 3" xfId="9741"/>
    <cellStyle name="Normal 2149 4" xfId="9742"/>
    <cellStyle name="Normal 215" xfId="9743"/>
    <cellStyle name="Normal 215 10" xfId="35507"/>
    <cellStyle name="Normal 215 2" xfId="9744"/>
    <cellStyle name="Normal 215 2 2" xfId="9745"/>
    <cellStyle name="Normal 215 2 2 2" xfId="9746"/>
    <cellStyle name="Normal 215 2 2 3" xfId="9747"/>
    <cellStyle name="Normal 215 2 3" xfId="9748"/>
    <cellStyle name="Normal 215 2 3 2" xfId="35508"/>
    <cellStyle name="Normal 215 2 3 3" xfId="35509"/>
    <cellStyle name="Normal 215 2 4" xfId="9749"/>
    <cellStyle name="Normal 215 2 5" xfId="9750"/>
    <cellStyle name="Normal 215 2 6" xfId="35510"/>
    <cellStyle name="Normal 215 2 7" xfId="35511"/>
    <cellStyle name="Normal 215 2 8" xfId="35512"/>
    <cellStyle name="Normal 215 3" xfId="9751"/>
    <cellStyle name="Normal 215 3 2" xfId="9752"/>
    <cellStyle name="Normal 215 3 2 2" xfId="35513"/>
    <cellStyle name="Normal 215 3 2 3" xfId="35514"/>
    <cellStyle name="Normal 215 3 3" xfId="9753"/>
    <cellStyle name="Normal 215 3 3 2" xfId="35515"/>
    <cellStyle name="Normal 215 3 3 3" xfId="35516"/>
    <cellStyle name="Normal 215 3 4" xfId="35517"/>
    <cellStyle name="Normal 215 3 5" xfId="35518"/>
    <cellStyle name="Normal 215 4" xfId="9754"/>
    <cellStyle name="Normal 215 4 2" xfId="35519"/>
    <cellStyle name="Normal 215 4 3" xfId="35520"/>
    <cellStyle name="Normal 215 5" xfId="9755"/>
    <cellStyle name="Normal 215 5 2" xfId="35521"/>
    <cellStyle name="Normal 215 5 3" xfId="35522"/>
    <cellStyle name="Normal 215 6" xfId="9756"/>
    <cellStyle name="Normal 215 7" xfId="35523"/>
    <cellStyle name="Normal 215 8" xfId="35524"/>
    <cellStyle name="Normal 215 9" xfId="35525"/>
    <cellStyle name="Normal 2150" xfId="9757"/>
    <cellStyle name="Normal 2150 2" xfId="9758"/>
    <cellStyle name="Normal 2150 2 2" xfId="9759"/>
    <cellStyle name="Normal 2150 2 3" xfId="9760"/>
    <cellStyle name="Normal 2150 3" xfId="9761"/>
    <cellStyle name="Normal 2150 4" xfId="9762"/>
    <cellStyle name="Normal 2151" xfId="9763"/>
    <cellStyle name="Normal 2151 2" xfId="9764"/>
    <cellStyle name="Normal 2151 2 2" xfId="9765"/>
    <cellStyle name="Normal 2151 2 3" xfId="9766"/>
    <cellStyle name="Normal 2151 3" xfId="9767"/>
    <cellStyle name="Normal 2151 4" xfId="9768"/>
    <cellStyle name="Normal 2152" xfId="9769"/>
    <cellStyle name="Normal 2152 2" xfId="9770"/>
    <cellStyle name="Normal 2152 2 2" xfId="9771"/>
    <cellStyle name="Normal 2152 2 3" xfId="9772"/>
    <cellStyle name="Normal 2152 3" xfId="9773"/>
    <cellStyle name="Normal 2152 4" xfId="9774"/>
    <cellStyle name="Normal 2153" xfId="9775"/>
    <cellStyle name="Normal 2153 2" xfId="9776"/>
    <cellStyle name="Normal 2153 2 2" xfId="9777"/>
    <cellStyle name="Normal 2153 2 3" xfId="9778"/>
    <cellStyle name="Normal 2153 3" xfId="9779"/>
    <cellStyle name="Normal 2153 4" xfId="9780"/>
    <cellStyle name="Normal 2154" xfId="9781"/>
    <cellStyle name="Normal 2154 2" xfId="9782"/>
    <cellStyle name="Normal 2154 2 2" xfId="9783"/>
    <cellStyle name="Normal 2154 2 3" xfId="9784"/>
    <cellStyle name="Normal 2154 3" xfId="9785"/>
    <cellStyle name="Normal 2154 4" xfId="9786"/>
    <cellStyle name="Normal 2155" xfId="9787"/>
    <cellStyle name="Normal 2155 2" xfId="9788"/>
    <cellStyle name="Normal 2155 2 2" xfId="9789"/>
    <cellStyle name="Normal 2155 2 3" xfId="9790"/>
    <cellStyle name="Normal 2155 3" xfId="9791"/>
    <cellStyle name="Normal 2155 4" xfId="9792"/>
    <cellStyle name="Normal 2156" xfId="9793"/>
    <cellStyle name="Normal 2156 2" xfId="9794"/>
    <cellStyle name="Normal 2156 2 2" xfId="9795"/>
    <cellStyle name="Normal 2156 2 3" xfId="9796"/>
    <cellStyle name="Normal 2156 3" xfId="9797"/>
    <cellStyle name="Normal 2156 4" xfId="9798"/>
    <cellStyle name="Normal 2157" xfId="9799"/>
    <cellStyle name="Normal 2157 2" xfId="9800"/>
    <cellStyle name="Normal 2157 2 2" xfId="9801"/>
    <cellStyle name="Normal 2157 2 3" xfId="9802"/>
    <cellStyle name="Normal 2157 3" xfId="9803"/>
    <cellStyle name="Normal 2157 4" xfId="9804"/>
    <cellStyle name="Normal 2158" xfId="9805"/>
    <cellStyle name="Normal 2158 2" xfId="9806"/>
    <cellStyle name="Normal 2158 2 2" xfId="9807"/>
    <cellStyle name="Normal 2158 2 3" xfId="9808"/>
    <cellStyle name="Normal 2158 3" xfId="9809"/>
    <cellStyle name="Normal 2158 4" xfId="9810"/>
    <cellStyle name="Normal 2159" xfId="9811"/>
    <cellStyle name="Normal 2159 2" xfId="9812"/>
    <cellStyle name="Normal 2159 2 2" xfId="9813"/>
    <cellStyle name="Normal 2159 2 3" xfId="9814"/>
    <cellStyle name="Normal 2159 3" xfId="9815"/>
    <cellStyle name="Normal 2159 4" xfId="9816"/>
    <cellStyle name="Normal 216" xfId="9817"/>
    <cellStyle name="Normal 216 10" xfId="35526"/>
    <cellStyle name="Normal 216 2" xfId="9818"/>
    <cellStyle name="Normal 216 2 2" xfId="9819"/>
    <cellStyle name="Normal 216 2 2 2" xfId="9820"/>
    <cellStyle name="Normal 216 2 2 3" xfId="9821"/>
    <cellStyle name="Normal 216 2 3" xfId="9822"/>
    <cellStyle name="Normal 216 2 3 2" xfId="35527"/>
    <cellStyle name="Normal 216 2 3 3" xfId="35528"/>
    <cellStyle name="Normal 216 2 4" xfId="9823"/>
    <cellStyle name="Normal 216 2 5" xfId="9824"/>
    <cellStyle name="Normal 216 2 6" xfId="35529"/>
    <cellStyle name="Normal 216 2 7" xfId="35530"/>
    <cellStyle name="Normal 216 2 8" xfId="35531"/>
    <cellStyle name="Normal 216 3" xfId="9825"/>
    <cellStyle name="Normal 216 3 2" xfId="9826"/>
    <cellStyle name="Normal 216 3 2 2" xfId="35532"/>
    <cellStyle name="Normal 216 3 2 3" xfId="35533"/>
    <cellStyle name="Normal 216 3 3" xfId="9827"/>
    <cellStyle name="Normal 216 3 3 2" xfId="35534"/>
    <cellStyle name="Normal 216 3 3 3" xfId="35535"/>
    <cellStyle name="Normal 216 3 4" xfId="35536"/>
    <cellStyle name="Normal 216 3 5" xfId="35537"/>
    <cellStyle name="Normal 216 4" xfId="9828"/>
    <cellStyle name="Normal 216 4 2" xfId="35538"/>
    <cellStyle name="Normal 216 4 3" xfId="35539"/>
    <cellStyle name="Normal 216 5" xfId="9829"/>
    <cellStyle name="Normal 216 5 2" xfId="35540"/>
    <cellStyle name="Normal 216 5 3" xfId="35541"/>
    <cellStyle name="Normal 216 6" xfId="9830"/>
    <cellStyle name="Normal 216 7" xfId="35542"/>
    <cellStyle name="Normal 216 8" xfId="35543"/>
    <cellStyle name="Normal 216 9" xfId="35544"/>
    <cellStyle name="Normal 2160" xfId="9831"/>
    <cellStyle name="Normal 2160 2" xfId="9832"/>
    <cellStyle name="Normal 2160 2 2" xfId="9833"/>
    <cellStyle name="Normal 2160 2 3" xfId="9834"/>
    <cellStyle name="Normal 2160 3" xfId="9835"/>
    <cellStyle name="Normal 2160 4" xfId="9836"/>
    <cellStyle name="Normal 2161" xfId="9837"/>
    <cellStyle name="Normal 2161 2" xfId="9838"/>
    <cellStyle name="Normal 2161 2 2" xfId="9839"/>
    <cellStyle name="Normal 2161 2 3" xfId="9840"/>
    <cellStyle name="Normal 2161 3" xfId="9841"/>
    <cellStyle name="Normal 2161 4" xfId="9842"/>
    <cellStyle name="Normal 2162" xfId="9843"/>
    <cellStyle name="Normal 2162 2" xfId="9844"/>
    <cellStyle name="Normal 2162 2 2" xfId="9845"/>
    <cellStyle name="Normal 2162 2 3" xfId="9846"/>
    <cellStyle name="Normal 2162 3" xfId="9847"/>
    <cellStyle name="Normal 2162 4" xfId="9848"/>
    <cellStyle name="Normal 2163" xfId="9849"/>
    <cellStyle name="Normal 2163 2" xfId="9850"/>
    <cellStyle name="Normal 2163 2 2" xfId="9851"/>
    <cellStyle name="Normal 2163 2 3" xfId="9852"/>
    <cellStyle name="Normal 2163 3" xfId="9853"/>
    <cellStyle name="Normal 2163 4" xfId="9854"/>
    <cellStyle name="Normal 2164" xfId="9855"/>
    <cellStyle name="Normal 2164 2" xfId="9856"/>
    <cellStyle name="Normal 2164 2 2" xfId="9857"/>
    <cellStyle name="Normal 2164 2 3" xfId="9858"/>
    <cellStyle name="Normal 2164 3" xfId="9859"/>
    <cellStyle name="Normal 2164 4" xfId="9860"/>
    <cellStyle name="Normal 2165" xfId="9861"/>
    <cellStyle name="Normal 2165 2" xfId="9862"/>
    <cellStyle name="Normal 2165 2 2" xfId="9863"/>
    <cellStyle name="Normal 2165 2 3" xfId="9864"/>
    <cellStyle name="Normal 2165 3" xfId="9865"/>
    <cellStyle name="Normal 2165 4" xfId="9866"/>
    <cellStyle name="Normal 2166" xfId="9867"/>
    <cellStyle name="Normal 2166 2" xfId="9868"/>
    <cellStyle name="Normal 2166 2 2" xfId="9869"/>
    <cellStyle name="Normal 2166 2 3" xfId="9870"/>
    <cellStyle name="Normal 2166 3" xfId="9871"/>
    <cellStyle name="Normal 2166 4" xfId="9872"/>
    <cellStyle name="Normal 2167" xfId="9873"/>
    <cellStyle name="Normal 2167 2" xfId="9874"/>
    <cellStyle name="Normal 2167 2 2" xfId="9875"/>
    <cellStyle name="Normal 2167 2 3" xfId="9876"/>
    <cellStyle name="Normal 2167 3" xfId="9877"/>
    <cellStyle name="Normal 2167 4" xfId="9878"/>
    <cellStyle name="Normal 2168" xfId="9879"/>
    <cellStyle name="Normal 2168 2" xfId="9880"/>
    <cellStyle name="Normal 2168 2 2" xfId="9881"/>
    <cellStyle name="Normal 2168 2 3" xfId="9882"/>
    <cellStyle name="Normal 2168 3" xfId="9883"/>
    <cellStyle name="Normal 2168 4" xfId="9884"/>
    <cellStyle name="Normal 2169" xfId="9885"/>
    <cellStyle name="Normal 2169 2" xfId="9886"/>
    <cellStyle name="Normal 2169 2 2" xfId="9887"/>
    <cellStyle name="Normal 2169 2 3" xfId="9888"/>
    <cellStyle name="Normal 2169 3" xfId="9889"/>
    <cellStyle name="Normal 2169 4" xfId="9890"/>
    <cellStyle name="Normal 217" xfId="9891"/>
    <cellStyle name="Normal 217 10" xfId="35545"/>
    <cellStyle name="Normal 217 2" xfId="9892"/>
    <cellStyle name="Normal 217 2 2" xfId="9893"/>
    <cellStyle name="Normal 217 2 2 2" xfId="9894"/>
    <cellStyle name="Normal 217 2 2 3" xfId="9895"/>
    <cellStyle name="Normal 217 2 3" xfId="9896"/>
    <cellStyle name="Normal 217 2 3 2" xfId="35546"/>
    <cellStyle name="Normal 217 2 3 3" xfId="35547"/>
    <cellStyle name="Normal 217 2 4" xfId="9897"/>
    <cellStyle name="Normal 217 2 5" xfId="9898"/>
    <cellStyle name="Normal 217 2 6" xfId="35548"/>
    <cellStyle name="Normal 217 2 7" xfId="35549"/>
    <cellStyle name="Normal 217 2 8" xfId="35550"/>
    <cellStyle name="Normal 217 3" xfId="9899"/>
    <cellStyle name="Normal 217 3 2" xfId="9900"/>
    <cellStyle name="Normal 217 3 2 2" xfId="35551"/>
    <cellStyle name="Normal 217 3 2 3" xfId="35552"/>
    <cellStyle name="Normal 217 3 3" xfId="9901"/>
    <cellStyle name="Normal 217 3 3 2" xfId="35553"/>
    <cellStyle name="Normal 217 3 3 3" xfId="35554"/>
    <cellStyle name="Normal 217 3 4" xfId="35555"/>
    <cellStyle name="Normal 217 3 5" xfId="35556"/>
    <cellStyle name="Normal 217 4" xfId="9902"/>
    <cellStyle name="Normal 217 4 2" xfId="35557"/>
    <cellStyle name="Normal 217 4 3" xfId="35558"/>
    <cellStyle name="Normal 217 5" xfId="9903"/>
    <cellStyle name="Normal 217 5 2" xfId="35559"/>
    <cellStyle name="Normal 217 5 3" xfId="35560"/>
    <cellStyle name="Normal 217 6" xfId="9904"/>
    <cellStyle name="Normal 217 7" xfId="35561"/>
    <cellStyle name="Normal 217 8" xfId="35562"/>
    <cellStyle name="Normal 217 9" xfId="35563"/>
    <cellStyle name="Normal 2170" xfId="9905"/>
    <cellStyle name="Normal 2170 2" xfId="9906"/>
    <cellStyle name="Normal 2170 2 2" xfId="9907"/>
    <cellStyle name="Normal 2170 2 3" xfId="9908"/>
    <cellStyle name="Normal 2170 3" xfId="9909"/>
    <cellStyle name="Normal 2170 4" xfId="9910"/>
    <cellStyle name="Normal 2171" xfId="9911"/>
    <cellStyle name="Normal 2171 2" xfId="9912"/>
    <cellStyle name="Normal 2171 2 2" xfId="9913"/>
    <cellStyle name="Normal 2171 2 3" xfId="9914"/>
    <cellStyle name="Normal 2171 3" xfId="9915"/>
    <cellStyle name="Normal 2171 4" xfId="9916"/>
    <cellStyle name="Normal 2172" xfId="9917"/>
    <cellStyle name="Normal 2172 2" xfId="9918"/>
    <cellStyle name="Normal 2172 2 2" xfId="9919"/>
    <cellStyle name="Normal 2172 2 3" xfId="9920"/>
    <cellStyle name="Normal 2172 3" xfId="9921"/>
    <cellStyle name="Normal 2172 4" xfId="9922"/>
    <cellStyle name="Normal 2173" xfId="9923"/>
    <cellStyle name="Normal 2173 2" xfId="9924"/>
    <cellStyle name="Normal 2173 2 2" xfId="9925"/>
    <cellStyle name="Normal 2173 2 3" xfId="9926"/>
    <cellStyle name="Normal 2173 3" xfId="9927"/>
    <cellStyle name="Normal 2173 4" xfId="9928"/>
    <cellStyle name="Normal 2174" xfId="9929"/>
    <cellStyle name="Normal 2174 2" xfId="9930"/>
    <cellStyle name="Normal 2174 2 2" xfId="9931"/>
    <cellStyle name="Normal 2174 2 3" xfId="9932"/>
    <cellStyle name="Normal 2174 3" xfId="9933"/>
    <cellStyle name="Normal 2174 4" xfId="9934"/>
    <cellStyle name="Normal 2175" xfId="9935"/>
    <cellStyle name="Normal 2175 2" xfId="9936"/>
    <cellStyle name="Normal 2175 2 2" xfId="9937"/>
    <cellStyle name="Normal 2175 2 3" xfId="9938"/>
    <cellStyle name="Normal 2175 3" xfId="9939"/>
    <cellStyle name="Normal 2175 4" xfId="9940"/>
    <cellStyle name="Normal 2176" xfId="9941"/>
    <cellStyle name="Normal 2176 2" xfId="9942"/>
    <cellStyle name="Normal 2176 2 2" xfId="9943"/>
    <cellStyle name="Normal 2176 2 3" xfId="9944"/>
    <cellStyle name="Normal 2176 3" xfId="9945"/>
    <cellStyle name="Normal 2176 4" xfId="9946"/>
    <cellStyle name="Normal 2177" xfId="9947"/>
    <cellStyle name="Normal 2177 2" xfId="9948"/>
    <cellStyle name="Normal 2177 2 2" xfId="9949"/>
    <cellStyle name="Normal 2177 2 3" xfId="9950"/>
    <cellStyle name="Normal 2177 3" xfId="9951"/>
    <cellStyle name="Normal 2177 4" xfId="9952"/>
    <cellStyle name="Normal 2178" xfId="9953"/>
    <cellStyle name="Normal 2178 2" xfId="9954"/>
    <cellStyle name="Normal 2178 2 2" xfId="9955"/>
    <cellStyle name="Normal 2178 2 3" xfId="9956"/>
    <cellStyle name="Normal 2178 3" xfId="9957"/>
    <cellStyle name="Normal 2178 4" xfId="9958"/>
    <cellStyle name="Normal 2179" xfId="9959"/>
    <cellStyle name="Normal 2179 2" xfId="9960"/>
    <cellStyle name="Normal 2179 2 2" xfId="9961"/>
    <cellStyle name="Normal 2179 2 3" xfId="9962"/>
    <cellStyle name="Normal 2179 3" xfId="9963"/>
    <cellStyle name="Normal 2179 4" xfId="9964"/>
    <cellStyle name="Normal 218" xfId="9965"/>
    <cellStyle name="Normal 218 10" xfId="35564"/>
    <cellStyle name="Normal 218 2" xfId="9966"/>
    <cellStyle name="Normal 218 2 2" xfId="9967"/>
    <cellStyle name="Normal 218 2 2 2" xfId="9968"/>
    <cellStyle name="Normal 218 2 2 3" xfId="9969"/>
    <cellStyle name="Normal 218 2 3" xfId="9970"/>
    <cellStyle name="Normal 218 2 3 2" xfId="35565"/>
    <cellStyle name="Normal 218 2 3 3" xfId="35566"/>
    <cellStyle name="Normal 218 2 4" xfId="9971"/>
    <cellStyle name="Normal 218 2 5" xfId="9972"/>
    <cellStyle name="Normal 218 2 6" xfId="35567"/>
    <cellStyle name="Normal 218 2 7" xfId="35568"/>
    <cellStyle name="Normal 218 2 8" xfId="35569"/>
    <cellStyle name="Normal 218 3" xfId="9973"/>
    <cellStyle name="Normal 218 3 2" xfId="9974"/>
    <cellStyle name="Normal 218 3 2 2" xfId="35570"/>
    <cellStyle name="Normal 218 3 2 3" xfId="35571"/>
    <cellStyle name="Normal 218 3 3" xfId="9975"/>
    <cellStyle name="Normal 218 3 3 2" xfId="35572"/>
    <cellStyle name="Normal 218 3 3 3" xfId="35573"/>
    <cellStyle name="Normal 218 3 4" xfId="35574"/>
    <cellStyle name="Normal 218 3 5" xfId="35575"/>
    <cellStyle name="Normal 218 4" xfId="9976"/>
    <cellStyle name="Normal 218 4 2" xfId="35576"/>
    <cellStyle name="Normal 218 4 3" xfId="35577"/>
    <cellStyle name="Normal 218 5" xfId="9977"/>
    <cellStyle name="Normal 218 5 2" xfId="35578"/>
    <cellStyle name="Normal 218 5 3" xfId="35579"/>
    <cellStyle name="Normal 218 6" xfId="9978"/>
    <cellStyle name="Normal 218 7" xfId="35580"/>
    <cellStyle name="Normal 218 8" xfId="35581"/>
    <cellStyle name="Normal 218 9" xfId="35582"/>
    <cellStyle name="Normal 2180" xfId="9979"/>
    <cellStyle name="Normal 2180 2" xfId="9980"/>
    <cellStyle name="Normal 2180 2 2" xfId="9981"/>
    <cellStyle name="Normal 2180 2 3" xfId="9982"/>
    <cellStyle name="Normal 2180 3" xfId="9983"/>
    <cellStyle name="Normal 2180 4" xfId="9984"/>
    <cellStyle name="Normal 2181" xfId="9985"/>
    <cellStyle name="Normal 2181 2" xfId="9986"/>
    <cellStyle name="Normal 2181 2 2" xfId="9987"/>
    <cellStyle name="Normal 2181 2 3" xfId="9988"/>
    <cellStyle name="Normal 2181 3" xfId="9989"/>
    <cellStyle name="Normal 2181 4" xfId="9990"/>
    <cellStyle name="Normal 2182" xfId="9991"/>
    <cellStyle name="Normal 2182 2" xfId="9992"/>
    <cellStyle name="Normal 2182 2 2" xfId="9993"/>
    <cellStyle name="Normal 2182 2 3" xfId="9994"/>
    <cellStyle name="Normal 2182 3" xfId="9995"/>
    <cellStyle name="Normal 2182 4" xfId="9996"/>
    <cellStyle name="Normal 2183" xfId="9997"/>
    <cellStyle name="Normal 2183 2" xfId="9998"/>
    <cellStyle name="Normal 2183 2 2" xfId="9999"/>
    <cellStyle name="Normal 2183 2 3" xfId="10000"/>
    <cellStyle name="Normal 2183 3" xfId="10001"/>
    <cellStyle name="Normal 2183 4" xfId="10002"/>
    <cellStyle name="Normal 2184" xfId="10003"/>
    <cellStyle name="Normal 2184 2" xfId="10004"/>
    <cellStyle name="Normal 2184 2 2" xfId="10005"/>
    <cellStyle name="Normal 2184 2 3" xfId="10006"/>
    <cellStyle name="Normal 2184 3" xfId="10007"/>
    <cellStyle name="Normal 2184 4" xfId="10008"/>
    <cellStyle name="Normal 2185" xfId="10009"/>
    <cellStyle name="Normal 2185 2" xfId="10010"/>
    <cellStyle name="Normal 2185 2 2" xfId="10011"/>
    <cellStyle name="Normal 2185 2 3" xfId="10012"/>
    <cellStyle name="Normal 2185 3" xfId="10013"/>
    <cellStyle name="Normal 2185 4" xfId="10014"/>
    <cellStyle name="Normal 2186" xfId="10015"/>
    <cellStyle name="Normal 2186 2" xfId="10016"/>
    <cellStyle name="Normal 2186 2 2" xfId="10017"/>
    <cellStyle name="Normal 2186 2 3" xfId="10018"/>
    <cellStyle name="Normal 2186 3" xfId="10019"/>
    <cellStyle name="Normal 2186 4" xfId="10020"/>
    <cellStyle name="Normal 2187" xfId="10021"/>
    <cellStyle name="Normal 2187 2" xfId="10022"/>
    <cellStyle name="Normal 2187 2 2" xfId="10023"/>
    <cellStyle name="Normal 2187 2 3" xfId="10024"/>
    <cellStyle name="Normal 2187 3" xfId="10025"/>
    <cellStyle name="Normal 2187 4" xfId="10026"/>
    <cellStyle name="Normal 2188" xfId="10027"/>
    <cellStyle name="Normal 2188 2" xfId="10028"/>
    <cellStyle name="Normal 2188 2 2" xfId="10029"/>
    <cellStyle name="Normal 2188 2 3" xfId="10030"/>
    <cellStyle name="Normal 2188 3" xfId="10031"/>
    <cellStyle name="Normal 2188 4" xfId="10032"/>
    <cellStyle name="Normal 2189" xfId="10033"/>
    <cellStyle name="Normal 2189 2" xfId="10034"/>
    <cellStyle name="Normal 2189 2 2" xfId="10035"/>
    <cellStyle name="Normal 2189 2 3" xfId="10036"/>
    <cellStyle name="Normal 2189 3" xfId="10037"/>
    <cellStyle name="Normal 2189 4" xfId="10038"/>
    <cellStyle name="Normal 219" xfId="10039"/>
    <cellStyle name="Normal 219 10" xfId="35583"/>
    <cellStyle name="Normal 219 2" xfId="10040"/>
    <cellStyle name="Normal 219 2 2" xfId="10041"/>
    <cellStyle name="Normal 219 2 2 2" xfId="10042"/>
    <cellStyle name="Normal 219 2 2 3" xfId="10043"/>
    <cellStyle name="Normal 219 2 3" xfId="10044"/>
    <cellStyle name="Normal 219 2 3 2" xfId="35584"/>
    <cellStyle name="Normal 219 2 3 3" xfId="35585"/>
    <cellStyle name="Normal 219 2 4" xfId="10045"/>
    <cellStyle name="Normal 219 2 5" xfId="10046"/>
    <cellStyle name="Normal 219 2 6" xfId="35586"/>
    <cellStyle name="Normal 219 2 7" xfId="35587"/>
    <cellStyle name="Normal 219 2 8" xfId="35588"/>
    <cellStyle name="Normal 219 3" xfId="10047"/>
    <cellStyle name="Normal 219 3 2" xfId="10048"/>
    <cellStyle name="Normal 219 3 2 2" xfId="35589"/>
    <cellStyle name="Normal 219 3 2 3" xfId="35590"/>
    <cellStyle name="Normal 219 3 3" xfId="10049"/>
    <cellStyle name="Normal 219 3 3 2" xfId="35591"/>
    <cellStyle name="Normal 219 3 3 3" xfId="35592"/>
    <cellStyle name="Normal 219 3 4" xfId="35593"/>
    <cellStyle name="Normal 219 3 5" xfId="35594"/>
    <cellStyle name="Normal 219 4" xfId="10050"/>
    <cellStyle name="Normal 219 4 2" xfId="35595"/>
    <cellStyle name="Normal 219 4 3" xfId="35596"/>
    <cellStyle name="Normal 219 5" xfId="10051"/>
    <cellStyle name="Normal 219 5 2" xfId="35597"/>
    <cellStyle name="Normal 219 5 3" xfId="35598"/>
    <cellStyle name="Normal 219 6" xfId="10052"/>
    <cellStyle name="Normal 219 7" xfId="35599"/>
    <cellStyle name="Normal 219 8" xfId="35600"/>
    <cellStyle name="Normal 219 9" xfId="35601"/>
    <cellStyle name="Normal 2190" xfId="10053"/>
    <cellStyle name="Normal 2190 2" xfId="10054"/>
    <cellStyle name="Normal 2190 2 2" xfId="10055"/>
    <cellStyle name="Normal 2190 2 3" xfId="10056"/>
    <cellStyle name="Normal 2190 3" xfId="10057"/>
    <cellStyle name="Normal 2190 4" xfId="10058"/>
    <cellStyle name="Normal 2191" xfId="10059"/>
    <cellStyle name="Normal 2191 2" xfId="10060"/>
    <cellStyle name="Normal 2191 2 2" xfId="10061"/>
    <cellStyle name="Normal 2191 2 3" xfId="10062"/>
    <cellStyle name="Normal 2191 3" xfId="10063"/>
    <cellStyle name="Normal 2191 4" xfId="10064"/>
    <cellStyle name="Normal 2192" xfId="10065"/>
    <cellStyle name="Normal 2192 2" xfId="10066"/>
    <cellStyle name="Normal 2192 2 2" xfId="10067"/>
    <cellStyle name="Normal 2192 2 3" xfId="10068"/>
    <cellStyle name="Normal 2192 3" xfId="10069"/>
    <cellStyle name="Normal 2192 4" xfId="10070"/>
    <cellStyle name="Normal 2193" xfId="10071"/>
    <cellStyle name="Normal 2193 2" xfId="10072"/>
    <cellStyle name="Normal 2193 2 2" xfId="10073"/>
    <cellStyle name="Normal 2193 2 3" xfId="10074"/>
    <cellStyle name="Normal 2193 3" xfId="10075"/>
    <cellStyle name="Normal 2193 4" xfId="10076"/>
    <cellStyle name="Normal 2194" xfId="10077"/>
    <cellStyle name="Normal 2194 2" xfId="10078"/>
    <cellStyle name="Normal 2194 2 2" xfId="10079"/>
    <cellStyle name="Normal 2194 2 3" xfId="10080"/>
    <cellStyle name="Normal 2194 3" xfId="10081"/>
    <cellStyle name="Normal 2194 4" xfId="10082"/>
    <cellStyle name="Normal 2195" xfId="10083"/>
    <cellStyle name="Normal 2195 2" xfId="10084"/>
    <cellStyle name="Normal 2195 2 2" xfId="10085"/>
    <cellStyle name="Normal 2195 2 3" xfId="10086"/>
    <cellStyle name="Normal 2195 3" xfId="10087"/>
    <cellStyle name="Normal 2195 4" xfId="10088"/>
    <cellStyle name="Normal 2196" xfId="10089"/>
    <cellStyle name="Normal 2196 2" xfId="10090"/>
    <cellStyle name="Normal 2196 2 2" xfId="10091"/>
    <cellStyle name="Normal 2196 2 3" xfId="10092"/>
    <cellStyle name="Normal 2196 3" xfId="10093"/>
    <cellStyle name="Normal 2196 4" xfId="10094"/>
    <cellStyle name="Normal 2197" xfId="10095"/>
    <cellStyle name="Normal 2197 2" xfId="10096"/>
    <cellStyle name="Normal 2197 2 2" xfId="10097"/>
    <cellStyle name="Normal 2197 2 3" xfId="10098"/>
    <cellStyle name="Normal 2197 3" xfId="10099"/>
    <cellStyle name="Normal 2197 4" xfId="10100"/>
    <cellStyle name="Normal 2198" xfId="10101"/>
    <cellStyle name="Normal 2198 2" xfId="10102"/>
    <cellStyle name="Normal 2198 2 2" xfId="10103"/>
    <cellStyle name="Normal 2198 2 3" xfId="10104"/>
    <cellStyle name="Normal 2198 3" xfId="10105"/>
    <cellStyle name="Normal 2198 4" xfId="10106"/>
    <cellStyle name="Normal 2199" xfId="10107"/>
    <cellStyle name="Normal 2199 2" xfId="10108"/>
    <cellStyle name="Normal 2199 2 2" xfId="10109"/>
    <cellStyle name="Normal 2199 2 3" xfId="10110"/>
    <cellStyle name="Normal 2199 3" xfId="10111"/>
    <cellStyle name="Normal 2199 4" xfId="10112"/>
    <cellStyle name="Normal 22" xfId="10113"/>
    <cellStyle name="Normal 22 10" xfId="35602"/>
    <cellStyle name="Normal 22 2" xfId="10114"/>
    <cellStyle name="Normal 22 2 2" xfId="10115"/>
    <cellStyle name="Normal 22 2 2 2" xfId="10116"/>
    <cellStyle name="Normal 22 2 2 3" xfId="10117"/>
    <cellStyle name="Normal 22 2 3" xfId="10118"/>
    <cellStyle name="Normal 22 2 3 2" xfId="35603"/>
    <cellStyle name="Normal 22 2 3 3" xfId="35604"/>
    <cellStyle name="Normal 22 2 4" xfId="10119"/>
    <cellStyle name="Normal 22 2 5" xfId="10120"/>
    <cellStyle name="Normal 22 2 6" xfId="35605"/>
    <cellStyle name="Normal 22 2 7" xfId="35606"/>
    <cellStyle name="Normal 22 2 8" xfId="35607"/>
    <cellStyle name="Normal 22 3" xfId="10121"/>
    <cellStyle name="Normal 22 3 2" xfId="10122"/>
    <cellStyle name="Normal 22 3 2 2" xfId="35608"/>
    <cellStyle name="Normal 22 3 2 3" xfId="35609"/>
    <cellStyle name="Normal 22 3 3" xfId="10123"/>
    <cellStyle name="Normal 22 3 3 2" xfId="35610"/>
    <cellStyle name="Normal 22 3 3 3" xfId="35611"/>
    <cellStyle name="Normal 22 3 4" xfId="10124"/>
    <cellStyle name="Normal 22 3 5" xfId="35612"/>
    <cellStyle name="Normal 22 4" xfId="10125"/>
    <cellStyle name="Normal 22 4 2" xfId="35613"/>
    <cellStyle name="Normal 22 4 3" xfId="35614"/>
    <cellStyle name="Normal 22 5" xfId="10126"/>
    <cellStyle name="Normal 22 5 2" xfId="35615"/>
    <cellStyle name="Normal 22 5 3" xfId="35616"/>
    <cellStyle name="Normal 22 6" xfId="35617"/>
    <cellStyle name="Normal 22 7" xfId="35618"/>
    <cellStyle name="Normal 22 8" xfId="35619"/>
    <cellStyle name="Normal 22 9" xfId="35620"/>
    <cellStyle name="Normal 220" xfId="10127"/>
    <cellStyle name="Normal 220 10" xfId="35621"/>
    <cellStyle name="Normal 220 2" xfId="10128"/>
    <cellStyle name="Normal 220 2 2" xfId="10129"/>
    <cellStyle name="Normal 220 2 2 2" xfId="10130"/>
    <cellStyle name="Normal 220 2 2 3" xfId="10131"/>
    <cellStyle name="Normal 220 2 3" xfId="10132"/>
    <cellStyle name="Normal 220 2 3 2" xfId="35622"/>
    <cellStyle name="Normal 220 2 3 3" xfId="35623"/>
    <cellStyle name="Normal 220 2 4" xfId="10133"/>
    <cellStyle name="Normal 220 2 5" xfId="10134"/>
    <cellStyle name="Normal 220 2 6" xfId="35624"/>
    <cellStyle name="Normal 220 2 7" xfId="35625"/>
    <cellStyle name="Normal 220 2 8" xfId="35626"/>
    <cellStyle name="Normal 220 3" xfId="10135"/>
    <cellStyle name="Normal 220 3 2" xfId="10136"/>
    <cellStyle name="Normal 220 3 2 2" xfId="35627"/>
    <cellStyle name="Normal 220 3 2 3" xfId="35628"/>
    <cellStyle name="Normal 220 3 3" xfId="10137"/>
    <cellStyle name="Normal 220 3 3 2" xfId="35629"/>
    <cellStyle name="Normal 220 3 3 3" xfId="35630"/>
    <cellStyle name="Normal 220 3 4" xfId="35631"/>
    <cellStyle name="Normal 220 3 5" xfId="35632"/>
    <cellStyle name="Normal 220 4" xfId="10138"/>
    <cellStyle name="Normal 220 4 2" xfId="35633"/>
    <cellStyle name="Normal 220 4 3" xfId="35634"/>
    <cellStyle name="Normal 220 5" xfId="10139"/>
    <cellStyle name="Normal 220 5 2" xfId="35635"/>
    <cellStyle name="Normal 220 5 3" xfId="35636"/>
    <cellStyle name="Normal 220 6" xfId="10140"/>
    <cellStyle name="Normal 220 7" xfId="35637"/>
    <cellStyle name="Normal 220 8" xfId="35638"/>
    <cellStyle name="Normal 220 9" xfId="35639"/>
    <cellStyle name="Normal 2200" xfId="10141"/>
    <cellStyle name="Normal 2200 2" xfId="10142"/>
    <cellStyle name="Normal 2200 2 2" xfId="10143"/>
    <cellStyle name="Normal 2200 2 3" xfId="10144"/>
    <cellStyle name="Normal 2200 3" xfId="10145"/>
    <cellStyle name="Normal 2200 4" xfId="10146"/>
    <cellStyle name="Normal 2201" xfId="10147"/>
    <cellStyle name="Normal 2201 2" xfId="10148"/>
    <cellStyle name="Normal 2201 2 2" xfId="10149"/>
    <cellStyle name="Normal 2201 2 3" xfId="10150"/>
    <cellStyle name="Normal 2201 3" xfId="10151"/>
    <cellStyle name="Normal 2201 4" xfId="10152"/>
    <cellStyle name="Normal 2202" xfId="10153"/>
    <cellStyle name="Normal 2202 2" xfId="10154"/>
    <cellStyle name="Normal 2202 2 2" xfId="10155"/>
    <cellStyle name="Normal 2202 2 3" xfId="10156"/>
    <cellStyle name="Normal 2202 3" xfId="10157"/>
    <cellStyle name="Normal 2202 4" xfId="10158"/>
    <cellStyle name="Normal 2203" xfId="10159"/>
    <cellStyle name="Normal 2203 2" xfId="10160"/>
    <cellStyle name="Normal 2203 2 2" xfId="10161"/>
    <cellStyle name="Normal 2203 2 3" xfId="10162"/>
    <cellStyle name="Normal 2203 3" xfId="10163"/>
    <cellStyle name="Normal 2203 4" xfId="10164"/>
    <cellStyle name="Normal 2204" xfId="10165"/>
    <cellStyle name="Normal 2204 2" xfId="10166"/>
    <cellStyle name="Normal 2204 2 2" xfId="10167"/>
    <cellStyle name="Normal 2204 2 3" xfId="10168"/>
    <cellStyle name="Normal 2204 3" xfId="10169"/>
    <cellStyle name="Normal 2204 4" xfId="10170"/>
    <cellStyle name="Normal 2205" xfId="10171"/>
    <cellStyle name="Normal 2205 2" xfId="10172"/>
    <cellStyle name="Normal 2205 2 2" xfId="10173"/>
    <cellStyle name="Normal 2205 2 3" xfId="10174"/>
    <cellStyle name="Normal 2205 3" xfId="10175"/>
    <cellStyle name="Normal 2205 4" xfId="10176"/>
    <cellStyle name="Normal 2206" xfId="10177"/>
    <cellStyle name="Normal 2206 2" xfId="10178"/>
    <cellStyle name="Normal 2206 2 2" xfId="10179"/>
    <cellStyle name="Normal 2206 2 3" xfId="10180"/>
    <cellStyle name="Normal 2206 3" xfId="10181"/>
    <cellStyle name="Normal 2206 4" xfId="10182"/>
    <cellStyle name="Normal 2207" xfId="10183"/>
    <cellStyle name="Normal 2207 2" xfId="10184"/>
    <cellStyle name="Normal 2207 2 2" xfId="10185"/>
    <cellStyle name="Normal 2207 2 3" xfId="10186"/>
    <cellStyle name="Normal 2207 3" xfId="10187"/>
    <cellStyle name="Normal 2207 4" xfId="10188"/>
    <cellStyle name="Normal 2208" xfId="10189"/>
    <cellStyle name="Normal 2208 2" xfId="10190"/>
    <cellStyle name="Normal 2208 2 2" xfId="10191"/>
    <cellStyle name="Normal 2208 2 3" xfId="10192"/>
    <cellStyle name="Normal 2208 3" xfId="10193"/>
    <cellStyle name="Normal 2208 4" xfId="10194"/>
    <cellStyle name="Normal 2209" xfId="10195"/>
    <cellStyle name="Normal 2209 2" xfId="10196"/>
    <cellStyle name="Normal 2209 2 2" xfId="10197"/>
    <cellStyle name="Normal 2209 2 3" xfId="10198"/>
    <cellStyle name="Normal 2209 3" xfId="10199"/>
    <cellStyle name="Normal 2209 4" xfId="10200"/>
    <cellStyle name="Normal 221" xfId="10201"/>
    <cellStyle name="Normal 221 10" xfId="35640"/>
    <cellStyle name="Normal 221 2" xfId="10202"/>
    <cellStyle name="Normal 221 2 2" xfId="10203"/>
    <cellStyle name="Normal 221 2 2 2" xfId="10204"/>
    <cellStyle name="Normal 221 2 2 3" xfId="10205"/>
    <cellStyle name="Normal 221 2 3" xfId="10206"/>
    <cellStyle name="Normal 221 2 3 2" xfId="35641"/>
    <cellStyle name="Normal 221 2 3 3" xfId="35642"/>
    <cellStyle name="Normal 221 2 4" xfId="10207"/>
    <cellStyle name="Normal 221 2 5" xfId="10208"/>
    <cellStyle name="Normal 221 2 6" xfId="35643"/>
    <cellStyle name="Normal 221 2 7" xfId="35644"/>
    <cellStyle name="Normal 221 2 8" xfId="35645"/>
    <cellStyle name="Normal 221 3" xfId="10209"/>
    <cellStyle name="Normal 221 3 2" xfId="10210"/>
    <cellStyle name="Normal 221 3 2 2" xfId="35646"/>
    <cellStyle name="Normal 221 3 2 3" xfId="35647"/>
    <cellStyle name="Normal 221 3 3" xfId="10211"/>
    <cellStyle name="Normal 221 3 3 2" xfId="35648"/>
    <cellStyle name="Normal 221 3 3 3" xfId="35649"/>
    <cellStyle name="Normal 221 3 4" xfId="35650"/>
    <cellStyle name="Normal 221 3 5" xfId="35651"/>
    <cellStyle name="Normal 221 4" xfId="10212"/>
    <cellStyle name="Normal 221 4 2" xfId="35652"/>
    <cellStyle name="Normal 221 4 3" xfId="35653"/>
    <cellStyle name="Normal 221 5" xfId="10213"/>
    <cellStyle name="Normal 221 5 2" xfId="35654"/>
    <cellStyle name="Normal 221 5 3" xfId="35655"/>
    <cellStyle name="Normal 221 6" xfId="10214"/>
    <cellStyle name="Normal 221 7" xfId="35656"/>
    <cellStyle name="Normal 221 8" xfId="35657"/>
    <cellStyle name="Normal 221 9" xfId="35658"/>
    <cellStyle name="Normal 2210" xfId="10215"/>
    <cellStyle name="Normal 2210 2" xfId="10216"/>
    <cellStyle name="Normal 2210 2 2" xfId="10217"/>
    <cellStyle name="Normal 2210 2 3" xfId="10218"/>
    <cellStyle name="Normal 2210 3" xfId="10219"/>
    <cellStyle name="Normal 2210 4" xfId="10220"/>
    <cellStyle name="Normal 2211" xfId="10221"/>
    <cellStyle name="Normal 2211 2" xfId="10222"/>
    <cellStyle name="Normal 2211 2 2" xfId="10223"/>
    <cellStyle name="Normal 2211 2 3" xfId="10224"/>
    <cellStyle name="Normal 2211 3" xfId="10225"/>
    <cellStyle name="Normal 2211 4" xfId="10226"/>
    <cellStyle name="Normal 2212" xfId="10227"/>
    <cellStyle name="Normal 2212 2" xfId="10228"/>
    <cellStyle name="Normal 2212 2 2" xfId="10229"/>
    <cellStyle name="Normal 2212 2 3" xfId="10230"/>
    <cellStyle name="Normal 2212 3" xfId="10231"/>
    <cellStyle name="Normal 2212 4" xfId="10232"/>
    <cellStyle name="Normal 2213" xfId="10233"/>
    <cellStyle name="Normal 2213 2" xfId="10234"/>
    <cellStyle name="Normal 2213 2 2" xfId="10235"/>
    <cellStyle name="Normal 2213 2 3" xfId="10236"/>
    <cellStyle name="Normal 2213 3" xfId="10237"/>
    <cellStyle name="Normal 2213 4" xfId="10238"/>
    <cellStyle name="Normal 2214" xfId="10239"/>
    <cellStyle name="Normal 2214 2" xfId="10240"/>
    <cellStyle name="Normal 2214 2 2" xfId="10241"/>
    <cellStyle name="Normal 2214 2 3" xfId="10242"/>
    <cellStyle name="Normal 2214 3" xfId="10243"/>
    <cellStyle name="Normal 2214 4" xfId="10244"/>
    <cellStyle name="Normal 2215" xfId="10245"/>
    <cellStyle name="Normal 2215 2" xfId="10246"/>
    <cellStyle name="Normal 2215 2 2" xfId="10247"/>
    <cellStyle name="Normal 2215 2 3" xfId="10248"/>
    <cellStyle name="Normal 2215 3" xfId="10249"/>
    <cellStyle name="Normal 2215 4" xfId="10250"/>
    <cellStyle name="Normal 2216" xfId="10251"/>
    <cellStyle name="Normal 2216 2" xfId="10252"/>
    <cellStyle name="Normal 2216 2 2" xfId="10253"/>
    <cellStyle name="Normal 2216 2 3" xfId="10254"/>
    <cellStyle name="Normal 2216 3" xfId="10255"/>
    <cellStyle name="Normal 2216 4" xfId="10256"/>
    <cellStyle name="Normal 2217" xfId="10257"/>
    <cellStyle name="Normal 2217 2" xfId="10258"/>
    <cellStyle name="Normal 2217 2 2" xfId="10259"/>
    <cellStyle name="Normal 2217 2 3" xfId="10260"/>
    <cellStyle name="Normal 2217 3" xfId="10261"/>
    <cellStyle name="Normal 2217 4" xfId="10262"/>
    <cellStyle name="Normal 2218" xfId="10263"/>
    <cellStyle name="Normal 2218 2" xfId="10264"/>
    <cellStyle name="Normal 2218 2 2" xfId="10265"/>
    <cellStyle name="Normal 2218 2 3" xfId="10266"/>
    <cellStyle name="Normal 2218 3" xfId="10267"/>
    <cellStyle name="Normal 2218 4" xfId="10268"/>
    <cellStyle name="Normal 2219" xfId="10269"/>
    <cellStyle name="Normal 2219 2" xfId="10270"/>
    <cellStyle name="Normal 2219 2 2" xfId="10271"/>
    <cellStyle name="Normal 2219 2 3" xfId="10272"/>
    <cellStyle name="Normal 2219 3" xfId="10273"/>
    <cellStyle name="Normal 2219 4" xfId="10274"/>
    <cellStyle name="Normal 222" xfId="10275"/>
    <cellStyle name="Normal 222 10" xfId="35659"/>
    <cellStyle name="Normal 222 2" xfId="10276"/>
    <cellStyle name="Normal 222 2 2" xfId="10277"/>
    <cellStyle name="Normal 222 2 2 2" xfId="10278"/>
    <cellStyle name="Normal 222 2 2 3" xfId="10279"/>
    <cellStyle name="Normal 222 2 3" xfId="10280"/>
    <cellStyle name="Normal 222 2 3 2" xfId="35660"/>
    <cellStyle name="Normal 222 2 3 3" xfId="35661"/>
    <cellStyle name="Normal 222 2 4" xfId="10281"/>
    <cellStyle name="Normal 222 2 5" xfId="10282"/>
    <cellStyle name="Normal 222 2 6" xfId="35662"/>
    <cellStyle name="Normal 222 2 7" xfId="35663"/>
    <cellStyle name="Normal 222 2 8" xfId="35664"/>
    <cellStyle name="Normal 222 3" xfId="10283"/>
    <cellStyle name="Normal 222 3 2" xfId="10284"/>
    <cellStyle name="Normal 222 3 2 2" xfId="35665"/>
    <cellStyle name="Normal 222 3 2 3" xfId="35666"/>
    <cellStyle name="Normal 222 3 3" xfId="10285"/>
    <cellStyle name="Normal 222 3 3 2" xfId="35667"/>
    <cellStyle name="Normal 222 3 3 3" xfId="35668"/>
    <cellStyle name="Normal 222 3 4" xfId="35669"/>
    <cellStyle name="Normal 222 3 5" xfId="35670"/>
    <cellStyle name="Normal 222 4" xfId="10286"/>
    <cellStyle name="Normal 222 4 2" xfId="35671"/>
    <cellStyle name="Normal 222 4 3" xfId="35672"/>
    <cellStyle name="Normal 222 5" xfId="10287"/>
    <cellStyle name="Normal 222 5 2" xfId="35673"/>
    <cellStyle name="Normal 222 5 3" xfId="35674"/>
    <cellStyle name="Normal 222 6" xfId="10288"/>
    <cellStyle name="Normal 222 7" xfId="35675"/>
    <cellStyle name="Normal 222 8" xfId="35676"/>
    <cellStyle name="Normal 222 9" xfId="35677"/>
    <cellStyle name="Normal 2220" xfId="10289"/>
    <cellStyle name="Normal 2220 2" xfId="10290"/>
    <cellStyle name="Normal 2220 2 2" xfId="10291"/>
    <cellStyle name="Normal 2220 2 3" xfId="10292"/>
    <cellStyle name="Normal 2220 3" xfId="10293"/>
    <cellStyle name="Normal 2220 4" xfId="10294"/>
    <cellStyle name="Normal 2221" xfId="10295"/>
    <cellStyle name="Normal 2221 2" xfId="10296"/>
    <cellStyle name="Normal 2221 2 2" xfId="10297"/>
    <cellStyle name="Normal 2221 2 3" xfId="10298"/>
    <cellStyle name="Normal 2221 3" xfId="10299"/>
    <cellStyle name="Normal 2221 4" xfId="10300"/>
    <cellStyle name="Normal 2222" xfId="10301"/>
    <cellStyle name="Normal 2222 2" xfId="10302"/>
    <cellStyle name="Normal 2222 2 2" xfId="10303"/>
    <cellStyle name="Normal 2222 2 3" xfId="10304"/>
    <cellStyle name="Normal 2222 3" xfId="10305"/>
    <cellStyle name="Normal 2222 4" xfId="10306"/>
    <cellStyle name="Normal 2223" xfId="10307"/>
    <cellStyle name="Normal 2223 2" xfId="10308"/>
    <cellStyle name="Normal 2223 2 2" xfId="10309"/>
    <cellStyle name="Normal 2223 2 3" xfId="10310"/>
    <cellStyle name="Normal 2223 3" xfId="10311"/>
    <cellStyle name="Normal 2223 4" xfId="10312"/>
    <cellStyle name="Normal 2224" xfId="10313"/>
    <cellStyle name="Normal 2224 2" xfId="10314"/>
    <cellStyle name="Normal 2224 2 2" xfId="10315"/>
    <cellStyle name="Normal 2224 2 3" xfId="10316"/>
    <cellStyle name="Normal 2224 3" xfId="10317"/>
    <cellStyle name="Normal 2224 4" xfId="10318"/>
    <cellStyle name="Normal 2225" xfId="10319"/>
    <cellStyle name="Normal 2225 2" xfId="10320"/>
    <cellStyle name="Normal 2225 2 2" xfId="10321"/>
    <cellStyle name="Normal 2225 2 3" xfId="10322"/>
    <cellStyle name="Normal 2225 3" xfId="10323"/>
    <cellStyle name="Normal 2225 4" xfId="10324"/>
    <cellStyle name="Normal 2226" xfId="10325"/>
    <cellStyle name="Normal 2226 2" xfId="10326"/>
    <cellStyle name="Normal 2226 2 2" xfId="10327"/>
    <cellStyle name="Normal 2226 2 3" xfId="10328"/>
    <cellStyle name="Normal 2226 3" xfId="10329"/>
    <cellStyle name="Normal 2226 4" xfId="10330"/>
    <cellStyle name="Normal 2227" xfId="10331"/>
    <cellStyle name="Normal 2227 2" xfId="10332"/>
    <cellStyle name="Normal 2227 2 2" xfId="10333"/>
    <cellStyle name="Normal 2227 2 3" xfId="10334"/>
    <cellStyle name="Normal 2227 3" xfId="10335"/>
    <cellStyle name="Normal 2227 4" xfId="10336"/>
    <cellStyle name="Normal 2228" xfId="10337"/>
    <cellStyle name="Normal 2228 2" xfId="10338"/>
    <cellStyle name="Normal 2228 2 2" xfId="10339"/>
    <cellStyle name="Normal 2228 2 3" xfId="10340"/>
    <cellStyle name="Normal 2228 3" xfId="10341"/>
    <cellStyle name="Normal 2228 4" xfId="10342"/>
    <cellStyle name="Normal 2229" xfId="10343"/>
    <cellStyle name="Normal 2229 2" xfId="10344"/>
    <cellStyle name="Normal 2229 2 2" xfId="10345"/>
    <cellStyle name="Normal 2229 2 3" xfId="10346"/>
    <cellStyle name="Normal 2229 3" xfId="10347"/>
    <cellStyle name="Normal 2229 4" xfId="10348"/>
    <cellStyle name="Normal 223" xfId="10349"/>
    <cellStyle name="Normal 223 10" xfId="35678"/>
    <cellStyle name="Normal 223 2" xfId="10350"/>
    <cellStyle name="Normal 223 2 2" xfId="10351"/>
    <cellStyle name="Normal 223 2 2 2" xfId="10352"/>
    <cellStyle name="Normal 223 2 2 3" xfId="10353"/>
    <cellStyle name="Normal 223 2 3" xfId="10354"/>
    <cellStyle name="Normal 223 2 3 2" xfId="35679"/>
    <cellStyle name="Normal 223 2 3 3" xfId="35680"/>
    <cellStyle name="Normal 223 2 4" xfId="10355"/>
    <cellStyle name="Normal 223 2 5" xfId="10356"/>
    <cellStyle name="Normal 223 2 6" xfId="35681"/>
    <cellStyle name="Normal 223 2 7" xfId="35682"/>
    <cellStyle name="Normal 223 2 8" xfId="35683"/>
    <cellStyle name="Normal 223 3" xfId="10357"/>
    <cellStyle name="Normal 223 3 2" xfId="10358"/>
    <cellStyle name="Normal 223 3 2 2" xfId="35684"/>
    <cellStyle name="Normal 223 3 2 3" xfId="35685"/>
    <cellStyle name="Normal 223 3 3" xfId="10359"/>
    <cellStyle name="Normal 223 3 3 2" xfId="35686"/>
    <cellStyle name="Normal 223 3 3 3" xfId="35687"/>
    <cellStyle name="Normal 223 3 4" xfId="35688"/>
    <cellStyle name="Normal 223 3 5" xfId="35689"/>
    <cellStyle name="Normal 223 4" xfId="10360"/>
    <cellStyle name="Normal 223 4 2" xfId="35690"/>
    <cellStyle name="Normal 223 4 3" xfId="35691"/>
    <cellStyle name="Normal 223 5" xfId="10361"/>
    <cellStyle name="Normal 223 5 2" xfId="35692"/>
    <cellStyle name="Normal 223 5 3" xfId="35693"/>
    <cellStyle name="Normal 223 6" xfId="10362"/>
    <cellStyle name="Normal 223 7" xfId="35694"/>
    <cellStyle name="Normal 223 8" xfId="35695"/>
    <cellStyle name="Normal 223 9" xfId="35696"/>
    <cellStyle name="Normal 2230" xfId="10363"/>
    <cellStyle name="Normal 2230 2" xfId="10364"/>
    <cellStyle name="Normal 2230 2 2" xfId="10365"/>
    <cellStyle name="Normal 2230 2 3" xfId="10366"/>
    <cellStyle name="Normal 2230 3" xfId="10367"/>
    <cellStyle name="Normal 2230 4" xfId="10368"/>
    <cellStyle name="Normal 2231" xfId="10369"/>
    <cellStyle name="Normal 2231 2" xfId="10370"/>
    <cellStyle name="Normal 2231 2 2" xfId="10371"/>
    <cellStyle name="Normal 2231 2 3" xfId="10372"/>
    <cellStyle name="Normal 2231 3" xfId="10373"/>
    <cellStyle name="Normal 2231 4" xfId="10374"/>
    <cellStyle name="Normal 2232" xfId="10375"/>
    <cellStyle name="Normal 2232 2" xfId="10376"/>
    <cellStyle name="Normal 2232 2 2" xfId="10377"/>
    <cellStyle name="Normal 2232 2 3" xfId="10378"/>
    <cellStyle name="Normal 2232 3" xfId="10379"/>
    <cellStyle name="Normal 2232 4" xfId="10380"/>
    <cellStyle name="Normal 2233" xfId="10381"/>
    <cellStyle name="Normal 2233 2" xfId="10382"/>
    <cellStyle name="Normal 2233 2 2" xfId="10383"/>
    <cellStyle name="Normal 2233 2 3" xfId="10384"/>
    <cellStyle name="Normal 2233 3" xfId="10385"/>
    <cellStyle name="Normal 2233 4" xfId="10386"/>
    <cellStyle name="Normal 2234" xfId="10387"/>
    <cellStyle name="Normal 2234 2" xfId="10388"/>
    <cellStyle name="Normal 2234 2 2" xfId="10389"/>
    <cellStyle name="Normal 2234 2 3" xfId="10390"/>
    <cellStyle name="Normal 2234 3" xfId="10391"/>
    <cellStyle name="Normal 2234 4" xfId="10392"/>
    <cellStyle name="Normal 2235" xfId="10393"/>
    <cellStyle name="Normal 2235 2" xfId="10394"/>
    <cellStyle name="Normal 2235 2 2" xfId="10395"/>
    <cellStyle name="Normal 2235 2 3" xfId="10396"/>
    <cellStyle name="Normal 2235 3" xfId="10397"/>
    <cellStyle name="Normal 2235 4" xfId="10398"/>
    <cellStyle name="Normal 2236" xfId="10399"/>
    <cellStyle name="Normal 2236 2" xfId="10400"/>
    <cellStyle name="Normal 2236 2 2" xfId="10401"/>
    <cellStyle name="Normal 2236 2 3" xfId="10402"/>
    <cellStyle name="Normal 2236 3" xfId="10403"/>
    <cellStyle name="Normal 2236 4" xfId="10404"/>
    <cellStyle name="Normal 2237" xfId="10405"/>
    <cellStyle name="Normal 2237 2" xfId="10406"/>
    <cellStyle name="Normal 2237 2 2" xfId="10407"/>
    <cellStyle name="Normal 2237 2 3" xfId="10408"/>
    <cellStyle name="Normal 2237 3" xfId="10409"/>
    <cellStyle name="Normal 2237 4" xfId="10410"/>
    <cellStyle name="Normal 2238" xfId="10411"/>
    <cellStyle name="Normal 2238 2" xfId="10412"/>
    <cellStyle name="Normal 2238 2 2" xfId="10413"/>
    <cellStyle name="Normal 2238 2 3" xfId="10414"/>
    <cellStyle name="Normal 2238 3" xfId="10415"/>
    <cellStyle name="Normal 2238 4" xfId="10416"/>
    <cellStyle name="Normal 2239" xfId="10417"/>
    <cellStyle name="Normal 2239 2" xfId="10418"/>
    <cellStyle name="Normal 2239 2 2" xfId="10419"/>
    <cellStyle name="Normal 2239 2 3" xfId="10420"/>
    <cellStyle name="Normal 2239 3" xfId="10421"/>
    <cellStyle name="Normal 2239 4" xfId="10422"/>
    <cellStyle name="Normal 224" xfId="10423"/>
    <cellStyle name="Normal 224 10" xfId="35697"/>
    <cellStyle name="Normal 224 2" xfId="10424"/>
    <cellStyle name="Normal 224 2 2" xfId="10425"/>
    <cellStyle name="Normal 224 2 2 2" xfId="10426"/>
    <cellStyle name="Normal 224 2 2 3" xfId="10427"/>
    <cellStyle name="Normal 224 2 3" xfId="10428"/>
    <cellStyle name="Normal 224 2 3 2" xfId="35698"/>
    <cellStyle name="Normal 224 2 3 3" xfId="35699"/>
    <cellStyle name="Normal 224 2 4" xfId="10429"/>
    <cellStyle name="Normal 224 2 5" xfId="10430"/>
    <cellStyle name="Normal 224 2 6" xfId="35700"/>
    <cellStyle name="Normal 224 2 7" xfId="35701"/>
    <cellStyle name="Normal 224 2 8" xfId="35702"/>
    <cellStyle name="Normal 224 3" xfId="10431"/>
    <cellStyle name="Normal 224 3 2" xfId="10432"/>
    <cellStyle name="Normal 224 3 2 2" xfId="35703"/>
    <cellStyle name="Normal 224 3 2 3" xfId="35704"/>
    <cellStyle name="Normal 224 3 3" xfId="10433"/>
    <cellStyle name="Normal 224 3 3 2" xfId="35705"/>
    <cellStyle name="Normal 224 3 3 3" xfId="35706"/>
    <cellStyle name="Normal 224 3 4" xfId="35707"/>
    <cellStyle name="Normal 224 3 5" xfId="35708"/>
    <cellStyle name="Normal 224 4" xfId="10434"/>
    <cellStyle name="Normal 224 4 2" xfId="35709"/>
    <cellStyle name="Normal 224 4 3" xfId="35710"/>
    <cellStyle name="Normal 224 5" xfId="10435"/>
    <cellStyle name="Normal 224 5 2" xfId="35711"/>
    <cellStyle name="Normal 224 5 3" xfId="35712"/>
    <cellStyle name="Normal 224 6" xfId="10436"/>
    <cellStyle name="Normal 224 7" xfId="35713"/>
    <cellStyle name="Normal 224 8" xfId="35714"/>
    <cellStyle name="Normal 224 9" xfId="35715"/>
    <cellStyle name="Normal 2240" xfId="10437"/>
    <cellStyle name="Normal 2240 2" xfId="10438"/>
    <cellStyle name="Normal 2240 2 2" xfId="10439"/>
    <cellStyle name="Normal 2240 2 3" xfId="10440"/>
    <cellStyle name="Normal 2240 3" xfId="10441"/>
    <cellStyle name="Normal 2240 4" xfId="10442"/>
    <cellStyle name="Normal 2241" xfId="10443"/>
    <cellStyle name="Normal 2241 2" xfId="10444"/>
    <cellStyle name="Normal 2241 2 2" xfId="10445"/>
    <cellStyle name="Normal 2241 2 3" xfId="10446"/>
    <cellStyle name="Normal 2241 3" xfId="10447"/>
    <cellStyle name="Normal 2241 4" xfId="10448"/>
    <cellStyle name="Normal 2242" xfId="10449"/>
    <cellStyle name="Normal 2242 2" xfId="10450"/>
    <cellStyle name="Normal 2242 2 2" xfId="10451"/>
    <cellStyle name="Normal 2242 2 3" xfId="10452"/>
    <cellStyle name="Normal 2242 3" xfId="10453"/>
    <cellStyle name="Normal 2242 4" xfId="10454"/>
    <cellStyle name="Normal 2243" xfId="10455"/>
    <cellStyle name="Normal 2243 2" xfId="10456"/>
    <cellStyle name="Normal 2243 2 2" xfId="10457"/>
    <cellStyle name="Normal 2243 2 3" xfId="10458"/>
    <cellStyle name="Normal 2243 3" xfId="10459"/>
    <cellStyle name="Normal 2243 4" xfId="10460"/>
    <cellStyle name="Normal 2244" xfId="10461"/>
    <cellStyle name="Normal 2244 2" xfId="10462"/>
    <cellStyle name="Normal 2244 2 2" xfId="10463"/>
    <cellStyle name="Normal 2244 2 3" xfId="10464"/>
    <cellStyle name="Normal 2244 3" xfId="10465"/>
    <cellStyle name="Normal 2244 4" xfId="10466"/>
    <cellStyle name="Normal 2245" xfId="10467"/>
    <cellStyle name="Normal 2245 2" xfId="10468"/>
    <cellStyle name="Normal 2245 2 2" xfId="10469"/>
    <cellStyle name="Normal 2245 2 3" xfId="10470"/>
    <cellStyle name="Normal 2245 3" xfId="10471"/>
    <cellStyle name="Normal 2245 4" xfId="10472"/>
    <cellStyle name="Normal 2246" xfId="10473"/>
    <cellStyle name="Normal 2246 2" xfId="10474"/>
    <cellStyle name="Normal 2246 2 2" xfId="10475"/>
    <cellStyle name="Normal 2246 2 3" xfId="10476"/>
    <cellStyle name="Normal 2246 3" xfId="10477"/>
    <cellStyle name="Normal 2246 4" xfId="10478"/>
    <cellStyle name="Normal 2247" xfId="10479"/>
    <cellStyle name="Normal 2247 2" xfId="10480"/>
    <cellStyle name="Normal 2247 2 2" xfId="10481"/>
    <cellStyle name="Normal 2247 2 3" xfId="10482"/>
    <cellStyle name="Normal 2247 3" xfId="10483"/>
    <cellStyle name="Normal 2247 4" xfId="10484"/>
    <cellStyle name="Normal 2248" xfId="10485"/>
    <cellStyle name="Normal 2248 2" xfId="10486"/>
    <cellStyle name="Normal 2248 2 2" xfId="10487"/>
    <cellStyle name="Normal 2248 2 3" xfId="10488"/>
    <cellStyle name="Normal 2248 3" xfId="10489"/>
    <cellStyle name="Normal 2248 4" xfId="10490"/>
    <cellStyle name="Normal 2249" xfId="10491"/>
    <cellStyle name="Normal 2249 2" xfId="10492"/>
    <cellStyle name="Normal 2249 2 2" xfId="10493"/>
    <cellStyle name="Normal 2249 2 3" xfId="10494"/>
    <cellStyle name="Normal 2249 3" xfId="10495"/>
    <cellStyle name="Normal 2249 4" xfId="10496"/>
    <cellStyle name="Normal 225" xfId="10497"/>
    <cellStyle name="Normal 225 10" xfId="35716"/>
    <cellStyle name="Normal 225 2" xfId="10498"/>
    <cellStyle name="Normal 225 2 2" xfId="10499"/>
    <cellStyle name="Normal 225 2 2 2" xfId="10500"/>
    <cellStyle name="Normal 225 2 2 3" xfId="10501"/>
    <cellStyle name="Normal 225 2 3" xfId="10502"/>
    <cellStyle name="Normal 225 2 3 2" xfId="35717"/>
    <cellStyle name="Normal 225 2 3 3" xfId="35718"/>
    <cellStyle name="Normal 225 2 4" xfId="10503"/>
    <cellStyle name="Normal 225 2 5" xfId="10504"/>
    <cellStyle name="Normal 225 2 6" xfId="35719"/>
    <cellStyle name="Normal 225 2 7" xfId="35720"/>
    <cellStyle name="Normal 225 2 8" xfId="35721"/>
    <cellStyle name="Normal 225 3" xfId="10505"/>
    <cellStyle name="Normal 225 3 2" xfId="10506"/>
    <cellStyle name="Normal 225 3 2 2" xfId="35722"/>
    <cellStyle name="Normal 225 3 2 3" xfId="35723"/>
    <cellStyle name="Normal 225 3 3" xfId="10507"/>
    <cellStyle name="Normal 225 3 3 2" xfId="35724"/>
    <cellStyle name="Normal 225 3 3 3" xfId="35725"/>
    <cellStyle name="Normal 225 3 4" xfId="35726"/>
    <cellStyle name="Normal 225 3 5" xfId="35727"/>
    <cellStyle name="Normal 225 4" xfId="10508"/>
    <cellStyle name="Normal 225 4 2" xfId="35728"/>
    <cellStyle name="Normal 225 4 3" xfId="35729"/>
    <cellStyle name="Normal 225 5" xfId="10509"/>
    <cellStyle name="Normal 225 5 2" xfId="35730"/>
    <cellStyle name="Normal 225 5 3" xfId="35731"/>
    <cellStyle name="Normal 225 6" xfId="10510"/>
    <cellStyle name="Normal 225 7" xfId="35732"/>
    <cellStyle name="Normal 225 8" xfId="35733"/>
    <cellStyle name="Normal 225 9" xfId="35734"/>
    <cellStyle name="Normal 2250" xfId="10511"/>
    <cellStyle name="Normal 2250 2" xfId="10512"/>
    <cellStyle name="Normal 2250 2 2" xfId="10513"/>
    <cellStyle name="Normal 2250 2 3" xfId="10514"/>
    <cellStyle name="Normal 2250 3" xfId="10515"/>
    <cellStyle name="Normal 2250 4" xfId="10516"/>
    <cellStyle name="Normal 2251" xfId="10517"/>
    <cellStyle name="Normal 2251 2" xfId="10518"/>
    <cellStyle name="Normal 2251 2 2" xfId="10519"/>
    <cellStyle name="Normal 2251 2 3" xfId="10520"/>
    <cellStyle name="Normal 2251 3" xfId="10521"/>
    <cellStyle name="Normal 2251 4" xfId="10522"/>
    <cellStyle name="Normal 2252" xfId="10523"/>
    <cellStyle name="Normal 2252 2" xfId="10524"/>
    <cellStyle name="Normal 2252 2 2" xfId="10525"/>
    <cellStyle name="Normal 2252 2 3" xfId="10526"/>
    <cellStyle name="Normal 2252 3" xfId="10527"/>
    <cellStyle name="Normal 2252 4" xfId="10528"/>
    <cellStyle name="Normal 2253" xfId="10529"/>
    <cellStyle name="Normal 2253 2" xfId="10530"/>
    <cellStyle name="Normal 2253 2 2" xfId="10531"/>
    <cellStyle name="Normal 2253 2 3" xfId="10532"/>
    <cellStyle name="Normal 2253 3" xfId="10533"/>
    <cellStyle name="Normal 2253 4" xfId="10534"/>
    <cellStyle name="Normal 2254" xfId="10535"/>
    <cellStyle name="Normal 2254 2" xfId="10536"/>
    <cellStyle name="Normal 2254 2 2" xfId="10537"/>
    <cellStyle name="Normal 2254 2 3" xfId="10538"/>
    <cellStyle name="Normal 2254 3" xfId="10539"/>
    <cellStyle name="Normal 2254 4" xfId="10540"/>
    <cellStyle name="Normal 2255" xfId="10541"/>
    <cellStyle name="Normal 2255 2" xfId="10542"/>
    <cellStyle name="Normal 2255 2 2" xfId="10543"/>
    <cellStyle name="Normal 2255 2 3" xfId="10544"/>
    <cellStyle name="Normal 2255 3" xfId="10545"/>
    <cellStyle name="Normal 2255 4" xfId="10546"/>
    <cellStyle name="Normal 2256" xfId="10547"/>
    <cellStyle name="Normal 2256 2" xfId="10548"/>
    <cellStyle name="Normal 2256 2 2" xfId="10549"/>
    <cellStyle name="Normal 2256 2 3" xfId="10550"/>
    <cellStyle name="Normal 2256 3" xfId="10551"/>
    <cellStyle name="Normal 2256 4" xfId="10552"/>
    <cellStyle name="Normal 2257" xfId="10553"/>
    <cellStyle name="Normal 2257 2" xfId="10554"/>
    <cellStyle name="Normal 2257 2 2" xfId="10555"/>
    <cellStyle name="Normal 2257 2 3" xfId="10556"/>
    <cellStyle name="Normal 2257 3" xfId="10557"/>
    <cellStyle name="Normal 2257 4" xfId="10558"/>
    <cellStyle name="Normal 2258" xfId="10559"/>
    <cellStyle name="Normal 2258 2" xfId="10560"/>
    <cellStyle name="Normal 2258 2 2" xfId="10561"/>
    <cellStyle name="Normal 2258 2 3" xfId="10562"/>
    <cellStyle name="Normal 2258 3" xfId="10563"/>
    <cellStyle name="Normal 2258 4" xfId="10564"/>
    <cellStyle name="Normal 2259" xfId="10565"/>
    <cellStyle name="Normal 2259 2" xfId="10566"/>
    <cellStyle name="Normal 2259 2 2" xfId="10567"/>
    <cellStyle name="Normal 2259 2 3" xfId="10568"/>
    <cellStyle name="Normal 2259 3" xfId="10569"/>
    <cellStyle name="Normal 2259 4" xfId="10570"/>
    <cellStyle name="Normal 226" xfId="10571"/>
    <cellStyle name="Normal 226 10" xfId="35735"/>
    <cellStyle name="Normal 226 2" xfId="10572"/>
    <cellStyle name="Normal 226 2 2" xfId="10573"/>
    <cellStyle name="Normal 226 2 2 2" xfId="10574"/>
    <cellStyle name="Normal 226 2 2 3" xfId="10575"/>
    <cellStyle name="Normal 226 2 3" xfId="10576"/>
    <cellStyle name="Normal 226 2 3 2" xfId="35736"/>
    <cellStyle name="Normal 226 2 3 3" xfId="35737"/>
    <cellStyle name="Normal 226 2 4" xfId="10577"/>
    <cellStyle name="Normal 226 2 5" xfId="10578"/>
    <cellStyle name="Normal 226 2 6" xfId="35738"/>
    <cellStyle name="Normal 226 2 7" xfId="35739"/>
    <cellStyle name="Normal 226 2 8" xfId="35740"/>
    <cellStyle name="Normal 226 3" xfId="10579"/>
    <cellStyle name="Normal 226 3 2" xfId="10580"/>
    <cellStyle name="Normal 226 3 2 2" xfId="35741"/>
    <cellStyle name="Normal 226 3 2 3" xfId="35742"/>
    <cellStyle name="Normal 226 3 3" xfId="10581"/>
    <cellStyle name="Normal 226 3 3 2" xfId="35743"/>
    <cellStyle name="Normal 226 3 3 3" xfId="35744"/>
    <cellStyle name="Normal 226 3 4" xfId="35745"/>
    <cellStyle name="Normal 226 3 5" xfId="35746"/>
    <cellStyle name="Normal 226 4" xfId="10582"/>
    <cellStyle name="Normal 226 4 2" xfId="35747"/>
    <cellStyle name="Normal 226 4 3" xfId="35748"/>
    <cellStyle name="Normal 226 5" xfId="10583"/>
    <cellStyle name="Normal 226 5 2" xfId="35749"/>
    <cellStyle name="Normal 226 5 3" xfId="35750"/>
    <cellStyle name="Normal 226 6" xfId="10584"/>
    <cellStyle name="Normal 226 7" xfId="35751"/>
    <cellStyle name="Normal 226 8" xfId="35752"/>
    <cellStyle name="Normal 226 9" xfId="35753"/>
    <cellStyle name="Normal 2260" xfId="10585"/>
    <cellStyle name="Normal 2260 2" xfId="10586"/>
    <cellStyle name="Normal 2260 2 2" xfId="10587"/>
    <cellStyle name="Normal 2260 2 3" xfId="10588"/>
    <cellStyle name="Normal 2260 3" xfId="10589"/>
    <cellStyle name="Normal 2260 4" xfId="10590"/>
    <cellStyle name="Normal 2261" xfId="10591"/>
    <cellStyle name="Normal 2261 2" xfId="10592"/>
    <cellStyle name="Normal 2261 2 2" xfId="10593"/>
    <cellStyle name="Normal 2261 2 3" xfId="10594"/>
    <cellStyle name="Normal 2261 3" xfId="10595"/>
    <cellStyle name="Normal 2261 4" xfId="10596"/>
    <cellStyle name="Normal 2262" xfId="10597"/>
    <cellStyle name="Normal 2262 2" xfId="10598"/>
    <cellStyle name="Normal 2262 2 2" xfId="10599"/>
    <cellStyle name="Normal 2262 2 3" xfId="10600"/>
    <cellStyle name="Normal 2262 3" xfId="10601"/>
    <cellStyle name="Normal 2262 4" xfId="10602"/>
    <cellStyle name="Normal 2263" xfId="10603"/>
    <cellStyle name="Normal 2263 2" xfId="10604"/>
    <cellStyle name="Normal 2263 2 2" xfId="10605"/>
    <cellStyle name="Normal 2263 2 3" xfId="10606"/>
    <cellStyle name="Normal 2263 3" xfId="10607"/>
    <cellStyle name="Normal 2263 4" xfId="10608"/>
    <cellStyle name="Normal 2264" xfId="10609"/>
    <cellStyle name="Normal 2264 2" xfId="10610"/>
    <cellStyle name="Normal 2264 2 2" xfId="10611"/>
    <cellStyle name="Normal 2264 2 3" xfId="10612"/>
    <cellStyle name="Normal 2264 3" xfId="10613"/>
    <cellStyle name="Normal 2264 4" xfId="10614"/>
    <cellStyle name="Normal 2265" xfId="10615"/>
    <cellStyle name="Normal 2265 2" xfId="10616"/>
    <cellStyle name="Normal 2265 2 2" xfId="10617"/>
    <cellStyle name="Normal 2265 2 3" xfId="10618"/>
    <cellStyle name="Normal 2265 3" xfId="10619"/>
    <cellStyle name="Normal 2265 4" xfId="10620"/>
    <cellStyle name="Normal 2266" xfId="10621"/>
    <cellStyle name="Normal 2266 2" xfId="10622"/>
    <cellStyle name="Normal 2266 2 2" xfId="10623"/>
    <cellStyle name="Normal 2266 2 3" xfId="10624"/>
    <cellStyle name="Normal 2266 3" xfId="10625"/>
    <cellStyle name="Normal 2266 4" xfId="10626"/>
    <cellStyle name="Normal 2267" xfId="10627"/>
    <cellStyle name="Normal 2267 2" xfId="10628"/>
    <cellStyle name="Normal 2267 2 2" xfId="10629"/>
    <cellStyle name="Normal 2267 2 3" xfId="10630"/>
    <cellStyle name="Normal 2267 3" xfId="10631"/>
    <cellStyle name="Normal 2267 4" xfId="10632"/>
    <cellStyle name="Normal 2268" xfId="10633"/>
    <cellStyle name="Normal 2268 2" xfId="10634"/>
    <cellStyle name="Normal 2268 2 2" xfId="10635"/>
    <cellStyle name="Normal 2268 2 3" xfId="10636"/>
    <cellStyle name="Normal 2268 3" xfId="10637"/>
    <cellStyle name="Normal 2268 4" xfId="10638"/>
    <cellStyle name="Normal 2269" xfId="10639"/>
    <cellStyle name="Normal 2269 2" xfId="10640"/>
    <cellStyle name="Normal 2269 2 2" xfId="10641"/>
    <cellStyle name="Normal 2269 2 3" xfId="10642"/>
    <cellStyle name="Normal 2269 3" xfId="10643"/>
    <cellStyle name="Normal 2269 4" xfId="10644"/>
    <cellStyle name="Normal 227" xfId="10645"/>
    <cellStyle name="Normal 227 10" xfId="35754"/>
    <cellStyle name="Normal 227 2" xfId="10646"/>
    <cellStyle name="Normal 227 2 2" xfId="10647"/>
    <cellStyle name="Normal 227 2 2 2" xfId="10648"/>
    <cellStyle name="Normal 227 2 2 3" xfId="10649"/>
    <cellStyle name="Normal 227 2 3" xfId="10650"/>
    <cellStyle name="Normal 227 2 3 2" xfId="35755"/>
    <cellStyle name="Normal 227 2 3 3" xfId="35756"/>
    <cellStyle name="Normal 227 2 4" xfId="10651"/>
    <cellStyle name="Normal 227 2 5" xfId="10652"/>
    <cellStyle name="Normal 227 2 6" xfId="35757"/>
    <cellStyle name="Normal 227 2 7" xfId="35758"/>
    <cellStyle name="Normal 227 2 8" xfId="35759"/>
    <cellStyle name="Normal 227 3" xfId="10653"/>
    <cellStyle name="Normal 227 3 2" xfId="10654"/>
    <cellStyle name="Normal 227 3 2 2" xfId="35760"/>
    <cellStyle name="Normal 227 3 2 3" xfId="35761"/>
    <cellStyle name="Normal 227 3 3" xfId="10655"/>
    <cellStyle name="Normal 227 3 3 2" xfId="35762"/>
    <cellStyle name="Normal 227 3 3 3" xfId="35763"/>
    <cellStyle name="Normal 227 3 4" xfId="35764"/>
    <cellStyle name="Normal 227 3 5" xfId="35765"/>
    <cellStyle name="Normal 227 4" xfId="10656"/>
    <cellStyle name="Normal 227 4 2" xfId="35766"/>
    <cellStyle name="Normal 227 4 3" xfId="35767"/>
    <cellStyle name="Normal 227 5" xfId="10657"/>
    <cellStyle name="Normal 227 5 2" xfId="35768"/>
    <cellStyle name="Normal 227 5 3" xfId="35769"/>
    <cellStyle name="Normal 227 6" xfId="10658"/>
    <cellStyle name="Normal 227 7" xfId="35770"/>
    <cellStyle name="Normal 227 8" xfId="35771"/>
    <cellStyle name="Normal 227 9" xfId="35772"/>
    <cellStyle name="Normal 2270" xfId="10659"/>
    <cellStyle name="Normal 2270 2" xfId="10660"/>
    <cellStyle name="Normal 2270 2 2" xfId="10661"/>
    <cellStyle name="Normal 2270 2 3" xfId="10662"/>
    <cellStyle name="Normal 2270 3" xfId="10663"/>
    <cellStyle name="Normal 2270 4" xfId="10664"/>
    <cellStyle name="Normal 2271" xfId="10665"/>
    <cellStyle name="Normal 2271 2" xfId="10666"/>
    <cellStyle name="Normal 2271 2 2" xfId="10667"/>
    <cellStyle name="Normal 2271 2 3" xfId="10668"/>
    <cellStyle name="Normal 2271 3" xfId="10669"/>
    <cellStyle name="Normal 2271 4" xfId="10670"/>
    <cellStyle name="Normal 2272" xfId="10671"/>
    <cellStyle name="Normal 2272 2" xfId="10672"/>
    <cellStyle name="Normal 2272 2 2" xfId="10673"/>
    <cellStyle name="Normal 2272 2 3" xfId="10674"/>
    <cellStyle name="Normal 2272 3" xfId="10675"/>
    <cellStyle name="Normal 2272 4" xfId="10676"/>
    <cellStyle name="Normal 2273" xfId="10677"/>
    <cellStyle name="Normal 2273 2" xfId="10678"/>
    <cellStyle name="Normal 2273 2 2" xfId="10679"/>
    <cellStyle name="Normal 2273 2 3" xfId="10680"/>
    <cellStyle name="Normal 2273 3" xfId="10681"/>
    <cellStyle name="Normal 2273 4" xfId="10682"/>
    <cellStyle name="Normal 2274" xfId="10683"/>
    <cellStyle name="Normal 2274 2" xfId="10684"/>
    <cellStyle name="Normal 2274 2 2" xfId="10685"/>
    <cellStyle name="Normal 2274 2 3" xfId="10686"/>
    <cellStyle name="Normal 2274 3" xfId="10687"/>
    <cellStyle name="Normal 2274 4" xfId="10688"/>
    <cellStyle name="Normal 2275" xfId="10689"/>
    <cellStyle name="Normal 2275 2" xfId="10690"/>
    <cellStyle name="Normal 2275 2 2" xfId="10691"/>
    <cellStyle name="Normal 2275 2 3" xfId="10692"/>
    <cellStyle name="Normal 2275 3" xfId="10693"/>
    <cellStyle name="Normal 2275 4" xfId="10694"/>
    <cellStyle name="Normal 2276" xfId="10695"/>
    <cellStyle name="Normal 2276 2" xfId="10696"/>
    <cellStyle name="Normal 2276 2 2" xfId="10697"/>
    <cellStyle name="Normal 2276 2 3" xfId="10698"/>
    <cellStyle name="Normal 2276 3" xfId="10699"/>
    <cellStyle name="Normal 2276 4" xfId="10700"/>
    <cellStyle name="Normal 2277" xfId="10701"/>
    <cellStyle name="Normal 2277 2" xfId="10702"/>
    <cellStyle name="Normal 2277 2 2" xfId="10703"/>
    <cellStyle name="Normal 2277 2 3" xfId="10704"/>
    <cellStyle name="Normal 2277 3" xfId="10705"/>
    <cellStyle name="Normal 2277 4" xfId="10706"/>
    <cellStyle name="Normal 2278" xfId="10707"/>
    <cellStyle name="Normal 2278 2" xfId="10708"/>
    <cellStyle name="Normal 2278 2 2" xfId="10709"/>
    <cellStyle name="Normal 2278 2 3" xfId="10710"/>
    <cellStyle name="Normal 2278 3" xfId="10711"/>
    <cellStyle name="Normal 2278 4" xfId="10712"/>
    <cellStyle name="Normal 2279" xfId="10713"/>
    <cellStyle name="Normal 2279 2" xfId="10714"/>
    <cellStyle name="Normal 2279 2 2" xfId="10715"/>
    <cellStyle name="Normal 2279 2 3" xfId="10716"/>
    <cellStyle name="Normal 2279 3" xfId="10717"/>
    <cellStyle name="Normal 2279 4" xfId="10718"/>
    <cellStyle name="Normal 228" xfId="10719"/>
    <cellStyle name="Normal 228 10" xfId="35773"/>
    <cellStyle name="Normal 228 2" xfId="10720"/>
    <cellStyle name="Normal 228 2 2" xfId="10721"/>
    <cellStyle name="Normal 228 2 2 2" xfId="10722"/>
    <cellStyle name="Normal 228 2 2 3" xfId="10723"/>
    <cellStyle name="Normal 228 2 3" xfId="10724"/>
    <cellStyle name="Normal 228 2 3 2" xfId="35774"/>
    <cellStyle name="Normal 228 2 3 3" xfId="35775"/>
    <cellStyle name="Normal 228 2 4" xfId="10725"/>
    <cellStyle name="Normal 228 2 5" xfId="10726"/>
    <cellStyle name="Normal 228 2 6" xfId="35776"/>
    <cellStyle name="Normal 228 2 7" xfId="35777"/>
    <cellStyle name="Normal 228 2 8" xfId="35778"/>
    <cellStyle name="Normal 228 3" xfId="10727"/>
    <cellStyle name="Normal 228 3 2" xfId="10728"/>
    <cellStyle name="Normal 228 3 2 2" xfId="35779"/>
    <cellStyle name="Normal 228 3 2 3" xfId="35780"/>
    <cellStyle name="Normal 228 3 3" xfId="10729"/>
    <cellStyle name="Normal 228 3 3 2" xfId="35781"/>
    <cellStyle name="Normal 228 3 3 3" xfId="35782"/>
    <cellStyle name="Normal 228 3 4" xfId="35783"/>
    <cellStyle name="Normal 228 3 5" xfId="35784"/>
    <cellStyle name="Normal 228 4" xfId="10730"/>
    <cellStyle name="Normal 228 4 2" xfId="35785"/>
    <cellStyle name="Normal 228 4 3" xfId="35786"/>
    <cellStyle name="Normal 228 5" xfId="10731"/>
    <cellStyle name="Normal 228 5 2" xfId="35787"/>
    <cellStyle name="Normal 228 5 3" xfId="35788"/>
    <cellStyle name="Normal 228 6" xfId="10732"/>
    <cellStyle name="Normal 228 7" xfId="35789"/>
    <cellStyle name="Normal 228 8" xfId="35790"/>
    <cellStyle name="Normal 228 9" xfId="35791"/>
    <cellStyle name="Normal 2280" xfId="10733"/>
    <cellStyle name="Normal 2280 2" xfId="10734"/>
    <cellStyle name="Normal 2280 2 2" xfId="10735"/>
    <cellStyle name="Normal 2280 2 3" xfId="10736"/>
    <cellStyle name="Normal 2280 3" xfId="10737"/>
    <cellStyle name="Normal 2280 4" xfId="10738"/>
    <cellStyle name="Normal 2281" xfId="10739"/>
    <cellStyle name="Normal 2281 2" xfId="10740"/>
    <cellStyle name="Normal 2281 2 2" xfId="10741"/>
    <cellStyle name="Normal 2281 2 3" xfId="10742"/>
    <cellStyle name="Normal 2281 3" xfId="10743"/>
    <cellStyle name="Normal 2281 4" xfId="10744"/>
    <cellStyle name="Normal 2282" xfId="10745"/>
    <cellStyle name="Normal 2282 2" xfId="10746"/>
    <cellStyle name="Normal 2282 2 2" xfId="10747"/>
    <cellStyle name="Normal 2282 2 3" xfId="10748"/>
    <cellStyle name="Normal 2282 3" xfId="10749"/>
    <cellStyle name="Normal 2282 4" xfId="10750"/>
    <cellStyle name="Normal 2283" xfId="10751"/>
    <cellStyle name="Normal 2283 2" xfId="10752"/>
    <cellStyle name="Normal 2283 2 2" xfId="10753"/>
    <cellStyle name="Normal 2283 2 3" xfId="10754"/>
    <cellStyle name="Normal 2283 3" xfId="10755"/>
    <cellStyle name="Normal 2283 4" xfId="10756"/>
    <cellStyle name="Normal 2284" xfId="10757"/>
    <cellStyle name="Normal 2284 2" xfId="10758"/>
    <cellStyle name="Normal 2284 2 2" xfId="10759"/>
    <cellStyle name="Normal 2284 2 3" xfId="10760"/>
    <cellStyle name="Normal 2284 3" xfId="10761"/>
    <cellStyle name="Normal 2284 4" xfId="10762"/>
    <cellStyle name="Normal 2285" xfId="10763"/>
    <cellStyle name="Normal 2285 2" xfId="10764"/>
    <cellStyle name="Normal 2285 2 2" xfId="10765"/>
    <cellStyle name="Normal 2285 2 3" xfId="10766"/>
    <cellStyle name="Normal 2285 3" xfId="10767"/>
    <cellStyle name="Normal 2285 4" xfId="10768"/>
    <cellStyle name="Normal 2286" xfId="10769"/>
    <cellStyle name="Normal 2286 2" xfId="10770"/>
    <cellStyle name="Normal 2286 2 2" xfId="10771"/>
    <cellStyle name="Normal 2286 2 3" xfId="10772"/>
    <cellStyle name="Normal 2286 3" xfId="10773"/>
    <cellStyle name="Normal 2286 4" xfId="10774"/>
    <cellStyle name="Normal 2287" xfId="10775"/>
    <cellStyle name="Normal 2287 2" xfId="10776"/>
    <cellStyle name="Normal 2287 2 2" xfId="10777"/>
    <cellStyle name="Normal 2287 2 3" xfId="10778"/>
    <cellStyle name="Normal 2287 3" xfId="10779"/>
    <cellStyle name="Normal 2287 4" xfId="10780"/>
    <cellStyle name="Normal 2288" xfId="10781"/>
    <cellStyle name="Normal 2288 2" xfId="10782"/>
    <cellStyle name="Normal 2288 2 2" xfId="10783"/>
    <cellStyle name="Normal 2288 2 3" xfId="10784"/>
    <cellStyle name="Normal 2288 3" xfId="10785"/>
    <cellStyle name="Normal 2288 4" xfId="10786"/>
    <cellStyle name="Normal 2289" xfId="10787"/>
    <cellStyle name="Normal 2289 2" xfId="10788"/>
    <cellStyle name="Normal 2289 2 2" xfId="10789"/>
    <cellStyle name="Normal 2289 2 3" xfId="10790"/>
    <cellStyle name="Normal 2289 3" xfId="10791"/>
    <cellStyle name="Normal 2289 4" xfId="10792"/>
    <cellStyle name="Normal 229" xfId="10793"/>
    <cellStyle name="Normal 229 10" xfId="35792"/>
    <cellStyle name="Normal 229 2" xfId="10794"/>
    <cellStyle name="Normal 229 2 2" xfId="10795"/>
    <cellStyle name="Normal 229 2 2 2" xfId="10796"/>
    <cellStyle name="Normal 229 2 2 3" xfId="10797"/>
    <cellStyle name="Normal 229 2 3" xfId="10798"/>
    <cellStyle name="Normal 229 2 3 2" xfId="35793"/>
    <cellStyle name="Normal 229 2 3 3" xfId="35794"/>
    <cellStyle name="Normal 229 2 4" xfId="10799"/>
    <cellStyle name="Normal 229 2 5" xfId="10800"/>
    <cellStyle name="Normal 229 2 6" xfId="35795"/>
    <cellStyle name="Normal 229 2 7" xfId="35796"/>
    <cellStyle name="Normal 229 2 8" xfId="35797"/>
    <cellStyle name="Normal 229 3" xfId="10801"/>
    <cellStyle name="Normal 229 3 2" xfId="10802"/>
    <cellStyle name="Normal 229 3 2 2" xfId="35798"/>
    <cellStyle name="Normal 229 3 2 3" xfId="35799"/>
    <cellStyle name="Normal 229 3 3" xfId="10803"/>
    <cellStyle name="Normal 229 3 3 2" xfId="35800"/>
    <cellStyle name="Normal 229 3 3 3" xfId="35801"/>
    <cellStyle name="Normal 229 3 4" xfId="35802"/>
    <cellStyle name="Normal 229 3 5" xfId="35803"/>
    <cellStyle name="Normal 229 4" xfId="10804"/>
    <cellStyle name="Normal 229 4 2" xfId="35804"/>
    <cellStyle name="Normal 229 4 3" xfId="35805"/>
    <cellStyle name="Normal 229 5" xfId="10805"/>
    <cellStyle name="Normal 229 5 2" xfId="35806"/>
    <cellStyle name="Normal 229 5 3" xfId="35807"/>
    <cellStyle name="Normal 229 6" xfId="10806"/>
    <cellStyle name="Normal 229 7" xfId="35808"/>
    <cellStyle name="Normal 229 8" xfId="35809"/>
    <cellStyle name="Normal 229 9" xfId="35810"/>
    <cellStyle name="Normal 2290" xfId="10807"/>
    <cellStyle name="Normal 2290 2" xfId="10808"/>
    <cellStyle name="Normal 2290 2 2" xfId="10809"/>
    <cellStyle name="Normal 2290 2 3" xfId="10810"/>
    <cellStyle name="Normal 2290 3" xfId="10811"/>
    <cellStyle name="Normal 2290 4" xfId="10812"/>
    <cellStyle name="Normal 2291" xfId="10813"/>
    <cellStyle name="Normal 2291 2" xfId="10814"/>
    <cellStyle name="Normal 2291 2 2" xfId="10815"/>
    <cellStyle name="Normal 2291 2 3" xfId="10816"/>
    <cellStyle name="Normal 2291 3" xfId="10817"/>
    <cellStyle name="Normal 2291 4" xfId="10818"/>
    <cellStyle name="Normal 2292" xfId="10819"/>
    <cellStyle name="Normal 2292 2" xfId="10820"/>
    <cellStyle name="Normal 2292 2 2" xfId="10821"/>
    <cellStyle name="Normal 2292 2 3" xfId="10822"/>
    <cellStyle name="Normal 2292 3" xfId="10823"/>
    <cellStyle name="Normal 2292 4" xfId="10824"/>
    <cellStyle name="Normal 2293" xfId="10825"/>
    <cellStyle name="Normal 2293 2" xfId="10826"/>
    <cellStyle name="Normal 2293 2 2" xfId="10827"/>
    <cellStyle name="Normal 2293 2 3" xfId="10828"/>
    <cellStyle name="Normal 2293 3" xfId="10829"/>
    <cellStyle name="Normal 2293 4" xfId="10830"/>
    <cellStyle name="Normal 2294" xfId="10831"/>
    <cellStyle name="Normal 2294 2" xfId="10832"/>
    <cellStyle name="Normal 2294 2 2" xfId="10833"/>
    <cellStyle name="Normal 2294 2 3" xfId="10834"/>
    <cellStyle name="Normal 2294 3" xfId="10835"/>
    <cellStyle name="Normal 2294 4" xfId="10836"/>
    <cellStyle name="Normal 2295" xfId="10837"/>
    <cellStyle name="Normal 2295 2" xfId="10838"/>
    <cellStyle name="Normal 2295 2 2" xfId="10839"/>
    <cellStyle name="Normal 2295 2 3" xfId="10840"/>
    <cellStyle name="Normal 2295 3" xfId="10841"/>
    <cellStyle name="Normal 2295 4" xfId="10842"/>
    <cellStyle name="Normal 2296" xfId="10843"/>
    <cellStyle name="Normal 2296 2" xfId="10844"/>
    <cellStyle name="Normal 2296 2 2" xfId="10845"/>
    <cellStyle name="Normal 2296 2 3" xfId="10846"/>
    <cellStyle name="Normal 2296 3" xfId="10847"/>
    <cellStyle name="Normal 2296 4" xfId="10848"/>
    <cellStyle name="Normal 2297" xfId="10849"/>
    <cellStyle name="Normal 2297 2" xfId="10850"/>
    <cellStyle name="Normal 2297 2 2" xfId="10851"/>
    <cellStyle name="Normal 2297 2 3" xfId="10852"/>
    <cellStyle name="Normal 2297 3" xfId="10853"/>
    <cellStyle name="Normal 2297 4" xfId="10854"/>
    <cellStyle name="Normal 2298" xfId="10855"/>
    <cellStyle name="Normal 2298 2" xfId="10856"/>
    <cellStyle name="Normal 2298 2 2" xfId="10857"/>
    <cellStyle name="Normal 2298 2 3" xfId="10858"/>
    <cellStyle name="Normal 2298 3" xfId="10859"/>
    <cellStyle name="Normal 2298 4" xfId="10860"/>
    <cellStyle name="Normal 2299" xfId="10861"/>
    <cellStyle name="Normal 2299 2" xfId="10862"/>
    <cellStyle name="Normal 2299 2 2" xfId="10863"/>
    <cellStyle name="Normal 2299 2 3" xfId="10864"/>
    <cellStyle name="Normal 2299 3" xfId="10865"/>
    <cellStyle name="Normal 2299 4" xfId="10866"/>
    <cellStyle name="Normal 23" xfId="10867"/>
    <cellStyle name="Normal 23 10" xfId="35811"/>
    <cellStyle name="Normal 23 2" xfId="10868"/>
    <cellStyle name="Normal 23 2 2" xfId="10869"/>
    <cellStyle name="Normal 23 2 2 2" xfId="10870"/>
    <cellStyle name="Normal 23 2 2 3" xfId="10871"/>
    <cellStyle name="Normal 23 2 3" xfId="10872"/>
    <cellStyle name="Normal 23 2 3 2" xfId="35812"/>
    <cellStyle name="Normal 23 2 3 3" xfId="35813"/>
    <cellStyle name="Normal 23 2 4" xfId="10873"/>
    <cellStyle name="Normal 23 2 5" xfId="10874"/>
    <cellStyle name="Normal 23 2 6" xfId="35814"/>
    <cellStyle name="Normal 23 2 7" xfId="35815"/>
    <cellStyle name="Normal 23 2 8" xfId="35816"/>
    <cellStyle name="Normal 23 3" xfId="10875"/>
    <cellStyle name="Normal 23 3 2" xfId="10876"/>
    <cellStyle name="Normal 23 3 2 2" xfId="35817"/>
    <cellStyle name="Normal 23 3 2 3" xfId="35818"/>
    <cellStyle name="Normal 23 3 3" xfId="10877"/>
    <cellStyle name="Normal 23 3 3 2" xfId="35819"/>
    <cellStyle name="Normal 23 3 3 3" xfId="35820"/>
    <cellStyle name="Normal 23 3 4" xfId="10878"/>
    <cellStyle name="Normal 23 3 5" xfId="35821"/>
    <cellStyle name="Normal 23 4" xfId="10879"/>
    <cellStyle name="Normal 23 4 2" xfId="35822"/>
    <cellStyle name="Normal 23 4 3" xfId="35823"/>
    <cellStyle name="Normal 23 5" xfId="10880"/>
    <cellStyle name="Normal 23 5 2" xfId="35824"/>
    <cellStyle name="Normal 23 5 3" xfId="35825"/>
    <cellStyle name="Normal 23 6" xfId="10881"/>
    <cellStyle name="Normal 23 7" xfId="35826"/>
    <cellStyle name="Normal 23 8" xfId="35827"/>
    <cellStyle name="Normal 23 9" xfId="35828"/>
    <cellStyle name="Normal 230" xfId="10882"/>
    <cellStyle name="Normal 230 10" xfId="35829"/>
    <cellStyle name="Normal 230 2" xfId="10883"/>
    <cellStyle name="Normal 230 2 2" xfId="10884"/>
    <cellStyle name="Normal 230 2 2 2" xfId="10885"/>
    <cellStyle name="Normal 230 2 2 3" xfId="10886"/>
    <cellStyle name="Normal 230 2 3" xfId="10887"/>
    <cellStyle name="Normal 230 2 3 2" xfId="35830"/>
    <cellStyle name="Normal 230 2 3 3" xfId="35831"/>
    <cellStyle name="Normal 230 2 4" xfId="10888"/>
    <cellStyle name="Normal 230 2 5" xfId="10889"/>
    <cellStyle name="Normal 230 2 6" xfId="35832"/>
    <cellStyle name="Normal 230 2 7" xfId="35833"/>
    <cellStyle name="Normal 230 2 8" xfId="35834"/>
    <cellStyle name="Normal 230 3" xfId="10890"/>
    <cellStyle name="Normal 230 3 2" xfId="10891"/>
    <cellStyle name="Normal 230 3 2 2" xfId="35835"/>
    <cellStyle name="Normal 230 3 2 3" xfId="35836"/>
    <cellStyle name="Normal 230 3 3" xfId="10892"/>
    <cellStyle name="Normal 230 3 3 2" xfId="35837"/>
    <cellStyle name="Normal 230 3 3 3" xfId="35838"/>
    <cellStyle name="Normal 230 3 4" xfId="35839"/>
    <cellStyle name="Normal 230 3 5" xfId="35840"/>
    <cellStyle name="Normal 230 4" xfId="10893"/>
    <cellStyle name="Normal 230 4 2" xfId="35841"/>
    <cellStyle name="Normal 230 4 3" xfId="35842"/>
    <cellStyle name="Normal 230 5" xfId="10894"/>
    <cellStyle name="Normal 230 5 2" xfId="35843"/>
    <cellStyle name="Normal 230 5 3" xfId="35844"/>
    <cellStyle name="Normal 230 6" xfId="10895"/>
    <cellStyle name="Normal 230 7" xfId="35845"/>
    <cellStyle name="Normal 230 8" xfId="35846"/>
    <cellStyle name="Normal 230 9" xfId="35847"/>
    <cellStyle name="Normal 2300" xfId="10896"/>
    <cellStyle name="Normal 2300 2" xfId="10897"/>
    <cellStyle name="Normal 2300 2 2" xfId="10898"/>
    <cellStyle name="Normal 2300 2 3" xfId="10899"/>
    <cellStyle name="Normal 2300 3" xfId="10900"/>
    <cellStyle name="Normal 2300 4" xfId="10901"/>
    <cellStyle name="Normal 2301" xfId="10902"/>
    <cellStyle name="Normal 2301 2" xfId="10903"/>
    <cellStyle name="Normal 2301 2 2" xfId="10904"/>
    <cellStyle name="Normal 2301 2 3" xfId="10905"/>
    <cellStyle name="Normal 2301 3" xfId="10906"/>
    <cellStyle name="Normal 2301 4" xfId="10907"/>
    <cellStyle name="Normal 2302" xfId="10908"/>
    <cellStyle name="Normal 2302 2" xfId="10909"/>
    <cellStyle name="Normal 2302 2 2" xfId="10910"/>
    <cellStyle name="Normal 2302 2 3" xfId="10911"/>
    <cellStyle name="Normal 2302 3" xfId="10912"/>
    <cellStyle name="Normal 2302 4" xfId="10913"/>
    <cellStyle name="Normal 2303" xfId="10914"/>
    <cellStyle name="Normal 2303 2" xfId="10915"/>
    <cellStyle name="Normal 2303 2 2" xfId="10916"/>
    <cellStyle name="Normal 2303 2 3" xfId="10917"/>
    <cellStyle name="Normal 2303 3" xfId="10918"/>
    <cellStyle name="Normal 2303 4" xfId="10919"/>
    <cellStyle name="Normal 2304" xfId="10920"/>
    <cellStyle name="Normal 2304 2" xfId="10921"/>
    <cellStyle name="Normal 2304 2 2" xfId="10922"/>
    <cellStyle name="Normal 2304 2 3" xfId="10923"/>
    <cellStyle name="Normal 2304 3" xfId="10924"/>
    <cellStyle name="Normal 2304 4" xfId="10925"/>
    <cellStyle name="Normal 2305" xfId="10926"/>
    <cellStyle name="Normal 2305 2" xfId="10927"/>
    <cellStyle name="Normal 2305 2 2" xfId="10928"/>
    <cellStyle name="Normal 2305 2 3" xfId="10929"/>
    <cellStyle name="Normal 2305 3" xfId="10930"/>
    <cellStyle name="Normal 2305 4" xfId="10931"/>
    <cellStyle name="Normal 2306" xfId="10932"/>
    <cellStyle name="Normal 2306 2" xfId="10933"/>
    <cellStyle name="Normal 2306 2 2" xfId="10934"/>
    <cellStyle name="Normal 2306 2 3" xfId="10935"/>
    <cellStyle name="Normal 2306 3" xfId="10936"/>
    <cellStyle name="Normal 2306 4" xfId="10937"/>
    <cellStyle name="Normal 2307" xfId="10938"/>
    <cellStyle name="Normal 2307 2" xfId="10939"/>
    <cellStyle name="Normal 2307 2 2" xfId="10940"/>
    <cellStyle name="Normal 2307 2 3" xfId="10941"/>
    <cellStyle name="Normal 2307 3" xfId="10942"/>
    <cellStyle name="Normal 2307 4" xfId="10943"/>
    <cellStyle name="Normal 2308" xfId="10944"/>
    <cellStyle name="Normal 2308 2" xfId="10945"/>
    <cellStyle name="Normal 2308 2 2" xfId="10946"/>
    <cellStyle name="Normal 2308 2 3" xfId="10947"/>
    <cellStyle name="Normal 2308 3" xfId="10948"/>
    <cellStyle name="Normal 2308 4" xfId="10949"/>
    <cellStyle name="Normal 2309" xfId="10950"/>
    <cellStyle name="Normal 2309 2" xfId="10951"/>
    <cellStyle name="Normal 2309 2 2" xfId="10952"/>
    <cellStyle name="Normal 2309 2 3" xfId="10953"/>
    <cellStyle name="Normal 2309 3" xfId="10954"/>
    <cellStyle name="Normal 2309 4" xfId="10955"/>
    <cellStyle name="Normal 231" xfId="10956"/>
    <cellStyle name="Normal 231 10" xfId="35848"/>
    <cellStyle name="Normal 231 2" xfId="10957"/>
    <cellStyle name="Normal 231 2 2" xfId="10958"/>
    <cellStyle name="Normal 231 2 2 2" xfId="10959"/>
    <cellStyle name="Normal 231 2 2 3" xfId="10960"/>
    <cellStyle name="Normal 231 2 3" xfId="10961"/>
    <cellStyle name="Normal 231 2 3 2" xfId="35849"/>
    <cellStyle name="Normal 231 2 3 3" xfId="35850"/>
    <cellStyle name="Normal 231 2 4" xfId="10962"/>
    <cellStyle name="Normal 231 2 5" xfId="10963"/>
    <cellStyle name="Normal 231 2 6" xfId="35851"/>
    <cellStyle name="Normal 231 2 7" xfId="35852"/>
    <cellStyle name="Normal 231 2 8" xfId="35853"/>
    <cellStyle name="Normal 231 3" xfId="10964"/>
    <cellStyle name="Normal 231 3 2" xfId="10965"/>
    <cellStyle name="Normal 231 3 2 2" xfId="35854"/>
    <cellStyle name="Normal 231 3 2 3" xfId="35855"/>
    <cellStyle name="Normal 231 3 3" xfId="10966"/>
    <cellStyle name="Normal 231 3 3 2" xfId="35856"/>
    <cellStyle name="Normal 231 3 3 3" xfId="35857"/>
    <cellStyle name="Normal 231 3 4" xfId="35858"/>
    <cellStyle name="Normal 231 3 5" xfId="35859"/>
    <cellStyle name="Normal 231 4" xfId="10967"/>
    <cellStyle name="Normal 231 4 2" xfId="35860"/>
    <cellStyle name="Normal 231 4 3" xfId="35861"/>
    <cellStyle name="Normal 231 5" xfId="10968"/>
    <cellStyle name="Normal 231 5 2" xfId="35862"/>
    <cellStyle name="Normal 231 5 3" xfId="35863"/>
    <cellStyle name="Normal 231 6" xfId="10969"/>
    <cellStyle name="Normal 231 7" xfId="35864"/>
    <cellStyle name="Normal 231 8" xfId="35865"/>
    <cellStyle name="Normal 231 9" xfId="35866"/>
    <cellStyle name="Normal 2310" xfId="10970"/>
    <cellStyle name="Normal 2310 2" xfId="10971"/>
    <cellStyle name="Normal 2310 2 2" xfId="10972"/>
    <cellStyle name="Normal 2310 2 3" xfId="10973"/>
    <cellStyle name="Normal 2310 3" xfId="10974"/>
    <cellStyle name="Normal 2310 4" xfId="10975"/>
    <cellStyle name="Normal 2311" xfId="10976"/>
    <cellStyle name="Normal 2311 2" xfId="10977"/>
    <cellStyle name="Normal 2311 2 2" xfId="10978"/>
    <cellStyle name="Normal 2311 2 3" xfId="10979"/>
    <cellStyle name="Normal 2311 3" xfId="10980"/>
    <cellStyle name="Normal 2311 4" xfId="10981"/>
    <cellStyle name="Normal 2312" xfId="10982"/>
    <cellStyle name="Normal 2312 2" xfId="10983"/>
    <cellStyle name="Normal 2312 2 2" xfId="10984"/>
    <cellStyle name="Normal 2312 2 3" xfId="10985"/>
    <cellStyle name="Normal 2312 3" xfId="10986"/>
    <cellStyle name="Normal 2312 4" xfId="10987"/>
    <cellStyle name="Normal 2313" xfId="10988"/>
    <cellStyle name="Normal 2313 2" xfId="10989"/>
    <cellStyle name="Normal 2313 2 2" xfId="10990"/>
    <cellStyle name="Normal 2313 2 3" xfId="10991"/>
    <cellStyle name="Normal 2313 3" xfId="10992"/>
    <cellStyle name="Normal 2313 4" xfId="10993"/>
    <cellStyle name="Normal 2314" xfId="10994"/>
    <cellStyle name="Normal 2314 2" xfId="10995"/>
    <cellStyle name="Normal 2314 2 2" xfId="10996"/>
    <cellStyle name="Normal 2314 2 3" xfId="10997"/>
    <cellStyle name="Normal 2314 3" xfId="10998"/>
    <cellStyle name="Normal 2314 4" xfId="10999"/>
    <cellStyle name="Normal 2315" xfId="11000"/>
    <cellStyle name="Normal 2315 2" xfId="11001"/>
    <cellStyle name="Normal 2315 2 2" xfId="11002"/>
    <cellStyle name="Normal 2315 2 3" xfId="11003"/>
    <cellStyle name="Normal 2315 3" xfId="11004"/>
    <cellStyle name="Normal 2315 4" xfId="11005"/>
    <cellStyle name="Normal 2316" xfId="11006"/>
    <cellStyle name="Normal 2316 2" xfId="11007"/>
    <cellStyle name="Normal 2316 2 2" xfId="11008"/>
    <cellStyle name="Normal 2316 2 3" xfId="11009"/>
    <cellStyle name="Normal 2316 3" xfId="11010"/>
    <cellStyle name="Normal 2316 4" xfId="11011"/>
    <cellStyle name="Normal 2317" xfId="11012"/>
    <cellStyle name="Normal 2317 2" xfId="11013"/>
    <cellStyle name="Normal 2317 2 2" xfId="11014"/>
    <cellStyle name="Normal 2317 2 3" xfId="11015"/>
    <cellStyle name="Normal 2317 3" xfId="11016"/>
    <cellStyle name="Normal 2317 4" xfId="11017"/>
    <cellStyle name="Normal 2318" xfId="11018"/>
    <cellStyle name="Normal 2318 2" xfId="11019"/>
    <cellStyle name="Normal 2318 2 2" xfId="11020"/>
    <cellStyle name="Normal 2318 2 3" xfId="11021"/>
    <cellStyle name="Normal 2318 3" xfId="11022"/>
    <cellStyle name="Normal 2318 4" xfId="11023"/>
    <cellStyle name="Normal 2319" xfId="11024"/>
    <cellStyle name="Normal 2319 2" xfId="11025"/>
    <cellStyle name="Normal 2319 2 2" xfId="11026"/>
    <cellStyle name="Normal 2319 2 3" xfId="11027"/>
    <cellStyle name="Normal 2319 3" xfId="11028"/>
    <cellStyle name="Normal 2319 4" xfId="11029"/>
    <cellStyle name="Normal 232" xfId="11030"/>
    <cellStyle name="Normal 232 10" xfId="35867"/>
    <cellStyle name="Normal 232 2" xfId="11031"/>
    <cellStyle name="Normal 232 2 2" xfId="11032"/>
    <cellStyle name="Normal 232 2 2 2" xfId="11033"/>
    <cellStyle name="Normal 232 2 2 3" xfId="11034"/>
    <cellStyle name="Normal 232 2 3" xfId="11035"/>
    <cellStyle name="Normal 232 2 3 2" xfId="35868"/>
    <cellStyle name="Normal 232 2 3 3" xfId="35869"/>
    <cellStyle name="Normal 232 2 4" xfId="11036"/>
    <cellStyle name="Normal 232 2 5" xfId="11037"/>
    <cellStyle name="Normal 232 2 6" xfId="35870"/>
    <cellStyle name="Normal 232 2 7" xfId="35871"/>
    <cellStyle name="Normal 232 2 8" xfId="35872"/>
    <cellStyle name="Normal 232 3" xfId="11038"/>
    <cellStyle name="Normal 232 3 2" xfId="11039"/>
    <cellStyle name="Normal 232 3 2 2" xfId="35873"/>
    <cellStyle name="Normal 232 3 2 3" xfId="35874"/>
    <cellStyle name="Normal 232 3 3" xfId="11040"/>
    <cellStyle name="Normal 232 3 3 2" xfId="35875"/>
    <cellStyle name="Normal 232 3 3 3" xfId="35876"/>
    <cellStyle name="Normal 232 3 4" xfId="35877"/>
    <cellStyle name="Normal 232 3 5" xfId="35878"/>
    <cellStyle name="Normal 232 4" xfId="11041"/>
    <cellStyle name="Normal 232 4 2" xfId="35879"/>
    <cellStyle name="Normal 232 4 3" xfId="35880"/>
    <cellStyle name="Normal 232 5" xfId="11042"/>
    <cellStyle name="Normal 232 5 2" xfId="35881"/>
    <cellStyle name="Normal 232 5 3" xfId="35882"/>
    <cellStyle name="Normal 232 6" xfId="11043"/>
    <cellStyle name="Normal 232 7" xfId="35883"/>
    <cellStyle name="Normal 232 8" xfId="35884"/>
    <cellStyle name="Normal 232 9" xfId="35885"/>
    <cellStyle name="Normal 2320" xfId="11044"/>
    <cellStyle name="Normal 2320 2" xfId="11045"/>
    <cellStyle name="Normal 2320 2 2" xfId="11046"/>
    <cellStyle name="Normal 2320 2 3" xfId="11047"/>
    <cellStyle name="Normal 2320 3" xfId="11048"/>
    <cellStyle name="Normal 2320 4" xfId="11049"/>
    <cellStyle name="Normal 2321" xfId="11050"/>
    <cellStyle name="Normal 2321 2" xfId="11051"/>
    <cellStyle name="Normal 2321 2 2" xfId="11052"/>
    <cellStyle name="Normal 2321 2 3" xfId="11053"/>
    <cellStyle name="Normal 2321 3" xfId="11054"/>
    <cellStyle name="Normal 2321 4" xfId="11055"/>
    <cellStyle name="Normal 2322" xfId="11056"/>
    <cellStyle name="Normal 2322 2" xfId="11057"/>
    <cellStyle name="Normal 2322 2 2" xfId="11058"/>
    <cellStyle name="Normal 2322 2 3" xfId="11059"/>
    <cellStyle name="Normal 2322 3" xfId="11060"/>
    <cellStyle name="Normal 2322 4" xfId="11061"/>
    <cellStyle name="Normal 2323" xfId="11062"/>
    <cellStyle name="Normal 2323 2" xfId="11063"/>
    <cellStyle name="Normal 2323 2 2" xfId="11064"/>
    <cellStyle name="Normal 2323 2 3" xfId="11065"/>
    <cellStyle name="Normal 2323 3" xfId="11066"/>
    <cellStyle name="Normal 2323 4" xfId="11067"/>
    <cellStyle name="Normal 2324" xfId="11068"/>
    <cellStyle name="Normal 2324 2" xfId="11069"/>
    <cellStyle name="Normal 2324 2 2" xfId="11070"/>
    <cellStyle name="Normal 2324 2 3" xfId="11071"/>
    <cellStyle name="Normal 2324 3" xfId="11072"/>
    <cellStyle name="Normal 2324 4" xfId="11073"/>
    <cellStyle name="Normal 2325" xfId="11074"/>
    <cellStyle name="Normal 2325 2" xfId="11075"/>
    <cellStyle name="Normal 2325 2 2" xfId="11076"/>
    <cellStyle name="Normal 2325 2 3" xfId="11077"/>
    <cellStyle name="Normal 2325 3" xfId="11078"/>
    <cellStyle name="Normal 2325 4" xfId="11079"/>
    <cellStyle name="Normal 2326" xfId="11080"/>
    <cellStyle name="Normal 2326 2" xfId="11081"/>
    <cellStyle name="Normal 2326 2 2" xfId="11082"/>
    <cellStyle name="Normal 2326 2 3" xfId="11083"/>
    <cellStyle name="Normal 2326 3" xfId="11084"/>
    <cellStyle name="Normal 2326 4" xfId="11085"/>
    <cellStyle name="Normal 2327" xfId="11086"/>
    <cellStyle name="Normal 2327 2" xfId="11087"/>
    <cellStyle name="Normal 2327 2 2" xfId="11088"/>
    <cellStyle name="Normal 2327 2 3" xfId="11089"/>
    <cellStyle name="Normal 2327 3" xfId="11090"/>
    <cellStyle name="Normal 2327 4" xfId="11091"/>
    <cellStyle name="Normal 2328" xfId="11092"/>
    <cellStyle name="Normal 2328 2" xfId="11093"/>
    <cellStyle name="Normal 2328 2 2" xfId="11094"/>
    <cellStyle name="Normal 2328 2 3" xfId="11095"/>
    <cellStyle name="Normal 2328 3" xfId="11096"/>
    <cellStyle name="Normal 2328 4" xfId="11097"/>
    <cellStyle name="Normal 2329" xfId="11098"/>
    <cellStyle name="Normal 2329 2" xfId="11099"/>
    <cellStyle name="Normal 2329 2 2" xfId="11100"/>
    <cellStyle name="Normal 2329 2 3" xfId="11101"/>
    <cellStyle name="Normal 2329 3" xfId="11102"/>
    <cellStyle name="Normal 2329 4" xfId="11103"/>
    <cellStyle name="Normal 233" xfId="11104"/>
    <cellStyle name="Normal 233 10" xfId="35886"/>
    <cellStyle name="Normal 233 2" xfId="11105"/>
    <cellStyle name="Normal 233 2 2" xfId="11106"/>
    <cellStyle name="Normal 233 2 2 2" xfId="11107"/>
    <cellStyle name="Normal 233 2 2 3" xfId="11108"/>
    <cellStyle name="Normal 233 2 3" xfId="11109"/>
    <cellStyle name="Normal 233 2 3 2" xfId="35887"/>
    <cellStyle name="Normal 233 2 3 3" xfId="35888"/>
    <cellStyle name="Normal 233 2 4" xfId="11110"/>
    <cellStyle name="Normal 233 2 5" xfId="11111"/>
    <cellStyle name="Normal 233 2 6" xfId="35889"/>
    <cellStyle name="Normal 233 2 7" xfId="35890"/>
    <cellStyle name="Normal 233 2 8" xfId="35891"/>
    <cellStyle name="Normal 233 3" xfId="11112"/>
    <cellStyle name="Normal 233 3 2" xfId="11113"/>
    <cellStyle name="Normal 233 3 2 2" xfId="35892"/>
    <cellStyle name="Normal 233 3 2 3" xfId="35893"/>
    <cellStyle name="Normal 233 3 3" xfId="11114"/>
    <cellStyle name="Normal 233 3 3 2" xfId="35894"/>
    <cellStyle name="Normal 233 3 3 3" xfId="35895"/>
    <cellStyle name="Normal 233 3 4" xfId="35896"/>
    <cellStyle name="Normal 233 3 5" xfId="35897"/>
    <cellStyle name="Normal 233 4" xfId="11115"/>
    <cellStyle name="Normal 233 4 2" xfId="35898"/>
    <cellStyle name="Normal 233 4 3" xfId="35899"/>
    <cellStyle name="Normal 233 5" xfId="11116"/>
    <cellStyle name="Normal 233 5 2" xfId="35900"/>
    <cellStyle name="Normal 233 5 3" xfId="35901"/>
    <cellStyle name="Normal 233 6" xfId="11117"/>
    <cellStyle name="Normal 233 7" xfId="35902"/>
    <cellStyle name="Normal 233 8" xfId="35903"/>
    <cellStyle name="Normal 233 9" xfId="35904"/>
    <cellStyle name="Normal 2330" xfId="11118"/>
    <cellStyle name="Normal 2330 2" xfId="11119"/>
    <cellStyle name="Normal 2330 2 2" xfId="11120"/>
    <cellStyle name="Normal 2330 2 3" xfId="11121"/>
    <cellStyle name="Normal 2330 3" xfId="11122"/>
    <cellStyle name="Normal 2330 4" xfId="11123"/>
    <cellStyle name="Normal 2331" xfId="11124"/>
    <cellStyle name="Normal 2331 2" xfId="11125"/>
    <cellStyle name="Normal 2331 2 2" xfId="11126"/>
    <cellStyle name="Normal 2331 2 3" xfId="11127"/>
    <cellStyle name="Normal 2331 3" xfId="11128"/>
    <cellStyle name="Normal 2331 4" xfId="11129"/>
    <cellStyle name="Normal 2332" xfId="11130"/>
    <cellStyle name="Normal 2332 2" xfId="11131"/>
    <cellStyle name="Normal 2332 2 2" xfId="11132"/>
    <cellStyle name="Normal 2332 2 3" xfId="11133"/>
    <cellStyle name="Normal 2332 3" xfId="11134"/>
    <cellStyle name="Normal 2332 4" xfId="11135"/>
    <cellStyle name="Normal 2333" xfId="11136"/>
    <cellStyle name="Normal 2333 2" xfId="11137"/>
    <cellStyle name="Normal 2333 2 2" xfId="11138"/>
    <cellStyle name="Normal 2333 2 3" xfId="11139"/>
    <cellStyle name="Normal 2333 3" xfId="11140"/>
    <cellStyle name="Normal 2333 4" xfId="11141"/>
    <cellStyle name="Normal 2334" xfId="11142"/>
    <cellStyle name="Normal 2334 2" xfId="11143"/>
    <cellStyle name="Normal 2334 2 2" xfId="11144"/>
    <cellStyle name="Normal 2334 2 3" xfId="11145"/>
    <cellStyle name="Normal 2334 3" xfId="11146"/>
    <cellStyle name="Normal 2334 4" xfId="11147"/>
    <cellStyle name="Normal 2335" xfId="11148"/>
    <cellStyle name="Normal 2335 2" xfId="11149"/>
    <cellStyle name="Normal 2335 2 2" xfId="11150"/>
    <cellStyle name="Normal 2335 2 3" xfId="11151"/>
    <cellStyle name="Normal 2335 3" xfId="11152"/>
    <cellStyle name="Normal 2335 4" xfId="11153"/>
    <cellStyle name="Normal 2336" xfId="11154"/>
    <cellStyle name="Normal 2336 2" xfId="11155"/>
    <cellStyle name="Normal 2336 2 2" xfId="11156"/>
    <cellStyle name="Normal 2336 2 3" xfId="11157"/>
    <cellStyle name="Normal 2336 3" xfId="11158"/>
    <cellStyle name="Normal 2336 4" xfId="11159"/>
    <cellStyle name="Normal 2337" xfId="11160"/>
    <cellStyle name="Normal 2337 2" xfId="11161"/>
    <cellStyle name="Normal 2337 2 2" xfId="11162"/>
    <cellStyle name="Normal 2337 2 3" xfId="11163"/>
    <cellStyle name="Normal 2337 3" xfId="11164"/>
    <cellStyle name="Normal 2337 4" xfId="11165"/>
    <cellStyle name="Normal 2338" xfId="11166"/>
    <cellStyle name="Normal 2338 2" xfId="11167"/>
    <cellStyle name="Normal 2338 2 2" xfId="11168"/>
    <cellStyle name="Normal 2338 2 3" xfId="11169"/>
    <cellStyle name="Normal 2338 3" xfId="11170"/>
    <cellStyle name="Normal 2338 4" xfId="11171"/>
    <cellStyle name="Normal 2339" xfId="11172"/>
    <cellStyle name="Normal 2339 2" xfId="11173"/>
    <cellStyle name="Normal 2339 2 2" xfId="11174"/>
    <cellStyle name="Normal 2339 2 3" xfId="11175"/>
    <cellStyle name="Normal 2339 3" xfId="11176"/>
    <cellStyle name="Normal 2339 4" xfId="11177"/>
    <cellStyle name="Normal 234" xfId="11178"/>
    <cellStyle name="Normal 234 10" xfId="35905"/>
    <cellStyle name="Normal 234 2" xfId="11179"/>
    <cellStyle name="Normal 234 2 2" xfId="11180"/>
    <cellStyle name="Normal 234 2 2 2" xfId="11181"/>
    <cellStyle name="Normal 234 2 2 3" xfId="11182"/>
    <cellStyle name="Normal 234 2 3" xfId="11183"/>
    <cellStyle name="Normal 234 2 3 2" xfId="35906"/>
    <cellStyle name="Normal 234 2 3 3" xfId="35907"/>
    <cellStyle name="Normal 234 2 4" xfId="11184"/>
    <cellStyle name="Normal 234 2 5" xfId="11185"/>
    <cellStyle name="Normal 234 2 6" xfId="35908"/>
    <cellStyle name="Normal 234 2 7" xfId="35909"/>
    <cellStyle name="Normal 234 2 8" xfId="35910"/>
    <cellStyle name="Normal 234 3" xfId="11186"/>
    <cellStyle name="Normal 234 3 2" xfId="11187"/>
    <cellStyle name="Normal 234 3 2 2" xfId="35911"/>
    <cellStyle name="Normal 234 3 2 3" xfId="35912"/>
    <cellStyle name="Normal 234 3 3" xfId="11188"/>
    <cellStyle name="Normal 234 3 3 2" xfId="35913"/>
    <cellStyle name="Normal 234 3 3 3" xfId="35914"/>
    <cellStyle name="Normal 234 3 4" xfId="35915"/>
    <cellStyle name="Normal 234 3 5" xfId="35916"/>
    <cellStyle name="Normal 234 4" xfId="11189"/>
    <cellStyle name="Normal 234 4 2" xfId="35917"/>
    <cellStyle name="Normal 234 4 3" xfId="35918"/>
    <cellStyle name="Normal 234 5" xfId="11190"/>
    <cellStyle name="Normal 234 5 2" xfId="35919"/>
    <cellStyle name="Normal 234 5 3" xfId="35920"/>
    <cellStyle name="Normal 234 6" xfId="11191"/>
    <cellStyle name="Normal 234 7" xfId="35921"/>
    <cellStyle name="Normal 234 8" xfId="35922"/>
    <cellStyle name="Normal 234 9" xfId="35923"/>
    <cellStyle name="Normal 2340" xfId="11192"/>
    <cellStyle name="Normal 2340 2" xfId="11193"/>
    <cellStyle name="Normal 2340 2 2" xfId="11194"/>
    <cellStyle name="Normal 2340 2 3" xfId="11195"/>
    <cellStyle name="Normal 2340 3" xfId="11196"/>
    <cellStyle name="Normal 2340 4" xfId="11197"/>
    <cellStyle name="Normal 2341" xfId="11198"/>
    <cellStyle name="Normal 2341 2" xfId="11199"/>
    <cellStyle name="Normal 2341 2 2" xfId="11200"/>
    <cellStyle name="Normal 2341 2 3" xfId="11201"/>
    <cellStyle name="Normal 2341 3" xfId="11202"/>
    <cellStyle name="Normal 2341 4" xfId="11203"/>
    <cellStyle name="Normal 2342" xfId="11204"/>
    <cellStyle name="Normal 2342 2" xfId="11205"/>
    <cellStyle name="Normal 2342 2 2" xfId="11206"/>
    <cellStyle name="Normal 2342 2 3" xfId="11207"/>
    <cellStyle name="Normal 2342 3" xfId="11208"/>
    <cellStyle name="Normal 2342 4" xfId="11209"/>
    <cellStyle name="Normal 2343" xfId="11210"/>
    <cellStyle name="Normal 2343 2" xfId="11211"/>
    <cellStyle name="Normal 2343 2 2" xfId="11212"/>
    <cellStyle name="Normal 2343 2 3" xfId="11213"/>
    <cellStyle name="Normal 2343 3" xfId="11214"/>
    <cellStyle name="Normal 2343 4" xfId="11215"/>
    <cellStyle name="Normal 2344" xfId="11216"/>
    <cellStyle name="Normal 2344 2" xfId="11217"/>
    <cellStyle name="Normal 2344 2 2" xfId="11218"/>
    <cellStyle name="Normal 2344 2 3" xfId="11219"/>
    <cellStyle name="Normal 2344 3" xfId="11220"/>
    <cellStyle name="Normal 2344 4" xfId="11221"/>
    <cellStyle name="Normal 2345" xfId="11222"/>
    <cellStyle name="Normal 2345 2" xfId="11223"/>
    <cellStyle name="Normal 2345 2 2" xfId="11224"/>
    <cellStyle name="Normal 2345 2 3" xfId="11225"/>
    <cellStyle name="Normal 2345 3" xfId="11226"/>
    <cellStyle name="Normal 2345 4" xfId="11227"/>
    <cellStyle name="Normal 2346" xfId="11228"/>
    <cellStyle name="Normal 2346 2" xfId="11229"/>
    <cellStyle name="Normal 2346 2 2" xfId="11230"/>
    <cellStyle name="Normal 2346 2 3" xfId="11231"/>
    <cellStyle name="Normal 2346 3" xfId="11232"/>
    <cellStyle name="Normal 2346 4" xfId="11233"/>
    <cellStyle name="Normal 2347" xfId="11234"/>
    <cellStyle name="Normal 2347 2" xfId="11235"/>
    <cellStyle name="Normal 2347 2 2" xfId="11236"/>
    <cellStyle name="Normal 2347 2 3" xfId="11237"/>
    <cellStyle name="Normal 2347 3" xfId="11238"/>
    <cellStyle name="Normal 2347 4" xfId="11239"/>
    <cellStyle name="Normal 2348" xfId="11240"/>
    <cellStyle name="Normal 2348 2" xfId="11241"/>
    <cellStyle name="Normal 2348 2 2" xfId="11242"/>
    <cellStyle name="Normal 2348 2 3" xfId="11243"/>
    <cellStyle name="Normal 2348 3" xfId="11244"/>
    <cellStyle name="Normal 2348 4" xfId="11245"/>
    <cellStyle name="Normal 2349" xfId="11246"/>
    <cellStyle name="Normal 2349 2" xfId="11247"/>
    <cellStyle name="Normal 2349 2 2" xfId="11248"/>
    <cellStyle name="Normal 2349 2 3" xfId="11249"/>
    <cellStyle name="Normal 2349 3" xfId="11250"/>
    <cellStyle name="Normal 2349 4" xfId="11251"/>
    <cellStyle name="Normal 235" xfId="11252"/>
    <cellStyle name="Normal 235 10" xfId="35924"/>
    <cellStyle name="Normal 235 2" xfId="11253"/>
    <cellStyle name="Normal 235 2 2" xfId="11254"/>
    <cellStyle name="Normal 235 2 2 2" xfId="11255"/>
    <cellStyle name="Normal 235 2 2 3" xfId="11256"/>
    <cellStyle name="Normal 235 2 3" xfId="11257"/>
    <cellStyle name="Normal 235 2 3 2" xfId="35925"/>
    <cellStyle name="Normal 235 2 3 3" xfId="35926"/>
    <cellStyle name="Normal 235 2 4" xfId="11258"/>
    <cellStyle name="Normal 235 2 5" xfId="11259"/>
    <cellStyle name="Normal 235 2 6" xfId="35927"/>
    <cellStyle name="Normal 235 2 7" xfId="35928"/>
    <cellStyle name="Normal 235 2 8" xfId="35929"/>
    <cellStyle name="Normal 235 3" xfId="11260"/>
    <cellStyle name="Normal 235 3 2" xfId="11261"/>
    <cellStyle name="Normal 235 3 2 2" xfId="35930"/>
    <cellStyle name="Normal 235 3 2 3" xfId="35931"/>
    <cellStyle name="Normal 235 3 3" xfId="11262"/>
    <cellStyle name="Normal 235 3 3 2" xfId="35932"/>
    <cellStyle name="Normal 235 3 3 3" xfId="35933"/>
    <cellStyle name="Normal 235 3 4" xfId="35934"/>
    <cellStyle name="Normal 235 3 5" xfId="35935"/>
    <cellStyle name="Normal 235 4" xfId="11263"/>
    <cellStyle name="Normal 235 4 2" xfId="35936"/>
    <cellStyle name="Normal 235 4 3" xfId="35937"/>
    <cellStyle name="Normal 235 5" xfId="11264"/>
    <cellStyle name="Normal 235 5 2" xfId="35938"/>
    <cellStyle name="Normal 235 5 3" xfId="35939"/>
    <cellStyle name="Normal 235 6" xfId="11265"/>
    <cellStyle name="Normal 235 7" xfId="35940"/>
    <cellStyle name="Normal 235 8" xfId="35941"/>
    <cellStyle name="Normal 235 9" xfId="35942"/>
    <cellStyle name="Normal 2350" xfId="11266"/>
    <cellStyle name="Normal 2350 2" xfId="11267"/>
    <cellStyle name="Normal 2350 2 2" xfId="11268"/>
    <cellStyle name="Normal 2350 2 3" xfId="11269"/>
    <cellStyle name="Normal 2350 3" xfId="11270"/>
    <cellStyle name="Normal 2350 4" xfId="11271"/>
    <cellStyle name="Normal 2351" xfId="11272"/>
    <cellStyle name="Normal 2351 2" xfId="11273"/>
    <cellStyle name="Normal 2351 2 2" xfId="11274"/>
    <cellStyle name="Normal 2351 2 3" xfId="11275"/>
    <cellStyle name="Normal 2351 3" xfId="11276"/>
    <cellStyle name="Normal 2351 4" xfId="11277"/>
    <cellStyle name="Normal 2352" xfId="11278"/>
    <cellStyle name="Normal 2352 2" xfId="11279"/>
    <cellStyle name="Normal 2352 2 2" xfId="11280"/>
    <cellStyle name="Normal 2352 2 3" xfId="11281"/>
    <cellStyle name="Normal 2352 3" xfId="11282"/>
    <cellStyle name="Normal 2352 4" xfId="11283"/>
    <cellStyle name="Normal 2353" xfId="11284"/>
    <cellStyle name="Normal 2353 2" xfId="11285"/>
    <cellStyle name="Normal 2353 2 2" xfId="11286"/>
    <cellStyle name="Normal 2353 2 3" xfId="11287"/>
    <cellStyle name="Normal 2353 3" xfId="11288"/>
    <cellStyle name="Normal 2353 4" xfId="11289"/>
    <cellStyle name="Normal 2354" xfId="11290"/>
    <cellStyle name="Normal 2354 2" xfId="11291"/>
    <cellStyle name="Normal 2354 2 2" xfId="11292"/>
    <cellStyle name="Normal 2354 2 3" xfId="11293"/>
    <cellStyle name="Normal 2354 3" xfId="11294"/>
    <cellStyle name="Normal 2354 4" xfId="11295"/>
    <cellStyle name="Normal 2355" xfId="11296"/>
    <cellStyle name="Normal 2355 2" xfId="11297"/>
    <cellStyle name="Normal 2355 2 2" xfId="11298"/>
    <cellStyle name="Normal 2355 2 3" xfId="11299"/>
    <cellStyle name="Normal 2355 3" xfId="11300"/>
    <cellStyle name="Normal 2355 4" xfId="11301"/>
    <cellStyle name="Normal 2356" xfId="11302"/>
    <cellStyle name="Normal 2356 2" xfId="11303"/>
    <cellStyle name="Normal 2356 2 2" xfId="11304"/>
    <cellStyle name="Normal 2356 2 3" xfId="11305"/>
    <cellStyle name="Normal 2356 3" xfId="11306"/>
    <cellStyle name="Normal 2356 4" xfId="11307"/>
    <cellStyle name="Normal 2357" xfId="11308"/>
    <cellStyle name="Normal 2357 2" xfId="11309"/>
    <cellStyle name="Normal 2357 2 2" xfId="11310"/>
    <cellStyle name="Normal 2357 2 3" xfId="11311"/>
    <cellStyle name="Normal 2357 3" xfId="11312"/>
    <cellStyle name="Normal 2357 4" xfId="11313"/>
    <cellStyle name="Normal 2358" xfId="11314"/>
    <cellStyle name="Normal 2358 2" xfId="11315"/>
    <cellStyle name="Normal 2358 2 2" xfId="11316"/>
    <cellStyle name="Normal 2358 2 3" xfId="11317"/>
    <cellStyle name="Normal 2358 3" xfId="11318"/>
    <cellStyle name="Normal 2358 4" xfId="11319"/>
    <cellStyle name="Normal 2359" xfId="11320"/>
    <cellStyle name="Normal 2359 2" xfId="11321"/>
    <cellStyle name="Normal 2359 2 2" xfId="11322"/>
    <cellStyle name="Normal 2359 2 3" xfId="11323"/>
    <cellStyle name="Normal 2359 3" xfId="11324"/>
    <cellStyle name="Normal 2359 4" xfId="11325"/>
    <cellStyle name="Normal 236" xfId="11326"/>
    <cellStyle name="Normal 236 10" xfId="35943"/>
    <cellStyle name="Normal 236 2" xfId="11327"/>
    <cellStyle name="Normal 236 2 2" xfId="11328"/>
    <cellStyle name="Normal 236 2 2 2" xfId="11329"/>
    <cellStyle name="Normal 236 2 2 3" xfId="11330"/>
    <cellStyle name="Normal 236 2 3" xfId="11331"/>
    <cellStyle name="Normal 236 2 3 2" xfId="35944"/>
    <cellStyle name="Normal 236 2 3 3" xfId="35945"/>
    <cellStyle name="Normal 236 2 4" xfId="11332"/>
    <cellStyle name="Normal 236 2 5" xfId="11333"/>
    <cellStyle name="Normal 236 2 6" xfId="35946"/>
    <cellStyle name="Normal 236 2 7" xfId="35947"/>
    <cellStyle name="Normal 236 2 8" xfId="35948"/>
    <cellStyle name="Normal 236 3" xfId="11334"/>
    <cellStyle name="Normal 236 3 2" xfId="11335"/>
    <cellStyle name="Normal 236 3 2 2" xfId="35949"/>
    <cellStyle name="Normal 236 3 2 3" xfId="35950"/>
    <cellStyle name="Normal 236 3 3" xfId="11336"/>
    <cellStyle name="Normal 236 3 3 2" xfId="35951"/>
    <cellStyle name="Normal 236 3 3 3" xfId="35952"/>
    <cellStyle name="Normal 236 3 4" xfId="35953"/>
    <cellStyle name="Normal 236 3 5" xfId="35954"/>
    <cellStyle name="Normal 236 4" xfId="11337"/>
    <cellStyle name="Normal 236 4 2" xfId="35955"/>
    <cellStyle name="Normal 236 4 3" xfId="35956"/>
    <cellStyle name="Normal 236 5" xfId="11338"/>
    <cellStyle name="Normal 236 5 2" xfId="35957"/>
    <cellStyle name="Normal 236 5 3" xfId="35958"/>
    <cellStyle name="Normal 236 6" xfId="11339"/>
    <cellStyle name="Normal 236 7" xfId="35959"/>
    <cellStyle name="Normal 236 8" xfId="35960"/>
    <cellStyle name="Normal 236 9" xfId="35961"/>
    <cellStyle name="Normal 2360" xfId="11340"/>
    <cellStyle name="Normal 2360 2" xfId="11341"/>
    <cellStyle name="Normal 2360 2 2" xfId="11342"/>
    <cellStyle name="Normal 2360 2 3" xfId="11343"/>
    <cellStyle name="Normal 2360 3" xfId="11344"/>
    <cellStyle name="Normal 2360 4" xfId="11345"/>
    <cellStyle name="Normal 2361" xfId="11346"/>
    <cellStyle name="Normal 2361 2" xfId="11347"/>
    <cellStyle name="Normal 2361 2 2" xfId="11348"/>
    <cellStyle name="Normal 2361 2 3" xfId="11349"/>
    <cellStyle name="Normal 2361 3" xfId="11350"/>
    <cellStyle name="Normal 2361 4" xfId="11351"/>
    <cellStyle name="Normal 2362" xfId="11352"/>
    <cellStyle name="Normal 2362 2" xfId="11353"/>
    <cellStyle name="Normal 2362 2 2" xfId="11354"/>
    <cellStyle name="Normal 2362 2 3" xfId="11355"/>
    <cellStyle name="Normal 2362 3" xfId="11356"/>
    <cellStyle name="Normal 2362 4" xfId="11357"/>
    <cellStyle name="Normal 2363" xfId="11358"/>
    <cellStyle name="Normal 2363 2" xfId="11359"/>
    <cellStyle name="Normal 2363 2 2" xfId="11360"/>
    <cellStyle name="Normal 2363 2 3" xfId="11361"/>
    <cellStyle name="Normal 2363 3" xfId="11362"/>
    <cellStyle name="Normal 2363 4" xfId="11363"/>
    <cellStyle name="Normal 2364" xfId="11364"/>
    <cellStyle name="Normal 2364 2" xfId="11365"/>
    <cellStyle name="Normal 2364 2 2" xfId="35962"/>
    <cellStyle name="Normal 2364 2 3" xfId="35963"/>
    <cellStyle name="Normal 2364 3" xfId="35964"/>
    <cellStyle name="Normal 2364 4" xfId="35965"/>
    <cellStyle name="Normal 2365" xfId="11366"/>
    <cellStyle name="Normal 2365 2" xfId="11367"/>
    <cellStyle name="Normal 2365 2 2" xfId="35966"/>
    <cellStyle name="Normal 2365 2 3" xfId="35967"/>
    <cellStyle name="Normal 2365 3" xfId="11368"/>
    <cellStyle name="Normal 2365 4" xfId="35968"/>
    <cellStyle name="Normal 2366" xfId="11369"/>
    <cellStyle name="Normal 2366 2" xfId="11370"/>
    <cellStyle name="Normal 2366 2 2" xfId="35969"/>
    <cellStyle name="Normal 2366 2 3" xfId="35970"/>
    <cellStyle name="Normal 2366 3" xfId="11371"/>
    <cellStyle name="Normal 2366 4" xfId="35971"/>
    <cellStyle name="Normal 2367" xfId="11372"/>
    <cellStyle name="Normal 2367 2" xfId="11373"/>
    <cellStyle name="Normal 2367 2 2" xfId="35972"/>
    <cellStyle name="Normal 2367 2 3" xfId="35973"/>
    <cellStyle name="Normal 2367 3" xfId="11374"/>
    <cellStyle name="Normal 2367 4" xfId="35974"/>
    <cellStyle name="Normal 2368" xfId="11375"/>
    <cellStyle name="Normal 2368 2" xfId="11376"/>
    <cellStyle name="Normal 2368 2 2" xfId="35975"/>
    <cellStyle name="Normal 2368 2 3" xfId="35976"/>
    <cellStyle name="Normal 2368 3" xfId="11377"/>
    <cellStyle name="Normal 2368 4" xfId="35977"/>
    <cellStyle name="Normal 2369" xfId="11378"/>
    <cellStyle name="Normal 2369 2" xfId="11379"/>
    <cellStyle name="Normal 2369 2 2" xfId="35978"/>
    <cellStyle name="Normal 2369 2 3" xfId="35979"/>
    <cellStyle name="Normal 2369 3" xfId="11380"/>
    <cellStyle name="Normal 2369 4" xfId="35980"/>
    <cellStyle name="Normal 237" xfId="11381"/>
    <cellStyle name="Normal 237 10" xfId="35981"/>
    <cellStyle name="Normal 237 2" xfId="11382"/>
    <cellStyle name="Normal 237 2 2" xfId="11383"/>
    <cellStyle name="Normal 237 2 2 2" xfId="11384"/>
    <cellStyle name="Normal 237 2 2 3" xfId="11385"/>
    <cellStyle name="Normal 237 2 3" xfId="11386"/>
    <cellStyle name="Normal 237 2 3 2" xfId="35982"/>
    <cellStyle name="Normal 237 2 3 3" xfId="35983"/>
    <cellStyle name="Normal 237 2 4" xfId="11387"/>
    <cellStyle name="Normal 237 2 5" xfId="11388"/>
    <cellStyle name="Normal 237 2 6" xfId="35984"/>
    <cellStyle name="Normal 237 2 7" xfId="35985"/>
    <cellStyle name="Normal 237 2 8" xfId="35986"/>
    <cellStyle name="Normal 237 3" xfId="11389"/>
    <cellStyle name="Normal 237 3 2" xfId="11390"/>
    <cellStyle name="Normal 237 3 2 2" xfId="35987"/>
    <cellStyle name="Normal 237 3 2 3" xfId="35988"/>
    <cellStyle name="Normal 237 3 3" xfId="11391"/>
    <cellStyle name="Normal 237 3 3 2" xfId="35989"/>
    <cellStyle name="Normal 237 3 3 3" xfId="35990"/>
    <cellStyle name="Normal 237 3 4" xfId="35991"/>
    <cellStyle name="Normal 237 3 5" xfId="35992"/>
    <cellStyle name="Normal 237 4" xfId="11392"/>
    <cellStyle name="Normal 237 4 2" xfId="35993"/>
    <cellStyle name="Normal 237 4 3" xfId="35994"/>
    <cellStyle name="Normal 237 5" xfId="11393"/>
    <cellStyle name="Normal 237 5 2" xfId="35995"/>
    <cellStyle name="Normal 237 5 3" xfId="35996"/>
    <cellStyle name="Normal 237 6" xfId="11394"/>
    <cellStyle name="Normal 237 7" xfId="35997"/>
    <cellStyle name="Normal 237 8" xfId="35998"/>
    <cellStyle name="Normal 237 9" xfId="35999"/>
    <cellStyle name="Normal 2370" xfId="11395"/>
    <cellStyle name="Normal 2370 2" xfId="11396"/>
    <cellStyle name="Normal 2370 2 2" xfId="36000"/>
    <cellStyle name="Normal 2370 2 3" xfId="36001"/>
    <cellStyle name="Normal 2370 3" xfId="11397"/>
    <cellStyle name="Normal 2370 4" xfId="36002"/>
    <cellStyle name="Normal 2371" xfId="11398"/>
    <cellStyle name="Normal 2371 2" xfId="11399"/>
    <cellStyle name="Normal 2371 2 2" xfId="36003"/>
    <cellStyle name="Normal 2371 2 3" xfId="36004"/>
    <cellStyle name="Normal 2371 3" xfId="11400"/>
    <cellStyle name="Normal 2371 4" xfId="36005"/>
    <cellStyle name="Normal 2372" xfId="11401"/>
    <cellStyle name="Normal 2372 2" xfId="11402"/>
    <cellStyle name="Normal 2372 2 2" xfId="36006"/>
    <cellStyle name="Normal 2372 2 3" xfId="36007"/>
    <cellStyle name="Normal 2372 3" xfId="11403"/>
    <cellStyle name="Normal 2372 4" xfId="36008"/>
    <cellStyle name="Normal 2373" xfId="11404"/>
    <cellStyle name="Normal 2373 2" xfId="11405"/>
    <cellStyle name="Normal 2373 2 2" xfId="36009"/>
    <cellStyle name="Normal 2373 2 3" xfId="36010"/>
    <cellStyle name="Normal 2373 3" xfId="11406"/>
    <cellStyle name="Normal 2373 4" xfId="36011"/>
    <cellStyle name="Normal 2374" xfId="11407"/>
    <cellStyle name="Normal 2374 2" xfId="11408"/>
    <cellStyle name="Normal 2374 2 2" xfId="36012"/>
    <cellStyle name="Normal 2374 2 3" xfId="36013"/>
    <cellStyle name="Normal 2374 3" xfId="11409"/>
    <cellStyle name="Normal 2374 4" xfId="36014"/>
    <cellStyle name="Normal 2375" xfId="11410"/>
    <cellStyle name="Normal 2375 2" xfId="11411"/>
    <cellStyle name="Normal 2375 2 2" xfId="36015"/>
    <cellStyle name="Normal 2375 2 3" xfId="36016"/>
    <cellStyle name="Normal 2375 3" xfId="11412"/>
    <cellStyle name="Normal 2375 4" xfId="36017"/>
    <cellStyle name="Normal 2376" xfId="11413"/>
    <cellStyle name="Normal 2376 2" xfId="11414"/>
    <cellStyle name="Normal 2376 2 2" xfId="36018"/>
    <cellStyle name="Normal 2376 2 3" xfId="36019"/>
    <cellStyle name="Normal 2376 3" xfId="11415"/>
    <cellStyle name="Normal 2376 4" xfId="36020"/>
    <cellStyle name="Normal 2377" xfId="11416"/>
    <cellStyle name="Normal 2377 2" xfId="11417"/>
    <cellStyle name="Normal 2377 2 2" xfId="36021"/>
    <cellStyle name="Normal 2377 2 3" xfId="36022"/>
    <cellStyle name="Normal 2377 3" xfId="11418"/>
    <cellStyle name="Normal 2377 4" xfId="36023"/>
    <cellStyle name="Normal 2378" xfId="11419"/>
    <cellStyle name="Normal 2378 2" xfId="11420"/>
    <cellStyle name="Normal 2378 2 2" xfId="36024"/>
    <cellStyle name="Normal 2378 2 3" xfId="36025"/>
    <cellStyle name="Normal 2378 3" xfId="11421"/>
    <cellStyle name="Normal 2378 4" xfId="36026"/>
    <cellStyle name="Normal 2379" xfId="11422"/>
    <cellStyle name="Normal 2379 2" xfId="11423"/>
    <cellStyle name="Normal 2379 2 2" xfId="36027"/>
    <cellStyle name="Normal 2379 2 3" xfId="36028"/>
    <cellStyle name="Normal 2379 3" xfId="11424"/>
    <cellStyle name="Normal 2379 4" xfId="36029"/>
    <cellStyle name="Normal 238" xfId="11425"/>
    <cellStyle name="Normal 238 10" xfId="36030"/>
    <cellStyle name="Normal 238 2" xfId="11426"/>
    <cellStyle name="Normal 238 2 2" xfId="11427"/>
    <cellStyle name="Normal 238 2 2 2" xfId="11428"/>
    <cellStyle name="Normal 238 2 2 3" xfId="11429"/>
    <cellStyle name="Normal 238 2 3" xfId="11430"/>
    <cellStyle name="Normal 238 2 3 2" xfId="36031"/>
    <cellStyle name="Normal 238 2 3 3" xfId="36032"/>
    <cellStyle name="Normal 238 2 4" xfId="11431"/>
    <cellStyle name="Normal 238 2 5" xfId="11432"/>
    <cellStyle name="Normal 238 2 6" xfId="36033"/>
    <cellStyle name="Normal 238 2 7" xfId="36034"/>
    <cellStyle name="Normal 238 2 8" xfId="36035"/>
    <cellStyle name="Normal 238 3" xfId="11433"/>
    <cellStyle name="Normal 238 3 2" xfId="11434"/>
    <cellStyle name="Normal 238 3 2 2" xfId="36036"/>
    <cellStyle name="Normal 238 3 2 3" xfId="36037"/>
    <cellStyle name="Normal 238 3 3" xfId="11435"/>
    <cellStyle name="Normal 238 3 3 2" xfId="36038"/>
    <cellStyle name="Normal 238 3 3 3" xfId="36039"/>
    <cellStyle name="Normal 238 3 4" xfId="36040"/>
    <cellStyle name="Normal 238 3 5" xfId="36041"/>
    <cellStyle name="Normal 238 4" xfId="11436"/>
    <cellStyle name="Normal 238 4 2" xfId="36042"/>
    <cellStyle name="Normal 238 4 3" xfId="36043"/>
    <cellStyle name="Normal 238 5" xfId="11437"/>
    <cellStyle name="Normal 238 5 2" xfId="36044"/>
    <cellStyle name="Normal 238 5 3" xfId="36045"/>
    <cellStyle name="Normal 238 6" xfId="11438"/>
    <cellStyle name="Normal 238 7" xfId="36046"/>
    <cellStyle name="Normal 238 8" xfId="36047"/>
    <cellStyle name="Normal 238 9" xfId="36048"/>
    <cellStyle name="Normal 2380" xfId="11439"/>
    <cellStyle name="Normal 2380 2" xfId="11440"/>
    <cellStyle name="Normal 2380 2 2" xfId="36049"/>
    <cellStyle name="Normal 2380 2 3" xfId="36050"/>
    <cellStyle name="Normal 2380 3" xfId="11441"/>
    <cellStyle name="Normal 2380 4" xfId="36051"/>
    <cellStyle name="Normal 2381" xfId="11442"/>
    <cellStyle name="Normal 2381 2" xfId="11443"/>
    <cellStyle name="Normal 2381 2 2" xfId="36052"/>
    <cellStyle name="Normal 2381 2 3" xfId="36053"/>
    <cellStyle name="Normal 2381 3" xfId="11444"/>
    <cellStyle name="Normal 2381 4" xfId="36054"/>
    <cellStyle name="Normal 2382" xfId="11445"/>
    <cellStyle name="Normal 2382 2" xfId="11446"/>
    <cellStyle name="Normal 2382 2 2" xfId="36055"/>
    <cellStyle name="Normal 2382 2 3" xfId="36056"/>
    <cellStyle name="Normal 2382 3" xfId="11447"/>
    <cellStyle name="Normal 2382 4" xfId="36057"/>
    <cellStyle name="Normal 2383" xfId="11448"/>
    <cellStyle name="Normal 2383 2" xfId="11449"/>
    <cellStyle name="Normal 2383 2 2" xfId="36058"/>
    <cellStyle name="Normal 2383 2 3" xfId="36059"/>
    <cellStyle name="Normal 2383 3" xfId="11450"/>
    <cellStyle name="Normal 2383 4" xfId="36060"/>
    <cellStyle name="Normal 2384" xfId="11451"/>
    <cellStyle name="Normal 2384 2" xfId="11452"/>
    <cellStyle name="Normal 2384 2 2" xfId="36061"/>
    <cellStyle name="Normal 2384 2 3" xfId="36062"/>
    <cellStyle name="Normal 2384 3" xfId="11453"/>
    <cellStyle name="Normal 2384 4" xfId="36063"/>
    <cellStyle name="Normal 2385" xfId="11454"/>
    <cellStyle name="Normal 2385 2" xfId="11455"/>
    <cellStyle name="Normal 2385 2 2" xfId="36064"/>
    <cellStyle name="Normal 2385 2 3" xfId="36065"/>
    <cellStyle name="Normal 2385 3" xfId="11456"/>
    <cellStyle name="Normal 2385 4" xfId="36066"/>
    <cellStyle name="Normal 2386" xfId="11457"/>
    <cellStyle name="Normal 2386 2" xfId="11458"/>
    <cellStyle name="Normal 2386 2 2" xfId="36067"/>
    <cellStyle name="Normal 2386 2 3" xfId="36068"/>
    <cellStyle name="Normal 2386 3" xfId="11459"/>
    <cellStyle name="Normal 2386 4" xfId="36069"/>
    <cellStyle name="Normal 2387" xfId="11460"/>
    <cellStyle name="Normal 2387 2" xfId="11461"/>
    <cellStyle name="Normal 2387 2 2" xfId="36070"/>
    <cellStyle name="Normal 2387 2 3" xfId="36071"/>
    <cellStyle name="Normal 2387 3" xfId="11462"/>
    <cellStyle name="Normal 2387 4" xfId="36072"/>
    <cellStyle name="Normal 2388" xfId="11463"/>
    <cellStyle name="Normal 2388 2" xfId="11464"/>
    <cellStyle name="Normal 2388 2 2" xfId="36073"/>
    <cellStyle name="Normal 2388 2 3" xfId="36074"/>
    <cellStyle name="Normal 2388 3" xfId="11465"/>
    <cellStyle name="Normal 2388 4" xfId="36075"/>
    <cellStyle name="Normal 2389" xfId="11466"/>
    <cellStyle name="Normal 2389 2" xfId="11467"/>
    <cellStyle name="Normal 2389 2 2" xfId="36076"/>
    <cellStyle name="Normal 2389 2 3" xfId="36077"/>
    <cellStyle name="Normal 2389 3" xfId="11468"/>
    <cellStyle name="Normal 2389 4" xfId="36078"/>
    <cellStyle name="Normal 239" xfId="11469"/>
    <cellStyle name="Normal 239 10" xfId="36079"/>
    <cellStyle name="Normal 239 2" xfId="11470"/>
    <cellStyle name="Normal 239 2 2" xfId="11471"/>
    <cellStyle name="Normal 239 2 2 2" xfId="11472"/>
    <cellStyle name="Normal 239 2 2 3" xfId="11473"/>
    <cellStyle name="Normal 239 2 3" xfId="11474"/>
    <cellStyle name="Normal 239 2 3 2" xfId="36080"/>
    <cellStyle name="Normal 239 2 3 3" xfId="36081"/>
    <cellStyle name="Normal 239 2 4" xfId="11475"/>
    <cellStyle name="Normal 239 2 5" xfId="11476"/>
    <cellStyle name="Normal 239 2 6" xfId="36082"/>
    <cellStyle name="Normal 239 2 7" xfId="36083"/>
    <cellStyle name="Normal 239 2 8" xfId="36084"/>
    <cellStyle name="Normal 239 3" xfId="11477"/>
    <cellStyle name="Normal 239 3 2" xfId="11478"/>
    <cellStyle name="Normal 239 3 2 2" xfId="36085"/>
    <cellStyle name="Normal 239 3 2 3" xfId="36086"/>
    <cellStyle name="Normal 239 3 3" xfId="11479"/>
    <cellStyle name="Normal 239 3 3 2" xfId="36087"/>
    <cellStyle name="Normal 239 3 3 3" xfId="36088"/>
    <cellStyle name="Normal 239 3 4" xfId="36089"/>
    <cellStyle name="Normal 239 3 5" xfId="36090"/>
    <cellStyle name="Normal 239 4" xfId="11480"/>
    <cellStyle name="Normal 239 4 2" xfId="36091"/>
    <cellStyle name="Normal 239 4 3" xfId="36092"/>
    <cellStyle name="Normal 239 5" xfId="11481"/>
    <cellStyle name="Normal 239 5 2" xfId="36093"/>
    <cellStyle name="Normal 239 5 3" xfId="36094"/>
    <cellStyle name="Normal 239 6" xfId="11482"/>
    <cellStyle name="Normal 239 7" xfId="36095"/>
    <cellStyle name="Normal 239 8" xfId="36096"/>
    <cellStyle name="Normal 239 9" xfId="36097"/>
    <cellStyle name="Normal 2390" xfId="11483"/>
    <cellStyle name="Normal 2390 2" xfId="11484"/>
    <cellStyle name="Normal 2390 2 2" xfId="36098"/>
    <cellStyle name="Normal 2390 2 3" xfId="36099"/>
    <cellStyle name="Normal 2390 3" xfId="11485"/>
    <cellStyle name="Normal 2390 4" xfId="36100"/>
    <cellStyle name="Normal 2391" xfId="11486"/>
    <cellStyle name="Normal 2391 2" xfId="11487"/>
    <cellStyle name="Normal 2391 2 2" xfId="36101"/>
    <cellStyle name="Normal 2391 2 3" xfId="36102"/>
    <cellStyle name="Normal 2391 3" xfId="11488"/>
    <cellStyle name="Normal 2391 4" xfId="36103"/>
    <cellStyle name="Normal 2392" xfId="11489"/>
    <cellStyle name="Normal 2392 2" xfId="11490"/>
    <cellStyle name="Normal 2392 2 2" xfId="36104"/>
    <cellStyle name="Normal 2392 2 3" xfId="36105"/>
    <cellStyle name="Normal 2392 3" xfId="11491"/>
    <cellStyle name="Normal 2392 4" xfId="36106"/>
    <cellStyle name="Normal 2393" xfId="11492"/>
    <cellStyle name="Normal 2393 2" xfId="11493"/>
    <cellStyle name="Normal 2393 2 2" xfId="36107"/>
    <cellStyle name="Normal 2393 2 3" xfId="36108"/>
    <cellStyle name="Normal 2393 3" xfId="11494"/>
    <cellStyle name="Normal 2393 4" xfId="36109"/>
    <cellStyle name="Normal 2394" xfId="11495"/>
    <cellStyle name="Normal 2394 2" xfId="11496"/>
    <cellStyle name="Normal 2394 2 2" xfId="36110"/>
    <cellStyle name="Normal 2394 2 3" xfId="36111"/>
    <cellStyle name="Normal 2394 3" xfId="11497"/>
    <cellStyle name="Normal 2394 4" xfId="36112"/>
    <cellStyle name="Normal 2395" xfId="11498"/>
    <cellStyle name="Normal 2395 2" xfId="11499"/>
    <cellStyle name="Normal 2395 2 2" xfId="36113"/>
    <cellStyle name="Normal 2395 2 3" xfId="36114"/>
    <cellStyle name="Normal 2395 3" xfId="11500"/>
    <cellStyle name="Normal 2395 4" xfId="36115"/>
    <cellStyle name="Normal 2396" xfId="11501"/>
    <cellStyle name="Normal 2396 2" xfId="11502"/>
    <cellStyle name="Normal 2396 2 2" xfId="36116"/>
    <cellStyle name="Normal 2396 2 3" xfId="36117"/>
    <cellStyle name="Normal 2396 3" xfId="11503"/>
    <cellStyle name="Normal 2396 4" xfId="36118"/>
    <cellStyle name="Normal 2397" xfId="11504"/>
    <cellStyle name="Normal 2397 2" xfId="11505"/>
    <cellStyle name="Normal 2397 2 2" xfId="36119"/>
    <cellStyle name="Normal 2397 2 3" xfId="36120"/>
    <cellStyle name="Normal 2397 3" xfId="11506"/>
    <cellStyle name="Normal 2397 4" xfId="36121"/>
    <cellStyle name="Normal 2398" xfId="11507"/>
    <cellStyle name="Normal 2398 2" xfId="11508"/>
    <cellStyle name="Normal 2398 2 2" xfId="36122"/>
    <cellStyle name="Normal 2398 2 3" xfId="36123"/>
    <cellStyle name="Normal 2398 3" xfId="11509"/>
    <cellStyle name="Normal 2398 4" xfId="36124"/>
    <cellStyle name="Normal 2399" xfId="11510"/>
    <cellStyle name="Normal 2399 2" xfId="11511"/>
    <cellStyle name="Normal 2399 2 2" xfId="36125"/>
    <cellStyle name="Normal 2399 2 3" xfId="36126"/>
    <cellStyle name="Normal 2399 3" xfId="11512"/>
    <cellStyle name="Normal 2399 4" xfId="36127"/>
    <cellStyle name="Normal 24" xfId="11513"/>
    <cellStyle name="Normal 24 10" xfId="36128"/>
    <cellStyle name="Normal 24 2" xfId="11514"/>
    <cellStyle name="Normal 24 2 2" xfId="11515"/>
    <cellStyle name="Normal 24 2 2 2" xfId="11516"/>
    <cellStyle name="Normal 24 2 2 3" xfId="11517"/>
    <cellStyle name="Normal 24 2 3" xfId="11518"/>
    <cellStyle name="Normal 24 2 3 2" xfId="36129"/>
    <cellStyle name="Normal 24 2 3 3" xfId="36130"/>
    <cellStyle name="Normal 24 2 4" xfId="11519"/>
    <cellStyle name="Normal 24 2 5" xfId="11520"/>
    <cellStyle name="Normal 24 2 6" xfId="36131"/>
    <cellStyle name="Normal 24 2 7" xfId="36132"/>
    <cellStyle name="Normal 24 2 8" xfId="36133"/>
    <cellStyle name="Normal 24 3" xfId="11521"/>
    <cellStyle name="Normal 24 3 2" xfId="11522"/>
    <cellStyle name="Normal 24 3 2 2" xfId="36134"/>
    <cellStyle name="Normal 24 3 2 3" xfId="36135"/>
    <cellStyle name="Normal 24 3 3" xfId="11523"/>
    <cellStyle name="Normal 24 3 3 2" xfId="36136"/>
    <cellStyle name="Normal 24 3 3 3" xfId="36137"/>
    <cellStyle name="Normal 24 3 4" xfId="36138"/>
    <cellStyle name="Normal 24 3 5" xfId="36139"/>
    <cellStyle name="Normal 24 4" xfId="11524"/>
    <cellStyle name="Normal 24 4 2" xfId="36140"/>
    <cellStyle name="Normal 24 4 3" xfId="36141"/>
    <cellStyle name="Normal 24 5" xfId="11525"/>
    <cellStyle name="Normal 24 5 2" xfId="36142"/>
    <cellStyle name="Normal 24 5 3" xfId="36143"/>
    <cellStyle name="Normal 24 6" xfId="11526"/>
    <cellStyle name="Normal 24 7" xfId="36144"/>
    <cellStyle name="Normal 24 8" xfId="36145"/>
    <cellStyle name="Normal 24 9" xfId="36146"/>
    <cellStyle name="Normal 240" xfId="11527"/>
    <cellStyle name="Normal 240 10" xfId="36147"/>
    <cellStyle name="Normal 240 2" xfId="11528"/>
    <cellStyle name="Normal 240 2 2" xfId="11529"/>
    <cellStyle name="Normal 240 2 2 2" xfId="11530"/>
    <cellStyle name="Normal 240 2 2 3" xfId="11531"/>
    <cellStyle name="Normal 240 2 3" xfId="11532"/>
    <cellStyle name="Normal 240 2 3 2" xfId="36148"/>
    <cellStyle name="Normal 240 2 3 3" xfId="36149"/>
    <cellStyle name="Normal 240 2 4" xfId="11533"/>
    <cellStyle name="Normal 240 2 5" xfId="11534"/>
    <cellStyle name="Normal 240 2 6" xfId="36150"/>
    <cellStyle name="Normal 240 2 7" xfId="36151"/>
    <cellStyle name="Normal 240 2 8" xfId="36152"/>
    <cellStyle name="Normal 240 3" xfId="11535"/>
    <cellStyle name="Normal 240 3 2" xfId="11536"/>
    <cellStyle name="Normal 240 3 2 2" xfId="36153"/>
    <cellStyle name="Normal 240 3 2 3" xfId="36154"/>
    <cellStyle name="Normal 240 3 3" xfId="11537"/>
    <cellStyle name="Normal 240 3 3 2" xfId="36155"/>
    <cellStyle name="Normal 240 3 3 3" xfId="36156"/>
    <cellStyle name="Normal 240 3 4" xfId="36157"/>
    <cellStyle name="Normal 240 3 5" xfId="36158"/>
    <cellStyle name="Normal 240 4" xfId="11538"/>
    <cellStyle name="Normal 240 4 2" xfId="36159"/>
    <cellStyle name="Normal 240 4 3" xfId="36160"/>
    <cellStyle name="Normal 240 5" xfId="11539"/>
    <cellStyle name="Normal 240 5 2" xfId="36161"/>
    <cellStyle name="Normal 240 5 3" xfId="36162"/>
    <cellStyle name="Normal 240 6" xfId="11540"/>
    <cellStyle name="Normal 240 7" xfId="36163"/>
    <cellStyle name="Normal 240 8" xfId="36164"/>
    <cellStyle name="Normal 240 9" xfId="36165"/>
    <cellStyle name="Normal 2400" xfId="11541"/>
    <cellStyle name="Normal 2400 2" xfId="11542"/>
    <cellStyle name="Normal 2400 2 2" xfId="36166"/>
    <cellStyle name="Normal 2400 2 3" xfId="36167"/>
    <cellStyle name="Normal 2400 3" xfId="11543"/>
    <cellStyle name="Normal 2400 4" xfId="36168"/>
    <cellStyle name="Normal 2401" xfId="11544"/>
    <cellStyle name="Normal 2401 2" xfId="11545"/>
    <cellStyle name="Normal 2401 2 2" xfId="36169"/>
    <cellStyle name="Normal 2401 2 3" xfId="36170"/>
    <cellStyle name="Normal 2401 3" xfId="11546"/>
    <cellStyle name="Normal 2401 4" xfId="36171"/>
    <cellStyle name="Normal 2402" xfId="11547"/>
    <cellStyle name="Normal 2402 2" xfId="11548"/>
    <cellStyle name="Normal 2402 2 2" xfId="36172"/>
    <cellStyle name="Normal 2402 2 3" xfId="36173"/>
    <cellStyle name="Normal 2402 3" xfId="11549"/>
    <cellStyle name="Normal 2402 4" xfId="36174"/>
    <cellStyle name="Normal 2403" xfId="11550"/>
    <cellStyle name="Normal 2403 2" xfId="11551"/>
    <cellStyle name="Normal 2403 2 2" xfId="36175"/>
    <cellStyle name="Normal 2403 2 3" xfId="36176"/>
    <cellStyle name="Normal 2403 3" xfId="11552"/>
    <cellStyle name="Normal 2403 4" xfId="36177"/>
    <cellStyle name="Normal 2404" xfId="11553"/>
    <cellStyle name="Normal 2404 2" xfId="11554"/>
    <cellStyle name="Normal 2404 2 2" xfId="36178"/>
    <cellStyle name="Normal 2404 2 3" xfId="36179"/>
    <cellStyle name="Normal 2404 3" xfId="11555"/>
    <cellStyle name="Normal 2404 4" xfId="36180"/>
    <cellStyle name="Normal 2405" xfId="11556"/>
    <cellStyle name="Normal 2405 2" xfId="11557"/>
    <cellStyle name="Normal 2405 2 2" xfId="36181"/>
    <cellStyle name="Normal 2405 2 3" xfId="36182"/>
    <cellStyle name="Normal 2405 3" xfId="11558"/>
    <cellStyle name="Normal 2405 4" xfId="36183"/>
    <cellStyle name="Normal 2406" xfId="11559"/>
    <cellStyle name="Normal 2406 2" xfId="11560"/>
    <cellStyle name="Normal 2406 2 2" xfId="36184"/>
    <cellStyle name="Normal 2406 2 3" xfId="36185"/>
    <cellStyle name="Normal 2406 3" xfId="11561"/>
    <cellStyle name="Normal 2406 4" xfId="36186"/>
    <cellStyle name="Normal 2407" xfId="11562"/>
    <cellStyle name="Normal 2407 2" xfId="11563"/>
    <cellStyle name="Normal 2407 2 2" xfId="36187"/>
    <cellStyle name="Normal 2407 2 3" xfId="36188"/>
    <cellStyle name="Normal 2407 3" xfId="11564"/>
    <cellStyle name="Normal 2407 4" xfId="36189"/>
    <cellStyle name="Normal 2408" xfId="11565"/>
    <cellStyle name="Normal 2408 2" xfId="11566"/>
    <cellStyle name="Normal 2408 2 2" xfId="36190"/>
    <cellStyle name="Normal 2408 2 3" xfId="36191"/>
    <cellStyle name="Normal 2408 3" xfId="11567"/>
    <cellStyle name="Normal 2408 4" xfId="36192"/>
    <cellStyle name="Normal 2409" xfId="11568"/>
    <cellStyle name="Normal 2409 2" xfId="11569"/>
    <cellStyle name="Normal 2409 2 2" xfId="36193"/>
    <cellStyle name="Normal 2409 2 3" xfId="36194"/>
    <cellStyle name="Normal 2409 3" xfId="11570"/>
    <cellStyle name="Normal 2409 4" xfId="36195"/>
    <cellStyle name="Normal 241" xfId="11571"/>
    <cellStyle name="Normal 241 10" xfId="36196"/>
    <cellStyle name="Normal 241 2" xfId="11572"/>
    <cellStyle name="Normal 241 2 2" xfId="11573"/>
    <cellStyle name="Normal 241 2 2 2" xfId="11574"/>
    <cellStyle name="Normal 241 2 2 3" xfId="11575"/>
    <cellStyle name="Normal 241 2 3" xfId="11576"/>
    <cellStyle name="Normal 241 2 3 2" xfId="36197"/>
    <cellStyle name="Normal 241 2 3 3" xfId="36198"/>
    <cellStyle name="Normal 241 2 4" xfId="11577"/>
    <cellStyle name="Normal 241 2 5" xfId="11578"/>
    <cellStyle name="Normal 241 2 6" xfId="36199"/>
    <cellStyle name="Normal 241 2 7" xfId="36200"/>
    <cellStyle name="Normal 241 2 8" xfId="36201"/>
    <cellStyle name="Normal 241 3" xfId="11579"/>
    <cellStyle name="Normal 241 3 2" xfId="11580"/>
    <cellStyle name="Normal 241 3 2 2" xfId="36202"/>
    <cellStyle name="Normal 241 3 2 3" xfId="36203"/>
    <cellStyle name="Normal 241 3 3" xfId="11581"/>
    <cellStyle name="Normal 241 3 3 2" xfId="36204"/>
    <cellStyle name="Normal 241 3 3 3" xfId="36205"/>
    <cellStyle name="Normal 241 3 4" xfId="36206"/>
    <cellStyle name="Normal 241 3 5" xfId="36207"/>
    <cellStyle name="Normal 241 4" xfId="11582"/>
    <cellStyle name="Normal 241 4 2" xfId="36208"/>
    <cellStyle name="Normal 241 4 3" xfId="36209"/>
    <cellStyle name="Normal 241 5" xfId="11583"/>
    <cellStyle name="Normal 241 5 2" xfId="36210"/>
    <cellStyle name="Normal 241 5 3" xfId="36211"/>
    <cellStyle name="Normal 241 6" xfId="11584"/>
    <cellStyle name="Normal 241 7" xfId="36212"/>
    <cellStyle name="Normal 241 8" xfId="36213"/>
    <cellStyle name="Normal 241 9" xfId="36214"/>
    <cellStyle name="Normal 2410" xfId="11585"/>
    <cellStyle name="Normal 2410 2" xfId="11586"/>
    <cellStyle name="Normal 2410 2 2" xfId="36215"/>
    <cellStyle name="Normal 2410 2 3" xfId="36216"/>
    <cellStyle name="Normal 2410 3" xfId="11587"/>
    <cellStyle name="Normal 2410 4" xfId="36217"/>
    <cellStyle name="Normal 2411" xfId="11588"/>
    <cellStyle name="Normal 2411 2" xfId="11589"/>
    <cellStyle name="Normal 2411 2 2" xfId="36218"/>
    <cellStyle name="Normal 2411 2 3" xfId="36219"/>
    <cellStyle name="Normal 2411 3" xfId="11590"/>
    <cellStyle name="Normal 2411 4" xfId="36220"/>
    <cellStyle name="Normal 2412" xfId="11591"/>
    <cellStyle name="Normal 2412 2" xfId="11592"/>
    <cellStyle name="Normal 2412 2 2" xfId="36221"/>
    <cellStyle name="Normal 2412 2 3" xfId="36222"/>
    <cellStyle name="Normal 2412 3" xfId="11593"/>
    <cellStyle name="Normal 2412 4" xfId="36223"/>
    <cellStyle name="Normal 2413" xfId="11594"/>
    <cellStyle name="Normal 2413 2" xfId="11595"/>
    <cellStyle name="Normal 2413 2 2" xfId="36224"/>
    <cellStyle name="Normal 2413 2 3" xfId="36225"/>
    <cellStyle name="Normal 2413 3" xfId="11596"/>
    <cellStyle name="Normal 2413 4" xfId="36226"/>
    <cellStyle name="Normal 2414" xfId="11597"/>
    <cellStyle name="Normal 2414 2" xfId="11598"/>
    <cellStyle name="Normal 2414 2 2" xfId="36227"/>
    <cellStyle name="Normal 2414 2 3" xfId="36228"/>
    <cellStyle name="Normal 2414 3" xfId="11599"/>
    <cellStyle name="Normal 2414 4" xfId="36229"/>
    <cellStyle name="Normal 2415" xfId="11600"/>
    <cellStyle name="Normal 2415 2" xfId="11601"/>
    <cellStyle name="Normal 2415 2 2" xfId="36230"/>
    <cellStyle name="Normal 2415 2 3" xfId="36231"/>
    <cellStyle name="Normal 2415 3" xfId="11602"/>
    <cellStyle name="Normal 2415 4" xfId="36232"/>
    <cellStyle name="Normal 2416" xfId="11603"/>
    <cellStyle name="Normal 2416 2" xfId="11604"/>
    <cellStyle name="Normal 2416 2 2" xfId="36233"/>
    <cellStyle name="Normal 2416 2 3" xfId="36234"/>
    <cellStyle name="Normal 2416 3" xfId="11605"/>
    <cellStyle name="Normal 2416 4" xfId="36235"/>
    <cellStyle name="Normal 2417" xfId="11606"/>
    <cellStyle name="Normal 2417 2" xfId="11607"/>
    <cellStyle name="Normal 2417 2 2" xfId="36236"/>
    <cellStyle name="Normal 2417 2 3" xfId="36237"/>
    <cellStyle name="Normal 2417 3" xfId="11608"/>
    <cellStyle name="Normal 2417 4" xfId="36238"/>
    <cellStyle name="Normal 2418" xfId="11609"/>
    <cellStyle name="Normal 2418 2" xfId="11610"/>
    <cellStyle name="Normal 2418 2 2" xfId="36239"/>
    <cellStyle name="Normal 2418 2 3" xfId="36240"/>
    <cellStyle name="Normal 2418 3" xfId="11611"/>
    <cellStyle name="Normal 2418 4" xfId="36241"/>
    <cellStyle name="Normal 2419" xfId="11612"/>
    <cellStyle name="Normal 2419 2" xfId="11613"/>
    <cellStyle name="Normal 2419 2 2" xfId="36242"/>
    <cellStyle name="Normal 2419 2 3" xfId="36243"/>
    <cellStyle name="Normal 2419 3" xfId="11614"/>
    <cellStyle name="Normal 2419 4" xfId="36244"/>
    <cellStyle name="Normal 242" xfId="11615"/>
    <cellStyle name="Normal 242 10" xfId="36245"/>
    <cellStyle name="Normal 242 2" xfId="11616"/>
    <cellStyle name="Normal 242 2 2" xfId="11617"/>
    <cellStyle name="Normal 242 2 2 2" xfId="11618"/>
    <cellStyle name="Normal 242 2 2 3" xfId="11619"/>
    <cellStyle name="Normal 242 2 3" xfId="11620"/>
    <cellStyle name="Normal 242 2 3 2" xfId="36246"/>
    <cellStyle name="Normal 242 2 3 3" xfId="36247"/>
    <cellStyle name="Normal 242 2 4" xfId="11621"/>
    <cellStyle name="Normal 242 2 5" xfId="11622"/>
    <cellStyle name="Normal 242 2 6" xfId="36248"/>
    <cellStyle name="Normal 242 2 7" xfId="36249"/>
    <cellStyle name="Normal 242 2 8" xfId="36250"/>
    <cellStyle name="Normal 242 3" xfId="11623"/>
    <cellStyle name="Normal 242 3 2" xfId="11624"/>
    <cellStyle name="Normal 242 3 2 2" xfId="36251"/>
    <cellStyle name="Normal 242 3 2 3" xfId="36252"/>
    <cellStyle name="Normal 242 3 3" xfId="11625"/>
    <cellStyle name="Normal 242 3 3 2" xfId="36253"/>
    <cellStyle name="Normal 242 3 3 3" xfId="36254"/>
    <cellStyle name="Normal 242 3 4" xfId="36255"/>
    <cellStyle name="Normal 242 3 5" xfId="36256"/>
    <cellStyle name="Normal 242 4" xfId="11626"/>
    <cellStyle name="Normal 242 4 2" xfId="36257"/>
    <cellStyle name="Normal 242 4 3" xfId="36258"/>
    <cellStyle name="Normal 242 5" xfId="11627"/>
    <cellStyle name="Normal 242 5 2" xfId="36259"/>
    <cellStyle name="Normal 242 5 3" xfId="36260"/>
    <cellStyle name="Normal 242 6" xfId="11628"/>
    <cellStyle name="Normal 242 7" xfId="36261"/>
    <cellStyle name="Normal 242 8" xfId="36262"/>
    <cellStyle name="Normal 242 9" xfId="36263"/>
    <cellStyle name="Normal 2420" xfId="11629"/>
    <cellStyle name="Normal 2420 2" xfId="11630"/>
    <cellStyle name="Normal 2420 2 2" xfId="36264"/>
    <cellStyle name="Normal 2420 2 3" xfId="36265"/>
    <cellStyle name="Normal 2420 3" xfId="11631"/>
    <cellStyle name="Normal 2420 4" xfId="36266"/>
    <cellStyle name="Normal 2421" xfId="11632"/>
    <cellStyle name="Normal 2421 2" xfId="11633"/>
    <cellStyle name="Normal 2421 2 2" xfId="36267"/>
    <cellStyle name="Normal 2421 2 3" xfId="36268"/>
    <cellStyle name="Normal 2421 3" xfId="11634"/>
    <cellStyle name="Normal 2421 4" xfId="36269"/>
    <cellStyle name="Normal 2422" xfId="11635"/>
    <cellStyle name="Normal 2422 2" xfId="11636"/>
    <cellStyle name="Normal 2422 2 2" xfId="36270"/>
    <cellStyle name="Normal 2422 2 3" xfId="36271"/>
    <cellStyle name="Normal 2422 3" xfId="11637"/>
    <cellStyle name="Normal 2422 4" xfId="36272"/>
    <cellStyle name="Normal 2423" xfId="11638"/>
    <cellStyle name="Normal 2423 2" xfId="11639"/>
    <cellStyle name="Normal 2423 2 2" xfId="36273"/>
    <cellStyle name="Normal 2423 2 3" xfId="36274"/>
    <cellStyle name="Normal 2423 3" xfId="11640"/>
    <cellStyle name="Normal 2423 4" xfId="36275"/>
    <cellStyle name="Normal 2424" xfId="11641"/>
    <cellStyle name="Normal 2424 2" xfId="11642"/>
    <cellStyle name="Normal 2424 2 2" xfId="36276"/>
    <cellStyle name="Normal 2424 2 3" xfId="36277"/>
    <cellStyle name="Normal 2424 3" xfId="11643"/>
    <cellStyle name="Normal 2424 4" xfId="36278"/>
    <cellStyle name="Normal 2425" xfId="11644"/>
    <cellStyle name="Normal 2425 2" xfId="11645"/>
    <cellStyle name="Normal 2425 2 2" xfId="36279"/>
    <cellStyle name="Normal 2425 2 3" xfId="36280"/>
    <cellStyle name="Normal 2425 3" xfId="11646"/>
    <cellStyle name="Normal 2425 4" xfId="36281"/>
    <cellStyle name="Normal 2426" xfId="11647"/>
    <cellStyle name="Normal 2426 2" xfId="11648"/>
    <cellStyle name="Normal 2426 2 2" xfId="36282"/>
    <cellStyle name="Normal 2426 2 3" xfId="36283"/>
    <cellStyle name="Normal 2426 3" xfId="11649"/>
    <cellStyle name="Normal 2426 4" xfId="36284"/>
    <cellStyle name="Normal 2427" xfId="11650"/>
    <cellStyle name="Normal 2427 2" xfId="11651"/>
    <cellStyle name="Normal 2427 2 2" xfId="36285"/>
    <cellStyle name="Normal 2427 2 3" xfId="36286"/>
    <cellStyle name="Normal 2427 3" xfId="11652"/>
    <cellStyle name="Normal 2427 4" xfId="36287"/>
    <cellStyle name="Normal 2428" xfId="11653"/>
    <cellStyle name="Normal 2428 2" xfId="11654"/>
    <cellStyle name="Normal 2428 2 2" xfId="36288"/>
    <cellStyle name="Normal 2428 2 3" xfId="36289"/>
    <cellStyle name="Normal 2428 3" xfId="11655"/>
    <cellStyle name="Normal 2428 4" xfId="36290"/>
    <cellStyle name="Normal 2429" xfId="11656"/>
    <cellStyle name="Normal 2429 2" xfId="11657"/>
    <cellStyle name="Normal 2429 2 2" xfId="36291"/>
    <cellStyle name="Normal 2429 2 3" xfId="36292"/>
    <cellStyle name="Normal 2429 3" xfId="11658"/>
    <cellStyle name="Normal 2429 4" xfId="36293"/>
    <cellStyle name="Normal 243" xfId="11659"/>
    <cellStyle name="Normal 243 10" xfId="36294"/>
    <cellStyle name="Normal 243 2" xfId="11660"/>
    <cellStyle name="Normal 243 2 2" xfId="11661"/>
    <cellStyle name="Normal 243 2 2 2" xfId="11662"/>
    <cellStyle name="Normal 243 2 2 3" xfId="11663"/>
    <cellStyle name="Normal 243 2 3" xfId="11664"/>
    <cellStyle name="Normal 243 2 3 2" xfId="36295"/>
    <cellStyle name="Normal 243 2 3 3" xfId="36296"/>
    <cellStyle name="Normal 243 2 4" xfId="11665"/>
    <cellStyle name="Normal 243 2 5" xfId="11666"/>
    <cellStyle name="Normal 243 2 6" xfId="36297"/>
    <cellStyle name="Normal 243 2 7" xfId="36298"/>
    <cellStyle name="Normal 243 2 8" xfId="36299"/>
    <cellStyle name="Normal 243 3" xfId="11667"/>
    <cellStyle name="Normal 243 3 2" xfId="11668"/>
    <cellStyle name="Normal 243 3 2 2" xfId="36300"/>
    <cellStyle name="Normal 243 3 2 3" xfId="36301"/>
    <cellStyle name="Normal 243 3 3" xfId="11669"/>
    <cellStyle name="Normal 243 3 3 2" xfId="36302"/>
    <cellStyle name="Normal 243 3 3 3" xfId="36303"/>
    <cellStyle name="Normal 243 3 4" xfId="36304"/>
    <cellStyle name="Normal 243 3 5" xfId="36305"/>
    <cellStyle name="Normal 243 4" xfId="11670"/>
    <cellStyle name="Normal 243 4 2" xfId="36306"/>
    <cellStyle name="Normal 243 4 3" xfId="36307"/>
    <cellStyle name="Normal 243 5" xfId="11671"/>
    <cellStyle name="Normal 243 5 2" xfId="36308"/>
    <cellStyle name="Normal 243 5 3" xfId="36309"/>
    <cellStyle name="Normal 243 6" xfId="11672"/>
    <cellStyle name="Normal 243 7" xfId="36310"/>
    <cellStyle name="Normal 243 8" xfId="36311"/>
    <cellStyle name="Normal 243 9" xfId="36312"/>
    <cellStyle name="Normal 2430" xfId="11673"/>
    <cellStyle name="Normal 2430 2" xfId="11674"/>
    <cellStyle name="Normal 2430 2 2" xfId="36313"/>
    <cellStyle name="Normal 2430 2 3" xfId="36314"/>
    <cellStyle name="Normal 2430 3" xfId="11675"/>
    <cellStyle name="Normal 2430 4" xfId="36315"/>
    <cellStyle name="Normal 2431" xfId="11676"/>
    <cellStyle name="Normal 2431 2" xfId="11677"/>
    <cellStyle name="Normal 2431 2 2" xfId="36316"/>
    <cellStyle name="Normal 2431 2 3" xfId="36317"/>
    <cellStyle name="Normal 2431 3" xfId="11678"/>
    <cellStyle name="Normal 2431 4" xfId="36318"/>
    <cellStyle name="Normal 2432" xfId="11679"/>
    <cellStyle name="Normal 2432 2" xfId="11680"/>
    <cellStyle name="Normal 2432 3" xfId="11681"/>
    <cellStyle name="Normal 2433" xfId="11682"/>
    <cellStyle name="Normal 2433 2" xfId="11683"/>
    <cellStyle name="Normal 2433 3" xfId="11684"/>
    <cellStyle name="Normal 2434" xfId="11685"/>
    <cellStyle name="Normal 2434 2" xfId="11686"/>
    <cellStyle name="Normal 2434 3" xfId="11687"/>
    <cellStyle name="Normal 2435" xfId="11688"/>
    <cellStyle name="Normal 2435 2" xfId="11689"/>
    <cellStyle name="Normal 2435 3" xfId="11690"/>
    <cellStyle name="Normal 2436" xfId="11691"/>
    <cellStyle name="Normal 2436 2" xfId="11692"/>
    <cellStyle name="Normal 2436 3" xfId="11693"/>
    <cellStyle name="Normal 2437" xfId="11694"/>
    <cellStyle name="Normal 2437 2" xfId="11695"/>
    <cellStyle name="Normal 2437 3" xfId="11696"/>
    <cellStyle name="Normal 2438" xfId="11697"/>
    <cellStyle name="Normal 2438 2" xfId="11698"/>
    <cellStyle name="Normal 2438 3" xfId="11699"/>
    <cellStyle name="Normal 2439" xfId="11700"/>
    <cellStyle name="Normal 2439 2" xfId="11701"/>
    <cellStyle name="Normal 2439 3" xfId="11702"/>
    <cellStyle name="Normal 244" xfId="11703"/>
    <cellStyle name="Normal 244 10" xfId="36319"/>
    <cellStyle name="Normal 244 2" xfId="11704"/>
    <cellStyle name="Normal 244 2 2" xfId="11705"/>
    <cellStyle name="Normal 244 2 2 2" xfId="11706"/>
    <cellStyle name="Normal 244 2 2 3" xfId="11707"/>
    <cellStyle name="Normal 244 2 3" xfId="11708"/>
    <cellStyle name="Normal 244 2 3 2" xfId="36320"/>
    <cellStyle name="Normal 244 2 3 3" xfId="36321"/>
    <cellStyle name="Normal 244 2 4" xfId="11709"/>
    <cellStyle name="Normal 244 2 5" xfId="11710"/>
    <cellStyle name="Normal 244 2 6" xfId="36322"/>
    <cellStyle name="Normal 244 2 7" xfId="36323"/>
    <cellStyle name="Normal 244 2 8" xfId="36324"/>
    <cellStyle name="Normal 244 3" xfId="11711"/>
    <cellStyle name="Normal 244 3 2" xfId="11712"/>
    <cellStyle name="Normal 244 3 2 2" xfId="36325"/>
    <cellStyle name="Normal 244 3 2 3" xfId="36326"/>
    <cellStyle name="Normal 244 3 3" xfId="11713"/>
    <cellStyle name="Normal 244 3 3 2" xfId="36327"/>
    <cellStyle name="Normal 244 3 3 3" xfId="36328"/>
    <cellStyle name="Normal 244 3 4" xfId="36329"/>
    <cellStyle name="Normal 244 3 5" xfId="36330"/>
    <cellStyle name="Normal 244 4" xfId="11714"/>
    <cellStyle name="Normal 244 4 2" xfId="36331"/>
    <cellStyle name="Normal 244 4 3" xfId="36332"/>
    <cellStyle name="Normal 244 5" xfId="11715"/>
    <cellStyle name="Normal 244 5 2" xfId="36333"/>
    <cellStyle name="Normal 244 5 3" xfId="36334"/>
    <cellStyle name="Normal 244 6" xfId="11716"/>
    <cellStyle name="Normal 244 7" xfId="36335"/>
    <cellStyle name="Normal 244 8" xfId="36336"/>
    <cellStyle name="Normal 244 9" xfId="36337"/>
    <cellStyle name="Normal 2440" xfId="11717"/>
    <cellStyle name="Normal 2440 2" xfId="11718"/>
    <cellStyle name="Normal 2440 3" xfId="11719"/>
    <cellStyle name="Normal 2441" xfId="11720"/>
    <cellStyle name="Normal 2441 2" xfId="11721"/>
    <cellStyle name="Normal 2441 3" xfId="11722"/>
    <cellStyle name="Normal 2442" xfId="11723"/>
    <cellStyle name="Normal 2442 2" xfId="11724"/>
    <cellStyle name="Normal 2442 2 2" xfId="36338"/>
    <cellStyle name="Normal 2442 2 3" xfId="36339"/>
    <cellStyle name="Normal 2442 3" xfId="11725"/>
    <cellStyle name="Normal 2442 4" xfId="36340"/>
    <cellStyle name="Normal 2443" xfId="11726"/>
    <cellStyle name="Normal 2443 2" xfId="11727"/>
    <cellStyle name="Normal 2443 2 2" xfId="36341"/>
    <cellStyle name="Normal 2443 2 3" xfId="36342"/>
    <cellStyle name="Normal 2443 3" xfId="11728"/>
    <cellStyle name="Normal 2443 4" xfId="36343"/>
    <cellStyle name="Normal 2444" xfId="11729"/>
    <cellStyle name="Normal 2444 2" xfId="11730"/>
    <cellStyle name="Normal 2444 2 2" xfId="36344"/>
    <cellStyle name="Normal 2444 2 3" xfId="36345"/>
    <cellStyle name="Normal 2444 3" xfId="11731"/>
    <cellStyle name="Normal 2444 4" xfId="36346"/>
    <cellStyle name="Normal 2445" xfId="11732"/>
    <cellStyle name="Normal 2445 2" xfId="11733"/>
    <cellStyle name="Normal 2445 2 2" xfId="36347"/>
    <cellStyle name="Normal 2445 2 3" xfId="36348"/>
    <cellStyle name="Normal 2445 3" xfId="11734"/>
    <cellStyle name="Normal 2445 4" xfId="36349"/>
    <cellStyle name="Normal 2446" xfId="11735"/>
    <cellStyle name="Normal 2446 2" xfId="11736"/>
    <cellStyle name="Normal 2446 2 2" xfId="36350"/>
    <cellStyle name="Normal 2446 2 3" xfId="36351"/>
    <cellStyle name="Normal 2446 3" xfId="11737"/>
    <cellStyle name="Normal 2446 4" xfId="36352"/>
    <cellStyle name="Normal 2447" xfId="11738"/>
    <cellStyle name="Normal 2447 2" xfId="11739"/>
    <cellStyle name="Normal 2447 2 2" xfId="36353"/>
    <cellStyle name="Normal 2447 2 3" xfId="36354"/>
    <cellStyle name="Normal 2447 3" xfId="11740"/>
    <cellStyle name="Normal 2447 4" xfId="36355"/>
    <cellStyle name="Normal 2448" xfId="11741"/>
    <cellStyle name="Normal 2448 2" xfId="11742"/>
    <cellStyle name="Normal 2448 2 2" xfId="36356"/>
    <cellStyle name="Normal 2448 2 3" xfId="36357"/>
    <cellStyle name="Normal 2448 3" xfId="11743"/>
    <cellStyle name="Normal 2448 4" xfId="36358"/>
    <cellStyle name="Normal 2449" xfId="11744"/>
    <cellStyle name="Normal 2449 2" xfId="11745"/>
    <cellStyle name="Normal 2449 2 2" xfId="36359"/>
    <cellStyle name="Normal 2449 2 3" xfId="36360"/>
    <cellStyle name="Normal 2449 3" xfId="11746"/>
    <cellStyle name="Normal 2449 4" xfId="36361"/>
    <cellStyle name="Normal 245" xfId="11747"/>
    <cellStyle name="Normal 245 10" xfId="36362"/>
    <cellStyle name="Normal 245 2" xfId="11748"/>
    <cellStyle name="Normal 245 2 2" xfId="11749"/>
    <cellStyle name="Normal 245 2 2 2" xfId="11750"/>
    <cellStyle name="Normal 245 2 2 3" xfId="11751"/>
    <cellStyle name="Normal 245 2 3" xfId="11752"/>
    <cellStyle name="Normal 245 2 3 2" xfId="36363"/>
    <cellStyle name="Normal 245 2 3 3" xfId="36364"/>
    <cellStyle name="Normal 245 2 4" xfId="11753"/>
    <cellStyle name="Normal 245 2 5" xfId="11754"/>
    <cellStyle name="Normal 245 2 6" xfId="36365"/>
    <cellStyle name="Normal 245 2 7" xfId="36366"/>
    <cellStyle name="Normal 245 2 8" xfId="36367"/>
    <cellStyle name="Normal 245 3" xfId="11755"/>
    <cellStyle name="Normal 245 3 2" xfId="11756"/>
    <cellStyle name="Normal 245 3 2 2" xfId="36368"/>
    <cellStyle name="Normal 245 3 2 3" xfId="36369"/>
    <cellStyle name="Normal 245 3 3" xfId="11757"/>
    <cellStyle name="Normal 245 3 3 2" xfId="36370"/>
    <cellStyle name="Normal 245 3 3 3" xfId="36371"/>
    <cellStyle name="Normal 245 3 4" xfId="36372"/>
    <cellStyle name="Normal 245 3 5" xfId="36373"/>
    <cellStyle name="Normal 245 4" xfId="11758"/>
    <cellStyle name="Normal 245 4 2" xfId="36374"/>
    <cellStyle name="Normal 245 4 3" xfId="36375"/>
    <cellStyle name="Normal 245 5" xfId="11759"/>
    <cellStyle name="Normal 245 5 2" xfId="36376"/>
    <cellStyle name="Normal 245 5 3" xfId="36377"/>
    <cellStyle name="Normal 245 6" xfId="11760"/>
    <cellStyle name="Normal 245 7" xfId="36378"/>
    <cellStyle name="Normal 245 8" xfId="36379"/>
    <cellStyle name="Normal 245 9" xfId="36380"/>
    <cellStyle name="Normal 2450" xfId="11761"/>
    <cellStyle name="Normal 2450 2" xfId="11762"/>
    <cellStyle name="Normal 2450 2 2" xfId="36381"/>
    <cellStyle name="Normal 2450 2 3" xfId="36382"/>
    <cellStyle name="Normal 2450 3" xfId="11763"/>
    <cellStyle name="Normal 2450 4" xfId="36383"/>
    <cellStyle name="Normal 2451" xfId="11764"/>
    <cellStyle name="Normal 2451 2" xfId="11765"/>
    <cellStyle name="Normal 2451 2 2" xfId="36384"/>
    <cellStyle name="Normal 2451 2 3" xfId="36385"/>
    <cellStyle name="Normal 2451 3" xfId="11766"/>
    <cellStyle name="Normal 2451 4" xfId="36386"/>
    <cellStyle name="Normal 2452" xfId="11767"/>
    <cellStyle name="Normal 2452 2" xfId="11768"/>
    <cellStyle name="Normal 2452 2 2" xfId="36387"/>
    <cellStyle name="Normal 2452 2 3" xfId="36388"/>
    <cellStyle name="Normal 2452 3" xfId="11769"/>
    <cellStyle name="Normal 2452 4" xfId="36389"/>
    <cellStyle name="Normal 2453" xfId="11770"/>
    <cellStyle name="Normal 2453 2" xfId="11771"/>
    <cellStyle name="Normal 2453 2 2" xfId="36390"/>
    <cellStyle name="Normal 2453 2 3" xfId="36391"/>
    <cellStyle name="Normal 2453 3" xfId="11772"/>
    <cellStyle name="Normal 2453 4" xfId="36392"/>
    <cellStyle name="Normal 2454" xfId="11773"/>
    <cellStyle name="Normal 2454 2" xfId="11774"/>
    <cellStyle name="Normal 2454 2 2" xfId="36393"/>
    <cellStyle name="Normal 2454 2 3" xfId="36394"/>
    <cellStyle name="Normal 2454 3" xfId="11775"/>
    <cellStyle name="Normal 2454 4" xfId="36395"/>
    <cellStyle name="Normal 2455" xfId="11776"/>
    <cellStyle name="Normal 2455 2" xfId="11777"/>
    <cellStyle name="Normal 2455 2 2" xfId="36396"/>
    <cellStyle name="Normal 2455 2 3" xfId="36397"/>
    <cellStyle name="Normal 2455 3" xfId="11778"/>
    <cellStyle name="Normal 2455 4" xfId="36398"/>
    <cellStyle name="Normal 2456" xfId="11779"/>
    <cellStyle name="Normal 2456 2" xfId="11780"/>
    <cellStyle name="Normal 2456 2 2" xfId="36399"/>
    <cellStyle name="Normal 2456 2 3" xfId="36400"/>
    <cellStyle name="Normal 2456 3" xfId="11781"/>
    <cellStyle name="Normal 2456 4" xfId="36401"/>
    <cellStyle name="Normal 2457" xfId="11782"/>
    <cellStyle name="Normal 2457 2" xfId="11783"/>
    <cellStyle name="Normal 2457 2 2" xfId="36402"/>
    <cellStyle name="Normal 2457 2 3" xfId="36403"/>
    <cellStyle name="Normal 2457 3" xfId="11784"/>
    <cellStyle name="Normal 2457 4" xfId="36404"/>
    <cellStyle name="Normal 2458" xfId="11785"/>
    <cellStyle name="Normal 2458 2" xfId="11786"/>
    <cellStyle name="Normal 2458 2 2" xfId="36405"/>
    <cellStyle name="Normal 2458 2 3" xfId="36406"/>
    <cellStyle name="Normal 2458 3" xfId="11787"/>
    <cellStyle name="Normal 2458 4" xfId="36407"/>
    <cellStyle name="Normal 2459" xfId="11788"/>
    <cellStyle name="Normal 2459 2" xfId="11789"/>
    <cellStyle name="Normal 2459 2 2" xfId="36408"/>
    <cellStyle name="Normal 2459 2 3" xfId="36409"/>
    <cellStyle name="Normal 2459 3" xfId="11790"/>
    <cellStyle name="Normal 2459 4" xfId="36410"/>
    <cellStyle name="Normal 246" xfId="11791"/>
    <cellStyle name="Normal 246 10" xfId="36411"/>
    <cellStyle name="Normal 246 2" xfId="11792"/>
    <cellStyle name="Normal 246 2 2" xfId="11793"/>
    <cellStyle name="Normal 246 2 2 2" xfId="11794"/>
    <cellStyle name="Normal 246 2 2 3" xfId="11795"/>
    <cellStyle name="Normal 246 2 3" xfId="11796"/>
    <cellStyle name="Normal 246 2 3 2" xfId="36412"/>
    <cellStyle name="Normal 246 2 3 3" xfId="36413"/>
    <cellStyle name="Normal 246 2 4" xfId="11797"/>
    <cellStyle name="Normal 246 2 5" xfId="11798"/>
    <cellStyle name="Normal 246 2 6" xfId="36414"/>
    <cellStyle name="Normal 246 2 7" xfId="36415"/>
    <cellStyle name="Normal 246 2 8" xfId="36416"/>
    <cellStyle name="Normal 246 3" xfId="11799"/>
    <cellStyle name="Normal 246 3 2" xfId="11800"/>
    <cellStyle name="Normal 246 3 2 2" xfId="36417"/>
    <cellStyle name="Normal 246 3 2 3" xfId="36418"/>
    <cellStyle name="Normal 246 3 3" xfId="11801"/>
    <cellStyle name="Normal 246 3 3 2" xfId="36419"/>
    <cellStyle name="Normal 246 3 3 3" xfId="36420"/>
    <cellStyle name="Normal 246 3 4" xfId="36421"/>
    <cellStyle name="Normal 246 3 5" xfId="36422"/>
    <cellStyle name="Normal 246 4" xfId="11802"/>
    <cellStyle name="Normal 246 4 2" xfId="36423"/>
    <cellStyle name="Normal 246 4 3" xfId="36424"/>
    <cellStyle name="Normal 246 5" xfId="11803"/>
    <cellStyle name="Normal 246 5 2" xfId="36425"/>
    <cellStyle name="Normal 246 5 3" xfId="36426"/>
    <cellStyle name="Normal 246 6" xfId="11804"/>
    <cellStyle name="Normal 246 7" xfId="36427"/>
    <cellStyle name="Normal 246 8" xfId="36428"/>
    <cellStyle name="Normal 246 9" xfId="36429"/>
    <cellStyle name="Normal 2460" xfId="11805"/>
    <cellStyle name="Normal 2460 2" xfId="11806"/>
    <cellStyle name="Normal 2460 2 2" xfId="36430"/>
    <cellStyle name="Normal 2460 2 3" xfId="36431"/>
    <cellStyle name="Normal 2460 3" xfId="11807"/>
    <cellStyle name="Normal 2460 4" xfId="36432"/>
    <cellStyle name="Normal 2461" xfId="11808"/>
    <cellStyle name="Normal 2461 2" xfId="11809"/>
    <cellStyle name="Normal 2461 2 2" xfId="36433"/>
    <cellStyle name="Normal 2461 2 3" xfId="36434"/>
    <cellStyle name="Normal 2461 3" xfId="11810"/>
    <cellStyle name="Normal 2461 4" xfId="36435"/>
    <cellStyle name="Normal 2462" xfId="11811"/>
    <cellStyle name="Normal 2462 2" xfId="11812"/>
    <cellStyle name="Normal 2462 2 2" xfId="36436"/>
    <cellStyle name="Normal 2462 2 3" xfId="36437"/>
    <cellStyle name="Normal 2462 3" xfId="11813"/>
    <cellStyle name="Normal 2462 4" xfId="36438"/>
    <cellStyle name="Normal 2463" xfId="11814"/>
    <cellStyle name="Normal 2463 2" xfId="11815"/>
    <cellStyle name="Normal 2463 2 2" xfId="36439"/>
    <cellStyle name="Normal 2463 2 3" xfId="36440"/>
    <cellStyle name="Normal 2463 3" xfId="11816"/>
    <cellStyle name="Normal 2463 4" xfId="36441"/>
    <cellStyle name="Normal 2464" xfId="11817"/>
    <cellStyle name="Normal 2464 2" xfId="11818"/>
    <cellStyle name="Normal 2464 2 2" xfId="36442"/>
    <cellStyle name="Normal 2464 2 3" xfId="36443"/>
    <cellStyle name="Normal 2464 3" xfId="11819"/>
    <cellStyle name="Normal 2464 4" xfId="36444"/>
    <cellStyle name="Normal 2465" xfId="11820"/>
    <cellStyle name="Normal 2465 2" xfId="11821"/>
    <cellStyle name="Normal 2465 2 2" xfId="36445"/>
    <cellStyle name="Normal 2465 2 3" xfId="36446"/>
    <cellStyle name="Normal 2465 3" xfId="11822"/>
    <cellStyle name="Normal 2465 4" xfId="36447"/>
    <cellStyle name="Normal 2466" xfId="11823"/>
    <cellStyle name="Normal 2466 2" xfId="11824"/>
    <cellStyle name="Normal 2466 2 2" xfId="36448"/>
    <cellStyle name="Normal 2466 2 3" xfId="36449"/>
    <cellStyle name="Normal 2466 3" xfId="11825"/>
    <cellStyle name="Normal 2466 4" xfId="36450"/>
    <cellStyle name="Normal 2467" xfId="11826"/>
    <cellStyle name="Normal 2467 2" xfId="11827"/>
    <cellStyle name="Normal 2467 2 2" xfId="36451"/>
    <cellStyle name="Normal 2467 2 3" xfId="36452"/>
    <cellStyle name="Normal 2467 3" xfId="11828"/>
    <cellStyle name="Normal 2467 4" xfId="36453"/>
    <cellStyle name="Normal 2468" xfId="11829"/>
    <cellStyle name="Normal 2468 2" xfId="11830"/>
    <cellStyle name="Normal 2468 2 2" xfId="36454"/>
    <cellStyle name="Normal 2468 2 3" xfId="36455"/>
    <cellStyle name="Normal 2468 3" xfId="11831"/>
    <cellStyle name="Normal 2468 4" xfId="36456"/>
    <cellStyle name="Normal 2469" xfId="11832"/>
    <cellStyle name="Normal 2469 2" xfId="11833"/>
    <cellStyle name="Normal 2469 2 2" xfId="36457"/>
    <cellStyle name="Normal 2469 2 3" xfId="36458"/>
    <cellStyle name="Normal 2469 3" xfId="11834"/>
    <cellStyle name="Normal 2469 4" xfId="36459"/>
    <cellStyle name="Normal 247" xfId="11835"/>
    <cellStyle name="Normal 247 10" xfId="36460"/>
    <cellStyle name="Normal 247 2" xfId="11836"/>
    <cellStyle name="Normal 247 2 2" xfId="11837"/>
    <cellStyle name="Normal 247 2 2 2" xfId="11838"/>
    <cellStyle name="Normal 247 2 2 3" xfId="11839"/>
    <cellStyle name="Normal 247 2 3" xfId="11840"/>
    <cellStyle name="Normal 247 2 3 2" xfId="36461"/>
    <cellStyle name="Normal 247 2 3 3" xfId="36462"/>
    <cellStyle name="Normal 247 2 4" xfId="11841"/>
    <cellStyle name="Normal 247 2 5" xfId="11842"/>
    <cellStyle name="Normal 247 2 6" xfId="36463"/>
    <cellStyle name="Normal 247 2 7" xfId="36464"/>
    <cellStyle name="Normal 247 2 8" xfId="36465"/>
    <cellStyle name="Normal 247 3" xfId="11843"/>
    <cellStyle name="Normal 247 3 2" xfId="11844"/>
    <cellStyle name="Normal 247 3 2 2" xfId="36466"/>
    <cellStyle name="Normal 247 3 2 3" xfId="36467"/>
    <cellStyle name="Normal 247 3 3" xfId="11845"/>
    <cellStyle name="Normal 247 3 3 2" xfId="36468"/>
    <cellStyle name="Normal 247 3 3 3" xfId="36469"/>
    <cellStyle name="Normal 247 3 4" xfId="36470"/>
    <cellStyle name="Normal 247 3 5" xfId="36471"/>
    <cellStyle name="Normal 247 4" xfId="11846"/>
    <cellStyle name="Normal 247 4 2" xfId="36472"/>
    <cellStyle name="Normal 247 4 3" xfId="36473"/>
    <cellStyle name="Normal 247 5" xfId="11847"/>
    <cellStyle name="Normal 247 5 2" xfId="36474"/>
    <cellStyle name="Normal 247 5 3" xfId="36475"/>
    <cellStyle name="Normal 247 6" xfId="11848"/>
    <cellStyle name="Normal 247 7" xfId="36476"/>
    <cellStyle name="Normal 247 8" xfId="36477"/>
    <cellStyle name="Normal 247 9" xfId="36478"/>
    <cellStyle name="Normal 2470" xfId="11849"/>
    <cellStyle name="Normal 2470 2" xfId="11850"/>
    <cellStyle name="Normal 2470 2 2" xfId="36479"/>
    <cellStyle name="Normal 2470 2 3" xfId="36480"/>
    <cellStyle name="Normal 2470 3" xfId="11851"/>
    <cellStyle name="Normal 2470 4" xfId="36481"/>
    <cellStyle name="Normal 2471" xfId="11852"/>
    <cellStyle name="Normal 2471 2" xfId="11853"/>
    <cellStyle name="Normal 2471 2 2" xfId="36482"/>
    <cellStyle name="Normal 2471 2 3" xfId="36483"/>
    <cellStyle name="Normal 2471 3" xfId="11854"/>
    <cellStyle name="Normal 2471 4" xfId="36484"/>
    <cellStyle name="Normal 2472" xfId="11855"/>
    <cellStyle name="Normal 2472 2" xfId="11856"/>
    <cellStyle name="Normal 2472 2 2" xfId="36485"/>
    <cellStyle name="Normal 2472 2 3" xfId="36486"/>
    <cellStyle name="Normal 2472 3" xfId="11857"/>
    <cellStyle name="Normal 2472 4" xfId="36487"/>
    <cellStyle name="Normal 2473" xfId="11858"/>
    <cellStyle name="Normal 2473 2" xfId="11859"/>
    <cellStyle name="Normal 2473 2 2" xfId="36488"/>
    <cellStyle name="Normal 2473 2 3" xfId="36489"/>
    <cellStyle name="Normal 2473 3" xfId="11860"/>
    <cellStyle name="Normal 2473 4" xfId="36490"/>
    <cellStyle name="Normal 2474" xfId="11861"/>
    <cellStyle name="Normal 2474 2" xfId="11862"/>
    <cellStyle name="Normal 2474 2 2" xfId="36491"/>
    <cellStyle name="Normal 2474 2 3" xfId="36492"/>
    <cellStyle name="Normal 2474 3" xfId="11863"/>
    <cellStyle name="Normal 2474 4" xfId="36493"/>
    <cellStyle name="Normal 2475" xfId="11864"/>
    <cellStyle name="Normal 2475 2" xfId="11865"/>
    <cellStyle name="Normal 2475 2 2" xfId="36494"/>
    <cellStyle name="Normal 2475 2 3" xfId="36495"/>
    <cellStyle name="Normal 2475 3" xfId="11866"/>
    <cellStyle name="Normal 2475 4" xfId="36496"/>
    <cellStyle name="Normal 2476" xfId="11867"/>
    <cellStyle name="Normal 2476 2" xfId="11868"/>
    <cellStyle name="Normal 2476 2 2" xfId="36497"/>
    <cellStyle name="Normal 2476 2 3" xfId="36498"/>
    <cellStyle name="Normal 2476 3" xfId="11869"/>
    <cellStyle name="Normal 2476 4" xfId="36499"/>
    <cellStyle name="Normal 2477" xfId="11870"/>
    <cellStyle name="Normal 2477 2" xfId="11871"/>
    <cellStyle name="Normal 2477 2 2" xfId="36500"/>
    <cellStyle name="Normal 2477 2 3" xfId="36501"/>
    <cellStyle name="Normal 2477 3" xfId="11872"/>
    <cellStyle name="Normal 2477 4" xfId="36502"/>
    <cellStyle name="Normal 2478" xfId="11873"/>
    <cellStyle name="Normal 2478 2" xfId="11874"/>
    <cellStyle name="Normal 2478 2 2" xfId="36503"/>
    <cellStyle name="Normal 2478 2 3" xfId="36504"/>
    <cellStyle name="Normal 2478 3" xfId="11875"/>
    <cellStyle name="Normal 2478 4" xfId="36505"/>
    <cellStyle name="Normal 2479" xfId="11876"/>
    <cellStyle name="Normal 2479 2" xfId="11877"/>
    <cellStyle name="Normal 2479 2 2" xfId="36506"/>
    <cellStyle name="Normal 2479 2 3" xfId="36507"/>
    <cellStyle name="Normal 2479 3" xfId="11878"/>
    <cellStyle name="Normal 2479 4" xfId="36508"/>
    <cellStyle name="Normal 248" xfId="11879"/>
    <cellStyle name="Normal 248 10" xfId="36509"/>
    <cellStyle name="Normal 248 2" xfId="11880"/>
    <cellStyle name="Normal 248 2 2" xfId="11881"/>
    <cellStyle name="Normal 248 2 2 2" xfId="11882"/>
    <cellStyle name="Normal 248 2 2 3" xfId="11883"/>
    <cellStyle name="Normal 248 2 3" xfId="11884"/>
    <cellStyle name="Normal 248 2 3 2" xfId="36510"/>
    <cellStyle name="Normal 248 2 3 3" xfId="36511"/>
    <cellStyle name="Normal 248 2 4" xfId="11885"/>
    <cellStyle name="Normal 248 2 5" xfId="11886"/>
    <cellStyle name="Normal 248 2 6" xfId="36512"/>
    <cellStyle name="Normal 248 2 7" xfId="36513"/>
    <cellStyle name="Normal 248 2 8" xfId="36514"/>
    <cellStyle name="Normal 248 3" xfId="11887"/>
    <cellStyle name="Normal 248 3 2" xfId="11888"/>
    <cellStyle name="Normal 248 3 2 2" xfId="36515"/>
    <cellStyle name="Normal 248 3 2 3" xfId="36516"/>
    <cellStyle name="Normal 248 3 3" xfId="11889"/>
    <cellStyle name="Normal 248 3 3 2" xfId="36517"/>
    <cellStyle name="Normal 248 3 3 3" xfId="36518"/>
    <cellStyle name="Normal 248 3 4" xfId="36519"/>
    <cellStyle name="Normal 248 3 5" xfId="36520"/>
    <cellStyle name="Normal 248 4" xfId="11890"/>
    <cellStyle name="Normal 248 4 2" xfId="36521"/>
    <cellStyle name="Normal 248 4 3" xfId="36522"/>
    <cellStyle name="Normal 248 5" xfId="11891"/>
    <cellStyle name="Normal 248 5 2" xfId="36523"/>
    <cellStyle name="Normal 248 5 3" xfId="36524"/>
    <cellStyle name="Normal 248 6" xfId="11892"/>
    <cellStyle name="Normal 248 7" xfId="36525"/>
    <cellStyle name="Normal 248 8" xfId="36526"/>
    <cellStyle name="Normal 248 9" xfId="36527"/>
    <cellStyle name="Normal 2480" xfId="11893"/>
    <cellStyle name="Normal 2480 2" xfId="11894"/>
    <cellStyle name="Normal 2480 2 2" xfId="36528"/>
    <cellStyle name="Normal 2480 2 3" xfId="36529"/>
    <cellStyle name="Normal 2480 3" xfId="11895"/>
    <cellStyle name="Normal 2480 4" xfId="36530"/>
    <cellStyle name="Normal 2481" xfId="11896"/>
    <cellStyle name="Normal 2481 2" xfId="11897"/>
    <cellStyle name="Normal 2481 2 2" xfId="36531"/>
    <cellStyle name="Normal 2481 2 3" xfId="36532"/>
    <cellStyle name="Normal 2481 3" xfId="11898"/>
    <cellStyle name="Normal 2481 4" xfId="36533"/>
    <cellStyle name="Normal 2482" xfId="11899"/>
    <cellStyle name="Normal 2482 2" xfId="11900"/>
    <cellStyle name="Normal 2482 2 2" xfId="36534"/>
    <cellStyle name="Normal 2482 2 3" xfId="36535"/>
    <cellStyle name="Normal 2482 3" xfId="11901"/>
    <cellStyle name="Normal 2482 4" xfId="36536"/>
    <cellStyle name="Normal 2483" xfId="11902"/>
    <cellStyle name="Normal 2483 2" xfId="11903"/>
    <cellStyle name="Normal 2483 2 2" xfId="36537"/>
    <cellStyle name="Normal 2483 2 3" xfId="36538"/>
    <cellStyle name="Normal 2483 3" xfId="11904"/>
    <cellStyle name="Normal 2483 4" xfId="36539"/>
    <cellStyle name="Normal 2484" xfId="11905"/>
    <cellStyle name="Normal 2484 2" xfId="11906"/>
    <cellStyle name="Normal 2484 2 2" xfId="36540"/>
    <cellStyle name="Normal 2484 2 3" xfId="36541"/>
    <cellStyle name="Normal 2484 3" xfId="11907"/>
    <cellStyle name="Normal 2484 4" xfId="36542"/>
    <cellStyle name="Normal 2485" xfId="11908"/>
    <cellStyle name="Normal 2485 2" xfId="11909"/>
    <cellStyle name="Normal 2485 2 2" xfId="36543"/>
    <cellStyle name="Normal 2485 2 3" xfId="36544"/>
    <cellStyle name="Normal 2485 3" xfId="11910"/>
    <cellStyle name="Normal 2485 4" xfId="36545"/>
    <cellStyle name="Normal 2486" xfId="11911"/>
    <cellStyle name="Normal 2486 2" xfId="11912"/>
    <cellStyle name="Normal 2486 2 2" xfId="36546"/>
    <cellStyle name="Normal 2486 2 3" xfId="36547"/>
    <cellStyle name="Normal 2486 3" xfId="11913"/>
    <cellStyle name="Normal 2486 4" xfId="36548"/>
    <cellStyle name="Normal 2487" xfId="11914"/>
    <cellStyle name="Normal 2487 2" xfId="11915"/>
    <cellStyle name="Normal 2487 2 2" xfId="36549"/>
    <cellStyle name="Normal 2487 2 3" xfId="36550"/>
    <cellStyle name="Normal 2487 3" xfId="11916"/>
    <cellStyle name="Normal 2487 4" xfId="36551"/>
    <cellStyle name="Normal 2488" xfId="11917"/>
    <cellStyle name="Normal 2488 2" xfId="11918"/>
    <cellStyle name="Normal 2488 2 2" xfId="36552"/>
    <cellStyle name="Normal 2488 2 3" xfId="36553"/>
    <cellStyle name="Normal 2488 3" xfId="11919"/>
    <cellStyle name="Normal 2488 4" xfId="36554"/>
    <cellStyle name="Normal 2489" xfId="11920"/>
    <cellStyle name="Normal 2489 2" xfId="11921"/>
    <cellStyle name="Normal 2489 2 2" xfId="36555"/>
    <cellStyle name="Normal 2489 2 3" xfId="36556"/>
    <cellStyle name="Normal 2489 3" xfId="11922"/>
    <cellStyle name="Normal 2489 4" xfId="36557"/>
    <cellStyle name="Normal 249" xfId="11923"/>
    <cellStyle name="Normal 249 10" xfId="36558"/>
    <cellStyle name="Normal 249 2" xfId="11924"/>
    <cellStyle name="Normal 249 2 2" xfId="11925"/>
    <cellStyle name="Normal 249 2 2 2" xfId="11926"/>
    <cellStyle name="Normal 249 2 2 3" xfId="11927"/>
    <cellStyle name="Normal 249 2 3" xfId="11928"/>
    <cellStyle name="Normal 249 2 3 2" xfId="36559"/>
    <cellStyle name="Normal 249 2 3 3" xfId="36560"/>
    <cellStyle name="Normal 249 2 4" xfId="11929"/>
    <cellStyle name="Normal 249 2 5" xfId="11930"/>
    <cellStyle name="Normal 249 2 6" xfId="36561"/>
    <cellStyle name="Normal 249 2 7" xfId="36562"/>
    <cellStyle name="Normal 249 2 8" xfId="36563"/>
    <cellStyle name="Normal 249 3" xfId="11931"/>
    <cellStyle name="Normal 249 3 2" xfId="11932"/>
    <cellStyle name="Normal 249 3 2 2" xfId="36564"/>
    <cellStyle name="Normal 249 3 2 3" xfId="36565"/>
    <cellStyle name="Normal 249 3 3" xfId="11933"/>
    <cellStyle name="Normal 249 3 3 2" xfId="36566"/>
    <cellStyle name="Normal 249 3 3 3" xfId="36567"/>
    <cellStyle name="Normal 249 3 4" xfId="36568"/>
    <cellStyle name="Normal 249 3 5" xfId="36569"/>
    <cellStyle name="Normal 249 4" xfId="11934"/>
    <cellStyle name="Normal 249 4 2" xfId="36570"/>
    <cellStyle name="Normal 249 4 3" xfId="36571"/>
    <cellStyle name="Normal 249 5" xfId="11935"/>
    <cellStyle name="Normal 249 5 2" xfId="36572"/>
    <cellStyle name="Normal 249 5 3" xfId="36573"/>
    <cellStyle name="Normal 249 6" xfId="11936"/>
    <cellStyle name="Normal 249 7" xfId="36574"/>
    <cellStyle name="Normal 249 8" xfId="36575"/>
    <cellStyle name="Normal 249 9" xfId="36576"/>
    <cellStyle name="Normal 2490" xfId="11937"/>
    <cellStyle name="Normal 2490 2" xfId="11938"/>
    <cellStyle name="Normal 2490 2 2" xfId="36577"/>
    <cellStyle name="Normal 2490 2 3" xfId="36578"/>
    <cellStyle name="Normal 2490 3" xfId="11939"/>
    <cellStyle name="Normal 2490 4" xfId="36579"/>
    <cellStyle name="Normal 2491" xfId="11940"/>
    <cellStyle name="Normal 2491 2" xfId="11941"/>
    <cellStyle name="Normal 2491 2 2" xfId="36580"/>
    <cellStyle name="Normal 2491 2 3" xfId="36581"/>
    <cellStyle name="Normal 2491 3" xfId="11942"/>
    <cellStyle name="Normal 2491 4" xfId="36582"/>
    <cellStyle name="Normal 2492" xfId="11943"/>
    <cellStyle name="Normal 2492 2" xfId="11944"/>
    <cellStyle name="Normal 2492 2 2" xfId="36583"/>
    <cellStyle name="Normal 2492 2 3" xfId="36584"/>
    <cellStyle name="Normal 2492 3" xfId="11945"/>
    <cellStyle name="Normal 2492 4" xfId="36585"/>
    <cellStyle name="Normal 2493" xfId="11946"/>
    <cellStyle name="Normal 2493 2" xfId="11947"/>
    <cellStyle name="Normal 2493 2 2" xfId="36586"/>
    <cellStyle name="Normal 2493 2 3" xfId="36587"/>
    <cellStyle name="Normal 2493 3" xfId="11948"/>
    <cellStyle name="Normal 2493 4" xfId="36588"/>
    <cellStyle name="Normal 2494" xfId="11949"/>
    <cellStyle name="Normal 2494 2" xfId="11950"/>
    <cellStyle name="Normal 2494 2 2" xfId="36589"/>
    <cellStyle name="Normal 2494 2 3" xfId="36590"/>
    <cellStyle name="Normal 2494 3" xfId="11951"/>
    <cellStyle name="Normal 2494 4" xfId="36591"/>
    <cellStyle name="Normal 2495" xfId="11952"/>
    <cellStyle name="Normal 2495 2" xfId="11953"/>
    <cellStyle name="Normal 2495 2 2" xfId="36592"/>
    <cellStyle name="Normal 2495 2 3" xfId="36593"/>
    <cellStyle name="Normal 2495 3" xfId="11954"/>
    <cellStyle name="Normal 2495 4" xfId="36594"/>
    <cellStyle name="Normal 2496" xfId="11955"/>
    <cellStyle name="Normal 2496 2" xfId="11956"/>
    <cellStyle name="Normal 2496 2 2" xfId="36595"/>
    <cellStyle name="Normal 2496 2 3" xfId="36596"/>
    <cellStyle name="Normal 2496 3" xfId="11957"/>
    <cellStyle name="Normal 2496 4" xfId="36597"/>
    <cellStyle name="Normal 2497" xfId="11958"/>
    <cellStyle name="Normal 2497 2" xfId="11959"/>
    <cellStyle name="Normal 2497 2 2" xfId="36598"/>
    <cellStyle name="Normal 2497 2 3" xfId="36599"/>
    <cellStyle name="Normal 2497 3" xfId="11960"/>
    <cellStyle name="Normal 2497 4" xfId="36600"/>
    <cellStyle name="Normal 2498" xfId="11961"/>
    <cellStyle name="Normal 2498 2" xfId="11962"/>
    <cellStyle name="Normal 2498 2 2" xfId="36601"/>
    <cellStyle name="Normal 2498 2 3" xfId="36602"/>
    <cellStyle name="Normal 2498 3" xfId="11963"/>
    <cellStyle name="Normal 2498 4" xfId="36603"/>
    <cellStyle name="Normal 2499" xfId="11964"/>
    <cellStyle name="Normal 2499 2" xfId="11965"/>
    <cellStyle name="Normal 2499 2 2" xfId="36604"/>
    <cellStyle name="Normal 2499 2 3" xfId="36605"/>
    <cellStyle name="Normal 2499 3" xfId="11966"/>
    <cellStyle name="Normal 2499 4" xfId="36606"/>
    <cellStyle name="Normal 25" xfId="11967"/>
    <cellStyle name="Normal 25 10" xfId="36607"/>
    <cellStyle name="Normal 25 2" xfId="11968"/>
    <cellStyle name="Normal 25 2 2" xfId="11969"/>
    <cellStyle name="Normal 25 2 2 2" xfId="11970"/>
    <cellStyle name="Normal 25 2 2 3" xfId="11971"/>
    <cellStyle name="Normal 25 2 3" xfId="11972"/>
    <cellStyle name="Normal 25 2 3 2" xfId="36608"/>
    <cellStyle name="Normal 25 2 3 3" xfId="36609"/>
    <cellStyle name="Normal 25 2 4" xfId="11973"/>
    <cellStyle name="Normal 25 2 5" xfId="11974"/>
    <cellStyle name="Normal 25 2 6" xfId="36610"/>
    <cellStyle name="Normal 25 2 7" xfId="36611"/>
    <cellStyle name="Normal 25 2 8" xfId="36612"/>
    <cellStyle name="Normal 25 3" xfId="11975"/>
    <cellStyle name="Normal 25 3 2" xfId="11976"/>
    <cellStyle name="Normal 25 3 2 2" xfId="36613"/>
    <cellStyle name="Normal 25 3 2 3" xfId="36614"/>
    <cellStyle name="Normal 25 3 3" xfId="11977"/>
    <cellStyle name="Normal 25 3 3 2" xfId="36615"/>
    <cellStyle name="Normal 25 3 3 3" xfId="36616"/>
    <cellStyle name="Normal 25 3 4" xfId="36617"/>
    <cellStyle name="Normal 25 3 5" xfId="36618"/>
    <cellStyle name="Normal 25 4" xfId="11978"/>
    <cellStyle name="Normal 25 4 2" xfId="36619"/>
    <cellStyle name="Normal 25 4 3" xfId="36620"/>
    <cellStyle name="Normal 25 5" xfId="11979"/>
    <cellStyle name="Normal 25 5 2" xfId="36621"/>
    <cellStyle name="Normal 25 5 3" xfId="36622"/>
    <cellStyle name="Normal 25 6" xfId="11980"/>
    <cellStyle name="Normal 25 7" xfId="36623"/>
    <cellStyle name="Normal 25 8" xfId="36624"/>
    <cellStyle name="Normal 25 9" xfId="36625"/>
    <cellStyle name="Normal 250" xfId="11981"/>
    <cellStyle name="Normal 250 10" xfId="36626"/>
    <cellStyle name="Normal 250 2" xfId="11982"/>
    <cellStyle name="Normal 250 2 2" xfId="11983"/>
    <cellStyle name="Normal 250 2 2 2" xfId="11984"/>
    <cellStyle name="Normal 250 2 2 3" xfId="11985"/>
    <cellStyle name="Normal 250 2 3" xfId="11986"/>
    <cellStyle name="Normal 250 2 3 2" xfId="36627"/>
    <cellStyle name="Normal 250 2 3 3" xfId="36628"/>
    <cellStyle name="Normal 250 2 4" xfId="11987"/>
    <cellStyle name="Normal 250 2 5" xfId="11988"/>
    <cellStyle name="Normal 250 2 6" xfId="36629"/>
    <cellStyle name="Normal 250 2 7" xfId="36630"/>
    <cellStyle name="Normal 250 2 8" xfId="36631"/>
    <cellStyle name="Normal 250 3" xfId="11989"/>
    <cellStyle name="Normal 250 3 2" xfId="11990"/>
    <cellStyle name="Normal 250 3 2 2" xfId="36632"/>
    <cellStyle name="Normal 250 3 2 3" xfId="36633"/>
    <cellStyle name="Normal 250 3 3" xfId="11991"/>
    <cellStyle name="Normal 250 3 3 2" xfId="36634"/>
    <cellStyle name="Normal 250 3 3 3" xfId="36635"/>
    <cellStyle name="Normal 250 3 4" xfId="36636"/>
    <cellStyle name="Normal 250 3 5" xfId="36637"/>
    <cellStyle name="Normal 250 4" xfId="11992"/>
    <cellStyle name="Normal 250 4 2" xfId="36638"/>
    <cellStyle name="Normal 250 4 3" xfId="36639"/>
    <cellStyle name="Normal 250 5" xfId="11993"/>
    <cellStyle name="Normal 250 5 2" xfId="36640"/>
    <cellStyle name="Normal 250 5 3" xfId="36641"/>
    <cellStyle name="Normal 250 6" xfId="11994"/>
    <cellStyle name="Normal 250 7" xfId="36642"/>
    <cellStyle name="Normal 250 8" xfId="36643"/>
    <cellStyle name="Normal 250 9" xfId="36644"/>
    <cellStyle name="Normal 2500" xfId="11995"/>
    <cellStyle name="Normal 2500 2" xfId="11996"/>
    <cellStyle name="Normal 2500 2 2" xfId="36645"/>
    <cellStyle name="Normal 2500 2 3" xfId="36646"/>
    <cellStyle name="Normal 2500 3" xfId="11997"/>
    <cellStyle name="Normal 2500 4" xfId="36647"/>
    <cellStyle name="Normal 2501" xfId="11998"/>
    <cellStyle name="Normal 2501 2" xfId="11999"/>
    <cellStyle name="Normal 2501 2 2" xfId="36648"/>
    <cellStyle name="Normal 2501 2 3" xfId="36649"/>
    <cellStyle name="Normal 2501 3" xfId="12000"/>
    <cellStyle name="Normal 2501 4" xfId="36650"/>
    <cellStyle name="Normal 2502" xfId="12001"/>
    <cellStyle name="Normal 2502 2" xfId="12002"/>
    <cellStyle name="Normal 2502 2 2" xfId="36651"/>
    <cellStyle name="Normal 2502 2 3" xfId="36652"/>
    <cellStyle name="Normal 2502 3" xfId="12003"/>
    <cellStyle name="Normal 2502 4" xfId="36653"/>
    <cellStyle name="Normal 2503" xfId="12004"/>
    <cellStyle name="Normal 2503 2" xfId="12005"/>
    <cellStyle name="Normal 2503 2 2" xfId="36654"/>
    <cellStyle name="Normal 2503 2 3" xfId="36655"/>
    <cellStyle name="Normal 2503 3" xfId="12006"/>
    <cellStyle name="Normal 2503 4" xfId="36656"/>
    <cellStyle name="Normal 2504" xfId="12007"/>
    <cellStyle name="Normal 2504 2" xfId="12008"/>
    <cellStyle name="Normal 2504 2 2" xfId="36657"/>
    <cellStyle name="Normal 2504 2 3" xfId="36658"/>
    <cellStyle name="Normal 2504 3" xfId="12009"/>
    <cellStyle name="Normal 2504 4" xfId="36659"/>
    <cellStyle name="Normal 2505" xfId="12010"/>
    <cellStyle name="Normal 2505 2" xfId="12011"/>
    <cellStyle name="Normal 2505 2 2" xfId="36660"/>
    <cellStyle name="Normal 2505 2 3" xfId="36661"/>
    <cellStyle name="Normal 2505 3" xfId="12012"/>
    <cellStyle name="Normal 2505 4" xfId="36662"/>
    <cellStyle name="Normal 2506" xfId="12013"/>
    <cellStyle name="Normal 2506 2" xfId="12014"/>
    <cellStyle name="Normal 2506 2 2" xfId="36663"/>
    <cellStyle name="Normal 2506 2 3" xfId="36664"/>
    <cellStyle name="Normal 2506 3" xfId="12015"/>
    <cellStyle name="Normal 2506 4" xfId="36665"/>
    <cellStyle name="Normal 2507" xfId="12016"/>
    <cellStyle name="Normal 2507 2" xfId="12017"/>
    <cellStyle name="Normal 2507 2 2" xfId="36666"/>
    <cellStyle name="Normal 2507 2 3" xfId="36667"/>
    <cellStyle name="Normal 2507 3" xfId="12018"/>
    <cellStyle name="Normal 2507 4" xfId="36668"/>
    <cellStyle name="Normal 2508" xfId="12019"/>
    <cellStyle name="Normal 2508 2" xfId="12020"/>
    <cellStyle name="Normal 2508 2 2" xfId="36669"/>
    <cellStyle name="Normal 2508 2 3" xfId="36670"/>
    <cellStyle name="Normal 2508 3" xfId="12021"/>
    <cellStyle name="Normal 2508 4" xfId="36671"/>
    <cellStyle name="Normal 2509" xfId="12022"/>
    <cellStyle name="Normal 2509 2" xfId="12023"/>
    <cellStyle name="Normal 2509 2 2" xfId="36672"/>
    <cellStyle name="Normal 2509 2 3" xfId="36673"/>
    <cellStyle name="Normal 2509 3" xfId="12024"/>
    <cellStyle name="Normal 2509 4" xfId="36674"/>
    <cellStyle name="Normal 251" xfId="12025"/>
    <cellStyle name="Normal 251 10" xfId="36675"/>
    <cellStyle name="Normal 251 2" xfId="12026"/>
    <cellStyle name="Normal 251 2 2" xfId="12027"/>
    <cellStyle name="Normal 251 2 2 2" xfId="12028"/>
    <cellStyle name="Normal 251 2 2 3" xfId="12029"/>
    <cellStyle name="Normal 251 2 3" xfId="12030"/>
    <cellStyle name="Normal 251 2 3 2" xfId="36676"/>
    <cellStyle name="Normal 251 2 3 3" xfId="36677"/>
    <cellStyle name="Normal 251 2 4" xfId="12031"/>
    <cellStyle name="Normal 251 2 5" xfId="12032"/>
    <cellStyle name="Normal 251 2 6" xfId="36678"/>
    <cellStyle name="Normal 251 2 7" xfId="36679"/>
    <cellStyle name="Normal 251 2 8" xfId="36680"/>
    <cellStyle name="Normal 251 3" xfId="12033"/>
    <cellStyle name="Normal 251 3 2" xfId="12034"/>
    <cellStyle name="Normal 251 3 2 2" xfId="36681"/>
    <cellStyle name="Normal 251 3 2 3" xfId="36682"/>
    <cellStyle name="Normal 251 3 3" xfId="12035"/>
    <cellStyle name="Normal 251 3 3 2" xfId="36683"/>
    <cellStyle name="Normal 251 3 3 3" xfId="36684"/>
    <cellStyle name="Normal 251 3 4" xfId="36685"/>
    <cellStyle name="Normal 251 3 5" xfId="36686"/>
    <cellStyle name="Normal 251 4" xfId="12036"/>
    <cellStyle name="Normal 251 4 2" xfId="36687"/>
    <cellStyle name="Normal 251 4 3" xfId="36688"/>
    <cellStyle name="Normal 251 5" xfId="12037"/>
    <cellStyle name="Normal 251 5 2" xfId="36689"/>
    <cellStyle name="Normal 251 5 3" xfId="36690"/>
    <cellStyle name="Normal 251 6" xfId="12038"/>
    <cellStyle name="Normal 251 7" xfId="36691"/>
    <cellStyle name="Normal 251 8" xfId="36692"/>
    <cellStyle name="Normal 251 9" xfId="36693"/>
    <cellStyle name="Normal 2510" xfId="12039"/>
    <cellStyle name="Normal 2510 2" xfId="12040"/>
    <cellStyle name="Normal 2510 2 2" xfId="36694"/>
    <cellStyle name="Normal 2510 2 3" xfId="36695"/>
    <cellStyle name="Normal 2510 3" xfId="12041"/>
    <cellStyle name="Normal 2510 4" xfId="36696"/>
    <cellStyle name="Normal 2511" xfId="12042"/>
    <cellStyle name="Normal 2511 2" xfId="12043"/>
    <cellStyle name="Normal 2511 2 2" xfId="36697"/>
    <cellStyle name="Normal 2511 2 3" xfId="36698"/>
    <cellStyle name="Normal 2511 3" xfId="12044"/>
    <cellStyle name="Normal 2511 4" xfId="36699"/>
    <cellStyle name="Normal 2512" xfId="12045"/>
    <cellStyle name="Normal 2512 2" xfId="12046"/>
    <cellStyle name="Normal 2512 2 2" xfId="36700"/>
    <cellStyle name="Normal 2512 2 3" xfId="36701"/>
    <cellStyle name="Normal 2512 3" xfId="12047"/>
    <cellStyle name="Normal 2512 4" xfId="36702"/>
    <cellStyle name="Normal 2513" xfId="12048"/>
    <cellStyle name="Normal 2513 2" xfId="12049"/>
    <cellStyle name="Normal 2513 2 2" xfId="36703"/>
    <cellStyle name="Normal 2513 2 3" xfId="36704"/>
    <cellStyle name="Normal 2513 3" xfId="12050"/>
    <cellStyle name="Normal 2513 4" xfId="36705"/>
    <cellStyle name="Normal 2514" xfId="12051"/>
    <cellStyle name="Normal 2514 2" xfId="12052"/>
    <cellStyle name="Normal 2514 2 2" xfId="36706"/>
    <cellStyle name="Normal 2514 2 3" xfId="36707"/>
    <cellStyle name="Normal 2514 3" xfId="12053"/>
    <cellStyle name="Normal 2514 4" xfId="36708"/>
    <cellStyle name="Normal 2515" xfId="12054"/>
    <cellStyle name="Normal 2515 2" xfId="12055"/>
    <cellStyle name="Normal 2515 2 2" xfId="36709"/>
    <cellStyle name="Normal 2515 2 3" xfId="36710"/>
    <cellStyle name="Normal 2515 3" xfId="12056"/>
    <cellStyle name="Normal 2515 4" xfId="36711"/>
    <cellStyle name="Normal 2516" xfId="12057"/>
    <cellStyle name="Normal 2516 2" xfId="12058"/>
    <cellStyle name="Normal 2516 2 2" xfId="36712"/>
    <cellStyle name="Normal 2516 2 3" xfId="36713"/>
    <cellStyle name="Normal 2516 3" xfId="12059"/>
    <cellStyle name="Normal 2516 4" xfId="36714"/>
    <cellStyle name="Normal 2517" xfId="12060"/>
    <cellStyle name="Normal 2517 2" xfId="12061"/>
    <cellStyle name="Normal 2517 2 2" xfId="36715"/>
    <cellStyle name="Normal 2517 2 3" xfId="36716"/>
    <cellStyle name="Normal 2517 3" xfId="12062"/>
    <cellStyle name="Normal 2517 4" xfId="36717"/>
    <cellStyle name="Normal 2518" xfId="12063"/>
    <cellStyle name="Normal 2518 2" xfId="12064"/>
    <cellStyle name="Normal 2518 2 2" xfId="36718"/>
    <cellStyle name="Normal 2518 2 3" xfId="36719"/>
    <cellStyle name="Normal 2518 3" xfId="12065"/>
    <cellStyle name="Normal 2518 4" xfId="36720"/>
    <cellStyle name="Normal 2519" xfId="12066"/>
    <cellStyle name="Normal 2519 2" xfId="12067"/>
    <cellStyle name="Normal 2519 2 2" xfId="36721"/>
    <cellStyle name="Normal 2519 2 3" xfId="36722"/>
    <cellStyle name="Normal 2519 3" xfId="12068"/>
    <cellStyle name="Normal 2519 4" xfId="36723"/>
    <cellStyle name="Normal 252" xfId="12069"/>
    <cellStyle name="Normal 252 10" xfId="36724"/>
    <cellStyle name="Normal 252 2" xfId="12070"/>
    <cellStyle name="Normal 252 2 2" xfId="12071"/>
    <cellStyle name="Normal 252 2 2 2" xfId="12072"/>
    <cellStyle name="Normal 252 2 2 3" xfId="12073"/>
    <cellStyle name="Normal 252 2 3" xfId="12074"/>
    <cellStyle name="Normal 252 2 3 2" xfId="36725"/>
    <cellStyle name="Normal 252 2 3 3" xfId="36726"/>
    <cellStyle name="Normal 252 2 4" xfId="12075"/>
    <cellStyle name="Normal 252 2 5" xfId="12076"/>
    <cellStyle name="Normal 252 2 6" xfId="36727"/>
    <cellStyle name="Normal 252 2 7" xfId="36728"/>
    <cellStyle name="Normal 252 2 8" xfId="36729"/>
    <cellStyle name="Normal 252 3" xfId="12077"/>
    <cellStyle name="Normal 252 3 2" xfId="12078"/>
    <cellStyle name="Normal 252 3 2 2" xfId="36730"/>
    <cellStyle name="Normal 252 3 2 3" xfId="36731"/>
    <cellStyle name="Normal 252 3 3" xfId="12079"/>
    <cellStyle name="Normal 252 3 3 2" xfId="36732"/>
    <cellStyle name="Normal 252 3 3 3" xfId="36733"/>
    <cellStyle name="Normal 252 3 4" xfId="36734"/>
    <cellStyle name="Normal 252 3 5" xfId="36735"/>
    <cellStyle name="Normal 252 4" xfId="12080"/>
    <cellStyle name="Normal 252 4 2" xfId="36736"/>
    <cellStyle name="Normal 252 4 3" xfId="36737"/>
    <cellStyle name="Normal 252 5" xfId="12081"/>
    <cellStyle name="Normal 252 5 2" xfId="36738"/>
    <cellStyle name="Normal 252 5 3" xfId="36739"/>
    <cellStyle name="Normal 252 6" xfId="12082"/>
    <cellStyle name="Normal 252 7" xfId="36740"/>
    <cellStyle name="Normal 252 8" xfId="36741"/>
    <cellStyle name="Normal 252 9" xfId="36742"/>
    <cellStyle name="Normal 2520" xfId="12083"/>
    <cellStyle name="Normal 2520 2" xfId="12084"/>
    <cellStyle name="Normal 2520 2 2" xfId="36743"/>
    <cellStyle name="Normal 2520 2 3" xfId="36744"/>
    <cellStyle name="Normal 2520 3" xfId="12085"/>
    <cellStyle name="Normal 2520 4" xfId="36745"/>
    <cellStyle name="Normal 2521" xfId="12086"/>
    <cellStyle name="Normal 2521 2" xfId="12087"/>
    <cellStyle name="Normal 2521 2 2" xfId="36746"/>
    <cellStyle name="Normal 2521 2 3" xfId="36747"/>
    <cellStyle name="Normal 2521 3" xfId="12088"/>
    <cellStyle name="Normal 2521 4" xfId="36748"/>
    <cellStyle name="Normal 2522" xfId="12089"/>
    <cellStyle name="Normal 2522 2" xfId="12090"/>
    <cellStyle name="Normal 2522 2 2" xfId="36749"/>
    <cellStyle name="Normal 2522 2 3" xfId="36750"/>
    <cellStyle name="Normal 2522 3" xfId="12091"/>
    <cellStyle name="Normal 2522 4" xfId="36751"/>
    <cellStyle name="Normal 2523" xfId="12092"/>
    <cellStyle name="Normal 2523 2" xfId="12093"/>
    <cellStyle name="Normal 2523 2 2" xfId="36752"/>
    <cellStyle name="Normal 2523 2 3" xfId="36753"/>
    <cellStyle name="Normal 2523 3" xfId="12094"/>
    <cellStyle name="Normal 2523 4" xfId="36754"/>
    <cellStyle name="Normal 2524" xfId="12095"/>
    <cellStyle name="Normal 2524 2" xfId="12096"/>
    <cellStyle name="Normal 2524 2 2" xfId="36755"/>
    <cellStyle name="Normal 2524 2 3" xfId="36756"/>
    <cellStyle name="Normal 2524 3" xfId="12097"/>
    <cellStyle name="Normal 2524 4" xfId="36757"/>
    <cellStyle name="Normal 2525" xfId="12098"/>
    <cellStyle name="Normal 2525 2" xfId="12099"/>
    <cellStyle name="Normal 2525 2 2" xfId="36758"/>
    <cellStyle name="Normal 2525 2 3" xfId="36759"/>
    <cellStyle name="Normal 2525 3" xfId="12100"/>
    <cellStyle name="Normal 2525 4" xfId="36760"/>
    <cellStyle name="Normal 2526" xfId="12101"/>
    <cellStyle name="Normal 2526 2" xfId="12102"/>
    <cellStyle name="Normal 2526 2 2" xfId="36761"/>
    <cellStyle name="Normal 2526 2 3" xfId="36762"/>
    <cellStyle name="Normal 2526 3" xfId="12103"/>
    <cellStyle name="Normal 2526 4" xfId="36763"/>
    <cellStyle name="Normal 2527" xfId="12104"/>
    <cellStyle name="Normal 2527 2" xfId="12105"/>
    <cellStyle name="Normal 2527 2 2" xfId="36764"/>
    <cellStyle name="Normal 2527 2 3" xfId="36765"/>
    <cellStyle name="Normal 2527 3" xfId="12106"/>
    <cellStyle name="Normal 2527 4" xfId="36766"/>
    <cellStyle name="Normal 2528" xfId="12107"/>
    <cellStyle name="Normal 2528 2" xfId="12108"/>
    <cellStyle name="Normal 2528 2 2" xfId="36767"/>
    <cellStyle name="Normal 2528 2 3" xfId="36768"/>
    <cellStyle name="Normal 2528 3" xfId="12109"/>
    <cellStyle name="Normal 2528 4" xfId="36769"/>
    <cellStyle name="Normal 2529" xfId="12110"/>
    <cellStyle name="Normal 2529 2" xfId="12111"/>
    <cellStyle name="Normal 2529 2 2" xfId="36770"/>
    <cellStyle name="Normal 2529 2 3" xfId="36771"/>
    <cellStyle name="Normal 2529 3" xfId="12112"/>
    <cellStyle name="Normal 2529 4" xfId="36772"/>
    <cellStyle name="Normal 253" xfId="12113"/>
    <cellStyle name="Normal 253 10" xfId="36773"/>
    <cellStyle name="Normal 253 2" xfId="12114"/>
    <cellStyle name="Normal 253 2 2" xfId="12115"/>
    <cellStyle name="Normal 253 2 2 2" xfId="12116"/>
    <cellStyle name="Normal 253 2 2 3" xfId="12117"/>
    <cellStyle name="Normal 253 2 3" xfId="12118"/>
    <cellStyle name="Normal 253 2 3 2" xfId="36774"/>
    <cellStyle name="Normal 253 2 3 3" xfId="36775"/>
    <cellStyle name="Normal 253 2 4" xfId="12119"/>
    <cellStyle name="Normal 253 2 5" xfId="12120"/>
    <cellStyle name="Normal 253 2 6" xfId="36776"/>
    <cellStyle name="Normal 253 2 7" xfId="36777"/>
    <cellStyle name="Normal 253 2 8" xfId="36778"/>
    <cellStyle name="Normal 253 3" xfId="12121"/>
    <cellStyle name="Normal 253 3 2" xfId="12122"/>
    <cellStyle name="Normal 253 3 2 2" xfId="36779"/>
    <cellStyle name="Normal 253 3 2 3" xfId="36780"/>
    <cellStyle name="Normal 253 3 3" xfId="12123"/>
    <cellStyle name="Normal 253 3 3 2" xfId="36781"/>
    <cellStyle name="Normal 253 3 3 3" xfId="36782"/>
    <cellStyle name="Normal 253 3 4" xfId="36783"/>
    <cellStyle name="Normal 253 3 5" xfId="36784"/>
    <cellStyle name="Normal 253 4" xfId="12124"/>
    <cellStyle name="Normal 253 4 2" xfId="36785"/>
    <cellStyle name="Normal 253 4 3" xfId="36786"/>
    <cellStyle name="Normal 253 5" xfId="12125"/>
    <cellStyle name="Normal 253 5 2" xfId="36787"/>
    <cellStyle name="Normal 253 5 3" xfId="36788"/>
    <cellStyle name="Normal 253 6" xfId="12126"/>
    <cellStyle name="Normal 253 7" xfId="36789"/>
    <cellStyle name="Normal 253 8" xfId="36790"/>
    <cellStyle name="Normal 253 9" xfId="36791"/>
    <cellStyle name="Normal 2530" xfId="12127"/>
    <cellStyle name="Normal 2530 2" xfId="12128"/>
    <cellStyle name="Normal 2530 2 2" xfId="36792"/>
    <cellStyle name="Normal 2530 2 3" xfId="36793"/>
    <cellStyle name="Normal 2530 3" xfId="12129"/>
    <cellStyle name="Normal 2530 4" xfId="36794"/>
    <cellStyle name="Normal 2531" xfId="12130"/>
    <cellStyle name="Normal 2531 2" xfId="12131"/>
    <cellStyle name="Normal 2531 2 2" xfId="36795"/>
    <cellStyle name="Normal 2531 2 3" xfId="36796"/>
    <cellStyle name="Normal 2531 3" xfId="12132"/>
    <cellStyle name="Normal 2531 4" xfId="36797"/>
    <cellStyle name="Normal 2532" xfId="12133"/>
    <cellStyle name="Normal 2532 2" xfId="12134"/>
    <cellStyle name="Normal 2532 2 2" xfId="36798"/>
    <cellStyle name="Normal 2532 2 3" xfId="36799"/>
    <cellStyle name="Normal 2532 3" xfId="12135"/>
    <cellStyle name="Normal 2532 4" xfId="36800"/>
    <cellStyle name="Normal 2533" xfId="12136"/>
    <cellStyle name="Normal 2533 2" xfId="12137"/>
    <cellStyle name="Normal 2533 2 2" xfId="36801"/>
    <cellStyle name="Normal 2533 2 3" xfId="36802"/>
    <cellStyle name="Normal 2533 3" xfId="12138"/>
    <cellStyle name="Normal 2533 4" xfId="36803"/>
    <cellStyle name="Normal 2534" xfId="12139"/>
    <cellStyle name="Normal 2534 2" xfId="12140"/>
    <cellStyle name="Normal 2534 2 2" xfId="36804"/>
    <cellStyle name="Normal 2534 2 3" xfId="36805"/>
    <cellStyle name="Normal 2534 3" xfId="12141"/>
    <cellStyle name="Normal 2534 4" xfId="36806"/>
    <cellStyle name="Normal 2535" xfId="12142"/>
    <cellStyle name="Normal 2535 2" xfId="12143"/>
    <cellStyle name="Normal 2535 2 2" xfId="36807"/>
    <cellStyle name="Normal 2535 2 3" xfId="36808"/>
    <cellStyle name="Normal 2535 3" xfId="12144"/>
    <cellStyle name="Normal 2535 4" xfId="36809"/>
    <cellStyle name="Normal 2536" xfId="12145"/>
    <cellStyle name="Normal 2536 2" xfId="12146"/>
    <cellStyle name="Normal 2536 2 2" xfId="36810"/>
    <cellStyle name="Normal 2536 2 3" xfId="36811"/>
    <cellStyle name="Normal 2536 3" xfId="12147"/>
    <cellStyle name="Normal 2536 4" xfId="36812"/>
    <cellStyle name="Normal 2537" xfId="12148"/>
    <cellStyle name="Normal 2537 2" xfId="12149"/>
    <cellStyle name="Normal 2537 2 2" xfId="36813"/>
    <cellStyle name="Normal 2537 2 3" xfId="36814"/>
    <cellStyle name="Normal 2537 3" xfId="12150"/>
    <cellStyle name="Normal 2537 4" xfId="36815"/>
    <cellStyle name="Normal 2538" xfId="12151"/>
    <cellStyle name="Normal 2538 2" xfId="12152"/>
    <cellStyle name="Normal 2538 2 2" xfId="36816"/>
    <cellStyle name="Normal 2538 2 3" xfId="36817"/>
    <cellStyle name="Normal 2538 3" xfId="12153"/>
    <cellStyle name="Normal 2538 4" xfId="36818"/>
    <cellStyle name="Normal 2539" xfId="12154"/>
    <cellStyle name="Normal 2539 2" xfId="12155"/>
    <cellStyle name="Normal 2539 2 2" xfId="36819"/>
    <cellStyle name="Normal 2539 2 3" xfId="36820"/>
    <cellStyle name="Normal 2539 3" xfId="12156"/>
    <cellStyle name="Normal 2539 4" xfId="36821"/>
    <cellStyle name="Normal 254" xfId="12157"/>
    <cellStyle name="Normal 254 10" xfId="36822"/>
    <cellStyle name="Normal 254 2" xfId="12158"/>
    <cellStyle name="Normal 254 2 2" xfId="12159"/>
    <cellStyle name="Normal 254 2 2 2" xfId="12160"/>
    <cellStyle name="Normal 254 2 2 3" xfId="12161"/>
    <cellStyle name="Normal 254 2 3" xfId="12162"/>
    <cellStyle name="Normal 254 2 3 2" xfId="36823"/>
    <cellStyle name="Normal 254 2 3 3" xfId="36824"/>
    <cellStyle name="Normal 254 2 4" xfId="12163"/>
    <cellStyle name="Normal 254 2 5" xfId="12164"/>
    <cellStyle name="Normal 254 2 6" xfId="36825"/>
    <cellStyle name="Normal 254 2 7" xfId="36826"/>
    <cellStyle name="Normal 254 2 8" xfId="36827"/>
    <cellStyle name="Normal 254 3" xfId="12165"/>
    <cellStyle name="Normal 254 3 2" xfId="12166"/>
    <cellStyle name="Normal 254 3 2 2" xfId="36828"/>
    <cellStyle name="Normal 254 3 2 3" xfId="36829"/>
    <cellStyle name="Normal 254 3 3" xfId="12167"/>
    <cellStyle name="Normal 254 3 3 2" xfId="36830"/>
    <cellStyle name="Normal 254 3 3 3" xfId="36831"/>
    <cellStyle name="Normal 254 3 4" xfId="36832"/>
    <cellStyle name="Normal 254 3 5" xfId="36833"/>
    <cellStyle name="Normal 254 4" xfId="12168"/>
    <cellStyle name="Normal 254 4 2" xfId="36834"/>
    <cellStyle name="Normal 254 4 3" xfId="36835"/>
    <cellStyle name="Normal 254 5" xfId="12169"/>
    <cellStyle name="Normal 254 5 2" xfId="36836"/>
    <cellStyle name="Normal 254 5 3" xfId="36837"/>
    <cellStyle name="Normal 254 6" xfId="12170"/>
    <cellStyle name="Normal 254 7" xfId="36838"/>
    <cellStyle name="Normal 254 8" xfId="36839"/>
    <cellStyle name="Normal 254 9" xfId="36840"/>
    <cellStyle name="Normal 2540" xfId="12171"/>
    <cellStyle name="Normal 2540 2" xfId="12172"/>
    <cellStyle name="Normal 2540 2 2" xfId="36841"/>
    <cellStyle name="Normal 2540 2 3" xfId="36842"/>
    <cellStyle name="Normal 2540 3" xfId="12173"/>
    <cellStyle name="Normal 2540 4" xfId="36843"/>
    <cellStyle name="Normal 2541" xfId="12174"/>
    <cellStyle name="Normal 2541 2" xfId="12175"/>
    <cellStyle name="Normal 2541 2 2" xfId="36844"/>
    <cellStyle name="Normal 2541 2 3" xfId="36845"/>
    <cellStyle name="Normal 2541 3" xfId="12176"/>
    <cellStyle name="Normal 2541 4" xfId="36846"/>
    <cellStyle name="Normal 2542" xfId="12177"/>
    <cellStyle name="Normal 2542 2" xfId="12178"/>
    <cellStyle name="Normal 2542 2 2" xfId="36847"/>
    <cellStyle name="Normal 2542 2 3" xfId="36848"/>
    <cellStyle name="Normal 2542 3" xfId="12179"/>
    <cellStyle name="Normal 2542 4" xfId="36849"/>
    <cellStyle name="Normal 2543" xfId="12180"/>
    <cellStyle name="Normal 2543 2" xfId="12181"/>
    <cellStyle name="Normal 2543 2 2" xfId="36850"/>
    <cellStyle name="Normal 2543 2 3" xfId="36851"/>
    <cellStyle name="Normal 2543 3" xfId="12182"/>
    <cellStyle name="Normal 2543 4" xfId="36852"/>
    <cellStyle name="Normal 2544" xfId="12183"/>
    <cellStyle name="Normal 2544 2" xfId="12184"/>
    <cellStyle name="Normal 2544 2 2" xfId="36853"/>
    <cellStyle name="Normal 2544 2 3" xfId="36854"/>
    <cellStyle name="Normal 2544 3" xfId="12185"/>
    <cellStyle name="Normal 2544 4" xfId="36855"/>
    <cellStyle name="Normal 2545" xfId="12186"/>
    <cellStyle name="Normal 2545 2" xfId="12187"/>
    <cellStyle name="Normal 2545 2 2" xfId="36856"/>
    <cellStyle name="Normal 2545 2 3" xfId="36857"/>
    <cellStyle name="Normal 2545 3" xfId="12188"/>
    <cellStyle name="Normal 2545 4" xfId="36858"/>
    <cellStyle name="Normal 2546" xfId="12189"/>
    <cellStyle name="Normal 2546 2" xfId="12190"/>
    <cellStyle name="Normal 2546 2 2" xfId="36859"/>
    <cellStyle name="Normal 2546 2 3" xfId="36860"/>
    <cellStyle name="Normal 2546 3" xfId="12191"/>
    <cellStyle name="Normal 2546 4" xfId="36861"/>
    <cellStyle name="Normal 2547" xfId="12192"/>
    <cellStyle name="Normal 2547 2" xfId="12193"/>
    <cellStyle name="Normal 2547 2 2" xfId="36862"/>
    <cellStyle name="Normal 2547 2 3" xfId="36863"/>
    <cellStyle name="Normal 2547 3" xfId="12194"/>
    <cellStyle name="Normal 2547 4" xfId="36864"/>
    <cellStyle name="Normal 2548" xfId="12195"/>
    <cellStyle name="Normal 2548 2" xfId="12196"/>
    <cellStyle name="Normal 2548 2 2" xfId="36865"/>
    <cellStyle name="Normal 2548 2 3" xfId="36866"/>
    <cellStyle name="Normal 2548 3" xfId="12197"/>
    <cellStyle name="Normal 2548 4" xfId="36867"/>
    <cellStyle name="Normal 2549" xfId="12198"/>
    <cellStyle name="Normal 2549 2" xfId="12199"/>
    <cellStyle name="Normal 2549 2 2" xfId="36868"/>
    <cellStyle name="Normal 2549 2 3" xfId="36869"/>
    <cellStyle name="Normal 2549 3" xfId="12200"/>
    <cellStyle name="Normal 2549 4" xfId="36870"/>
    <cellStyle name="Normal 255" xfId="12201"/>
    <cellStyle name="Normal 255 10" xfId="36871"/>
    <cellStyle name="Normal 255 2" xfId="12202"/>
    <cellStyle name="Normal 255 2 2" xfId="12203"/>
    <cellStyle name="Normal 255 2 2 2" xfId="12204"/>
    <cellStyle name="Normal 255 2 2 3" xfId="12205"/>
    <cellStyle name="Normal 255 2 3" xfId="12206"/>
    <cellStyle name="Normal 255 2 3 2" xfId="36872"/>
    <cellStyle name="Normal 255 2 3 3" xfId="36873"/>
    <cellStyle name="Normal 255 2 4" xfId="12207"/>
    <cellStyle name="Normal 255 2 5" xfId="12208"/>
    <cellStyle name="Normal 255 2 6" xfId="36874"/>
    <cellStyle name="Normal 255 2 7" xfId="36875"/>
    <cellStyle name="Normal 255 2 8" xfId="36876"/>
    <cellStyle name="Normal 255 3" xfId="12209"/>
    <cellStyle name="Normal 255 3 2" xfId="12210"/>
    <cellStyle name="Normal 255 3 2 2" xfId="36877"/>
    <cellStyle name="Normal 255 3 2 3" xfId="36878"/>
    <cellStyle name="Normal 255 3 3" xfId="12211"/>
    <cellStyle name="Normal 255 3 3 2" xfId="36879"/>
    <cellStyle name="Normal 255 3 3 3" xfId="36880"/>
    <cellStyle name="Normal 255 3 4" xfId="36881"/>
    <cellStyle name="Normal 255 3 5" xfId="36882"/>
    <cellStyle name="Normal 255 4" xfId="12212"/>
    <cellStyle name="Normal 255 4 2" xfId="36883"/>
    <cellStyle name="Normal 255 4 3" xfId="36884"/>
    <cellStyle name="Normal 255 5" xfId="12213"/>
    <cellStyle name="Normal 255 5 2" xfId="36885"/>
    <cellStyle name="Normal 255 5 3" xfId="36886"/>
    <cellStyle name="Normal 255 6" xfId="12214"/>
    <cellStyle name="Normal 255 7" xfId="36887"/>
    <cellStyle name="Normal 255 8" xfId="36888"/>
    <cellStyle name="Normal 255 9" xfId="36889"/>
    <cellStyle name="Normal 2550" xfId="12215"/>
    <cellStyle name="Normal 2550 2" xfId="12216"/>
    <cellStyle name="Normal 2550 2 2" xfId="36890"/>
    <cellStyle name="Normal 2550 2 3" xfId="36891"/>
    <cellStyle name="Normal 2550 3" xfId="12217"/>
    <cellStyle name="Normal 2550 4" xfId="36892"/>
    <cellStyle name="Normal 2551" xfId="12218"/>
    <cellStyle name="Normal 2551 2" xfId="12219"/>
    <cellStyle name="Normal 2551 2 2" xfId="36893"/>
    <cellStyle name="Normal 2551 2 3" xfId="36894"/>
    <cellStyle name="Normal 2551 3" xfId="12220"/>
    <cellStyle name="Normal 2551 4" xfId="36895"/>
    <cellStyle name="Normal 2552" xfId="12221"/>
    <cellStyle name="Normal 2552 2" xfId="12222"/>
    <cellStyle name="Normal 2552 2 2" xfId="36896"/>
    <cellStyle name="Normal 2552 2 3" xfId="36897"/>
    <cellStyle name="Normal 2552 3" xfId="12223"/>
    <cellStyle name="Normal 2552 4" xfId="36898"/>
    <cellStyle name="Normal 2553" xfId="12224"/>
    <cellStyle name="Normal 2553 2" xfId="12225"/>
    <cellStyle name="Normal 2553 2 2" xfId="36899"/>
    <cellStyle name="Normal 2553 2 3" xfId="36900"/>
    <cellStyle name="Normal 2553 3" xfId="12226"/>
    <cellStyle name="Normal 2553 4" xfId="36901"/>
    <cellStyle name="Normal 2554" xfId="12227"/>
    <cellStyle name="Normal 2554 2" xfId="12228"/>
    <cellStyle name="Normal 2554 2 2" xfId="36902"/>
    <cellStyle name="Normal 2554 2 3" xfId="36903"/>
    <cellStyle name="Normal 2554 3" xfId="12229"/>
    <cellStyle name="Normal 2554 4" xfId="36904"/>
    <cellStyle name="Normal 2555" xfId="12230"/>
    <cellStyle name="Normal 2555 2" xfId="12231"/>
    <cellStyle name="Normal 2555 2 2" xfId="36905"/>
    <cellStyle name="Normal 2555 2 3" xfId="36906"/>
    <cellStyle name="Normal 2555 3" xfId="12232"/>
    <cellStyle name="Normal 2555 4" xfId="36907"/>
    <cellStyle name="Normal 2556" xfId="12233"/>
    <cellStyle name="Normal 2556 2" xfId="12234"/>
    <cellStyle name="Normal 2556 2 2" xfId="36908"/>
    <cellStyle name="Normal 2556 2 3" xfId="36909"/>
    <cellStyle name="Normal 2556 3" xfId="12235"/>
    <cellStyle name="Normal 2556 4" xfId="36910"/>
    <cellStyle name="Normal 2557" xfId="12236"/>
    <cellStyle name="Normal 2557 2" xfId="12237"/>
    <cellStyle name="Normal 2557 2 2" xfId="36911"/>
    <cellStyle name="Normal 2557 2 3" xfId="36912"/>
    <cellStyle name="Normal 2557 3" xfId="12238"/>
    <cellStyle name="Normal 2557 4" xfId="36913"/>
    <cellStyle name="Normal 2558" xfId="12239"/>
    <cellStyle name="Normal 2558 2" xfId="12240"/>
    <cellStyle name="Normal 2558 2 2" xfId="36914"/>
    <cellStyle name="Normal 2558 2 3" xfId="36915"/>
    <cellStyle name="Normal 2558 3" xfId="12241"/>
    <cellStyle name="Normal 2558 4" xfId="36916"/>
    <cellStyle name="Normal 2559" xfId="12242"/>
    <cellStyle name="Normal 2559 2" xfId="12243"/>
    <cellStyle name="Normal 2559 2 2" xfId="36917"/>
    <cellStyle name="Normal 2559 2 3" xfId="36918"/>
    <cellStyle name="Normal 2559 3" xfId="12244"/>
    <cellStyle name="Normal 2559 4" xfId="36919"/>
    <cellStyle name="Normal 256" xfId="12245"/>
    <cellStyle name="Normal 256 10" xfId="36920"/>
    <cellStyle name="Normal 256 2" xfId="12246"/>
    <cellStyle name="Normal 256 2 2" xfId="12247"/>
    <cellStyle name="Normal 256 2 2 2" xfId="12248"/>
    <cellStyle name="Normal 256 2 2 3" xfId="12249"/>
    <cellStyle name="Normal 256 2 3" xfId="12250"/>
    <cellStyle name="Normal 256 2 3 2" xfId="36921"/>
    <cellStyle name="Normal 256 2 3 3" xfId="36922"/>
    <cellStyle name="Normal 256 2 4" xfId="12251"/>
    <cellStyle name="Normal 256 2 5" xfId="12252"/>
    <cellStyle name="Normal 256 2 6" xfId="36923"/>
    <cellStyle name="Normal 256 2 7" xfId="36924"/>
    <cellStyle name="Normal 256 2 8" xfId="36925"/>
    <cellStyle name="Normal 256 3" xfId="12253"/>
    <cellStyle name="Normal 256 3 2" xfId="12254"/>
    <cellStyle name="Normal 256 3 2 2" xfId="36926"/>
    <cellStyle name="Normal 256 3 2 3" xfId="36927"/>
    <cellStyle name="Normal 256 3 3" xfId="12255"/>
    <cellStyle name="Normal 256 3 3 2" xfId="36928"/>
    <cellStyle name="Normal 256 3 3 3" xfId="36929"/>
    <cellStyle name="Normal 256 3 4" xfId="36930"/>
    <cellStyle name="Normal 256 3 5" xfId="36931"/>
    <cellStyle name="Normal 256 4" xfId="12256"/>
    <cellStyle name="Normal 256 4 2" xfId="36932"/>
    <cellStyle name="Normal 256 4 3" xfId="36933"/>
    <cellStyle name="Normal 256 5" xfId="12257"/>
    <cellStyle name="Normal 256 5 2" xfId="36934"/>
    <cellStyle name="Normal 256 5 3" xfId="36935"/>
    <cellStyle name="Normal 256 6" xfId="12258"/>
    <cellStyle name="Normal 256 7" xfId="36936"/>
    <cellStyle name="Normal 256 8" xfId="36937"/>
    <cellStyle name="Normal 256 9" xfId="36938"/>
    <cellStyle name="Normal 2560" xfId="12259"/>
    <cellStyle name="Normal 2560 2" xfId="12260"/>
    <cellStyle name="Normal 2560 2 2" xfId="36939"/>
    <cellStyle name="Normal 2560 2 3" xfId="36940"/>
    <cellStyle name="Normal 2560 3" xfId="12261"/>
    <cellStyle name="Normal 2560 4" xfId="36941"/>
    <cellStyle name="Normal 2561" xfId="12262"/>
    <cellStyle name="Normal 2561 2" xfId="12263"/>
    <cellStyle name="Normal 2561 2 2" xfId="36942"/>
    <cellStyle name="Normal 2561 2 3" xfId="36943"/>
    <cellStyle name="Normal 2561 3" xfId="12264"/>
    <cellStyle name="Normal 2561 4" xfId="36944"/>
    <cellStyle name="Normal 2562" xfId="12265"/>
    <cellStyle name="Normal 2562 2" xfId="12266"/>
    <cellStyle name="Normal 2562 2 2" xfId="36945"/>
    <cellStyle name="Normal 2562 2 3" xfId="36946"/>
    <cellStyle name="Normal 2562 3" xfId="12267"/>
    <cellStyle name="Normal 2562 4" xfId="36947"/>
    <cellStyle name="Normal 2563" xfId="12268"/>
    <cellStyle name="Normal 2563 2" xfId="12269"/>
    <cellStyle name="Normal 2563 2 2" xfId="36948"/>
    <cellStyle name="Normal 2563 2 3" xfId="36949"/>
    <cellStyle name="Normal 2563 3" xfId="12270"/>
    <cellStyle name="Normal 2563 4" xfId="36950"/>
    <cellStyle name="Normal 2564" xfId="12271"/>
    <cellStyle name="Normal 2564 2" xfId="12272"/>
    <cellStyle name="Normal 2564 2 2" xfId="36951"/>
    <cellStyle name="Normal 2564 2 3" xfId="36952"/>
    <cellStyle name="Normal 2564 3" xfId="12273"/>
    <cellStyle name="Normal 2564 4" xfId="36953"/>
    <cellStyle name="Normal 2565" xfId="12274"/>
    <cellStyle name="Normal 2565 2" xfId="12275"/>
    <cellStyle name="Normal 2565 2 2" xfId="36954"/>
    <cellStyle name="Normal 2565 2 3" xfId="36955"/>
    <cellStyle name="Normal 2565 3" xfId="12276"/>
    <cellStyle name="Normal 2565 4" xfId="36956"/>
    <cellStyle name="Normal 2566" xfId="12277"/>
    <cellStyle name="Normal 2566 2" xfId="12278"/>
    <cellStyle name="Normal 2566 2 2" xfId="36957"/>
    <cellStyle name="Normal 2566 2 3" xfId="36958"/>
    <cellStyle name="Normal 2566 3" xfId="12279"/>
    <cellStyle name="Normal 2566 4" xfId="36959"/>
    <cellStyle name="Normal 2567" xfId="12280"/>
    <cellStyle name="Normal 2567 2" xfId="12281"/>
    <cellStyle name="Normal 2567 2 2" xfId="36960"/>
    <cellStyle name="Normal 2567 2 3" xfId="36961"/>
    <cellStyle name="Normal 2567 3" xfId="12282"/>
    <cellStyle name="Normal 2567 4" xfId="36962"/>
    <cellStyle name="Normal 2568" xfId="12283"/>
    <cellStyle name="Normal 2568 2" xfId="12284"/>
    <cellStyle name="Normal 2568 2 2" xfId="36963"/>
    <cellStyle name="Normal 2568 2 3" xfId="36964"/>
    <cellStyle name="Normal 2568 3" xfId="12285"/>
    <cellStyle name="Normal 2568 4" xfId="36965"/>
    <cellStyle name="Normal 2569" xfId="12286"/>
    <cellStyle name="Normal 2569 2" xfId="12287"/>
    <cellStyle name="Normal 2569 2 2" xfId="36966"/>
    <cellStyle name="Normal 2569 2 3" xfId="36967"/>
    <cellStyle name="Normal 2569 3" xfId="12288"/>
    <cellStyle name="Normal 2569 4" xfId="36968"/>
    <cellStyle name="Normal 257" xfId="12289"/>
    <cellStyle name="Normal 257 10" xfId="36969"/>
    <cellStyle name="Normal 257 2" xfId="12290"/>
    <cellStyle name="Normal 257 2 2" xfId="12291"/>
    <cellStyle name="Normal 257 2 2 2" xfId="12292"/>
    <cellStyle name="Normal 257 2 2 3" xfId="12293"/>
    <cellStyle name="Normal 257 2 3" xfId="12294"/>
    <cellStyle name="Normal 257 2 3 2" xfId="36970"/>
    <cellStyle name="Normal 257 2 3 3" xfId="36971"/>
    <cellStyle name="Normal 257 2 4" xfId="12295"/>
    <cellStyle name="Normal 257 2 5" xfId="12296"/>
    <cellStyle name="Normal 257 2 6" xfId="36972"/>
    <cellStyle name="Normal 257 2 7" xfId="36973"/>
    <cellStyle name="Normal 257 2 8" xfId="36974"/>
    <cellStyle name="Normal 257 3" xfId="12297"/>
    <cellStyle name="Normal 257 3 2" xfId="12298"/>
    <cellStyle name="Normal 257 3 2 2" xfId="36975"/>
    <cellStyle name="Normal 257 3 2 3" xfId="36976"/>
    <cellStyle name="Normal 257 3 3" xfId="12299"/>
    <cellStyle name="Normal 257 3 3 2" xfId="36977"/>
    <cellStyle name="Normal 257 3 3 3" xfId="36978"/>
    <cellStyle name="Normal 257 3 4" xfId="36979"/>
    <cellStyle name="Normal 257 3 5" xfId="36980"/>
    <cellStyle name="Normal 257 4" xfId="12300"/>
    <cellStyle name="Normal 257 4 2" xfId="36981"/>
    <cellStyle name="Normal 257 4 3" xfId="36982"/>
    <cellStyle name="Normal 257 5" xfId="12301"/>
    <cellStyle name="Normal 257 5 2" xfId="36983"/>
    <cellStyle name="Normal 257 5 3" xfId="36984"/>
    <cellStyle name="Normal 257 6" xfId="12302"/>
    <cellStyle name="Normal 257 7" xfId="36985"/>
    <cellStyle name="Normal 257 8" xfId="36986"/>
    <cellStyle name="Normal 257 9" xfId="36987"/>
    <cellStyle name="Normal 2570" xfId="12303"/>
    <cellStyle name="Normal 2570 2" xfId="12304"/>
    <cellStyle name="Normal 2570 2 2" xfId="36988"/>
    <cellStyle name="Normal 2570 2 3" xfId="36989"/>
    <cellStyle name="Normal 2570 3" xfId="12305"/>
    <cellStyle name="Normal 2570 4" xfId="36990"/>
    <cellStyle name="Normal 2571" xfId="12306"/>
    <cellStyle name="Normal 2571 2" xfId="12307"/>
    <cellStyle name="Normal 2571 2 2" xfId="36991"/>
    <cellStyle name="Normal 2571 2 3" xfId="36992"/>
    <cellStyle name="Normal 2571 3" xfId="12308"/>
    <cellStyle name="Normal 2571 4" xfId="36993"/>
    <cellStyle name="Normal 2572" xfId="12309"/>
    <cellStyle name="Normal 2572 2" xfId="12310"/>
    <cellStyle name="Normal 2572 2 2" xfId="36994"/>
    <cellStyle name="Normal 2572 2 3" xfId="36995"/>
    <cellStyle name="Normal 2572 3" xfId="12311"/>
    <cellStyle name="Normal 2572 4" xfId="36996"/>
    <cellStyle name="Normal 2573" xfId="12312"/>
    <cellStyle name="Normal 2573 2" xfId="12313"/>
    <cellStyle name="Normal 2573 2 2" xfId="36997"/>
    <cellStyle name="Normal 2573 2 3" xfId="36998"/>
    <cellStyle name="Normal 2573 3" xfId="12314"/>
    <cellStyle name="Normal 2573 4" xfId="36999"/>
    <cellStyle name="Normal 2574" xfId="12315"/>
    <cellStyle name="Normal 2574 2" xfId="12316"/>
    <cellStyle name="Normal 2574 2 2" xfId="37000"/>
    <cellStyle name="Normal 2574 2 3" xfId="37001"/>
    <cellStyle name="Normal 2574 3" xfId="12317"/>
    <cellStyle name="Normal 2574 4" xfId="37002"/>
    <cellStyle name="Normal 2575" xfId="12318"/>
    <cellStyle name="Normal 2575 2" xfId="12319"/>
    <cellStyle name="Normal 2575 2 2" xfId="37003"/>
    <cellStyle name="Normal 2575 2 3" xfId="37004"/>
    <cellStyle name="Normal 2575 3" xfId="12320"/>
    <cellStyle name="Normal 2575 4" xfId="37005"/>
    <cellStyle name="Normal 2576" xfId="12321"/>
    <cellStyle name="Normal 2576 2" xfId="12322"/>
    <cellStyle name="Normal 2576 2 2" xfId="37006"/>
    <cellStyle name="Normal 2576 2 3" xfId="37007"/>
    <cellStyle name="Normal 2576 3" xfId="12323"/>
    <cellStyle name="Normal 2576 4" xfId="37008"/>
    <cellStyle name="Normal 2577" xfId="12324"/>
    <cellStyle name="Normal 2577 2" xfId="12325"/>
    <cellStyle name="Normal 2577 2 2" xfId="37009"/>
    <cellStyle name="Normal 2577 2 3" xfId="37010"/>
    <cellStyle name="Normal 2577 3" xfId="12326"/>
    <cellStyle name="Normal 2577 4" xfId="37011"/>
    <cellStyle name="Normal 2578" xfId="12327"/>
    <cellStyle name="Normal 2578 2" xfId="12328"/>
    <cellStyle name="Normal 2578 2 2" xfId="37012"/>
    <cellStyle name="Normal 2578 2 3" xfId="37013"/>
    <cellStyle name="Normal 2578 3" xfId="12329"/>
    <cellStyle name="Normal 2578 4" xfId="37014"/>
    <cellStyle name="Normal 2579" xfId="12330"/>
    <cellStyle name="Normal 2579 2" xfId="12331"/>
    <cellStyle name="Normal 2579 2 2" xfId="37015"/>
    <cellStyle name="Normal 2579 2 3" xfId="37016"/>
    <cellStyle name="Normal 2579 3" xfId="12332"/>
    <cellStyle name="Normal 2579 4" xfId="37017"/>
    <cellStyle name="Normal 258" xfId="12333"/>
    <cellStyle name="Normal 258 10" xfId="37018"/>
    <cellStyle name="Normal 258 2" xfId="12334"/>
    <cellStyle name="Normal 258 2 2" xfId="12335"/>
    <cellStyle name="Normal 258 2 2 2" xfId="12336"/>
    <cellStyle name="Normal 258 2 2 3" xfId="12337"/>
    <cellStyle name="Normal 258 2 3" xfId="12338"/>
    <cellStyle name="Normal 258 2 3 2" xfId="37019"/>
    <cellStyle name="Normal 258 2 3 3" xfId="37020"/>
    <cellStyle name="Normal 258 2 4" xfId="12339"/>
    <cellStyle name="Normal 258 2 5" xfId="12340"/>
    <cellStyle name="Normal 258 2 6" xfId="37021"/>
    <cellStyle name="Normal 258 2 7" xfId="37022"/>
    <cellStyle name="Normal 258 2 8" xfId="37023"/>
    <cellStyle name="Normal 258 3" xfId="12341"/>
    <cellStyle name="Normal 258 3 2" xfId="12342"/>
    <cellStyle name="Normal 258 3 2 2" xfId="37024"/>
    <cellStyle name="Normal 258 3 2 3" xfId="37025"/>
    <cellStyle name="Normal 258 3 3" xfId="12343"/>
    <cellStyle name="Normal 258 3 3 2" xfId="37026"/>
    <cellStyle name="Normal 258 3 3 3" xfId="37027"/>
    <cellStyle name="Normal 258 3 4" xfId="37028"/>
    <cellStyle name="Normal 258 3 5" xfId="37029"/>
    <cellStyle name="Normal 258 4" xfId="12344"/>
    <cellStyle name="Normal 258 4 2" xfId="37030"/>
    <cellStyle name="Normal 258 4 3" xfId="37031"/>
    <cellStyle name="Normal 258 5" xfId="12345"/>
    <cellStyle name="Normal 258 5 2" xfId="37032"/>
    <cellStyle name="Normal 258 5 3" xfId="37033"/>
    <cellStyle name="Normal 258 6" xfId="12346"/>
    <cellStyle name="Normal 258 7" xfId="37034"/>
    <cellStyle name="Normal 258 8" xfId="37035"/>
    <cellStyle name="Normal 258 9" xfId="37036"/>
    <cellStyle name="Normal 2580" xfId="12347"/>
    <cellStyle name="Normal 2580 2" xfId="12348"/>
    <cellStyle name="Normal 2580 2 2" xfId="37037"/>
    <cellStyle name="Normal 2580 2 3" xfId="37038"/>
    <cellStyle name="Normal 2580 3" xfId="12349"/>
    <cellStyle name="Normal 2580 4" xfId="37039"/>
    <cellStyle name="Normal 2581" xfId="12350"/>
    <cellStyle name="Normal 2581 2" xfId="12351"/>
    <cellStyle name="Normal 2581 2 2" xfId="37040"/>
    <cellStyle name="Normal 2581 2 3" xfId="37041"/>
    <cellStyle name="Normal 2581 3" xfId="12352"/>
    <cellStyle name="Normal 2581 4" xfId="37042"/>
    <cellStyle name="Normal 2582" xfId="12353"/>
    <cellStyle name="Normal 2582 2" xfId="12354"/>
    <cellStyle name="Normal 2582 2 2" xfId="37043"/>
    <cellStyle name="Normal 2582 2 3" xfId="37044"/>
    <cellStyle name="Normal 2582 3" xfId="12355"/>
    <cellStyle name="Normal 2582 4" xfId="37045"/>
    <cellStyle name="Normal 2583" xfId="12356"/>
    <cellStyle name="Normal 2583 2" xfId="12357"/>
    <cellStyle name="Normal 2583 2 2" xfId="37046"/>
    <cellStyle name="Normal 2583 2 3" xfId="37047"/>
    <cellStyle name="Normal 2583 3" xfId="12358"/>
    <cellStyle name="Normal 2583 4" xfId="37048"/>
    <cellStyle name="Normal 2584" xfId="12359"/>
    <cellStyle name="Normal 2584 2" xfId="12360"/>
    <cellStyle name="Normal 2584 3" xfId="12361"/>
    <cellStyle name="Normal 2585" xfId="12362"/>
    <cellStyle name="Normal 2585 2" xfId="12363"/>
    <cellStyle name="Normal 2585 3" xfId="12364"/>
    <cellStyle name="Normal 2586" xfId="12365"/>
    <cellStyle name="Normal 2586 2" xfId="12366"/>
    <cellStyle name="Normal 2586 3" xfId="12367"/>
    <cellStyle name="Normal 2587" xfId="12368"/>
    <cellStyle name="Normal 2587 2" xfId="12369"/>
    <cellStyle name="Normal 2587 3" xfId="12370"/>
    <cellStyle name="Normal 2588" xfId="12371"/>
    <cellStyle name="Normal 2588 2" xfId="12372"/>
    <cellStyle name="Normal 2588 2 2" xfId="37049"/>
    <cellStyle name="Normal 2588 2 3" xfId="37050"/>
    <cellStyle name="Normal 2588 3" xfId="12373"/>
    <cellStyle name="Normal 2588 4" xfId="37051"/>
    <cellStyle name="Normal 2589" xfId="12374"/>
    <cellStyle name="Normal 2589 2" xfId="12375"/>
    <cellStyle name="Normal 2589 2 2" xfId="37052"/>
    <cellStyle name="Normal 2589 2 3" xfId="37053"/>
    <cellStyle name="Normal 2589 3" xfId="12376"/>
    <cellStyle name="Normal 2589 4" xfId="37054"/>
    <cellStyle name="Normal 259" xfId="12377"/>
    <cellStyle name="Normal 259 10" xfId="37055"/>
    <cellStyle name="Normal 259 2" xfId="12378"/>
    <cellStyle name="Normal 259 2 2" xfId="12379"/>
    <cellStyle name="Normal 259 2 2 2" xfId="12380"/>
    <cellStyle name="Normal 259 2 2 3" xfId="12381"/>
    <cellStyle name="Normal 259 2 3" xfId="12382"/>
    <cellStyle name="Normal 259 2 3 2" xfId="37056"/>
    <cellStyle name="Normal 259 2 3 3" xfId="37057"/>
    <cellStyle name="Normal 259 2 4" xfId="12383"/>
    <cellStyle name="Normal 259 2 5" xfId="12384"/>
    <cellStyle name="Normal 259 2 6" xfId="37058"/>
    <cellStyle name="Normal 259 2 7" xfId="37059"/>
    <cellStyle name="Normal 259 2 8" xfId="37060"/>
    <cellStyle name="Normal 259 3" xfId="12385"/>
    <cellStyle name="Normal 259 3 2" xfId="12386"/>
    <cellStyle name="Normal 259 3 2 2" xfId="37061"/>
    <cellStyle name="Normal 259 3 2 3" xfId="37062"/>
    <cellStyle name="Normal 259 3 3" xfId="12387"/>
    <cellStyle name="Normal 259 3 3 2" xfId="37063"/>
    <cellStyle name="Normal 259 3 3 3" xfId="37064"/>
    <cellStyle name="Normal 259 3 4" xfId="37065"/>
    <cellStyle name="Normal 259 3 5" xfId="37066"/>
    <cellStyle name="Normal 259 4" xfId="12388"/>
    <cellStyle name="Normal 259 4 2" xfId="37067"/>
    <cellStyle name="Normal 259 4 3" xfId="37068"/>
    <cellStyle name="Normal 259 5" xfId="12389"/>
    <cellStyle name="Normal 259 5 2" xfId="37069"/>
    <cellStyle name="Normal 259 5 3" xfId="37070"/>
    <cellStyle name="Normal 259 6" xfId="12390"/>
    <cellStyle name="Normal 259 7" xfId="37071"/>
    <cellStyle name="Normal 259 8" xfId="37072"/>
    <cellStyle name="Normal 259 9" xfId="37073"/>
    <cellStyle name="Normal 2590" xfId="12391"/>
    <cellStyle name="Normal 2590 2" xfId="12392"/>
    <cellStyle name="Normal 2590 2 2" xfId="37074"/>
    <cellStyle name="Normal 2590 2 3" xfId="37075"/>
    <cellStyle name="Normal 2590 3" xfId="12393"/>
    <cellStyle name="Normal 2590 4" xfId="37076"/>
    <cellStyle name="Normal 2591" xfId="12394"/>
    <cellStyle name="Normal 2591 2" xfId="12395"/>
    <cellStyle name="Normal 2591 2 2" xfId="37077"/>
    <cellStyle name="Normal 2591 2 3" xfId="37078"/>
    <cellStyle name="Normal 2591 3" xfId="12396"/>
    <cellStyle name="Normal 2591 4" xfId="37079"/>
    <cellStyle name="Normal 2592" xfId="12397"/>
    <cellStyle name="Normal 2592 2" xfId="12398"/>
    <cellStyle name="Normal 2592 2 2" xfId="37080"/>
    <cellStyle name="Normal 2592 2 3" xfId="37081"/>
    <cellStyle name="Normal 2592 3" xfId="12399"/>
    <cellStyle name="Normal 2592 4" xfId="37082"/>
    <cellStyle name="Normal 2593" xfId="12400"/>
    <cellStyle name="Normal 2593 2" xfId="12401"/>
    <cellStyle name="Normal 2593 2 2" xfId="37083"/>
    <cellStyle name="Normal 2593 2 3" xfId="37084"/>
    <cellStyle name="Normal 2593 3" xfId="12402"/>
    <cellStyle name="Normal 2593 4" xfId="37085"/>
    <cellStyle name="Normal 2594" xfId="12403"/>
    <cellStyle name="Normal 2594 2" xfId="12404"/>
    <cellStyle name="Normal 2594 2 2" xfId="37086"/>
    <cellStyle name="Normal 2594 2 3" xfId="37087"/>
    <cellStyle name="Normal 2594 3" xfId="12405"/>
    <cellStyle name="Normal 2594 4" xfId="37088"/>
    <cellStyle name="Normal 2595" xfId="12406"/>
    <cellStyle name="Normal 2595 2" xfId="12407"/>
    <cellStyle name="Normal 2595 2 2" xfId="37089"/>
    <cellStyle name="Normal 2595 2 3" xfId="37090"/>
    <cellStyle name="Normal 2595 3" xfId="12408"/>
    <cellStyle name="Normal 2595 4" xfId="37091"/>
    <cellStyle name="Normal 2596" xfId="12409"/>
    <cellStyle name="Normal 2596 2" xfId="12410"/>
    <cellStyle name="Normal 2596 2 2" xfId="37092"/>
    <cellStyle name="Normal 2596 2 3" xfId="37093"/>
    <cellStyle name="Normal 2596 3" xfId="12411"/>
    <cellStyle name="Normal 2596 4" xfId="37094"/>
    <cellStyle name="Normal 2597" xfId="12412"/>
    <cellStyle name="Normal 2597 2" xfId="12413"/>
    <cellStyle name="Normal 2597 2 2" xfId="37095"/>
    <cellStyle name="Normal 2597 2 3" xfId="37096"/>
    <cellStyle name="Normal 2597 3" xfId="12414"/>
    <cellStyle name="Normal 2597 4" xfId="37097"/>
    <cellStyle name="Normal 2598" xfId="12415"/>
    <cellStyle name="Normal 2598 2" xfId="12416"/>
    <cellStyle name="Normal 2598 2 2" xfId="37098"/>
    <cellStyle name="Normal 2598 2 3" xfId="37099"/>
    <cellStyle name="Normal 2598 3" xfId="12417"/>
    <cellStyle name="Normal 2598 4" xfId="37100"/>
    <cellStyle name="Normal 2599" xfId="12418"/>
    <cellStyle name="Normal 2599 2" xfId="12419"/>
    <cellStyle name="Normal 2599 2 2" xfId="37101"/>
    <cellStyle name="Normal 2599 2 3" xfId="37102"/>
    <cellStyle name="Normal 2599 3" xfId="12420"/>
    <cellStyle name="Normal 2599 4" xfId="37103"/>
    <cellStyle name="Normal 26" xfId="12421"/>
    <cellStyle name="Normal 26 10" xfId="37104"/>
    <cellStyle name="Normal 26 2" xfId="12422"/>
    <cellStyle name="Normal 26 2 2" xfId="12423"/>
    <cellStyle name="Normal 26 2 2 2" xfId="12424"/>
    <cellStyle name="Normal 26 2 2 3" xfId="12425"/>
    <cellStyle name="Normal 26 2 3" xfId="12426"/>
    <cellStyle name="Normal 26 2 3 2" xfId="37105"/>
    <cellStyle name="Normal 26 2 3 3" xfId="37106"/>
    <cellStyle name="Normal 26 2 4" xfId="12427"/>
    <cellStyle name="Normal 26 2 5" xfId="12428"/>
    <cellStyle name="Normal 26 2 6" xfId="37107"/>
    <cellStyle name="Normal 26 2 7" xfId="37108"/>
    <cellStyle name="Normal 26 2 8" xfId="37109"/>
    <cellStyle name="Normal 26 3" xfId="12429"/>
    <cellStyle name="Normal 26 3 2" xfId="12430"/>
    <cellStyle name="Normal 26 3 2 2" xfId="37110"/>
    <cellStyle name="Normal 26 3 2 3" xfId="37111"/>
    <cellStyle name="Normal 26 3 3" xfId="12431"/>
    <cellStyle name="Normal 26 3 3 2" xfId="37112"/>
    <cellStyle name="Normal 26 3 3 3" xfId="37113"/>
    <cellStyle name="Normal 26 3 4" xfId="37114"/>
    <cellStyle name="Normal 26 3 5" xfId="37115"/>
    <cellStyle name="Normal 26 4" xfId="12432"/>
    <cellStyle name="Normal 26 4 2" xfId="37116"/>
    <cellStyle name="Normal 26 4 3" xfId="37117"/>
    <cellStyle name="Normal 26 5" xfId="12433"/>
    <cellStyle name="Normal 26 5 2" xfId="37118"/>
    <cellStyle name="Normal 26 5 3" xfId="37119"/>
    <cellStyle name="Normal 26 6" xfId="12434"/>
    <cellStyle name="Normal 26 7" xfId="37120"/>
    <cellStyle name="Normal 26 8" xfId="37121"/>
    <cellStyle name="Normal 26 9" xfId="37122"/>
    <cellStyle name="Normal 260" xfId="12435"/>
    <cellStyle name="Normal 260 10" xfId="37123"/>
    <cellStyle name="Normal 260 2" xfId="12436"/>
    <cellStyle name="Normal 260 2 2" xfId="12437"/>
    <cellStyle name="Normal 260 2 2 2" xfId="12438"/>
    <cellStyle name="Normal 260 2 2 3" xfId="12439"/>
    <cellStyle name="Normal 260 2 3" xfId="12440"/>
    <cellStyle name="Normal 260 2 3 2" xfId="37124"/>
    <cellStyle name="Normal 260 2 3 3" xfId="37125"/>
    <cellStyle name="Normal 260 2 4" xfId="12441"/>
    <cellStyle name="Normal 260 2 5" xfId="12442"/>
    <cellStyle name="Normal 260 2 6" xfId="37126"/>
    <cellStyle name="Normal 260 2 7" xfId="37127"/>
    <cellStyle name="Normal 260 2 8" xfId="37128"/>
    <cellStyle name="Normal 260 3" xfId="12443"/>
    <cellStyle name="Normal 260 3 2" xfId="12444"/>
    <cellStyle name="Normal 260 3 2 2" xfId="37129"/>
    <cellStyle name="Normal 260 3 2 3" xfId="37130"/>
    <cellStyle name="Normal 260 3 3" xfId="12445"/>
    <cellStyle name="Normal 260 3 3 2" xfId="37131"/>
    <cellStyle name="Normal 260 3 3 3" xfId="37132"/>
    <cellStyle name="Normal 260 3 4" xfId="37133"/>
    <cellStyle name="Normal 260 3 5" xfId="37134"/>
    <cellStyle name="Normal 260 4" xfId="12446"/>
    <cellStyle name="Normal 260 4 2" xfId="37135"/>
    <cellStyle name="Normal 260 4 3" xfId="37136"/>
    <cellStyle name="Normal 260 5" xfId="12447"/>
    <cellStyle name="Normal 260 5 2" xfId="37137"/>
    <cellStyle name="Normal 260 5 3" xfId="37138"/>
    <cellStyle name="Normal 260 6" xfId="12448"/>
    <cellStyle name="Normal 260 7" xfId="37139"/>
    <cellStyle name="Normal 260 8" xfId="37140"/>
    <cellStyle name="Normal 260 9" xfId="37141"/>
    <cellStyle name="Normal 2600" xfId="12449"/>
    <cellStyle name="Normal 2600 2" xfId="12450"/>
    <cellStyle name="Normal 2600 2 2" xfId="37142"/>
    <cellStyle name="Normal 2600 2 3" xfId="37143"/>
    <cellStyle name="Normal 2600 3" xfId="12451"/>
    <cellStyle name="Normal 2600 4" xfId="37144"/>
    <cellStyle name="Normal 2601" xfId="12452"/>
    <cellStyle name="Normal 2601 2" xfId="12453"/>
    <cellStyle name="Normal 2601 2 2" xfId="37145"/>
    <cellStyle name="Normal 2601 2 3" xfId="37146"/>
    <cellStyle name="Normal 2601 3" xfId="12454"/>
    <cellStyle name="Normal 2601 4" xfId="37147"/>
    <cellStyle name="Normal 2602" xfId="12455"/>
    <cellStyle name="Normal 2602 2" xfId="12456"/>
    <cellStyle name="Normal 2602 2 2" xfId="37148"/>
    <cellStyle name="Normal 2602 2 3" xfId="37149"/>
    <cellStyle name="Normal 2602 3" xfId="12457"/>
    <cellStyle name="Normal 2602 4" xfId="37150"/>
    <cellStyle name="Normal 2603" xfId="12458"/>
    <cellStyle name="Normal 2603 2" xfId="12459"/>
    <cellStyle name="Normal 2603 2 2" xfId="37151"/>
    <cellStyle name="Normal 2603 2 3" xfId="37152"/>
    <cellStyle name="Normal 2603 3" xfId="12460"/>
    <cellStyle name="Normal 2603 4" xfId="37153"/>
    <cellStyle name="Normal 2604" xfId="12461"/>
    <cellStyle name="Normal 2604 2" xfId="12462"/>
    <cellStyle name="Normal 2604 2 2" xfId="37154"/>
    <cellStyle name="Normal 2604 2 3" xfId="37155"/>
    <cellStyle name="Normal 2604 3" xfId="12463"/>
    <cellStyle name="Normal 2604 4" xfId="37156"/>
    <cellStyle name="Normal 2605" xfId="12464"/>
    <cellStyle name="Normal 2605 2" xfId="12465"/>
    <cellStyle name="Normal 2605 2 2" xfId="37157"/>
    <cellStyle name="Normal 2605 2 3" xfId="37158"/>
    <cellStyle name="Normal 2605 3" xfId="12466"/>
    <cellStyle name="Normal 2605 4" xfId="37159"/>
    <cellStyle name="Normal 2606" xfId="12467"/>
    <cellStyle name="Normal 2606 2" xfId="12468"/>
    <cellStyle name="Normal 2606 2 2" xfId="37160"/>
    <cellStyle name="Normal 2606 2 3" xfId="37161"/>
    <cellStyle name="Normal 2606 3" xfId="12469"/>
    <cellStyle name="Normal 2606 4" xfId="37162"/>
    <cellStyle name="Normal 2607" xfId="12470"/>
    <cellStyle name="Normal 2607 2" xfId="12471"/>
    <cellStyle name="Normal 2607 2 2" xfId="37163"/>
    <cellStyle name="Normal 2607 2 3" xfId="37164"/>
    <cellStyle name="Normal 2607 3" xfId="12472"/>
    <cellStyle name="Normal 2607 4" xfId="37165"/>
    <cellStyle name="Normal 2608" xfId="12473"/>
    <cellStyle name="Normal 2608 2" xfId="12474"/>
    <cellStyle name="Normal 2608 2 2" xfId="37166"/>
    <cellStyle name="Normal 2608 2 3" xfId="37167"/>
    <cellStyle name="Normal 2608 3" xfId="12475"/>
    <cellStyle name="Normal 2608 4" xfId="37168"/>
    <cellStyle name="Normal 2609" xfId="12476"/>
    <cellStyle name="Normal 2609 2" xfId="12477"/>
    <cellStyle name="Normal 2609 2 2" xfId="37169"/>
    <cellStyle name="Normal 2609 2 3" xfId="37170"/>
    <cellStyle name="Normal 2609 3" xfId="12478"/>
    <cellStyle name="Normal 2609 4" xfId="37171"/>
    <cellStyle name="Normal 261" xfId="12479"/>
    <cellStyle name="Normal 261 10" xfId="37172"/>
    <cellStyle name="Normal 261 2" xfId="12480"/>
    <cellStyle name="Normal 261 2 2" xfId="12481"/>
    <cellStyle name="Normal 261 2 2 2" xfId="12482"/>
    <cellStyle name="Normal 261 2 2 3" xfId="12483"/>
    <cellStyle name="Normal 261 2 3" xfId="12484"/>
    <cellStyle name="Normal 261 2 3 2" xfId="37173"/>
    <cellStyle name="Normal 261 2 3 3" xfId="37174"/>
    <cellStyle name="Normal 261 2 4" xfId="12485"/>
    <cellStyle name="Normal 261 2 5" xfId="12486"/>
    <cellStyle name="Normal 261 2 6" xfId="37175"/>
    <cellStyle name="Normal 261 2 7" xfId="37176"/>
    <cellStyle name="Normal 261 2 8" xfId="37177"/>
    <cellStyle name="Normal 261 3" xfId="12487"/>
    <cellStyle name="Normal 261 3 2" xfId="12488"/>
    <cellStyle name="Normal 261 3 2 2" xfId="37178"/>
    <cellStyle name="Normal 261 3 2 3" xfId="37179"/>
    <cellStyle name="Normal 261 3 3" xfId="12489"/>
    <cellStyle name="Normal 261 3 3 2" xfId="37180"/>
    <cellStyle name="Normal 261 3 3 3" xfId="37181"/>
    <cellStyle name="Normal 261 3 4" xfId="37182"/>
    <cellStyle name="Normal 261 3 5" xfId="37183"/>
    <cellStyle name="Normal 261 4" xfId="12490"/>
    <cellStyle name="Normal 261 4 2" xfId="37184"/>
    <cellStyle name="Normal 261 4 3" xfId="37185"/>
    <cellStyle name="Normal 261 5" xfId="12491"/>
    <cellStyle name="Normal 261 5 2" xfId="37186"/>
    <cellStyle name="Normal 261 5 3" xfId="37187"/>
    <cellStyle name="Normal 261 6" xfId="12492"/>
    <cellStyle name="Normal 261 7" xfId="37188"/>
    <cellStyle name="Normal 261 8" xfId="37189"/>
    <cellStyle name="Normal 261 9" xfId="37190"/>
    <cellStyle name="Normal 2610" xfId="12493"/>
    <cellStyle name="Normal 2610 2" xfId="12494"/>
    <cellStyle name="Normal 2610 2 2" xfId="37191"/>
    <cellStyle name="Normal 2610 2 3" xfId="37192"/>
    <cellStyle name="Normal 2610 3" xfId="12495"/>
    <cellStyle name="Normal 2610 4" xfId="37193"/>
    <cellStyle name="Normal 2611" xfId="12496"/>
    <cellStyle name="Normal 2611 2" xfId="12497"/>
    <cellStyle name="Normal 2611 2 2" xfId="37194"/>
    <cellStyle name="Normal 2611 2 3" xfId="37195"/>
    <cellStyle name="Normal 2611 3" xfId="12498"/>
    <cellStyle name="Normal 2611 4" xfId="37196"/>
    <cellStyle name="Normal 2612" xfId="12499"/>
    <cellStyle name="Normal 2612 2" xfId="12500"/>
    <cellStyle name="Normal 2612 2 2" xfId="37197"/>
    <cellStyle name="Normal 2612 2 3" xfId="37198"/>
    <cellStyle name="Normal 2612 3" xfId="12501"/>
    <cellStyle name="Normal 2612 4" xfId="37199"/>
    <cellStyle name="Normal 2613" xfId="12502"/>
    <cellStyle name="Normal 2613 2" xfId="12503"/>
    <cellStyle name="Normal 2613 2 2" xfId="37200"/>
    <cellStyle name="Normal 2613 2 3" xfId="37201"/>
    <cellStyle name="Normal 2613 3" xfId="12504"/>
    <cellStyle name="Normal 2613 4" xfId="37202"/>
    <cellStyle name="Normal 2614" xfId="12505"/>
    <cellStyle name="Normal 2614 2" xfId="12506"/>
    <cellStyle name="Normal 2614 2 2" xfId="37203"/>
    <cellStyle name="Normal 2614 2 3" xfId="37204"/>
    <cellStyle name="Normal 2614 3" xfId="12507"/>
    <cellStyle name="Normal 2614 4" xfId="37205"/>
    <cellStyle name="Normal 2615" xfId="12508"/>
    <cellStyle name="Normal 2615 2" xfId="12509"/>
    <cellStyle name="Normal 2615 2 2" xfId="37206"/>
    <cellStyle name="Normal 2615 2 3" xfId="37207"/>
    <cellStyle name="Normal 2615 3" xfId="12510"/>
    <cellStyle name="Normal 2615 4" xfId="37208"/>
    <cellStyle name="Normal 2616" xfId="12511"/>
    <cellStyle name="Normal 2616 2" xfId="12512"/>
    <cellStyle name="Normal 2616 2 2" xfId="37209"/>
    <cellStyle name="Normal 2616 2 3" xfId="37210"/>
    <cellStyle name="Normal 2616 3" xfId="12513"/>
    <cellStyle name="Normal 2616 4" xfId="37211"/>
    <cellStyle name="Normal 2617" xfId="12514"/>
    <cellStyle name="Normal 2617 2" xfId="12515"/>
    <cellStyle name="Normal 2617 2 2" xfId="37212"/>
    <cellStyle name="Normal 2617 2 3" xfId="37213"/>
    <cellStyle name="Normal 2617 3" xfId="12516"/>
    <cellStyle name="Normal 2617 4" xfId="37214"/>
    <cellStyle name="Normal 2618" xfId="12517"/>
    <cellStyle name="Normal 2618 2" xfId="12518"/>
    <cellStyle name="Normal 2618 2 2" xfId="37215"/>
    <cellStyle name="Normal 2618 2 3" xfId="37216"/>
    <cellStyle name="Normal 2618 3" xfId="12519"/>
    <cellStyle name="Normal 2618 4" xfId="37217"/>
    <cellStyle name="Normal 2619" xfId="12520"/>
    <cellStyle name="Normal 2619 2" xfId="12521"/>
    <cellStyle name="Normal 2619 2 2" xfId="37218"/>
    <cellStyle name="Normal 2619 2 3" xfId="37219"/>
    <cellStyle name="Normal 2619 3" xfId="12522"/>
    <cellStyle name="Normal 2619 4" xfId="37220"/>
    <cellStyle name="Normal 262" xfId="12523"/>
    <cellStyle name="Normal 262 10" xfId="37221"/>
    <cellStyle name="Normal 262 2" xfId="12524"/>
    <cellStyle name="Normal 262 2 2" xfId="12525"/>
    <cellStyle name="Normal 262 2 2 2" xfId="12526"/>
    <cellStyle name="Normal 262 2 2 3" xfId="12527"/>
    <cellStyle name="Normal 262 2 3" xfId="12528"/>
    <cellStyle name="Normal 262 2 3 2" xfId="37222"/>
    <cellStyle name="Normal 262 2 3 3" xfId="37223"/>
    <cellStyle name="Normal 262 2 4" xfId="12529"/>
    <cellStyle name="Normal 262 2 5" xfId="12530"/>
    <cellStyle name="Normal 262 2 6" xfId="37224"/>
    <cellStyle name="Normal 262 2 7" xfId="37225"/>
    <cellStyle name="Normal 262 2 8" xfId="37226"/>
    <cellStyle name="Normal 262 3" xfId="12531"/>
    <cellStyle name="Normal 262 3 2" xfId="12532"/>
    <cellStyle name="Normal 262 3 2 2" xfId="37227"/>
    <cellStyle name="Normal 262 3 2 3" xfId="37228"/>
    <cellStyle name="Normal 262 3 3" xfId="12533"/>
    <cellStyle name="Normal 262 3 3 2" xfId="37229"/>
    <cellStyle name="Normal 262 3 3 3" xfId="37230"/>
    <cellStyle name="Normal 262 3 4" xfId="37231"/>
    <cellStyle name="Normal 262 3 5" xfId="37232"/>
    <cellStyle name="Normal 262 4" xfId="12534"/>
    <cellStyle name="Normal 262 4 2" xfId="37233"/>
    <cellStyle name="Normal 262 4 3" xfId="37234"/>
    <cellStyle name="Normal 262 5" xfId="12535"/>
    <cellStyle name="Normal 262 5 2" xfId="37235"/>
    <cellStyle name="Normal 262 5 3" xfId="37236"/>
    <cellStyle name="Normal 262 6" xfId="12536"/>
    <cellStyle name="Normal 262 7" xfId="37237"/>
    <cellStyle name="Normal 262 8" xfId="37238"/>
    <cellStyle name="Normal 262 9" xfId="37239"/>
    <cellStyle name="Normal 2620" xfId="12537"/>
    <cellStyle name="Normal 2620 2" xfId="12538"/>
    <cellStyle name="Normal 2620 2 2" xfId="37240"/>
    <cellStyle name="Normal 2620 2 3" xfId="37241"/>
    <cellStyle name="Normal 2620 3" xfId="12539"/>
    <cellStyle name="Normal 2620 4" xfId="37242"/>
    <cellStyle name="Normal 2621" xfId="12540"/>
    <cellStyle name="Normal 2621 2" xfId="12541"/>
    <cellStyle name="Normal 2621 2 2" xfId="37243"/>
    <cellStyle name="Normal 2621 2 3" xfId="37244"/>
    <cellStyle name="Normal 2621 3" xfId="12542"/>
    <cellStyle name="Normal 2621 4" xfId="37245"/>
    <cellStyle name="Normal 2622" xfId="12543"/>
    <cellStyle name="Normal 2622 2" xfId="12544"/>
    <cellStyle name="Normal 2622 2 2" xfId="37246"/>
    <cellStyle name="Normal 2622 2 3" xfId="37247"/>
    <cellStyle name="Normal 2622 3" xfId="12545"/>
    <cellStyle name="Normal 2622 4" xfId="37248"/>
    <cellStyle name="Normal 2623" xfId="12546"/>
    <cellStyle name="Normal 2623 2" xfId="12547"/>
    <cellStyle name="Normal 2623 2 2" xfId="37249"/>
    <cellStyle name="Normal 2623 2 3" xfId="37250"/>
    <cellStyle name="Normal 2623 3" xfId="12548"/>
    <cellStyle name="Normal 2623 4" xfId="37251"/>
    <cellStyle name="Normal 2624" xfId="12549"/>
    <cellStyle name="Normal 2624 2" xfId="12550"/>
    <cellStyle name="Normal 2624 2 2" xfId="37252"/>
    <cellStyle name="Normal 2624 2 3" xfId="37253"/>
    <cellStyle name="Normal 2624 3" xfId="12551"/>
    <cellStyle name="Normal 2624 4" xfId="37254"/>
    <cellStyle name="Normal 2625" xfId="12552"/>
    <cellStyle name="Normal 2625 2" xfId="12553"/>
    <cellStyle name="Normal 2625 2 2" xfId="37255"/>
    <cellStyle name="Normal 2625 2 3" xfId="37256"/>
    <cellStyle name="Normal 2625 3" xfId="12554"/>
    <cellStyle name="Normal 2625 4" xfId="37257"/>
    <cellStyle name="Normal 2626" xfId="12555"/>
    <cellStyle name="Normal 2626 2" xfId="12556"/>
    <cellStyle name="Normal 2626 2 2" xfId="37258"/>
    <cellStyle name="Normal 2626 2 3" xfId="37259"/>
    <cellStyle name="Normal 2626 3" xfId="12557"/>
    <cellStyle name="Normal 2626 4" xfId="37260"/>
    <cellStyle name="Normal 2627" xfId="12558"/>
    <cellStyle name="Normal 2627 2" xfId="12559"/>
    <cellStyle name="Normal 2627 2 2" xfId="37261"/>
    <cellStyle name="Normal 2627 2 3" xfId="37262"/>
    <cellStyle name="Normal 2627 3" xfId="12560"/>
    <cellStyle name="Normal 2627 4" xfId="37263"/>
    <cellStyle name="Normal 2628" xfId="12561"/>
    <cellStyle name="Normal 2628 2" xfId="12562"/>
    <cellStyle name="Normal 2628 2 2" xfId="37264"/>
    <cellStyle name="Normal 2628 2 3" xfId="37265"/>
    <cellStyle name="Normal 2628 3" xfId="12563"/>
    <cellStyle name="Normal 2628 4" xfId="37266"/>
    <cellStyle name="Normal 2629" xfId="12564"/>
    <cellStyle name="Normal 2629 2" xfId="12565"/>
    <cellStyle name="Normal 2629 2 2" xfId="37267"/>
    <cellStyle name="Normal 2629 2 3" xfId="37268"/>
    <cellStyle name="Normal 2629 3" xfId="12566"/>
    <cellStyle name="Normal 2629 4" xfId="37269"/>
    <cellStyle name="Normal 263" xfId="12567"/>
    <cellStyle name="Normal 263 10" xfId="37270"/>
    <cellStyle name="Normal 263 2" xfId="12568"/>
    <cellStyle name="Normal 263 2 2" xfId="12569"/>
    <cellStyle name="Normal 263 2 2 2" xfId="12570"/>
    <cellStyle name="Normal 263 2 2 3" xfId="12571"/>
    <cellStyle name="Normal 263 2 3" xfId="12572"/>
    <cellStyle name="Normal 263 2 3 2" xfId="37271"/>
    <cellStyle name="Normal 263 2 3 3" xfId="37272"/>
    <cellStyle name="Normal 263 2 4" xfId="12573"/>
    <cellStyle name="Normal 263 2 5" xfId="12574"/>
    <cellStyle name="Normal 263 2 6" xfId="37273"/>
    <cellStyle name="Normal 263 2 7" xfId="37274"/>
    <cellStyle name="Normal 263 2 8" xfId="37275"/>
    <cellStyle name="Normal 263 3" xfId="12575"/>
    <cellStyle name="Normal 263 3 2" xfId="12576"/>
    <cellStyle name="Normal 263 3 2 2" xfId="37276"/>
    <cellStyle name="Normal 263 3 2 3" xfId="37277"/>
    <cellStyle name="Normal 263 3 3" xfId="12577"/>
    <cellStyle name="Normal 263 3 3 2" xfId="37278"/>
    <cellStyle name="Normal 263 3 3 3" xfId="37279"/>
    <cellStyle name="Normal 263 3 4" xfId="37280"/>
    <cellStyle name="Normal 263 3 5" xfId="37281"/>
    <cellStyle name="Normal 263 4" xfId="12578"/>
    <cellStyle name="Normal 263 4 2" xfId="37282"/>
    <cellStyle name="Normal 263 4 3" xfId="37283"/>
    <cellStyle name="Normal 263 5" xfId="12579"/>
    <cellStyle name="Normal 263 5 2" xfId="37284"/>
    <cellStyle name="Normal 263 5 3" xfId="37285"/>
    <cellStyle name="Normal 263 6" xfId="12580"/>
    <cellStyle name="Normal 263 7" xfId="37286"/>
    <cellStyle name="Normal 263 8" xfId="37287"/>
    <cellStyle name="Normal 263 9" xfId="37288"/>
    <cellStyle name="Normal 2630" xfId="12581"/>
    <cellStyle name="Normal 2630 2" xfId="12582"/>
    <cellStyle name="Normal 2630 2 2" xfId="37289"/>
    <cellStyle name="Normal 2630 2 3" xfId="37290"/>
    <cellStyle name="Normal 2630 3" xfId="12583"/>
    <cellStyle name="Normal 2630 4" xfId="37291"/>
    <cellStyle name="Normal 2631" xfId="12584"/>
    <cellStyle name="Normal 2631 2" xfId="12585"/>
    <cellStyle name="Normal 2631 2 2" xfId="37292"/>
    <cellStyle name="Normal 2631 2 3" xfId="37293"/>
    <cellStyle name="Normal 2631 3" xfId="12586"/>
    <cellStyle name="Normal 2631 4" xfId="37294"/>
    <cellStyle name="Normal 2632" xfId="12587"/>
    <cellStyle name="Normal 2632 2" xfId="12588"/>
    <cellStyle name="Normal 2632 2 2" xfId="37295"/>
    <cellStyle name="Normal 2632 2 3" xfId="37296"/>
    <cellStyle name="Normal 2632 3" xfId="12589"/>
    <cellStyle name="Normal 2632 4" xfId="37297"/>
    <cellStyle name="Normal 2633" xfId="12590"/>
    <cellStyle name="Normal 2633 2" xfId="12591"/>
    <cellStyle name="Normal 2633 2 2" xfId="37298"/>
    <cellStyle name="Normal 2633 2 3" xfId="37299"/>
    <cellStyle name="Normal 2633 3" xfId="12592"/>
    <cellStyle name="Normal 2633 4" xfId="37300"/>
    <cellStyle name="Normal 2634" xfId="12593"/>
    <cellStyle name="Normal 2634 2" xfId="12594"/>
    <cellStyle name="Normal 2634 2 2" xfId="37301"/>
    <cellStyle name="Normal 2634 2 3" xfId="37302"/>
    <cellStyle name="Normal 2634 3" xfId="12595"/>
    <cellStyle name="Normal 2634 4" xfId="37303"/>
    <cellStyle name="Normal 2635" xfId="12596"/>
    <cellStyle name="Normal 2635 2" xfId="12597"/>
    <cellStyle name="Normal 2635 2 2" xfId="37304"/>
    <cellStyle name="Normal 2635 2 3" xfId="37305"/>
    <cellStyle name="Normal 2635 3" xfId="12598"/>
    <cellStyle name="Normal 2635 4" xfId="37306"/>
    <cellStyle name="Normal 2636" xfId="12599"/>
    <cellStyle name="Normal 2636 2" xfId="12600"/>
    <cellStyle name="Normal 2636 2 2" xfId="37307"/>
    <cellStyle name="Normal 2636 2 3" xfId="37308"/>
    <cellStyle name="Normal 2636 3" xfId="12601"/>
    <cellStyle name="Normal 2636 4" xfId="37309"/>
    <cellStyle name="Normal 2637" xfId="12602"/>
    <cellStyle name="Normal 2637 2" xfId="12603"/>
    <cellStyle name="Normal 2637 2 2" xfId="37310"/>
    <cellStyle name="Normal 2637 2 3" xfId="37311"/>
    <cellStyle name="Normal 2637 3" xfId="12604"/>
    <cellStyle name="Normal 2637 4" xfId="37312"/>
    <cellStyle name="Normal 2638" xfId="12605"/>
    <cellStyle name="Normal 2638 2" xfId="12606"/>
    <cellStyle name="Normal 2638 2 2" xfId="37313"/>
    <cellStyle name="Normal 2638 2 3" xfId="37314"/>
    <cellStyle name="Normal 2638 3" xfId="12607"/>
    <cellStyle name="Normal 2638 4" xfId="37315"/>
    <cellStyle name="Normal 2639" xfId="12608"/>
    <cellStyle name="Normal 2639 2" xfId="12609"/>
    <cellStyle name="Normal 2639 2 2" xfId="37316"/>
    <cellStyle name="Normal 2639 2 3" xfId="37317"/>
    <cellStyle name="Normal 2639 3" xfId="12610"/>
    <cellStyle name="Normal 2639 4" xfId="37318"/>
    <cellStyle name="Normal 264" xfId="12611"/>
    <cellStyle name="Normal 264 10" xfId="37319"/>
    <cellStyle name="Normal 264 2" xfId="12612"/>
    <cellStyle name="Normal 264 2 2" xfId="12613"/>
    <cellStyle name="Normal 264 2 2 2" xfId="12614"/>
    <cellStyle name="Normal 264 2 2 3" xfId="12615"/>
    <cellStyle name="Normal 264 2 3" xfId="12616"/>
    <cellStyle name="Normal 264 2 3 2" xfId="37320"/>
    <cellStyle name="Normal 264 2 3 3" xfId="37321"/>
    <cellStyle name="Normal 264 2 4" xfId="12617"/>
    <cellStyle name="Normal 264 2 5" xfId="12618"/>
    <cellStyle name="Normal 264 2 6" xfId="37322"/>
    <cellStyle name="Normal 264 2 7" xfId="37323"/>
    <cellStyle name="Normal 264 2 8" xfId="37324"/>
    <cellStyle name="Normal 264 3" xfId="12619"/>
    <cellStyle name="Normal 264 3 2" xfId="12620"/>
    <cellStyle name="Normal 264 3 2 2" xfId="37325"/>
    <cellStyle name="Normal 264 3 2 3" xfId="37326"/>
    <cellStyle name="Normal 264 3 3" xfId="12621"/>
    <cellStyle name="Normal 264 3 3 2" xfId="37327"/>
    <cellStyle name="Normal 264 3 3 3" xfId="37328"/>
    <cellStyle name="Normal 264 3 4" xfId="37329"/>
    <cellStyle name="Normal 264 3 5" xfId="37330"/>
    <cellStyle name="Normal 264 4" xfId="12622"/>
    <cellStyle name="Normal 264 4 2" xfId="37331"/>
    <cellStyle name="Normal 264 4 3" xfId="37332"/>
    <cellStyle name="Normal 264 5" xfId="12623"/>
    <cellStyle name="Normal 264 5 2" xfId="37333"/>
    <cellStyle name="Normal 264 5 3" xfId="37334"/>
    <cellStyle name="Normal 264 6" xfId="12624"/>
    <cellStyle name="Normal 264 7" xfId="37335"/>
    <cellStyle name="Normal 264 8" xfId="37336"/>
    <cellStyle name="Normal 264 9" xfId="37337"/>
    <cellStyle name="Normal 2640" xfId="12625"/>
    <cellStyle name="Normal 2640 2" xfId="12626"/>
    <cellStyle name="Normal 2640 2 2" xfId="37338"/>
    <cellStyle name="Normal 2640 2 3" xfId="37339"/>
    <cellStyle name="Normal 2640 3" xfId="12627"/>
    <cellStyle name="Normal 2640 4" xfId="37340"/>
    <cellStyle name="Normal 2641" xfId="12628"/>
    <cellStyle name="Normal 2641 2" xfId="12629"/>
    <cellStyle name="Normal 2641 2 2" xfId="37341"/>
    <cellStyle name="Normal 2641 2 3" xfId="37342"/>
    <cellStyle name="Normal 2641 3" xfId="12630"/>
    <cellStyle name="Normal 2641 4" xfId="37343"/>
    <cellStyle name="Normal 2642" xfId="12631"/>
    <cellStyle name="Normal 2642 2" xfId="12632"/>
    <cellStyle name="Normal 2642 2 2" xfId="37344"/>
    <cellStyle name="Normal 2642 2 3" xfId="37345"/>
    <cellStyle name="Normal 2642 3" xfId="12633"/>
    <cellStyle name="Normal 2642 4" xfId="37346"/>
    <cellStyle name="Normal 2643" xfId="12634"/>
    <cellStyle name="Normal 2643 2" xfId="12635"/>
    <cellStyle name="Normal 2643 2 2" xfId="37347"/>
    <cellStyle name="Normal 2643 2 3" xfId="37348"/>
    <cellStyle name="Normal 2643 3" xfId="12636"/>
    <cellStyle name="Normal 2643 4" xfId="37349"/>
    <cellStyle name="Normal 2644" xfId="12637"/>
    <cellStyle name="Normal 2644 2" xfId="12638"/>
    <cellStyle name="Normal 2644 2 2" xfId="37350"/>
    <cellStyle name="Normal 2644 2 3" xfId="37351"/>
    <cellStyle name="Normal 2644 3" xfId="12639"/>
    <cellStyle name="Normal 2644 4" xfId="37352"/>
    <cellStyle name="Normal 2645" xfId="12640"/>
    <cellStyle name="Normal 2645 2" xfId="12641"/>
    <cellStyle name="Normal 2645 2 2" xfId="37353"/>
    <cellStyle name="Normal 2645 2 3" xfId="37354"/>
    <cellStyle name="Normal 2645 3" xfId="12642"/>
    <cellStyle name="Normal 2645 4" xfId="37355"/>
    <cellStyle name="Normal 2646" xfId="12643"/>
    <cellStyle name="Normal 2646 2" xfId="12644"/>
    <cellStyle name="Normal 2646 2 2" xfId="37356"/>
    <cellStyle name="Normal 2646 2 3" xfId="37357"/>
    <cellStyle name="Normal 2646 3" xfId="12645"/>
    <cellStyle name="Normal 2646 4" xfId="37358"/>
    <cellStyle name="Normal 2647" xfId="12646"/>
    <cellStyle name="Normal 2647 2" xfId="12647"/>
    <cellStyle name="Normal 2647 2 2" xfId="37359"/>
    <cellStyle name="Normal 2647 2 3" xfId="37360"/>
    <cellStyle name="Normal 2647 3" xfId="12648"/>
    <cellStyle name="Normal 2647 4" xfId="37361"/>
    <cellStyle name="Normal 2648" xfId="12649"/>
    <cellStyle name="Normal 2648 2" xfId="12650"/>
    <cellStyle name="Normal 2648 2 2" xfId="37362"/>
    <cellStyle name="Normal 2648 2 3" xfId="37363"/>
    <cellStyle name="Normal 2648 3" xfId="12651"/>
    <cellStyle name="Normal 2648 4" xfId="37364"/>
    <cellStyle name="Normal 2649" xfId="12652"/>
    <cellStyle name="Normal 2649 2" xfId="12653"/>
    <cellStyle name="Normal 2649 2 2" xfId="37365"/>
    <cellStyle name="Normal 2649 2 3" xfId="37366"/>
    <cellStyle name="Normal 2649 3" xfId="12654"/>
    <cellStyle name="Normal 2649 4" xfId="37367"/>
    <cellStyle name="Normal 265" xfId="12655"/>
    <cellStyle name="Normal 265 10" xfId="37368"/>
    <cellStyle name="Normal 265 2" xfId="12656"/>
    <cellStyle name="Normal 265 2 2" xfId="12657"/>
    <cellStyle name="Normal 265 2 2 2" xfId="12658"/>
    <cellStyle name="Normal 265 2 2 3" xfId="12659"/>
    <cellStyle name="Normal 265 2 3" xfId="12660"/>
    <cellStyle name="Normal 265 2 3 2" xfId="37369"/>
    <cellStyle name="Normal 265 2 3 3" xfId="37370"/>
    <cellStyle name="Normal 265 2 4" xfId="12661"/>
    <cellStyle name="Normal 265 2 5" xfId="12662"/>
    <cellStyle name="Normal 265 2 6" xfId="37371"/>
    <cellStyle name="Normal 265 2 7" xfId="37372"/>
    <cellStyle name="Normal 265 2 8" xfId="37373"/>
    <cellStyle name="Normal 265 3" xfId="12663"/>
    <cellStyle name="Normal 265 3 2" xfId="12664"/>
    <cellStyle name="Normal 265 3 2 2" xfId="37374"/>
    <cellStyle name="Normal 265 3 2 3" xfId="37375"/>
    <cellStyle name="Normal 265 3 3" xfId="12665"/>
    <cellStyle name="Normal 265 3 3 2" xfId="37376"/>
    <cellStyle name="Normal 265 3 3 3" xfId="37377"/>
    <cellStyle name="Normal 265 3 4" xfId="37378"/>
    <cellStyle name="Normal 265 3 5" xfId="37379"/>
    <cellStyle name="Normal 265 4" xfId="12666"/>
    <cellStyle name="Normal 265 4 2" xfId="37380"/>
    <cellStyle name="Normal 265 4 3" xfId="37381"/>
    <cellStyle name="Normal 265 5" xfId="12667"/>
    <cellStyle name="Normal 265 5 2" xfId="37382"/>
    <cellStyle name="Normal 265 5 3" xfId="37383"/>
    <cellStyle name="Normal 265 6" xfId="12668"/>
    <cellStyle name="Normal 265 7" xfId="37384"/>
    <cellStyle name="Normal 265 8" xfId="37385"/>
    <cellStyle name="Normal 265 9" xfId="37386"/>
    <cellStyle name="Normal 2650" xfId="12669"/>
    <cellStyle name="Normal 2650 2" xfId="12670"/>
    <cellStyle name="Normal 2650 2 2" xfId="37387"/>
    <cellStyle name="Normal 2650 2 3" xfId="37388"/>
    <cellStyle name="Normal 2650 3" xfId="12671"/>
    <cellStyle name="Normal 2650 4" xfId="37389"/>
    <cellStyle name="Normal 2651" xfId="12672"/>
    <cellStyle name="Normal 2651 2" xfId="12673"/>
    <cellStyle name="Normal 2651 2 2" xfId="37390"/>
    <cellStyle name="Normal 2651 2 3" xfId="37391"/>
    <cellStyle name="Normal 2651 3" xfId="12674"/>
    <cellStyle name="Normal 2651 4" xfId="37392"/>
    <cellStyle name="Normal 2652" xfId="12675"/>
    <cellStyle name="Normal 2652 2" xfId="12676"/>
    <cellStyle name="Normal 2652 2 2" xfId="37393"/>
    <cellStyle name="Normal 2652 2 3" xfId="37394"/>
    <cellStyle name="Normal 2652 3" xfId="12677"/>
    <cellStyle name="Normal 2652 4" xfId="37395"/>
    <cellStyle name="Normal 2653" xfId="12678"/>
    <cellStyle name="Normal 2653 2" xfId="12679"/>
    <cellStyle name="Normal 2653 2 2" xfId="37396"/>
    <cellStyle name="Normal 2653 2 3" xfId="37397"/>
    <cellStyle name="Normal 2653 3" xfId="12680"/>
    <cellStyle name="Normal 2653 4" xfId="37398"/>
    <cellStyle name="Normal 2654" xfId="12681"/>
    <cellStyle name="Normal 2654 2" xfId="12682"/>
    <cellStyle name="Normal 2654 2 2" xfId="37399"/>
    <cellStyle name="Normal 2654 2 3" xfId="37400"/>
    <cellStyle name="Normal 2654 3" xfId="12683"/>
    <cellStyle name="Normal 2654 4" xfId="37401"/>
    <cellStyle name="Normal 2655" xfId="12684"/>
    <cellStyle name="Normal 2655 2" xfId="12685"/>
    <cellStyle name="Normal 2655 2 2" xfId="37402"/>
    <cellStyle name="Normal 2655 2 3" xfId="37403"/>
    <cellStyle name="Normal 2655 3" xfId="12686"/>
    <cellStyle name="Normal 2655 4" xfId="37404"/>
    <cellStyle name="Normal 2656" xfId="12687"/>
    <cellStyle name="Normal 2656 2" xfId="12688"/>
    <cellStyle name="Normal 2656 2 2" xfId="37405"/>
    <cellStyle name="Normal 2656 2 3" xfId="37406"/>
    <cellStyle name="Normal 2656 3" xfId="12689"/>
    <cellStyle name="Normal 2656 4" xfId="37407"/>
    <cellStyle name="Normal 2657" xfId="12690"/>
    <cellStyle name="Normal 2657 2" xfId="12691"/>
    <cellStyle name="Normal 2657 2 2" xfId="37408"/>
    <cellStyle name="Normal 2657 2 3" xfId="37409"/>
    <cellStyle name="Normal 2657 3" xfId="12692"/>
    <cellStyle name="Normal 2657 4" xfId="37410"/>
    <cellStyle name="Normal 2658" xfId="12693"/>
    <cellStyle name="Normal 2658 2" xfId="12694"/>
    <cellStyle name="Normal 2658 2 2" xfId="37411"/>
    <cellStyle name="Normal 2658 2 3" xfId="37412"/>
    <cellStyle name="Normal 2658 3" xfId="12695"/>
    <cellStyle name="Normal 2658 4" xfId="37413"/>
    <cellStyle name="Normal 2659" xfId="12696"/>
    <cellStyle name="Normal 2659 2" xfId="12697"/>
    <cellStyle name="Normal 2659 2 2" xfId="37414"/>
    <cellStyle name="Normal 2659 2 3" xfId="37415"/>
    <cellStyle name="Normal 2659 3" xfId="12698"/>
    <cellStyle name="Normal 2659 4" xfId="37416"/>
    <cellStyle name="Normal 266" xfId="12699"/>
    <cellStyle name="Normal 266 10" xfId="37417"/>
    <cellStyle name="Normal 266 2" xfId="12700"/>
    <cellStyle name="Normal 266 2 2" xfId="12701"/>
    <cellStyle name="Normal 266 2 2 2" xfId="12702"/>
    <cellStyle name="Normal 266 2 2 3" xfId="12703"/>
    <cellStyle name="Normal 266 2 3" xfId="12704"/>
    <cellStyle name="Normal 266 2 3 2" xfId="37418"/>
    <cellStyle name="Normal 266 2 3 3" xfId="37419"/>
    <cellStyle name="Normal 266 2 4" xfId="12705"/>
    <cellStyle name="Normal 266 2 5" xfId="12706"/>
    <cellStyle name="Normal 266 2 6" xfId="37420"/>
    <cellStyle name="Normal 266 2 7" xfId="37421"/>
    <cellStyle name="Normal 266 2 8" xfId="37422"/>
    <cellStyle name="Normal 266 3" xfId="12707"/>
    <cellStyle name="Normal 266 3 2" xfId="12708"/>
    <cellStyle name="Normal 266 3 2 2" xfId="37423"/>
    <cellStyle name="Normal 266 3 2 3" xfId="37424"/>
    <cellStyle name="Normal 266 3 3" xfId="12709"/>
    <cellStyle name="Normal 266 3 3 2" xfId="37425"/>
    <cellStyle name="Normal 266 3 3 3" xfId="37426"/>
    <cellStyle name="Normal 266 3 4" xfId="37427"/>
    <cellStyle name="Normal 266 3 5" xfId="37428"/>
    <cellStyle name="Normal 266 4" xfId="12710"/>
    <cellStyle name="Normal 266 4 2" xfId="37429"/>
    <cellStyle name="Normal 266 4 3" xfId="37430"/>
    <cellStyle name="Normal 266 5" xfId="12711"/>
    <cellStyle name="Normal 266 5 2" xfId="37431"/>
    <cellStyle name="Normal 266 5 3" xfId="37432"/>
    <cellStyle name="Normal 266 6" xfId="12712"/>
    <cellStyle name="Normal 266 7" xfId="37433"/>
    <cellStyle name="Normal 266 8" xfId="37434"/>
    <cellStyle name="Normal 266 9" xfId="37435"/>
    <cellStyle name="Normal 2660" xfId="12713"/>
    <cellStyle name="Normal 2660 2" xfId="12714"/>
    <cellStyle name="Normal 2660 2 2" xfId="37436"/>
    <cellStyle name="Normal 2660 2 3" xfId="37437"/>
    <cellStyle name="Normal 2660 3" xfId="12715"/>
    <cellStyle name="Normal 2660 4" xfId="37438"/>
    <cellStyle name="Normal 2661" xfId="12716"/>
    <cellStyle name="Normal 2661 2" xfId="12717"/>
    <cellStyle name="Normal 2661 2 2" xfId="37439"/>
    <cellStyle name="Normal 2661 2 3" xfId="37440"/>
    <cellStyle name="Normal 2661 3" xfId="12718"/>
    <cellStyle name="Normal 2661 4" xfId="37441"/>
    <cellStyle name="Normal 2662" xfId="12719"/>
    <cellStyle name="Normal 2662 2" xfId="12720"/>
    <cellStyle name="Normal 2662 2 2" xfId="37442"/>
    <cellStyle name="Normal 2662 2 3" xfId="37443"/>
    <cellStyle name="Normal 2662 3" xfId="12721"/>
    <cellStyle name="Normal 2662 4" xfId="37444"/>
    <cellStyle name="Normal 2663" xfId="12722"/>
    <cellStyle name="Normal 2663 2" xfId="12723"/>
    <cellStyle name="Normal 2663 2 2" xfId="37445"/>
    <cellStyle name="Normal 2663 2 3" xfId="37446"/>
    <cellStyle name="Normal 2663 3" xfId="12724"/>
    <cellStyle name="Normal 2663 4" xfId="37447"/>
    <cellStyle name="Normal 2664" xfId="12725"/>
    <cellStyle name="Normal 2664 2" xfId="12726"/>
    <cellStyle name="Normal 2664 2 2" xfId="37448"/>
    <cellStyle name="Normal 2664 2 3" xfId="37449"/>
    <cellStyle name="Normal 2664 3" xfId="12727"/>
    <cellStyle name="Normal 2664 4" xfId="37450"/>
    <cellStyle name="Normal 2665" xfId="12728"/>
    <cellStyle name="Normal 2665 2" xfId="12729"/>
    <cellStyle name="Normal 2665 2 2" xfId="37451"/>
    <cellStyle name="Normal 2665 2 3" xfId="37452"/>
    <cellStyle name="Normal 2665 3" xfId="12730"/>
    <cellStyle name="Normal 2665 4" xfId="37453"/>
    <cellStyle name="Normal 2666" xfId="12731"/>
    <cellStyle name="Normal 2666 2" xfId="12732"/>
    <cellStyle name="Normal 2666 2 2" xfId="37454"/>
    <cellStyle name="Normal 2666 2 3" xfId="37455"/>
    <cellStyle name="Normal 2666 3" xfId="12733"/>
    <cellStyle name="Normal 2666 4" xfId="37456"/>
    <cellStyle name="Normal 2667" xfId="12734"/>
    <cellStyle name="Normal 2667 2" xfId="12735"/>
    <cellStyle name="Normal 2667 2 2" xfId="37457"/>
    <cellStyle name="Normal 2667 2 3" xfId="37458"/>
    <cellStyle name="Normal 2667 3" xfId="12736"/>
    <cellStyle name="Normal 2667 4" xfId="37459"/>
    <cellStyle name="Normal 2668" xfId="12737"/>
    <cellStyle name="Normal 2668 2" xfId="12738"/>
    <cellStyle name="Normal 2668 2 2" xfId="37460"/>
    <cellStyle name="Normal 2668 2 3" xfId="37461"/>
    <cellStyle name="Normal 2668 3" xfId="12739"/>
    <cellStyle name="Normal 2668 4" xfId="37462"/>
    <cellStyle name="Normal 2669" xfId="12740"/>
    <cellStyle name="Normal 2669 2" xfId="12741"/>
    <cellStyle name="Normal 2669 2 2" xfId="37463"/>
    <cellStyle name="Normal 2669 2 3" xfId="37464"/>
    <cellStyle name="Normal 2669 3" xfId="12742"/>
    <cellStyle name="Normal 2669 4" xfId="37465"/>
    <cellStyle name="Normal 267" xfId="12743"/>
    <cellStyle name="Normal 267 10" xfId="37466"/>
    <cellStyle name="Normal 267 2" xfId="12744"/>
    <cellStyle name="Normal 267 2 2" xfId="12745"/>
    <cellStyle name="Normal 267 2 2 2" xfId="12746"/>
    <cellStyle name="Normal 267 2 2 3" xfId="12747"/>
    <cellStyle name="Normal 267 2 3" xfId="12748"/>
    <cellStyle name="Normal 267 2 3 2" xfId="37467"/>
    <cellStyle name="Normal 267 2 3 3" xfId="37468"/>
    <cellStyle name="Normal 267 2 4" xfId="12749"/>
    <cellStyle name="Normal 267 2 5" xfId="12750"/>
    <cellStyle name="Normal 267 2 6" xfId="37469"/>
    <cellStyle name="Normal 267 2 7" xfId="37470"/>
    <cellStyle name="Normal 267 2 8" xfId="37471"/>
    <cellStyle name="Normal 267 3" xfId="12751"/>
    <cellStyle name="Normal 267 3 2" xfId="12752"/>
    <cellStyle name="Normal 267 3 2 2" xfId="37472"/>
    <cellStyle name="Normal 267 3 2 3" xfId="37473"/>
    <cellStyle name="Normal 267 3 3" xfId="12753"/>
    <cellStyle name="Normal 267 3 3 2" xfId="37474"/>
    <cellStyle name="Normal 267 3 3 3" xfId="37475"/>
    <cellStyle name="Normal 267 3 4" xfId="37476"/>
    <cellStyle name="Normal 267 3 5" xfId="37477"/>
    <cellStyle name="Normal 267 4" xfId="12754"/>
    <cellStyle name="Normal 267 4 2" xfId="37478"/>
    <cellStyle name="Normal 267 4 3" xfId="37479"/>
    <cellStyle name="Normal 267 5" xfId="12755"/>
    <cellStyle name="Normal 267 5 2" xfId="37480"/>
    <cellStyle name="Normal 267 5 3" xfId="37481"/>
    <cellStyle name="Normal 267 6" xfId="12756"/>
    <cellStyle name="Normal 267 7" xfId="37482"/>
    <cellStyle name="Normal 267 8" xfId="37483"/>
    <cellStyle name="Normal 267 9" xfId="37484"/>
    <cellStyle name="Normal 2670" xfId="12757"/>
    <cellStyle name="Normal 2670 2" xfId="12758"/>
    <cellStyle name="Normal 2670 2 2" xfId="37485"/>
    <cellStyle name="Normal 2670 2 3" xfId="37486"/>
    <cellStyle name="Normal 2670 3" xfId="12759"/>
    <cellStyle name="Normal 2670 4" xfId="37487"/>
    <cellStyle name="Normal 2671" xfId="12760"/>
    <cellStyle name="Normal 2671 2" xfId="12761"/>
    <cellStyle name="Normal 2671 2 2" xfId="37488"/>
    <cellStyle name="Normal 2671 2 3" xfId="37489"/>
    <cellStyle name="Normal 2671 3" xfId="12762"/>
    <cellStyle name="Normal 2671 4" xfId="37490"/>
    <cellStyle name="Normal 2672" xfId="12763"/>
    <cellStyle name="Normal 2672 2" xfId="12764"/>
    <cellStyle name="Normal 2672 2 2" xfId="37491"/>
    <cellStyle name="Normal 2672 2 3" xfId="37492"/>
    <cellStyle name="Normal 2672 3" xfId="12765"/>
    <cellStyle name="Normal 2672 4" xfId="37493"/>
    <cellStyle name="Normal 2673" xfId="12766"/>
    <cellStyle name="Normal 2673 2" xfId="12767"/>
    <cellStyle name="Normal 2673 2 2" xfId="37494"/>
    <cellStyle name="Normal 2673 2 3" xfId="37495"/>
    <cellStyle name="Normal 2673 3" xfId="12768"/>
    <cellStyle name="Normal 2673 4" xfId="37496"/>
    <cellStyle name="Normal 2674" xfId="12769"/>
    <cellStyle name="Normal 2674 2" xfId="12770"/>
    <cellStyle name="Normal 2674 2 2" xfId="37497"/>
    <cellStyle name="Normal 2674 2 3" xfId="37498"/>
    <cellStyle name="Normal 2674 3" xfId="12771"/>
    <cellStyle name="Normal 2674 4" xfId="37499"/>
    <cellStyle name="Normal 2675" xfId="12772"/>
    <cellStyle name="Normal 2675 2" xfId="12773"/>
    <cellStyle name="Normal 2675 2 2" xfId="37500"/>
    <cellStyle name="Normal 2675 2 3" xfId="37501"/>
    <cellStyle name="Normal 2675 3" xfId="12774"/>
    <cellStyle name="Normal 2675 4" xfId="37502"/>
    <cellStyle name="Normal 2676" xfId="12775"/>
    <cellStyle name="Normal 2676 2" xfId="12776"/>
    <cellStyle name="Normal 2676 2 2" xfId="37503"/>
    <cellStyle name="Normal 2676 2 3" xfId="37504"/>
    <cellStyle name="Normal 2676 3" xfId="12777"/>
    <cellStyle name="Normal 2676 4" xfId="37505"/>
    <cellStyle name="Normal 2677" xfId="12778"/>
    <cellStyle name="Normal 2677 2" xfId="12779"/>
    <cellStyle name="Normal 2677 2 2" xfId="37506"/>
    <cellStyle name="Normal 2677 2 3" xfId="37507"/>
    <cellStyle name="Normal 2677 3" xfId="12780"/>
    <cellStyle name="Normal 2677 4" xfId="37508"/>
    <cellStyle name="Normal 2678" xfId="12781"/>
    <cellStyle name="Normal 2678 2" xfId="12782"/>
    <cellStyle name="Normal 2678 2 2" xfId="37509"/>
    <cellStyle name="Normal 2678 2 3" xfId="37510"/>
    <cellStyle name="Normal 2678 3" xfId="12783"/>
    <cellStyle name="Normal 2678 4" xfId="37511"/>
    <cellStyle name="Normal 2679" xfId="12784"/>
    <cellStyle name="Normal 2679 2" xfId="12785"/>
    <cellStyle name="Normal 2679 2 2" xfId="37512"/>
    <cellStyle name="Normal 2679 2 3" xfId="37513"/>
    <cellStyle name="Normal 2679 3" xfId="12786"/>
    <cellStyle name="Normal 2679 4" xfId="37514"/>
    <cellStyle name="Normal 268" xfId="12787"/>
    <cellStyle name="Normal 268 10" xfId="37515"/>
    <cellStyle name="Normal 268 2" xfId="12788"/>
    <cellStyle name="Normal 268 2 2" xfId="12789"/>
    <cellStyle name="Normal 268 2 2 2" xfId="12790"/>
    <cellStyle name="Normal 268 2 2 3" xfId="12791"/>
    <cellStyle name="Normal 268 2 3" xfId="12792"/>
    <cellStyle name="Normal 268 2 3 2" xfId="37516"/>
    <cellStyle name="Normal 268 2 3 3" xfId="37517"/>
    <cellStyle name="Normal 268 2 4" xfId="12793"/>
    <cellStyle name="Normal 268 2 5" xfId="12794"/>
    <cellStyle name="Normal 268 2 6" xfId="37518"/>
    <cellStyle name="Normal 268 2 7" xfId="37519"/>
    <cellStyle name="Normal 268 2 8" xfId="37520"/>
    <cellStyle name="Normal 268 3" xfId="12795"/>
    <cellStyle name="Normal 268 3 2" xfId="12796"/>
    <cellStyle name="Normal 268 3 2 2" xfId="37521"/>
    <cellStyle name="Normal 268 3 2 3" xfId="37522"/>
    <cellStyle name="Normal 268 3 3" xfId="12797"/>
    <cellStyle name="Normal 268 3 3 2" xfId="37523"/>
    <cellStyle name="Normal 268 3 3 3" xfId="37524"/>
    <cellStyle name="Normal 268 3 4" xfId="37525"/>
    <cellStyle name="Normal 268 3 5" xfId="37526"/>
    <cellStyle name="Normal 268 4" xfId="12798"/>
    <cellStyle name="Normal 268 4 2" xfId="37527"/>
    <cellStyle name="Normal 268 4 3" xfId="37528"/>
    <cellStyle name="Normal 268 5" xfId="12799"/>
    <cellStyle name="Normal 268 5 2" xfId="37529"/>
    <cellStyle name="Normal 268 5 3" xfId="37530"/>
    <cellStyle name="Normal 268 6" xfId="12800"/>
    <cellStyle name="Normal 268 7" xfId="37531"/>
    <cellStyle name="Normal 268 8" xfId="37532"/>
    <cellStyle name="Normal 268 9" xfId="37533"/>
    <cellStyle name="Normal 2680" xfId="12801"/>
    <cellStyle name="Normal 2680 2" xfId="12802"/>
    <cellStyle name="Normal 2680 2 2" xfId="37534"/>
    <cellStyle name="Normal 2680 2 3" xfId="37535"/>
    <cellStyle name="Normal 2680 3" xfId="12803"/>
    <cellStyle name="Normal 2680 4" xfId="37536"/>
    <cellStyle name="Normal 2681" xfId="12804"/>
    <cellStyle name="Normal 2681 2" xfId="12805"/>
    <cellStyle name="Normal 2681 2 2" xfId="37537"/>
    <cellStyle name="Normal 2681 2 3" xfId="37538"/>
    <cellStyle name="Normal 2681 3" xfId="12806"/>
    <cellStyle name="Normal 2681 4" xfId="37539"/>
    <cellStyle name="Normal 2682" xfId="12807"/>
    <cellStyle name="Normal 2682 2" xfId="12808"/>
    <cellStyle name="Normal 2682 2 2" xfId="37540"/>
    <cellStyle name="Normal 2682 2 3" xfId="37541"/>
    <cellStyle name="Normal 2682 3" xfId="12809"/>
    <cellStyle name="Normal 2682 4" xfId="37542"/>
    <cellStyle name="Normal 2683" xfId="12810"/>
    <cellStyle name="Normal 2683 2" xfId="12811"/>
    <cellStyle name="Normal 2683 2 2" xfId="37543"/>
    <cellStyle name="Normal 2683 2 3" xfId="37544"/>
    <cellStyle name="Normal 2683 3" xfId="12812"/>
    <cellStyle name="Normal 2683 4" xfId="37545"/>
    <cellStyle name="Normal 2684" xfId="12813"/>
    <cellStyle name="Normal 2684 2" xfId="12814"/>
    <cellStyle name="Normal 2684 2 2" xfId="37546"/>
    <cellStyle name="Normal 2684 2 3" xfId="37547"/>
    <cellStyle name="Normal 2684 3" xfId="12815"/>
    <cellStyle name="Normal 2684 4" xfId="37548"/>
    <cellStyle name="Normal 2685" xfId="12816"/>
    <cellStyle name="Normal 2685 2" xfId="12817"/>
    <cellStyle name="Normal 2685 2 2" xfId="37549"/>
    <cellStyle name="Normal 2685 2 3" xfId="37550"/>
    <cellStyle name="Normal 2685 3" xfId="12818"/>
    <cellStyle name="Normal 2685 4" xfId="37551"/>
    <cellStyle name="Normal 2686" xfId="12819"/>
    <cellStyle name="Normal 2686 2" xfId="12820"/>
    <cellStyle name="Normal 2686 2 2" xfId="37552"/>
    <cellStyle name="Normal 2686 2 3" xfId="37553"/>
    <cellStyle name="Normal 2686 3" xfId="12821"/>
    <cellStyle name="Normal 2686 4" xfId="37554"/>
    <cellStyle name="Normal 2687" xfId="12822"/>
    <cellStyle name="Normal 2687 2" xfId="12823"/>
    <cellStyle name="Normal 2687 2 2" xfId="37555"/>
    <cellStyle name="Normal 2687 2 3" xfId="37556"/>
    <cellStyle name="Normal 2687 3" xfId="12824"/>
    <cellStyle name="Normal 2687 4" xfId="37557"/>
    <cellStyle name="Normal 2688" xfId="12825"/>
    <cellStyle name="Normal 2688 2" xfId="12826"/>
    <cellStyle name="Normal 2688 2 2" xfId="37558"/>
    <cellStyle name="Normal 2688 2 3" xfId="37559"/>
    <cellStyle name="Normal 2688 3" xfId="12827"/>
    <cellStyle name="Normal 2688 4" xfId="37560"/>
    <cellStyle name="Normal 2689" xfId="12828"/>
    <cellStyle name="Normal 2689 2" xfId="12829"/>
    <cellStyle name="Normal 2689 2 2" xfId="37561"/>
    <cellStyle name="Normal 2689 2 3" xfId="37562"/>
    <cellStyle name="Normal 2689 3" xfId="12830"/>
    <cellStyle name="Normal 2689 4" xfId="37563"/>
    <cellStyle name="Normal 269" xfId="12831"/>
    <cellStyle name="Normal 269 10" xfId="37564"/>
    <cellStyle name="Normal 269 2" xfId="12832"/>
    <cellStyle name="Normal 269 2 2" xfId="12833"/>
    <cellStyle name="Normal 269 2 2 2" xfId="12834"/>
    <cellStyle name="Normal 269 2 2 3" xfId="12835"/>
    <cellStyle name="Normal 269 2 3" xfId="12836"/>
    <cellStyle name="Normal 269 2 3 2" xfId="37565"/>
    <cellStyle name="Normal 269 2 3 3" xfId="37566"/>
    <cellStyle name="Normal 269 2 4" xfId="12837"/>
    <cellStyle name="Normal 269 2 5" xfId="12838"/>
    <cellStyle name="Normal 269 2 6" xfId="37567"/>
    <cellStyle name="Normal 269 2 7" xfId="37568"/>
    <cellStyle name="Normal 269 2 8" xfId="37569"/>
    <cellStyle name="Normal 269 3" xfId="12839"/>
    <cellStyle name="Normal 269 3 2" xfId="12840"/>
    <cellStyle name="Normal 269 3 2 2" xfId="37570"/>
    <cellStyle name="Normal 269 3 2 3" xfId="37571"/>
    <cellStyle name="Normal 269 3 3" xfId="12841"/>
    <cellStyle name="Normal 269 3 3 2" xfId="37572"/>
    <cellStyle name="Normal 269 3 3 3" xfId="37573"/>
    <cellStyle name="Normal 269 3 4" xfId="37574"/>
    <cellStyle name="Normal 269 3 5" xfId="37575"/>
    <cellStyle name="Normal 269 4" xfId="12842"/>
    <cellStyle name="Normal 269 4 2" xfId="37576"/>
    <cellStyle name="Normal 269 4 3" xfId="37577"/>
    <cellStyle name="Normal 269 5" xfId="12843"/>
    <cellStyle name="Normal 269 5 2" xfId="37578"/>
    <cellStyle name="Normal 269 5 3" xfId="37579"/>
    <cellStyle name="Normal 269 6" xfId="12844"/>
    <cellStyle name="Normal 269 7" xfId="37580"/>
    <cellStyle name="Normal 269 8" xfId="37581"/>
    <cellStyle name="Normal 269 9" xfId="37582"/>
    <cellStyle name="Normal 2690" xfId="12845"/>
    <cellStyle name="Normal 2690 2" xfId="12846"/>
    <cellStyle name="Normal 2690 2 2" xfId="37583"/>
    <cellStyle name="Normal 2690 2 3" xfId="37584"/>
    <cellStyle name="Normal 2690 3" xfId="12847"/>
    <cellStyle name="Normal 2690 4" xfId="37585"/>
    <cellStyle name="Normal 2691" xfId="12848"/>
    <cellStyle name="Normal 2691 2" xfId="12849"/>
    <cellStyle name="Normal 2691 2 2" xfId="37586"/>
    <cellStyle name="Normal 2691 2 3" xfId="37587"/>
    <cellStyle name="Normal 2691 3" xfId="12850"/>
    <cellStyle name="Normal 2691 4" xfId="37588"/>
    <cellStyle name="Normal 2692" xfId="12851"/>
    <cellStyle name="Normal 2692 2" xfId="12852"/>
    <cellStyle name="Normal 2692 2 2" xfId="37589"/>
    <cellStyle name="Normal 2692 2 3" xfId="37590"/>
    <cellStyle name="Normal 2692 3" xfId="12853"/>
    <cellStyle name="Normal 2692 4" xfId="37591"/>
    <cellStyle name="Normal 2693" xfId="12854"/>
    <cellStyle name="Normal 2693 2" xfId="12855"/>
    <cellStyle name="Normal 2693 2 2" xfId="37592"/>
    <cellStyle name="Normal 2693 2 3" xfId="37593"/>
    <cellStyle name="Normal 2693 3" xfId="12856"/>
    <cellStyle name="Normal 2693 4" xfId="37594"/>
    <cellStyle name="Normal 2694" xfId="12857"/>
    <cellStyle name="Normal 2694 2" xfId="12858"/>
    <cellStyle name="Normal 2694 2 2" xfId="37595"/>
    <cellStyle name="Normal 2694 2 3" xfId="37596"/>
    <cellStyle name="Normal 2694 3" xfId="12859"/>
    <cellStyle name="Normal 2694 4" xfId="37597"/>
    <cellStyle name="Normal 2695" xfId="12860"/>
    <cellStyle name="Normal 2695 2" xfId="12861"/>
    <cellStyle name="Normal 2695 2 2" xfId="37598"/>
    <cellStyle name="Normal 2695 2 3" xfId="37599"/>
    <cellStyle name="Normal 2695 3" xfId="12862"/>
    <cellStyle name="Normal 2695 4" xfId="37600"/>
    <cellStyle name="Normal 2696" xfId="12863"/>
    <cellStyle name="Normal 2696 2" xfId="12864"/>
    <cellStyle name="Normal 2696 2 2" xfId="37601"/>
    <cellStyle name="Normal 2696 2 3" xfId="37602"/>
    <cellStyle name="Normal 2696 3" xfId="12865"/>
    <cellStyle name="Normal 2696 4" xfId="37603"/>
    <cellStyle name="Normal 2697" xfId="12866"/>
    <cellStyle name="Normal 2697 2" xfId="12867"/>
    <cellStyle name="Normal 2697 2 2" xfId="37604"/>
    <cellStyle name="Normal 2697 2 3" xfId="37605"/>
    <cellStyle name="Normal 2697 3" xfId="12868"/>
    <cellStyle name="Normal 2697 4" xfId="37606"/>
    <cellStyle name="Normal 2698" xfId="12869"/>
    <cellStyle name="Normal 2698 2" xfId="12870"/>
    <cellStyle name="Normal 2698 2 2" xfId="37607"/>
    <cellStyle name="Normal 2698 2 3" xfId="37608"/>
    <cellStyle name="Normal 2698 3" xfId="12871"/>
    <cellStyle name="Normal 2698 4" xfId="37609"/>
    <cellStyle name="Normal 2699" xfId="12872"/>
    <cellStyle name="Normal 2699 2" xfId="12873"/>
    <cellStyle name="Normal 2699 2 2" xfId="37610"/>
    <cellStyle name="Normal 2699 2 3" xfId="37611"/>
    <cellStyle name="Normal 2699 3" xfId="12874"/>
    <cellStyle name="Normal 2699 4" xfId="37612"/>
    <cellStyle name="Normal 27" xfId="12875"/>
    <cellStyle name="Normal 27 10" xfId="37613"/>
    <cellStyle name="Normal 27 2" xfId="12876"/>
    <cellStyle name="Normal 27 2 2" xfId="12877"/>
    <cellStyle name="Normal 27 2 2 2" xfId="12878"/>
    <cellStyle name="Normal 27 2 2 3" xfId="12879"/>
    <cellStyle name="Normal 27 2 3" xfId="12880"/>
    <cellStyle name="Normal 27 2 3 2" xfId="37614"/>
    <cellStyle name="Normal 27 2 3 3" xfId="37615"/>
    <cellStyle name="Normal 27 2 4" xfId="12881"/>
    <cellStyle name="Normal 27 2 5" xfId="12882"/>
    <cellStyle name="Normal 27 2 6" xfId="37616"/>
    <cellStyle name="Normal 27 2 7" xfId="37617"/>
    <cellStyle name="Normal 27 2 8" xfId="37618"/>
    <cellStyle name="Normal 27 3" xfId="12883"/>
    <cellStyle name="Normal 27 3 2" xfId="12884"/>
    <cellStyle name="Normal 27 3 2 2" xfId="37619"/>
    <cellStyle name="Normal 27 3 2 3" xfId="37620"/>
    <cellStyle name="Normal 27 3 3" xfId="12885"/>
    <cellStyle name="Normal 27 3 3 2" xfId="37621"/>
    <cellStyle name="Normal 27 3 3 3" xfId="37622"/>
    <cellStyle name="Normal 27 3 4" xfId="12886"/>
    <cellStyle name="Normal 27 3 5" xfId="37623"/>
    <cellStyle name="Normal 27 4" xfId="12887"/>
    <cellStyle name="Normal 27 4 2" xfId="37624"/>
    <cellStyle name="Normal 27 4 3" xfId="37625"/>
    <cellStyle name="Normal 27 5" xfId="12888"/>
    <cellStyle name="Normal 27 5 2" xfId="37626"/>
    <cellStyle name="Normal 27 5 3" xfId="37627"/>
    <cellStyle name="Normal 27 6" xfId="12889"/>
    <cellStyle name="Normal 27 7" xfId="37628"/>
    <cellStyle name="Normal 27 8" xfId="37629"/>
    <cellStyle name="Normal 27 9" xfId="37630"/>
    <cellStyle name="Normal 270" xfId="12890"/>
    <cellStyle name="Normal 270 10" xfId="37631"/>
    <cellStyle name="Normal 270 2" xfId="12891"/>
    <cellStyle name="Normal 270 2 2" xfId="12892"/>
    <cellStyle name="Normal 270 2 2 2" xfId="12893"/>
    <cellStyle name="Normal 270 2 2 3" xfId="12894"/>
    <cellStyle name="Normal 270 2 3" xfId="12895"/>
    <cellStyle name="Normal 270 2 3 2" xfId="37632"/>
    <cellStyle name="Normal 270 2 3 3" xfId="37633"/>
    <cellStyle name="Normal 270 2 4" xfId="12896"/>
    <cellStyle name="Normal 270 2 5" xfId="12897"/>
    <cellStyle name="Normal 270 2 6" xfId="37634"/>
    <cellStyle name="Normal 270 2 7" xfId="37635"/>
    <cellStyle name="Normal 270 2 8" xfId="37636"/>
    <cellStyle name="Normal 270 3" xfId="12898"/>
    <cellStyle name="Normal 270 3 2" xfId="12899"/>
    <cellStyle name="Normal 270 3 2 2" xfId="37637"/>
    <cellStyle name="Normal 270 3 2 3" xfId="37638"/>
    <cellStyle name="Normal 270 3 3" xfId="12900"/>
    <cellStyle name="Normal 270 3 3 2" xfId="37639"/>
    <cellStyle name="Normal 270 3 3 3" xfId="37640"/>
    <cellStyle name="Normal 270 3 4" xfId="37641"/>
    <cellStyle name="Normal 270 3 5" xfId="37642"/>
    <cellStyle name="Normal 270 4" xfId="12901"/>
    <cellStyle name="Normal 270 4 2" xfId="37643"/>
    <cellStyle name="Normal 270 4 3" xfId="37644"/>
    <cellStyle name="Normal 270 5" xfId="12902"/>
    <cellStyle name="Normal 270 5 2" xfId="37645"/>
    <cellStyle name="Normal 270 5 3" xfId="37646"/>
    <cellStyle name="Normal 270 6" xfId="12903"/>
    <cellStyle name="Normal 270 7" xfId="37647"/>
    <cellStyle name="Normal 270 8" xfId="37648"/>
    <cellStyle name="Normal 270 9" xfId="37649"/>
    <cellStyle name="Normal 2700" xfId="12904"/>
    <cellStyle name="Normal 2700 2" xfId="12905"/>
    <cellStyle name="Normal 2700 2 2" xfId="37650"/>
    <cellStyle name="Normal 2700 2 3" xfId="37651"/>
    <cellStyle name="Normal 2700 3" xfId="12906"/>
    <cellStyle name="Normal 2700 4" xfId="37652"/>
    <cellStyle name="Normal 2701" xfId="12907"/>
    <cellStyle name="Normal 2701 2" xfId="12908"/>
    <cellStyle name="Normal 2701 2 2" xfId="37653"/>
    <cellStyle name="Normal 2701 2 3" xfId="37654"/>
    <cellStyle name="Normal 2701 3" xfId="12909"/>
    <cellStyle name="Normal 2701 4" xfId="37655"/>
    <cellStyle name="Normal 2702" xfId="12910"/>
    <cellStyle name="Normal 2702 2" xfId="12911"/>
    <cellStyle name="Normal 2702 2 2" xfId="37656"/>
    <cellStyle name="Normal 2702 2 3" xfId="37657"/>
    <cellStyle name="Normal 2702 3" xfId="12912"/>
    <cellStyle name="Normal 2702 4" xfId="37658"/>
    <cellStyle name="Normal 2703" xfId="12913"/>
    <cellStyle name="Normal 2703 2" xfId="12914"/>
    <cellStyle name="Normal 2703 2 2" xfId="37659"/>
    <cellStyle name="Normal 2703 2 3" xfId="37660"/>
    <cellStyle name="Normal 2703 3" xfId="12915"/>
    <cellStyle name="Normal 2703 4" xfId="37661"/>
    <cellStyle name="Normal 2704" xfId="12916"/>
    <cellStyle name="Normal 2704 2" xfId="12917"/>
    <cellStyle name="Normal 2704 2 2" xfId="37662"/>
    <cellStyle name="Normal 2704 2 3" xfId="37663"/>
    <cellStyle name="Normal 2704 3" xfId="12918"/>
    <cellStyle name="Normal 2704 4" xfId="37664"/>
    <cellStyle name="Normal 2705" xfId="12919"/>
    <cellStyle name="Normal 2705 2" xfId="12920"/>
    <cellStyle name="Normal 2705 2 2" xfId="37665"/>
    <cellStyle name="Normal 2705 2 3" xfId="37666"/>
    <cellStyle name="Normal 2705 3" xfId="12921"/>
    <cellStyle name="Normal 2705 4" xfId="37667"/>
    <cellStyle name="Normal 2706" xfId="12922"/>
    <cellStyle name="Normal 2706 2" xfId="12923"/>
    <cellStyle name="Normal 2706 2 2" xfId="37668"/>
    <cellStyle name="Normal 2706 2 3" xfId="37669"/>
    <cellStyle name="Normal 2706 3" xfId="12924"/>
    <cellStyle name="Normal 2706 4" xfId="37670"/>
    <cellStyle name="Normal 2707" xfId="12925"/>
    <cellStyle name="Normal 2707 2" xfId="12926"/>
    <cellStyle name="Normal 2707 2 2" xfId="37671"/>
    <cellStyle name="Normal 2707 2 3" xfId="37672"/>
    <cellStyle name="Normal 2707 3" xfId="12927"/>
    <cellStyle name="Normal 2707 4" xfId="37673"/>
    <cellStyle name="Normal 2708" xfId="12928"/>
    <cellStyle name="Normal 2708 2" xfId="12929"/>
    <cellStyle name="Normal 2708 2 2" xfId="37674"/>
    <cellStyle name="Normal 2708 2 3" xfId="37675"/>
    <cellStyle name="Normal 2708 3" xfId="12930"/>
    <cellStyle name="Normal 2708 4" xfId="37676"/>
    <cellStyle name="Normal 2709" xfId="12931"/>
    <cellStyle name="Normal 2709 2" xfId="12932"/>
    <cellStyle name="Normal 2709 2 2" xfId="37677"/>
    <cellStyle name="Normal 2709 2 3" xfId="37678"/>
    <cellStyle name="Normal 2709 3" xfId="12933"/>
    <cellStyle name="Normal 2709 4" xfId="37679"/>
    <cellStyle name="Normal 271" xfId="12934"/>
    <cellStyle name="Normal 271 10" xfId="37680"/>
    <cellStyle name="Normal 271 2" xfId="12935"/>
    <cellStyle name="Normal 271 2 2" xfId="12936"/>
    <cellStyle name="Normal 271 2 2 2" xfId="12937"/>
    <cellStyle name="Normal 271 2 2 3" xfId="12938"/>
    <cellStyle name="Normal 271 2 3" xfId="12939"/>
    <cellStyle name="Normal 271 2 3 2" xfId="37681"/>
    <cellStyle name="Normal 271 2 3 3" xfId="37682"/>
    <cellStyle name="Normal 271 2 4" xfId="12940"/>
    <cellStyle name="Normal 271 2 5" xfId="12941"/>
    <cellStyle name="Normal 271 2 6" xfId="37683"/>
    <cellStyle name="Normal 271 2 7" xfId="37684"/>
    <cellStyle name="Normal 271 2 8" xfId="37685"/>
    <cellStyle name="Normal 271 3" xfId="12942"/>
    <cellStyle name="Normal 271 3 2" xfId="12943"/>
    <cellStyle name="Normal 271 3 2 2" xfId="37686"/>
    <cellStyle name="Normal 271 3 2 3" xfId="37687"/>
    <cellStyle name="Normal 271 3 3" xfId="12944"/>
    <cellStyle name="Normal 271 3 3 2" xfId="37688"/>
    <cellStyle name="Normal 271 3 3 3" xfId="37689"/>
    <cellStyle name="Normal 271 3 4" xfId="37690"/>
    <cellStyle name="Normal 271 3 5" xfId="37691"/>
    <cellStyle name="Normal 271 4" xfId="12945"/>
    <cellStyle name="Normal 271 4 2" xfId="37692"/>
    <cellStyle name="Normal 271 4 3" xfId="37693"/>
    <cellStyle name="Normal 271 5" xfId="12946"/>
    <cellStyle name="Normal 271 5 2" xfId="37694"/>
    <cellStyle name="Normal 271 5 3" xfId="37695"/>
    <cellStyle name="Normal 271 6" xfId="12947"/>
    <cellStyle name="Normal 271 7" xfId="37696"/>
    <cellStyle name="Normal 271 8" xfId="37697"/>
    <cellStyle name="Normal 271 9" xfId="37698"/>
    <cellStyle name="Normal 2710" xfId="12948"/>
    <cellStyle name="Normal 2710 2" xfId="12949"/>
    <cellStyle name="Normal 2710 2 2" xfId="37699"/>
    <cellStyle name="Normal 2710 2 3" xfId="37700"/>
    <cellStyle name="Normal 2710 3" xfId="12950"/>
    <cellStyle name="Normal 2710 4" xfId="37701"/>
    <cellStyle name="Normal 2711" xfId="12951"/>
    <cellStyle name="Normal 2711 2" xfId="12952"/>
    <cellStyle name="Normal 2711 2 2" xfId="37702"/>
    <cellStyle name="Normal 2711 2 3" xfId="37703"/>
    <cellStyle name="Normal 2711 3" xfId="12953"/>
    <cellStyle name="Normal 2711 4" xfId="37704"/>
    <cellStyle name="Normal 2712" xfId="12954"/>
    <cellStyle name="Normal 2712 2" xfId="12955"/>
    <cellStyle name="Normal 2712 2 2" xfId="37705"/>
    <cellStyle name="Normal 2712 2 3" xfId="37706"/>
    <cellStyle name="Normal 2712 3" xfId="12956"/>
    <cellStyle name="Normal 2712 4" xfId="37707"/>
    <cellStyle name="Normal 2713" xfId="12957"/>
    <cellStyle name="Normal 2713 2" xfId="12958"/>
    <cellStyle name="Normal 2713 2 2" xfId="37708"/>
    <cellStyle name="Normal 2713 2 3" xfId="37709"/>
    <cellStyle name="Normal 2713 3" xfId="12959"/>
    <cellStyle name="Normal 2713 4" xfId="37710"/>
    <cellStyle name="Normal 2714" xfId="12960"/>
    <cellStyle name="Normal 2714 2" xfId="12961"/>
    <cellStyle name="Normal 2714 2 2" xfId="37711"/>
    <cellStyle name="Normal 2714 2 3" xfId="37712"/>
    <cellStyle name="Normal 2714 3" xfId="12962"/>
    <cellStyle name="Normal 2714 4" xfId="37713"/>
    <cellStyle name="Normal 2715" xfId="12963"/>
    <cellStyle name="Normal 2715 2" xfId="12964"/>
    <cellStyle name="Normal 2715 2 2" xfId="37714"/>
    <cellStyle name="Normal 2715 2 3" xfId="37715"/>
    <cellStyle name="Normal 2715 3" xfId="12965"/>
    <cellStyle name="Normal 2715 4" xfId="37716"/>
    <cellStyle name="Normal 2716" xfId="12966"/>
    <cellStyle name="Normal 2716 2" xfId="12967"/>
    <cellStyle name="Normal 2716 2 2" xfId="37717"/>
    <cellStyle name="Normal 2716 2 3" xfId="37718"/>
    <cellStyle name="Normal 2716 3" xfId="12968"/>
    <cellStyle name="Normal 2716 4" xfId="37719"/>
    <cellStyle name="Normal 2717" xfId="12969"/>
    <cellStyle name="Normal 2717 2" xfId="12970"/>
    <cellStyle name="Normal 2717 2 2" xfId="37720"/>
    <cellStyle name="Normal 2717 2 3" xfId="37721"/>
    <cellStyle name="Normal 2717 3" xfId="12971"/>
    <cellStyle name="Normal 2717 4" xfId="37722"/>
    <cellStyle name="Normal 2718" xfId="12972"/>
    <cellStyle name="Normal 2718 2" xfId="12973"/>
    <cellStyle name="Normal 2718 2 2" xfId="37723"/>
    <cellStyle name="Normal 2718 2 3" xfId="37724"/>
    <cellStyle name="Normal 2718 3" xfId="12974"/>
    <cellStyle name="Normal 2718 4" xfId="37725"/>
    <cellStyle name="Normal 2719" xfId="12975"/>
    <cellStyle name="Normal 2719 2" xfId="12976"/>
    <cellStyle name="Normal 2719 2 2" xfId="37726"/>
    <cellStyle name="Normal 2719 2 3" xfId="37727"/>
    <cellStyle name="Normal 2719 3" xfId="12977"/>
    <cellStyle name="Normal 2719 4" xfId="37728"/>
    <cellStyle name="Normal 272" xfId="12978"/>
    <cellStyle name="Normal 272 10" xfId="37729"/>
    <cellStyle name="Normal 272 2" xfId="12979"/>
    <cellStyle name="Normal 272 2 2" xfId="12980"/>
    <cellStyle name="Normal 272 2 2 2" xfId="12981"/>
    <cellStyle name="Normal 272 2 2 3" xfId="12982"/>
    <cellStyle name="Normal 272 2 3" xfId="12983"/>
    <cellStyle name="Normal 272 2 3 2" xfId="37730"/>
    <cellStyle name="Normal 272 2 3 3" xfId="37731"/>
    <cellStyle name="Normal 272 2 4" xfId="12984"/>
    <cellStyle name="Normal 272 2 5" xfId="12985"/>
    <cellStyle name="Normal 272 2 6" xfId="37732"/>
    <cellStyle name="Normal 272 2 7" xfId="37733"/>
    <cellStyle name="Normal 272 2 8" xfId="37734"/>
    <cellStyle name="Normal 272 3" xfId="12986"/>
    <cellStyle name="Normal 272 3 2" xfId="12987"/>
    <cellStyle name="Normal 272 3 2 2" xfId="37735"/>
    <cellStyle name="Normal 272 3 2 3" xfId="37736"/>
    <cellStyle name="Normal 272 3 3" xfId="12988"/>
    <cellStyle name="Normal 272 3 3 2" xfId="37737"/>
    <cellStyle name="Normal 272 3 3 3" xfId="37738"/>
    <cellStyle name="Normal 272 3 4" xfId="37739"/>
    <cellStyle name="Normal 272 3 5" xfId="37740"/>
    <cellStyle name="Normal 272 4" xfId="12989"/>
    <cellStyle name="Normal 272 4 2" xfId="37741"/>
    <cellStyle name="Normal 272 4 3" xfId="37742"/>
    <cellStyle name="Normal 272 5" xfId="12990"/>
    <cellStyle name="Normal 272 5 2" xfId="37743"/>
    <cellStyle name="Normal 272 5 3" xfId="37744"/>
    <cellStyle name="Normal 272 6" xfId="12991"/>
    <cellStyle name="Normal 272 7" xfId="37745"/>
    <cellStyle name="Normal 272 8" xfId="37746"/>
    <cellStyle name="Normal 272 9" xfId="37747"/>
    <cellStyle name="Normal 2720" xfId="12992"/>
    <cellStyle name="Normal 2720 2" xfId="12993"/>
    <cellStyle name="Normal 2720 2 2" xfId="37748"/>
    <cellStyle name="Normal 2720 2 3" xfId="37749"/>
    <cellStyle name="Normal 2720 3" xfId="12994"/>
    <cellStyle name="Normal 2720 4" xfId="37750"/>
    <cellStyle name="Normal 2721" xfId="12995"/>
    <cellStyle name="Normal 2721 2" xfId="12996"/>
    <cellStyle name="Normal 2721 2 2" xfId="37751"/>
    <cellStyle name="Normal 2721 2 3" xfId="37752"/>
    <cellStyle name="Normal 2721 3" xfId="12997"/>
    <cellStyle name="Normal 2721 4" xfId="37753"/>
    <cellStyle name="Normal 2722" xfId="12998"/>
    <cellStyle name="Normal 2722 2" xfId="12999"/>
    <cellStyle name="Normal 2722 2 2" xfId="37754"/>
    <cellStyle name="Normal 2722 2 3" xfId="37755"/>
    <cellStyle name="Normal 2722 3" xfId="13000"/>
    <cellStyle name="Normal 2722 4" xfId="37756"/>
    <cellStyle name="Normal 2723" xfId="13001"/>
    <cellStyle name="Normal 2723 2" xfId="13002"/>
    <cellStyle name="Normal 2723 2 2" xfId="37757"/>
    <cellStyle name="Normal 2723 2 3" xfId="37758"/>
    <cellStyle name="Normal 2723 3" xfId="13003"/>
    <cellStyle name="Normal 2723 4" xfId="37759"/>
    <cellStyle name="Normal 2724" xfId="13004"/>
    <cellStyle name="Normal 2724 2" xfId="13005"/>
    <cellStyle name="Normal 2724 2 2" xfId="37760"/>
    <cellStyle name="Normal 2724 2 3" xfId="37761"/>
    <cellStyle name="Normal 2724 3" xfId="13006"/>
    <cellStyle name="Normal 2724 4" xfId="37762"/>
    <cellStyle name="Normal 2725" xfId="13007"/>
    <cellStyle name="Normal 2725 2" xfId="13008"/>
    <cellStyle name="Normal 2725 2 2" xfId="37763"/>
    <cellStyle name="Normal 2725 2 3" xfId="37764"/>
    <cellStyle name="Normal 2725 3" xfId="13009"/>
    <cellStyle name="Normal 2725 4" xfId="37765"/>
    <cellStyle name="Normal 2726" xfId="13010"/>
    <cellStyle name="Normal 2726 2" xfId="13011"/>
    <cellStyle name="Normal 2726 2 2" xfId="37766"/>
    <cellStyle name="Normal 2726 2 3" xfId="37767"/>
    <cellStyle name="Normal 2726 3" xfId="13012"/>
    <cellStyle name="Normal 2726 4" xfId="37768"/>
    <cellStyle name="Normal 2727" xfId="13013"/>
    <cellStyle name="Normal 2727 2" xfId="13014"/>
    <cellStyle name="Normal 2727 2 2" xfId="37769"/>
    <cellStyle name="Normal 2727 2 3" xfId="37770"/>
    <cellStyle name="Normal 2727 3" xfId="13015"/>
    <cellStyle name="Normal 2727 4" xfId="37771"/>
    <cellStyle name="Normal 2728" xfId="13016"/>
    <cellStyle name="Normal 2728 2" xfId="13017"/>
    <cellStyle name="Normal 2728 2 2" xfId="37772"/>
    <cellStyle name="Normal 2728 2 3" xfId="37773"/>
    <cellStyle name="Normal 2728 3" xfId="13018"/>
    <cellStyle name="Normal 2728 4" xfId="37774"/>
    <cellStyle name="Normal 2729" xfId="13019"/>
    <cellStyle name="Normal 2729 2" xfId="13020"/>
    <cellStyle name="Normal 2729 2 2" xfId="37775"/>
    <cellStyle name="Normal 2729 2 3" xfId="37776"/>
    <cellStyle name="Normal 2729 3" xfId="13021"/>
    <cellStyle name="Normal 2729 4" xfId="37777"/>
    <cellStyle name="Normal 273" xfId="13022"/>
    <cellStyle name="Normal 273 10" xfId="37778"/>
    <cellStyle name="Normal 273 2" xfId="13023"/>
    <cellStyle name="Normal 273 2 2" xfId="13024"/>
    <cellStyle name="Normal 273 2 2 2" xfId="13025"/>
    <cellStyle name="Normal 273 2 2 3" xfId="13026"/>
    <cellStyle name="Normal 273 2 3" xfId="13027"/>
    <cellStyle name="Normal 273 2 3 2" xfId="37779"/>
    <cellStyle name="Normal 273 2 3 3" xfId="37780"/>
    <cellStyle name="Normal 273 2 4" xfId="13028"/>
    <cellStyle name="Normal 273 2 5" xfId="13029"/>
    <cellStyle name="Normal 273 2 6" xfId="37781"/>
    <cellStyle name="Normal 273 2 7" xfId="37782"/>
    <cellStyle name="Normal 273 2 8" xfId="37783"/>
    <cellStyle name="Normal 273 3" xfId="13030"/>
    <cellStyle name="Normal 273 3 2" xfId="13031"/>
    <cellStyle name="Normal 273 3 2 2" xfId="37784"/>
    <cellStyle name="Normal 273 3 2 3" xfId="37785"/>
    <cellStyle name="Normal 273 3 3" xfId="13032"/>
    <cellStyle name="Normal 273 3 3 2" xfId="37786"/>
    <cellStyle name="Normal 273 3 3 3" xfId="37787"/>
    <cellStyle name="Normal 273 3 4" xfId="37788"/>
    <cellStyle name="Normal 273 3 5" xfId="37789"/>
    <cellStyle name="Normal 273 4" xfId="13033"/>
    <cellStyle name="Normal 273 4 2" xfId="37790"/>
    <cellStyle name="Normal 273 4 3" xfId="37791"/>
    <cellStyle name="Normal 273 5" xfId="13034"/>
    <cellStyle name="Normal 273 5 2" xfId="37792"/>
    <cellStyle name="Normal 273 5 3" xfId="37793"/>
    <cellStyle name="Normal 273 6" xfId="13035"/>
    <cellStyle name="Normal 273 7" xfId="37794"/>
    <cellStyle name="Normal 273 8" xfId="37795"/>
    <cellStyle name="Normal 273 9" xfId="37796"/>
    <cellStyle name="Normal 2730" xfId="13036"/>
    <cellStyle name="Normal 2730 2" xfId="13037"/>
    <cellStyle name="Normal 2730 2 2" xfId="37797"/>
    <cellStyle name="Normal 2730 2 3" xfId="37798"/>
    <cellStyle name="Normal 2730 3" xfId="13038"/>
    <cellStyle name="Normal 2730 4" xfId="37799"/>
    <cellStyle name="Normal 2731" xfId="13039"/>
    <cellStyle name="Normal 2731 2" xfId="13040"/>
    <cellStyle name="Normal 2731 2 2" xfId="37800"/>
    <cellStyle name="Normal 2731 2 3" xfId="37801"/>
    <cellStyle name="Normal 2731 3" xfId="13041"/>
    <cellStyle name="Normal 2731 4" xfId="37802"/>
    <cellStyle name="Normal 2732" xfId="13042"/>
    <cellStyle name="Normal 2732 2" xfId="13043"/>
    <cellStyle name="Normal 2732 2 2" xfId="37803"/>
    <cellStyle name="Normal 2732 2 3" xfId="37804"/>
    <cellStyle name="Normal 2732 3" xfId="13044"/>
    <cellStyle name="Normal 2732 4" xfId="37805"/>
    <cellStyle name="Normal 2733" xfId="13045"/>
    <cellStyle name="Normal 2733 2" xfId="13046"/>
    <cellStyle name="Normal 2733 2 2" xfId="37806"/>
    <cellStyle name="Normal 2733 2 3" xfId="37807"/>
    <cellStyle name="Normal 2733 3" xfId="13047"/>
    <cellStyle name="Normal 2733 4" xfId="37808"/>
    <cellStyle name="Normal 2734" xfId="13048"/>
    <cellStyle name="Normal 2734 2" xfId="13049"/>
    <cellStyle name="Normal 2734 2 2" xfId="37809"/>
    <cellStyle name="Normal 2734 2 3" xfId="37810"/>
    <cellStyle name="Normal 2734 3" xfId="13050"/>
    <cellStyle name="Normal 2734 4" xfId="37811"/>
    <cellStyle name="Normal 2735" xfId="13051"/>
    <cellStyle name="Normal 2735 2" xfId="13052"/>
    <cellStyle name="Normal 2735 2 2" xfId="37812"/>
    <cellStyle name="Normal 2735 2 3" xfId="37813"/>
    <cellStyle name="Normal 2735 3" xfId="13053"/>
    <cellStyle name="Normal 2735 4" xfId="37814"/>
    <cellStyle name="Normal 2736" xfId="13054"/>
    <cellStyle name="Normal 2736 2" xfId="13055"/>
    <cellStyle name="Normal 2736 2 2" xfId="37815"/>
    <cellStyle name="Normal 2736 2 3" xfId="37816"/>
    <cellStyle name="Normal 2736 3" xfId="13056"/>
    <cellStyle name="Normal 2736 4" xfId="37817"/>
    <cellStyle name="Normal 2737" xfId="13057"/>
    <cellStyle name="Normal 2737 2" xfId="13058"/>
    <cellStyle name="Normal 2737 2 2" xfId="37818"/>
    <cellStyle name="Normal 2737 2 3" xfId="37819"/>
    <cellStyle name="Normal 2737 3" xfId="13059"/>
    <cellStyle name="Normal 2737 4" xfId="37820"/>
    <cellStyle name="Normal 2738" xfId="13060"/>
    <cellStyle name="Normal 2738 2" xfId="13061"/>
    <cellStyle name="Normal 2738 2 2" xfId="37821"/>
    <cellStyle name="Normal 2738 2 3" xfId="37822"/>
    <cellStyle name="Normal 2738 3" xfId="13062"/>
    <cellStyle name="Normal 2738 4" xfId="37823"/>
    <cellStyle name="Normal 2739" xfId="13063"/>
    <cellStyle name="Normal 2739 2" xfId="13064"/>
    <cellStyle name="Normal 2739 2 2" xfId="37824"/>
    <cellStyle name="Normal 2739 2 3" xfId="37825"/>
    <cellStyle name="Normal 2739 3" xfId="13065"/>
    <cellStyle name="Normal 2739 4" xfId="37826"/>
    <cellStyle name="Normal 274" xfId="13066"/>
    <cellStyle name="Normal 274 10" xfId="37827"/>
    <cellStyle name="Normal 274 2" xfId="13067"/>
    <cellStyle name="Normal 274 2 2" xfId="13068"/>
    <cellStyle name="Normal 274 2 2 2" xfId="13069"/>
    <cellStyle name="Normal 274 2 2 3" xfId="13070"/>
    <cellStyle name="Normal 274 2 3" xfId="13071"/>
    <cellStyle name="Normal 274 2 3 2" xfId="37828"/>
    <cellStyle name="Normal 274 2 3 3" xfId="37829"/>
    <cellStyle name="Normal 274 2 4" xfId="13072"/>
    <cellStyle name="Normal 274 2 5" xfId="13073"/>
    <cellStyle name="Normal 274 2 6" xfId="37830"/>
    <cellStyle name="Normal 274 2 7" xfId="37831"/>
    <cellStyle name="Normal 274 2 8" xfId="37832"/>
    <cellStyle name="Normal 274 3" xfId="13074"/>
    <cellStyle name="Normal 274 3 2" xfId="13075"/>
    <cellStyle name="Normal 274 3 2 2" xfId="37833"/>
    <cellStyle name="Normal 274 3 2 3" xfId="37834"/>
    <cellStyle name="Normal 274 3 3" xfId="13076"/>
    <cellStyle name="Normal 274 3 3 2" xfId="37835"/>
    <cellStyle name="Normal 274 3 3 3" xfId="37836"/>
    <cellStyle name="Normal 274 3 4" xfId="37837"/>
    <cellStyle name="Normal 274 3 5" xfId="37838"/>
    <cellStyle name="Normal 274 4" xfId="13077"/>
    <cellStyle name="Normal 274 4 2" xfId="37839"/>
    <cellStyle name="Normal 274 4 3" xfId="37840"/>
    <cellStyle name="Normal 274 5" xfId="13078"/>
    <cellStyle name="Normal 274 5 2" xfId="37841"/>
    <cellStyle name="Normal 274 5 3" xfId="37842"/>
    <cellStyle name="Normal 274 6" xfId="13079"/>
    <cellStyle name="Normal 274 7" xfId="37843"/>
    <cellStyle name="Normal 274 8" xfId="37844"/>
    <cellStyle name="Normal 274 9" xfId="37845"/>
    <cellStyle name="Normal 2740" xfId="13080"/>
    <cellStyle name="Normal 2740 2" xfId="13081"/>
    <cellStyle name="Normal 2740 2 2" xfId="37846"/>
    <cellStyle name="Normal 2740 2 3" xfId="37847"/>
    <cellStyle name="Normal 2740 3" xfId="13082"/>
    <cellStyle name="Normal 2740 4" xfId="37848"/>
    <cellStyle name="Normal 2741" xfId="13083"/>
    <cellStyle name="Normal 2741 2" xfId="13084"/>
    <cellStyle name="Normal 2741 2 2" xfId="37849"/>
    <cellStyle name="Normal 2741 2 3" xfId="37850"/>
    <cellStyle name="Normal 2741 3" xfId="13085"/>
    <cellStyle name="Normal 2741 4" xfId="37851"/>
    <cellStyle name="Normal 2742" xfId="13086"/>
    <cellStyle name="Normal 2742 2" xfId="13087"/>
    <cellStyle name="Normal 2742 2 2" xfId="37852"/>
    <cellStyle name="Normal 2742 2 3" xfId="37853"/>
    <cellStyle name="Normal 2742 3" xfId="13088"/>
    <cellStyle name="Normal 2742 4" xfId="37854"/>
    <cellStyle name="Normal 2743" xfId="13089"/>
    <cellStyle name="Normal 2743 2" xfId="13090"/>
    <cellStyle name="Normal 2743 2 2" xfId="37855"/>
    <cellStyle name="Normal 2743 2 3" xfId="37856"/>
    <cellStyle name="Normal 2743 3" xfId="13091"/>
    <cellStyle name="Normal 2743 4" xfId="37857"/>
    <cellStyle name="Normal 2744" xfId="13092"/>
    <cellStyle name="Normal 2744 2" xfId="13093"/>
    <cellStyle name="Normal 2744 2 2" xfId="37858"/>
    <cellStyle name="Normal 2744 2 3" xfId="37859"/>
    <cellStyle name="Normal 2744 3" xfId="13094"/>
    <cellStyle name="Normal 2744 4" xfId="37860"/>
    <cellStyle name="Normal 2745" xfId="13095"/>
    <cellStyle name="Normal 2745 2" xfId="13096"/>
    <cellStyle name="Normal 2745 2 2" xfId="37861"/>
    <cellStyle name="Normal 2745 2 3" xfId="37862"/>
    <cellStyle name="Normal 2745 3" xfId="13097"/>
    <cellStyle name="Normal 2745 4" xfId="37863"/>
    <cellStyle name="Normal 2746" xfId="13098"/>
    <cellStyle name="Normal 2746 2" xfId="13099"/>
    <cellStyle name="Normal 2746 2 2" xfId="37864"/>
    <cellStyle name="Normal 2746 2 3" xfId="37865"/>
    <cellStyle name="Normal 2746 3" xfId="13100"/>
    <cellStyle name="Normal 2746 4" xfId="37866"/>
    <cellStyle name="Normal 2747" xfId="13101"/>
    <cellStyle name="Normal 2747 2" xfId="13102"/>
    <cellStyle name="Normal 2747 2 2" xfId="37867"/>
    <cellStyle name="Normal 2747 2 3" xfId="37868"/>
    <cellStyle name="Normal 2747 3" xfId="13103"/>
    <cellStyle name="Normal 2747 4" xfId="37869"/>
    <cellStyle name="Normal 2748" xfId="13104"/>
    <cellStyle name="Normal 2748 2" xfId="13105"/>
    <cellStyle name="Normal 2748 2 2" xfId="37870"/>
    <cellStyle name="Normal 2748 2 3" xfId="37871"/>
    <cellStyle name="Normal 2748 3" xfId="13106"/>
    <cellStyle name="Normal 2748 4" xfId="37872"/>
    <cellStyle name="Normal 2749" xfId="13107"/>
    <cellStyle name="Normal 2749 2" xfId="13108"/>
    <cellStyle name="Normal 2749 2 2" xfId="37873"/>
    <cellStyle name="Normal 2749 2 3" xfId="37874"/>
    <cellStyle name="Normal 2749 3" xfId="13109"/>
    <cellStyle name="Normal 2749 4" xfId="37875"/>
    <cellStyle name="Normal 275" xfId="13110"/>
    <cellStyle name="Normal 275 10" xfId="37876"/>
    <cellStyle name="Normal 275 2" xfId="13111"/>
    <cellStyle name="Normal 275 2 2" xfId="13112"/>
    <cellStyle name="Normal 275 2 2 2" xfId="13113"/>
    <cellStyle name="Normal 275 2 2 3" xfId="13114"/>
    <cellStyle name="Normal 275 2 3" xfId="13115"/>
    <cellStyle name="Normal 275 2 3 2" xfId="37877"/>
    <cellStyle name="Normal 275 2 3 3" xfId="37878"/>
    <cellStyle name="Normal 275 2 4" xfId="13116"/>
    <cellStyle name="Normal 275 2 5" xfId="13117"/>
    <cellStyle name="Normal 275 2 6" xfId="37879"/>
    <cellStyle name="Normal 275 2 7" xfId="37880"/>
    <cellStyle name="Normal 275 2 8" xfId="37881"/>
    <cellStyle name="Normal 275 3" xfId="13118"/>
    <cellStyle name="Normal 275 3 2" xfId="13119"/>
    <cellStyle name="Normal 275 3 2 2" xfId="37882"/>
    <cellStyle name="Normal 275 3 2 3" xfId="37883"/>
    <cellStyle name="Normal 275 3 3" xfId="13120"/>
    <cellStyle name="Normal 275 3 3 2" xfId="37884"/>
    <cellStyle name="Normal 275 3 3 3" xfId="37885"/>
    <cellStyle name="Normal 275 3 4" xfId="37886"/>
    <cellStyle name="Normal 275 3 5" xfId="37887"/>
    <cellStyle name="Normal 275 4" xfId="13121"/>
    <cellStyle name="Normal 275 4 2" xfId="37888"/>
    <cellStyle name="Normal 275 4 3" xfId="37889"/>
    <cellStyle name="Normal 275 5" xfId="13122"/>
    <cellStyle name="Normal 275 5 2" xfId="37890"/>
    <cellStyle name="Normal 275 5 3" xfId="37891"/>
    <cellStyle name="Normal 275 6" xfId="13123"/>
    <cellStyle name="Normal 275 7" xfId="37892"/>
    <cellStyle name="Normal 275 8" xfId="37893"/>
    <cellStyle name="Normal 275 9" xfId="37894"/>
    <cellStyle name="Normal 2750" xfId="13124"/>
    <cellStyle name="Normal 2750 2" xfId="13125"/>
    <cellStyle name="Normal 2750 2 2" xfId="37895"/>
    <cellStyle name="Normal 2750 2 3" xfId="37896"/>
    <cellStyle name="Normal 2750 3" xfId="13126"/>
    <cellStyle name="Normal 2750 4" xfId="37897"/>
    <cellStyle name="Normal 2751" xfId="13127"/>
    <cellStyle name="Normal 2751 2" xfId="13128"/>
    <cellStyle name="Normal 2751 2 2" xfId="37898"/>
    <cellStyle name="Normal 2751 2 3" xfId="37899"/>
    <cellStyle name="Normal 2751 3" xfId="13129"/>
    <cellStyle name="Normal 2751 4" xfId="37900"/>
    <cellStyle name="Normal 2752" xfId="13130"/>
    <cellStyle name="Normal 2752 2" xfId="13131"/>
    <cellStyle name="Normal 2752 2 2" xfId="37901"/>
    <cellStyle name="Normal 2752 2 3" xfId="37902"/>
    <cellStyle name="Normal 2752 3" xfId="13132"/>
    <cellStyle name="Normal 2752 4" xfId="37903"/>
    <cellStyle name="Normal 2753" xfId="13133"/>
    <cellStyle name="Normal 2753 2" xfId="13134"/>
    <cellStyle name="Normal 2753 2 2" xfId="37904"/>
    <cellStyle name="Normal 2753 2 3" xfId="37905"/>
    <cellStyle name="Normal 2753 3" xfId="13135"/>
    <cellStyle name="Normal 2753 4" xfId="37906"/>
    <cellStyle name="Normal 2754" xfId="13136"/>
    <cellStyle name="Normal 2754 2" xfId="13137"/>
    <cellStyle name="Normal 2754 2 2" xfId="37907"/>
    <cellStyle name="Normal 2754 2 3" xfId="37908"/>
    <cellStyle name="Normal 2754 3" xfId="13138"/>
    <cellStyle name="Normal 2754 4" xfId="37909"/>
    <cellStyle name="Normal 2755" xfId="13139"/>
    <cellStyle name="Normal 2755 2" xfId="13140"/>
    <cellStyle name="Normal 2755 2 2" xfId="37910"/>
    <cellStyle name="Normal 2755 2 3" xfId="37911"/>
    <cellStyle name="Normal 2755 3" xfId="13141"/>
    <cellStyle name="Normal 2755 4" xfId="37912"/>
    <cellStyle name="Normal 2756" xfId="13142"/>
    <cellStyle name="Normal 2756 2" xfId="13143"/>
    <cellStyle name="Normal 2756 2 2" xfId="37913"/>
    <cellStyle name="Normal 2756 2 3" xfId="37914"/>
    <cellStyle name="Normal 2756 3" xfId="13144"/>
    <cellStyle name="Normal 2756 4" xfId="37915"/>
    <cellStyle name="Normal 2757" xfId="13145"/>
    <cellStyle name="Normal 2757 2" xfId="13146"/>
    <cellStyle name="Normal 2757 2 2" xfId="37916"/>
    <cellStyle name="Normal 2757 2 3" xfId="37917"/>
    <cellStyle name="Normal 2757 3" xfId="13147"/>
    <cellStyle name="Normal 2757 4" xfId="37918"/>
    <cellStyle name="Normal 2758" xfId="13148"/>
    <cellStyle name="Normal 2758 2" xfId="13149"/>
    <cellStyle name="Normal 2758 2 2" xfId="37919"/>
    <cellStyle name="Normal 2758 2 3" xfId="37920"/>
    <cellStyle name="Normal 2758 3" xfId="13150"/>
    <cellStyle name="Normal 2758 4" xfId="37921"/>
    <cellStyle name="Normal 2759" xfId="13151"/>
    <cellStyle name="Normal 2759 2" xfId="13152"/>
    <cellStyle name="Normal 2759 2 2" xfId="37922"/>
    <cellStyle name="Normal 2759 2 3" xfId="37923"/>
    <cellStyle name="Normal 2759 3" xfId="13153"/>
    <cellStyle name="Normal 2759 4" xfId="37924"/>
    <cellStyle name="Normal 276" xfId="13154"/>
    <cellStyle name="Normal 276 10" xfId="37925"/>
    <cellStyle name="Normal 276 2" xfId="13155"/>
    <cellStyle name="Normal 276 2 2" xfId="13156"/>
    <cellStyle name="Normal 276 2 2 2" xfId="13157"/>
    <cellStyle name="Normal 276 2 2 3" xfId="13158"/>
    <cellStyle name="Normal 276 2 3" xfId="13159"/>
    <cellStyle name="Normal 276 2 3 2" xfId="37926"/>
    <cellStyle name="Normal 276 2 3 3" xfId="37927"/>
    <cellStyle name="Normal 276 2 4" xfId="13160"/>
    <cellStyle name="Normal 276 2 5" xfId="13161"/>
    <cellStyle name="Normal 276 2 6" xfId="37928"/>
    <cellStyle name="Normal 276 2 7" xfId="37929"/>
    <cellStyle name="Normal 276 2 8" xfId="37930"/>
    <cellStyle name="Normal 276 3" xfId="13162"/>
    <cellStyle name="Normal 276 3 2" xfId="13163"/>
    <cellStyle name="Normal 276 3 2 2" xfId="37931"/>
    <cellStyle name="Normal 276 3 2 3" xfId="37932"/>
    <cellStyle name="Normal 276 3 3" xfId="13164"/>
    <cellStyle name="Normal 276 3 3 2" xfId="37933"/>
    <cellStyle name="Normal 276 3 3 3" xfId="37934"/>
    <cellStyle name="Normal 276 3 4" xfId="37935"/>
    <cellStyle name="Normal 276 3 5" xfId="37936"/>
    <cellStyle name="Normal 276 4" xfId="13165"/>
    <cellStyle name="Normal 276 4 2" xfId="37937"/>
    <cellStyle name="Normal 276 4 3" xfId="37938"/>
    <cellStyle name="Normal 276 5" xfId="13166"/>
    <cellStyle name="Normal 276 5 2" xfId="37939"/>
    <cellStyle name="Normal 276 5 3" xfId="37940"/>
    <cellStyle name="Normal 276 6" xfId="13167"/>
    <cellStyle name="Normal 276 7" xfId="37941"/>
    <cellStyle name="Normal 276 8" xfId="37942"/>
    <cellStyle name="Normal 276 9" xfId="37943"/>
    <cellStyle name="Normal 2760" xfId="13168"/>
    <cellStyle name="Normal 2760 2" xfId="13169"/>
    <cellStyle name="Normal 2760 2 2" xfId="37944"/>
    <cellStyle name="Normal 2760 2 3" xfId="37945"/>
    <cellStyle name="Normal 2760 3" xfId="13170"/>
    <cellStyle name="Normal 2760 4" xfId="37946"/>
    <cellStyle name="Normal 2761" xfId="13171"/>
    <cellStyle name="Normal 2761 2" xfId="13172"/>
    <cellStyle name="Normal 2761 2 2" xfId="37947"/>
    <cellStyle name="Normal 2761 2 3" xfId="37948"/>
    <cellStyle name="Normal 2761 3" xfId="13173"/>
    <cellStyle name="Normal 2761 4" xfId="37949"/>
    <cellStyle name="Normal 2762" xfId="13174"/>
    <cellStyle name="Normal 2762 2" xfId="13175"/>
    <cellStyle name="Normal 2762 2 2" xfId="37950"/>
    <cellStyle name="Normal 2762 2 3" xfId="37951"/>
    <cellStyle name="Normal 2762 3" xfId="13176"/>
    <cellStyle name="Normal 2762 4" xfId="37952"/>
    <cellStyle name="Normal 2763" xfId="13177"/>
    <cellStyle name="Normal 2763 2" xfId="13178"/>
    <cellStyle name="Normal 2763 2 2" xfId="37953"/>
    <cellStyle name="Normal 2763 2 3" xfId="37954"/>
    <cellStyle name="Normal 2763 3" xfId="13179"/>
    <cellStyle name="Normal 2763 4" xfId="37955"/>
    <cellStyle name="Normal 2764" xfId="13180"/>
    <cellStyle name="Normal 2764 2" xfId="13181"/>
    <cellStyle name="Normal 2764 2 2" xfId="37956"/>
    <cellStyle name="Normal 2764 2 3" xfId="37957"/>
    <cellStyle name="Normal 2764 3" xfId="13182"/>
    <cellStyle name="Normal 2764 4" xfId="37958"/>
    <cellStyle name="Normal 2765" xfId="13183"/>
    <cellStyle name="Normal 2765 2" xfId="13184"/>
    <cellStyle name="Normal 2765 2 2" xfId="37959"/>
    <cellStyle name="Normal 2765 2 3" xfId="37960"/>
    <cellStyle name="Normal 2765 3" xfId="13185"/>
    <cellStyle name="Normal 2765 4" xfId="37961"/>
    <cellStyle name="Normal 2766" xfId="13186"/>
    <cellStyle name="Normal 2766 2" xfId="13187"/>
    <cellStyle name="Normal 2766 2 2" xfId="37962"/>
    <cellStyle name="Normal 2766 2 3" xfId="37963"/>
    <cellStyle name="Normal 2766 3" xfId="13188"/>
    <cellStyle name="Normal 2766 4" xfId="37964"/>
    <cellStyle name="Normal 2767" xfId="13189"/>
    <cellStyle name="Normal 2767 2" xfId="13190"/>
    <cellStyle name="Normal 2767 2 2" xfId="37965"/>
    <cellStyle name="Normal 2767 2 3" xfId="37966"/>
    <cellStyle name="Normal 2767 3" xfId="13191"/>
    <cellStyle name="Normal 2767 4" xfId="37967"/>
    <cellStyle name="Normal 2768" xfId="13192"/>
    <cellStyle name="Normal 2768 2" xfId="13193"/>
    <cellStyle name="Normal 2768 2 2" xfId="37968"/>
    <cellStyle name="Normal 2768 2 3" xfId="37969"/>
    <cellStyle name="Normal 2768 3" xfId="13194"/>
    <cellStyle name="Normal 2768 4" xfId="37970"/>
    <cellStyle name="Normal 2769" xfId="13195"/>
    <cellStyle name="Normal 2769 2" xfId="13196"/>
    <cellStyle name="Normal 2769 2 2" xfId="37971"/>
    <cellStyle name="Normal 2769 2 3" xfId="37972"/>
    <cellStyle name="Normal 2769 3" xfId="13197"/>
    <cellStyle name="Normal 2769 4" xfId="37973"/>
    <cellStyle name="Normal 277" xfId="13198"/>
    <cellStyle name="Normal 277 10" xfId="37974"/>
    <cellStyle name="Normal 277 2" xfId="13199"/>
    <cellStyle name="Normal 277 2 2" xfId="13200"/>
    <cellStyle name="Normal 277 2 2 2" xfId="13201"/>
    <cellStyle name="Normal 277 2 2 3" xfId="13202"/>
    <cellStyle name="Normal 277 2 3" xfId="13203"/>
    <cellStyle name="Normal 277 2 3 2" xfId="37975"/>
    <cellStyle name="Normal 277 2 3 3" xfId="37976"/>
    <cellStyle name="Normal 277 2 4" xfId="13204"/>
    <cellStyle name="Normal 277 2 5" xfId="13205"/>
    <cellStyle name="Normal 277 2 6" xfId="37977"/>
    <cellStyle name="Normal 277 2 7" xfId="37978"/>
    <cellStyle name="Normal 277 2 8" xfId="37979"/>
    <cellStyle name="Normal 277 3" xfId="13206"/>
    <cellStyle name="Normal 277 3 2" xfId="13207"/>
    <cellStyle name="Normal 277 3 2 2" xfId="37980"/>
    <cellStyle name="Normal 277 3 2 3" xfId="37981"/>
    <cellStyle name="Normal 277 3 3" xfId="13208"/>
    <cellStyle name="Normal 277 3 3 2" xfId="37982"/>
    <cellStyle name="Normal 277 3 3 3" xfId="37983"/>
    <cellStyle name="Normal 277 3 4" xfId="37984"/>
    <cellStyle name="Normal 277 3 5" xfId="37985"/>
    <cellStyle name="Normal 277 4" xfId="13209"/>
    <cellStyle name="Normal 277 4 2" xfId="37986"/>
    <cellStyle name="Normal 277 4 3" xfId="37987"/>
    <cellStyle name="Normal 277 5" xfId="13210"/>
    <cellStyle name="Normal 277 5 2" xfId="37988"/>
    <cellStyle name="Normal 277 5 3" xfId="37989"/>
    <cellStyle name="Normal 277 6" xfId="13211"/>
    <cellStyle name="Normal 277 7" xfId="37990"/>
    <cellStyle name="Normal 277 8" xfId="37991"/>
    <cellStyle name="Normal 277 9" xfId="37992"/>
    <cellStyle name="Normal 2770" xfId="13212"/>
    <cellStyle name="Normal 2770 2" xfId="13213"/>
    <cellStyle name="Normal 2770 2 2" xfId="37993"/>
    <cellStyle name="Normal 2770 2 3" xfId="37994"/>
    <cellStyle name="Normal 2770 3" xfId="13214"/>
    <cellStyle name="Normal 2770 4" xfId="37995"/>
    <cellStyle name="Normal 2771" xfId="13215"/>
    <cellStyle name="Normal 2771 2" xfId="13216"/>
    <cellStyle name="Normal 2771 2 2" xfId="37996"/>
    <cellStyle name="Normal 2771 2 3" xfId="37997"/>
    <cellStyle name="Normal 2771 3" xfId="13217"/>
    <cellStyle name="Normal 2771 4" xfId="37998"/>
    <cellStyle name="Normal 2772" xfId="13218"/>
    <cellStyle name="Normal 2772 2" xfId="13219"/>
    <cellStyle name="Normal 2772 2 2" xfId="37999"/>
    <cellStyle name="Normal 2772 2 3" xfId="38000"/>
    <cellStyle name="Normal 2772 3" xfId="13220"/>
    <cellStyle name="Normal 2772 4" xfId="38001"/>
    <cellStyle name="Normal 2773" xfId="13221"/>
    <cellStyle name="Normal 2773 2" xfId="13222"/>
    <cellStyle name="Normal 2773 2 2" xfId="38002"/>
    <cellStyle name="Normal 2773 2 3" xfId="38003"/>
    <cellStyle name="Normal 2773 3" xfId="13223"/>
    <cellStyle name="Normal 2773 4" xfId="38004"/>
    <cellStyle name="Normal 2774" xfId="13224"/>
    <cellStyle name="Normal 2774 2" xfId="13225"/>
    <cellStyle name="Normal 2774 2 2" xfId="38005"/>
    <cellStyle name="Normal 2774 2 3" xfId="38006"/>
    <cellStyle name="Normal 2774 3" xfId="13226"/>
    <cellStyle name="Normal 2774 4" xfId="38007"/>
    <cellStyle name="Normal 2775" xfId="13227"/>
    <cellStyle name="Normal 2775 2" xfId="13228"/>
    <cellStyle name="Normal 2775 2 2" xfId="38008"/>
    <cellStyle name="Normal 2775 2 3" xfId="38009"/>
    <cellStyle name="Normal 2775 3" xfId="13229"/>
    <cellStyle name="Normal 2775 4" xfId="38010"/>
    <cellStyle name="Normal 2776" xfId="13230"/>
    <cellStyle name="Normal 2776 2" xfId="13231"/>
    <cellStyle name="Normal 2776 3" xfId="13232"/>
    <cellStyle name="Normal 2777" xfId="13233"/>
    <cellStyle name="Normal 2777 2" xfId="13234"/>
    <cellStyle name="Normal 2777 3" xfId="13235"/>
    <cellStyle name="Normal 2778" xfId="13236"/>
    <cellStyle name="Normal 2778 2" xfId="13237"/>
    <cellStyle name="Normal 2778 3" xfId="13238"/>
    <cellStyle name="Normal 2779" xfId="13239"/>
    <cellStyle name="Normal 2779 2" xfId="13240"/>
    <cellStyle name="Normal 2779 3" xfId="13241"/>
    <cellStyle name="Normal 278" xfId="13242"/>
    <cellStyle name="Normal 278 10" xfId="38011"/>
    <cellStyle name="Normal 278 2" xfId="13243"/>
    <cellStyle name="Normal 278 2 2" xfId="13244"/>
    <cellStyle name="Normal 278 2 2 2" xfId="13245"/>
    <cellStyle name="Normal 278 2 2 3" xfId="13246"/>
    <cellStyle name="Normal 278 2 3" xfId="13247"/>
    <cellStyle name="Normal 278 2 3 2" xfId="38012"/>
    <cellStyle name="Normal 278 2 3 3" xfId="38013"/>
    <cellStyle name="Normal 278 2 4" xfId="13248"/>
    <cellStyle name="Normal 278 2 5" xfId="13249"/>
    <cellStyle name="Normal 278 2 6" xfId="38014"/>
    <cellStyle name="Normal 278 2 7" xfId="38015"/>
    <cellStyle name="Normal 278 2 8" xfId="38016"/>
    <cellStyle name="Normal 278 3" xfId="13250"/>
    <cellStyle name="Normal 278 3 2" xfId="13251"/>
    <cellStyle name="Normal 278 3 2 2" xfId="38017"/>
    <cellStyle name="Normal 278 3 2 3" xfId="38018"/>
    <cellStyle name="Normal 278 3 3" xfId="13252"/>
    <cellStyle name="Normal 278 3 3 2" xfId="38019"/>
    <cellStyle name="Normal 278 3 3 3" xfId="38020"/>
    <cellStyle name="Normal 278 3 4" xfId="38021"/>
    <cellStyle name="Normal 278 3 5" xfId="38022"/>
    <cellStyle name="Normal 278 4" xfId="13253"/>
    <cellStyle name="Normal 278 4 2" xfId="38023"/>
    <cellStyle name="Normal 278 4 3" xfId="38024"/>
    <cellStyle name="Normal 278 5" xfId="13254"/>
    <cellStyle name="Normal 278 5 2" xfId="38025"/>
    <cellStyle name="Normal 278 5 3" xfId="38026"/>
    <cellStyle name="Normal 278 6" xfId="13255"/>
    <cellStyle name="Normal 278 7" xfId="38027"/>
    <cellStyle name="Normal 278 8" xfId="38028"/>
    <cellStyle name="Normal 278 9" xfId="38029"/>
    <cellStyle name="Normal 2780" xfId="13256"/>
    <cellStyle name="Normal 2780 2" xfId="13257"/>
    <cellStyle name="Normal 2780 2 2" xfId="38030"/>
    <cellStyle name="Normal 2780 2 3" xfId="38031"/>
    <cellStyle name="Normal 2780 3" xfId="13258"/>
    <cellStyle name="Normal 2780 4" xfId="38032"/>
    <cellStyle name="Normal 2781" xfId="13259"/>
    <cellStyle name="Normal 2781 2" xfId="13260"/>
    <cellStyle name="Normal 2781 2 2" xfId="38033"/>
    <cellStyle name="Normal 2781 2 3" xfId="38034"/>
    <cellStyle name="Normal 2781 3" xfId="13261"/>
    <cellStyle name="Normal 2781 4" xfId="38035"/>
    <cellStyle name="Normal 2782" xfId="13262"/>
    <cellStyle name="Normal 2782 2" xfId="13263"/>
    <cellStyle name="Normal 2782 2 2" xfId="38036"/>
    <cellStyle name="Normal 2782 2 3" xfId="38037"/>
    <cellStyle name="Normal 2782 3" xfId="13264"/>
    <cellStyle name="Normal 2782 4" xfId="38038"/>
    <cellStyle name="Normal 2783" xfId="13265"/>
    <cellStyle name="Normal 2783 2" xfId="13266"/>
    <cellStyle name="Normal 2783 2 2" xfId="38039"/>
    <cellStyle name="Normal 2783 2 3" xfId="38040"/>
    <cellStyle name="Normal 2783 3" xfId="13267"/>
    <cellStyle name="Normal 2783 4" xfId="38041"/>
    <cellStyle name="Normal 2784" xfId="13268"/>
    <cellStyle name="Normal 2784 2" xfId="13269"/>
    <cellStyle name="Normal 2784 2 2" xfId="38042"/>
    <cellStyle name="Normal 2784 2 3" xfId="38043"/>
    <cellStyle name="Normal 2784 3" xfId="13270"/>
    <cellStyle name="Normal 2784 4" xfId="38044"/>
    <cellStyle name="Normal 2785" xfId="13271"/>
    <cellStyle name="Normal 2785 2" xfId="13272"/>
    <cellStyle name="Normal 2785 2 2" xfId="38045"/>
    <cellStyle name="Normal 2785 2 3" xfId="38046"/>
    <cellStyle name="Normal 2785 3" xfId="13273"/>
    <cellStyle name="Normal 2785 4" xfId="38047"/>
    <cellStyle name="Normal 2786" xfId="13274"/>
    <cellStyle name="Normal 2786 2" xfId="13275"/>
    <cellStyle name="Normal 2786 2 2" xfId="38048"/>
    <cellStyle name="Normal 2786 2 3" xfId="38049"/>
    <cellStyle name="Normal 2786 3" xfId="13276"/>
    <cellStyle name="Normal 2786 4" xfId="38050"/>
    <cellStyle name="Normal 2787" xfId="13277"/>
    <cellStyle name="Normal 2787 2" xfId="13278"/>
    <cellStyle name="Normal 2787 2 2" xfId="38051"/>
    <cellStyle name="Normal 2787 2 3" xfId="38052"/>
    <cellStyle name="Normal 2787 3" xfId="13279"/>
    <cellStyle name="Normal 2787 4" xfId="38053"/>
    <cellStyle name="Normal 2788" xfId="13280"/>
    <cellStyle name="Normal 2788 2" xfId="13281"/>
    <cellStyle name="Normal 2788 2 2" xfId="38054"/>
    <cellStyle name="Normal 2788 2 3" xfId="38055"/>
    <cellStyle name="Normal 2788 3" xfId="13282"/>
    <cellStyle name="Normal 2788 4" xfId="38056"/>
    <cellStyle name="Normal 2789" xfId="13283"/>
    <cellStyle name="Normal 2789 2" xfId="13284"/>
    <cellStyle name="Normal 2789 2 2" xfId="38057"/>
    <cellStyle name="Normal 2789 2 3" xfId="38058"/>
    <cellStyle name="Normal 2789 3" xfId="13285"/>
    <cellStyle name="Normal 2789 4" xfId="38059"/>
    <cellStyle name="Normal 279" xfId="13286"/>
    <cellStyle name="Normal 279 10" xfId="38060"/>
    <cellStyle name="Normal 279 2" xfId="13287"/>
    <cellStyle name="Normal 279 2 2" xfId="13288"/>
    <cellStyle name="Normal 279 2 2 2" xfId="13289"/>
    <cellStyle name="Normal 279 2 2 3" xfId="13290"/>
    <cellStyle name="Normal 279 2 3" xfId="13291"/>
    <cellStyle name="Normal 279 2 3 2" xfId="38061"/>
    <cellStyle name="Normal 279 2 3 3" xfId="38062"/>
    <cellStyle name="Normal 279 2 4" xfId="13292"/>
    <cellStyle name="Normal 279 2 5" xfId="13293"/>
    <cellStyle name="Normal 279 2 6" xfId="38063"/>
    <cellStyle name="Normal 279 2 7" xfId="38064"/>
    <cellStyle name="Normal 279 2 8" xfId="38065"/>
    <cellStyle name="Normal 279 3" xfId="13294"/>
    <cellStyle name="Normal 279 3 2" xfId="13295"/>
    <cellStyle name="Normal 279 3 2 2" xfId="38066"/>
    <cellStyle name="Normal 279 3 2 3" xfId="38067"/>
    <cellStyle name="Normal 279 3 3" xfId="13296"/>
    <cellStyle name="Normal 279 3 3 2" xfId="38068"/>
    <cellStyle name="Normal 279 3 3 3" xfId="38069"/>
    <cellStyle name="Normal 279 3 4" xfId="38070"/>
    <cellStyle name="Normal 279 3 5" xfId="38071"/>
    <cellStyle name="Normal 279 4" xfId="13297"/>
    <cellStyle name="Normal 279 4 2" xfId="38072"/>
    <cellStyle name="Normal 279 4 3" xfId="38073"/>
    <cellStyle name="Normal 279 5" xfId="13298"/>
    <cellStyle name="Normal 279 5 2" xfId="38074"/>
    <cellStyle name="Normal 279 5 3" xfId="38075"/>
    <cellStyle name="Normal 279 6" xfId="13299"/>
    <cellStyle name="Normal 279 7" xfId="38076"/>
    <cellStyle name="Normal 279 8" xfId="38077"/>
    <cellStyle name="Normal 279 9" xfId="38078"/>
    <cellStyle name="Normal 2790" xfId="13300"/>
    <cellStyle name="Normal 2790 2" xfId="13301"/>
    <cellStyle name="Normal 2790 2 2" xfId="38079"/>
    <cellStyle name="Normal 2790 2 3" xfId="38080"/>
    <cellStyle name="Normal 2790 3" xfId="13302"/>
    <cellStyle name="Normal 2790 4" xfId="38081"/>
    <cellStyle name="Normal 2791" xfId="13303"/>
    <cellStyle name="Normal 2791 2" xfId="13304"/>
    <cellStyle name="Normal 2791 2 2" xfId="38082"/>
    <cellStyle name="Normal 2791 2 3" xfId="38083"/>
    <cellStyle name="Normal 2791 3" xfId="13305"/>
    <cellStyle name="Normal 2791 4" xfId="38084"/>
    <cellStyle name="Normal 2792" xfId="13306"/>
    <cellStyle name="Normal 2792 2" xfId="13307"/>
    <cellStyle name="Normal 2792 2 2" xfId="38085"/>
    <cellStyle name="Normal 2792 2 3" xfId="38086"/>
    <cellStyle name="Normal 2792 3" xfId="13308"/>
    <cellStyle name="Normal 2792 4" xfId="38087"/>
    <cellStyle name="Normal 2793" xfId="13309"/>
    <cellStyle name="Normal 2793 2" xfId="13310"/>
    <cellStyle name="Normal 2793 2 2" xfId="38088"/>
    <cellStyle name="Normal 2793 2 3" xfId="38089"/>
    <cellStyle name="Normal 2793 3" xfId="13311"/>
    <cellStyle name="Normal 2793 4" xfId="38090"/>
    <cellStyle name="Normal 2794" xfId="13312"/>
    <cellStyle name="Normal 2794 2" xfId="13313"/>
    <cellStyle name="Normal 2794 2 2" xfId="38091"/>
    <cellStyle name="Normal 2794 2 3" xfId="38092"/>
    <cellStyle name="Normal 2794 3" xfId="13314"/>
    <cellStyle name="Normal 2794 4" xfId="38093"/>
    <cellStyle name="Normal 2795" xfId="13315"/>
    <cellStyle name="Normal 2795 2" xfId="13316"/>
    <cellStyle name="Normal 2795 2 2" xfId="38094"/>
    <cellStyle name="Normal 2795 2 3" xfId="38095"/>
    <cellStyle name="Normal 2795 3" xfId="13317"/>
    <cellStyle name="Normal 2795 4" xfId="38096"/>
    <cellStyle name="Normal 2796" xfId="13318"/>
    <cellStyle name="Normal 2796 2" xfId="13319"/>
    <cellStyle name="Normal 2796 2 2" xfId="38097"/>
    <cellStyle name="Normal 2796 2 3" xfId="38098"/>
    <cellStyle name="Normal 2796 3" xfId="13320"/>
    <cellStyle name="Normal 2796 4" xfId="38099"/>
    <cellStyle name="Normal 2797" xfId="13321"/>
    <cellStyle name="Normal 2797 2" xfId="13322"/>
    <cellStyle name="Normal 2797 2 2" xfId="38100"/>
    <cellStyle name="Normal 2797 2 3" xfId="38101"/>
    <cellStyle name="Normal 2797 3" xfId="13323"/>
    <cellStyle name="Normal 2797 4" xfId="38102"/>
    <cellStyle name="Normal 2798" xfId="13324"/>
    <cellStyle name="Normal 2798 2" xfId="13325"/>
    <cellStyle name="Normal 2798 2 2" xfId="38103"/>
    <cellStyle name="Normal 2798 2 3" xfId="38104"/>
    <cellStyle name="Normal 2798 3" xfId="13326"/>
    <cellStyle name="Normal 2798 4" xfId="38105"/>
    <cellStyle name="Normal 2799" xfId="13327"/>
    <cellStyle name="Normal 2799 2" xfId="13328"/>
    <cellStyle name="Normal 2799 2 2" xfId="38106"/>
    <cellStyle name="Normal 2799 2 3" xfId="38107"/>
    <cellStyle name="Normal 2799 3" xfId="13329"/>
    <cellStyle name="Normal 2799 4" xfId="38108"/>
    <cellStyle name="Normal 28" xfId="13330"/>
    <cellStyle name="Normal 28 10" xfId="38109"/>
    <cellStyle name="Normal 28 2" xfId="13331"/>
    <cellStyle name="Normal 28 2 2" xfId="13332"/>
    <cellStyle name="Normal 28 2 2 2" xfId="13333"/>
    <cellStyle name="Normal 28 2 2 3" xfId="13334"/>
    <cellStyle name="Normal 28 2 3" xfId="13335"/>
    <cellStyle name="Normal 28 2 3 2" xfId="38110"/>
    <cellStyle name="Normal 28 2 3 3" xfId="38111"/>
    <cellStyle name="Normal 28 2 4" xfId="13336"/>
    <cellStyle name="Normal 28 2 5" xfId="13337"/>
    <cellStyle name="Normal 28 2 6" xfId="38112"/>
    <cellStyle name="Normal 28 2 7" xfId="38113"/>
    <cellStyle name="Normal 28 2 8" xfId="38114"/>
    <cellStyle name="Normal 28 3" xfId="13338"/>
    <cellStyle name="Normal 28 3 2" xfId="13339"/>
    <cellStyle name="Normal 28 3 2 2" xfId="38115"/>
    <cellStyle name="Normal 28 3 2 3" xfId="38116"/>
    <cellStyle name="Normal 28 3 3" xfId="13340"/>
    <cellStyle name="Normal 28 3 3 2" xfId="38117"/>
    <cellStyle name="Normal 28 3 3 3" xfId="38118"/>
    <cellStyle name="Normal 28 3 4" xfId="38119"/>
    <cellStyle name="Normal 28 3 5" xfId="38120"/>
    <cellStyle name="Normal 28 4" xfId="13341"/>
    <cellStyle name="Normal 28 4 2" xfId="38121"/>
    <cellStyle name="Normal 28 4 3" xfId="38122"/>
    <cellStyle name="Normal 28 5" xfId="13342"/>
    <cellStyle name="Normal 28 5 2" xfId="38123"/>
    <cellStyle name="Normal 28 5 3" xfId="38124"/>
    <cellStyle name="Normal 28 6" xfId="13343"/>
    <cellStyle name="Normal 28 7" xfId="38125"/>
    <cellStyle name="Normal 28 8" xfId="38126"/>
    <cellStyle name="Normal 28 9" xfId="38127"/>
    <cellStyle name="Normal 280" xfId="13344"/>
    <cellStyle name="Normal 280 10" xfId="38128"/>
    <cellStyle name="Normal 280 2" xfId="13345"/>
    <cellStyle name="Normal 280 2 2" xfId="13346"/>
    <cellStyle name="Normal 280 2 2 2" xfId="13347"/>
    <cellStyle name="Normal 280 2 2 3" xfId="13348"/>
    <cellStyle name="Normal 280 2 3" xfId="13349"/>
    <cellStyle name="Normal 280 2 3 2" xfId="38129"/>
    <cellStyle name="Normal 280 2 3 3" xfId="38130"/>
    <cellStyle name="Normal 280 2 4" xfId="13350"/>
    <cellStyle name="Normal 280 2 5" xfId="13351"/>
    <cellStyle name="Normal 280 2 6" xfId="38131"/>
    <cellStyle name="Normal 280 2 7" xfId="38132"/>
    <cellStyle name="Normal 280 2 8" xfId="38133"/>
    <cellStyle name="Normal 280 3" xfId="13352"/>
    <cellStyle name="Normal 280 3 2" xfId="13353"/>
    <cellStyle name="Normal 280 3 2 2" xfId="38134"/>
    <cellStyle name="Normal 280 3 2 3" xfId="38135"/>
    <cellStyle name="Normal 280 3 3" xfId="13354"/>
    <cellStyle name="Normal 280 3 3 2" xfId="38136"/>
    <cellStyle name="Normal 280 3 3 3" xfId="38137"/>
    <cellStyle name="Normal 280 3 4" xfId="38138"/>
    <cellStyle name="Normal 280 3 5" xfId="38139"/>
    <cellStyle name="Normal 280 4" xfId="13355"/>
    <cellStyle name="Normal 280 4 2" xfId="38140"/>
    <cellStyle name="Normal 280 4 3" xfId="38141"/>
    <cellStyle name="Normal 280 5" xfId="13356"/>
    <cellStyle name="Normal 280 5 2" xfId="38142"/>
    <cellStyle name="Normal 280 5 3" xfId="38143"/>
    <cellStyle name="Normal 280 6" xfId="13357"/>
    <cellStyle name="Normal 280 7" xfId="38144"/>
    <cellStyle name="Normal 280 8" xfId="38145"/>
    <cellStyle name="Normal 280 9" xfId="38146"/>
    <cellStyle name="Normal 2800" xfId="13358"/>
    <cellStyle name="Normal 2800 2" xfId="13359"/>
    <cellStyle name="Normal 2800 2 2" xfId="38147"/>
    <cellStyle name="Normal 2800 2 3" xfId="38148"/>
    <cellStyle name="Normal 2800 3" xfId="13360"/>
    <cellStyle name="Normal 2800 4" xfId="38149"/>
    <cellStyle name="Normal 2801" xfId="13361"/>
    <cellStyle name="Normal 2801 2" xfId="13362"/>
    <cellStyle name="Normal 2801 2 2" xfId="38150"/>
    <cellStyle name="Normal 2801 2 3" xfId="38151"/>
    <cellStyle name="Normal 2801 3" xfId="13363"/>
    <cellStyle name="Normal 2801 4" xfId="38152"/>
    <cellStyle name="Normal 2802" xfId="13364"/>
    <cellStyle name="Normal 2802 2" xfId="13365"/>
    <cellStyle name="Normal 2802 2 2" xfId="38153"/>
    <cellStyle name="Normal 2802 2 3" xfId="38154"/>
    <cellStyle name="Normal 2802 3" xfId="13366"/>
    <cellStyle name="Normal 2802 4" xfId="38155"/>
    <cellStyle name="Normal 2803" xfId="13367"/>
    <cellStyle name="Normal 2803 2" xfId="13368"/>
    <cellStyle name="Normal 2803 2 2" xfId="38156"/>
    <cellStyle name="Normal 2803 2 3" xfId="38157"/>
    <cellStyle name="Normal 2803 3" xfId="13369"/>
    <cellStyle name="Normal 2803 4" xfId="38158"/>
    <cellStyle name="Normal 2804" xfId="13370"/>
    <cellStyle name="Normal 2804 2" xfId="13371"/>
    <cellStyle name="Normal 2804 2 2" xfId="38159"/>
    <cellStyle name="Normal 2804 2 3" xfId="38160"/>
    <cellStyle name="Normal 2804 3" xfId="13372"/>
    <cellStyle name="Normal 2804 4" xfId="38161"/>
    <cellStyle name="Normal 2805" xfId="13373"/>
    <cellStyle name="Normal 2805 2" xfId="13374"/>
    <cellStyle name="Normal 2805 2 2" xfId="38162"/>
    <cellStyle name="Normal 2805 2 3" xfId="38163"/>
    <cellStyle name="Normal 2805 3" xfId="13375"/>
    <cellStyle name="Normal 2805 4" xfId="38164"/>
    <cellStyle name="Normal 2806" xfId="13376"/>
    <cellStyle name="Normal 2806 2" xfId="13377"/>
    <cellStyle name="Normal 2806 2 2" xfId="38165"/>
    <cellStyle name="Normal 2806 2 3" xfId="38166"/>
    <cellStyle name="Normal 2806 3" xfId="13378"/>
    <cellStyle name="Normal 2806 4" xfId="38167"/>
    <cellStyle name="Normal 2807" xfId="13379"/>
    <cellStyle name="Normal 2807 2" xfId="13380"/>
    <cellStyle name="Normal 2807 2 2" xfId="38168"/>
    <cellStyle name="Normal 2807 2 3" xfId="38169"/>
    <cellStyle name="Normal 2807 3" xfId="13381"/>
    <cellStyle name="Normal 2807 4" xfId="38170"/>
    <cellStyle name="Normal 2808" xfId="13382"/>
    <cellStyle name="Normal 2808 2" xfId="13383"/>
    <cellStyle name="Normal 2808 2 2" xfId="38171"/>
    <cellStyle name="Normal 2808 2 3" xfId="38172"/>
    <cellStyle name="Normal 2808 3" xfId="13384"/>
    <cellStyle name="Normal 2808 4" xfId="38173"/>
    <cellStyle name="Normal 2809" xfId="13385"/>
    <cellStyle name="Normal 2809 2" xfId="13386"/>
    <cellStyle name="Normal 2809 2 2" xfId="38174"/>
    <cellStyle name="Normal 2809 2 3" xfId="38175"/>
    <cellStyle name="Normal 2809 3" xfId="13387"/>
    <cellStyle name="Normal 2809 4" xfId="38176"/>
    <cellStyle name="Normal 281" xfId="13388"/>
    <cellStyle name="Normal 281 10" xfId="38177"/>
    <cellStyle name="Normal 281 2" xfId="13389"/>
    <cellStyle name="Normal 281 2 2" xfId="13390"/>
    <cellStyle name="Normal 281 2 2 2" xfId="13391"/>
    <cellStyle name="Normal 281 2 2 3" xfId="13392"/>
    <cellStyle name="Normal 281 2 3" xfId="13393"/>
    <cellStyle name="Normal 281 2 3 2" xfId="38178"/>
    <cellStyle name="Normal 281 2 3 3" xfId="38179"/>
    <cellStyle name="Normal 281 2 4" xfId="13394"/>
    <cellStyle name="Normal 281 2 5" xfId="13395"/>
    <cellStyle name="Normal 281 2 6" xfId="38180"/>
    <cellStyle name="Normal 281 2 7" xfId="38181"/>
    <cellStyle name="Normal 281 2 8" xfId="38182"/>
    <cellStyle name="Normal 281 3" xfId="13396"/>
    <cellStyle name="Normal 281 3 2" xfId="13397"/>
    <cellStyle name="Normal 281 3 2 2" xfId="38183"/>
    <cellStyle name="Normal 281 3 2 3" xfId="38184"/>
    <cellStyle name="Normal 281 3 3" xfId="13398"/>
    <cellStyle name="Normal 281 3 3 2" xfId="38185"/>
    <cellStyle name="Normal 281 3 3 3" xfId="38186"/>
    <cellStyle name="Normal 281 3 4" xfId="38187"/>
    <cellStyle name="Normal 281 3 5" xfId="38188"/>
    <cellStyle name="Normal 281 4" xfId="13399"/>
    <cellStyle name="Normal 281 4 2" xfId="38189"/>
    <cellStyle name="Normal 281 4 3" xfId="38190"/>
    <cellStyle name="Normal 281 5" xfId="13400"/>
    <cellStyle name="Normal 281 5 2" xfId="38191"/>
    <cellStyle name="Normal 281 5 3" xfId="38192"/>
    <cellStyle name="Normal 281 6" xfId="13401"/>
    <cellStyle name="Normal 281 7" xfId="38193"/>
    <cellStyle name="Normal 281 8" xfId="38194"/>
    <cellStyle name="Normal 281 9" xfId="38195"/>
    <cellStyle name="Normal 2810" xfId="13402"/>
    <cellStyle name="Normal 2810 2" xfId="13403"/>
    <cellStyle name="Normal 2810 2 2" xfId="38196"/>
    <cellStyle name="Normal 2810 2 3" xfId="38197"/>
    <cellStyle name="Normal 2810 3" xfId="13404"/>
    <cellStyle name="Normal 2810 4" xfId="38198"/>
    <cellStyle name="Normal 2811" xfId="13405"/>
    <cellStyle name="Normal 2811 2" xfId="13406"/>
    <cellStyle name="Normal 2811 2 2" xfId="38199"/>
    <cellStyle name="Normal 2811 2 3" xfId="38200"/>
    <cellStyle name="Normal 2811 3" xfId="13407"/>
    <cellStyle name="Normal 2811 4" xfId="38201"/>
    <cellStyle name="Normal 2812" xfId="13408"/>
    <cellStyle name="Normal 2812 2" xfId="13409"/>
    <cellStyle name="Normal 2812 2 2" xfId="38202"/>
    <cellStyle name="Normal 2812 2 3" xfId="38203"/>
    <cellStyle name="Normal 2812 3" xfId="13410"/>
    <cellStyle name="Normal 2812 4" xfId="38204"/>
    <cellStyle name="Normal 2813" xfId="13411"/>
    <cellStyle name="Normal 2813 2" xfId="13412"/>
    <cellStyle name="Normal 2813 2 2" xfId="38205"/>
    <cellStyle name="Normal 2813 2 3" xfId="38206"/>
    <cellStyle name="Normal 2813 3" xfId="13413"/>
    <cellStyle name="Normal 2813 4" xfId="38207"/>
    <cellStyle name="Normal 2814" xfId="13414"/>
    <cellStyle name="Normal 2814 2" xfId="13415"/>
    <cellStyle name="Normal 2814 2 2" xfId="38208"/>
    <cellStyle name="Normal 2814 2 3" xfId="38209"/>
    <cellStyle name="Normal 2814 3" xfId="13416"/>
    <cellStyle name="Normal 2814 4" xfId="38210"/>
    <cellStyle name="Normal 2815" xfId="13417"/>
    <cellStyle name="Normal 2815 2" xfId="13418"/>
    <cellStyle name="Normal 2815 2 2" xfId="38211"/>
    <cellStyle name="Normal 2815 2 3" xfId="38212"/>
    <cellStyle name="Normal 2815 3" xfId="13419"/>
    <cellStyle name="Normal 2815 4" xfId="38213"/>
    <cellStyle name="Normal 2816" xfId="13420"/>
    <cellStyle name="Normal 2816 2" xfId="13421"/>
    <cellStyle name="Normal 2816 2 2" xfId="38214"/>
    <cellStyle name="Normal 2816 2 3" xfId="38215"/>
    <cellStyle name="Normal 2816 3" xfId="13422"/>
    <cellStyle name="Normal 2816 4" xfId="38216"/>
    <cellStyle name="Normal 2817" xfId="13423"/>
    <cellStyle name="Normal 2817 2" xfId="13424"/>
    <cellStyle name="Normal 2817 2 2" xfId="38217"/>
    <cellStyle name="Normal 2817 2 3" xfId="38218"/>
    <cellStyle name="Normal 2817 3" xfId="13425"/>
    <cellStyle name="Normal 2817 4" xfId="38219"/>
    <cellStyle name="Normal 2818" xfId="13426"/>
    <cellStyle name="Normal 2818 2" xfId="13427"/>
    <cellStyle name="Normal 2818 2 2" xfId="38220"/>
    <cellStyle name="Normal 2818 2 3" xfId="38221"/>
    <cellStyle name="Normal 2818 3" xfId="13428"/>
    <cellStyle name="Normal 2818 4" xfId="38222"/>
    <cellStyle name="Normal 2819" xfId="13429"/>
    <cellStyle name="Normal 2819 2" xfId="13430"/>
    <cellStyle name="Normal 2819 2 2" xfId="38223"/>
    <cellStyle name="Normal 2819 2 3" xfId="38224"/>
    <cellStyle name="Normal 2819 3" xfId="13431"/>
    <cellStyle name="Normal 2819 4" xfId="38225"/>
    <cellStyle name="Normal 282" xfId="13432"/>
    <cellStyle name="Normal 282 10" xfId="38226"/>
    <cellStyle name="Normal 282 2" xfId="13433"/>
    <cellStyle name="Normal 282 2 2" xfId="13434"/>
    <cellStyle name="Normal 282 2 2 2" xfId="13435"/>
    <cellStyle name="Normal 282 2 2 3" xfId="13436"/>
    <cellStyle name="Normal 282 2 3" xfId="13437"/>
    <cellStyle name="Normal 282 2 3 2" xfId="38227"/>
    <cellStyle name="Normal 282 2 3 3" xfId="38228"/>
    <cellStyle name="Normal 282 2 4" xfId="13438"/>
    <cellStyle name="Normal 282 2 5" xfId="13439"/>
    <cellStyle name="Normal 282 2 6" xfId="38229"/>
    <cellStyle name="Normal 282 2 7" xfId="38230"/>
    <cellStyle name="Normal 282 2 8" xfId="38231"/>
    <cellStyle name="Normal 282 3" xfId="13440"/>
    <cellStyle name="Normal 282 3 2" xfId="13441"/>
    <cellStyle name="Normal 282 3 2 2" xfId="38232"/>
    <cellStyle name="Normal 282 3 2 3" xfId="38233"/>
    <cellStyle name="Normal 282 3 3" xfId="13442"/>
    <cellStyle name="Normal 282 3 3 2" xfId="38234"/>
    <cellStyle name="Normal 282 3 3 3" xfId="38235"/>
    <cellStyle name="Normal 282 3 4" xfId="38236"/>
    <cellStyle name="Normal 282 3 5" xfId="38237"/>
    <cellStyle name="Normal 282 4" xfId="13443"/>
    <cellStyle name="Normal 282 4 2" xfId="38238"/>
    <cellStyle name="Normal 282 4 3" xfId="38239"/>
    <cellStyle name="Normal 282 5" xfId="13444"/>
    <cellStyle name="Normal 282 5 2" xfId="38240"/>
    <cellStyle name="Normal 282 5 3" xfId="38241"/>
    <cellStyle name="Normal 282 6" xfId="13445"/>
    <cellStyle name="Normal 282 7" xfId="38242"/>
    <cellStyle name="Normal 282 8" xfId="38243"/>
    <cellStyle name="Normal 282 9" xfId="38244"/>
    <cellStyle name="Normal 2820" xfId="13446"/>
    <cellStyle name="Normal 2820 2" xfId="13447"/>
    <cellStyle name="Normal 2820 2 2" xfId="38245"/>
    <cellStyle name="Normal 2820 2 3" xfId="38246"/>
    <cellStyle name="Normal 2820 3" xfId="13448"/>
    <cellStyle name="Normal 2820 4" xfId="38247"/>
    <cellStyle name="Normal 2821" xfId="13449"/>
    <cellStyle name="Normal 2821 2" xfId="13450"/>
    <cellStyle name="Normal 2821 2 2" xfId="38248"/>
    <cellStyle name="Normal 2821 2 3" xfId="38249"/>
    <cellStyle name="Normal 2821 3" xfId="13451"/>
    <cellStyle name="Normal 2821 4" xfId="38250"/>
    <cellStyle name="Normal 2822" xfId="13452"/>
    <cellStyle name="Normal 2822 2" xfId="13453"/>
    <cellStyle name="Normal 2822 2 2" xfId="38251"/>
    <cellStyle name="Normal 2822 2 3" xfId="38252"/>
    <cellStyle name="Normal 2822 3" xfId="13454"/>
    <cellStyle name="Normal 2822 4" xfId="38253"/>
    <cellStyle name="Normal 2823" xfId="13455"/>
    <cellStyle name="Normal 2823 2" xfId="13456"/>
    <cellStyle name="Normal 2823 2 2" xfId="38254"/>
    <cellStyle name="Normal 2823 2 3" xfId="38255"/>
    <cellStyle name="Normal 2823 3" xfId="13457"/>
    <cellStyle name="Normal 2823 4" xfId="38256"/>
    <cellStyle name="Normal 2824" xfId="13458"/>
    <cellStyle name="Normal 2824 2" xfId="13459"/>
    <cellStyle name="Normal 2824 2 2" xfId="38257"/>
    <cellStyle name="Normal 2824 2 3" xfId="38258"/>
    <cellStyle name="Normal 2824 3" xfId="13460"/>
    <cellStyle name="Normal 2824 4" xfId="38259"/>
    <cellStyle name="Normal 2825" xfId="13461"/>
    <cellStyle name="Normal 2825 2" xfId="13462"/>
    <cellStyle name="Normal 2825 2 2" xfId="38260"/>
    <cellStyle name="Normal 2825 2 3" xfId="38261"/>
    <cellStyle name="Normal 2825 3" xfId="13463"/>
    <cellStyle name="Normal 2825 4" xfId="38262"/>
    <cellStyle name="Normal 2826" xfId="13464"/>
    <cellStyle name="Normal 2826 2" xfId="13465"/>
    <cellStyle name="Normal 2826 2 2" xfId="38263"/>
    <cellStyle name="Normal 2826 2 3" xfId="38264"/>
    <cellStyle name="Normal 2826 3" xfId="13466"/>
    <cellStyle name="Normal 2826 4" xfId="38265"/>
    <cellStyle name="Normal 2827" xfId="13467"/>
    <cellStyle name="Normal 2827 2" xfId="13468"/>
    <cellStyle name="Normal 2827 2 2" xfId="38266"/>
    <cellStyle name="Normal 2827 2 3" xfId="38267"/>
    <cellStyle name="Normal 2827 3" xfId="13469"/>
    <cellStyle name="Normal 2827 4" xfId="38268"/>
    <cellStyle name="Normal 2828" xfId="13470"/>
    <cellStyle name="Normal 2828 2" xfId="13471"/>
    <cellStyle name="Normal 2828 2 2" xfId="38269"/>
    <cellStyle name="Normal 2828 2 3" xfId="38270"/>
    <cellStyle name="Normal 2828 3" xfId="13472"/>
    <cellStyle name="Normal 2828 4" xfId="38271"/>
    <cellStyle name="Normal 2829" xfId="13473"/>
    <cellStyle name="Normal 2829 2" xfId="13474"/>
    <cellStyle name="Normal 2829 2 2" xfId="38272"/>
    <cellStyle name="Normal 2829 2 3" xfId="38273"/>
    <cellStyle name="Normal 2829 3" xfId="13475"/>
    <cellStyle name="Normal 2829 4" xfId="38274"/>
    <cellStyle name="Normal 283" xfId="13476"/>
    <cellStyle name="Normal 283 10" xfId="38275"/>
    <cellStyle name="Normal 283 2" xfId="13477"/>
    <cellStyle name="Normal 283 2 2" xfId="13478"/>
    <cellStyle name="Normal 283 2 2 2" xfId="13479"/>
    <cellStyle name="Normal 283 2 2 3" xfId="13480"/>
    <cellStyle name="Normal 283 2 3" xfId="13481"/>
    <cellStyle name="Normal 283 2 3 2" xfId="38276"/>
    <cellStyle name="Normal 283 2 3 3" xfId="38277"/>
    <cellStyle name="Normal 283 2 4" xfId="13482"/>
    <cellStyle name="Normal 283 2 5" xfId="13483"/>
    <cellStyle name="Normal 283 2 6" xfId="38278"/>
    <cellStyle name="Normal 283 2 7" xfId="38279"/>
    <cellStyle name="Normal 283 2 8" xfId="38280"/>
    <cellStyle name="Normal 283 3" xfId="13484"/>
    <cellStyle name="Normal 283 3 2" xfId="13485"/>
    <cellStyle name="Normal 283 3 2 2" xfId="38281"/>
    <cellStyle name="Normal 283 3 2 3" xfId="38282"/>
    <cellStyle name="Normal 283 3 3" xfId="13486"/>
    <cellStyle name="Normal 283 3 3 2" xfId="38283"/>
    <cellStyle name="Normal 283 3 3 3" xfId="38284"/>
    <cellStyle name="Normal 283 3 4" xfId="38285"/>
    <cellStyle name="Normal 283 3 5" xfId="38286"/>
    <cellStyle name="Normal 283 4" xfId="13487"/>
    <cellStyle name="Normal 283 4 2" xfId="38287"/>
    <cellStyle name="Normal 283 4 3" xfId="38288"/>
    <cellStyle name="Normal 283 5" xfId="13488"/>
    <cellStyle name="Normal 283 5 2" xfId="38289"/>
    <cellStyle name="Normal 283 5 3" xfId="38290"/>
    <cellStyle name="Normal 283 6" xfId="13489"/>
    <cellStyle name="Normal 283 7" xfId="38291"/>
    <cellStyle name="Normal 283 8" xfId="38292"/>
    <cellStyle name="Normal 283 9" xfId="38293"/>
    <cellStyle name="Normal 2830" xfId="13490"/>
    <cellStyle name="Normal 2830 2" xfId="13491"/>
    <cellStyle name="Normal 2830 2 2" xfId="38294"/>
    <cellStyle name="Normal 2830 2 3" xfId="38295"/>
    <cellStyle name="Normal 2830 3" xfId="13492"/>
    <cellStyle name="Normal 2830 4" xfId="38296"/>
    <cellStyle name="Normal 2831" xfId="13493"/>
    <cellStyle name="Normal 2831 2" xfId="13494"/>
    <cellStyle name="Normal 2831 2 2" xfId="38297"/>
    <cellStyle name="Normal 2831 2 3" xfId="38298"/>
    <cellStyle name="Normal 2831 3" xfId="13495"/>
    <cellStyle name="Normal 2831 4" xfId="38299"/>
    <cellStyle name="Normal 2832" xfId="13496"/>
    <cellStyle name="Normal 2832 2" xfId="13497"/>
    <cellStyle name="Normal 2832 2 2" xfId="38300"/>
    <cellStyle name="Normal 2832 2 3" xfId="38301"/>
    <cellStyle name="Normal 2832 3" xfId="13498"/>
    <cellStyle name="Normal 2832 4" xfId="38302"/>
    <cellStyle name="Normal 2833" xfId="13499"/>
    <cellStyle name="Normal 2833 2" xfId="13500"/>
    <cellStyle name="Normal 2833 2 2" xfId="38303"/>
    <cellStyle name="Normal 2833 2 3" xfId="38304"/>
    <cellStyle name="Normal 2833 3" xfId="13501"/>
    <cellStyle name="Normal 2833 4" xfId="38305"/>
    <cellStyle name="Normal 2834" xfId="13502"/>
    <cellStyle name="Normal 2834 2" xfId="13503"/>
    <cellStyle name="Normal 2834 2 2" xfId="38306"/>
    <cellStyle name="Normal 2834 2 3" xfId="38307"/>
    <cellStyle name="Normal 2834 3" xfId="13504"/>
    <cellStyle name="Normal 2834 4" xfId="38308"/>
    <cellStyle name="Normal 2835" xfId="13505"/>
    <cellStyle name="Normal 2835 2" xfId="13506"/>
    <cellStyle name="Normal 2835 2 2" xfId="38309"/>
    <cellStyle name="Normal 2835 2 3" xfId="38310"/>
    <cellStyle name="Normal 2835 3" xfId="13507"/>
    <cellStyle name="Normal 2835 4" xfId="38311"/>
    <cellStyle name="Normal 2836" xfId="13508"/>
    <cellStyle name="Normal 2836 2" xfId="13509"/>
    <cellStyle name="Normal 2836 2 2" xfId="38312"/>
    <cellStyle name="Normal 2836 2 3" xfId="38313"/>
    <cellStyle name="Normal 2836 3" xfId="13510"/>
    <cellStyle name="Normal 2836 4" xfId="38314"/>
    <cellStyle name="Normal 2837" xfId="13511"/>
    <cellStyle name="Normal 2837 2" xfId="13512"/>
    <cellStyle name="Normal 2837 2 2" xfId="38315"/>
    <cellStyle name="Normal 2837 2 3" xfId="38316"/>
    <cellStyle name="Normal 2837 3" xfId="13513"/>
    <cellStyle name="Normal 2837 4" xfId="38317"/>
    <cellStyle name="Normal 2838" xfId="13514"/>
    <cellStyle name="Normal 2838 2" xfId="13515"/>
    <cellStyle name="Normal 2838 2 2" xfId="38318"/>
    <cellStyle name="Normal 2838 2 3" xfId="38319"/>
    <cellStyle name="Normal 2838 3" xfId="13516"/>
    <cellStyle name="Normal 2838 4" xfId="38320"/>
    <cellStyle name="Normal 2839" xfId="13517"/>
    <cellStyle name="Normal 2839 2" xfId="13518"/>
    <cellStyle name="Normal 2839 2 2" xfId="38321"/>
    <cellStyle name="Normal 2839 2 3" xfId="38322"/>
    <cellStyle name="Normal 2839 3" xfId="13519"/>
    <cellStyle name="Normal 2839 4" xfId="38323"/>
    <cellStyle name="Normal 284" xfId="13520"/>
    <cellStyle name="Normal 284 10" xfId="38324"/>
    <cellStyle name="Normal 284 2" xfId="13521"/>
    <cellStyle name="Normal 284 2 2" xfId="13522"/>
    <cellStyle name="Normal 284 2 2 2" xfId="13523"/>
    <cellStyle name="Normal 284 2 2 3" xfId="13524"/>
    <cellStyle name="Normal 284 2 3" xfId="13525"/>
    <cellStyle name="Normal 284 2 3 2" xfId="38325"/>
    <cellStyle name="Normal 284 2 3 3" xfId="38326"/>
    <cellStyle name="Normal 284 2 4" xfId="13526"/>
    <cellStyle name="Normal 284 2 5" xfId="13527"/>
    <cellStyle name="Normal 284 2 6" xfId="38327"/>
    <cellStyle name="Normal 284 2 7" xfId="38328"/>
    <cellStyle name="Normal 284 2 8" xfId="38329"/>
    <cellStyle name="Normal 284 3" xfId="13528"/>
    <cellStyle name="Normal 284 3 2" xfId="13529"/>
    <cellStyle name="Normal 284 3 2 2" xfId="38330"/>
    <cellStyle name="Normal 284 3 2 3" xfId="38331"/>
    <cellStyle name="Normal 284 3 3" xfId="13530"/>
    <cellStyle name="Normal 284 3 3 2" xfId="38332"/>
    <cellStyle name="Normal 284 3 3 3" xfId="38333"/>
    <cellStyle name="Normal 284 3 4" xfId="38334"/>
    <cellStyle name="Normal 284 3 5" xfId="38335"/>
    <cellStyle name="Normal 284 4" xfId="13531"/>
    <cellStyle name="Normal 284 4 2" xfId="38336"/>
    <cellStyle name="Normal 284 4 3" xfId="38337"/>
    <cellStyle name="Normal 284 5" xfId="13532"/>
    <cellStyle name="Normal 284 5 2" xfId="38338"/>
    <cellStyle name="Normal 284 5 3" xfId="38339"/>
    <cellStyle name="Normal 284 6" xfId="13533"/>
    <cellStyle name="Normal 284 7" xfId="38340"/>
    <cellStyle name="Normal 284 8" xfId="38341"/>
    <cellStyle name="Normal 284 9" xfId="38342"/>
    <cellStyle name="Normal 2840" xfId="13534"/>
    <cellStyle name="Normal 2840 2" xfId="13535"/>
    <cellStyle name="Normal 2840 2 2" xfId="38343"/>
    <cellStyle name="Normal 2840 2 3" xfId="38344"/>
    <cellStyle name="Normal 2840 3" xfId="13536"/>
    <cellStyle name="Normal 2840 4" xfId="38345"/>
    <cellStyle name="Normal 2841" xfId="13537"/>
    <cellStyle name="Normal 2841 2" xfId="13538"/>
    <cellStyle name="Normal 2841 2 2" xfId="38346"/>
    <cellStyle name="Normal 2841 2 3" xfId="38347"/>
    <cellStyle name="Normal 2841 3" xfId="13539"/>
    <cellStyle name="Normal 2841 4" xfId="38348"/>
    <cellStyle name="Normal 2842" xfId="13540"/>
    <cellStyle name="Normal 2842 2" xfId="13541"/>
    <cellStyle name="Normal 2842 2 2" xfId="38349"/>
    <cellStyle name="Normal 2842 2 3" xfId="38350"/>
    <cellStyle name="Normal 2842 3" xfId="13542"/>
    <cellStyle name="Normal 2842 4" xfId="38351"/>
    <cellStyle name="Normal 2843" xfId="13543"/>
    <cellStyle name="Normal 2843 2" xfId="13544"/>
    <cellStyle name="Normal 2843 2 2" xfId="38352"/>
    <cellStyle name="Normal 2843 2 3" xfId="38353"/>
    <cellStyle name="Normal 2843 3" xfId="13545"/>
    <cellStyle name="Normal 2843 4" xfId="38354"/>
    <cellStyle name="Normal 2844" xfId="13546"/>
    <cellStyle name="Normal 2844 2" xfId="13547"/>
    <cellStyle name="Normal 2844 2 2" xfId="38355"/>
    <cellStyle name="Normal 2844 2 3" xfId="38356"/>
    <cellStyle name="Normal 2844 3" xfId="13548"/>
    <cellStyle name="Normal 2844 4" xfId="38357"/>
    <cellStyle name="Normal 2845" xfId="13549"/>
    <cellStyle name="Normal 2845 2" xfId="13550"/>
    <cellStyle name="Normal 2845 2 2" xfId="38358"/>
    <cellStyle name="Normal 2845 2 3" xfId="38359"/>
    <cellStyle name="Normal 2845 3" xfId="13551"/>
    <cellStyle name="Normal 2845 4" xfId="38360"/>
    <cellStyle name="Normal 2846" xfId="13552"/>
    <cellStyle name="Normal 2846 2" xfId="13553"/>
    <cellStyle name="Normal 2846 2 2" xfId="38361"/>
    <cellStyle name="Normal 2846 2 3" xfId="38362"/>
    <cellStyle name="Normal 2846 3" xfId="13554"/>
    <cellStyle name="Normal 2846 4" xfId="38363"/>
    <cellStyle name="Normal 2847" xfId="13555"/>
    <cellStyle name="Normal 2847 2" xfId="13556"/>
    <cellStyle name="Normal 2847 2 2" xfId="38364"/>
    <cellStyle name="Normal 2847 2 3" xfId="38365"/>
    <cellStyle name="Normal 2847 3" xfId="13557"/>
    <cellStyle name="Normal 2847 4" xfId="38366"/>
    <cellStyle name="Normal 2848" xfId="13558"/>
    <cellStyle name="Normal 2848 2" xfId="13559"/>
    <cellStyle name="Normal 2848 2 2" xfId="38367"/>
    <cellStyle name="Normal 2848 2 3" xfId="38368"/>
    <cellStyle name="Normal 2848 3" xfId="13560"/>
    <cellStyle name="Normal 2848 4" xfId="38369"/>
    <cellStyle name="Normal 2849" xfId="13561"/>
    <cellStyle name="Normal 2849 2" xfId="13562"/>
    <cellStyle name="Normal 2849 2 2" xfId="38370"/>
    <cellStyle name="Normal 2849 2 3" xfId="38371"/>
    <cellStyle name="Normal 2849 3" xfId="13563"/>
    <cellStyle name="Normal 2849 4" xfId="38372"/>
    <cellStyle name="Normal 285" xfId="13564"/>
    <cellStyle name="Normal 285 10" xfId="38373"/>
    <cellStyle name="Normal 285 2" xfId="13565"/>
    <cellStyle name="Normal 285 2 2" xfId="13566"/>
    <cellStyle name="Normal 285 2 2 2" xfId="13567"/>
    <cellStyle name="Normal 285 2 2 3" xfId="13568"/>
    <cellStyle name="Normal 285 2 3" xfId="13569"/>
    <cellStyle name="Normal 285 2 3 2" xfId="38374"/>
    <cellStyle name="Normal 285 2 3 3" xfId="38375"/>
    <cellStyle name="Normal 285 2 4" xfId="13570"/>
    <cellStyle name="Normal 285 2 5" xfId="13571"/>
    <cellStyle name="Normal 285 2 6" xfId="38376"/>
    <cellStyle name="Normal 285 2 7" xfId="38377"/>
    <cellStyle name="Normal 285 2 8" xfId="38378"/>
    <cellStyle name="Normal 285 3" xfId="13572"/>
    <cellStyle name="Normal 285 3 2" xfId="13573"/>
    <cellStyle name="Normal 285 3 2 2" xfId="38379"/>
    <cellStyle name="Normal 285 3 2 3" xfId="38380"/>
    <cellStyle name="Normal 285 3 3" xfId="13574"/>
    <cellStyle name="Normal 285 3 3 2" xfId="38381"/>
    <cellStyle name="Normal 285 3 3 3" xfId="38382"/>
    <cellStyle name="Normal 285 3 4" xfId="38383"/>
    <cellStyle name="Normal 285 3 5" xfId="38384"/>
    <cellStyle name="Normal 285 4" xfId="13575"/>
    <cellStyle name="Normal 285 4 2" xfId="38385"/>
    <cellStyle name="Normal 285 4 3" xfId="38386"/>
    <cellStyle name="Normal 285 5" xfId="13576"/>
    <cellStyle name="Normal 285 5 2" xfId="38387"/>
    <cellStyle name="Normal 285 5 3" xfId="38388"/>
    <cellStyle name="Normal 285 6" xfId="13577"/>
    <cellStyle name="Normal 285 7" xfId="38389"/>
    <cellStyle name="Normal 285 8" xfId="38390"/>
    <cellStyle name="Normal 285 9" xfId="38391"/>
    <cellStyle name="Normal 2850" xfId="13578"/>
    <cellStyle name="Normal 2850 2" xfId="13579"/>
    <cellStyle name="Normal 2850 2 2" xfId="38392"/>
    <cellStyle name="Normal 2850 2 3" xfId="38393"/>
    <cellStyle name="Normal 2850 3" xfId="13580"/>
    <cellStyle name="Normal 2850 4" xfId="38394"/>
    <cellStyle name="Normal 2851" xfId="13581"/>
    <cellStyle name="Normal 2851 2" xfId="13582"/>
    <cellStyle name="Normal 2851 2 2" xfId="38395"/>
    <cellStyle name="Normal 2851 2 3" xfId="38396"/>
    <cellStyle name="Normal 2851 3" xfId="13583"/>
    <cellStyle name="Normal 2851 4" xfId="38397"/>
    <cellStyle name="Normal 2852" xfId="13584"/>
    <cellStyle name="Normal 2852 2" xfId="13585"/>
    <cellStyle name="Normal 2852 2 2" xfId="38398"/>
    <cellStyle name="Normal 2852 2 3" xfId="38399"/>
    <cellStyle name="Normal 2852 3" xfId="13586"/>
    <cellStyle name="Normal 2852 4" xfId="38400"/>
    <cellStyle name="Normal 2853" xfId="13587"/>
    <cellStyle name="Normal 2853 2" xfId="13588"/>
    <cellStyle name="Normal 2853 2 2" xfId="38401"/>
    <cellStyle name="Normal 2853 2 3" xfId="38402"/>
    <cellStyle name="Normal 2853 3" xfId="13589"/>
    <cellStyle name="Normal 2853 4" xfId="38403"/>
    <cellStyle name="Normal 2854" xfId="13590"/>
    <cellStyle name="Normal 2854 2" xfId="13591"/>
    <cellStyle name="Normal 2854 2 2" xfId="38404"/>
    <cellStyle name="Normal 2854 2 3" xfId="38405"/>
    <cellStyle name="Normal 2854 3" xfId="13592"/>
    <cellStyle name="Normal 2854 4" xfId="38406"/>
    <cellStyle name="Normal 2855" xfId="13593"/>
    <cellStyle name="Normal 2855 2" xfId="13594"/>
    <cellStyle name="Normal 2855 2 2" xfId="38407"/>
    <cellStyle name="Normal 2855 2 3" xfId="38408"/>
    <cellStyle name="Normal 2855 3" xfId="13595"/>
    <cellStyle name="Normal 2855 4" xfId="38409"/>
    <cellStyle name="Normal 2856" xfId="13596"/>
    <cellStyle name="Normal 2856 2" xfId="13597"/>
    <cellStyle name="Normal 2856 2 2" xfId="38410"/>
    <cellStyle name="Normal 2856 2 3" xfId="38411"/>
    <cellStyle name="Normal 2856 3" xfId="13598"/>
    <cellStyle name="Normal 2856 4" xfId="38412"/>
    <cellStyle name="Normal 2857" xfId="13599"/>
    <cellStyle name="Normal 2857 2" xfId="13600"/>
    <cellStyle name="Normal 2857 2 2" xfId="38413"/>
    <cellStyle name="Normal 2857 2 3" xfId="38414"/>
    <cellStyle name="Normal 2857 3" xfId="13601"/>
    <cellStyle name="Normal 2857 4" xfId="38415"/>
    <cellStyle name="Normal 2858" xfId="13602"/>
    <cellStyle name="Normal 2858 2" xfId="13603"/>
    <cellStyle name="Normal 2858 2 2" xfId="38416"/>
    <cellStyle name="Normal 2858 2 3" xfId="38417"/>
    <cellStyle name="Normal 2858 3" xfId="13604"/>
    <cellStyle name="Normal 2858 4" xfId="38418"/>
    <cellStyle name="Normal 2859" xfId="13605"/>
    <cellStyle name="Normal 2859 2" xfId="13606"/>
    <cellStyle name="Normal 2859 2 2" xfId="38419"/>
    <cellStyle name="Normal 2859 2 3" xfId="38420"/>
    <cellStyle name="Normal 2859 3" xfId="13607"/>
    <cellStyle name="Normal 2859 4" xfId="38421"/>
    <cellStyle name="Normal 286" xfId="13608"/>
    <cellStyle name="Normal 286 10" xfId="38422"/>
    <cellStyle name="Normal 286 2" xfId="13609"/>
    <cellStyle name="Normal 286 2 2" xfId="13610"/>
    <cellStyle name="Normal 286 2 2 2" xfId="13611"/>
    <cellStyle name="Normal 286 2 2 3" xfId="13612"/>
    <cellStyle name="Normal 286 2 3" xfId="13613"/>
    <cellStyle name="Normal 286 2 3 2" xfId="38423"/>
    <cellStyle name="Normal 286 2 3 3" xfId="38424"/>
    <cellStyle name="Normal 286 2 4" xfId="13614"/>
    <cellStyle name="Normal 286 2 5" xfId="13615"/>
    <cellStyle name="Normal 286 2 6" xfId="38425"/>
    <cellStyle name="Normal 286 2 7" xfId="38426"/>
    <cellStyle name="Normal 286 2 8" xfId="38427"/>
    <cellStyle name="Normal 286 3" xfId="13616"/>
    <cellStyle name="Normal 286 3 2" xfId="13617"/>
    <cellStyle name="Normal 286 3 2 2" xfId="38428"/>
    <cellStyle name="Normal 286 3 2 3" xfId="38429"/>
    <cellStyle name="Normal 286 3 3" xfId="13618"/>
    <cellStyle name="Normal 286 3 3 2" xfId="38430"/>
    <cellStyle name="Normal 286 3 3 3" xfId="38431"/>
    <cellStyle name="Normal 286 3 4" xfId="38432"/>
    <cellStyle name="Normal 286 3 5" xfId="38433"/>
    <cellStyle name="Normal 286 4" xfId="13619"/>
    <cellStyle name="Normal 286 4 2" xfId="38434"/>
    <cellStyle name="Normal 286 4 3" xfId="38435"/>
    <cellStyle name="Normal 286 5" xfId="13620"/>
    <cellStyle name="Normal 286 5 2" xfId="38436"/>
    <cellStyle name="Normal 286 5 3" xfId="38437"/>
    <cellStyle name="Normal 286 6" xfId="13621"/>
    <cellStyle name="Normal 286 7" xfId="38438"/>
    <cellStyle name="Normal 286 8" xfId="38439"/>
    <cellStyle name="Normal 286 9" xfId="38440"/>
    <cellStyle name="Normal 2860" xfId="13622"/>
    <cellStyle name="Normal 2860 2" xfId="13623"/>
    <cellStyle name="Normal 2860 2 2" xfId="38441"/>
    <cellStyle name="Normal 2860 2 3" xfId="38442"/>
    <cellStyle name="Normal 2860 3" xfId="13624"/>
    <cellStyle name="Normal 2860 4" xfId="38443"/>
    <cellStyle name="Normal 2861" xfId="13625"/>
    <cellStyle name="Normal 2861 2" xfId="13626"/>
    <cellStyle name="Normal 2861 2 2" xfId="38444"/>
    <cellStyle name="Normal 2861 2 3" xfId="38445"/>
    <cellStyle name="Normal 2861 3" xfId="13627"/>
    <cellStyle name="Normal 2861 4" xfId="38446"/>
    <cellStyle name="Normal 2862" xfId="13628"/>
    <cellStyle name="Normal 2862 2" xfId="13629"/>
    <cellStyle name="Normal 2862 2 2" xfId="38447"/>
    <cellStyle name="Normal 2862 2 3" xfId="38448"/>
    <cellStyle name="Normal 2862 3" xfId="13630"/>
    <cellStyle name="Normal 2862 4" xfId="38449"/>
    <cellStyle name="Normal 2863" xfId="13631"/>
    <cellStyle name="Normal 2863 2" xfId="13632"/>
    <cellStyle name="Normal 2863 2 2" xfId="38450"/>
    <cellStyle name="Normal 2863 2 3" xfId="38451"/>
    <cellStyle name="Normal 2863 3" xfId="13633"/>
    <cellStyle name="Normal 2863 4" xfId="38452"/>
    <cellStyle name="Normal 2864" xfId="13634"/>
    <cellStyle name="Normal 2864 2" xfId="13635"/>
    <cellStyle name="Normal 2864 2 2" xfId="38453"/>
    <cellStyle name="Normal 2864 2 3" xfId="38454"/>
    <cellStyle name="Normal 2864 3" xfId="13636"/>
    <cellStyle name="Normal 2864 4" xfId="38455"/>
    <cellStyle name="Normal 2865" xfId="13637"/>
    <cellStyle name="Normal 2865 2" xfId="13638"/>
    <cellStyle name="Normal 2865 2 2" xfId="38456"/>
    <cellStyle name="Normal 2865 2 3" xfId="38457"/>
    <cellStyle name="Normal 2865 3" xfId="13639"/>
    <cellStyle name="Normal 2865 4" xfId="38458"/>
    <cellStyle name="Normal 2866" xfId="13640"/>
    <cellStyle name="Normal 2866 2" xfId="13641"/>
    <cellStyle name="Normal 2866 2 2" xfId="38459"/>
    <cellStyle name="Normal 2866 2 3" xfId="38460"/>
    <cellStyle name="Normal 2866 3" xfId="13642"/>
    <cellStyle name="Normal 2866 4" xfId="38461"/>
    <cellStyle name="Normal 2867" xfId="13643"/>
    <cellStyle name="Normal 2867 2" xfId="13644"/>
    <cellStyle name="Normal 2867 2 2" xfId="38462"/>
    <cellStyle name="Normal 2867 2 3" xfId="38463"/>
    <cellStyle name="Normal 2867 3" xfId="13645"/>
    <cellStyle name="Normal 2867 4" xfId="38464"/>
    <cellStyle name="Normal 2868" xfId="13646"/>
    <cellStyle name="Normal 2868 2" xfId="13647"/>
    <cellStyle name="Normal 2868 2 2" xfId="38465"/>
    <cellStyle name="Normal 2868 2 3" xfId="38466"/>
    <cellStyle name="Normal 2868 3" xfId="13648"/>
    <cellStyle name="Normal 2868 4" xfId="38467"/>
    <cellStyle name="Normal 2869" xfId="13649"/>
    <cellStyle name="Normal 2869 2" xfId="13650"/>
    <cellStyle name="Normal 2869 2 2" xfId="38468"/>
    <cellStyle name="Normal 2869 2 3" xfId="38469"/>
    <cellStyle name="Normal 2869 3" xfId="13651"/>
    <cellStyle name="Normal 2869 4" xfId="38470"/>
    <cellStyle name="Normal 287" xfId="13652"/>
    <cellStyle name="Normal 287 10" xfId="38471"/>
    <cellStyle name="Normal 287 2" xfId="13653"/>
    <cellStyle name="Normal 287 2 2" xfId="13654"/>
    <cellStyle name="Normal 287 2 2 2" xfId="13655"/>
    <cellStyle name="Normal 287 2 2 3" xfId="13656"/>
    <cellStyle name="Normal 287 2 3" xfId="13657"/>
    <cellStyle name="Normal 287 2 3 2" xfId="38472"/>
    <cellStyle name="Normal 287 2 3 3" xfId="38473"/>
    <cellStyle name="Normal 287 2 4" xfId="13658"/>
    <cellStyle name="Normal 287 2 5" xfId="13659"/>
    <cellStyle name="Normal 287 2 6" xfId="38474"/>
    <cellStyle name="Normal 287 2 7" xfId="38475"/>
    <cellStyle name="Normal 287 2 8" xfId="38476"/>
    <cellStyle name="Normal 287 3" xfId="13660"/>
    <cellStyle name="Normal 287 3 2" xfId="13661"/>
    <cellStyle name="Normal 287 3 2 2" xfId="38477"/>
    <cellStyle name="Normal 287 3 2 3" xfId="38478"/>
    <cellStyle name="Normal 287 3 3" xfId="13662"/>
    <cellStyle name="Normal 287 3 3 2" xfId="38479"/>
    <cellStyle name="Normal 287 3 3 3" xfId="38480"/>
    <cellStyle name="Normal 287 3 4" xfId="38481"/>
    <cellStyle name="Normal 287 3 5" xfId="38482"/>
    <cellStyle name="Normal 287 4" xfId="13663"/>
    <cellStyle name="Normal 287 4 2" xfId="38483"/>
    <cellStyle name="Normal 287 4 3" xfId="38484"/>
    <cellStyle name="Normal 287 5" xfId="13664"/>
    <cellStyle name="Normal 287 5 2" xfId="38485"/>
    <cellStyle name="Normal 287 5 3" xfId="38486"/>
    <cellStyle name="Normal 287 6" xfId="13665"/>
    <cellStyle name="Normal 287 7" xfId="38487"/>
    <cellStyle name="Normal 287 8" xfId="38488"/>
    <cellStyle name="Normal 287 9" xfId="38489"/>
    <cellStyle name="Normal 2870" xfId="13666"/>
    <cellStyle name="Normal 2870 2" xfId="13667"/>
    <cellStyle name="Normal 2870 2 2" xfId="38490"/>
    <cellStyle name="Normal 2870 2 3" xfId="38491"/>
    <cellStyle name="Normal 2870 3" xfId="13668"/>
    <cellStyle name="Normal 2870 4" xfId="38492"/>
    <cellStyle name="Normal 2871" xfId="13669"/>
    <cellStyle name="Normal 2871 2" xfId="13670"/>
    <cellStyle name="Normal 2871 2 2" xfId="38493"/>
    <cellStyle name="Normal 2871 2 3" xfId="38494"/>
    <cellStyle name="Normal 2871 3" xfId="13671"/>
    <cellStyle name="Normal 2871 4" xfId="38495"/>
    <cellStyle name="Normal 2872" xfId="13672"/>
    <cellStyle name="Normal 2872 2" xfId="13673"/>
    <cellStyle name="Normal 2872 2 2" xfId="38496"/>
    <cellStyle name="Normal 2872 2 3" xfId="38497"/>
    <cellStyle name="Normal 2872 3" xfId="13674"/>
    <cellStyle name="Normal 2872 4" xfId="38498"/>
    <cellStyle name="Normal 2873" xfId="13675"/>
    <cellStyle name="Normal 2873 2" xfId="13676"/>
    <cellStyle name="Normal 2873 2 2" xfId="38499"/>
    <cellStyle name="Normal 2873 2 3" xfId="38500"/>
    <cellStyle name="Normal 2873 3" xfId="13677"/>
    <cellStyle name="Normal 2873 4" xfId="38501"/>
    <cellStyle name="Normal 2874" xfId="13678"/>
    <cellStyle name="Normal 2874 2" xfId="13679"/>
    <cellStyle name="Normal 2874 2 2" xfId="38502"/>
    <cellStyle name="Normal 2874 2 3" xfId="38503"/>
    <cellStyle name="Normal 2874 3" xfId="13680"/>
    <cellStyle name="Normal 2874 4" xfId="38504"/>
    <cellStyle name="Normal 2875" xfId="13681"/>
    <cellStyle name="Normal 2875 2" xfId="13682"/>
    <cellStyle name="Normal 2875 2 2" xfId="38505"/>
    <cellStyle name="Normal 2875 2 3" xfId="38506"/>
    <cellStyle name="Normal 2875 3" xfId="13683"/>
    <cellStyle name="Normal 2875 4" xfId="38507"/>
    <cellStyle name="Normal 2876" xfId="13684"/>
    <cellStyle name="Normal 2876 2" xfId="13685"/>
    <cellStyle name="Normal 2876 2 2" xfId="38508"/>
    <cellStyle name="Normal 2876 2 3" xfId="38509"/>
    <cellStyle name="Normal 2876 3" xfId="13686"/>
    <cellStyle name="Normal 2876 4" xfId="38510"/>
    <cellStyle name="Normal 2877" xfId="13687"/>
    <cellStyle name="Normal 2877 2" xfId="13688"/>
    <cellStyle name="Normal 2877 2 2" xfId="38511"/>
    <cellStyle name="Normal 2877 2 3" xfId="38512"/>
    <cellStyle name="Normal 2877 3" xfId="13689"/>
    <cellStyle name="Normal 2877 4" xfId="38513"/>
    <cellStyle name="Normal 2878" xfId="13690"/>
    <cellStyle name="Normal 2878 2" xfId="13691"/>
    <cellStyle name="Normal 2878 2 2" xfId="38514"/>
    <cellStyle name="Normal 2878 2 3" xfId="38515"/>
    <cellStyle name="Normal 2878 3" xfId="13692"/>
    <cellStyle name="Normal 2878 4" xfId="38516"/>
    <cellStyle name="Normal 2879" xfId="13693"/>
    <cellStyle name="Normal 2879 2" xfId="13694"/>
    <cellStyle name="Normal 2879 2 2" xfId="38517"/>
    <cellStyle name="Normal 2879 2 3" xfId="38518"/>
    <cellStyle name="Normal 2879 3" xfId="13695"/>
    <cellStyle name="Normal 2879 4" xfId="38519"/>
    <cellStyle name="Normal 288" xfId="13696"/>
    <cellStyle name="Normal 288 10" xfId="38520"/>
    <cellStyle name="Normal 288 2" xfId="13697"/>
    <cellStyle name="Normal 288 2 2" xfId="13698"/>
    <cellStyle name="Normal 288 2 2 2" xfId="13699"/>
    <cellStyle name="Normal 288 2 2 3" xfId="13700"/>
    <cellStyle name="Normal 288 2 3" xfId="13701"/>
    <cellStyle name="Normal 288 2 3 2" xfId="38521"/>
    <cellStyle name="Normal 288 2 3 3" xfId="38522"/>
    <cellStyle name="Normal 288 2 4" xfId="13702"/>
    <cellStyle name="Normal 288 2 5" xfId="13703"/>
    <cellStyle name="Normal 288 2 6" xfId="38523"/>
    <cellStyle name="Normal 288 2 7" xfId="38524"/>
    <cellStyle name="Normal 288 2 8" xfId="38525"/>
    <cellStyle name="Normal 288 3" xfId="13704"/>
    <cellStyle name="Normal 288 3 2" xfId="13705"/>
    <cellStyle name="Normal 288 3 2 2" xfId="38526"/>
    <cellStyle name="Normal 288 3 2 3" xfId="38527"/>
    <cellStyle name="Normal 288 3 3" xfId="13706"/>
    <cellStyle name="Normal 288 3 3 2" xfId="38528"/>
    <cellStyle name="Normal 288 3 3 3" xfId="38529"/>
    <cellStyle name="Normal 288 3 4" xfId="38530"/>
    <cellStyle name="Normal 288 3 5" xfId="38531"/>
    <cellStyle name="Normal 288 4" xfId="13707"/>
    <cellStyle name="Normal 288 4 2" xfId="38532"/>
    <cellStyle name="Normal 288 4 3" xfId="38533"/>
    <cellStyle name="Normal 288 5" xfId="13708"/>
    <cellStyle name="Normal 288 5 2" xfId="38534"/>
    <cellStyle name="Normal 288 5 3" xfId="38535"/>
    <cellStyle name="Normal 288 6" xfId="13709"/>
    <cellStyle name="Normal 288 7" xfId="38536"/>
    <cellStyle name="Normal 288 8" xfId="38537"/>
    <cellStyle name="Normal 288 9" xfId="38538"/>
    <cellStyle name="Normal 2880" xfId="13710"/>
    <cellStyle name="Normal 2880 2" xfId="13711"/>
    <cellStyle name="Normal 2880 2 2" xfId="38539"/>
    <cellStyle name="Normal 2880 2 3" xfId="38540"/>
    <cellStyle name="Normal 2880 3" xfId="13712"/>
    <cellStyle name="Normal 2880 4" xfId="38541"/>
    <cellStyle name="Normal 2881" xfId="13713"/>
    <cellStyle name="Normal 2881 2" xfId="13714"/>
    <cellStyle name="Normal 2881 2 2" xfId="38542"/>
    <cellStyle name="Normal 2881 2 3" xfId="38543"/>
    <cellStyle name="Normal 2881 3" xfId="13715"/>
    <cellStyle name="Normal 2881 4" xfId="38544"/>
    <cellStyle name="Normal 2882" xfId="13716"/>
    <cellStyle name="Normal 2882 2" xfId="13717"/>
    <cellStyle name="Normal 2882 2 2" xfId="38545"/>
    <cellStyle name="Normal 2882 2 3" xfId="38546"/>
    <cellStyle name="Normal 2882 3" xfId="13718"/>
    <cellStyle name="Normal 2882 4" xfId="38547"/>
    <cellStyle name="Normal 2883" xfId="13719"/>
    <cellStyle name="Normal 2883 2" xfId="13720"/>
    <cellStyle name="Normal 2883 2 2" xfId="38548"/>
    <cellStyle name="Normal 2883 2 3" xfId="38549"/>
    <cellStyle name="Normal 2883 3" xfId="13721"/>
    <cellStyle name="Normal 2883 4" xfId="38550"/>
    <cellStyle name="Normal 2884" xfId="13722"/>
    <cellStyle name="Normal 2884 2" xfId="13723"/>
    <cellStyle name="Normal 2884 2 2" xfId="38551"/>
    <cellStyle name="Normal 2884 2 3" xfId="38552"/>
    <cellStyle name="Normal 2884 3" xfId="13724"/>
    <cellStyle name="Normal 2884 4" xfId="38553"/>
    <cellStyle name="Normal 2885" xfId="13725"/>
    <cellStyle name="Normal 2885 2" xfId="13726"/>
    <cellStyle name="Normal 2885 2 2" xfId="38554"/>
    <cellStyle name="Normal 2885 2 3" xfId="38555"/>
    <cellStyle name="Normal 2885 3" xfId="13727"/>
    <cellStyle name="Normal 2885 4" xfId="38556"/>
    <cellStyle name="Normal 2886" xfId="13728"/>
    <cellStyle name="Normal 2886 2" xfId="13729"/>
    <cellStyle name="Normal 2886 2 2" xfId="38557"/>
    <cellStyle name="Normal 2886 2 3" xfId="38558"/>
    <cellStyle name="Normal 2886 3" xfId="13730"/>
    <cellStyle name="Normal 2886 4" xfId="38559"/>
    <cellStyle name="Normal 2887" xfId="13731"/>
    <cellStyle name="Normal 2887 2" xfId="13732"/>
    <cellStyle name="Normal 2887 2 2" xfId="38560"/>
    <cellStyle name="Normal 2887 2 3" xfId="38561"/>
    <cellStyle name="Normal 2887 3" xfId="13733"/>
    <cellStyle name="Normal 2887 4" xfId="38562"/>
    <cellStyle name="Normal 2888" xfId="13734"/>
    <cellStyle name="Normal 2888 2" xfId="13735"/>
    <cellStyle name="Normal 2888 2 2" xfId="38563"/>
    <cellStyle name="Normal 2888 2 3" xfId="38564"/>
    <cellStyle name="Normal 2888 3" xfId="13736"/>
    <cellStyle name="Normal 2888 4" xfId="38565"/>
    <cellStyle name="Normal 2889" xfId="13737"/>
    <cellStyle name="Normal 2889 2" xfId="13738"/>
    <cellStyle name="Normal 2889 2 2" xfId="38566"/>
    <cellStyle name="Normal 2889 2 3" xfId="38567"/>
    <cellStyle name="Normal 2889 3" xfId="13739"/>
    <cellStyle name="Normal 2889 4" xfId="38568"/>
    <cellStyle name="Normal 289" xfId="13740"/>
    <cellStyle name="Normal 289 10" xfId="38569"/>
    <cellStyle name="Normal 289 2" xfId="13741"/>
    <cellStyle name="Normal 289 2 2" xfId="13742"/>
    <cellStyle name="Normal 289 2 2 2" xfId="13743"/>
    <cellStyle name="Normal 289 2 2 3" xfId="13744"/>
    <cellStyle name="Normal 289 2 3" xfId="13745"/>
    <cellStyle name="Normal 289 2 3 2" xfId="38570"/>
    <cellStyle name="Normal 289 2 3 3" xfId="38571"/>
    <cellStyle name="Normal 289 2 4" xfId="13746"/>
    <cellStyle name="Normal 289 2 5" xfId="13747"/>
    <cellStyle name="Normal 289 2 6" xfId="38572"/>
    <cellStyle name="Normal 289 2 7" xfId="38573"/>
    <cellStyle name="Normal 289 2 8" xfId="38574"/>
    <cellStyle name="Normal 289 3" xfId="13748"/>
    <cellStyle name="Normal 289 3 2" xfId="13749"/>
    <cellStyle name="Normal 289 3 2 2" xfId="38575"/>
    <cellStyle name="Normal 289 3 2 3" xfId="38576"/>
    <cellStyle name="Normal 289 3 3" xfId="13750"/>
    <cellStyle name="Normal 289 3 3 2" xfId="38577"/>
    <cellStyle name="Normal 289 3 3 3" xfId="38578"/>
    <cellStyle name="Normal 289 3 4" xfId="38579"/>
    <cellStyle name="Normal 289 3 5" xfId="38580"/>
    <cellStyle name="Normal 289 4" xfId="13751"/>
    <cellStyle name="Normal 289 4 2" xfId="38581"/>
    <cellStyle name="Normal 289 4 3" xfId="38582"/>
    <cellStyle name="Normal 289 5" xfId="13752"/>
    <cellStyle name="Normal 289 5 2" xfId="38583"/>
    <cellStyle name="Normal 289 5 3" xfId="38584"/>
    <cellStyle name="Normal 289 6" xfId="13753"/>
    <cellStyle name="Normal 289 7" xfId="38585"/>
    <cellStyle name="Normal 289 8" xfId="38586"/>
    <cellStyle name="Normal 289 9" xfId="38587"/>
    <cellStyle name="Normal 2890" xfId="13754"/>
    <cellStyle name="Normal 2890 2" xfId="13755"/>
    <cellStyle name="Normal 2890 2 2" xfId="38588"/>
    <cellStyle name="Normal 2890 2 3" xfId="38589"/>
    <cellStyle name="Normal 2890 3" xfId="13756"/>
    <cellStyle name="Normal 2890 4" xfId="38590"/>
    <cellStyle name="Normal 2891" xfId="13757"/>
    <cellStyle name="Normal 2891 2" xfId="13758"/>
    <cellStyle name="Normal 2891 2 2" xfId="38591"/>
    <cellStyle name="Normal 2891 2 3" xfId="38592"/>
    <cellStyle name="Normal 2891 3" xfId="13759"/>
    <cellStyle name="Normal 2891 4" xfId="38593"/>
    <cellStyle name="Normal 2892" xfId="13760"/>
    <cellStyle name="Normal 2892 2" xfId="13761"/>
    <cellStyle name="Normal 2892 2 2" xfId="38594"/>
    <cellStyle name="Normal 2892 2 3" xfId="38595"/>
    <cellStyle name="Normal 2892 3" xfId="13762"/>
    <cellStyle name="Normal 2892 4" xfId="38596"/>
    <cellStyle name="Normal 2893" xfId="13763"/>
    <cellStyle name="Normal 2893 2" xfId="13764"/>
    <cellStyle name="Normal 2893 2 2" xfId="38597"/>
    <cellStyle name="Normal 2893 2 3" xfId="38598"/>
    <cellStyle name="Normal 2893 3" xfId="13765"/>
    <cellStyle name="Normal 2893 4" xfId="38599"/>
    <cellStyle name="Normal 2894" xfId="13766"/>
    <cellStyle name="Normal 2894 2" xfId="13767"/>
    <cellStyle name="Normal 2894 2 2" xfId="38600"/>
    <cellStyle name="Normal 2894 2 3" xfId="38601"/>
    <cellStyle name="Normal 2894 3" xfId="13768"/>
    <cellStyle name="Normal 2894 4" xfId="38602"/>
    <cellStyle name="Normal 2895" xfId="13769"/>
    <cellStyle name="Normal 2895 2" xfId="13770"/>
    <cellStyle name="Normal 2895 2 2" xfId="38603"/>
    <cellStyle name="Normal 2895 2 3" xfId="38604"/>
    <cellStyle name="Normal 2895 3" xfId="13771"/>
    <cellStyle name="Normal 2895 4" xfId="38605"/>
    <cellStyle name="Normal 2896" xfId="13772"/>
    <cellStyle name="Normal 2896 2" xfId="13773"/>
    <cellStyle name="Normal 2896 2 2" xfId="38606"/>
    <cellStyle name="Normal 2896 2 3" xfId="38607"/>
    <cellStyle name="Normal 2896 3" xfId="13774"/>
    <cellStyle name="Normal 2896 4" xfId="38608"/>
    <cellStyle name="Normal 2897" xfId="13775"/>
    <cellStyle name="Normal 2897 2" xfId="13776"/>
    <cellStyle name="Normal 2897 2 2" xfId="38609"/>
    <cellStyle name="Normal 2897 2 3" xfId="38610"/>
    <cellStyle name="Normal 2897 3" xfId="13777"/>
    <cellStyle name="Normal 2897 4" xfId="38611"/>
    <cellStyle name="Normal 2898" xfId="13778"/>
    <cellStyle name="Normal 2898 2" xfId="13779"/>
    <cellStyle name="Normal 2898 2 2" xfId="38612"/>
    <cellStyle name="Normal 2898 2 3" xfId="38613"/>
    <cellStyle name="Normal 2898 3" xfId="13780"/>
    <cellStyle name="Normal 2898 4" xfId="38614"/>
    <cellStyle name="Normal 2899" xfId="13781"/>
    <cellStyle name="Normal 2899 2" xfId="13782"/>
    <cellStyle name="Normal 2899 2 2" xfId="38615"/>
    <cellStyle name="Normal 2899 2 3" xfId="38616"/>
    <cellStyle name="Normal 2899 3" xfId="13783"/>
    <cellStyle name="Normal 2899 4" xfId="38617"/>
    <cellStyle name="Normal 29" xfId="13784"/>
    <cellStyle name="Normal 29 10" xfId="38618"/>
    <cellStyle name="Normal 29 2" xfId="13785"/>
    <cellStyle name="Normal 29 2 2" xfId="13786"/>
    <cellStyle name="Normal 29 2 2 2" xfId="13787"/>
    <cellStyle name="Normal 29 2 2 3" xfId="13788"/>
    <cellStyle name="Normal 29 2 3" xfId="13789"/>
    <cellStyle name="Normal 29 2 3 2" xfId="38619"/>
    <cellStyle name="Normal 29 2 3 3" xfId="38620"/>
    <cellStyle name="Normal 29 2 4" xfId="13790"/>
    <cellStyle name="Normal 29 2 5" xfId="13791"/>
    <cellStyle name="Normal 29 2 6" xfId="38621"/>
    <cellStyle name="Normal 29 2 7" xfId="38622"/>
    <cellStyle name="Normal 29 2 8" xfId="38623"/>
    <cellStyle name="Normal 29 3" xfId="13792"/>
    <cellStyle name="Normal 29 3 2" xfId="13793"/>
    <cellStyle name="Normal 29 3 2 2" xfId="38624"/>
    <cellStyle name="Normal 29 3 2 3" xfId="38625"/>
    <cellStyle name="Normal 29 3 3" xfId="13794"/>
    <cellStyle name="Normal 29 3 3 2" xfId="38626"/>
    <cellStyle name="Normal 29 3 3 3" xfId="38627"/>
    <cellStyle name="Normal 29 3 4" xfId="13795"/>
    <cellStyle name="Normal 29 3 5" xfId="38628"/>
    <cellStyle name="Normal 29 4" xfId="13796"/>
    <cellStyle name="Normal 29 4 2" xfId="38629"/>
    <cellStyle name="Normal 29 4 3" xfId="38630"/>
    <cellStyle name="Normal 29 5" xfId="13797"/>
    <cellStyle name="Normal 29 5 2" xfId="38631"/>
    <cellStyle name="Normal 29 5 3" xfId="38632"/>
    <cellStyle name="Normal 29 6" xfId="13798"/>
    <cellStyle name="Normal 29 7" xfId="38633"/>
    <cellStyle name="Normal 29 8" xfId="38634"/>
    <cellStyle name="Normal 29 9" xfId="38635"/>
    <cellStyle name="Normal 290" xfId="13799"/>
    <cellStyle name="Normal 290 10" xfId="38636"/>
    <cellStyle name="Normal 290 2" xfId="13800"/>
    <cellStyle name="Normal 290 2 2" xfId="13801"/>
    <cellStyle name="Normal 290 2 2 2" xfId="13802"/>
    <cellStyle name="Normal 290 2 2 3" xfId="13803"/>
    <cellStyle name="Normal 290 2 3" xfId="13804"/>
    <cellStyle name="Normal 290 2 3 2" xfId="38637"/>
    <cellStyle name="Normal 290 2 3 3" xfId="38638"/>
    <cellStyle name="Normal 290 2 4" xfId="13805"/>
    <cellStyle name="Normal 290 2 5" xfId="13806"/>
    <cellStyle name="Normal 290 2 6" xfId="38639"/>
    <cellStyle name="Normal 290 2 7" xfId="38640"/>
    <cellStyle name="Normal 290 2 8" xfId="38641"/>
    <cellStyle name="Normal 290 3" xfId="13807"/>
    <cellStyle name="Normal 290 3 2" xfId="13808"/>
    <cellStyle name="Normal 290 3 2 2" xfId="38642"/>
    <cellStyle name="Normal 290 3 2 3" xfId="38643"/>
    <cellStyle name="Normal 290 3 3" xfId="13809"/>
    <cellStyle name="Normal 290 3 3 2" xfId="38644"/>
    <cellStyle name="Normal 290 3 3 3" xfId="38645"/>
    <cellStyle name="Normal 290 3 4" xfId="38646"/>
    <cellStyle name="Normal 290 3 5" xfId="38647"/>
    <cellStyle name="Normal 290 4" xfId="13810"/>
    <cellStyle name="Normal 290 4 2" xfId="38648"/>
    <cellStyle name="Normal 290 4 3" xfId="38649"/>
    <cellStyle name="Normal 290 5" xfId="13811"/>
    <cellStyle name="Normal 290 5 2" xfId="38650"/>
    <cellStyle name="Normal 290 5 3" xfId="38651"/>
    <cellStyle name="Normal 290 6" xfId="13812"/>
    <cellStyle name="Normal 290 7" xfId="38652"/>
    <cellStyle name="Normal 290 8" xfId="38653"/>
    <cellStyle name="Normal 290 9" xfId="38654"/>
    <cellStyle name="Normal 2900" xfId="13813"/>
    <cellStyle name="Normal 2900 2" xfId="13814"/>
    <cellStyle name="Normal 2900 2 2" xfId="38655"/>
    <cellStyle name="Normal 2900 2 3" xfId="38656"/>
    <cellStyle name="Normal 2900 3" xfId="13815"/>
    <cellStyle name="Normal 2900 4" xfId="38657"/>
    <cellStyle name="Normal 2901" xfId="13816"/>
    <cellStyle name="Normal 2901 2" xfId="13817"/>
    <cellStyle name="Normal 2901 2 2" xfId="38658"/>
    <cellStyle name="Normal 2901 2 3" xfId="38659"/>
    <cellStyle name="Normal 2901 3" xfId="13818"/>
    <cellStyle name="Normal 2901 4" xfId="38660"/>
    <cellStyle name="Normal 2902" xfId="13819"/>
    <cellStyle name="Normal 2902 2" xfId="13820"/>
    <cellStyle name="Normal 2902 2 2" xfId="38661"/>
    <cellStyle name="Normal 2902 2 3" xfId="38662"/>
    <cellStyle name="Normal 2902 3" xfId="13821"/>
    <cellStyle name="Normal 2902 4" xfId="38663"/>
    <cellStyle name="Normal 2903" xfId="13822"/>
    <cellStyle name="Normal 2903 2" xfId="13823"/>
    <cellStyle name="Normal 2903 2 2" xfId="38664"/>
    <cellStyle name="Normal 2903 2 3" xfId="38665"/>
    <cellStyle name="Normal 2903 3" xfId="13824"/>
    <cellStyle name="Normal 2903 4" xfId="38666"/>
    <cellStyle name="Normal 2904" xfId="13825"/>
    <cellStyle name="Normal 2904 2" xfId="13826"/>
    <cellStyle name="Normal 2904 2 2" xfId="38667"/>
    <cellStyle name="Normal 2904 2 3" xfId="38668"/>
    <cellStyle name="Normal 2904 3" xfId="13827"/>
    <cellStyle name="Normal 2904 4" xfId="38669"/>
    <cellStyle name="Normal 2905" xfId="13828"/>
    <cellStyle name="Normal 2905 2" xfId="13829"/>
    <cellStyle name="Normal 2905 2 2" xfId="38670"/>
    <cellStyle name="Normal 2905 2 3" xfId="38671"/>
    <cellStyle name="Normal 2905 3" xfId="13830"/>
    <cellStyle name="Normal 2905 4" xfId="38672"/>
    <cellStyle name="Normal 2906" xfId="13831"/>
    <cellStyle name="Normal 2906 2" xfId="13832"/>
    <cellStyle name="Normal 2906 2 2" xfId="38673"/>
    <cellStyle name="Normal 2906 2 3" xfId="38674"/>
    <cellStyle name="Normal 2906 3" xfId="13833"/>
    <cellStyle name="Normal 2906 4" xfId="38675"/>
    <cellStyle name="Normal 2907" xfId="13834"/>
    <cellStyle name="Normal 2907 2" xfId="13835"/>
    <cellStyle name="Normal 2907 2 2" xfId="38676"/>
    <cellStyle name="Normal 2907 2 3" xfId="38677"/>
    <cellStyle name="Normal 2907 3" xfId="13836"/>
    <cellStyle name="Normal 2907 4" xfId="38678"/>
    <cellStyle name="Normal 2908" xfId="13837"/>
    <cellStyle name="Normal 2908 2" xfId="13838"/>
    <cellStyle name="Normal 2908 2 2" xfId="38679"/>
    <cellStyle name="Normal 2908 2 3" xfId="38680"/>
    <cellStyle name="Normal 2908 3" xfId="13839"/>
    <cellStyle name="Normal 2908 4" xfId="38681"/>
    <cellStyle name="Normal 2909" xfId="13840"/>
    <cellStyle name="Normal 2909 2" xfId="13841"/>
    <cellStyle name="Normal 2909 2 2" xfId="38682"/>
    <cellStyle name="Normal 2909 2 3" xfId="38683"/>
    <cellStyle name="Normal 2909 3" xfId="13842"/>
    <cellStyle name="Normal 2909 4" xfId="38684"/>
    <cellStyle name="Normal 291" xfId="13843"/>
    <cellStyle name="Normal 291 10" xfId="38685"/>
    <cellStyle name="Normal 291 2" xfId="13844"/>
    <cellStyle name="Normal 291 2 2" xfId="13845"/>
    <cellStyle name="Normal 291 2 2 2" xfId="13846"/>
    <cellStyle name="Normal 291 2 2 3" xfId="13847"/>
    <cellStyle name="Normal 291 2 3" xfId="13848"/>
    <cellStyle name="Normal 291 2 3 2" xfId="38686"/>
    <cellStyle name="Normal 291 2 3 3" xfId="38687"/>
    <cellStyle name="Normal 291 2 4" xfId="13849"/>
    <cellStyle name="Normal 291 2 5" xfId="13850"/>
    <cellStyle name="Normal 291 2 6" xfId="38688"/>
    <cellStyle name="Normal 291 2 7" xfId="38689"/>
    <cellStyle name="Normal 291 2 8" xfId="38690"/>
    <cellStyle name="Normal 291 3" xfId="13851"/>
    <cellStyle name="Normal 291 3 2" xfId="13852"/>
    <cellStyle name="Normal 291 3 2 2" xfId="38691"/>
    <cellStyle name="Normal 291 3 2 3" xfId="38692"/>
    <cellStyle name="Normal 291 3 3" xfId="13853"/>
    <cellStyle name="Normal 291 3 3 2" xfId="38693"/>
    <cellStyle name="Normal 291 3 3 3" xfId="38694"/>
    <cellStyle name="Normal 291 3 4" xfId="38695"/>
    <cellStyle name="Normal 291 3 5" xfId="38696"/>
    <cellStyle name="Normal 291 4" xfId="13854"/>
    <cellStyle name="Normal 291 4 2" xfId="38697"/>
    <cellStyle name="Normal 291 4 3" xfId="38698"/>
    <cellStyle name="Normal 291 5" xfId="13855"/>
    <cellStyle name="Normal 291 5 2" xfId="38699"/>
    <cellStyle name="Normal 291 5 3" xfId="38700"/>
    <cellStyle name="Normal 291 6" xfId="13856"/>
    <cellStyle name="Normal 291 7" xfId="38701"/>
    <cellStyle name="Normal 291 8" xfId="38702"/>
    <cellStyle name="Normal 291 9" xfId="38703"/>
    <cellStyle name="Normal 2910" xfId="13857"/>
    <cellStyle name="Normal 2910 2" xfId="13858"/>
    <cellStyle name="Normal 2910 2 2" xfId="38704"/>
    <cellStyle name="Normal 2910 2 3" xfId="38705"/>
    <cellStyle name="Normal 2910 3" xfId="13859"/>
    <cellStyle name="Normal 2910 4" xfId="38706"/>
    <cellStyle name="Normal 2911" xfId="13860"/>
    <cellStyle name="Normal 2911 2" xfId="13861"/>
    <cellStyle name="Normal 2911 2 2" xfId="38707"/>
    <cellStyle name="Normal 2911 2 3" xfId="38708"/>
    <cellStyle name="Normal 2911 3" xfId="13862"/>
    <cellStyle name="Normal 2911 4" xfId="38709"/>
    <cellStyle name="Normal 2912" xfId="13863"/>
    <cellStyle name="Normal 2912 2" xfId="13864"/>
    <cellStyle name="Normal 2912 2 2" xfId="38710"/>
    <cellStyle name="Normal 2912 2 3" xfId="38711"/>
    <cellStyle name="Normal 2912 3" xfId="13865"/>
    <cellStyle name="Normal 2912 4" xfId="38712"/>
    <cellStyle name="Normal 2913" xfId="13866"/>
    <cellStyle name="Normal 2913 2" xfId="13867"/>
    <cellStyle name="Normal 2913 2 2" xfId="38713"/>
    <cellStyle name="Normal 2913 2 3" xfId="38714"/>
    <cellStyle name="Normal 2913 3" xfId="13868"/>
    <cellStyle name="Normal 2913 4" xfId="38715"/>
    <cellStyle name="Normal 2914" xfId="13869"/>
    <cellStyle name="Normal 2914 2" xfId="13870"/>
    <cellStyle name="Normal 2914 2 2" xfId="38716"/>
    <cellStyle name="Normal 2914 2 3" xfId="38717"/>
    <cellStyle name="Normal 2914 3" xfId="13871"/>
    <cellStyle name="Normal 2914 4" xfId="38718"/>
    <cellStyle name="Normal 2915" xfId="13872"/>
    <cellStyle name="Normal 2915 2" xfId="13873"/>
    <cellStyle name="Normal 2915 2 2" xfId="38719"/>
    <cellStyle name="Normal 2915 2 3" xfId="38720"/>
    <cellStyle name="Normal 2915 3" xfId="13874"/>
    <cellStyle name="Normal 2915 4" xfId="38721"/>
    <cellStyle name="Normal 2916" xfId="13875"/>
    <cellStyle name="Normal 2916 2" xfId="13876"/>
    <cellStyle name="Normal 2916 2 2" xfId="38722"/>
    <cellStyle name="Normal 2916 2 3" xfId="38723"/>
    <cellStyle name="Normal 2916 3" xfId="13877"/>
    <cellStyle name="Normal 2916 4" xfId="38724"/>
    <cellStyle name="Normal 2917" xfId="13878"/>
    <cellStyle name="Normal 2917 2" xfId="13879"/>
    <cellStyle name="Normal 2917 2 2" xfId="38725"/>
    <cellStyle name="Normal 2917 2 3" xfId="38726"/>
    <cellStyle name="Normal 2917 3" xfId="13880"/>
    <cellStyle name="Normal 2917 4" xfId="38727"/>
    <cellStyle name="Normal 2918" xfId="13881"/>
    <cellStyle name="Normal 2918 2" xfId="13882"/>
    <cellStyle name="Normal 2918 2 2" xfId="38728"/>
    <cellStyle name="Normal 2918 2 3" xfId="38729"/>
    <cellStyle name="Normal 2918 3" xfId="13883"/>
    <cellStyle name="Normal 2918 4" xfId="38730"/>
    <cellStyle name="Normal 2919" xfId="13884"/>
    <cellStyle name="Normal 2919 2" xfId="13885"/>
    <cellStyle name="Normal 2919 2 2" xfId="38731"/>
    <cellStyle name="Normal 2919 2 3" xfId="38732"/>
    <cellStyle name="Normal 2919 3" xfId="13886"/>
    <cellStyle name="Normal 2919 4" xfId="38733"/>
    <cellStyle name="Normal 292" xfId="13887"/>
    <cellStyle name="Normal 292 10" xfId="38734"/>
    <cellStyle name="Normal 292 2" xfId="13888"/>
    <cellStyle name="Normal 292 2 2" xfId="13889"/>
    <cellStyle name="Normal 292 2 2 2" xfId="13890"/>
    <cellStyle name="Normal 292 2 2 3" xfId="13891"/>
    <cellStyle name="Normal 292 2 3" xfId="13892"/>
    <cellStyle name="Normal 292 2 3 2" xfId="38735"/>
    <cellStyle name="Normal 292 2 3 3" xfId="38736"/>
    <cellStyle name="Normal 292 2 4" xfId="13893"/>
    <cellStyle name="Normal 292 2 5" xfId="13894"/>
    <cellStyle name="Normal 292 2 6" xfId="38737"/>
    <cellStyle name="Normal 292 2 7" xfId="38738"/>
    <cellStyle name="Normal 292 2 8" xfId="38739"/>
    <cellStyle name="Normal 292 3" xfId="13895"/>
    <cellStyle name="Normal 292 3 2" xfId="13896"/>
    <cellStyle name="Normal 292 3 2 2" xfId="38740"/>
    <cellStyle name="Normal 292 3 2 3" xfId="38741"/>
    <cellStyle name="Normal 292 3 3" xfId="13897"/>
    <cellStyle name="Normal 292 3 3 2" xfId="38742"/>
    <cellStyle name="Normal 292 3 3 3" xfId="38743"/>
    <cellStyle name="Normal 292 3 4" xfId="38744"/>
    <cellStyle name="Normal 292 3 5" xfId="38745"/>
    <cellStyle name="Normal 292 4" xfId="13898"/>
    <cellStyle name="Normal 292 4 2" xfId="38746"/>
    <cellStyle name="Normal 292 4 3" xfId="38747"/>
    <cellStyle name="Normal 292 5" xfId="13899"/>
    <cellStyle name="Normal 292 5 2" xfId="38748"/>
    <cellStyle name="Normal 292 5 3" xfId="38749"/>
    <cellStyle name="Normal 292 6" xfId="13900"/>
    <cellStyle name="Normal 292 7" xfId="38750"/>
    <cellStyle name="Normal 292 8" xfId="38751"/>
    <cellStyle name="Normal 292 9" xfId="38752"/>
    <cellStyle name="Normal 2920" xfId="13901"/>
    <cellStyle name="Normal 2920 2" xfId="13902"/>
    <cellStyle name="Normal 2920 2 2" xfId="38753"/>
    <cellStyle name="Normal 2920 2 3" xfId="38754"/>
    <cellStyle name="Normal 2920 3" xfId="13903"/>
    <cellStyle name="Normal 2920 4" xfId="38755"/>
    <cellStyle name="Normal 2921" xfId="13904"/>
    <cellStyle name="Normal 2921 2" xfId="13905"/>
    <cellStyle name="Normal 2921 2 2" xfId="38756"/>
    <cellStyle name="Normal 2921 2 3" xfId="38757"/>
    <cellStyle name="Normal 2921 3" xfId="13906"/>
    <cellStyle name="Normal 2921 4" xfId="38758"/>
    <cellStyle name="Normal 2922" xfId="13907"/>
    <cellStyle name="Normal 2922 2" xfId="13908"/>
    <cellStyle name="Normal 2922 2 2" xfId="38759"/>
    <cellStyle name="Normal 2922 2 3" xfId="38760"/>
    <cellStyle name="Normal 2922 3" xfId="13909"/>
    <cellStyle name="Normal 2922 4" xfId="38761"/>
    <cellStyle name="Normal 2923" xfId="13910"/>
    <cellStyle name="Normal 2923 2" xfId="13911"/>
    <cellStyle name="Normal 2923 2 2" xfId="38762"/>
    <cellStyle name="Normal 2923 2 3" xfId="38763"/>
    <cellStyle name="Normal 2923 3" xfId="13912"/>
    <cellStyle name="Normal 2923 4" xfId="38764"/>
    <cellStyle name="Normal 2924" xfId="13913"/>
    <cellStyle name="Normal 2924 2" xfId="13914"/>
    <cellStyle name="Normal 2924 2 2" xfId="38765"/>
    <cellStyle name="Normal 2924 2 3" xfId="38766"/>
    <cellStyle name="Normal 2924 3" xfId="13915"/>
    <cellStyle name="Normal 2924 4" xfId="38767"/>
    <cellStyle name="Normal 2925" xfId="13916"/>
    <cellStyle name="Normal 2925 2" xfId="13917"/>
    <cellStyle name="Normal 2925 2 2" xfId="38768"/>
    <cellStyle name="Normal 2925 2 3" xfId="38769"/>
    <cellStyle name="Normal 2925 3" xfId="13918"/>
    <cellStyle name="Normal 2925 4" xfId="38770"/>
    <cellStyle name="Normal 2926" xfId="13919"/>
    <cellStyle name="Normal 2926 2" xfId="13920"/>
    <cellStyle name="Normal 2926 2 2" xfId="38771"/>
    <cellStyle name="Normal 2926 2 3" xfId="38772"/>
    <cellStyle name="Normal 2926 3" xfId="13921"/>
    <cellStyle name="Normal 2926 4" xfId="38773"/>
    <cellStyle name="Normal 2927" xfId="13922"/>
    <cellStyle name="Normal 2927 2" xfId="13923"/>
    <cellStyle name="Normal 2927 2 2" xfId="38774"/>
    <cellStyle name="Normal 2927 2 3" xfId="38775"/>
    <cellStyle name="Normal 2927 3" xfId="13924"/>
    <cellStyle name="Normal 2927 4" xfId="38776"/>
    <cellStyle name="Normal 2928" xfId="13925"/>
    <cellStyle name="Normal 2928 2" xfId="13926"/>
    <cellStyle name="Normal 2928 2 2" xfId="38777"/>
    <cellStyle name="Normal 2928 2 3" xfId="38778"/>
    <cellStyle name="Normal 2928 3" xfId="13927"/>
    <cellStyle name="Normal 2928 4" xfId="38779"/>
    <cellStyle name="Normal 2929" xfId="13928"/>
    <cellStyle name="Normal 2929 2" xfId="13929"/>
    <cellStyle name="Normal 2929 2 2" xfId="38780"/>
    <cellStyle name="Normal 2929 2 3" xfId="38781"/>
    <cellStyle name="Normal 2929 3" xfId="13930"/>
    <cellStyle name="Normal 2929 4" xfId="38782"/>
    <cellStyle name="Normal 293" xfId="13931"/>
    <cellStyle name="Normal 293 10" xfId="38783"/>
    <cellStyle name="Normal 293 2" xfId="13932"/>
    <cellStyle name="Normal 293 2 2" xfId="13933"/>
    <cellStyle name="Normal 293 2 2 2" xfId="13934"/>
    <cellStyle name="Normal 293 2 2 3" xfId="13935"/>
    <cellStyle name="Normal 293 2 3" xfId="13936"/>
    <cellStyle name="Normal 293 2 3 2" xfId="38784"/>
    <cellStyle name="Normal 293 2 3 3" xfId="38785"/>
    <cellStyle name="Normal 293 2 4" xfId="13937"/>
    <cellStyle name="Normal 293 2 5" xfId="13938"/>
    <cellStyle name="Normal 293 2 6" xfId="38786"/>
    <cellStyle name="Normal 293 2 7" xfId="38787"/>
    <cellStyle name="Normal 293 2 8" xfId="38788"/>
    <cellStyle name="Normal 293 3" xfId="13939"/>
    <cellStyle name="Normal 293 3 2" xfId="13940"/>
    <cellStyle name="Normal 293 3 2 2" xfId="38789"/>
    <cellStyle name="Normal 293 3 2 3" xfId="38790"/>
    <cellStyle name="Normal 293 3 3" xfId="13941"/>
    <cellStyle name="Normal 293 3 3 2" xfId="38791"/>
    <cellStyle name="Normal 293 3 3 3" xfId="38792"/>
    <cellStyle name="Normal 293 3 4" xfId="38793"/>
    <cellStyle name="Normal 293 3 5" xfId="38794"/>
    <cellStyle name="Normal 293 4" xfId="13942"/>
    <cellStyle name="Normal 293 4 2" xfId="38795"/>
    <cellStyle name="Normal 293 4 3" xfId="38796"/>
    <cellStyle name="Normal 293 5" xfId="13943"/>
    <cellStyle name="Normal 293 5 2" xfId="38797"/>
    <cellStyle name="Normal 293 5 3" xfId="38798"/>
    <cellStyle name="Normal 293 6" xfId="13944"/>
    <cellStyle name="Normal 293 7" xfId="38799"/>
    <cellStyle name="Normal 293 8" xfId="38800"/>
    <cellStyle name="Normal 293 9" xfId="38801"/>
    <cellStyle name="Normal 2930" xfId="13945"/>
    <cellStyle name="Normal 2930 2" xfId="13946"/>
    <cellStyle name="Normal 2930 2 2" xfId="38802"/>
    <cellStyle name="Normal 2930 2 3" xfId="38803"/>
    <cellStyle name="Normal 2930 3" xfId="13947"/>
    <cellStyle name="Normal 2930 4" xfId="38804"/>
    <cellStyle name="Normal 2931" xfId="13948"/>
    <cellStyle name="Normal 2931 2" xfId="13949"/>
    <cellStyle name="Normal 2931 2 2" xfId="38805"/>
    <cellStyle name="Normal 2931 2 3" xfId="38806"/>
    <cellStyle name="Normal 2931 3" xfId="13950"/>
    <cellStyle name="Normal 2931 4" xfId="38807"/>
    <cellStyle name="Normal 2932" xfId="13951"/>
    <cellStyle name="Normal 2932 2" xfId="13952"/>
    <cellStyle name="Normal 2932 2 2" xfId="38808"/>
    <cellStyle name="Normal 2932 2 3" xfId="38809"/>
    <cellStyle name="Normal 2932 3" xfId="13953"/>
    <cellStyle name="Normal 2932 4" xfId="38810"/>
    <cellStyle name="Normal 2933" xfId="13954"/>
    <cellStyle name="Normal 2933 2" xfId="13955"/>
    <cellStyle name="Normal 2933 2 2" xfId="38811"/>
    <cellStyle name="Normal 2933 2 3" xfId="38812"/>
    <cellStyle name="Normal 2933 3" xfId="13956"/>
    <cellStyle name="Normal 2933 4" xfId="38813"/>
    <cellStyle name="Normal 2934" xfId="13957"/>
    <cellStyle name="Normal 2934 2" xfId="13958"/>
    <cellStyle name="Normal 2934 2 2" xfId="38814"/>
    <cellStyle name="Normal 2934 2 3" xfId="38815"/>
    <cellStyle name="Normal 2934 3" xfId="13959"/>
    <cellStyle name="Normal 2934 4" xfId="38816"/>
    <cellStyle name="Normal 2935" xfId="13960"/>
    <cellStyle name="Normal 2935 2" xfId="13961"/>
    <cellStyle name="Normal 2935 2 2" xfId="38817"/>
    <cellStyle name="Normal 2935 2 3" xfId="38818"/>
    <cellStyle name="Normal 2935 3" xfId="13962"/>
    <cellStyle name="Normal 2935 4" xfId="38819"/>
    <cellStyle name="Normal 2936" xfId="13963"/>
    <cellStyle name="Normal 2936 2" xfId="13964"/>
    <cellStyle name="Normal 2936 2 2" xfId="38820"/>
    <cellStyle name="Normal 2936 2 3" xfId="38821"/>
    <cellStyle name="Normal 2936 3" xfId="13965"/>
    <cellStyle name="Normal 2936 4" xfId="38822"/>
    <cellStyle name="Normal 2937" xfId="13966"/>
    <cellStyle name="Normal 2937 2" xfId="13967"/>
    <cellStyle name="Normal 2937 2 2" xfId="38823"/>
    <cellStyle name="Normal 2937 2 3" xfId="38824"/>
    <cellStyle name="Normal 2937 3" xfId="13968"/>
    <cellStyle name="Normal 2937 4" xfId="38825"/>
    <cellStyle name="Normal 2938" xfId="13969"/>
    <cellStyle name="Normal 2938 2" xfId="13970"/>
    <cellStyle name="Normal 2938 2 2" xfId="38826"/>
    <cellStyle name="Normal 2938 2 3" xfId="38827"/>
    <cellStyle name="Normal 2938 3" xfId="13971"/>
    <cellStyle name="Normal 2938 4" xfId="38828"/>
    <cellStyle name="Normal 2939" xfId="13972"/>
    <cellStyle name="Normal 2939 2" xfId="13973"/>
    <cellStyle name="Normal 2939 2 2" xfId="38829"/>
    <cellStyle name="Normal 2939 2 3" xfId="38830"/>
    <cellStyle name="Normal 2939 3" xfId="13974"/>
    <cellStyle name="Normal 2939 4" xfId="38831"/>
    <cellStyle name="Normal 294" xfId="13975"/>
    <cellStyle name="Normal 294 10" xfId="38832"/>
    <cellStyle name="Normal 294 2" xfId="13976"/>
    <cellStyle name="Normal 294 2 2" xfId="13977"/>
    <cellStyle name="Normal 294 2 2 2" xfId="13978"/>
    <cellStyle name="Normal 294 2 2 3" xfId="13979"/>
    <cellStyle name="Normal 294 2 3" xfId="13980"/>
    <cellStyle name="Normal 294 2 3 2" xfId="38833"/>
    <cellStyle name="Normal 294 2 3 3" xfId="38834"/>
    <cellStyle name="Normal 294 2 4" xfId="13981"/>
    <cellStyle name="Normal 294 2 5" xfId="13982"/>
    <cellStyle name="Normal 294 2 6" xfId="38835"/>
    <cellStyle name="Normal 294 2 7" xfId="38836"/>
    <cellStyle name="Normal 294 2 8" xfId="38837"/>
    <cellStyle name="Normal 294 3" xfId="13983"/>
    <cellStyle name="Normal 294 3 2" xfId="13984"/>
    <cellStyle name="Normal 294 3 2 2" xfId="38838"/>
    <cellStyle name="Normal 294 3 2 3" xfId="38839"/>
    <cellStyle name="Normal 294 3 3" xfId="13985"/>
    <cellStyle name="Normal 294 3 3 2" xfId="38840"/>
    <cellStyle name="Normal 294 3 3 3" xfId="38841"/>
    <cellStyle name="Normal 294 3 4" xfId="38842"/>
    <cellStyle name="Normal 294 3 5" xfId="38843"/>
    <cellStyle name="Normal 294 4" xfId="13986"/>
    <cellStyle name="Normal 294 4 2" xfId="38844"/>
    <cellStyle name="Normal 294 4 3" xfId="38845"/>
    <cellStyle name="Normal 294 5" xfId="13987"/>
    <cellStyle name="Normal 294 5 2" xfId="38846"/>
    <cellStyle name="Normal 294 5 3" xfId="38847"/>
    <cellStyle name="Normal 294 6" xfId="13988"/>
    <cellStyle name="Normal 294 7" xfId="38848"/>
    <cellStyle name="Normal 294 8" xfId="38849"/>
    <cellStyle name="Normal 294 9" xfId="38850"/>
    <cellStyle name="Normal 2940" xfId="13989"/>
    <cellStyle name="Normal 2940 2" xfId="13990"/>
    <cellStyle name="Normal 2940 2 2" xfId="38851"/>
    <cellStyle name="Normal 2940 2 3" xfId="38852"/>
    <cellStyle name="Normal 2940 3" xfId="13991"/>
    <cellStyle name="Normal 2940 4" xfId="38853"/>
    <cellStyle name="Normal 2941" xfId="13992"/>
    <cellStyle name="Normal 2941 2" xfId="13993"/>
    <cellStyle name="Normal 2941 2 2" xfId="38854"/>
    <cellStyle name="Normal 2941 2 3" xfId="38855"/>
    <cellStyle name="Normal 2941 3" xfId="13994"/>
    <cellStyle name="Normal 2941 4" xfId="38856"/>
    <cellStyle name="Normal 2942" xfId="13995"/>
    <cellStyle name="Normal 2942 2" xfId="13996"/>
    <cellStyle name="Normal 2942 2 2" xfId="38857"/>
    <cellStyle name="Normal 2942 2 3" xfId="38858"/>
    <cellStyle name="Normal 2942 3" xfId="13997"/>
    <cellStyle name="Normal 2942 4" xfId="38859"/>
    <cellStyle name="Normal 2943" xfId="13998"/>
    <cellStyle name="Normal 2943 2" xfId="13999"/>
    <cellStyle name="Normal 2943 2 2" xfId="38860"/>
    <cellStyle name="Normal 2943 2 3" xfId="38861"/>
    <cellStyle name="Normal 2943 3" xfId="14000"/>
    <cellStyle name="Normal 2943 4" xfId="38862"/>
    <cellStyle name="Normal 2944" xfId="14001"/>
    <cellStyle name="Normal 2944 2" xfId="14002"/>
    <cellStyle name="Normal 2944 2 2" xfId="38863"/>
    <cellStyle name="Normal 2944 2 3" xfId="38864"/>
    <cellStyle name="Normal 2944 3" xfId="14003"/>
    <cellStyle name="Normal 2944 4" xfId="38865"/>
    <cellStyle name="Normal 2945" xfId="14004"/>
    <cellStyle name="Normal 2945 2" xfId="14005"/>
    <cellStyle name="Normal 2945 2 2" xfId="38866"/>
    <cellStyle name="Normal 2945 2 3" xfId="38867"/>
    <cellStyle name="Normal 2945 3" xfId="14006"/>
    <cellStyle name="Normal 2945 4" xfId="38868"/>
    <cellStyle name="Normal 2946" xfId="14007"/>
    <cellStyle name="Normal 2946 2" xfId="14008"/>
    <cellStyle name="Normal 2946 2 2" xfId="38869"/>
    <cellStyle name="Normal 2946 2 3" xfId="38870"/>
    <cellStyle name="Normal 2946 3" xfId="14009"/>
    <cellStyle name="Normal 2946 4" xfId="38871"/>
    <cellStyle name="Normal 2947" xfId="14010"/>
    <cellStyle name="Normal 2947 2" xfId="14011"/>
    <cellStyle name="Normal 2947 2 2" xfId="38872"/>
    <cellStyle name="Normal 2947 2 3" xfId="38873"/>
    <cellStyle name="Normal 2947 3" xfId="14012"/>
    <cellStyle name="Normal 2947 4" xfId="38874"/>
    <cellStyle name="Normal 2948" xfId="14013"/>
    <cellStyle name="Normal 2948 2" xfId="14014"/>
    <cellStyle name="Normal 2948 2 2" xfId="38875"/>
    <cellStyle name="Normal 2948 2 3" xfId="38876"/>
    <cellStyle name="Normal 2948 3" xfId="14015"/>
    <cellStyle name="Normal 2948 4" xfId="38877"/>
    <cellStyle name="Normal 2949" xfId="14016"/>
    <cellStyle name="Normal 2949 2" xfId="14017"/>
    <cellStyle name="Normal 2949 2 2" xfId="38878"/>
    <cellStyle name="Normal 2949 2 3" xfId="38879"/>
    <cellStyle name="Normal 2949 3" xfId="14018"/>
    <cellStyle name="Normal 2949 4" xfId="38880"/>
    <cellStyle name="Normal 295" xfId="14019"/>
    <cellStyle name="Normal 295 10" xfId="38881"/>
    <cellStyle name="Normal 295 2" xfId="14020"/>
    <cellStyle name="Normal 295 2 2" xfId="14021"/>
    <cellStyle name="Normal 295 2 2 2" xfId="14022"/>
    <cellStyle name="Normal 295 2 2 3" xfId="14023"/>
    <cellStyle name="Normal 295 2 3" xfId="14024"/>
    <cellStyle name="Normal 295 2 3 2" xfId="38882"/>
    <cellStyle name="Normal 295 2 3 3" xfId="38883"/>
    <cellStyle name="Normal 295 2 4" xfId="14025"/>
    <cellStyle name="Normal 295 2 5" xfId="14026"/>
    <cellStyle name="Normal 295 2 6" xfId="38884"/>
    <cellStyle name="Normal 295 2 7" xfId="38885"/>
    <cellStyle name="Normal 295 2 8" xfId="38886"/>
    <cellStyle name="Normal 295 3" xfId="14027"/>
    <cellStyle name="Normal 295 3 2" xfId="14028"/>
    <cellStyle name="Normal 295 3 2 2" xfId="38887"/>
    <cellStyle name="Normal 295 3 2 3" xfId="38888"/>
    <cellStyle name="Normal 295 3 3" xfId="14029"/>
    <cellStyle name="Normal 295 3 3 2" xfId="38889"/>
    <cellStyle name="Normal 295 3 3 3" xfId="38890"/>
    <cellStyle name="Normal 295 3 4" xfId="38891"/>
    <cellStyle name="Normal 295 3 5" xfId="38892"/>
    <cellStyle name="Normal 295 4" xfId="14030"/>
    <cellStyle name="Normal 295 4 2" xfId="38893"/>
    <cellStyle name="Normal 295 4 3" xfId="38894"/>
    <cellStyle name="Normal 295 5" xfId="14031"/>
    <cellStyle name="Normal 295 5 2" xfId="38895"/>
    <cellStyle name="Normal 295 5 3" xfId="38896"/>
    <cellStyle name="Normal 295 6" xfId="14032"/>
    <cellStyle name="Normal 295 7" xfId="38897"/>
    <cellStyle name="Normal 295 8" xfId="38898"/>
    <cellStyle name="Normal 295 9" xfId="38899"/>
    <cellStyle name="Normal 2950" xfId="14033"/>
    <cellStyle name="Normal 2950 2" xfId="14034"/>
    <cellStyle name="Normal 2950 2 2" xfId="38900"/>
    <cellStyle name="Normal 2950 2 3" xfId="38901"/>
    <cellStyle name="Normal 2950 3" xfId="14035"/>
    <cellStyle name="Normal 2950 4" xfId="38902"/>
    <cellStyle name="Normal 2951" xfId="14036"/>
    <cellStyle name="Normal 2951 2" xfId="14037"/>
    <cellStyle name="Normal 2951 2 2" xfId="38903"/>
    <cellStyle name="Normal 2951 2 3" xfId="38904"/>
    <cellStyle name="Normal 2951 3" xfId="14038"/>
    <cellStyle name="Normal 2951 4" xfId="38905"/>
    <cellStyle name="Normal 2952" xfId="14039"/>
    <cellStyle name="Normal 2952 2" xfId="14040"/>
    <cellStyle name="Normal 2952 2 2" xfId="38906"/>
    <cellStyle name="Normal 2952 2 3" xfId="38907"/>
    <cellStyle name="Normal 2952 3" xfId="14041"/>
    <cellStyle name="Normal 2952 4" xfId="38908"/>
    <cellStyle name="Normal 2953" xfId="14042"/>
    <cellStyle name="Normal 2953 2" xfId="14043"/>
    <cellStyle name="Normal 2953 2 2" xfId="38909"/>
    <cellStyle name="Normal 2953 2 3" xfId="38910"/>
    <cellStyle name="Normal 2953 3" xfId="14044"/>
    <cellStyle name="Normal 2953 3 2" xfId="38911"/>
    <cellStyle name="Normal 2953 3 3" xfId="38912"/>
    <cellStyle name="Normal 2953 4" xfId="14045"/>
    <cellStyle name="Normal 2953 5" xfId="14046"/>
    <cellStyle name="Normal 2954" xfId="14047"/>
    <cellStyle name="Normal 2954 2" xfId="14048"/>
    <cellStyle name="Normal 2954 2 2" xfId="38913"/>
    <cellStyle name="Normal 2954 2 3" xfId="38914"/>
    <cellStyle name="Normal 2954 3" xfId="14049"/>
    <cellStyle name="Normal 2954 3 2" xfId="38915"/>
    <cellStyle name="Normal 2954 3 3" xfId="38916"/>
    <cellStyle name="Normal 2954 4" xfId="38917"/>
    <cellStyle name="Normal 2954 5" xfId="38918"/>
    <cellStyle name="Normal 2955" xfId="14050"/>
    <cellStyle name="Normal 2955 2" xfId="14051"/>
    <cellStyle name="Normal 2955 2 2" xfId="38919"/>
    <cellStyle name="Normal 2955 2 3" xfId="38920"/>
    <cellStyle name="Normal 2955 3" xfId="14052"/>
    <cellStyle name="Normal 2955 3 2" xfId="38921"/>
    <cellStyle name="Normal 2955 3 3" xfId="38922"/>
    <cellStyle name="Normal 2955 4" xfId="14053"/>
    <cellStyle name="Normal 2955 5" xfId="14054"/>
    <cellStyle name="Normal 2955 6" xfId="38923"/>
    <cellStyle name="Normal 2956" xfId="14055"/>
    <cellStyle name="Normal 2956 2" xfId="14056"/>
    <cellStyle name="Normal 2956 2 2" xfId="38924"/>
    <cellStyle name="Normal 2956 2 3" xfId="38925"/>
    <cellStyle name="Normal 2956 3" xfId="14057"/>
    <cellStyle name="Normal 2956 4" xfId="38926"/>
    <cellStyle name="Normal 2957" xfId="14058"/>
    <cellStyle name="Normal 2957 2" xfId="14059"/>
    <cellStyle name="Normal 2957 2 2" xfId="38927"/>
    <cellStyle name="Normal 2957 2 3" xfId="38928"/>
    <cellStyle name="Normal 2957 3" xfId="14060"/>
    <cellStyle name="Normal 2957 4" xfId="38929"/>
    <cellStyle name="Normal 2958" xfId="14061"/>
    <cellStyle name="Normal 2958 2" xfId="14062"/>
    <cellStyle name="Normal 2958 2 2" xfId="38930"/>
    <cellStyle name="Normal 2958 2 3" xfId="38931"/>
    <cellStyle name="Normal 2958 3" xfId="14063"/>
    <cellStyle name="Normal 2958 4" xfId="38932"/>
    <cellStyle name="Normal 2959" xfId="14064"/>
    <cellStyle name="Normal 2959 2" xfId="14065"/>
    <cellStyle name="Normal 2959 2 2" xfId="38933"/>
    <cellStyle name="Normal 2959 2 3" xfId="38934"/>
    <cellStyle name="Normal 2959 3" xfId="14066"/>
    <cellStyle name="Normal 2959 4" xfId="38935"/>
    <cellStyle name="Normal 296" xfId="14067"/>
    <cellStyle name="Normal 296 10" xfId="38936"/>
    <cellStyle name="Normal 296 2" xfId="14068"/>
    <cellStyle name="Normal 296 2 2" xfId="14069"/>
    <cellStyle name="Normal 296 2 2 2" xfId="14070"/>
    <cellStyle name="Normal 296 2 2 3" xfId="14071"/>
    <cellStyle name="Normal 296 2 3" xfId="14072"/>
    <cellStyle name="Normal 296 2 3 2" xfId="38937"/>
    <cellStyle name="Normal 296 2 3 3" xfId="38938"/>
    <cellStyle name="Normal 296 2 4" xfId="14073"/>
    <cellStyle name="Normal 296 2 5" xfId="14074"/>
    <cellStyle name="Normal 296 2 6" xfId="38939"/>
    <cellStyle name="Normal 296 2 7" xfId="38940"/>
    <cellStyle name="Normal 296 2 8" xfId="38941"/>
    <cellStyle name="Normal 296 3" xfId="14075"/>
    <cellStyle name="Normal 296 3 2" xfId="14076"/>
    <cellStyle name="Normal 296 3 2 2" xfId="38942"/>
    <cellStyle name="Normal 296 3 2 3" xfId="38943"/>
    <cellStyle name="Normal 296 3 3" xfId="14077"/>
    <cellStyle name="Normal 296 3 3 2" xfId="38944"/>
    <cellStyle name="Normal 296 3 3 3" xfId="38945"/>
    <cellStyle name="Normal 296 3 4" xfId="38946"/>
    <cellStyle name="Normal 296 3 5" xfId="38947"/>
    <cellStyle name="Normal 296 4" xfId="14078"/>
    <cellStyle name="Normal 296 4 2" xfId="38948"/>
    <cellStyle name="Normal 296 4 3" xfId="38949"/>
    <cellStyle name="Normal 296 5" xfId="14079"/>
    <cellStyle name="Normal 296 5 2" xfId="38950"/>
    <cellStyle name="Normal 296 5 3" xfId="38951"/>
    <cellStyle name="Normal 296 6" xfId="14080"/>
    <cellStyle name="Normal 296 7" xfId="38952"/>
    <cellStyle name="Normal 296 8" xfId="38953"/>
    <cellStyle name="Normal 296 9" xfId="38954"/>
    <cellStyle name="Normal 2960" xfId="14081"/>
    <cellStyle name="Normal 2960 2" xfId="14082"/>
    <cellStyle name="Normal 2960 2 2" xfId="38955"/>
    <cellStyle name="Normal 2960 2 3" xfId="38956"/>
    <cellStyle name="Normal 2960 3" xfId="14083"/>
    <cellStyle name="Normal 2960 4" xfId="38957"/>
    <cellStyle name="Normal 2961" xfId="14084"/>
    <cellStyle name="Normal 2961 2" xfId="14085"/>
    <cellStyle name="Normal 2961 2 2" xfId="38958"/>
    <cellStyle name="Normal 2961 2 3" xfId="38959"/>
    <cellStyle name="Normal 2961 3" xfId="14086"/>
    <cellStyle name="Normal 2961 4" xfId="38960"/>
    <cellStyle name="Normal 2962" xfId="14087"/>
    <cellStyle name="Normal 2962 2" xfId="14088"/>
    <cellStyle name="Normal 2962 2 2" xfId="38961"/>
    <cellStyle name="Normal 2962 2 3" xfId="38962"/>
    <cellStyle name="Normal 2962 3" xfId="14089"/>
    <cellStyle name="Normal 2962 4" xfId="38963"/>
    <cellStyle name="Normal 2963" xfId="14090"/>
    <cellStyle name="Normal 2963 2" xfId="14091"/>
    <cellStyle name="Normal 2963 2 2" xfId="38964"/>
    <cellStyle name="Normal 2963 2 3" xfId="38965"/>
    <cellStyle name="Normal 2963 3" xfId="14092"/>
    <cellStyle name="Normal 2963 4" xfId="38966"/>
    <cellStyle name="Normal 2964" xfId="14093"/>
    <cellStyle name="Normal 2964 2" xfId="14094"/>
    <cellStyle name="Normal 2964 2 2" xfId="38967"/>
    <cellStyle name="Normal 2964 2 3" xfId="38968"/>
    <cellStyle name="Normal 2964 3" xfId="14095"/>
    <cellStyle name="Normal 2964 4" xfId="38969"/>
    <cellStyle name="Normal 2965" xfId="14096"/>
    <cellStyle name="Normal 2965 2" xfId="14097"/>
    <cellStyle name="Normal 2965 2 2" xfId="38970"/>
    <cellStyle name="Normal 2965 2 3" xfId="38971"/>
    <cellStyle name="Normal 2965 3" xfId="14098"/>
    <cellStyle name="Normal 2965 4" xfId="38972"/>
    <cellStyle name="Normal 2966" xfId="14099"/>
    <cellStyle name="Normal 2966 2" xfId="14100"/>
    <cellStyle name="Normal 2966 2 2" xfId="38973"/>
    <cellStyle name="Normal 2966 2 3" xfId="38974"/>
    <cellStyle name="Normal 2966 3" xfId="14101"/>
    <cellStyle name="Normal 2966 4" xfId="38975"/>
    <cellStyle name="Normal 2967" xfId="14102"/>
    <cellStyle name="Normal 2967 2" xfId="14103"/>
    <cellStyle name="Normal 2967 2 2" xfId="38976"/>
    <cellStyle name="Normal 2967 2 3" xfId="38977"/>
    <cellStyle name="Normal 2967 3" xfId="14104"/>
    <cellStyle name="Normal 2967 4" xfId="38978"/>
    <cellStyle name="Normal 2968" xfId="14105"/>
    <cellStyle name="Normal 2968 2" xfId="14106"/>
    <cellStyle name="Normal 2968 2 2" xfId="38979"/>
    <cellStyle name="Normal 2968 2 3" xfId="38980"/>
    <cellStyle name="Normal 2968 3" xfId="14107"/>
    <cellStyle name="Normal 2968 4" xfId="38981"/>
    <cellStyle name="Normal 2969" xfId="14108"/>
    <cellStyle name="Normal 2969 2" xfId="14109"/>
    <cellStyle name="Normal 2969 2 2" xfId="38982"/>
    <cellStyle name="Normal 2969 2 3" xfId="38983"/>
    <cellStyle name="Normal 2969 3" xfId="14110"/>
    <cellStyle name="Normal 2969 4" xfId="38984"/>
    <cellStyle name="Normal 297" xfId="14111"/>
    <cellStyle name="Normal 297 10" xfId="38985"/>
    <cellStyle name="Normal 297 2" xfId="14112"/>
    <cellStyle name="Normal 297 2 2" xfId="14113"/>
    <cellStyle name="Normal 297 2 2 2" xfId="14114"/>
    <cellStyle name="Normal 297 2 2 3" xfId="14115"/>
    <cellStyle name="Normal 297 2 3" xfId="14116"/>
    <cellStyle name="Normal 297 2 3 2" xfId="38986"/>
    <cellStyle name="Normal 297 2 3 3" xfId="38987"/>
    <cellStyle name="Normal 297 2 4" xfId="14117"/>
    <cellStyle name="Normal 297 2 5" xfId="14118"/>
    <cellStyle name="Normal 297 2 6" xfId="38988"/>
    <cellStyle name="Normal 297 2 7" xfId="38989"/>
    <cellStyle name="Normal 297 2 8" xfId="38990"/>
    <cellStyle name="Normal 297 3" xfId="14119"/>
    <cellStyle name="Normal 297 3 2" xfId="14120"/>
    <cellStyle name="Normal 297 3 2 2" xfId="38991"/>
    <cellStyle name="Normal 297 3 2 3" xfId="38992"/>
    <cellStyle name="Normal 297 3 3" xfId="14121"/>
    <cellStyle name="Normal 297 3 3 2" xfId="38993"/>
    <cellStyle name="Normal 297 3 3 3" xfId="38994"/>
    <cellStyle name="Normal 297 3 4" xfId="38995"/>
    <cellStyle name="Normal 297 3 5" xfId="38996"/>
    <cellStyle name="Normal 297 4" xfId="14122"/>
    <cellStyle name="Normal 297 4 2" xfId="38997"/>
    <cellStyle name="Normal 297 4 3" xfId="38998"/>
    <cellStyle name="Normal 297 5" xfId="14123"/>
    <cellStyle name="Normal 297 5 2" xfId="38999"/>
    <cellStyle name="Normal 297 5 3" xfId="39000"/>
    <cellStyle name="Normal 297 6" xfId="14124"/>
    <cellStyle name="Normal 297 7" xfId="39001"/>
    <cellStyle name="Normal 297 8" xfId="39002"/>
    <cellStyle name="Normal 297 9" xfId="39003"/>
    <cellStyle name="Normal 2970" xfId="14125"/>
    <cellStyle name="Normal 2970 2" xfId="14126"/>
    <cellStyle name="Normal 2970 2 2" xfId="39004"/>
    <cellStyle name="Normal 2970 2 3" xfId="39005"/>
    <cellStyle name="Normal 2970 3" xfId="14127"/>
    <cellStyle name="Normal 2970 4" xfId="39006"/>
    <cellStyle name="Normal 2971" xfId="14128"/>
    <cellStyle name="Normal 2971 2" xfId="14129"/>
    <cellStyle name="Normal 2971 2 2" xfId="39007"/>
    <cellStyle name="Normal 2971 2 3" xfId="39008"/>
    <cellStyle name="Normal 2971 3" xfId="14130"/>
    <cellStyle name="Normal 2971 4" xfId="39009"/>
    <cellStyle name="Normal 2972" xfId="14131"/>
    <cellStyle name="Normal 2972 2" xfId="14132"/>
    <cellStyle name="Normal 2972 2 2" xfId="39010"/>
    <cellStyle name="Normal 2972 2 3" xfId="39011"/>
    <cellStyle name="Normal 2972 3" xfId="14133"/>
    <cellStyle name="Normal 2972 4" xfId="39012"/>
    <cellStyle name="Normal 2973" xfId="14134"/>
    <cellStyle name="Normal 2973 2" xfId="14135"/>
    <cellStyle name="Normal 2973 2 2" xfId="39013"/>
    <cellStyle name="Normal 2973 2 3" xfId="39014"/>
    <cellStyle name="Normal 2973 3" xfId="14136"/>
    <cellStyle name="Normal 2973 4" xfId="39015"/>
    <cellStyle name="Normal 2974" xfId="14137"/>
    <cellStyle name="Normal 2974 2" xfId="14138"/>
    <cellStyle name="Normal 2974 2 2" xfId="39016"/>
    <cellStyle name="Normal 2974 2 3" xfId="39017"/>
    <cellStyle name="Normal 2974 3" xfId="14139"/>
    <cellStyle name="Normal 2974 4" xfId="39018"/>
    <cellStyle name="Normal 2975" xfId="14140"/>
    <cellStyle name="Normal 2975 2" xfId="14141"/>
    <cellStyle name="Normal 2975 2 2" xfId="39019"/>
    <cellStyle name="Normal 2975 2 3" xfId="39020"/>
    <cellStyle name="Normal 2975 3" xfId="14142"/>
    <cellStyle name="Normal 2975 4" xfId="39021"/>
    <cellStyle name="Normal 2976" xfId="14143"/>
    <cellStyle name="Normal 2976 2" xfId="14144"/>
    <cellStyle name="Normal 2976 2 2" xfId="39022"/>
    <cellStyle name="Normal 2976 2 3" xfId="39023"/>
    <cellStyle name="Normal 2976 3" xfId="14145"/>
    <cellStyle name="Normal 2976 4" xfId="39024"/>
    <cellStyle name="Normal 2977" xfId="14146"/>
    <cellStyle name="Normal 2977 2" xfId="14147"/>
    <cellStyle name="Normal 2977 2 2" xfId="39025"/>
    <cellStyle name="Normal 2977 2 3" xfId="39026"/>
    <cellStyle name="Normal 2977 3" xfId="14148"/>
    <cellStyle name="Normal 2977 4" xfId="39027"/>
    <cellStyle name="Normal 2978" xfId="14149"/>
    <cellStyle name="Normal 2978 2" xfId="14150"/>
    <cellStyle name="Normal 2978 2 2" xfId="39028"/>
    <cellStyle name="Normal 2978 2 3" xfId="39029"/>
    <cellStyle name="Normal 2978 3" xfId="14151"/>
    <cellStyle name="Normal 2978 4" xfId="39030"/>
    <cellStyle name="Normal 2979" xfId="14152"/>
    <cellStyle name="Normal 2979 2" xfId="14153"/>
    <cellStyle name="Normal 2979 2 2" xfId="39031"/>
    <cellStyle name="Normal 2979 2 3" xfId="39032"/>
    <cellStyle name="Normal 2979 3" xfId="14154"/>
    <cellStyle name="Normal 2979 4" xfId="39033"/>
    <cellStyle name="Normal 298" xfId="14155"/>
    <cellStyle name="Normal 298 10" xfId="39034"/>
    <cellStyle name="Normal 298 2" xfId="14156"/>
    <cellStyle name="Normal 298 2 2" xfId="14157"/>
    <cellStyle name="Normal 298 2 2 2" xfId="14158"/>
    <cellStyle name="Normal 298 2 2 3" xfId="14159"/>
    <cellStyle name="Normal 298 2 3" xfId="14160"/>
    <cellStyle name="Normal 298 2 3 2" xfId="39035"/>
    <cellStyle name="Normal 298 2 3 3" xfId="39036"/>
    <cellStyle name="Normal 298 2 4" xfId="14161"/>
    <cellStyle name="Normal 298 2 5" xfId="14162"/>
    <cellStyle name="Normal 298 2 6" xfId="39037"/>
    <cellStyle name="Normal 298 2 7" xfId="39038"/>
    <cellStyle name="Normal 298 2 8" xfId="39039"/>
    <cellStyle name="Normal 298 3" xfId="14163"/>
    <cellStyle name="Normal 298 3 2" xfId="14164"/>
    <cellStyle name="Normal 298 3 2 2" xfId="39040"/>
    <cellStyle name="Normal 298 3 2 3" xfId="39041"/>
    <cellStyle name="Normal 298 3 3" xfId="14165"/>
    <cellStyle name="Normal 298 3 3 2" xfId="39042"/>
    <cellStyle name="Normal 298 3 3 3" xfId="39043"/>
    <cellStyle name="Normal 298 3 4" xfId="39044"/>
    <cellStyle name="Normal 298 3 5" xfId="39045"/>
    <cellStyle name="Normal 298 4" xfId="14166"/>
    <cellStyle name="Normal 298 4 2" xfId="39046"/>
    <cellStyle name="Normal 298 4 3" xfId="39047"/>
    <cellStyle name="Normal 298 5" xfId="14167"/>
    <cellStyle name="Normal 298 5 2" xfId="39048"/>
    <cellStyle name="Normal 298 5 3" xfId="39049"/>
    <cellStyle name="Normal 298 6" xfId="14168"/>
    <cellStyle name="Normal 298 7" xfId="39050"/>
    <cellStyle name="Normal 298 8" xfId="39051"/>
    <cellStyle name="Normal 298 9" xfId="39052"/>
    <cellStyle name="Normal 2980" xfId="14169"/>
    <cellStyle name="Normal 2980 2" xfId="14170"/>
    <cellStyle name="Normal 2980 2 2" xfId="39053"/>
    <cellStyle name="Normal 2980 2 3" xfId="39054"/>
    <cellStyle name="Normal 2980 3" xfId="14171"/>
    <cellStyle name="Normal 2980 4" xfId="39055"/>
    <cellStyle name="Normal 2981" xfId="14172"/>
    <cellStyle name="Normal 2981 2" xfId="14173"/>
    <cellStyle name="Normal 2981 2 2" xfId="39056"/>
    <cellStyle name="Normal 2981 2 3" xfId="39057"/>
    <cellStyle name="Normal 2981 3" xfId="14174"/>
    <cellStyle name="Normal 2981 4" xfId="39058"/>
    <cellStyle name="Normal 2982" xfId="14175"/>
    <cellStyle name="Normal 2982 2" xfId="14176"/>
    <cellStyle name="Normal 2982 2 2" xfId="39059"/>
    <cellStyle name="Normal 2982 2 3" xfId="39060"/>
    <cellStyle name="Normal 2982 3" xfId="14177"/>
    <cellStyle name="Normal 2982 4" xfId="39061"/>
    <cellStyle name="Normal 2983" xfId="14178"/>
    <cellStyle name="Normal 2983 2" xfId="14179"/>
    <cellStyle name="Normal 2983 2 2" xfId="39062"/>
    <cellStyle name="Normal 2983 2 3" xfId="39063"/>
    <cellStyle name="Normal 2983 3" xfId="14180"/>
    <cellStyle name="Normal 2983 4" xfId="39064"/>
    <cellStyle name="Normal 2984" xfId="14181"/>
    <cellStyle name="Normal 2984 2" xfId="14182"/>
    <cellStyle name="Normal 2984 2 2" xfId="39065"/>
    <cellStyle name="Normal 2984 2 3" xfId="39066"/>
    <cellStyle name="Normal 2984 3" xfId="14183"/>
    <cellStyle name="Normal 2984 4" xfId="39067"/>
    <cellStyle name="Normal 2985" xfId="14184"/>
    <cellStyle name="Normal 2985 2" xfId="14185"/>
    <cellStyle name="Normal 2985 2 2" xfId="39068"/>
    <cellStyle name="Normal 2985 2 3" xfId="39069"/>
    <cellStyle name="Normal 2985 3" xfId="14186"/>
    <cellStyle name="Normal 2985 4" xfId="39070"/>
    <cellStyle name="Normal 2986" xfId="14187"/>
    <cellStyle name="Normal 2986 2" xfId="14188"/>
    <cellStyle name="Normal 2986 2 2" xfId="39071"/>
    <cellStyle name="Normal 2986 2 3" xfId="39072"/>
    <cellStyle name="Normal 2986 3" xfId="14189"/>
    <cellStyle name="Normal 2986 4" xfId="39073"/>
    <cellStyle name="Normal 2987" xfId="14190"/>
    <cellStyle name="Normal 2987 2" xfId="14191"/>
    <cellStyle name="Normal 2987 2 2" xfId="39074"/>
    <cellStyle name="Normal 2987 2 3" xfId="39075"/>
    <cellStyle name="Normal 2987 3" xfId="14192"/>
    <cellStyle name="Normal 2987 4" xfId="39076"/>
    <cellStyle name="Normal 2988" xfId="14193"/>
    <cellStyle name="Normal 2988 2" xfId="14194"/>
    <cellStyle name="Normal 2988 2 2" xfId="39077"/>
    <cellStyle name="Normal 2988 2 3" xfId="39078"/>
    <cellStyle name="Normal 2988 3" xfId="14195"/>
    <cellStyle name="Normal 2988 4" xfId="39079"/>
    <cellStyle name="Normal 2989" xfId="14196"/>
    <cellStyle name="Normal 2989 2" xfId="14197"/>
    <cellStyle name="Normal 2989 2 2" xfId="39080"/>
    <cellStyle name="Normal 2989 2 3" xfId="39081"/>
    <cellStyle name="Normal 2989 3" xfId="14198"/>
    <cellStyle name="Normal 2989 4" xfId="39082"/>
    <cellStyle name="Normal 299" xfId="14199"/>
    <cellStyle name="Normal 299 10" xfId="39083"/>
    <cellStyle name="Normal 299 2" xfId="14200"/>
    <cellStyle name="Normal 299 2 2" xfId="14201"/>
    <cellStyle name="Normal 299 2 2 2" xfId="14202"/>
    <cellStyle name="Normal 299 2 2 3" xfId="14203"/>
    <cellStyle name="Normal 299 2 3" xfId="14204"/>
    <cellStyle name="Normal 299 2 3 2" xfId="39084"/>
    <cellStyle name="Normal 299 2 3 3" xfId="39085"/>
    <cellStyle name="Normal 299 2 4" xfId="14205"/>
    <cellStyle name="Normal 299 2 5" xfId="14206"/>
    <cellStyle name="Normal 299 2 6" xfId="39086"/>
    <cellStyle name="Normal 299 2 7" xfId="39087"/>
    <cellStyle name="Normal 299 2 8" xfId="39088"/>
    <cellStyle name="Normal 299 3" xfId="14207"/>
    <cellStyle name="Normal 299 3 2" xfId="14208"/>
    <cellStyle name="Normal 299 3 2 2" xfId="39089"/>
    <cellStyle name="Normal 299 3 2 3" xfId="39090"/>
    <cellStyle name="Normal 299 3 3" xfId="14209"/>
    <cellStyle name="Normal 299 3 3 2" xfId="39091"/>
    <cellStyle name="Normal 299 3 3 3" xfId="39092"/>
    <cellStyle name="Normal 299 3 4" xfId="39093"/>
    <cellStyle name="Normal 299 3 5" xfId="39094"/>
    <cellStyle name="Normal 299 4" xfId="14210"/>
    <cellStyle name="Normal 299 4 2" xfId="39095"/>
    <cellStyle name="Normal 299 4 3" xfId="39096"/>
    <cellStyle name="Normal 299 5" xfId="14211"/>
    <cellStyle name="Normal 299 5 2" xfId="39097"/>
    <cellStyle name="Normal 299 5 3" xfId="39098"/>
    <cellStyle name="Normal 299 6" xfId="14212"/>
    <cellStyle name="Normal 299 7" xfId="39099"/>
    <cellStyle name="Normal 299 8" xfId="39100"/>
    <cellStyle name="Normal 299 9" xfId="39101"/>
    <cellStyle name="Normal 2990" xfId="14213"/>
    <cellStyle name="Normal 2990 2" xfId="14214"/>
    <cellStyle name="Normal 2990 2 2" xfId="39102"/>
    <cellStyle name="Normal 2990 2 3" xfId="39103"/>
    <cellStyle name="Normal 2990 3" xfId="14215"/>
    <cellStyle name="Normal 2990 4" xfId="39104"/>
    <cellStyle name="Normal 2991" xfId="14216"/>
    <cellStyle name="Normal 2991 2" xfId="14217"/>
    <cellStyle name="Normal 2991 2 2" xfId="39105"/>
    <cellStyle name="Normal 2991 2 3" xfId="39106"/>
    <cellStyle name="Normal 2991 3" xfId="14218"/>
    <cellStyle name="Normal 2991 4" xfId="39107"/>
    <cellStyle name="Normal 2992" xfId="14219"/>
    <cellStyle name="Normal 2992 2" xfId="14220"/>
    <cellStyle name="Normal 2992 2 2" xfId="39108"/>
    <cellStyle name="Normal 2992 2 3" xfId="39109"/>
    <cellStyle name="Normal 2992 3" xfId="14221"/>
    <cellStyle name="Normal 2992 4" xfId="39110"/>
    <cellStyle name="Normal 2993" xfId="14222"/>
    <cellStyle name="Normal 2993 2" xfId="14223"/>
    <cellStyle name="Normal 2993 2 2" xfId="39111"/>
    <cellStyle name="Normal 2993 2 3" xfId="39112"/>
    <cellStyle name="Normal 2993 3" xfId="14224"/>
    <cellStyle name="Normal 2993 4" xfId="39113"/>
    <cellStyle name="Normal 2994" xfId="14225"/>
    <cellStyle name="Normal 2994 2" xfId="14226"/>
    <cellStyle name="Normal 2994 2 2" xfId="39114"/>
    <cellStyle name="Normal 2994 2 3" xfId="39115"/>
    <cellStyle name="Normal 2994 3" xfId="14227"/>
    <cellStyle name="Normal 2994 4" xfId="39116"/>
    <cellStyle name="Normal 2995" xfId="14228"/>
    <cellStyle name="Normal 2995 2" xfId="14229"/>
    <cellStyle name="Normal 2995 2 2" xfId="39117"/>
    <cellStyle name="Normal 2995 2 3" xfId="39118"/>
    <cellStyle name="Normal 2995 3" xfId="14230"/>
    <cellStyle name="Normal 2995 4" xfId="39119"/>
    <cellStyle name="Normal 2996" xfId="14231"/>
    <cellStyle name="Normal 2996 2" xfId="14232"/>
    <cellStyle name="Normal 2996 2 2" xfId="39120"/>
    <cellStyle name="Normal 2996 2 3" xfId="39121"/>
    <cellStyle name="Normal 2996 3" xfId="14233"/>
    <cellStyle name="Normal 2996 4" xfId="39122"/>
    <cellStyle name="Normal 2997" xfId="14234"/>
    <cellStyle name="Normal 2997 2" xfId="14235"/>
    <cellStyle name="Normal 2997 2 2" xfId="39123"/>
    <cellStyle name="Normal 2997 2 3" xfId="39124"/>
    <cellStyle name="Normal 2997 3" xfId="14236"/>
    <cellStyle name="Normal 2997 4" xfId="39125"/>
    <cellStyle name="Normal 2998" xfId="14237"/>
    <cellStyle name="Normal 2998 2" xfId="14238"/>
    <cellStyle name="Normal 2998 2 2" xfId="39126"/>
    <cellStyle name="Normal 2998 2 3" xfId="39127"/>
    <cellStyle name="Normal 2998 3" xfId="14239"/>
    <cellStyle name="Normal 2998 4" xfId="39128"/>
    <cellStyle name="Normal 2999" xfId="14240"/>
    <cellStyle name="Normal 2999 2" xfId="14241"/>
    <cellStyle name="Normal 2999 2 2" xfId="39129"/>
    <cellStyle name="Normal 2999 2 3" xfId="39130"/>
    <cellStyle name="Normal 2999 3" xfId="14242"/>
    <cellStyle name="Normal 2999 4" xfId="39131"/>
    <cellStyle name="Normal 3" xfId="12"/>
    <cellStyle name="Normal 3 10" xfId="14243"/>
    <cellStyle name="Normal 3 10 2" xfId="14244"/>
    <cellStyle name="Normal 3 11" xfId="14245"/>
    <cellStyle name="Normal 3 11 2" xfId="14246"/>
    <cellStyle name="Normal 3 12" xfId="14247"/>
    <cellStyle name="Normal 3 12 2" xfId="14248"/>
    <cellStyle name="Normal 3 13" xfId="14249"/>
    <cellStyle name="Normal 3 13 2" xfId="14250"/>
    <cellStyle name="Normal 3 14" xfId="14251"/>
    <cellStyle name="Normal 3 14 2" xfId="14252"/>
    <cellStyle name="Normal 3 15" xfId="14253"/>
    <cellStyle name="Normal 3 15 2" xfId="14254"/>
    <cellStyle name="Normal 3 16" xfId="14255"/>
    <cellStyle name="Normal 3 16 2" xfId="14256"/>
    <cellStyle name="Normal 3 17" xfId="14257"/>
    <cellStyle name="Normal 3 18" xfId="14258"/>
    <cellStyle name="Normal 3 19" xfId="14259"/>
    <cellStyle name="Normal 3 2" xfId="14260"/>
    <cellStyle name="Normal 3 2 2" xfId="14261"/>
    <cellStyle name="Normal 3 2 2 2" xfId="14262"/>
    <cellStyle name="Normal 3 2 2 3" xfId="14263"/>
    <cellStyle name="Normal 3 2 2 4" xfId="14264"/>
    <cellStyle name="Normal 3 2 3" xfId="14265"/>
    <cellStyle name="Normal 3 2 3 2" xfId="39132"/>
    <cellStyle name="Normal 3 2 3 3" xfId="39133"/>
    <cellStyle name="Normal 3 2 4" xfId="14266"/>
    <cellStyle name="Normal 3 2 5" xfId="39134"/>
    <cellStyle name="Normal 3 2 6" xfId="39135"/>
    <cellStyle name="Normal 3 2 7" xfId="39136"/>
    <cellStyle name="Normal 3 2 8" xfId="39137"/>
    <cellStyle name="Normal 3 20" xfId="14267"/>
    <cellStyle name="Normal 3 21" xfId="14268"/>
    <cellStyle name="Normal 3 22" xfId="14269"/>
    <cellStyle name="Normal 3 23" xfId="14270"/>
    <cellStyle name="Normal 3 24" xfId="14271"/>
    <cellStyle name="Normal 3 25" xfId="14272"/>
    <cellStyle name="Normal 3 26" xfId="14273"/>
    <cellStyle name="Normal 3 27" xfId="14274"/>
    <cellStyle name="Normal 3 28" xfId="14275"/>
    <cellStyle name="Normal 3 29" xfId="14276"/>
    <cellStyle name="Normal 3 3" xfId="14277"/>
    <cellStyle name="Normal 3 3 2" xfId="14278"/>
    <cellStyle name="Normal 3 3 2 2" xfId="39138"/>
    <cellStyle name="Normal 3 3 2 3" xfId="39139"/>
    <cellStyle name="Normal 3 3 3" xfId="14279"/>
    <cellStyle name="Normal 3 3 3 2" xfId="39140"/>
    <cellStyle name="Normal 3 3 3 3" xfId="39141"/>
    <cellStyle name="Normal 3 3 4" xfId="14280"/>
    <cellStyle name="Normal 3 3 5" xfId="39142"/>
    <cellStyle name="Normal 3 3 6" xfId="39143"/>
    <cellStyle name="Normal 3 3 7" xfId="39144"/>
    <cellStyle name="Normal 3 3 8" xfId="39145"/>
    <cellStyle name="Normal 3 30" xfId="14281"/>
    <cellStyle name="Normal 3 31" xfId="14282"/>
    <cellStyle name="Normal 3 32" xfId="14283"/>
    <cellStyle name="Normal 3 33" xfId="14284"/>
    <cellStyle name="Normal 3 34" xfId="14285"/>
    <cellStyle name="Normal 3 35" xfId="14286"/>
    <cellStyle name="Normal 3 36" xfId="14287"/>
    <cellStyle name="Normal 3 37" xfId="14288"/>
    <cellStyle name="Normal 3 38" xfId="14289"/>
    <cellStyle name="Normal 3 39" xfId="14290"/>
    <cellStyle name="Normal 3 4" xfId="14291"/>
    <cellStyle name="Normal 3 4 2" xfId="14292"/>
    <cellStyle name="Normal 3 4 3" xfId="39146"/>
    <cellStyle name="Normal 3 40" xfId="14293"/>
    <cellStyle name="Normal 3 41" xfId="14294"/>
    <cellStyle name="Normal 3 42" xfId="14295"/>
    <cellStyle name="Normal 3 43" xfId="14296"/>
    <cellStyle name="Normal 3 44" xfId="14297"/>
    <cellStyle name="Normal 3 45" xfId="14298"/>
    <cellStyle name="Normal 3 5" xfId="14299"/>
    <cellStyle name="Normal 3 5 2" xfId="14300"/>
    <cellStyle name="Normal 3 5 3" xfId="39147"/>
    <cellStyle name="Normal 3 6" xfId="14301"/>
    <cellStyle name="Normal 3 6 2" xfId="14302"/>
    <cellStyle name="Normal 3 7" xfId="14303"/>
    <cellStyle name="Normal 3 7 2" xfId="14304"/>
    <cellStyle name="Normal 3 8" xfId="14305"/>
    <cellStyle name="Normal 3 8 2" xfId="14306"/>
    <cellStyle name="Normal 3 9" xfId="14307"/>
    <cellStyle name="Normal 3 9 2" xfId="14308"/>
    <cellStyle name="Normal 30" xfId="14309"/>
    <cellStyle name="Normal 30 10" xfId="39148"/>
    <cellStyle name="Normal 30 2" xfId="14310"/>
    <cellStyle name="Normal 30 2 2" xfId="14311"/>
    <cellStyle name="Normal 30 2 2 2" xfId="14312"/>
    <cellStyle name="Normal 30 2 2 3" xfId="14313"/>
    <cellStyle name="Normal 30 2 3" xfId="14314"/>
    <cellStyle name="Normal 30 2 3 2" xfId="39149"/>
    <cellStyle name="Normal 30 2 3 3" xfId="39150"/>
    <cellStyle name="Normal 30 2 4" xfId="14315"/>
    <cellStyle name="Normal 30 2 5" xfId="14316"/>
    <cellStyle name="Normal 30 2 6" xfId="39151"/>
    <cellStyle name="Normal 30 2 7" xfId="39152"/>
    <cellStyle name="Normal 30 2 8" xfId="39153"/>
    <cellStyle name="Normal 30 3" xfId="14317"/>
    <cellStyle name="Normal 30 3 2" xfId="14318"/>
    <cellStyle name="Normal 30 3 2 2" xfId="39154"/>
    <cellStyle name="Normal 30 3 2 3" xfId="39155"/>
    <cellStyle name="Normal 30 3 3" xfId="14319"/>
    <cellStyle name="Normal 30 3 3 2" xfId="39156"/>
    <cellStyle name="Normal 30 3 3 3" xfId="39157"/>
    <cellStyle name="Normal 30 3 4" xfId="14320"/>
    <cellStyle name="Normal 30 3 5" xfId="39158"/>
    <cellStyle name="Normal 30 4" xfId="14321"/>
    <cellStyle name="Normal 30 4 2" xfId="39159"/>
    <cellStyle name="Normal 30 4 3" xfId="39160"/>
    <cellStyle name="Normal 30 5" xfId="14322"/>
    <cellStyle name="Normal 30 5 2" xfId="39161"/>
    <cellStyle name="Normal 30 5 3" xfId="39162"/>
    <cellStyle name="Normal 30 6" xfId="14323"/>
    <cellStyle name="Normal 30 7" xfId="39163"/>
    <cellStyle name="Normal 30 8" xfId="39164"/>
    <cellStyle name="Normal 30 9" xfId="39165"/>
    <cellStyle name="Normal 300" xfId="14324"/>
    <cellStyle name="Normal 300 10" xfId="39166"/>
    <cellStyle name="Normal 300 2" xfId="14325"/>
    <cellStyle name="Normal 300 2 2" xfId="14326"/>
    <cellStyle name="Normal 300 2 2 2" xfId="14327"/>
    <cellStyle name="Normal 300 2 2 3" xfId="14328"/>
    <cellStyle name="Normal 300 2 3" xfId="14329"/>
    <cellStyle name="Normal 300 2 3 2" xfId="39167"/>
    <cellStyle name="Normal 300 2 3 3" xfId="39168"/>
    <cellStyle name="Normal 300 2 4" xfId="14330"/>
    <cellStyle name="Normal 300 2 5" xfId="14331"/>
    <cellStyle name="Normal 300 2 6" xfId="39169"/>
    <cellStyle name="Normal 300 2 7" xfId="39170"/>
    <cellStyle name="Normal 300 2 8" xfId="39171"/>
    <cellStyle name="Normal 300 3" xfId="14332"/>
    <cellStyle name="Normal 300 3 2" xfId="14333"/>
    <cellStyle name="Normal 300 3 2 2" xfId="39172"/>
    <cellStyle name="Normal 300 3 2 3" xfId="39173"/>
    <cellStyle name="Normal 300 3 3" xfId="14334"/>
    <cellStyle name="Normal 300 3 3 2" xfId="39174"/>
    <cellStyle name="Normal 300 3 3 3" xfId="39175"/>
    <cellStyle name="Normal 300 3 4" xfId="39176"/>
    <cellStyle name="Normal 300 3 5" xfId="39177"/>
    <cellStyle name="Normal 300 4" xfId="14335"/>
    <cellStyle name="Normal 300 4 2" xfId="39178"/>
    <cellStyle name="Normal 300 4 3" xfId="39179"/>
    <cellStyle name="Normal 300 5" xfId="14336"/>
    <cellStyle name="Normal 300 5 2" xfId="39180"/>
    <cellStyle name="Normal 300 5 3" xfId="39181"/>
    <cellStyle name="Normal 300 6" xfId="14337"/>
    <cellStyle name="Normal 300 7" xfId="39182"/>
    <cellStyle name="Normal 300 8" xfId="39183"/>
    <cellStyle name="Normal 300 9" xfId="39184"/>
    <cellStyle name="Normal 3000" xfId="14338"/>
    <cellStyle name="Normal 3000 2" xfId="14339"/>
    <cellStyle name="Normal 3000 2 2" xfId="39185"/>
    <cellStyle name="Normal 3000 2 3" xfId="39186"/>
    <cellStyle name="Normal 3000 3" xfId="14340"/>
    <cellStyle name="Normal 3000 4" xfId="39187"/>
    <cellStyle name="Normal 3001" xfId="14341"/>
    <cellStyle name="Normal 3001 2" xfId="14342"/>
    <cellStyle name="Normal 3001 2 2" xfId="39188"/>
    <cellStyle name="Normal 3001 2 3" xfId="39189"/>
    <cellStyle name="Normal 3001 3" xfId="14343"/>
    <cellStyle name="Normal 3001 4" xfId="39190"/>
    <cellStyle name="Normal 3002" xfId="14344"/>
    <cellStyle name="Normal 3002 2" xfId="14345"/>
    <cellStyle name="Normal 3002 2 2" xfId="39191"/>
    <cellStyle name="Normal 3002 2 3" xfId="39192"/>
    <cellStyle name="Normal 3002 3" xfId="14346"/>
    <cellStyle name="Normal 3002 4" xfId="39193"/>
    <cellStyle name="Normal 3003" xfId="14347"/>
    <cellStyle name="Normal 3003 2" xfId="14348"/>
    <cellStyle name="Normal 3003 2 2" xfId="39194"/>
    <cellStyle name="Normal 3003 2 3" xfId="39195"/>
    <cellStyle name="Normal 3003 3" xfId="14349"/>
    <cellStyle name="Normal 3003 4" xfId="39196"/>
    <cellStyle name="Normal 3004" xfId="14350"/>
    <cellStyle name="Normal 3004 2" xfId="14351"/>
    <cellStyle name="Normal 3004 2 2" xfId="39197"/>
    <cellStyle name="Normal 3004 2 3" xfId="39198"/>
    <cellStyle name="Normal 3004 3" xfId="14352"/>
    <cellStyle name="Normal 3004 4" xfId="39199"/>
    <cellStyle name="Normal 3005" xfId="14353"/>
    <cellStyle name="Normal 3005 2" xfId="14354"/>
    <cellStyle name="Normal 3005 2 2" xfId="39200"/>
    <cellStyle name="Normal 3005 2 3" xfId="39201"/>
    <cellStyle name="Normal 3005 3" xfId="14355"/>
    <cellStyle name="Normal 3005 4" xfId="39202"/>
    <cellStyle name="Normal 3006" xfId="14356"/>
    <cellStyle name="Normal 3006 2" xfId="14357"/>
    <cellStyle name="Normal 3006 2 2" xfId="39203"/>
    <cellStyle name="Normal 3006 2 3" xfId="39204"/>
    <cellStyle name="Normal 3006 3" xfId="14358"/>
    <cellStyle name="Normal 3006 4" xfId="39205"/>
    <cellStyle name="Normal 3007" xfId="14359"/>
    <cellStyle name="Normal 3007 2" xfId="14360"/>
    <cellStyle name="Normal 3007 2 2" xfId="39206"/>
    <cellStyle name="Normal 3007 2 3" xfId="39207"/>
    <cellStyle name="Normal 3007 3" xfId="14361"/>
    <cellStyle name="Normal 3007 4" xfId="39208"/>
    <cellStyle name="Normal 3008" xfId="14362"/>
    <cellStyle name="Normal 3008 2" xfId="14363"/>
    <cellStyle name="Normal 3008 2 2" xfId="39209"/>
    <cellStyle name="Normal 3008 2 3" xfId="39210"/>
    <cellStyle name="Normal 3008 3" xfId="14364"/>
    <cellStyle name="Normal 3008 4" xfId="39211"/>
    <cellStyle name="Normal 3009" xfId="14365"/>
    <cellStyle name="Normal 3009 2" xfId="14366"/>
    <cellStyle name="Normal 3009 2 2" xfId="39212"/>
    <cellStyle name="Normal 3009 2 3" xfId="39213"/>
    <cellStyle name="Normal 3009 3" xfId="14367"/>
    <cellStyle name="Normal 3009 4" xfId="39214"/>
    <cellStyle name="Normal 301" xfId="14368"/>
    <cellStyle name="Normal 301 10" xfId="39215"/>
    <cellStyle name="Normal 301 2" xfId="14369"/>
    <cellStyle name="Normal 301 2 2" xfId="14370"/>
    <cellStyle name="Normal 301 2 2 2" xfId="14371"/>
    <cellStyle name="Normal 301 2 2 3" xfId="14372"/>
    <cellStyle name="Normal 301 2 3" xfId="14373"/>
    <cellStyle name="Normal 301 2 3 2" xfId="39216"/>
    <cellStyle name="Normal 301 2 3 3" xfId="39217"/>
    <cellStyle name="Normal 301 2 4" xfId="14374"/>
    <cellStyle name="Normal 301 2 5" xfId="14375"/>
    <cellStyle name="Normal 301 2 6" xfId="39218"/>
    <cellStyle name="Normal 301 2 7" xfId="39219"/>
    <cellStyle name="Normal 301 2 8" xfId="39220"/>
    <cellStyle name="Normal 301 3" xfId="14376"/>
    <cellStyle name="Normal 301 3 2" xfId="14377"/>
    <cellStyle name="Normal 301 3 2 2" xfId="39221"/>
    <cellStyle name="Normal 301 3 2 3" xfId="39222"/>
    <cellStyle name="Normal 301 3 3" xfId="14378"/>
    <cellStyle name="Normal 301 3 3 2" xfId="39223"/>
    <cellStyle name="Normal 301 3 3 3" xfId="39224"/>
    <cellStyle name="Normal 301 3 4" xfId="39225"/>
    <cellStyle name="Normal 301 3 5" xfId="39226"/>
    <cellStyle name="Normal 301 4" xfId="14379"/>
    <cellStyle name="Normal 301 4 2" xfId="39227"/>
    <cellStyle name="Normal 301 4 3" xfId="39228"/>
    <cellStyle name="Normal 301 5" xfId="14380"/>
    <cellStyle name="Normal 301 5 2" xfId="39229"/>
    <cellStyle name="Normal 301 5 3" xfId="39230"/>
    <cellStyle name="Normal 301 6" xfId="14381"/>
    <cellStyle name="Normal 301 7" xfId="39231"/>
    <cellStyle name="Normal 301 8" xfId="39232"/>
    <cellStyle name="Normal 301 9" xfId="39233"/>
    <cellStyle name="Normal 3010" xfId="14382"/>
    <cellStyle name="Normal 3010 2" xfId="14383"/>
    <cellStyle name="Normal 3010 2 2" xfId="39234"/>
    <cellStyle name="Normal 3010 2 3" xfId="39235"/>
    <cellStyle name="Normal 3010 3" xfId="14384"/>
    <cellStyle name="Normal 3010 4" xfId="39236"/>
    <cellStyle name="Normal 3011" xfId="14385"/>
    <cellStyle name="Normal 3011 2" xfId="14386"/>
    <cellStyle name="Normal 3011 2 2" xfId="39237"/>
    <cellStyle name="Normal 3011 2 3" xfId="39238"/>
    <cellStyle name="Normal 3011 3" xfId="14387"/>
    <cellStyle name="Normal 3011 4" xfId="39239"/>
    <cellStyle name="Normal 3012" xfId="14388"/>
    <cellStyle name="Normal 3012 2" xfId="14389"/>
    <cellStyle name="Normal 3012 2 2" xfId="39240"/>
    <cellStyle name="Normal 3012 2 3" xfId="39241"/>
    <cellStyle name="Normal 3012 3" xfId="14390"/>
    <cellStyle name="Normal 3012 4" xfId="39242"/>
    <cellStyle name="Normal 3013" xfId="14391"/>
    <cellStyle name="Normal 3013 2" xfId="14392"/>
    <cellStyle name="Normal 3013 2 2" xfId="39243"/>
    <cellStyle name="Normal 3013 2 3" xfId="39244"/>
    <cellStyle name="Normal 3013 3" xfId="14393"/>
    <cellStyle name="Normal 3013 4" xfId="39245"/>
    <cellStyle name="Normal 3014" xfId="14394"/>
    <cellStyle name="Normal 3014 2" xfId="14395"/>
    <cellStyle name="Normal 3014 2 2" xfId="39246"/>
    <cellStyle name="Normal 3014 2 3" xfId="39247"/>
    <cellStyle name="Normal 3014 3" xfId="14396"/>
    <cellStyle name="Normal 3014 4" xfId="39248"/>
    <cellStyle name="Normal 3015" xfId="14397"/>
    <cellStyle name="Normal 3015 2" xfId="14398"/>
    <cellStyle name="Normal 3015 2 2" xfId="39249"/>
    <cellStyle name="Normal 3015 2 3" xfId="39250"/>
    <cellStyle name="Normal 3015 3" xfId="14399"/>
    <cellStyle name="Normal 3015 4" xfId="39251"/>
    <cellStyle name="Normal 3016" xfId="14400"/>
    <cellStyle name="Normal 3016 2" xfId="14401"/>
    <cellStyle name="Normal 3016 2 2" xfId="39252"/>
    <cellStyle name="Normal 3016 2 3" xfId="39253"/>
    <cellStyle name="Normal 3016 3" xfId="14402"/>
    <cellStyle name="Normal 3016 4" xfId="39254"/>
    <cellStyle name="Normal 3017" xfId="14403"/>
    <cellStyle name="Normal 3017 2" xfId="14404"/>
    <cellStyle name="Normal 3017 2 2" xfId="39255"/>
    <cellStyle name="Normal 3017 2 3" xfId="39256"/>
    <cellStyle name="Normal 3017 3" xfId="14405"/>
    <cellStyle name="Normal 3017 4" xfId="39257"/>
    <cellStyle name="Normal 3018" xfId="14406"/>
    <cellStyle name="Normal 3018 2" xfId="14407"/>
    <cellStyle name="Normal 3018 2 2" xfId="39258"/>
    <cellStyle name="Normal 3018 2 3" xfId="39259"/>
    <cellStyle name="Normal 3018 3" xfId="14408"/>
    <cellStyle name="Normal 3018 4" xfId="39260"/>
    <cellStyle name="Normal 3019" xfId="14409"/>
    <cellStyle name="Normal 3019 2" xfId="14410"/>
    <cellStyle name="Normal 3019 2 2" xfId="39261"/>
    <cellStyle name="Normal 3019 2 3" xfId="39262"/>
    <cellStyle name="Normal 3019 3" xfId="14411"/>
    <cellStyle name="Normal 3019 4" xfId="39263"/>
    <cellStyle name="Normal 302" xfId="14412"/>
    <cellStyle name="Normal 302 10" xfId="39264"/>
    <cellStyle name="Normal 302 2" xfId="14413"/>
    <cellStyle name="Normal 302 2 2" xfId="14414"/>
    <cellStyle name="Normal 302 2 2 2" xfId="14415"/>
    <cellStyle name="Normal 302 2 2 3" xfId="14416"/>
    <cellStyle name="Normal 302 2 3" xfId="14417"/>
    <cellStyle name="Normal 302 2 3 2" xfId="39265"/>
    <cellStyle name="Normal 302 2 3 3" xfId="39266"/>
    <cellStyle name="Normal 302 2 4" xfId="14418"/>
    <cellStyle name="Normal 302 2 5" xfId="14419"/>
    <cellStyle name="Normal 302 2 6" xfId="39267"/>
    <cellStyle name="Normal 302 2 7" xfId="39268"/>
    <cellStyle name="Normal 302 2 8" xfId="39269"/>
    <cellStyle name="Normal 302 3" xfId="14420"/>
    <cellStyle name="Normal 302 3 2" xfId="14421"/>
    <cellStyle name="Normal 302 3 2 2" xfId="39270"/>
    <cellStyle name="Normal 302 3 2 3" xfId="39271"/>
    <cellStyle name="Normal 302 3 3" xfId="14422"/>
    <cellStyle name="Normal 302 3 3 2" xfId="39272"/>
    <cellStyle name="Normal 302 3 3 3" xfId="39273"/>
    <cellStyle name="Normal 302 3 4" xfId="39274"/>
    <cellStyle name="Normal 302 3 5" xfId="39275"/>
    <cellStyle name="Normal 302 4" xfId="14423"/>
    <cellStyle name="Normal 302 4 2" xfId="39276"/>
    <cellStyle name="Normal 302 4 3" xfId="39277"/>
    <cellStyle name="Normal 302 5" xfId="14424"/>
    <cellStyle name="Normal 302 5 2" xfId="39278"/>
    <cellStyle name="Normal 302 5 3" xfId="39279"/>
    <cellStyle name="Normal 302 6" xfId="14425"/>
    <cellStyle name="Normal 302 7" xfId="39280"/>
    <cellStyle name="Normal 302 8" xfId="39281"/>
    <cellStyle name="Normal 302 9" xfId="39282"/>
    <cellStyle name="Normal 3020" xfId="14426"/>
    <cellStyle name="Normal 3020 2" xfId="14427"/>
    <cellStyle name="Normal 3020 2 2" xfId="39283"/>
    <cellStyle name="Normal 3020 2 3" xfId="39284"/>
    <cellStyle name="Normal 3020 3" xfId="14428"/>
    <cellStyle name="Normal 3020 4" xfId="39285"/>
    <cellStyle name="Normal 3021" xfId="14429"/>
    <cellStyle name="Normal 3021 2" xfId="14430"/>
    <cellStyle name="Normal 3021 2 2" xfId="39286"/>
    <cellStyle name="Normal 3021 2 3" xfId="39287"/>
    <cellStyle name="Normal 3021 3" xfId="14431"/>
    <cellStyle name="Normal 3021 4" xfId="39288"/>
    <cellStyle name="Normal 3022" xfId="14432"/>
    <cellStyle name="Normal 3022 2" xfId="14433"/>
    <cellStyle name="Normal 3022 2 2" xfId="39289"/>
    <cellStyle name="Normal 3022 2 3" xfId="39290"/>
    <cellStyle name="Normal 3022 3" xfId="14434"/>
    <cellStyle name="Normal 3022 4" xfId="39291"/>
    <cellStyle name="Normal 3023" xfId="14435"/>
    <cellStyle name="Normal 3023 2" xfId="14436"/>
    <cellStyle name="Normal 3023 2 2" xfId="39292"/>
    <cellStyle name="Normal 3023 2 3" xfId="39293"/>
    <cellStyle name="Normal 3023 3" xfId="14437"/>
    <cellStyle name="Normal 3023 4" xfId="39294"/>
    <cellStyle name="Normal 3024" xfId="14438"/>
    <cellStyle name="Normal 3024 2" xfId="14439"/>
    <cellStyle name="Normal 3024 2 2" xfId="39295"/>
    <cellStyle name="Normal 3024 2 3" xfId="39296"/>
    <cellStyle name="Normal 3024 3" xfId="14440"/>
    <cellStyle name="Normal 3024 4" xfId="39297"/>
    <cellStyle name="Normal 3025" xfId="14441"/>
    <cellStyle name="Normal 3025 2" xfId="14442"/>
    <cellStyle name="Normal 3025 2 2" xfId="39298"/>
    <cellStyle name="Normal 3025 2 3" xfId="39299"/>
    <cellStyle name="Normal 3025 3" xfId="14443"/>
    <cellStyle name="Normal 3025 4" xfId="39300"/>
    <cellStyle name="Normal 3026" xfId="14444"/>
    <cellStyle name="Normal 3026 2" xfId="14445"/>
    <cellStyle name="Normal 3026 2 2" xfId="39301"/>
    <cellStyle name="Normal 3026 2 3" xfId="39302"/>
    <cellStyle name="Normal 3026 3" xfId="14446"/>
    <cellStyle name="Normal 3026 4" xfId="39303"/>
    <cellStyle name="Normal 3027" xfId="14447"/>
    <cellStyle name="Normal 3027 2" xfId="14448"/>
    <cellStyle name="Normal 3027 2 2" xfId="39304"/>
    <cellStyle name="Normal 3027 2 3" xfId="39305"/>
    <cellStyle name="Normal 3027 3" xfId="14449"/>
    <cellStyle name="Normal 3027 4" xfId="39306"/>
    <cellStyle name="Normal 3028" xfId="14450"/>
    <cellStyle name="Normal 3028 2" xfId="14451"/>
    <cellStyle name="Normal 3028 2 2" xfId="39307"/>
    <cellStyle name="Normal 3028 2 3" xfId="39308"/>
    <cellStyle name="Normal 3028 3" xfId="14452"/>
    <cellStyle name="Normal 3028 4" xfId="39309"/>
    <cellStyle name="Normal 3029" xfId="14453"/>
    <cellStyle name="Normal 3029 2" xfId="14454"/>
    <cellStyle name="Normal 3029 2 2" xfId="39310"/>
    <cellStyle name="Normal 3029 2 3" xfId="39311"/>
    <cellStyle name="Normal 3029 3" xfId="14455"/>
    <cellStyle name="Normal 3029 4" xfId="39312"/>
    <cellStyle name="Normal 303" xfId="14456"/>
    <cellStyle name="Normal 303 10" xfId="39313"/>
    <cellStyle name="Normal 303 2" xfId="14457"/>
    <cellStyle name="Normal 303 2 2" xfId="14458"/>
    <cellStyle name="Normal 303 2 2 2" xfId="14459"/>
    <cellStyle name="Normal 303 2 2 3" xfId="14460"/>
    <cellStyle name="Normal 303 2 3" xfId="14461"/>
    <cellStyle name="Normal 303 2 3 2" xfId="39314"/>
    <cellStyle name="Normal 303 2 3 3" xfId="39315"/>
    <cellStyle name="Normal 303 2 4" xfId="14462"/>
    <cellStyle name="Normal 303 2 5" xfId="14463"/>
    <cellStyle name="Normal 303 2 6" xfId="39316"/>
    <cellStyle name="Normal 303 2 7" xfId="39317"/>
    <cellStyle name="Normal 303 2 8" xfId="39318"/>
    <cellStyle name="Normal 303 3" xfId="14464"/>
    <cellStyle name="Normal 303 3 2" xfId="14465"/>
    <cellStyle name="Normal 303 3 2 2" xfId="39319"/>
    <cellStyle name="Normal 303 3 2 3" xfId="39320"/>
    <cellStyle name="Normal 303 3 3" xfId="14466"/>
    <cellStyle name="Normal 303 3 3 2" xfId="39321"/>
    <cellStyle name="Normal 303 3 3 3" xfId="39322"/>
    <cellStyle name="Normal 303 3 4" xfId="39323"/>
    <cellStyle name="Normal 303 3 5" xfId="39324"/>
    <cellStyle name="Normal 303 4" xfId="14467"/>
    <cellStyle name="Normal 303 4 2" xfId="39325"/>
    <cellStyle name="Normal 303 4 3" xfId="39326"/>
    <cellStyle name="Normal 303 5" xfId="14468"/>
    <cellStyle name="Normal 303 5 2" xfId="39327"/>
    <cellStyle name="Normal 303 5 3" xfId="39328"/>
    <cellStyle name="Normal 303 6" xfId="14469"/>
    <cellStyle name="Normal 303 7" xfId="39329"/>
    <cellStyle name="Normal 303 8" xfId="39330"/>
    <cellStyle name="Normal 303 9" xfId="39331"/>
    <cellStyle name="Normal 3030" xfId="14470"/>
    <cellStyle name="Normal 3030 2" xfId="14471"/>
    <cellStyle name="Normal 3030 2 2" xfId="39332"/>
    <cellStyle name="Normal 3030 2 3" xfId="39333"/>
    <cellStyle name="Normal 3030 3" xfId="14472"/>
    <cellStyle name="Normal 3030 4" xfId="39334"/>
    <cellStyle name="Normal 3031" xfId="14473"/>
    <cellStyle name="Normal 3031 2" xfId="14474"/>
    <cellStyle name="Normal 3031 2 2" xfId="39335"/>
    <cellStyle name="Normal 3031 2 3" xfId="39336"/>
    <cellStyle name="Normal 3031 3" xfId="14475"/>
    <cellStyle name="Normal 3031 4" xfId="39337"/>
    <cellStyle name="Normal 3032" xfId="14476"/>
    <cellStyle name="Normal 3032 2" xfId="14477"/>
    <cellStyle name="Normal 3032 2 2" xfId="39338"/>
    <cellStyle name="Normal 3032 2 3" xfId="39339"/>
    <cellStyle name="Normal 3032 3" xfId="14478"/>
    <cellStyle name="Normal 3032 4" xfId="39340"/>
    <cellStyle name="Normal 3033" xfId="14479"/>
    <cellStyle name="Normal 3033 2" xfId="14480"/>
    <cellStyle name="Normal 3033 2 2" xfId="39341"/>
    <cellStyle name="Normal 3033 2 3" xfId="39342"/>
    <cellStyle name="Normal 3033 3" xfId="14481"/>
    <cellStyle name="Normal 3033 4" xfId="39343"/>
    <cellStyle name="Normal 3034" xfId="14482"/>
    <cellStyle name="Normal 3034 2" xfId="14483"/>
    <cellStyle name="Normal 3034 2 2" xfId="39344"/>
    <cellStyle name="Normal 3034 2 3" xfId="39345"/>
    <cellStyle name="Normal 3034 3" xfId="14484"/>
    <cellStyle name="Normal 3034 4" xfId="39346"/>
    <cellStyle name="Normal 3035" xfId="14485"/>
    <cellStyle name="Normal 3035 2" xfId="14486"/>
    <cellStyle name="Normal 3035 2 2" xfId="39347"/>
    <cellStyle name="Normal 3035 2 3" xfId="39348"/>
    <cellStyle name="Normal 3035 3" xfId="14487"/>
    <cellStyle name="Normal 3035 4" xfId="39349"/>
    <cellStyle name="Normal 3036" xfId="14488"/>
    <cellStyle name="Normal 3036 2" xfId="14489"/>
    <cellStyle name="Normal 3036 2 2" xfId="39350"/>
    <cellStyle name="Normal 3036 2 3" xfId="39351"/>
    <cellStyle name="Normal 3036 3" xfId="14490"/>
    <cellStyle name="Normal 3036 4" xfId="39352"/>
    <cellStyle name="Normal 3037" xfId="14491"/>
    <cellStyle name="Normal 3037 2" xfId="14492"/>
    <cellStyle name="Normal 3037 2 2" xfId="39353"/>
    <cellStyle name="Normal 3037 2 3" xfId="39354"/>
    <cellStyle name="Normal 3037 3" xfId="14493"/>
    <cellStyle name="Normal 3037 4" xfId="39355"/>
    <cellStyle name="Normal 3038" xfId="14494"/>
    <cellStyle name="Normal 3038 2" xfId="14495"/>
    <cellStyle name="Normal 3038 2 2" xfId="39356"/>
    <cellStyle name="Normal 3038 2 3" xfId="39357"/>
    <cellStyle name="Normal 3038 3" xfId="14496"/>
    <cellStyle name="Normal 3038 4" xfId="39358"/>
    <cellStyle name="Normal 3039" xfId="14497"/>
    <cellStyle name="Normal 3039 2" xfId="14498"/>
    <cellStyle name="Normal 3039 2 2" xfId="39359"/>
    <cellStyle name="Normal 3039 2 3" xfId="39360"/>
    <cellStyle name="Normal 3039 3" xfId="14499"/>
    <cellStyle name="Normal 3039 4" xfId="39361"/>
    <cellStyle name="Normal 304" xfId="14500"/>
    <cellStyle name="Normal 304 10" xfId="39362"/>
    <cellStyle name="Normal 304 2" xfId="14501"/>
    <cellStyle name="Normal 304 2 2" xfId="14502"/>
    <cellStyle name="Normal 304 2 2 2" xfId="14503"/>
    <cellStyle name="Normal 304 2 2 3" xfId="14504"/>
    <cellStyle name="Normal 304 2 3" xfId="14505"/>
    <cellStyle name="Normal 304 2 3 2" xfId="39363"/>
    <cellStyle name="Normal 304 2 3 3" xfId="39364"/>
    <cellStyle name="Normal 304 2 4" xfId="14506"/>
    <cellStyle name="Normal 304 2 5" xfId="14507"/>
    <cellStyle name="Normal 304 2 6" xfId="39365"/>
    <cellStyle name="Normal 304 2 7" xfId="39366"/>
    <cellStyle name="Normal 304 2 8" xfId="39367"/>
    <cellStyle name="Normal 304 3" xfId="14508"/>
    <cellStyle name="Normal 304 3 2" xfId="14509"/>
    <cellStyle name="Normal 304 3 2 2" xfId="39368"/>
    <cellStyle name="Normal 304 3 2 3" xfId="39369"/>
    <cellStyle name="Normal 304 3 3" xfId="14510"/>
    <cellStyle name="Normal 304 3 3 2" xfId="39370"/>
    <cellStyle name="Normal 304 3 3 3" xfId="39371"/>
    <cellStyle name="Normal 304 3 4" xfId="39372"/>
    <cellStyle name="Normal 304 3 5" xfId="39373"/>
    <cellStyle name="Normal 304 4" xfId="14511"/>
    <cellStyle name="Normal 304 4 2" xfId="39374"/>
    <cellStyle name="Normal 304 4 3" xfId="39375"/>
    <cellStyle name="Normal 304 5" xfId="14512"/>
    <cellStyle name="Normal 304 5 2" xfId="39376"/>
    <cellStyle name="Normal 304 5 3" xfId="39377"/>
    <cellStyle name="Normal 304 6" xfId="14513"/>
    <cellStyle name="Normal 304 7" xfId="39378"/>
    <cellStyle name="Normal 304 8" xfId="39379"/>
    <cellStyle name="Normal 304 9" xfId="39380"/>
    <cellStyle name="Normal 3040" xfId="14514"/>
    <cellStyle name="Normal 3040 2" xfId="14515"/>
    <cellStyle name="Normal 3040 2 2" xfId="39381"/>
    <cellStyle name="Normal 3040 2 3" xfId="39382"/>
    <cellStyle name="Normal 3040 3" xfId="14516"/>
    <cellStyle name="Normal 3040 4" xfId="39383"/>
    <cellStyle name="Normal 3041" xfId="14517"/>
    <cellStyle name="Normal 3041 2" xfId="14518"/>
    <cellStyle name="Normal 3041 2 2" xfId="39384"/>
    <cellStyle name="Normal 3041 2 3" xfId="39385"/>
    <cellStyle name="Normal 3041 3" xfId="14519"/>
    <cellStyle name="Normal 3041 4" xfId="39386"/>
    <cellStyle name="Normal 3042" xfId="14520"/>
    <cellStyle name="Normal 3042 2" xfId="14521"/>
    <cellStyle name="Normal 3042 2 2" xfId="39387"/>
    <cellStyle name="Normal 3042 2 3" xfId="39388"/>
    <cellStyle name="Normal 3042 3" xfId="14522"/>
    <cellStyle name="Normal 3042 4" xfId="39389"/>
    <cellStyle name="Normal 3043" xfId="14523"/>
    <cellStyle name="Normal 3043 2" xfId="14524"/>
    <cellStyle name="Normal 3043 2 2" xfId="39390"/>
    <cellStyle name="Normal 3043 2 3" xfId="39391"/>
    <cellStyle name="Normal 3043 3" xfId="14525"/>
    <cellStyle name="Normal 3043 4" xfId="39392"/>
    <cellStyle name="Normal 3044" xfId="14526"/>
    <cellStyle name="Normal 3044 2" xfId="14527"/>
    <cellStyle name="Normal 3044 2 2" xfId="39393"/>
    <cellStyle name="Normal 3044 2 3" xfId="39394"/>
    <cellStyle name="Normal 3044 3" xfId="14528"/>
    <cellStyle name="Normal 3044 4" xfId="39395"/>
    <cellStyle name="Normal 3045" xfId="14529"/>
    <cellStyle name="Normal 3045 2" xfId="14530"/>
    <cellStyle name="Normal 3045 2 2" xfId="39396"/>
    <cellStyle name="Normal 3045 2 3" xfId="39397"/>
    <cellStyle name="Normal 3045 3" xfId="14531"/>
    <cellStyle name="Normal 3045 4" xfId="39398"/>
    <cellStyle name="Normal 3046" xfId="14532"/>
    <cellStyle name="Normal 3046 2" xfId="14533"/>
    <cellStyle name="Normal 3046 2 2" xfId="39399"/>
    <cellStyle name="Normal 3046 2 3" xfId="39400"/>
    <cellStyle name="Normal 3046 3" xfId="14534"/>
    <cellStyle name="Normal 3046 4" xfId="39401"/>
    <cellStyle name="Normal 3047" xfId="14535"/>
    <cellStyle name="Normal 3047 2" xfId="14536"/>
    <cellStyle name="Normal 3047 2 2" xfId="39402"/>
    <cellStyle name="Normal 3047 2 3" xfId="39403"/>
    <cellStyle name="Normal 3047 3" xfId="14537"/>
    <cellStyle name="Normal 3047 4" xfId="39404"/>
    <cellStyle name="Normal 3048" xfId="14538"/>
    <cellStyle name="Normal 3048 2" xfId="14539"/>
    <cellStyle name="Normal 3048 2 2" xfId="39405"/>
    <cellStyle name="Normal 3048 2 3" xfId="39406"/>
    <cellStyle name="Normal 3048 3" xfId="14540"/>
    <cellStyle name="Normal 3048 4" xfId="39407"/>
    <cellStyle name="Normal 3049" xfId="14541"/>
    <cellStyle name="Normal 3049 2" xfId="14542"/>
    <cellStyle name="Normal 3049 2 2" xfId="39408"/>
    <cellStyle name="Normal 3049 2 3" xfId="39409"/>
    <cellStyle name="Normal 3049 3" xfId="14543"/>
    <cellStyle name="Normal 3049 4" xfId="39410"/>
    <cellStyle name="Normal 305" xfId="14544"/>
    <cellStyle name="Normal 305 10" xfId="39411"/>
    <cellStyle name="Normal 305 2" xfId="14545"/>
    <cellStyle name="Normal 305 2 2" xfId="14546"/>
    <cellStyle name="Normal 305 2 2 2" xfId="14547"/>
    <cellStyle name="Normal 305 2 2 3" xfId="14548"/>
    <cellStyle name="Normal 305 2 3" xfId="14549"/>
    <cellStyle name="Normal 305 2 3 2" xfId="39412"/>
    <cellStyle name="Normal 305 2 3 3" xfId="39413"/>
    <cellStyle name="Normal 305 2 4" xfId="14550"/>
    <cellStyle name="Normal 305 2 5" xfId="14551"/>
    <cellStyle name="Normal 305 2 6" xfId="39414"/>
    <cellStyle name="Normal 305 2 7" xfId="39415"/>
    <cellStyle name="Normal 305 2 8" xfId="39416"/>
    <cellStyle name="Normal 305 3" xfId="14552"/>
    <cellStyle name="Normal 305 3 2" xfId="14553"/>
    <cellStyle name="Normal 305 3 2 2" xfId="39417"/>
    <cellStyle name="Normal 305 3 2 3" xfId="39418"/>
    <cellStyle name="Normal 305 3 3" xfId="14554"/>
    <cellStyle name="Normal 305 3 3 2" xfId="39419"/>
    <cellStyle name="Normal 305 3 3 3" xfId="39420"/>
    <cellStyle name="Normal 305 3 4" xfId="39421"/>
    <cellStyle name="Normal 305 3 5" xfId="39422"/>
    <cellStyle name="Normal 305 4" xfId="14555"/>
    <cellStyle name="Normal 305 4 2" xfId="39423"/>
    <cellStyle name="Normal 305 4 3" xfId="39424"/>
    <cellStyle name="Normal 305 5" xfId="14556"/>
    <cellStyle name="Normal 305 5 2" xfId="39425"/>
    <cellStyle name="Normal 305 5 3" xfId="39426"/>
    <cellStyle name="Normal 305 6" xfId="14557"/>
    <cellStyle name="Normal 305 7" xfId="39427"/>
    <cellStyle name="Normal 305 8" xfId="39428"/>
    <cellStyle name="Normal 305 9" xfId="39429"/>
    <cellStyle name="Normal 3050" xfId="14558"/>
    <cellStyle name="Normal 3050 2" xfId="14559"/>
    <cellStyle name="Normal 3050 2 2" xfId="39430"/>
    <cellStyle name="Normal 3050 2 3" xfId="39431"/>
    <cellStyle name="Normal 3050 3" xfId="14560"/>
    <cellStyle name="Normal 3050 4" xfId="39432"/>
    <cellStyle name="Normal 3051" xfId="14561"/>
    <cellStyle name="Normal 3051 2" xfId="14562"/>
    <cellStyle name="Normal 3051 2 2" xfId="39433"/>
    <cellStyle name="Normal 3051 2 3" xfId="39434"/>
    <cellStyle name="Normal 3051 3" xfId="14563"/>
    <cellStyle name="Normal 3051 4" xfId="39435"/>
    <cellStyle name="Normal 3052" xfId="14564"/>
    <cellStyle name="Normal 3052 2" xfId="14565"/>
    <cellStyle name="Normal 3052 2 2" xfId="39436"/>
    <cellStyle name="Normal 3052 2 3" xfId="39437"/>
    <cellStyle name="Normal 3052 3" xfId="14566"/>
    <cellStyle name="Normal 3052 4" xfId="39438"/>
    <cellStyle name="Normal 3053" xfId="14567"/>
    <cellStyle name="Normal 3053 2" xfId="14568"/>
    <cellStyle name="Normal 3053 2 2" xfId="39439"/>
    <cellStyle name="Normal 3053 2 3" xfId="39440"/>
    <cellStyle name="Normal 3053 3" xfId="14569"/>
    <cellStyle name="Normal 3053 4" xfId="39441"/>
    <cellStyle name="Normal 3054" xfId="14570"/>
    <cellStyle name="Normal 3054 2" xfId="14571"/>
    <cellStyle name="Normal 3054 2 2" xfId="39442"/>
    <cellStyle name="Normal 3054 2 3" xfId="39443"/>
    <cellStyle name="Normal 3054 3" xfId="14572"/>
    <cellStyle name="Normal 3054 4" xfId="39444"/>
    <cellStyle name="Normal 3055" xfId="14573"/>
    <cellStyle name="Normal 3055 2" xfId="14574"/>
    <cellStyle name="Normal 3055 2 2" xfId="39445"/>
    <cellStyle name="Normal 3055 2 3" xfId="39446"/>
    <cellStyle name="Normal 3055 3" xfId="14575"/>
    <cellStyle name="Normal 3055 4" xfId="39447"/>
    <cellStyle name="Normal 3056" xfId="14576"/>
    <cellStyle name="Normal 3056 2" xfId="14577"/>
    <cellStyle name="Normal 3056 2 2" xfId="39448"/>
    <cellStyle name="Normal 3056 2 3" xfId="39449"/>
    <cellStyle name="Normal 3056 3" xfId="14578"/>
    <cellStyle name="Normal 3056 4" xfId="39450"/>
    <cellStyle name="Normal 3057" xfId="14579"/>
    <cellStyle name="Normal 3057 2" xfId="14580"/>
    <cellStyle name="Normal 3057 2 2" xfId="39451"/>
    <cellStyle name="Normal 3057 2 3" xfId="39452"/>
    <cellStyle name="Normal 3057 3" xfId="14581"/>
    <cellStyle name="Normal 3057 4" xfId="39453"/>
    <cellStyle name="Normal 3058" xfId="14582"/>
    <cellStyle name="Normal 3058 2" xfId="14583"/>
    <cellStyle name="Normal 3058 2 2" xfId="39454"/>
    <cellStyle name="Normal 3058 2 3" xfId="39455"/>
    <cellStyle name="Normal 3058 3" xfId="14584"/>
    <cellStyle name="Normal 3058 4" xfId="39456"/>
    <cellStyle name="Normal 3059" xfId="14585"/>
    <cellStyle name="Normal 3059 2" xfId="14586"/>
    <cellStyle name="Normal 3059 2 2" xfId="39457"/>
    <cellStyle name="Normal 3059 2 3" xfId="39458"/>
    <cellStyle name="Normal 3059 3" xfId="14587"/>
    <cellStyle name="Normal 3059 4" xfId="39459"/>
    <cellStyle name="Normal 306" xfId="14588"/>
    <cellStyle name="Normal 306 10" xfId="39460"/>
    <cellStyle name="Normal 306 2" xfId="14589"/>
    <cellStyle name="Normal 306 2 2" xfId="14590"/>
    <cellStyle name="Normal 306 2 2 2" xfId="14591"/>
    <cellStyle name="Normal 306 2 2 3" xfId="14592"/>
    <cellStyle name="Normal 306 2 3" xfId="14593"/>
    <cellStyle name="Normal 306 2 3 2" xfId="39461"/>
    <cellStyle name="Normal 306 2 3 3" xfId="39462"/>
    <cellStyle name="Normal 306 2 4" xfId="14594"/>
    <cellStyle name="Normal 306 2 5" xfId="14595"/>
    <cellStyle name="Normal 306 2 6" xfId="39463"/>
    <cellStyle name="Normal 306 2 7" xfId="39464"/>
    <cellStyle name="Normal 306 2 8" xfId="39465"/>
    <cellStyle name="Normal 306 3" xfId="14596"/>
    <cellStyle name="Normal 306 3 2" xfId="14597"/>
    <cellStyle name="Normal 306 3 2 2" xfId="39466"/>
    <cellStyle name="Normal 306 3 2 3" xfId="39467"/>
    <cellStyle name="Normal 306 3 3" xfId="14598"/>
    <cellStyle name="Normal 306 3 3 2" xfId="39468"/>
    <cellStyle name="Normal 306 3 3 3" xfId="39469"/>
    <cellStyle name="Normal 306 3 4" xfId="39470"/>
    <cellStyle name="Normal 306 3 5" xfId="39471"/>
    <cellStyle name="Normal 306 4" xfId="14599"/>
    <cellStyle name="Normal 306 4 2" xfId="39472"/>
    <cellStyle name="Normal 306 4 3" xfId="39473"/>
    <cellStyle name="Normal 306 5" xfId="14600"/>
    <cellStyle name="Normal 306 5 2" xfId="39474"/>
    <cellStyle name="Normal 306 5 3" xfId="39475"/>
    <cellStyle name="Normal 306 6" xfId="14601"/>
    <cellStyle name="Normal 306 7" xfId="39476"/>
    <cellStyle name="Normal 306 8" xfId="39477"/>
    <cellStyle name="Normal 306 9" xfId="39478"/>
    <cellStyle name="Normal 3060" xfId="14602"/>
    <cellStyle name="Normal 3060 2" xfId="14603"/>
    <cellStyle name="Normal 3060 2 2" xfId="39479"/>
    <cellStyle name="Normal 3060 2 3" xfId="39480"/>
    <cellStyle name="Normal 3060 3" xfId="14604"/>
    <cellStyle name="Normal 3060 4" xfId="39481"/>
    <cellStyle name="Normal 3061" xfId="14605"/>
    <cellStyle name="Normal 3061 2" xfId="14606"/>
    <cellStyle name="Normal 3061 2 2" xfId="39482"/>
    <cellStyle name="Normal 3061 2 3" xfId="39483"/>
    <cellStyle name="Normal 3061 3" xfId="14607"/>
    <cellStyle name="Normal 3061 4" xfId="39484"/>
    <cellStyle name="Normal 3062" xfId="14608"/>
    <cellStyle name="Normal 3062 2" xfId="14609"/>
    <cellStyle name="Normal 3062 2 2" xfId="39485"/>
    <cellStyle name="Normal 3062 2 3" xfId="39486"/>
    <cellStyle name="Normal 3062 3" xfId="14610"/>
    <cellStyle name="Normal 3062 4" xfId="39487"/>
    <cellStyle name="Normal 3063" xfId="14611"/>
    <cellStyle name="Normal 3063 2" xfId="14612"/>
    <cellStyle name="Normal 3063 2 2" xfId="39488"/>
    <cellStyle name="Normal 3063 2 3" xfId="39489"/>
    <cellStyle name="Normal 3063 3" xfId="14613"/>
    <cellStyle name="Normal 3063 4" xfId="39490"/>
    <cellStyle name="Normal 3064" xfId="14614"/>
    <cellStyle name="Normal 3064 2" xfId="14615"/>
    <cellStyle name="Normal 3064 2 2" xfId="39491"/>
    <cellStyle name="Normal 3064 2 3" xfId="39492"/>
    <cellStyle name="Normal 3064 3" xfId="14616"/>
    <cellStyle name="Normal 3064 4" xfId="39493"/>
    <cellStyle name="Normal 3065" xfId="14617"/>
    <cellStyle name="Normal 3065 2" xfId="14618"/>
    <cellStyle name="Normal 3065 2 2" xfId="39494"/>
    <cellStyle name="Normal 3065 2 3" xfId="39495"/>
    <cellStyle name="Normal 3065 3" xfId="14619"/>
    <cellStyle name="Normal 3065 4" xfId="39496"/>
    <cellStyle name="Normal 3066" xfId="14620"/>
    <cellStyle name="Normal 3066 2" xfId="14621"/>
    <cellStyle name="Normal 3066 2 2" xfId="39497"/>
    <cellStyle name="Normal 3066 2 3" xfId="39498"/>
    <cellStyle name="Normal 3066 3" xfId="14622"/>
    <cellStyle name="Normal 3066 4" xfId="39499"/>
    <cellStyle name="Normal 3067" xfId="14623"/>
    <cellStyle name="Normal 3067 2" xfId="14624"/>
    <cellStyle name="Normal 3067 2 2" xfId="39500"/>
    <cellStyle name="Normal 3067 2 3" xfId="39501"/>
    <cellStyle name="Normal 3067 3" xfId="14625"/>
    <cellStyle name="Normal 3067 4" xfId="39502"/>
    <cellStyle name="Normal 3068" xfId="14626"/>
    <cellStyle name="Normal 3068 2" xfId="14627"/>
    <cellStyle name="Normal 3068 2 2" xfId="39503"/>
    <cellStyle name="Normal 3068 2 3" xfId="39504"/>
    <cellStyle name="Normal 3068 3" xfId="14628"/>
    <cellStyle name="Normal 3068 4" xfId="39505"/>
    <cellStyle name="Normal 3069" xfId="14629"/>
    <cellStyle name="Normal 3069 2" xfId="14630"/>
    <cellStyle name="Normal 3069 2 2" xfId="39506"/>
    <cellStyle name="Normal 3069 2 3" xfId="39507"/>
    <cellStyle name="Normal 3069 3" xfId="14631"/>
    <cellStyle name="Normal 3069 4" xfId="39508"/>
    <cellStyle name="Normal 307" xfId="14632"/>
    <cellStyle name="Normal 307 10" xfId="39509"/>
    <cellStyle name="Normal 307 2" xfId="14633"/>
    <cellStyle name="Normal 307 2 2" xfId="14634"/>
    <cellStyle name="Normal 307 2 2 2" xfId="14635"/>
    <cellStyle name="Normal 307 2 2 3" xfId="14636"/>
    <cellStyle name="Normal 307 2 3" xfId="14637"/>
    <cellStyle name="Normal 307 2 3 2" xfId="39510"/>
    <cellStyle name="Normal 307 2 3 3" xfId="39511"/>
    <cellStyle name="Normal 307 2 4" xfId="14638"/>
    <cellStyle name="Normal 307 2 5" xfId="14639"/>
    <cellStyle name="Normal 307 2 6" xfId="39512"/>
    <cellStyle name="Normal 307 2 7" xfId="39513"/>
    <cellStyle name="Normal 307 2 8" xfId="39514"/>
    <cellStyle name="Normal 307 3" xfId="14640"/>
    <cellStyle name="Normal 307 3 2" xfId="14641"/>
    <cellStyle name="Normal 307 3 2 2" xfId="39515"/>
    <cellStyle name="Normal 307 3 2 3" xfId="39516"/>
    <cellStyle name="Normal 307 3 3" xfId="14642"/>
    <cellStyle name="Normal 307 3 3 2" xfId="39517"/>
    <cellStyle name="Normal 307 3 3 3" xfId="39518"/>
    <cellStyle name="Normal 307 3 4" xfId="39519"/>
    <cellStyle name="Normal 307 3 5" xfId="39520"/>
    <cellStyle name="Normal 307 4" xfId="14643"/>
    <cellStyle name="Normal 307 4 2" xfId="39521"/>
    <cellStyle name="Normal 307 4 3" xfId="39522"/>
    <cellStyle name="Normal 307 5" xfId="14644"/>
    <cellStyle name="Normal 307 5 2" xfId="39523"/>
    <cellStyle name="Normal 307 5 3" xfId="39524"/>
    <cellStyle name="Normal 307 6" xfId="14645"/>
    <cellStyle name="Normal 307 7" xfId="39525"/>
    <cellStyle name="Normal 307 8" xfId="39526"/>
    <cellStyle name="Normal 307 9" xfId="39527"/>
    <cellStyle name="Normal 3070" xfId="14646"/>
    <cellStyle name="Normal 3070 2" xfId="14647"/>
    <cellStyle name="Normal 3070 2 2" xfId="39528"/>
    <cellStyle name="Normal 3070 2 3" xfId="39529"/>
    <cellStyle name="Normal 3070 3" xfId="14648"/>
    <cellStyle name="Normal 3070 4" xfId="39530"/>
    <cellStyle name="Normal 3071" xfId="14649"/>
    <cellStyle name="Normal 3071 2" xfId="14650"/>
    <cellStyle name="Normal 3071 2 2" xfId="39531"/>
    <cellStyle name="Normal 3071 2 3" xfId="39532"/>
    <cellStyle name="Normal 3071 3" xfId="14651"/>
    <cellStyle name="Normal 3071 4" xfId="39533"/>
    <cellStyle name="Normal 3072" xfId="14652"/>
    <cellStyle name="Normal 3072 2" xfId="14653"/>
    <cellStyle name="Normal 3072 2 2" xfId="39534"/>
    <cellStyle name="Normal 3072 2 3" xfId="39535"/>
    <cellStyle name="Normal 3072 3" xfId="14654"/>
    <cellStyle name="Normal 3072 4" xfId="39536"/>
    <cellStyle name="Normal 3073" xfId="14655"/>
    <cellStyle name="Normal 3073 2" xfId="14656"/>
    <cellStyle name="Normal 3073 2 2" xfId="39537"/>
    <cellStyle name="Normal 3073 2 3" xfId="39538"/>
    <cellStyle name="Normal 3073 3" xfId="14657"/>
    <cellStyle name="Normal 3073 4" xfId="39539"/>
    <cellStyle name="Normal 3074" xfId="14658"/>
    <cellStyle name="Normal 3074 2" xfId="14659"/>
    <cellStyle name="Normal 3074 2 2" xfId="39540"/>
    <cellStyle name="Normal 3074 2 3" xfId="39541"/>
    <cellStyle name="Normal 3074 3" xfId="14660"/>
    <cellStyle name="Normal 3074 4" xfId="39542"/>
    <cellStyle name="Normal 3075" xfId="14661"/>
    <cellStyle name="Normal 3075 2" xfId="14662"/>
    <cellStyle name="Normal 3075 2 2" xfId="39543"/>
    <cellStyle name="Normal 3075 2 3" xfId="39544"/>
    <cellStyle name="Normal 3075 3" xfId="14663"/>
    <cellStyle name="Normal 3075 4" xfId="39545"/>
    <cellStyle name="Normal 3076" xfId="14664"/>
    <cellStyle name="Normal 3076 2" xfId="14665"/>
    <cellStyle name="Normal 3076 2 2" xfId="39546"/>
    <cellStyle name="Normal 3076 2 3" xfId="39547"/>
    <cellStyle name="Normal 3076 3" xfId="14666"/>
    <cellStyle name="Normal 3076 4" xfId="39548"/>
    <cellStyle name="Normal 3077" xfId="14667"/>
    <cellStyle name="Normal 3077 2" xfId="14668"/>
    <cellStyle name="Normal 3077 2 2" xfId="39549"/>
    <cellStyle name="Normal 3077 2 3" xfId="39550"/>
    <cellStyle name="Normal 3077 3" xfId="14669"/>
    <cellStyle name="Normal 3077 4" xfId="39551"/>
    <cellStyle name="Normal 3078" xfId="14670"/>
    <cellStyle name="Normal 3078 2" xfId="14671"/>
    <cellStyle name="Normal 3078 2 2" xfId="39552"/>
    <cellStyle name="Normal 3078 2 3" xfId="39553"/>
    <cellStyle name="Normal 3078 3" xfId="14672"/>
    <cellStyle name="Normal 3078 4" xfId="39554"/>
    <cellStyle name="Normal 3079" xfId="14673"/>
    <cellStyle name="Normal 3079 2" xfId="14674"/>
    <cellStyle name="Normal 3079 2 2" xfId="39555"/>
    <cellStyle name="Normal 3079 2 3" xfId="39556"/>
    <cellStyle name="Normal 3079 3" xfId="14675"/>
    <cellStyle name="Normal 3079 4" xfId="39557"/>
    <cellStyle name="Normal 308" xfId="14676"/>
    <cellStyle name="Normal 308 10" xfId="39558"/>
    <cellStyle name="Normal 308 2" xfId="14677"/>
    <cellStyle name="Normal 308 2 2" xfId="14678"/>
    <cellStyle name="Normal 308 2 2 2" xfId="14679"/>
    <cellStyle name="Normal 308 2 2 3" xfId="14680"/>
    <cellStyle name="Normal 308 2 3" xfId="14681"/>
    <cellStyle name="Normal 308 2 3 2" xfId="39559"/>
    <cellStyle name="Normal 308 2 3 3" xfId="39560"/>
    <cellStyle name="Normal 308 2 4" xfId="14682"/>
    <cellStyle name="Normal 308 2 5" xfId="14683"/>
    <cellStyle name="Normal 308 2 6" xfId="39561"/>
    <cellStyle name="Normal 308 2 7" xfId="39562"/>
    <cellStyle name="Normal 308 2 8" xfId="39563"/>
    <cellStyle name="Normal 308 3" xfId="14684"/>
    <cellStyle name="Normal 308 3 2" xfId="14685"/>
    <cellStyle name="Normal 308 3 2 2" xfId="39564"/>
    <cellStyle name="Normal 308 3 2 3" xfId="39565"/>
    <cellStyle name="Normal 308 3 3" xfId="14686"/>
    <cellStyle name="Normal 308 3 3 2" xfId="39566"/>
    <cellStyle name="Normal 308 3 3 3" xfId="39567"/>
    <cellStyle name="Normal 308 3 4" xfId="39568"/>
    <cellStyle name="Normal 308 3 5" xfId="39569"/>
    <cellStyle name="Normal 308 4" xfId="14687"/>
    <cellStyle name="Normal 308 4 2" xfId="39570"/>
    <cellStyle name="Normal 308 4 3" xfId="39571"/>
    <cellStyle name="Normal 308 5" xfId="14688"/>
    <cellStyle name="Normal 308 5 2" xfId="39572"/>
    <cellStyle name="Normal 308 5 3" xfId="39573"/>
    <cellStyle name="Normal 308 6" xfId="14689"/>
    <cellStyle name="Normal 308 7" xfId="39574"/>
    <cellStyle name="Normal 308 8" xfId="39575"/>
    <cellStyle name="Normal 308 9" xfId="39576"/>
    <cellStyle name="Normal 3080" xfId="14690"/>
    <cellStyle name="Normal 3080 2" xfId="14691"/>
    <cellStyle name="Normal 3080 2 2" xfId="39577"/>
    <cellStyle name="Normal 3080 2 3" xfId="39578"/>
    <cellStyle name="Normal 3080 3" xfId="14692"/>
    <cellStyle name="Normal 3080 4" xfId="39579"/>
    <cellStyle name="Normal 3081" xfId="14693"/>
    <cellStyle name="Normal 3081 2" xfId="14694"/>
    <cellStyle name="Normal 3081 2 2" xfId="39580"/>
    <cellStyle name="Normal 3081 2 3" xfId="39581"/>
    <cellStyle name="Normal 3081 3" xfId="14695"/>
    <cellStyle name="Normal 3081 4" xfId="39582"/>
    <cellStyle name="Normal 3082" xfId="14696"/>
    <cellStyle name="Normal 3082 2" xfId="14697"/>
    <cellStyle name="Normal 3082 2 2" xfId="39583"/>
    <cellStyle name="Normal 3082 2 3" xfId="39584"/>
    <cellStyle name="Normal 3082 3" xfId="14698"/>
    <cellStyle name="Normal 3082 4" xfId="39585"/>
    <cellStyle name="Normal 3083" xfId="14699"/>
    <cellStyle name="Normal 3083 2" xfId="14700"/>
    <cellStyle name="Normal 3083 2 2" xfId="39586"/>
    <cellStyle name="Normal 3083 2 3" xfId="39587"/>
    <cellStyle name="Normal 3083 3" xfId="14701"/>
    <cellStyle name="Normal 3083 4" xfId="39588"/>
    <cellStyle name="Normal 3084" xfId="14702"/>
    <cellStyle name="Normal 3084 2" xfId="14703"/>
    <cellStyle name="Normal 3084 2 2" xfId="39589"/>
    <cellStyle name="Normal 3084 2 3" xfId="39590"/>
    <cellStyle name="Normal 3084 3" xfId="14704"/>
    <cellStyle name="Normal 3084 4" xfId="39591"/>
    <cellStyle name="Normal 3085" xfId="14705"/>
    <cellStyle name="Normal 3085 2" xfId="14706"/>
    <cellStyle name="Normal 3085 2 2" xfId="39592"/>
    <cellStyle name="Normal 3085 2 3" xfId="39593"/>
    <cellStyle name="Normal 3085 3" xfId="14707"/>
    <cellStyle name="Normal 3085 4" xfId="39594"/>
    <cellStyle name="Normal 3086" xfId="14708"/>
    <cellStyle name="Normal 3086 2" xfId="14709"/>
    <cellStyle name="Normal 3086 2 2" xfId="39595"/>
    <cellStyle name="Normal 3086 2 3" xfId="39596"/>
    <cellStyle name="Normal 3086 3" xfId="14710"/>
    <cellStyle name="Normal 3086 4" xfId="39597"/>
    <cellStyle name="Normal 3087" xfId="14711"/>
    <cellStyle name="Normal 3087 2" xfId="14712"/>
    <cellStyle name="Normal 3087 2 2" xfId="39598"/>
    <cellStyle name="Normal 3087 2 3" xfId="39599"/>
    <cellStyle name="Normal 3087 3" xfId="14713"/>
    <cellStyle name="Normal 3087 4" xfId="39600"/>
    <cellStyle name="Normal 3088" xfId="14714"/>
    <cellStyle name="Normal 3088 2" xfId="14715"/>
    <cellStyle name="Normal 3088 2 2" xfId="39601"/>
    <cellStyle name="Normal 3088 2 3" xfId="39602"/>
    <cellStyle name="Normal 3088 3" xfId="14716"/>
    <cellStyle name="Normal 3088 4" xfId="39603"/>
    <cellStyle name="Normal 3089" xfId="14717"/>
    <cellStyle name="Normal 3089 2" xfId="14718"/>
    <cellStyle name="Normal 3089 2 2" xfId="39604"/>
    <cellStyle name="Normal 3089 2 3" xfId="39605"/>
    <cellStyle name="Normal 3089 3" xfId="14719"/>
    <cellStyle name="Normal 3089 4" xfId="39606"/>
    <cellStyle name="Normal 309" xfId="14720"/>
    <cellStyle name="Normal 309 10" xfId="39607"/>
    <cellStyle name="Normal 309 2" xfId="14721"/>
    <cellStyle name="Normal 309 2 2" xfId="14722"/>
    <cellStyle name="Normal 309 2 2 2" xfId="14723"/>
    <cellStyle name="Normal 309 2 2 3" xfId="14724"/>
    <cellStyle name="Normal 309 2 3" xfId="14725"/>
    <cellStyle name="Normal 309 2 3 2" xfId="39608"/>
    <cellStyle name="Normal 309 2 3 3" xfId="39609"/>
    <cellStyle name="Normal 309 2 4" xfId="14726"/>
    <cellStyle name="Normal 309 2 5" xfId="14727"/>
    <cellStyle name="Normal 309 2 6" xfId="39610"/>
    <cellStyle name="Normal 309 2 7" xfId="39611"/>
    <cellStyle name="Normal 309 2 8" xfId="39612"/>
    <cellStyle name="Normal 309 3" xfId="14728"/>
    <cellStyle name="Normal 309 3 2" xfId="14729"/>
    <cellStyle name="Normal 309 3 2 2" xfId="39613"/>
    <cellStyle name="Normal 309 3 2 3" xfId="39614"/>
    <cellStyle name="Normal 309 3 3" xfId="14730"/>
    <cellStyle name="Normal 309 3 3 2" xfId="39615"/>
    <cellStyle name="Normal 309 3 3 3" xfId="39616"/>
    <cellStyle name="Normal 309 3 4" xfId="39617"/>
    <cellStyle name="Normal 309 3 5" xfId="39618"/>
    <cellStyle name="Normal 309 4" xfId="14731"/>
    <cellStyle name="Normal 309 4 2" xfId="39619"/>
    <cellStyle name="Normal 309 4 3" xfId="39620"/>
    <cellStyle name="Normal 309 5" xfId="14732"/>
    <cellStyle name="Normal 309 5 2" xfId="39621"/>
    <cellStyle name="Normal 309 5 3" xfId="39622"/>
    <cellStyle name="Normal 309 6" xfId="14733"/>
    <cellStyle name="Normal 309 7" xfId="39623"/>
    <cellStyle name="Normal 309 8" xfId="39624"/>
    <cellStyle name="Normal 309 9" xfId="39625"/>
    <cellStyle name="Normal 3090" xfId="14734"/>
    <cellStyle name="Normal 3090 2" xfId="14735"/>
    <cellStyle name="Normal 3090 2 2" xfId="39626"/>
    <cellStyle name="Normal 3090 2 3" xfId="39627"/>
    <cellStyle name="Normal 3090 3" xfId="14736"/>
    <cellStyle name="Normal 3090 4" xfId="39628"/>
    <cellStyle name="Normal 3091" xfId="14737"/>
    <cellStyle name="Normal 3091 2" xfId="14738"/>
    <cellStyle name="Normal 3091 2 2" xfId="39629"/>
    <cellStyle name="Normal 3091 2 3" xfId="39630"/>
    <cellStyle name="Normal 3091 3" xfId="14739"/>
    <cellStyle name="Normal 3091 4" xfId="39631"/>
    <cellStyle name="Normal 3092" xfId="14740"/>
    <cellStyle name="Normal 3092 2" xfId="14741"/>
    <cellStyle name="Normal 3092 2 2" xfId="39632"/>
    <cellStyle name="Normal 3092 2 3" xfId="39633"/>
    <cellStyle name="Normal 3092 3" xfId="14742"/>
    <cellStyle name="Normal 3092 4" xfId="39634"/>
    <cellStyle name="Normal 3093" xfId="14743"/>
    <cellStyle name="Normal 3093 2" xfId="14744"/>
    <cellStyle name="Normal 3093 2 2" xfId="39635"/>
    <cellStyle name="Normal 3093 2 3" xfId="39636"/>
    <cellStyle name="Normal 3093 3" xfId="14745"/>
    <cellStyle name="Normal 3093 4" xfId="39637"/>
    <cellStyle name="Normal 3094" xfId="14746"/>
    <cellStyle name="Normal 3094 2" xfId="14747"/>
    <cellStyle name="Normal 3094 2 2" xfId="39638"/>
    <cellStyle name="Normal 3094 2 3" xfId="39639"/>
    <cellStyle name="Normal 3094 3" xfId="14748"/>
    <cellStyle name="Normal 3094 4" xfId="39640"/>
    <cellStyle name="Normal 3095" xfId="14749"/>
    <cellStyle name="Normal 3095 2" xfId="14750"/>
    <cellStyle name="Normal 3095 2 2" xfId="39641"/>
    <cellStyle name="Normal 3095 2 3" xfId="39642"/>
    <cellStyle name="Normal 3095 3" xfId="14751"/>
    <cellStyle name="Normal 3095 4" xfId="39643"/>
    <cellStyle name="Normal 3096" xfId="14752"/>
    <cellStyle name="Normal 3096 2" xfId="14753"/>
    <cellStyle name="Normal 3096 2 2" xfId="39644"/>
    <cellStyle name="Normal 3096 2 3" xfId="39645"/>
    <cellStyle name="Normal 3096 3" xfId="14754"/>
    <cellStyle name="Normal 3096 4" xfId="39646"/>
    <cellStyle name="Normal 3097" xfId="14755"/>
    <cellStyle name="Normal 3097 2" xfId="14756"/>
    <cellStyle name="Normal 3097 2 2" xfId="39647"/>
    <cellStyle name="Normal 3097 2 3" xfId="39648"/>
    <cellStyle name="Normal 3097 3" xfId="14757"/>
    <cellStyle name="Normal 3097 4" xfId="39649"/>
    <cellStyle name="Normal 3098" xfId="14758"/>
    <cellStyle name="Normal 3098 2" xfId="14759"/>
    <cellStyle name="Normal 3098 2 2" xfId="39650"/>
    <cellStyle name="Normal 3098 2 3" xfId="39651"/>
    <cellStyle name="Normal 3098 3" xfId="14760"/>
    <cellStyle name="Normal 3098 4" xfId="39652"/>
    <cellStyle name="Normal 3099" xfId="14761"/>
    <cellStyle name="Normal 3099 2" xfId="14762"/>
    <cellStyle name="Normal 3099 2 2" xfId="39653"/>
    <cellStyle name="Normal 3099 2 3" xfId="39654"/>
    <cellStyle name="Normal 3099 3" xfId="14763"/>
    <cellStyle name="Normal 3099 4" xfId="39655"/>
    <cellStyle name="Normal 31" xfId="14764"/>
    <cellStyle name="Normal 31 10" xfId="39656"/>
    <cellStyle name="Normal 31 2" xfId="14765"/>
    <cellStyle name="Normal 31 2 2" xfId="14766"/>
    <cellStyle name="Normal 31 2 2 2" xfId="14767"/>
    <cellStyle name="Normal 31 2 2 3" xfId="14768"/>
    <cellStyle name="Normal 31 2 3" xfId="14769"/>
    <cellStyle name="Normal 31 2 3 2" xfId="39657"/>
    <cellStyle name="Normal 31 2 3 3" xfId="39658"/>
    <cellStyle name="Normal 31 2 4" xfId="14770"/>
    <cellStyle name="Normal 31 2 5" xfId="14771"/>
    <cellStyle name="Normal 31 2 6" xfId="39659"/>
    <cellStyle name="Normal 31 2 7" xfId="39660"/>
    <cellStyle name="Normal 31 2 8" xfId="39661"/>
    <cellStyle name="Normal 31 3" xfId="14772"/>
    <cellStyle name="Normal 31 3 2" xfId="14773"/>
    <cellStyle name="Normal 31 3 2 2" xfId="39662"/>
    <cellStyle name="Normal 31 3 2 3" xfId="39663"/>
    <cellStyle name="Normal 31 3 3" xfId="14774"/>
    <cellStyle name="Normal 31 3 3 2" xfId="39664"/>
    <cellStyle name="Normal 31 3 3 3" xfId="39665"/>
    <cellStyle name="Normal 31 3 4" xfId="14775"/>
    <cellStyle name="Normal 31 3 5" xfId="39666"/>
    <cellStyle name="Normal 31 4" xfId="14776"/>
    <cellStyle name="Normal 31 4 2" xfId="39667"/>
    <cellStyle name="Normal 31 4 3" xfId="39668"/>
    <cellStyle name="Normal 31 5" xfId="14777"/>
    <cellStyle name="Normal 31 5 2" xfId="39669"/>
    <cellStyle name="Normal 31 5 3" xfId="39670"/>
    <cellStyle name="Normal 31 6" xfId="14778"/>
    <cellStyle name="Normal 31 7" xfId="39671"/>
    <cellStyle name="Normal 31 8" xfId="39672"/>
    <cellStyle name="Normal 31 9" xfId="39673"/>
    <cellStyle name="Normal 310" xfId="14779"/>
    <cellStyle name="Normal 310 10" xfId="39674"/>
    <cellStyle name="Normal 310 2" xfId="14780"/>
    <cellStyle name="Normal 310 2 2" xfId="14781"/>
    <cellStyle name="Normal 310 2 2 2" xfId="14782"/>
    <cellStyle name="Normal 310 2 2 3" xfId="14783"/>
    <cellStyle name="Normal 310 2 3" xfId="14784"/>
    <cellStyle name="Normal 310 2 3 2" xfId="39675"/>
    <cellStyle name="Normal 310 2 3 3" xfId="39676"/>
    <cellStyle name="Normal 310 2 4" xfId="14785"/>
    <cellStyle name="Normal 310 2 5" xfId="14786"/>
    <cellStyle name="Normal 310 2 6" xfId="39677"/>
    <cellStyle name="Normal 310 2 7" xfId="39678"/>
    <cellStyle name="Normal 310 2 8" xfId="39679"/>
    <cellStyle name="Normal 310 3" xfId="14787"/>
    <cellStyle name="Normal 310 3 2" xfId="14788"/>
    <cellStyle name="Normal 310 3 2 2" xfId="39680"/>
    <cellStyle name="Normal 310 3 2 3" xfId="39681"/>
    <cellStyle name="Normal 310 3 3" xfId="14789"/>
    <cellStyle name="Normal 310 3 3 2" xfId="39682"/>
    <cellStyle name="Normal 310 3 3 3" xfId="39683"/>
    <cellStyle name="Normal 310 3 4" xfId="39684"/>
    <cellStyle name="Normal 310 3 5" xfId="39685"/>
    <cellStyle name="Normal 310 4" xfId="14790"/>
    <cellStyle name="Normal 310 4 2" xfId="39686"/>
    <cellStyle name="Normal 310 4 3" xfId="39687"/>
    <cellStyle name="Normal 310 5" xfId="14791"/>
    <cellStyle name="Normal 310 5 2" xfId="39688"/>
    <cellStyle name="Normal 310 5 3" xfId="39689"/>
    <cellStyle name="Normal 310 6" xfId="14792"/>
    <cellStyle name="Normal 310 7" xfId="39690"/>
    <cellStyle name="Normal 310 8" xfId="39691"/>
    <cellStyle name="Normal 310 9" xfId="39692"/>
    <cellStyle name="Normal 3100" xfId="14793"/>
    <cellStyle name="Normal 3100 2" xfId="14794"/>
    <cellStyle name="Normal 3100 2 2" xfId="39693"/>
    <cellStyle name="Normal 3100 2 3" xfId="39694"/>
    <cellStyle name="Normal 3100 3" xfId="14795"/>
    <cellStyle name="Normal 3100 4" xfId="39695"/>
    <cellStyle name="Normal 3101" xfId="14796"/>
    <cellStyle name="Normal 3101 2" xfId="14797"/>
    <cellStyle name="Normal 3101 2 2" xfId="39696"/>
    <cellStyle name="Normal 3101 2 3" xfId="39697"/>
    <cellStyle name="Normal 3101 3" xfId="14798"/>
    <cellStyle name="Normal 3101 4" xfId="39698"/>
    <cellStyle name="Normal 3102" xfId="14799"/>
    <cellStyle name="Normal 3102 2" xfId="14800"/>
    <cellStyle name="Normal 3102 2 2" xfId="39699"/>
    <cellStyle name="Normal 3102 2 3" xfId="39700"/>
    <cellStyle name="Normal 3102 3" xfId="14801"/>
    <cellStyle name="Normal 3102 4" xfId="39701"/>
    <cellStyle name="Normal 3103" xfId="14802"/>
    <cellStyle name="Normal 3103 2" xfId="14803"/>
    <cellStyle name="Normal 3103 2 2" xfId="39702"/>
    <cellStyle name="Normal 3103 2 3" xfId="39703"/>
    <cellStyle name="Normal 3103 3" xfId="14804"/>
    <cellStyle name="Normal 3103 4" xfId="39704"/>
    <cellStyle name="Normal 3104" xfId="14805"/>
    <cellStyle name="Normal 3104 2" xfId="14806"/>
    <cellStyle name="Normal 3104 2 2" xfId="39705"/>
    <cellStyle name="Normal 3104 2 3" xfId="39706"/>
    <cellStyle name="Normal 3104 3" xfId="14807"/>
    <cellStyle name="Normal 3104 4" xfId="39707"/>
    <cellStyle name="Normal 3105" xfId="14808"/>
    <cellStyle name="Normal 3105 2" xfId="14809"/>
    <cellStyle name="Normal 3105 2 2" xfId="39708"/>
    <cellStyle name="Normal 3105 2 3" xfId="39709"/>
    <cellStyle name="Normal 3105 3" xfId="14810"/>
    <cellStyle name="Normal 3105 4" xfId="39710"/>
    <cellStyle name="Normal 3106" xfId="14811"/>
    <cellStyle name="Normal 3106 2" xfId="14812"/>
    <cellStyle name="Normal 3106 2 2" xfId="39711"/>
    <cellStyle name="Normal 3106 2 3" xfId="39712"/>
    <cellStyle name="Normal 3106 3" xfId="14813"/>
    <cellStyle name="Normal 3106 4" xfId="39713"/>
    <cellStyle name="Normal 3107" xfId="14814"/>
    <cellStyle name="Normal 3107 2" xfId="14815"/>
    <cellStyle name="Normal 3107 2 2" xfId="39714"/>
    <cellStyle name="Normal 3107 2 3" xfId="39715"/>
    <cellStyle name="Normal 3107 3" xfId="14816"/>
    <cellStyle name="Normal 3107 4" xfId="39716"/>
    <cellStyle name="Normal 3108" xfId="14817"/>
    <cellStyle name="Normal 3108 2" xfId="14818"/>
    <cellStyle name="Normal 3108 2 2" xfId="39717"/>
    <cellStyle name="Normal 3108 2 3" xfId="39718"/>
    <cellStyle name="Normal 3108 3" xfId="14819"/>
    <cellStyle name="Normal 3108 4" xfId="39719"/>
    <cellStyle name="Normal 3109" xfId="14820"/>
    <cellStyle name="Normal 3109 2" xfId="14821"/>
    <cellStyle name="Normal 3109 2 2" xfId="39720"/>
    <cellStyle name="Normal 3109 2 3" xfId="39721"/>
    <cellStyle name="Normal 3109 3" xfId="14822"/>
    <cellStyle name="Normal 3109 4" xfId="39722"/>
    <cellStyle name="Normal 311" xfId="14823"/>
    <cellStyle name="Normal 311 10" xfId="39723"/>
    <cellStyle name="Normal 311 2" xfId="14824"/>
    <cellStyle name="Normal 311 2 2" xfId="14825"/>
    <cellStyle name="Normal 311 2 2 2" xfId="14826"/>
    <cellStyle name="Normal 311 2 2 3" xfId="14827"/>
    <cellStyle name="Normal 311 2 3" xfId="14828"/>
    <cellStyle name="Normal 311 2 3 2" xfId="39724"/>
    <cellStyle name="Normal 311 2 3 3" xfId="39725"/>
    <cellStyle name="Normal 311 2 4" xfId="14829"/>
    <cellStyle name="Normal 311 2 5" xfId="14830"/>
    <cellStyle name="Normal 311 2 6" xfId="39726"/>
    <cellStyle name="Normal 311 2 7" xfId="39727"/>
    <cellStyle name="Normal 311 2 8" xfId="39728"/>
    <cellStyle name="Normal 311 3" xfId="14831"/>
    <cellStyle name="Normal 311 3 2" xfId="14832"/>
    <cellStyle name="Normal 311 3 2 2" xfId="39729"/>
    <cellStyle name="Normal 311 3 2 3" xfId="39730"/>
    <cellStyle name="Normal 311 3 3" xfId="14833"/>
    <cellStyle name="Normal 311 3 3 2" xfId="39731"/>
    <cellStyle name="Normal 311 3 3 3" xfId="39732"/>
    <cellStyle name="Normal 311 3 4" xfId="39733"/>
    <cellStyle name="Normal 311 3 5" xfId="39734"/>
    <cellStyle name="Normal 311 4" xfId="14834"/>
    <cellStyle name="Normal 311 4 2" xfId="39735"/>
    <cellStyle name="Normal 311 4 3" xfId="39736"/>
    <cellStyle name="Normal 311 5" xfId="14835"/>
    <cellStyle name="Normal 311 5 2" xfId="39737"/>
    <cellStyle name="Normal 311 5 3" xfId="39738"/>
    <cellStyle name="Normal 311 6" xfId="14836"/>
    <cellStyle name="Normal 311 7" xfId="39739"/>
    <cellStyle name="Normal 311 8" xfId="39740"/>
    <cellStyle name="Normal 311 9" xfId="39741"/>
    <cellStyle name="Normal 3110" xfId="14837"/>
    <cellStyle name="Normal 3110 2" xfId="14838"/>
    <cellStyle name="Normal 3110 2 2" xfId="39742"/>
    <cellStyle name="Normal 3110 2 3" xfId="39743"/>
    <cellStyle name="Normal 3110 3" xfId="14839"/>
    <cellStyle name="Normal 3110 4" xfId="39744"/>
    <cellStyle name="Normal 3111" xfId="14840"/>
    <cellStyle name="Normal 3111 2" xfId="14841"/>
    <cellStyle name="Normal 3111 2 2" xfId="39745"/>
    <cellStyle name="Normal 3111 2 3" xfId="39746"/>
    <cellStyle name="Normal 3111 3" xfId="14842"/>
    <cellStyle name="Normal 3111 4" xfId="39747"/>
    <cellStyle name="Normal 3112" xfId="14843"/>
    <cellStyle name="Normal 3112 2" xfId="14844"/>
    <cellStyle name="Normal 3112 2 2" xfId="39748"/>
    <cellStyle name="Normal 3112 2 3" xfId="39749"/>
    <cellStyle name="Normal 3112 3" xfId="14845"/>
    <cellStyle name="Normal 3112 4" xfId="39750"/>
    <cellStyle name="Normal 3113" xfId="14846"/>
    <cellStyle name="Normal 3113 2" xfId="14847"/>
    <cellStyle name="Normal 3113 2 2" xfId="39751"/>
    <cellStyle name="Normal 3113 2 3" xfId="39752"/>
    <cellStyle name="Normal 3113 3" xfId="14848"/>
    <cellStyle name="Normal 3113 4" xfId="39753"/>
    <cellStyle name="Normal 3114" xfId="14849"/>
    <cellStyle name="Normal 3114 2" xfId="14850"/>
    <cellStyle name="Normal 3114 2 2" xfId="39754"/>
    <cellStyle name="Normal 3114 2 3" xfId="39755"/>
    <cellStyle name="Normal 3114 3" xfId="14851"/>
    <cellStyle name="Normal 3114 4" xfId="39756"/>
    <cellStyle name="Normal 3115" xfId="14852"/>
    <cellStyle name="Normal 3115 2" xfId="14853"/>
    <cellStyle name="Normal 3115 2 2" xfId="39757"/>
    <cellStyle name="Normal 3115 2 3" xfId="39758"/>
    <cellStyle name="Normal 3115 3" xfId="14854"/>
    <cellStyle name="Normal 3115 4" xfId="39759"/>
    <cellStyle name="Normal 3116" xfId="14855"/>
    <cellStyle name="Normal 3116 2" xfId="14856"/>
    <cellStyle name="Normal 3116 2 2" xfId="39760"/>
    <cellStyle name="Normal 3116 2 3" xfId="39761"/>
    <cellStyle name="Normal 3116 3" xfId="14857"/>
    <cellStyle name="Normal 3116 4" xfId="39762"/>
    <cellStyle name="Normal 3117" xfId="14858"/>
    <cellStyle name="Normal 3117 2" xfId="14859"/>
    <cellStyle name="Normal 3117 2 2" xfId="39763"/>
    <cellStyle name="Normal 3117 2 3" xfId="39764"/>
    <cellStyle name="Normal 3117 3" xfId="14860"/>
    <cellStyle name="Normal 3117 4" xfId="39765"/>
    <cellStyle name="Normal 3118" xfId="14861"/>
    <cellStyle name="Normal 3118 2" xfId="14862"/>
    <cellStyle name="Normal 3118 2 2" xfId="39766"/>
    <cellStyle name="Normal 3118 2 3" xfId="39767"/>
    <cellStyle name="Normal 3118 3" xfId="14863"/>
    <cellStyle name="Normal 3118 4" xfId="39768"/>
    <cellStyle name="Normal 3119" xfId="14864"/>
    <cellStyle name="Normal 3119 2" xfId="14865"/>
    <cellStyle name="Normal 3119 2 2" xfId="39769"/>
    <cellStyle name="Normal 3119 2 3" xfId="39770"/>
    <cellStyle name="Normal 3119 3" xfId="14866"/>
    <cellStyle name="Normal 3119 4" xfId="39771"/>
    <cellStyle name="Normal 312" xfId="14867"/>
    <cellStyle name="Normal 312 10" xfId="39772"/>
    <cellStyle name="Normal 312 2" xfId="14868"/>
    <cellStyle name="Normal 312 2 2" xfId="14869"/>
    <cellStyle name="Normal 312 2 2 2" xfId="14870"/>
    <cellStyle name="Normal 312 2 2 3" xfId="14871"/>
    <cellStyle name="Normal 312 2 3" xfId="14872"/>
    <cellStyle name="Normal 312 2 3 2" xfId="39773"/>
    <cellStyle name="Normal 312 2 3 3" xfId="39774"/>
    <cellStyle name="Normal 312 2 4" xfId="14873"/>
    <cellStyle name="Normal 312 2 5" xfId="14874"/>
    <cellStyle name="Normal 312 2 6" xfId="39775"/>
    <cellStyle name="Normal 312 2 7" xfId="39776"/>
    <cellStyle name="Normal 312 2 8" xfId="39777"/>
    <cellStyle name="Normal 312 3" xfId="14875"/>
    <cellStyle name="Normal 312 3 2" xfId="14876"/>
    <cellStyle name="Normal 312 3 2 2" xfId="39778"/>
    <cellStyle name="Normal 312 3 2 3" xfId="39779"/>
    <cellStyle name="Normal 312 3 3" xfId="14877"/>
    <cellStyle name="Normal 312 3 3 2" xfId="39780"/>
    <cellStyle name="Normal 312 3 3 3" xfId="39781"/>
    <cellStyle name="Normal 312 3 4" xfId="39782"/>
    <cellStyle name="Normal 312 3 5" xfId="39783"/>
    <cellStyle name="Normal 312 4" xfId="14878"/>
    <cellStyle name="Normal 312 4 2" xfId="39784"/>
    <cellStyle name="Normal 312 4 3" xfId="39785"/>
    <cellStyle name="Normal 312 5" xfId="14879"/>
    <cellStyle name="Normal 312 5 2" xfId="39786"/>
    <cellStyle name="Normal 312 5 3" xfId="39787"/>
    <cellStyle name="Normal 312 6" xfId="14880"/>
    <cellStyle name="Normal 312 7" xfId="39788"/>
    <cellStyle name="Normal 312 8" xfId="39789"/>
    <cellStyle name="Normal 312 9" xfId="39790"/>
    <cellStyle name="Normal 3120" xfId="14881"/>
    <cellStyle name="Normal 3120 2" xfId="14882"/>
    <cellStyle name="Normal 3120 2 2" xfId="39791"/>
    <cellStyle name="Normal 3120 2 3" xfId="39792"/>
    <cellStyle name="Normal 3120 3" xfId="14883"/>
    <cellStyle name="Normal 3120 4" xfId="39793"/>
    <cellStyle name="Normal 3121" xfId="14884"/>
    <cellStyle name="Normal 3121 2" xfId="14885"/>
    <cellStyle name="Normal 3121 2 2" xfId="39794"/>
    <cellStyle name="Normal 3121 2 3" xfId="39795"/>
    <cellStyle name="Normal 3121 3" xfId="14886"/>
    <cellStyle name="Normal 3121 4" xfId="39796"/>
    <cellStyle name="Normal 3122" xfId="14887"/>
    <cellStyle name="Normal 3122 2" xfId="14888"/>
    <cellStyle name="Normal 3122 2 2" xfId="39797"/>
    <cellStyle name="Normal 3122 2 3" xfId="39798"/>
    <cellStyle name="Normal 3122 3" xfId="14889"/>
    <cellStyle name="Normal 3122 4" xfId="39799"/>
    <cellStyle name="Normal 3123" xfId="14890"/>
    <cellStyle name="Normal 3123 2" xfId="14891"/>
    <cellStyle name="Normal 3123 2 2" xfId="39800"/>
    <cellStyle name="Normal 3123 2 3" xfId="39801"/>
    <cellStyle name="Normal 3123 3" xfId="14892"/>
    <cellStyle name="Normal 3123 4" xfId="39802"/>
    <cellStyle name="Normal 3124" xfId="14893"/>
    <cellStyle name="Normal 3124 2" xfId="14894"/>
    <cellStyle name="Normal 3124 2 2" xfId="39803"/>
    <cellStyle name="Normal 3124 2 3" xfId="39804"/>
    <cellStyle name="Normal 3124 3" xfId="14895"/>
    <cellStyle name="Normal 3124 4" xfId="39805"/>
    <cellStyle name="Normal 3125" xfId="14896"/>
    <cellStyle name="Normal 3125 2" xfId="14897"/>
    <cellStyle name="Normal 3125 2 2" xfId="39806"/>
    <cellStyle name="Normal 3125 2 3" xfId="39807"/>
    <cellStyle name="Normal 3125 3" xfId="14898"/>
    <cellStyle name="Normal 3125 4" xfId="39808"/>
    <cellStyle name="Normal 3126" xfId="14899"/>
    <cellStyle name="Normal 3126 2" xfId="14900"/>
    <cellStyle name="Normal 3126 2 2" xfId="39809"/>
    <cellStyle name="Normal 3126 2 3" xfId="39810"/>
    <cellStyle name="Normal 3126 3" xfId="14901"/>
    <cellStyle name="Normal 3126 4" xfId="39811"/>
    <cellStyle name="Normal 3127" xfId="14902"/>
    <cellStyle name="Normal 3127 2" xfId="14903"/>
    <cellStyle name="Normal 3127 2 2" xfId="39812"/>
    <cellStyle name="Normal 3127 2 3" xfId="39813"/>
    <cellStyle name="Normal 3127 3" xfId="14904"/>
    <cellStyle name="Normal 3127 4" xfId="39814"/>
    <cellStyle name="Normal 3128" xfId="14905"/>
    <cellStyle name="Normal 3128 2" xfId="14906"/>
    <cellStyle name="Normal 3128 2 2" xfId="39815"/>
    <cellStyle name="Normal 3128 2 3" xfId="39816"/>
    <cellStyle name="Normal 3128 3" xfId="14907"/>
    <cellStyle name="Normal 3128 4" xfId="39817"/>
    <cellStyle name="Normal 3129" xfId="14908"/>
    <cellStyle name="Normal 3129 2" xfId="14909"/>
    <cellStyle name="Normal 3129 2 2" xfId="39818"/>
    <cellStyle name="Normal 3129 2 3" xfId="39819"/>
    <cellStyle name="Normal 3129 3" xfId="14910"/>
    <cellStyle name="Normal 3129 4" xfId="39820"/>
    <cellStyle name="Normal 313" xfId="14911"/>
    <cellStyle name="Normal 313 10" xfId="39821"/>
    <cellStyle name="Normal 313 2" xfId="14912"/>
    <cellStyle name="Normal 313 2 2" xfId="14913"/>
    <cellStyle name="Normal 313 2 2 2" xfId="14914"/>
    <cellStyle name="Normal 313 2 2 3" xfId="14915"/>
    <cellStyle name="Normal 313 2 3" xfId="14916"/>
    <cellStyle name="Normal 313 2 3 2" xfId="39822"/>
    <cellStyle name="Normal 313 2 3 3" xfId="39823"/>
    <cellStyle name="Normal 313 2 4" xfId="14917"/>
    <cellStyle name="Normal 313 2 5" xfId="14918"/>
    <cellStyle name="Normal 313 2 6" xfId="39824"/>
    <cellStyle name="Normal 313 2 7" xfId="39825"/>
    <cellStyle name="Normal 313 2 8" xfId="39826"/>
    <cellStyle name="Normal 313 3" xfId="14919"/>
    <cellStyle name="Normal 313 3 2" xfId="14920"/>
    <cellStyle name="Normal 313 3 2 2" xfId="39827"/>
    <cellStyle name="Normal 313 3 2 3" xfId="39828"/>
    <cellStyle name="Normal 313 3 3" xfId="14921"/>
    <cellStyle name="Normal 313 3 3 2" xfId="39829"/>
    <cellStyle name="Normal 313 3 3 3" xfId="39830"/>
    <cellStyle name="Normal 313 3 4" xfId="39831"/>
    <cellStyle name="Normal 313 3 5" xfId="39832"/>
    <cellStyle name="Normal 313 4" xfId="14922"/>
    <cellStyle name="Normal 313 4 2" xfId="39833"/>
    <cellStyle name="Normal 313 4 3" xfId="39834"/>
    <cellStyle name="Normal 313 5" xfId="14923"/>
    <cellStyle name="Normal 313 5 2" xfId="39835"/>
    <cellStyle name="Normal 313 5 3" xfId="39836"/>
    <cellStyle name="Normal 313 6" xfId="14924"/>
    <cellStyle name="Normal 313 7" xfId="39837"/>
    <cellStyle name="Normal 313 8" xfId="39838"/>
    <cellStyle name="Normal 313 9" xfId="39839"/>
    <cellStyle name="Normal 3130" xfId="14925"/>
    <cellStyle name="Normal 3130 2" xfId="14926"/>
    <cellStyle name="Normal 3130 2 2" xfId="39840"/>
    <cellStyle name="Normal 3130 2 3" xfId="39841"/>
    <cellStyle name="Normal 3130 3" xfId="14927"/>
    <cellStyle name="Normal 3130 4" xfId="39842"/>
    <cellStyle name="Normal 3131" xfId="14928"/>
    <cellStyle name="Normal 3131 2" xfId="14929"/>
    <cellStyle name="Normal 3131 2 2" xfId="39843"/>
    <cellStyle name="Normal 3131 2 3" xfId="39844"/>
    <cellStyle name="Normal 3131 3" xfId="14930"/>
    <cellStyle name="Normal 3131 4" xfId="39845"/>
    <cellStyle name="Normal 3132" xfId="14931"/>
    <cellStyle name="Normal 3132 2" xfId="14932"/>
    <cellStyle name="Normal 3132 2 2" xfId="39846"/>
    <cellStyle name="Normal 3132 2 3" xfId="39847"/>
    <cellStyle name="Normal 3132 3" xfId="14933"/>
    <cellStyle name="Normal 3132 4" xfId="39848"/>
    <cellStyle name="Normal 3133" xfId="14934"/>
    <cellStyle name="Normal 3133 2" xfId="14935"/>
    <cellStyle name="Normal 3133 2 2" xfId="39849"/>
    <cellStyle name="Normal 3133 2 3" xfId="39850"/>
    <cellStyle name="Normal 3133 3" xfId="14936"/>
    <cellStyle name="Normal 3133 4" xfId="39851"/>
    <cellStyle name="Normal 3134" xfId="14937"/>
    <cellStyle name="Normal 3134 2" xfId="14938"/>
    <cellStyle name="Normal 3134 2 2" xfId="39852"/>
    <cellStyle name="Normal 3134 2 3" xfId="39853"/>
    <cellStyle name="Normal 3134 3" xfId="14939"/>
    <cellStyle name="Normal 3134 4" xfId="39854"/>
    <cellStyle name="Normal 3135" xfId="14940"/>
    <cellStyle name="Normal 3135 2" xfId="14941"/>
    <cellStyle name="Normal 3135 2 2" xfId="39855"/>
    <cellStyle name="Normal 3135 2 3" xfId="39856"/>
    <cellStyle name="Normal 3135 3" xfId="14942"/>
    <cellStyle name="Normal 3135 4" xfId="39857"/>
    <cellStyle name="Normal 3136" xfId="14943"/>
    <cellStyle name="Normal 3136 2" xfId="14944"/>
    <cellStyle name="Normal 3136 2 2" xfId="39858"/>
    <cellStyle name="Normal 3136 2 3" xfId="39859"/>
    <cellStyle name="Normal 3136 3" xfId="14945"/>
    <cellStyle name="Normal 3136 4" xfId="39860"/>
    <cellStyle name="Normal 3137" xfId="14946"/>
    <cellStyle name="Normal 3137 2" xfId="14947"/>
    <cellStyle name="Normal 3137 2 2" xfId="39861"/>
    <cellStyle name="Normal 3137 2 3" xfId="39862"/>
    <cellStyle name="Normal 3137 3" xfId="14948"/>
    <cellStyle name="Normal 3137 4" xfId="39863"/>
    <cellStyle name="Normal 3138" xfId="14949"/>
    <cellStyle name="Normal 3138 2" xfId="14950"/>
    <cellStyle name="Normal 3138 2 2" xfId="39864"/>
    <cellStyle name="Normal 3138 2 3" xfId="39865"/>
    <cellStyle name="Normal 3138 3" xfId="14951"/>
    <cellStyle name="Normal 3138 4" xfId="39866"/>
    <cellStyle name="Normal 3139" xfId="14952"/>
    <cellStyle name="Normal 3139 2" xfId="14953"/>
    <cellStyle name="Normal 3139 2 2" xfId="39867"/>
    <cellStyle name="Normal 3139 2 3" xfId="39868"/>
    <cellStyle name="Normal 3139 3" xfId="14954"/>
    <cellStyle name="Normal 3139 4" xfId="39869"/>
    <cellStyle name="Normal 314" xfId="14955"/>
    <cellStyle name="Normal 314 10" xfId="39870"/>
    <cellStyle name="Normal 314 2" xfId="14956"/>
    <cellStyle name="Normal 314 2 2" xfId="14957"/>
    <cellStyle name="Normal 314 2 2 2" xfId="14958"/>
    <cellStyle name="Normal 314 2 2 3" xfId="14959"/>
    <cellStyle name="Normal 314 2 3" xfId="14960"/>
    <cellStyle name="Normal 314 2 3 2" xfId="39871"/>
    <cellStyle name="Normal 314 2 3 3" xfId="39872"/>
    <cellStyle name="Normal 314 2 4" xfId="14961"/>
    <cellStyle name="Normal 314 2 5" xfId="14962"/>
    <cellStyle name="Normal 314 2 6" xfId="39873"/>
    <cellStyle name="Normal 314 2 7" xfId="39874"/>
    <cellStyle name="Normal 314 2 8" xfId="39875"/>
    <cellStyle name="Normal 314 3" xfId="14963"/>
    <cellStyle name="Normal 314 3 2" xfId="14964"/>
    <cellStyle name="Normal 314 3 2 2" xfId="39876"/>
    <cellStyle name="Normal 314 3 2 3" xfId="39877"/>
    <cellStyle name="Normal 314 3 3" xfId="14965"/>
    <cellStyle name="Normal 314 3 3 2" xfId="39878"/>
    <cellStyle name="Normal 314 3 3 3" xfId="39879"/>
    <cellStyle name="Normal 314 3 4" xfId="39880"/>
    <cellStyle name="Normal 314 3 5" xfId="39881"/>
    <cellStyle name="Normal 314 4" xfId="14966"/>
    <cellStyle name="Normal 314 4 2" xfId="39882"/>
    <cellStyle name="Normal 314 4 3" xfId="39883"/>
    <cellStyle name="Normal 314 5" xfId="14967"/>
    <cellStyle name="Normal 314 5 2" xfId="39884"/>
    <cellStyle name="Normal 314 5 3" xfId="39885"/>
    <cellStyle name="Normal 314 6" xfId="14968"/>
    <cellStyle name="Normal 314 7" xfId="39886"/>
    <cellStyle name="Normal 314 8" xfId="39887"/>
    <cellStyle name="Normal 314 9" xfId="39888"/>
    <cellStyle name="Normal 3140" xfId="14969"/>
    <cellStyle name="Normal 3140 2" xfId="14970"/>
    <cellStyle name="Normal 3140 2 2" xfId="39889"/>
    <cellStyle name="Normal 3140 2 3" xfId="39890"/>
    <cellStyle name="Normal 3140 3" xfId="14971"/>
    <cellStyle name="Normal 3140 4" xfId="39891"/>
    <cellStyle name="Normal 3141" xfId="14972"/>
    <cellStyle name="Normal 3141 2" xfId="14973"/>
    <cellStyle name="Normal 3141 2 2" xfId="39892"/>
    <cellStyle name="Normal 3141 2 3" xfId="39893"/>
    <cellStyle name="Normal 3141 3" xfId="14974"/>
    <cellStyle name="Normal 3141 4" xfId="39894"/>
    <cellStyle name="Normal 3142" xfId="14975"/>
    <cellStyle name="Normal 3142 2" xfId="14976"/>
    <cellStyle name="Normal 3142 2 2" xfId="39895"/>
    <cellStyle name="Normal 3142 2 3" xfId="39896"/>
    <cellStyle name="Normal 3142 3" xfId="14977"/>
    <cellStyle name="Normal 3142 4" xfId="39897"/>
    <cellStyle name="Normal 3143" xfId="14978"/>
    <cellStyle name="Normal 3143 2" xfId="14979"/>
    <cellStyle name="Normal 3143 2 2" xfId="39898"/>
    <cellStyle name="Normal 3143 2 3" xfId="39899"/>
    <cellStyle name="Normal 3143 3" xfId="14980"/>
    <cellStyle name="Normal 3143 4" xfId="39900"/>
    <cellStyle name="Normal 3144" xfId="14981"/>
    <cellStyle name="Normal 3144 2" xfId="14982"/>
    <cellStyle name="Normal 3144 2 2" xfId="39901"/>
    <cellStyle name="Normal 3144 2 3" xfId="39902"/>
    <cellStyle name="Normal 3144 3" xfId="14983"/>
    <cellStyle name="Normal 3144 4" xfId="39903"/>
    <cellStyle name="Normal 3145" xfId="14984"/>
    <cellStyle name="Normal 3145 2" xfId="14985"/>
    <cellStyle name="Normal 3145 2 2" xfId="39904"/>
    <cellStyle name="Normal 3145 2 3" xfId="39905"/>
    <cellStyle name="Normal 3145 3" xfId="14986"/>
    <cellStyle name="Normal 3145 4" xfId="39906"/>
    <cellStyle name="Normal 3146" xfId="14987"/>
    <cellStyle name="Normal 3146 2" xfId="14988"/>
    <cellStyle name="Normal 3146 2 2" xfId="39907"/>
    <cellStyle name="Normal 3146 2 3" xfId="39908"/>
    <cellStyle name="Normal 3146 3" xfId="14989"/>
    <cellStyle name="Normal 3146 4" xfId="39909"/>
    <cellStyle name="Normal 3147" xfId="14990"/>
    <cellStyle name="Normal 3147 2" xfId="14991"/>
    <cellStyle name="Normal 3147 2 2" xfId="39910"/>
    <cellStyle name="Normal 3147 2 3" xfId="39911"/>
    <cellStyle name="Normal 3147 3" xfId="14992"/>
    <cellStyle name="Normal 3147 4" xfId="39912"/>
    <cellStyle name="Normal 3148" xfId="14993"/>
    <cellStyle name="Normal 3148 2" xfId="14994"/>
    <cellStyle name="Normal 3148 2 2" xfId="39913"/>
    <cellStyle name="Normal 3148 2 3" xfId="39914"/>
    <cellStyle name="Normal 3148 3" xfId="14995"/>
    <cellStyle name="Normal 3148 4" xfId="39915"/>
    <cellStyle name="Normal 3149" xfId="14996"/>
    <cellStyle name="Normal 3149 2" xfId="14997"/>
    <cellStyle name="Normal 3149 2 2" xfId="39916"/>
    <cellStyle name="Normal 3149 2 3" xfId="39917"/>
    <cellStyle name="Normal 3149 3" xfId="14998"/>
    <cellStyle name="Normal 3149 4" xfId="39918"/>
    <cellStyle name="Normal 315" xfId="14999"/>
    <cellStyle name="Normal 315 10" xfId="39919"/>
    <cellStyle name="Normal 315 2" xfId="15000"/>
    <cellStyle name="Normal 315 2 2" xfId="15001"/>
    <cellStyle name="Normal 315 2 2 2" xfId="15002"/>
    <cellStyle name="Normal 315 2 2 3" xfId="15003"/>
    <cellStyle name="Normal 315 2 3" xfId="15004"/>
    <cellStyle name="Normal 315 2 3 2" xfId="39920"/>
    <cellStyle name="Normal 315 2 3 3" xfId="39921"/>
    <cellStyle name="Normal 315 2 4" xfId="15005"/>
    <cellStyle name="Normal 315 2 5" xfId="15006"/>
    <cellStyle name="Normal 315 2 6" xfId="39922"/>
    <cellStyle name="Normal 315 2 7" xfId="39923"/>
    <cellStyle name="Normal 315 2 8" xfId="39924"/>
    <cellStyle name="Normal 315 3" xfId="15007"/>
    <cellStyle name="Normal 315 3 2" xfId="15008"/>
    <cellStyle name="Normal 315 3 2 2" xfId="39925"/>
    <cellStyle name="Normal 315 3 2 3" xfId="39926"/>
    <cellStyle name="Normal 315 3 3" xfId="15009"/>
    <cellStyle name="Normal 315 3 3 2" xfId="39927"/>
    <cellStyle name="Normal 315 3 3 3" xfId="39928"/>
    <cellStyle name="Normal 315 3 4" xfId="39929"/>
    <cellStyle name="Normal 315 3 5" xfId="39930"/>
    <cellStyle name="Normal 315 4" xfId="15010"/>
    <cellStyle name="Normal 315 4 2" xfId="39931"/>
    <cellStyle name="Normal 315 4 3" xfId="39932"/>
    <cellStyle name="Normal 315 5" xfId="15011"/>
    <cellStyle name="Normal 315 5 2" xfId="39933"/>
    <cellStyle name="Normal 315 5 3" xfId="39934"/>
    <cellStyle name="Normal 315 6" xfId="15012"/>
    <cellStyle name="Normal 315 7" xfId="39935"/>
    <cellStyle name="Normal 315 8" xfId="39936"/>
    <cellStyle name="Normal 315 9" xfId="39937"/>
    <cellStyle name="Normal 3150" xfId="15013"/>
    <cellStyle name="Normal 3150 2" xfId="15014"/>
    <cellStyle name="Normal 3150 2 2" xfId="39938"/>
    <cellStyle name="Normal 3150 2 3" xfId="39939"/>
    <cellStyle name="Normal 3150 3" xfId="15015"/>
    <cellStyle name="Normal 3150 4" xfId="39940"/>
    <cellStyle name="Normal 3151" xfId="15016"/>
    <cellStyle name="Normal 3151 2" xfId="15017"/>
    <cellStyle name="Normal 3151 2 2" xfId="39941"/>
    <cellStyle name="Normal 3151 2 3" xfId="39942"/>
    <cellStyle name="Normal 3151 3" xfId="15018"/>
    <cellStyle name="Normal 3151 4" xfId="39943"/>
    <cellStyle name="Normal 3152" xfId="15019"/>
    <cellStyle name="Normal 3152 2" xfId="15020"/>
    <cellStyle name="Normal 3152 2 2" xfId="39944"/>
    <cellStyle name="Normal 3152 2 3" xfId="39945"/>
    <cellStyle name="Normal 3152 3" xfId="15021"/>
    <cellStyle name="Normal 3152 4" xfId="39946"/>
    <cellStyle name="Normal 3153" xfId="15022"/>
    <cellStyle name="Normal 3153 2" xfId="15023"/>
    <cellStyle name="Normal 3153 2 2" xfId="39947"/>
    <cellStyle name="Normal 3153 2 3" xfId="39948"/>
    <cellStyle name="Normal 3153 3" xfId="15024"/>
    <cellStyle name="Normal 3153 4" xfId="39949"/>
    <cellStyle name="Normal 3154" xfId="15025"/>
    <cellStyle name="Normal 3154 2" xfId="15026"/>
    <cellStyle name="Normal 3154 2 2" xfId="39950"/>
    <cellStyle name="Normal 3154 2 3" xfId="39951"/>
    <cellStyle name="Normal 3154 3" xfId="15027"/>
    <cellStyle name="Normal 3154 4" xfId="39952"/>
    <cellStyle name="Normal 3155" xfId="15028"/>
    <cellStyle name="Normal 3155 2" xfId="15029"/>
    <cellStyle name="Normal 3155 2 2" xfId="39953"/>
    <cellStyle name="Normal 3155 2 3" xfId="39954"/>
    <cellStyle name="Normal 3155 3" xfId="15030"/>
    <cellStyle name="Normal 3155 4" xfId="39955"/>
    <cellStyle name="Normal 3156" xfId="15031"/>
    <cellStyle name="Normal 3156 2" xfId="15032"/>
    <cellStyle name="Normal 3156 2 2" xfId="39956"/>
    <cellStyle name="Normal 3156 2 3" xfId="39957"/>
    <cellStyle name="Normal 3156 3" xfId="15033"/>
    <cellStyle name="Normal 3156 4" xfId="39958"/>
    <cellStyle name="Normal 3157" xfId="15034"/>
    <cellStyle name="Normal 3157 2" xfId="15035"/>
    <cellStyle name="Normal 3157 2 2" xfId="39959"/>
    <cellStyle name="Normal 3157 2 3" xfId="39960"/>
    <cellStyle name="Normal 3157 3" xfId="15036"/>
    <cellStyle name="Normal 3157 4" xfId="39961"/>
    <cellStyle name="Normal 3158" xfId="15037"/>
    <cellStyle name="Normal 3158 2" xfId="15038"/>
    <cellStyle name="Normal 3158 2 2" xfId="39962"/>
    <cellStyle name="Normal 3158 2 3" xfId="39963"/>
    <cellStyle name="Normal 3158 3" xfId="15039"/>
    <cellStyle name="Normal 3158 4" xfId="39964"/>
    <cellStyle name="Normal 3159" xfId="15040"/>
    <cellStyle name="Normal 3159 2" xfId="15041"/>
    <cellStyle name="Normal 3159 2 2" xfId="39965"/>
    <cellStyle name="Normal 3159 2 3" xfId="39966"/>
    <cellStyle name="Normal 3159 3" xfId="15042"/>
    <cellStyle name="Normal 3159 4" xfId="39967"/>
    <cellStyle name="Normal 316" xfId="15043"/>
    <cellStyle name="Normal 316 10" xfId="39968"/>
    <cellStyle name="Normal 316 2" xfId="15044"/>
    <cellStyle name="Normal 316 2 2" xfId="15045"/>
    <cellStyle name="Normal 316 2 2 2" xfId="15046"/>
    <cellStyle name="Normal 316 2 2 3" xfId="15047"/>
    <cellStyle name="Normal 316 2 3" xfId="15048"/>
    <cellStyle name="Normal 316 2 3 2" xfId="39969"/>
    <cellStyle name="Normal 316 2 3 3" xfId="39970"/>
    <cellStyle name="Normal 316 2 4" xfId="15049"/>
    <cellStyle name="Normal 316 2 5" xfId="15050"/>
    <cellStyle name="Normal 316 2 6" xfId="39971"/>
    <cellStyle name="Normal 316 2 7" xfId="39972"/>
    <cellStyle name="Normal 316 2 8" xfId="39973"/>
    <cellStyle name="Normal 316 3" xfId="15051"/>
    <cellStyle name="Normal 316 3 2" xfId="15052"/>
    <cellStyle name="Normal 316 3 2 2" xfId="39974"/>
    <cellStyle name="Normal 316 3 2 3" xfId="39975"/>
    <cellStyle name="Normal 316 3 3" xfId="15053"/>
    <cellStyle name="Normal 316 3 3 2" xfId="39976"/>
    <cellStyle name="Normal 316 3 3 3" xfId="39977"/>
    <cellStyle name="Normal 316 3 4" xfId="39978"/>
    <cellStyle name="Normal 316 3 5" xfId="39979"/>
    <cellStyle name="Normal 316 4" xfId="15054"/>
    <cellStyle name="Normal 316 4 2" xfId="39980"/>
    <cellStyle name="Normal 316 4 3" xfId="39981"/>
    <cellStyle name="Normal 316 5" xfId="15055"/>
    <cellStyle name="Normal 316 5 2" xfId="39982"/>
    <cellStyle name="Normal 316 5 3" xfId="39983"/>
    <cellStyle name="Normal 316 6" xfId="15056"/>
    <cellStyle name="Normal 316 7" xfId="39984"/>
    <cellStyle name="Normal 316 8" xfId="39985"/>
    <cellStyle name="Normal 316 9" xfId="39986"/>
    <cellStyle name="Normal 3160" xfId="15057"/>
    <cellStyle name="Normal 3160 2" xfId="15058"/>
    <cellStyle name="Normal 3160 2 2" xfId="39987"/>
    <cellStyle name="Normal 3160 2 3" xfId="39988"/>
    <cellStyle name="Normal 3160 3" xfId="15059"/>
    <cellStyle name="Normal 3160 4" xfId="39989"/>
    <cellStyle name="Normal 3161" xfId="15060"/>
    <cellStyle name="Normal 3161 2" xfId="15061"/>
    <cellStyle name="Normal 3161 2 2" xfId="39990"/>
    <cellStyle name="Normal 3161 2 3" xfId="39991"/>
    <cellStyle name="Normal 3161 3" xfId="15062"/>
    <cellStyle name="Normal 3161 4" xfId="39992"/>
    <cellStyle name="Normal 3162" xfId="15063"/>
    <cellStyle name="Normal 3162 2" xfId="15064"/>
    <cellStyle name="Normal 3162 2 2" xfId="39993"/>
    <cellStyle name="Normal 3162 2 3" xfId="39994"/>
    <cellStyle name="Normal 3162 3" xfId="15065"/>
    <cellStyle name="Normal 3162 4" xfId="39995"/>
    <cellStyle name="Normal 3163" xfId="15066"/>
    <cellStyle name="Normal 3163 2" xfId="15067"/>
    <cellStyle name="Normal 3163 2 2" xfId="39996"/>
    <cellStyle name="Normal 3163 2 3" xfId="39997"/>
    <cellStyle name="Normal 3163 3" xfId="15068"/>
    <cellStyle name="Normal 3163 4" xfId="39998"/>
    <cellStyle name="Normal 3164" xfId="15069"/>
    <cellStyle name="Normal 3164 2" xfId="15070"/>
    <cellStyle name="Normal 3164 2 2" xfId="39999"/>
    <cellStyle name="Normal 3164 2 3" xfId="40000"/>
    <cellStyle name="Normal 3164 3" xfId="15071"/>
    <cellStyle name="Normal 3164 4" xfId="40001"/>
    <cellStyle name="Normal 3165" xfId="15072"/>
    <cellStyle name="Normal 3165 2" xfId="15073"/>
    <cellStyle name="Normal 3165 2 2" xfId="40002"/>
    <cellStyle name="Normal 3165 2 3" xfId="40003"/>
    <cellStyle name="Normal 3165 3" xfId="15074"/>
    <cellStyle name="Normal 3165 4" xfId="40004"/>
    <cellStyle name="Normal 3166" xfId="15075"/>
    <cellStyle name="Normal 3166 2" xfId="15076"/>
    <cellStyle name="Normal 3166 2 2" xfId="40005"/>
    <cellStyle name="Normal 3166 2 3" xfId="40006"/>
    <cellStyle name="Normal 3166 3" xfId="15077"/>
    <cellStyle name="Normal 3166 4" xfId="40007"/>
    <cellStyle name="Normal 3167" xfId="15078"/>
    <cellStyle name="Normal 3167 2" xfId="15079"/>
    <cellStyle name="Normal 3167 2 2" xfId="40008"/>
    <cellStyle name="Normal 3167 2 3" xfId="40009"/>
    <cellStyle name="Normal 3167 3" xfId="15080"/>
    <cellStyle name="Normal 3167 4" xfId="40010"/>
    <cellStyle name="Normal 3168" xfId="15081"/>
    <cellStyle name="Normal 3168 2" xfId="15082"/>
    <cellStyle name="Normal 3168 2 2" xfId="40011"/>
    <cellStyle name="Normal 3168 2 3" xfId="40012"/>
    <cellStyle name="Normal 3168 3" xfId="15083"/>
    <cellStyle name="Normal 3168 4" xfId="40013"/>
    <cellStyle name="Normal 3169" xfId="15084"/>
    <cellStyle name="Normal 3169 2" xfId="15085"/>
    <cellStyle name="Normal 3169 2 2" xfId="40014"/>
    <cellStyle name="Normal 3169 2 3" xfId="40015"/>
    <cellStyle name="Normal 3169 3" xfId="15086"/>
    <cellStyle name="Normal 3169 4" xfId="40016"/>
    <cellStyle name="Normal 317" xfId="15087"/>
    <cellStyle name="Normal 317 10" xfId="40017"/>
    <cellStyle name="Normal 317 2" xfId="15088"/>
    <cellStyle name="Normal 317 2 2" xfId="15089"/>
    <cellStyle name="Normal 317 2 2 2" xfId="15090"/>
    <cellStyle name="Normal 317 2 2 3" xfId="15091"/>
    <cellStyle name="Normal 317 2 3" xfId="15092"/>
    <cellStyle name="Normal 317 2 3 2" xfId="40018"/>
    <cellStyle name="Normal 317 2 3 3" xfId="40019"/>
    <cellStyle name="Normal 317 2 4" xfId="15093"/>
    <cellStyle name="Normal 317 2 5" xfId="15094"/>
    <cellStyle name="Normal 317 2 6" xfId="40020"/>
    <cellStyle name="Normal 317 2 7" xfId="40021"/>
    <cellStyle name="Normal 317 2 8" xfId="40022"/>
    <cellStyle name="Normal 317 3" xfId="15095"/>
    <cellStyle name="Normal 317 3 2" xfId="15096"/>
    <cellStyle name="Normal 317 3 2 2" xfId="40023"/>
    <cellStyle name="Normal 317 3 2 3" xfId="40024"/>
    <cellStyle name="Normal 317 3 3" xfId="15097"/>
    <cellStyle name="Normal 317 3 3 2" xfId="40025"/>
    <cellStyle name="Normal 317 3 3 3" xfId="40026"/>
    <cellStyle name="Normal 317 3 4" xfId="40027"/>
    <cellStyle name="Normal 317 3 5" xfId="40028"/>
    <cellStyle name="Normal 317 4" xfId="15098"/>
    <cellStyle name="Normal 317 4 2" xfId="40029"/>
    <cellStyle name="Normal 317 4 3" xfId="40030"/>
    <cellStyle name="Normal 317 5" xfId="15099"/>
    <cellStyle name="Normal 317 5 2" xfId="40031"/>
    <cellStyle name="Normal 317 5 3" xfId="40032"/>
    <cellStyle name="Normal 317 6" xfId="15100"/>
    <cellStyle name="Normal 317 7" xfId="40033"/>
    <cellStyle name="Normal 317 8" xfId="40034"/>
    <cellStyle name="Normal 317 9" xfId="40035"/>
    <cellStyle name="Normal 3170" xfId="15101"/>
    <cellStyle name="Normal 3170 2" xfId="15102"/>
    <cellStyle name="Normal 3170 2 2" xfId="40036"/>
    <cellStyle name="Normal 3170 2 3" xfId="40037"/>
    <cellStyle name="Normal 3170 3" xfId="15103"/>
    <cellStyle name="Normal 3170 4" xfId="40038"/>
    <cellStyle name="Normal 3171" xfId="15104"/>
    <cellStyle name="Normal 3171 2" xfId="15105"/>
    <cellStyle name="Normal 3171 2 2" xfId="40039"/>
    <cellStyle name="Normal 3171 2 3" xfId="40040"/>
    <cellStyle name="Normal 3171 3" xfId="15106"/>
    <cellStyle name="Normal 3171 4" xfId="40041"/>
    <cellStyle name="Normal 3172" xfId="15107"/>
    <cellStyle name="Normal 3172 2" xfId="15108"/>
    <cellStyle name="Normal 3172 2 2" xfId="40042"/>
    <cellStyle name="Normal 3172 2 3" xfId="40043"/>
    <cellStyle name="Normal 3172 3" xfId="15109"/>
    <cellStyle name="Normal 3172 4" xfId="40044"/>
    <cellStyle name="Normal 3173" xfId="15110"/>
    <cellStyle name="Normal 3173 2" xfId="15111"/>
    <cellStyle name="Normal 3173 2 2" xfId="40045"/>
    <cellStyle name="Normal 3173 2 3" xfId="40046"/>
    <cellStyle name="Normal 3173 3" xfId="15112"/>
    <cellStyle name="Normal 3173 4" xfId="40047"/>
    <cellStyle name="Normal 3174" xfId="15113"/>
    <cellStyle name="Normal 3174 2" xfId="15114"/>
    <cellStyle name="Normal 3174 2 2" xfId="40048"/>
    <cellStyle name="Normal 3174 2 3" xfId="40049"/>
    <cellStyle name="Normal 3174 3" xfId="15115"/>
    <cellStyle name="Normal 3174 4" xfId="40050"/>
    <cellStyle name="Normal 3175" xfId="15116"/>
    <cellStyle name="Normal 3175 2" xfId="15117"/>
    <cellStyle name="Normal 3175 2 2" xfId="40051"/>
    <cellStyle name="Normal 3175 2 3" xfId="40052"/>
    <cellStyle name="Normal 3175 3" xfId="15118"/>
    <cellStyle name="Normal 3175 4" xfId="40053"/>
    <cellStyle name="Normal 3176" xfId="15119"/>
    <cellStyle name="Normal 3176 2" xfId="15120"/>
    <cellStyle name="Normal 3176 2 2" xfId="40054"/>
    <cellStyle name="Normal 3176 2 3" xfId="40055"/>
    <cellStyle name="Normal 3176 3" xfId="15121"/>
    <cellStyle name="Normal 3176 4" xfId="40056"/>
    <cellStyle name="Normal 3177" xfId="15122"/>
    <cellStyle name="Normal 3177 2" xfId="15123"/>
    <cellStyle name="Normal 3177 2 2" xfId="40057"/>
    <cellStyle name="Normal 3177 2 3" xfId="40058"/>
    <cellStyle name="Normal 3177 3" xfId="15124"/>
    <cellStyle name="Normal 3177 4" xfId="40059"/>
    <cellStyle name="Normal 3178" xfId="15125"/>
    <cellStyle name="Normal 3178 2" xfId="15126"/>
    <cellStyle name="Normal 3178 2 2" xfId="40060"/>
    <cellStyle name="Normal 3178 2 3" xfId="40061"/>
    <cellStyle name="Normal 3178 3" xfId="15127"/>
    <cellStyle name="Normal 3178 4" xfId="40062"/>
    <cellStyle name="Normal 3179" xfId="15128"/>
    <cellStyle name="Normal 3179 2" xfId="15129"/>
    <cellStyle name="Normal 3179 2 2" xfId="40063"/>
    <cellStyle name="Normal 3179 2 3" xfId="40064"/>
    <cellStyle name="Normal 3179 3" xfId="15130"/>
    <cellStyle name="Normal 3179 4" xfId="40065"/>
    <cellStyle name="Normal 318" xfId="15131"/>
    <cellStyle name="Normal 318 10" xfId="40066"/>
    <cellStyle name="Normal 318 2" xfId="15132"/>
    <cellStyle name="Normal 318 2 2" xfId="15133"/>
    <cellStyle name="Normal 318 2 2 2" xfId="15134"/>
    <cellStyle name="Normal 318 2 2 3" xfId="15135"/>
    <cellStyle name="Normal 318 2 3" xfId="15136"/>
    <cellStyle name="Normal 318 2 3 2" xfId="40067"/>
    <cellStyle name="Normal 318 2 3 3" xfId="40068"/>
    <cellStyle name="Normal 318 2 4" xfId="15137"/>
    <cellStyle name="Normal 318 2 5" xfId="15138"/>
    <cellStyle name="Normal 318 2 6" xfId="40069"/>
    <cellStyle name="Normal 318 2 7" xfId="40070"/>
    <cellStyle name="Normal 318 2 8" xfId="40071"/>
    <cellStyle name="Normal 318 3" xfId="15139"/>
    <cellStyle name="Normal 318 3 2" xfId="15140"/>
    <cellStyle name="Normal 318 3 2 2" xfId="40072"/>
    <cellStyle name="Normal 318 3 2 3" xfId="40073"/>
    <cellStyle name="Normal 318 3 3" xfId="15141"/>
    <cellStyle name="Normal 318 3 3 2" xfId="40074"/>
    <cellStyle name="Normal 318 3 3 3" xfId="40075"/>
    <cellStyle name="Normal 318 3 4" xfId="40076"/>
    <cellStyle name="Normal 318 3 5" xfId="40077"/>
    <cellStyle name="Normal 318 4" xfId="15142"/>
    <cellStyle name="Normal 318 4 2" xfId="40078"/>
    <cellStyle name="Normal 318 4 3" xfId="40079"/>
    <cellStyle name="Normal 318 5" xfId="15143"/>
    <cellStyle name="Normal 318 5 2" xfId="40080"/>
    <cellStyle name="Normal 318 5 3" xfId="40081"/>
    <cellStyle name="Normal 318 6" xfId="15144"/>
    <cellStyle name="Normal 318 7" xfId="40082"/>
    <cellStyle name="Normal 318 8" xfId="40083"/>
    <cellStyle name="Normal 318 9" xfId="40084"/>
    <cellStyle name="Normal 3180" xfId="15145"/>
    <cellStyle name="Normal 3180 2" xfId="15146"/>
    <cellStyle name="Normal 3180 2 2" xfId="40085"/>
    <cellStyle name="Normal 3180 2 3" xfId="40086"/>
    <cellStyle name="Normal 3180 3" xfId="15147"/>
    <cellStyle name="Normal 3180 4" xfId="40087"/>
    <cellStyle name="Normal 3181" xfId="15148"/>
    <cellStyle name="Normal 3181 2" xfId="15149"/>
    <cellStyle name="Normal 3181 2 2" xfId="40088"/>
    <cellStyle name="Normal 3181 2 3" xfId="40089"/>
    <cellStyle name="Normal 3181 3" xfId="15150"/>
    <cellStyle name="Normal 3181 4" xfId="40090"/>
    <cellStyle name="Normal 3182" xfId="15151"/>
    <cellStyle name="Normal 3182 2" xfId="15152"/>
    <cellStyle name="Normal 3182 2 2" xfId="40091"/>
    <cellStyle name="Normal 3182 2 3" xfId="40092"/>
    <cellStyle name="Normal 3182 3" xfId="15153"/>
    <cellStyle name="Normal 3182 4" xfId="40093"/>
    <cellStyle name="Normal 3183" xfId="15154"/>
    <cellStyle name="Normal 3183 2" xfId="15155"/>
    <cellStyle name="Normal 3183 2 2" xfId="40094"/>
    <cellStyle name="Normal 3183 2 3" xfId="40095"/>
    <cellStyle name="Normal 3183 3" xfId="15156"/>
    <cellStyle name="Normal 3183 4" xfId="40096"/>
    <cellStyle name="Normal 3184" xfId="15157"/>
    <cellStyle name="Normal 3184 2" xfId="15158"/>
    <cellStyle name="Normal 3184 2 2" xfId="40097"/>
    <cellStyle name="Normal 3184 2 3" xfId="40098"/>
    <cellStyle name="Normal 3184 3" xfId="15159"/>
    <cellStyle name="Normal 3184 4" xfId="40099"/>
    <cellStyle name="Normal 3185" xfId="15160"/>
    <cellStyle name="Normal 3185 2" xfId="15161"/>
    <cellStyle name="Normal 3185 2 2" xfId="40100"/>
    <cellStyle name="Normal 3185 2 3" xfId="40101"/>
    <cellStyle name="Normal 3185 3" xfId="15162"/>
    <cellStyle name="Normal 3185 4" xfId="40102"/>
    <cellStyle name="Normal 3186" xfId="15163"/>
    <cellStyle name="Normal 3186 2" xfId="15164"/>
    <cellStyle name="Normal 3186 2 2" xfId="40103"/>
    <cellStyle name="Normal 3186 2 3" xfId="40104"/>
    <cellStyle name="Normal 3186 3" xfId="15165"/>
    <cellStyle name="Normal 3186 4" xfId="40105"/>
    <cellStyle name="Normal 3187" xfId="15166"/>
    <cellStyle name="Normal 3187 2" xfId="15167"/>
    <cellStyle name="Normal 3187 3" xfId="15168"/>
    <cellStyle name="Normal 3188" xfId="15169"/>
    <cellStyle name="Normal 3188 2" xfId="15170"/>
    <cellStyle name="Normal 3188 3" xfId="15171"/>
    <cellStyle name="Normal 3189" xfId="15172"/>
    <cellStyle name="Normal 3189 2" xfId="15173"/>
    <cellStyle name="Normal 3189 3" xfId="15174"/>
    <cellStyle name="Normal 319" xfId="15175"/>
    <cellStyle name="Normal 319 10" xfId="40106"/>
    <cellStyle name="Normal 319 2" xfId="15176"/>
    <cellStyle name="Normal 319 2 2" xfId="15177"/>
    <cellStyle name="Normal 319 2 2 2" xfId="15178"/>
    <cellStyle name="Normal 319 2 2 3" xfId="15179"/>
    <cellStyle name="Normal 319 2 3" xfId="15180"/>
    <cellStyle name="Normal 319 2 3 2" xfId="40107"/>
    <cellStyle name="Normal 319 2 3 3" xfId="40108"/>
    <cellStyle name="Normal 319 2 4" xfId="15181"/>
    <cellStyle name="Normal 319 2 5" xfId="15182"/>
    <cellStyle name="Normal 319 2 6" xfId="40109"/>
    <cellStyle name="Normal 319 2 7" xfId="40110"/>
    <cellStyle name="Normal 319 2 8" xfId="40111"/>
    <cellStyle name="Normal 319 3" xfId="15183"/>
    <cellStyle name="Normal 319 3 2" xfId="15184"/>
    <cellStyle name="Normal 319 3 2 2" xfId="40112"/>
    <cellStyle name="Normal 319 3 2 3" xfId="40113"/>
    <cellStyle name="Normal 319 3 3" xfId="15185"/>
    <cellStyle name="Normal 319 3 3 2" xfId="40114"/>
    <cellStyle name="Normal 319 3 3 3" xfId="40115"/>
    <cellStyle name="Normal 319 3 4" xfId="40116"/>
    <cellStyle name="Normal 319 3 5" xfId="40117"/>
    <cellStyle name="Normal 319 4" xfId="15186"/>
    <cellStyle name="Normal 319 4 2" xfId="40118"/>
    <cellStyle name="Normal 319 4 3" xfId="40119"/>
    <cellStyle name="Normal 319 5" xfId="15187"/>
    <cellStyle name="Normal 319 5 2" xfId="40120"/>
    <cellStyle name="Normal 319 5 3" xfId="40121"/>
    <cellStyle name="Normal 319 6" xfId="15188"/>
    <cellStyle name="Normal 319 7" xfId="40122"/>
    <cellStyle name="Normal 319 8" xfId="40123"/>
    <cellStyle name="Normal 319 9" xfId="40124"/>
    <cellStyle name="Normal 3190" xfId="15189"/>
    <cellStyle name="Normal 3190 2" xfId="15190"/>
    <cellStyle name="Normal 3190 2 2" xfId="40125"/>
    <cellStyle name="Normal 3190 2 3" xfId="40126"/>
    <cellStyle name="Normal 3190 3" xfId="15191"/>
    <cellStyle name="Normal 3190 4" xfId="40127"/>
    <cellStyle name="Normal 3191" xfId="15192"/>
    <cellStyle name="Normal 3191 2" xfId="15193"/>
    <cellStyle name="Normal 3191 2 2" xfId="40128"/>
    <cellStyle name="Normal 3191 2 3" xfId="40129"/>
    <cellStyle name="Normal 3191 3" xfId="15194"/>
    <cellStyle name="Normal 3191 4" xfId="40130"/>
    <cellStyle name="Normal 3192" xfId="15195"/>
    <cellStyle name="Normal 3192 2" xfId="15196"/>
    <cellStyle name="Normal 3192 2 2" xfId="40131"/>
    <cellStyle name="Normal 3192 2 3" xfId="40132"/>
    <cellStyle name="Normal 3192 3" xfId="15197"/>
    <cellStyle name="Normal 3192 4" xfId="40133"/>
    <cellStyle name="Normal 3193" xfId="15198"/>
    <cellStyle name="Normal 3193 2" xfId="15199"/>
    <cellStyle name="Normal 3193 2 2" xfId="40134"/>
    <cellStyle name="Normal 3193 2 3" xfId="40135"/>
    <cellStyle name="Normal 3193 3" xfId="15200"/>
    <cellStyle name="Normal 3193 4" xfId="40136"/>
    <cellStyle name="Normal 3194" xfId="15201"/>
    <cellStyle name="Normal 3194 2" xfId="15202"/>
    <cellStyle name="Normal 3194 2 2" xfId="40137"/>
    <cellStyle name="Normal 3194 2 3" xfId="40138"/>
    <cellStyle name="Normal 3194 3" xfId="15203"/>
    <cellStyle name="Normal 3194 4" xfId="40139"/>
    <cellStyle name="Normal 3195" xfId="15204"/>
    <cellStyle name="Normal 3195 2" xfId="15205"/>
    <cellStyle name="Normal 3195 2 2" xfId="40140"/>
    <cellStyle name="Normal 3195 2 3" xfId="40141"/>
    <cellStyle name="Normal 3195 3" xfId="15206"/>
    <cellStyle name="Normal 3195 4" xfId="40142"/>
    <cellStyle name="Normal 3196" xfId="15207"/>
    <cellStyle name="Normal 3196 2" xfId="15208"/>
    <cellStyle name="Normal 3196 2 2" xfId="40143"/>
    <cellStyle name="Normal 3196 2 3" xfId="40144"/>
    <cellStyle name="Normal 3196 3" xfId="15209"/>
    <cellStyle name="Normal 3196 4" xfId="40145"/>
    <cellStyle name="Normal 3197" xfId="15210"/>
    <cellStyle name="Normal 3197 2" xfId="15211"/>
    <cellStyle name="Normal 3197 2 2" xfId="40146"/>
    <cellStyle name="Normal 3197 2 3" xfId="40147"/>
    <cellStyle name="Normal 3197 3" xfId="15212"/>
    <cellStyle name="Normal 3197 4" xfId="40148"/>
    <cellStyle name="Normal 3198" xfId="15213"/>
    <cellStyle name="Normal 3198 2" xfId="15214"/>
    <cellStyle name="Normal 3198 2 2" xfId="40149"/>
    <cellStyle name="Normal 3198 2 3" xfId="40150"/>
    <cellStyle name="Normal 3198 3" xfId="15215"/>
    <cellStyle name="Normal 3198 4" xfId="40151"/>
    <cellStyle name="Normal 3199" xfId="15216"/>
    <cellStyle name="Normal 3199 2" xfId="15217"/>
    <cellStyle name="Normal 3199 2 2" xfId="40152"/>
    <cellStyle name="Normal 3199 2 3" xfId="40153"/>
    <cellStyle name="Normal 3199 3" xfId="15218"/>
    <cellStyle name="Normal 3199 4" xfId="40154"/>
    <cellStyle name="Normal 32" xfId="15219"/>
    <cellStyle name="Normal 32 10" xfId="40155"/>
    <cellStyle name="Normal 32 2" xfId="15220"/>
    <cellStyle name="Normal 32 2 2" xfId="15221"/>
    <cellStyle name="Normal 32 2 2 2" xfId="15222"/>
    <cellStyle name="Normal 32 2 2 3" xfId="15223"/>
    <cellStyle name="Normal 32 2 3" xfId="15224"/>
    <cellStyle name="Normal 32 2 3 2" xfId="40156"/>
    <cellStyle name="Normal 32 2 3 3" xfId="40157"/>
    <cellStyle name="Normal 32 2 4" xfId="15225"/>
    <cellStyle name="Normal 32 2 5" xfId="15226"/>
    <cellStyle name="Normal 32 2 6" xfId="40158"/>
    <cellStyle name="Normal 32 2 7" xfId="40159"/>
    <cellStyle name="Normal 32 2 8" xfId="40160"/>
    <cellStyle name="Normal 32 3" xfId="15227"/>
    <cellStyle name="Normal 32 3 2" xfId="15228"/>
    <cellStyle name="Normal 32 3 2 2" xfId="40161"/>
    <cellStyle name="Normal 32 3 2 3" xfId="40162"/>
    <cellStyle name="Normal 32 3 3" xfId="15229"/>
    <cellStyle name="Normal 32 3 3 2" xfId="40163"/>
    <cellStyle name="Normal 32 3 3 3" xfId="40164"/>
    <cellStyle name="Normal 32 3 4" xfId="15230"/>
    <cellStyle name="Normal 32 3 5" xfId="40165"/>
    <cellStyle name="Normal 32 4" xfId="15231"/>
    <cellStyle name="Normal 32 4 2" xfId="40166"/>
    <cellStyle name="Normal 32 4 3" xfId="40167"/>
    <cellStyle name="Normal 32 5" xfId="15232"/>
    <cellStyle name="Normal 32 5 2" xfId="40168"/>
    <cellStyle name="Normal 32 5 3" xfId="40169"/>
    <cellStyle name="Normal 32 6" xfId="15233"/>
    <cellStyle name="Normal 32 7" xfId="40170"/>
    <cellStyle name="Normal 32 8" xfId="40171"/>
    <cellStyle name="Normal 32 9" xfId="40172"/>
    <cellStyle name="Normal 320" xfId="15234"/>
    <cellStyle name="Normal 320 10" xfId="40173"/>
    <cellStyle name="Normal 320 2" xfId="15235"/>
    <cellStyle name="Normal 320 2 2" xfId="15236"/>
    <cellStyle name="Normal 320 2 2 2" xfId="15237"/>
    <cellStyle name="Normal 320 2 2 3" xfId="15238"/>
    <cellStyle name="Normal 320 2 3" xfId="15239"/>
    <cellStyle name="Normal 320 2 3 2" xfId="40174"/>
    <cellStyle name="Normal 320 2 3 3" xfId="40175"/>
    <cellStyle name="Normal 320 2 4" xfId="15240"/>
    <cellStyle name="Normal 320 2 5" xfId="15241"/>
    <cellStyle name="Normal 320 2 6" xfId="40176"/>
    <cellStyle name="Normal 320 2 7" xfId="40177"/>
    <cellStyle name="Normal 320 2 8" xfId="40178"/>
    <cellStyle name="Normal 320 3" xfId="15242"/>
    <cellStyle name="Normal 320 3 2" xfId="15243"/>
    <cellStyle name="Normal 320 3 2 2" xfId="40179"/>
    <cellStyle name="Normal 320 3 2 3" xfId="40180"/>
    <cellStyle name="Normal 320 3 3" xfId="15244"/>
    <cellStyle name="Normal 320 3 3 2" xfId="40181"/>
    <cellStyle name="Normal 320 3 3 3" xfId="40182"/>
    <cellStyle name="Normal 320 3 4" xfId="40183"/>
    <cellStyle name="Normal 320 3 5" xfId="40184"/>
    <cellStyle name="Normal 320 4" xfId="15245"/>
    <cellStyle name="Normal 320 4 2" xfId="40185"/>
    <cellStyle name="Normal 320 4 3" xfId="40186"/>
    <cellStyle name="Normal 320 5" xfId="15246"/>
    <cellStyle name="Normal 320 5 2" xfId="40187"/>
    <cellStyle name="Normal 320 5 3" xfId="40188"/>
    <cellStyle name="Normal 320 6" xfId="15247"/>
    <cellStyle name="Normal 320 7" xfId="40189"/>
    <cellStyle name="Normal 320 8" xfId="40190"/>
    <cellStyle name="Normal 320 9" xfId="40191"/>
    <cellStyle name="Normal 3200" xfId="15248"/>
    <cellStyle name="Normal 3200 2" xfId="15249"/>
    <cellStyle name="Normal 3200 2 2" xfId="40192"/>
    <cellStyle name="Normal 3200 2 3" xfId="40193"/>
    <cellStyle name="Normal 3200 3" xfId="15250"/>
    <cellStyle name="Normal 3200 4" xfId="40194"/>
    <cellStyle name="Normal 3201" xfId="15251"/>
    <cellStyle name="Normal 3201 2" xfId="15252"/>
    <cellStyle name="Normal 3201 2 2" xfId="40195"/>
    <cellStyle name="Normal 3201 2 3" xfId="40196"/>
    <cellStyle name="Normal 3201 3" xfId="15253"/>
    <cellStyle name="Normal 3201 4" xfId="40197"/>
    <cellStyle name="Normal 3202" xfId="15254"/>
    <cellStyle name="Normal 3202 2" xfId="15255"/>
    <cellStyle name="Normal 3202 2 2" xfId="40198"/>
    <cellStyle name="Normal 3202 2 3" xfId="40199"/>
    <cellStyle name="Normal 3202 3" xfId="15256"/>
    <cellStyle name="Normal 3202 4" xfId="40200"/>
    <cellStyle name="Normal 3203" xfId="15257"/>
    <cellStyle name="Normal 3203 2" xfId="15258"/>
    <cellStyle name="Normal 3203 2 2" xfId="40201"/>
    <cellStyle name="Normal 3203 2 3" xfId="40202"/>
    <cellStyle name="Normal 3203 3" xfId="15259"/>
    <cellStyle name="Normal 3203 4" xfId="40203"/>
    <cellStyle name="Normal 3204" xfId="15260"/>
    <cellStyle name="Normal 3204 2" xfId="15261"/>
    <cellStyle name="Normal 3204 2 2" xfId="40204"/>
    <cellStyle name="Normal 3204 2 3" xfId="40205"/>
    <cellStyle name="Normal 3204 3" xfId="15262"/>
    <cellStyle name="Normal 3204 4" xfId="40206"/>
    <cellStyle name="Normal 3205" xfId="15263"/>
    <cellStyle name="Normal 3205 2" xfId="15264"/>
    <cellStyle name="Normal 3205 2 2" xfId="40207"/>
    <cellStyle name="Normal 3205 2 3" xfId="40208"/>
    <cellStyle name="Normal 3205 3" xfId="15265"/>
    <cellStyle name="Normal 3205 4" xfId="40209"/>
    <cellStyle name="Normal 3206" xfId="15266"/>
    <cellStyle name="Normal 3206 2" xfId="15267"/>
    <cellStyle name="Normal 3206 2 2" xfId="40210"/>
    <cellStyle name="Normal 3206 2 3" xfId="40211"/>
    <cellStyle name="Normal 3206 3" xfId="15268"/>
    <cellStyle name="Normal 3206 4" xfId="40212"/>
    <cellStyle name="Normal 3207" xfId="15269"/>
    <cellStyle name="Normal 3207 2" xfId="15270"/>
    <cellStyle name="Normal 3207 2 2" xfId="40213"/>
    <cellStyle name="Normal 3207 2 3" xfId="40214"/>
    <cellStyle name="Normal 3207 3" xfId="15271"/>
    <cellStyle name="Normal 3207 4" xfId="40215"/>
    <cellStyle name="Normal 3208" xfId="15272"/>
    <cellStyle name="Normal 3208 2" xfId="15273"/>
    <cellStyle name="Normal 3208 2 2" xfId="40216"/>
    <cellStyle name="Normal 3208 2 3" xfId="40217"/>
    <cellStyle name="Normal 3208 3" xfId="15274"/>
    <cellStyle name="Normal 3208 4" xfId="40218"/>
    <cellStyle name="Normal 3209" xfId="15275"/>
    <cellStyle name="Normal 3209 2" xfId="15276"/>
    <cellStyle name="Normal 3209 2 2" xfId="40219"/>
    <cellStyle name="Normal 3209 2 3" xfId="40220"/>
    <cellStyle name="Normal 3209 3" xfId="15277"/>
    <cellStyle name="Normal 3209 4" xfId="40221"/>
    <cellStyle name="Normal 321" xfId="15278"/>
    <cellStyle name="Normal 321 10" xfId="40222"/>
    <cellStyle name="Normal 321 2" xfId="15279"/>
    <cellStyle name="Normal 321 2 2" xfId="15280"/>
    <cellStyle name="Normal 321 2 2 2" xfId="15281"/>
    <cellStyle name="Normal 321 2 2 3" xfId="15282"/>
    <cellStyle name="Normal 321 2 3" xfId="15283"/>
    <cellStyle name="Normal 321 2 3 2" xfId="40223"/>
    <cellStyle name="Normal 321 2 3 3" xfId="40224"/>
    <cellStyle name="Normal 321 2 4" xfId="15284"/>
    <cellStyle name="Normal 321 2 5" xfId="15285"/>
    <cellStyle name="Normal 321 2 6" xfId="40225"/>
    <cellStyle name="Normal 321 2 7" xfId="40226"/>
    <cellStyle name="Normal 321 2 8" xfId="40227"/>
    <cellStyle name="Normal 321 3" xfId="15286"/>
    <cellStyle name="Normal 321 3 2" xfId="15287"/>
    <cellStyle name="Normal 321 3 2 2" xfId="40228"/>
    <cellStyle name="Normal 321 3 2 3" xfId="40229"/>
    <cellStyle name="Normal 321 3 3" xfId="15288"/>
    <cellStyle name="Normal 321 3 3 2" xfId="40230"/>
    <cellStyle name="Normal 321 3 3 3" xfId="40231"/>
    <cellStyle name="Normal 321 3 4" xfId="40232"/>
    <cellStyle name="Normal 321 3 5" xfId="40233"/>
    <cellStyle name="Normal 321 4" xfId="15289"/>
    <cellStyle name="Normal 321 4 2" xfId="40234"/>
    <cellStyle name="Normal 321 4 3" xfId="40235"/>
    <cellStyle name="Normal 321 5" xfId="15290"/>
    <cellStyle name="Normal 321 5 2" xfId="40236"/>
    <cellStyle name="Normal 321 5 3" xfId="40237"/>
    <cellStyle name="Normal 321 6" xfId="15291"/>
    <cellStyle name="Normal 321 7" xfId="40238"/>
    <cellStyle name="Normal 321 8" xfId="40239"/>
    <cellStyle name="Normal 321 9" xfId="40240"/>
    <cellStyle name="Normal 3210" xfId="15292"/>
    <cellStyle name="Normal 3210 2" xfId="15293"/>
    <cellStyle name="Normal 3210 2 2" xfId="40241"/>
    <cellStyle name="Normal 3210 2 3" xfId="40242"/>
    <cellStyle name="Normal 3210 3" xfId="15294"/>
    <cellStyle name="Normal 3210 4" xfId="40243"/>
    <cellStyle name="Normal 3211" xfId="15295"/>
    <cellStyle name="Normal 3211 2" xfId="15296"/>
    <cellStyle name="Normal 3211 2 2" xfId="40244"/>
    <cellStyle name="Normal 3211 2 3" xfId="40245"/>
    <cellStyle name="Normal 3211 3" xfId="15297"/>
    <cellStyle name="Normal 3211 4" xfId="40246"/>
    <cellStyle name="Normal 3212" xfId="15298"/>
    <cellStyle name="Normal 3212 2" xfId="15299"/>
    <cellStyle name="Normal 3212 2 2" xfId="40247"/>
    <cellStyle name="Normal 3212 2 3" xfId="40248"/>
    <cellStyle name="Normal 3212 3" xfId="15300"/>
    <cellStyle name="Normal 3212 4" xfId="40249"/>
    <cellStyle name="Normal 3213" xfId="15301"/>
    <cellStyle name="Normal 3213 2" xfId="15302"/>
    <cellStyle name="Normal 3213 2 2" xfId="40250"/>
    <cellStyle name="Normal 3213 2 3" xfId="40251"/>
    <cellStyle name="Normal 3213 3" xfId="15303"/>
    <cellStyle name="Normal 3213 4" xfId="40252"/>
    <cellStyle name="Normal 3214" xfId="15304"/>
    <cellStyle name="Normal 3214 2" xfId="15305"/>
    <cellStyle name="Normal 3214 2 2" xfId="40253"/>
    <cellStyle name="Normal 3214 2 3" xfId="40254"/>
    <cellStyle name="Normal 3214 3" xfId="15306"/>
    <cellStyle name="Normal 3214 4" xfId="40255"/>
    <cellStyle name="Normal 3215" xfId="15307"/>
    <cellStyle name="Normal 3215 2" xfId="15308"/>
    <cellStyle name="Normal 3215 2 2" xfId="40256"/>
    <cellStyle name="Normal 3215 2 3" xfId="40257"/>
    <cellStyle name="Normal 3215 3" xfId="15309"/>
    <cellStyle name="Normal 3215 4" xfId="40258"/>
    <cellStyle name="Normal 3216" xfId="15310"/>
    <cellStyle name="Normal 3216 2" xfId="15311"/>
    <cellStyle name="Normal 3216 2 2" xfId="40259"/>
    <cellStyle name="Normal 3216 2 3" xfId="40260"/>
    <cellStyle name="Normal 3216 3" xfId="15312"/>
    <cellStyle name="Normal 3216 4" xfId="40261"/>
    <cellStyle name="Normal 3217" xfId="15313"/>
    <cellStyle name="Normal 3217 2" xfId="15314"/>
    <cellStyle name="Normal 3217 2 2" xfId="40262"/>
    <cellStyle name="Normal 3217 2 3" xfId="40263"/>
    <cellStyle name="Normal 3217 3" xfId="15315"/>
    <cellStyle name="Normal 3217 4" xfId="40264"/>
    <cellStyle name="Normal 3218" xfId="15316"/>
    <cellStyle name="Normal 3218 2" xfId="15317"/>
    <cellStyle name="Normal 3218 2 2" xfId="40265"/>
    <cellStyle name="Normal 3218 2 3" xfId="40266"/>
    <cellStyle name="Normal 3218 3" xfId="15318"/>
    <cellStyle name="Normal 3218 4" xfId="40267"/>
    <cellStyle name="Normal 3219" xfId="15319"/>
    <cellStyle name="Normal 3219 2" xfId="15320"/>
    <cellStyle name="Normal 3219 2 2" xfId="40268"/>
    <cellStyle name="Normal 3219 2 3" xfId="40269"/>
    <cellStyle name="Normal 3219 3" xfId="15321"/>
    <cellStyle name="Normal 3219 4" xfId="40270"/>
    <cellStyle name="Normal 322" xfId="15322"/>
    <cellStyle name="Normal 322 10" xfId="40271"/>
    <cellStyle name="Normal 322 2" xfId="15323"/>
    <cellStyle name="Normal 322 2 2" xfId="15324"/>
    <cellStyle name="Normal 322 2 2 2" xfId="15325"/>
    <cellStyle name="Normal 322 2 2 3" xfId="15326"/>
    <cellStyle name="Normal 322 2 3" xfId="15327"/>
    <cellStyle name="Normal 322 2 3 2" xfId="40272"/>
    <cellStyle name="Normal 322 2 3 3" xfId="40273"/>
    <cellStyle name="Normal 322 2 4" xfId="15328"/>
    <cellStyle name="Normal 322 2 5" xfId="15329"/>
    <cellStyle name="Normal 322 2 6" xfId="40274"/>
    <cellStyle name="Normal 322 2 7" xfId="40275"/>
    <cellStyle name="Normal 322 2 8" xfId="40276"/>
    <cellStyle name="Normal 322 3" xfId="15330"/>
    <cellStyle name="Normal 322 3 2" xfId="15331"/>
    <cellStyle name="Normal 322 3 2 2" xfId="40277"/>
    <cellStyle name="Normal 322 3 2 3" xfId="40278"/>
    <cellStyle name="Normal 322 3 3" xfId="15332"/>
    <cellStyle name="Normal 322 3 3 2" xfId="40279"/>
    <cellStyle name="Normal 322 3 3 3" xfId="40280"/>
    <cellStyle name="Normal 322 3 4" xfId="40281"/>
    <cellStyle name="Normal 322 3 5" xfId="40282"/>
    <cellStyle name="Normal 322 4" xfId="15333"/>
    <cellStyle name="Normal 322 4 2" xfId="40283"/>
    <cellStyle name="Normal 322 4 3" xfId="40284"/>
    <cellStyle name="Normal 322 5" xfId="15334"/>
    <cellStyle name="Normal 322 5 2" xfId="40285"/>
    <cellStyle name="Normal 322 5 3" xfId="40286"/>
    <cellStyle name="Normal 322 6" xfId="15335"/>
    <cellStyle name="Normal 322 7" xfId="40287"/>
    <cellStyle name="Normal 322 8" xfId="40288"/>
    <cellStyle name="Normal 322 9" xfId="40289"/>
    <cellStyle name="Normal 3220" xfId="15336"/>
    <cellStyle name="Normal 3220 2" xfId="15337"/>
    <cellStyle name="Normal 3220 2 2" xfId="40290"/>
    <cellStyle name="Normal 3220 2 3" xfId="40291"/>
    <cellStyle name="Normal 3220 3" xfId="15338"/>
    <cellStyle name="Normal 3220 4" xfId="40292"/>
    <cellStyle name="Normal 3221" xfId="15339"/>
    <cellStyle name="Normal 3221 2" xfId="15340"/>
    <cellStyle name="Normal 3221 2 2" xfId="40293"/>
    <cellStyle name="Normal 3221 2 3" xfId="40294"/>
    <cellStyle name="Normal 3221 3" xfId="15341"/>
    <cellStyle name="Normal 3221 4" xfId="40295"/>
    <cellStyle name="Normal 3222" xfId="15342"/>
    <cellStyle name="Normal 3222 2" xfId="15343"/>
    <cellStyle name="Normal 3222 2 2" xfId="40296"/>
    <cellStyle name="Normal 3222 2 3" xfId="40297"/>
    <cellStyle name="Normal 3222 3" xfId="15344"/>
    <cellStyle name="Normal 3222 4" xfId="40298"/>
    <cellStyle name="Normal 3223" xfId="15345"/>
    <cellStyle name="Normal 3223 2" xfId="15346"/>
    <cellStyle name="Normal 3223 2 2" xfId="40299"/>
    <cellStyle name="Normal 3223 2 3" xfId="40300"/>
    <cellStyle name="Normal 3223 3" xfId="15347"/>
    <cellStyle name="Normal 3223 4" xfId="40301"/>
    <cellStyle name="Normal 3224" xfId="15348"/>
    <cellStyle name="Normal 3224 2" xfId="15349"/>
    <cellStyle name="Normal 3224 2 2" xfId="40302"/>
    <cellStyle name="Normal 3224 2 3" xfId="40303"/>
    <cellStyle name="Normal 3224 3" xfId="15350"/>
    <cellStyle name="Normal 3224 4" xfId="40304"/>
    <cellStyle name="Normal 3225" xfId="15351"/>
    <cellStyle name="Normal 3225 2" xfId="15352"/>
    <cellStyle name="Normal 3225 2 2" xfId="40305"/>
    <cellStyle name="Normal 3225 2 3" xfId="40306"/>
    <cellStyle name="Normal 3225 3" xfId="15353"/>
    <cellStyle name="Normal 3225 4" xfId="40307"/>
    <cellStyle name="Normal 3226" xfId="15354"/>
    <cellStyle name="Normal 3226 2" xfId="15355"/>
    <cellStyle name="Normal 3226 2 2" xfId="40308"/>
    <cellStyle name="Normal 3226 2 3" xfId="40309"/>
    <cellStyle name="Normal 3226 3" xfId="15356"/>
    <cellStyle name="Normal 3226 4" xfId="40310"/>
    <cellStyle name="Normal 3227" xfId="15357"/>
    <cellStyle name="Normal 3227 2" xfId="15358"/>
    <cellStyle name="Normal 3227 2 2" xfId="40311"/>
    <cellStyle name="Normal 3227 2 3" xfId="40312"/>
    <cellStyle name="Normal 3227 3" xfId="15359"/>
    <cellStyle name="Normal 3227 4" xfId="40313"/>
    <cellStyle name="Normal 3228" xfId="15360"/>
    <cellStyle name="Normal 3228 2" xfId="15361"/>
    <cellStyle name="Normal 3228 2 2" xfId="40314"/>
    <cellStyle name="Normal 3228 2 3" xfId="40315"/>
    <cellStyle name="Normal 3228 3" xfId="15362"/>
    <cellStyle name="Normal 3228 4" xfId="40316"/>
    <cellStyle name="Normal 3229" xfId="15363"/>
    <cellStyle name="Normal 3229 2" xfId="15364"/>
    <cellStyle name="Normal 3229 2 2" xfId="40317"/>
    <cellStyle name="Normal 3229 2 3" xfId="40318"/>
    <cellStyle name="Normal 3229 3" xfId="15365"/>
    <cellStyle name="Normal 3229 4" xfId="40319"/>
    <cellStyle name="Normal 323" xfId="15366"/>
    <cellStyle name="Normal 323 10" xfId="40320"/>
    <cellStyle name="Normal 323 2" xfId="15367"/>
    <cellStyle name="Normal 323 2 2" xfId="15368"/>
    <cellStyle name="Normal 323 2 2 2" xfId="15369"/>
    <cellStyle name="Normal 323 2 2 3" xfId="15370"/>
    <cellStyle name="Normal 323 2 3" xfId="15371"/>
    <cellStyle name="Normal 323 2 3 2" xfId="40321"/>
    <cellStyle name="Normal 323 2 3 3" xfId="40322"/>
    <cellStyle name="Normal 323 2 4" xfId="15372"/>
    <cellStyle name="Normal 323 2 5" xfId="15373"/>
    <cellStyle name="Normal 323 2 6" xfId="40323"/>
    <cellStyle name="Normal 323 2 7" xfId="40324"/>
    <cellStyle name="Normal 323 2 8" xfId="40325"/>
    <cellStyle name="Normal 323 3" xfId="15374"/>
    <cellStyle name="Normal 323 3 2" xfId="15375"/>
    <cellStyle name="Normal 323 3 2 2" xfId="40326"/>
    <cellStyle name="Normal 323 3 2 3" xfId="40327"/>
    <cellStyle name="Normal 323 3 3" xfId="15376"/>
    <cellStyle name="Normal 323 3 3 2" xfId="40328"/>
    <cellStyle name="Normal 323 3 3 3" xfId="40329"/>
    <cellStyle name="Normal 323 3 4" xfId="40330"/>
    <cellStyle name="Normal 323 3 5" xfId="40331"/>
    <cellStyle name="Normal 323 4" xfId="15377"/>
    <cellStyle name="Normal 323 4 2" xfId="40332"/>
    <cellStyle name="Normal 323 4 3" xfId="40333"/>
    <cellStyle name="Normal 323 5" xfId="15378"/>
    <cellStyle name="Normal 323 5 2" xfId="40334"/>
    <cellStyle name="Normal 323 5 3" xfId="40335"/>
    <cellStyle name="Normal 323 6" xfId="15379"/>
    <cellStyle name="Normal 323 7" xfId="40336"/>
    <cellStyle name="Normal 323 8" xfId="40337"/>
    <cellStyle name="Normal 323 9" xfId="40338"/>
    <cellStyle name="Normal 3230" xfId="15380"/>
    <cellStyle name="Normal 3230 2" xfId="15381"/>
    <cellStyle name="Normal 3230 2 2" xfId="40339"/>
    <cellStyle name="Normal 3230 2 3" xfId="40340"/>
    <cellStyle name="Normal 3230 3" xfId="15382"/>
    <cellStyle name="Normal 3230 4" xfId="40341"/>
    <cellStyle name="Normal 3231" xfId="15383"/>
    <cellStyle name="Normal 3231 2" xfId="15384"/>
    <cellStyle name="Normal 3231 2 2" xfId="40342"/>
    <cellStyle name="Normal 3231 2 3" xfId="40343"/>
    <cellStyle name="Normal 3231 3" xfId="15385"/>
    <cellStyle name="Normal 3231 4" xfId="40344"/>
    <cellStyle name="Normal 3232" xfId="15386"/>
    <cellStyle name="Normal 3232 2" xfId="15387"/>
    <cellStyle name="Normal 3232 2 2" xfId="40345"/>
    <cellStyle name="Normal 3232 2 3" xfId="40346"/>
    <cellStyle name="Normal 3232 3" xfId="15388"/>
    <cellStyle name="Normal 3232 4" xfId="40347"/>
    <cellStyle name="Normal 3233" xfId="15389"/>
    <cellStyle name="Normal 3233 2" xfId="15390"/>
    <cellStyle name="Normal 3233 2 2" xfId="40348"/>
    <cellStyle name="Normal 3233 2 3" xfId="40349"/>
    <cellStyle name="Normal 3233 3" xfId="15391"/>
    <cellStyle name="Normal 3233 4" xfId="40350"/>
    <cellStyle name="Normal 3234" xfId="15392"/>
    <cellStyle name="Normal 3234 2" xfId="15393"/>
    <cellStyle name="Normal 3234 2 2" xfId="40351"/>
    <cellStyle name="Normal 3234 2 3" xfId="40352"/>
    <cellStyle name="Normal 3234 3" xfId="15394"/>
    <cellStyle name="Normal 3234 4" xfId="40353"/>
    <cellStyle name="Normal 3235" xfId="15395"/>
    <cellStyle name="Normal 3235 2" xfId="15396"/>
    <cellStyle name="Normal 3235 2 2" xfId="40354"/>
    <cellStyle name="Normal 3235 2 3" xfId="40355"/>
    <cellStyle name="Normal 3235 3" xfId="15397"/>
    <cellStyle name="Normal 3235 4" xfId="40356"/>
    <cellStyle name="Normal 3236" xfId="15398"/>
    <cellStyle name="Normal 3236 2" xfId="15399"/>
    <cellStyle name="Normal 3236 2 2" xfId="40357"/>
    <cellStyle name="Normal 3236 2 3" xfId="40358"/>
    <cellStyle name="Normal 3236 3" xfId="15400"/>
    <cellStyle name="Normal 3236 4" xfId="40359"/>
    <cellStyle name="Normal 3237" xfId="15401"/>
    <cellStyle name="Normal 3237 2" xfId="15402"/>
    <cellStyle name="Normal 3237 2 2" xfId="40360"/>
    <cellStyle name="Normal 3237 2 3" xfId="40361"/>
    <cellStyle name="Normal 3237 3" xfId="15403"/>
    <cellStyle name="Normal 3237 4" xfId="40362"/>
    <cellStyle name="Normal 3238" xfId="15404"/>
    <cellStyle name="Normal 3238 2" xfId="15405"/>
    <cellStyle name="Normal 3238 2 2" xfId="40363"/>
    <cellStyle name="Normal 3238 2 3" xfId="40364"/>
    <cellStyle name="Normal 3238 3" xfId="15406"/>
    <cellStyle name="Normal 3238 4" xfId="40365"/>
    <cellStyle name="Normal 3239" xfId="15407"/>
    <cellStyle name="Normal 3239 2" xfId="15408"/>
    <cellStyle name="Normal 3239 2 2" xfId="40366"/>
    <cellStyle name="Normal 3239 2 3" xfId="40367"/>
    <cellStyle name="Normal 3239 3" xfId="15409"/>
    <cellStyle name="Normal 3239 4" xfId="40368"/>
    <cellStyle name="Normal 324" xfId="15410"/>
    <cellStyle name="Normal 324 10" xfId="40369"/>
    <cellStyle name="Normal 324 2" xfId="15411"/>
    <cellStyle name="Normal 324 2 2" xfId="15412"/>
    <cellStyle name="Normal 324 2 2 2" xfId="15413"/>
    <cellStyle name="Normal 324 2 2 3" xfId="15414"/>
    <cellStyle name="Normal 324 2 3" xfId="15415"/>
    <cellStyle name="Normal 324 2 3 2" xfId="40370"/>
    <cellStyle name="Normal 324 2 3 3" xfId="40371"/>
    <cellStyle name="Normal 324 2 4" xfId="15416"/>
    <cellStyle name="Normal 324 2 5" xfId="15417"/>
    <cellStyle name="Normal 324 2 6" xfId="40372"/>
    <cellStyle name="Normal 324 2 7" xfId="40373"/>
    <cellStyle name="Normal 324 2 8" xfId="40374"/>
    <cellStyle name="Normal 324 3" xfId="15418"/>
    <cellStyle name="Normal 324 3 2" xfId="15419"/>
    <cellStyle name="Normal 324 3 2 2" xfId="40375"/>
    <cellStyle name="Normal 324 3 2 3" xfId="40376"/>
    <cellStyle name="Normal 324 3 3" xfId="15420"/>
    <cellStyle name="Normal 324 3 3 2" xfId="40377"/>
    <cellStyle name="Normal 324 3 3 3" xfId="40378"/>
    <cellStyle name="Normal 324 3 4" xfId="40379"/>
    <cellStyle name="Normal 324 3 5" xfId="40380"/>
    <cellStyle name="Normal 324 4" xfId="15421"/>
    <cellStyle name="Normal 324 4 2" xfId="40381"/>
    <cellStyle name="Normal 324 4 3" xfId="40382"/>
    <cellStyle name="Normal 324 5" xfId="15422"/>
    <cellStyle name="Normal 324 5 2" xfId="40383"/>
    <cellStyle name="Normal 324 5 3" xfId="40384"/>
    <cellStyle name="Normal 324 6" xfId="15423"/>
    <cellStyle name="Normal 324 7" xfId="40385"/>
    <cellStyle name="Normal 324 8" xfId="40386"/>
    <cellStyle name="Normal 324 9" xfId="40387"/>
    <cellStyle name="Normal 3240" xfId="15424"/>
    <cellStyle name="Normal 3240 2" xfId="15425"/>
    <cellStyle name="Normal 3240 2 2" xfId="40388"/>
    <cellStyle name="Normal 3240 2 3" xfId="40389"/>
    <cellStyle name="Normal 3240 3" xfId="15426"/>
    <cellStyle name="Normal 3240 4" xfId="40390"/>
    <cellStyle name="Normal 3241" xfId="15427"/>
    <cellStyle name="Normal 3241 2" xfId="15428"/>
    <cellStyle name="Normal 3241 2 2" xfId="40391"/>
    <cellStyle name="Normal 3241 2 3" xfId="40392"/>
    <cellStyle name="Normal 3241 3" xfId="15429"/>
    <cellStyle name="Normal 3241 4" xfId="40393"/>
    <cellStyle name="Normal 3242" xfId="15430"/>
    <cellStyle name="Normal 3242 2" xfId="15431"/>
    <cellStyle name="Normal 3242 2 2" xfId="40394"/>
    <cellStyle name="Normal 3242 2 3" xfId="40395"/>
    <cellStyle name="Normal 3242 3" xfId="15432"/>
    <cellStyle name="Normal 3242 4" xfId="40396"/>
    <cellStyle name="Normal 3243" xfId="15433"/>
    <cellStyle name="Normal 3243 2" xfId="15434"/>
    <cellStyle name="Normal 3243 2 2" xfId="40397"/>
    <cellStyle name="Normal 3243 2 3" xfId="40398"/>
    <cellStyle name="Normal 3243 3" xfId="15435"/>
    <cellStyle name="Normal 3243 4" xfId="40399"/>
    <cellStyle name="Normal 3244" xfId="15436"/>
    <cellStyle name="Normal 3244 2" xfId="15437"/>
    <cellStyle name="Normal 3244 2 2" xfId="40400"/>
    <cellStyle name="Normal 3244 2 3" xfId="40401"/>
    <cellStyle name="Normal 3244 3" xfId="15438"/>
    <cellStyle name="Normal 3244 4" xfId="40402"/>
    <cellStyle name="Normal 3245" xfId="15439"/>
    <cellStyle name="Normal 3245 2" xfId="15440"/>
    <cellStyle name="Normal 3245 2 2" xfId="40403"/>
    <cellStyle name="Normal 3245 2 3" xfId="40404"/>
    <cellStyle name="Normal 3245 3" xfId="15441"/>
    <cellStyle name="Normal 3245 4" xfId="40405"/>
    <cellStyle name="Normal 3246" xfId="15442"/>
    <cellStyle name="Normal 3246 2" xfId="15443"/>
    <cellStyle name="Normal 3246 2 2" xfId="40406"/>
    <cellStyle name="Normal 3246 2 3" xfId="40407"/>
    <cellStyle name="Normal 3246 3" xfId="15444"/>
    <cellStyle name="Normal 3246 4" xfId="40408"/>
    <cellStyle name="Normal 3247" xfId="15445"/>
    <cellStyle name="Normal 3247 2" xfId="15446"/>
    <cellStyle name="Normal 3247 2 2" xfId="40409"/>
    <cellStyle name="Normal 3247 2 3" xfId="40410"/>
    <cellStyle name="Normal 3247 3" xfId="15447"/>
    <cellStyle name="Normal 3247 4" xfId="40411"/>
    <cellStyle name="Normal 3248" xfId="15448"/>
    <cellStyle name="Normal 3248 2" xfId="15449"/>
    <cellStyle name="Normal 3248 2 2" xfId="40412"/>
    <cellStyle name="Normal 3248 2 3" xfId="40413"/>
    <cellStyle name="Normal 3248 3" xfId="15450"/>
    <cellStyle name="Normal 3248 4" xfId="40414"/>
    <cellStyle name="Normal 3249" xfId="15451"/>
    <cellStyle name="Normal 3249 2" xfId="15452"/>
    <cellStyle name="Normal 3249 2 2" xfId="40415"/>
    <cellStyle name="Normal 3249 2 3" xfId="40416"/>
    <cellStyle name="Normal 3249 3" xfId="15453"/>
    <cellStyle name="Normal 3249 4" xfId="40417"/>
    <cellStyle name="Normal 325" xfId="15454"/>
    <cellStyle name="Normal 325 10" xfId="40418"/>
    <cellStyle name="Normal 325 2" xfId="15455"/>
    <cellStyle name="Normal 325 2 2" xfId="15456"/>
    <cellStyle name="Normal 325 2 2 2" xfId="15457"/>
    <cellStyle name="Normal 325 2 2 3" xfId="15458"/>
    <cellStyle name="Normal 325 2 3" xfId="15459"/>
    <cellStyle name="Normal 325 2 3 2" xfId="40419"/>
    <cellStyle name="Normal 325 2 3 3" xfId="40420"/>
    <cellStyle name="Normal 325 2 4" xfId="15460"/>
    <cellStyle name="Normal 325 2 5" xfId="15461"/>
    <cellStyle name="Normal 325 2 6" xfId="40421"/>
    <cellStyle name="Normal 325 2 7" xfId="40422"/>
    <cellStyle name="Normal 325 2 8" xfId="40423"/>
    <cellStyle name="Normal 325 3" xfId="15462"/>
    <cellStyle name="Normal 325 3 2" xfId="15463"/>
    <cellStyle name="Normal 325 3 2 2" xfId="40424"/>
    <cellStyle name="Normal 325 3 2 3" xfId="40425"/>
    <cellStyle name="Normal 325 3 3" xfId="15464"/>
    <cellStyle name="Normal 325 3 3 2" xfId="40426"/>
    <cellStyle name="Normal 325 3 3 3" xfId="40427"/>
    <cellStyle name="Normal 325 3 4" xfId="40428"/>
    <cellStyle name="Normal 325 3 5" xfId="40429"/>
    <cellStyle name="Normal 325 4" xfId="15465"/>
    <cellStyle name="Normal 325 4 2" xfId="40430"/>
    <cellStyle name="Normal 325 4 3" xfId="40431"/>
    <cellStyle name="Normal 325 5" xfId="15466"/>
    <cellStyle name="Normal 325 5 2" xfId="40432"/>
    <cellStyle name="Normal 325 5 3" xfId="40433"/>
    <cellStyle name="Normal 325 6" xfId="15467"/>
    <cellStyle name="Normal 325 7" xfId="40434"/>
    <cellStyle name="Normal 325 8" xfId="40435"/>
    <cellStyle name="Normal 325 9" xfId="40436"/>
    <cellStyle name="Normal 3250" xfId="15468"/>
    <cellStyle name="Normal 3250 2" xfId="15469"/>
    <cellStyle name="Normal 3250 2 2" xfId="40437"/>
    <cellStyle name="Normal 3250 2 3" xfId="40438"/>
    <cellStyle name="Normal 3250 3" xfId="15470"/>
    <cellStyle name="Normal 3250 4" xfId="40439"/>
    <cellStyle name="Normal 3251" xfId="15471"/>
    <cellStyle name="Normal 3251 2" xfId="15472"/>
    <cellStyle name="Normal 3251 2 2" xfId="40440"/>
    <cellStyle name="Normal 3251 2 3" xfId="40441"/>
    <cellStyle name="Normal 3251 3" xfId="15473"/>
    <cellStyle name="Normal 3251 4" xfId="40442"/>
    <cellStyle name="Normal 3252" xfId="15474"/>
    <cellStyle name="Normal 3252 2" xfId="15475"/>
    <cellStyle name="Normal 3252 2 2" xfId="40443"/>
    <cellStyle name="Normal 3252 2 3" xfId="40444"/>
    <cellStyle name="Normal 3252 3" xfId="15476"/>
    <cellStyle name="Normal 3252 4" xfId="40445"/>
    <cellStyle name="Normal 3253" xfId="15477"/>
    <cellStyle name="Normal 3253 2" xfId="15478"/>
    <cellStyle name="Normal 3253 2 2" xfId="40446"/>
    <cellStyle name="Normal 3253 2 3" xfId="40447"/>
    <cellStyle name="Normal 3253 3" xfId="15479"/>
    <cellStyle name="Normal 3253 4" xfId="40448"/>
    <cellStyle name="Normal 3254" xfId="15480"/>
    <cellStyle name="Normal 3254 2" xfId="15481"/>
    <cellStyle name="Normal 3254 2 2" xfId="40449"/>
    <cellStyle name="Normal 3254 2 3" xfId="40450"/>
    <cellStyle name="Normal 3254 3" xfId="15482"/>
    <cellStyle name="Normal 3254 4" xfId="40451"/>
    <cellStyle name="Normal 3255" xfId="15483"/>
    <cellStyle name="Normal 3255 2" xfId="15484"/>
    <cellStyle name="Normal 3255 2 2" xfId="40452"/>
    <cellStyle name="Normal 3255 2 3" xfId="40453"/>
    <cellStyle name="Normal 3255 3" xfId="15485"/>
    <cellStyle name="Normal 3255 4" xfId="40454"/>
    <cellStyle name="Normal 3256" xfId="15486"/>
    <cellStyle name="Normal 3256 2" xfId="15487"/>
    <cellStyle name="Normal 3256 2 2" xfId="40455"/>
    <cellStyle name="Normal 3256 2 3" xfId="40456"/>
    <cellStyle name="Normal 3256 3" xfId="15488"/>
    <cellStyle name="Normal 3256 4" xfId="40457"/>
    <cellStyle name="Normal 3257" xfId="15489"/>
    <cellStyle name="Normal 3257 2" xfId="15490"/>
    <cellStyle name="Normal 3257 2 2" xfId="40458"/>
    <cellStyle name="Normal 3257 2 3" xfId="40459"/>
    <cellStyle name="Normal 3257 3" xfId="15491"/>
    <cellStyle name="Normal 3257 4" xfId="40460"/>
    <cellStyle name="Normal 3258" xfId="15492"/>
    <cellStyle name="Normal 3258 2" xfId="15493"/>
    <cellStyle name="Normal 3258 3" xfId="15494"/>
    <cellStyle name="Normal 3259" xfId="15495"/>
    <cellStyle name="Normal 3259 2" xfId="15496"/>
    <cellStyle name="Normal 3259 3" xfId="15497"/>
    <cellStyle name="Normal 326" xfId="15498"/>
    <cellStyle name="Normal 326 10" xfId="40461"/>
    <cellStyle name="Normal 326 2" xfId="15499"/>
    <cellStyle name="Normal 326 2 2" xfId="15500"/>
    <cellStyle name="Normal 326 2 2 2" xfId="15501"/>
    <cellStyle name="Normal 326 2 2 3" xfId="15502"/>
    <cellStyle name="Normal 326 2 3" xfId="15503"/>
    <cellStyle name="Normal 326 2 3 2" xfId="40462"/>
    <cellStyle name="Normal 326 2 3 3" xfId="40463"/>
    <cellStyle name="Normal 326 2 4" xfId="15504"/>
    <cellStyle name="Normal 326 2 5" xfId="15505"/>
    <cellStyle name="Normal 326 2 6" xfId="40464"/>
    <cellStyle name="Normal 326 2 7" xfId="40465"/>
    <cellStyle name="Normal 326 2 8" xfId="40466"/>
    <cellStyle name="Normal 326 3" xfId="15506"/>
    <cellStyle name="Normal 326 3 2" xfId="15507"/>
    <cellStyle name="Normal 326 3 2 2" xfId="40467"/>
    <cellStyle name="Normal 326 3 2 3" xfId="40468"/>
    <cellStyle name="Normal 326 3 3" xfId="15508"/>
    <cellStyle name="Normal 326 3 3 2" xfId="40469"/>
    <cellStyle name="Normal 326 3 3 3" xfId="40470"/>
    <cellStyle name="Normal 326 3 4" xfId="40471"/>
    <cellStyle name="Normal 326 3 5" xfId="40472"/>
    <cellStyle name="Normal 326 4" xfId="15509"/>
    <cellStyle name="Normal 326 4 2" xfId="40473"/>
    <cellStyle name="Normal 326 4 3" xfId="40474"/>
    <cellStyle name="Normal 326 5" xfId="15510"/>
    <cellStyle name="Normal 326 5 2" xfId="40475"/>
    <cellStyle name="Normal 326 5 3" xfId="40476"/>
    <cellStyle name="Normal 326 6" xfId="15511"/>
    <cellStyle name="Normal 326 7" xfId="40477"/>
    <cellStyle name="Normal 326 8" xfId="40478"/>
    <cellStyle name="Normal 326 9" xfId="40479"/>
    <cellStyle name="Normal 3260" xfId="15512"/>
    <cellStyle name="Normal 3260 2" xfId="15513"/>
    <cellStyle name="Normal 3260 3" xfId="15514"/>
    <cellStyle name="Normal 3261" xfId="15515"/>
    <cellStyle name="Normal 3261 2" xfId="15516"/>
    <cellStyle name="Normal 3261 2 2" xfId="40480"/>
    <cellStyle name="Normal 3261 2 3" xfId="40481"/>
    <cellStyle name="Normal 3261 3" xfId="15517"/>
    <cellStyle name="Normal 3261 4" xfId="40482"/>
    <cellStyle name="Normal 3262" xfId="15518"/>
    <cellStyle name="Normal 3262 2" xfId="15519"/>
    <cellStyle name="Normal 3262 2 2" xfId="40483"/>
    <cellStyle name="Normal 3262 2 3" xfId="40484"/>
    <cellStyle name="Normal 3262 3" xfId="15520"/>
    <cellStyle name="Normal 3262 4" xfId="40485"/>
    <cellStyle name="Normal 3263" xfId="15521"/>
    <cellStyle name="Normal 3263 2" xfId="15522"/>
    <cellStyle name="Normal 3263 2 2" xfId="40486"/>
    <cellStyle name="Normal 3263 2 3" xfId="40487"/>
    <cellStyle name="Normal 3263 3" xfId="15523"/>
    <cellStyle name="Normal 3263 4" xfId="40488"/>
    <cellStyle name="Normal 3264" xfId="15524"/>
    <cellStyle name="Normal 3264 2" xfId="15525"/>
    <cellStyle name="Normal 3264 2 2" xfId="40489"/>
    <cellStyle name="Normal 3264 2 3" xfId="40490"/>
    <cellStyle name="Normal 3264 3" xfId="15526"/>
    <cellStyle name="Normal 3264 4" xfId="40491"/>
    <cellStyle name="Normal 3265" xfId="15527"/>
    <cellStyle name="Normal 3265 2" xfId="15528"/>
    <cellStyle name="Normal 3265 2 2" xfId="40492"/>
    <cellStyle name="Normal 3265 2 3" xfId="40493"/>
    <cellStyle name="Normal 3265 3" xfId="15529"/>
    <cellStyle name="Normal 3265 4" xfId="40494"/>
    <cellStyle name="Normal 3266" xfId="15530"/>
    <cellStyle name="Normal 3266 2" xfId="15531"/>
    <cellStyle name="Normal 3266 2 2" xfId="40495"/>
    <cellStyle name="Normal 3266 2 3" xfId="40496"/>
    <cellStyle name="Normal 3266 3" xfId="15532"/>
    <cellStyle name="Normal 3266 4" xfId="40497"/>
    <cellStyle name="Normal 3267" xfId="15533"/>
    <cellStyle name="Normal 3267 2" xfId="15534"/>
    <cellStyle name="Normal 3267 2 2" xfId="40498"/>
    <cellStyle name="Normal 3267 2 3" xfId="40499"/>
    <cellStyle name="Normal 3267 3" xfId="15535"/>
    <cellStyle name="Normal 3267 4" xfId="40500"/>
    <cellStyle name="Normal 3268" xfId="15536"/>
    <cellStyle name="Normal 3268 2" xfId="15537"/>
    <cellStyle name="Normal 3268 2 2" xfId="40501"/>
    <cellStyle name="Normal 3268 2 3" xfId="40502"/>
    <cellStyle name="Normal 3268 3" xfId="15538"/>
    <cellStyle name="Normal 3268 4" xfId="40503"/>
    <cellStyle name="Normal 3269" xfId="15539"/>
    <cellStyle name="Normal 3269 2" xfId="15540"/>
    <cellStyle name="Normal 3269 2 2" xfId="40504"/>
    <cellStyle name="Normal 3269 2 3" xfId="40505"/>
    <cellStyle name="Normal 3269 3" xfId="15541"/>
    <cellStyle name="Normal 3269 4" xfId="40506"/>
    <cellStyle name="Normal 327" xfId="15542"/>
    <cellStyle name="Normal 327 10" xfId="40507"/>
    <cellStyle name="Normal 327 2" xfId="15543"/>
    <cellStyle name="Normal 327 2 2" xfId="15544"/>
    <cellStyle name="Normal 327 2 2 2" xfId="15545"/>
    <cellStyle name="Normal 327 2 2 3" xfId="15546"/>
    <cellStyle name="Normal 327 2 3" xfId="15547"/>
    <cellStyle name="Normal 327 2 3 2" xfId="40508"/>
    <cellStyle name="Normal 327 2 3 3" xfId="40509"/>
    <cellStyle name="Normal 327 2 4" xfId="15548"/>
    <cellStyle name="Normal 327 2 5" xfId="15549"/>
    <cellStyle name="Normal 327 2 6" xfId="40510"/>
    <cellStyle name="Normal 327 2 7" xfId="40511"/>
    <cellStyle name="Normal 327 2 8" xfId="40512"/>
    <cellStyle name="Normal 327 3" xfId="15550"/>
    <cellStyle name="Normal 327 3 2" xfId="15551"/>
    <cellStyle name="Normal 327 3 2 2" xfId="40513"/>
    <cellStyle name="Normal 327 3 2 3" xfId="40514"/>
    <cellStyle name="Normal 327 3 3" xfId="15552"/>
    <cellStyle name="Normal 327 3 3 2" xfId="40515"/>
    <cellStyle name="Normal 327 3 3 3" xfId="40516"/>
    <cellStyle name="Normal 327 3 4" xfId="40517"/>
    <cellStyle name="Normal 327 3 5" xfId="40518"/>
    <cellStyle name="Normal 327 4" xfId="15553"/>
    <cellStyle name="Normal 327 4 2" xfId="40519"/>
    <cellStyle name="Normal 327 4 3" xfId="40520"/>
    <cellStyle name="Normal 327 5" xfId="15554"/>
    <cellStyle name="Normal 327 5 2" xfId="40521"/>
    <cellStyle name="Normal 327 5 3" xfId="40522"/>
    <cellStyle name="Normal 327 6" xfId="15555"/>
    <cellStyle name="Normal 327 7" xfId="40523"/>
    <cellStyle name="Normal 327 8" xfId="40524"/>
    <cellStyle name="Normal 327 9" xfId="40525"/>
    <cellStyle name="Normal 3270" xfId="15556"/>
    <cellStyle name="Normal 3270 2" xfId="15557"/>
    <cellStyle name="Normal 3270 2 2" xfId="40526"/>
    <cellStyle name="Normal 3270 2 3" xfId="40527"/>
    <cellStyle name="Normal 3270 3" xfId="15558"/>
    <cellStyle name="Normal 3270 4" xfId="40528"/>
    <cellStyle name="Normal 3271" xfId="15559"/>
    <cellStyle name="Normal 3271 2" xfId="15560"/>
    <cellStyle name="Normal 3271 2 2" xfId="40529"/>
    <cellStyle name="Normal 3271 2 3" xfId="40530"/>
    <cellStyle name="Normal 3271 3" xfId="15561"/>
    <cellStyle name="Normal 3271 4" xfId="40531"/>
    <cellStyle name="Normal 3272" xfId="15562"/>
    <cellStyle name="Normal 3272 2" xfId="15563"/>
    <cellStyle name="Normal 3272 2 2" xfId="40532"/>
    <cellStyle name="Normal 3272 2 3" xfId="40533"/>
    <cellStyle name="Normal 3272 3" xfId="15564"/>
    <cellStyle name="Normal 3272 4" xfId="40534"/>
    <cellStyle name="Normal 3273" xfId="15565"/>
    <cellStyle name="Normal 3273 2" xfId="15566"/>
    <cellStyle name="Normal 3273 2 2" xfId="40535"/>
    <cellStyle name="Normal 3273 2 3" xfId="40536"/>
    <cellStyle name="Normal 3273 3" xfId="15567"/>
    <cellStyle name="Normal 3273 4" xfId="40537"/>
    <cellStyle name="Normal 3274" xfId="15568"/>
    <cellStyle name="Normal 3274 2" xfId="15569"/>
    <cellStyle name="Normal 3274 2 2" xfId="40538"/>
    <cellStyle name="Normal 3274 2 3" xfId="40539"/>
    <cellStyle name="Normal 3274 3" xfId="15570"/>
    <cellStyle name="Normal 3274 4" xfId="40540"/>
    <cellStyle name="Normal 3275" xfId="15571"/>
    <cellStyle name="Normal 3275 2" xfId="15572"/>
    <cellStyle name="Normal 3275 2 2" xfId="40541"/>
    <cellStyle name="Normal 3275 2 3" xfId="40542"/>
    <cellStyle name="Normal 3275 3" xfId="15573"/>
    <cellStyle name="Normal 3275 4" xfId="40543"/>
    <cellStyle name="Normal 3276" xfId="15574"/>
    <cellStyle name="Normal 3276 2" xfId="15575"/>
    <cellStyle name="Normal 3276 2 2" xfId="40544"/>
    <cellStyle name="Normal 3276 2 3" xfId="40545"/>
    <cellStyle name="Normal 3276 3" xfId="15576"/>
    <cellStyle name="Normal 3276 4" xfId="40546"/>
    <cellStyle name="Normal 3277" xfId="15577"/>
    <cellStyle name="Normal 3277 2" xfId="15578"/>
    <cellStyle name="Normal 3277 2 2" xfId="40547"/>
    <cellStyle name="Normal 3277 2 3" xfId="40548"/>
    <cellStyle name="Normal 3277 3" xfId="15579"/>
    <cellStyle name="Normal 3277 4" xfId="40549"/>
    <cellStyle name="Normal 3278" xfId="15580"/>
    <cellStyle name="Normal 3278 2" xfId="15581"/>
    <cellStyle name="Normal 3278 2 2" xfId="40550"/>
    <cellStyle name="Normal 3278 2 3" xfId="40551"/>
    <cellStyle name="Normal 3278 3" xfId="15582"/>
    <cellStyle name="Normal 3278 4" xfId="40552"/>
    <cellStyle name="Normal 3279" xfId="15583"/>
    <cellStyle name="Normal 3279 2" xfId="15584"/>
    <cellStyle name="Normal 3279 2 2" xfId="40553"/>
    <cellStyle name="Normal 3279 2 3" xfId="40554"/>
    <cellStyle name="Normal 3279 3" xfId="15585"/>
    <cellStyle name="Normal 3279 4" xfId="40555"/>
    <cellStyle name="Normal 328" xfId="15586"/>
    <cellStyle name="Normal 328 10" xfId="40556"/>
    <cellStyle name="Normal 328 2" xfId="15587"/>
    <cellStyle name="Normal 328 2 2" xfId="15588"/>
    <cellStyle name="Normal 328 2 2 2" xfId="15589"/>
    <cellStyle name="Normal 328 2 2 3" xfId="15590"/>
    <cellStyle name="Normal 328 2 3" xfId="15591"/>
    <cellStyle name="Normal 328 2 3 2" xfId="40557"/>
    <cellStyle name="Normal 328 2 3 3" xfId="40558"/>
    <cellStyle name="Normal 328 2 4" xfId="15592"/>
    <cellStyle name="Normal 328 2 5" xfId="15593"/>
    <cellStyle name="Normal 328 2 6" xfId="40559"/>
    <cellStyle name="Normal 328 2 7" xfId="40560"/>
    <cellStyle name="Normal 328 2 8" xfId="40561"/>
    <cellStyle name="Normal 328 3" xfId="15594"/>
    <cellStyle name="Normal 328 3 2" xfId="15595"/>
    <cellStyle name="Normal 328 3 2 2" xfId="40562"/>
    <cellStyle name="Normal 328 3 2 3" xfId="40563"/>
    <cellStyle name="Normal 328 3 3" xfId="15596"/>
    <cellStyle name="Normal 328 3 3 2" xfId="40564"/>
    <cellStyle name="Normal 328 3 3 3" xfId="40565"/>
    <cellStyle name="Normal 328 3 4" xfId="40566"/>
    <cellStyle name="Normal 328 3 5" xfId="40567"/>
    <cellStyle name="Normal 328 4" xfId="15597"/>
    <cellStyle name="Normal 328 4 2" xfId="40568"/>
    <cellStyle name="Normal 328 4 3" xfId="40569"/>
    <cellStyle name="Normal 328 5" xfId="15598"/>
    <cellStyle name="Normal 328 5 2" xfId="40570"/>
    <cellStyle name="Normal 328 5 3" xfId="40571"/>
    <cellStyle name="Normal 328 6" xfId="15599"/>
    <cellStyle name="Normal 328 7" xfId="40572"/>
    <cellStyle name="Normal 328 8" xfId="40573"/>
    <cellStyle name="Normal 328 9" xfId="40574"/>
    <cellStyle name="Normal 3280" xfId="15600"/>
    <cellStyle name="Normal 3280 2" xfId="15601"/>
    <cellStyle name="Normal 3280 2 2" xfId="40575"/>
    <cellStyle name="Normal 3280 2 3" xfId="40576"/>
    <cellStyle name="Normal 3280 3" xfId="15602"/>
    <cellStyle name="Normal 3280 4" xfId="40577"/>
    <cellStyle name="Normal 3281" xfId="15603"/>
    <cellStyle name="Normal 3281 2" xfId="15604"/>
    <cellStyle name="Normal 3281 2 2" xfId="40578"/>
    <cellStyle name="Normal 3281 2 3" xfId="40579"/>
    <cellStyle name="Normal 3281 3" xfId="15605"/>
    <cellStyle name="Normal 3281 4" xfId="40580"/>
    <cellStyle name="Normal 3282" xfId="15606"/>
    <cellStyle name="Normal 3282 2" xfId="15607"/>
    <cellStyle name="Normal 3282 2 2" xfId="40581"/>
    <cellStyle name="Normal 3282 2 3" xfId="40582"/>
    <cellStyle name="Normal 3282 3" xfId="15608"/>
    <cellStyle name="Normal 3282 4" xfId="40583"/>
    <cellStyle name="Normal 3283" xfId="15609"/>
    <cellStyle name="Normal 3283 2" xfId="15610"/>
    <cellStyle name="Normal 3283 2 2" xfId="40584"/>
    <cellStyle name="Normal 3283 2 3" xfId="40585"/>
    <cellStyle name="Normal 3283 3" xfId="15611"/>
    <cellStyle name="Normal 3283 4" xfId="40586"/>
    <cellStyle name="Normal 3284" xfId="15612"/>
    <cellStyle name="Normal 3284 2" xfId="15613"/>
    <cellStyle name="Normal 3284 2 2" xfId="40587"/>
    <cellStyle name="Normal 3284 2 3" xfId="40588"/>
    <cellStyle name="Normal 3284 3" xfId="15614"/>
    <cellStyle name="Normal 3284 4" xfId="40589"/>
    <cellStyle name="Normal 3285" xfId="15615"/>
    <cellStyle name="Normal 3285 2" xfId="15616"/>
    <cellStyle name="Normal 3285 2 2" xfId="40590"/>
    <cellStyle name="Normal 3285 2 3" xfId="40591"/>
    <cellStyle name="Normal 3285 3" xfId="15617"/>
    <cellStyle name="Normal 3285 4" xfId="40592"/>
    <cellStyle name="Normal 3286" xfId="15618"/>
    <cellStyle name="Normal 3286 2" xfId="15619"/>
    <cellStyle name="Normal 3286 2 2" xfId="40593"/>
    <cellStyle name="Normal 3286 2 3" xfId="40594"/>
    <cellStyle name="Normal 3286 3" xfId="15620"/>
    <cellStyle name="Normal 3286 4" xfId="40595"/>
    <cellStyle name="Normal 3287" xfId="15621"/>
    <cellStyle name="Normal 3287 2" xfId="15622"/>
    <cellStyle name="Normal 3287 2 2" xfId="40596"/>
    <cellStyle name="Normal 3287 2 3" xfId="40597"/>
    <cellStyle name="Normal 3287 3" xfId="15623"/>
    <cellStyle name="Normal 3287 4" xfId="40598"/>
    <cellStyle name="Normal 3288" xfId="15624"/>
    <cellStyle name="Normal 3288 2" xfId="15625"/>
    <cellStyle name="Normal 3288 2 2" xfId="40599"/>
    <cellStyle name="Normal 3288 2 3" xfId="40600"/>
    <cellStyle name="Normal 3288 3" xfId="15626"/>
    <cellStyle name="Normal 3288 4" xfId="40601"/>
    <cellStyle name="Normal 3289" xfId="15627"/>
    <cellStyle name="Normal 3289 2" xfId="15628"/>
    <cellStyle name="Normal 3289 2 2" xfId="40602"/>
    <cellStyle name="Normal 3289 2 3" xfId="40603"/>
    <cellStyle name="Normal 3289 3" xfId="15629"/>
    <cellStyle name="Normal 3289 4" xfId="40604"/>
    <cellStyle name="Normal 329" xfId="15630"/>
    <cellStyle name="Normal 329 10" xfId="40605"/>
    <cellStyle name="Normal 329 2" xfId="15631"/>
    <cellStyle name="Normal 329 2 2" xfId="15632"/>
    <cellStyle name="Normal 329 2 2 2" xfId="15633"/>
    <cellStyle name="Normal 329 2 2 3" xfId="15634"/>
    <cellStyle name="Normal 329 2 3" xfId="15635"/>
    <cellStyle name="Normal 329 2 3 2" xfId="40606"/>
    <cellStyle name="Normal 329 2 3 3" xfId="40607"/>
    <cellStyle name="Normal 329 2 4" xfId="15636"/>
    <cellStyle name="Normal 329 2 5" xfId="15637"/>
    <cellStyle name="Normal 329 2 6" xfId="40608"/>
    <cellStyle name="Normal 329 2 7" xfId="40609"/>
    <cellStyle name="Normal 329 2 8" xfId="40610"/>
    <cellStyle name="Normal 329 3" xfId="15638"/>
    <cellStyle name="Normal 329 3 2" xfId="15639"/>
    <cellStyle name="Normal 329 3 2 2" xfId="40611"/>
    <cellStyle name="Normal 329 3 2 3" xfId="40612"/>
    <cellStyle name="Normal 329 3 3" xfId="15640"/>
    <cellStyle name="Normal 329 3 3 2" xfId="40613"/>
    <cellStyle name="Normal 329 3 3 3" xfId="40614"/>
    <cellStyle name="Normal 329 3 4" xfId="40615"/>
    <cellStyle name="Normal 329 3 5" xfId="40616"/>
    <cellStyle name="Normal 329 4" xfId="15641"/>
    <cellStyle name="Normal 329 4 2" xfId="40617"/>
    <cellStyle name="Normal 329 4 3" xfId="40618"/>
    <cellStyle name="Normal 329 5" xfId="15642"/>
    <cellStyle name="Normal 329 5 2" xfId="40619"/>
    <cellStyle name="Normal 329 5 3" xfId="40620"/>
    <cellStyle name="Normal 329 6" xfId="15643"/>
    <cellStyle name="Normal 329 7" xfId="40621"/>
    <cellStyle name="Normal 329 8" xfId="40622"/>
    <cellStyle name="Normal 329 9" xfId="40623"/>
    <cellStyle name="Normal 3290" xfId="15644"/>
    <cellStyle name="Normal 3290 2" xfId="15645"/>
    <cellStyle name="Normal 3290 2 2" xfId="40624"/>
    <cellStyle name="Normal 3290 2 3" xfId="40625"/>
    <cellStyle name="Normal 3290 3" xfId="15646"/>
    <cellStyle name="Normal 3290 4" xfId="40626"/>
    <cellStyle name="Normal 3291" xfId="15647"/>
    <cellStyle name="Normal 3291 2" xfId="15648"/>
    <cellStyle name="Normal 3291 2 2" xfId="40627"/>
    <cellStyle name="Normal 3291 2 3" xfId="40628"/>
    <cellStyle name="Normal 3291 3" xfId="15649"/>
    <cellStyle name="Normal 3291 4" xfId="40629"/>
    <cellStyle name="Normal 3292" xfId="15650"/>
    <cellStyle name="Normal 3292 2" xfId="15651"/>
    <cellStyle name="Normal 3292 2 2" xfId="40630"/>
    <cellStyle name="Normal 3292 2 3" xfId="40631"/>
    <cellStyle name="Normal 3292 3" xfId="15652"/>
    <cellStyle name="Normal 3292 4" xfId="40632"/>
    <cellStyle name="Normal 3293" xfId="15653"/>
    <cellStyle name="Normal 3293 2" xfId="15654"/>
    <cellStyle name="Normal 3293 2 2" xfId="40633"/>
    <cellStyle name="Normal 3293 2 3" xfId="40634"/>
    <cellStyle name="Normal 3293 3" xfId="15655"/>
    <cellStyle name="Normal 3293 4" xfId="40635"/>
    <cellStyle name="Normal 3294" xfId="15656"/>
    <cellStyle name="Normal 3294 2" xfId="15657"/>
    <cellStyle name="Normal 3294 2 2" xfId="40636"/>
    <cellStyle name="Normal 3294 2 3" xfId="40637"/>
    <cellStyle name="Normal 3294 3" xfId="15658"/>
    <cellStyle name="Normal 3294 4" xfId="40638"/>
    <cellStyle name="Normal 3295" xfId="15659"/>
    <cellStyle name="Normal 3295 2" xfId="15660"/>
    <cellStyle name="Normal 3295 2 2" xfId="40639"/>
    <cellStyle name="Normal 3295 2 3" xfId="40640"/>
    <cellStyle name="Normal 3295 3" xfId="15661"/>
    <cellStyle name="Normal 3295 4" xfId="40641"/>
    <cellStyle name="Normal 3296" xfId="15662"/>
    <cellStyle name="Normal 3296 2" xfId="15663"/>
    <cellStyle name="Normal 3296 2 2" xfId="40642"/>
    <cellStyle name="Normal 3296 2 3" xfId="40643"/>
    <cellStyle name="Normal 3296 3" xfId="15664"/>
    <cellStyle name="Normal 3296 4" xfId="40644"/>
    <cellStyle name="Normal 3297" xfId="15665"/>
    <cellStyle name="Normal 3297 2" xfId="15666"/>
    <cellStyle name="Normal 3297 2 2" xfId="40645"/>
    <cellStyle name="Normal 3297 2 3" xfId="40646"/>
    <cellStyle name="Normal 3297 3" xfId="15667"/>
    <cellStyle name="Normal 3297 4" xfId="40647"/>
    <cellStyle name="Normal 3298" xfId="15668"/>
    <cellStyle name="Normal 3298 2" xfId="15669"/>
    <cellStyle name="Normal 3298 2 2" xfId="40648"/>
    <cellStyle name="Normal 3298 2 3" xfId="40649"/>
    <cellStyle name="Normal 3298 3" xfId="15670"/>
    <cellStyle name="Normal 3298 4" xfId="40650"/>
    <cellStyle name="Normal 3299" xfId="15671"/>
    <cellStyle name="Normal 3299 2" xfId="15672"/>
    <cellStyle name="Normal 3299 2 2" xfId="40651"/>
    <cellStyle name="Normal 3299 2 3" xfId="40652"/>
    <cellStyle name="Normal 3299 3" xfId="15673"/>
    <cellStyle name="Normal 3299 4" xfId="40653"/>
    <cellStyle name="Normal 33" xfId="15674"/>
    <cellStyle name="Normal 33 10" xfId="40654"/>
    <cellStyle name="Normal 33 2" xfId="15675"/>
    <cellStyle name="Normal 33 2 2" xfId="15676"/>
    <cellStyle name="Normal 33 2 2 2" xfId="15677"/>
    <cellStyle name="Normal 33 2 2 3" xfId="15678"/>
    <cellStyle name="Normal 33 2 3" xfId="15679"/>
    <cellStyle name="Normal 33 2 3 2" xfId="40655"/>
    <cellStyle name="Normal 33 2 3 3" xfId="40656"/>
    <cellStyle name="Normal 33 2 4" xfId="15680"/>
    <cellStyle name="Normal 33 2 5" xfId="15681"/>
    <cellStyle name="Normal 33 2 6" xfId="40657"/>
    <cellStyle name="Normal 33 2 7" xfId="40658"/>
    <cellStyle name="Normal 33 2 8" xfId="40659"/>
    <cellStyle name="Normal 33 3" xfId="15682"/>
    <cellStyle name="Normal 33 3 2" xfId="15683"/>
    <cellStyle name="Normal 33 3 2 2" xfId="40660"/>
    <cellStyle name="Normal 33 3 2 3" xfId="40661"/>
    <cellStyle name="Normal 33 3 3" xfId="15684"/>
    <cellStyle name="Normal 33 3 3 2" xfId="40662"/>
    <cellStyle name="Normal 33 3 3 3" xfId="40663"/>
    <cellStyle name="Normal 33 3 4" xfId="15685"/>
    <cellStyle name="Normal 33 3 5" xfId="40664"/>
    <cellStyle name="Normal 33 4" xfId="15686"/>
    <cellStyle name="Normal 33 4 2" xfId="40665"/>
    <cellStyle name="Normal 33 4 3" xfId="40666"/>
    <cellStyle name="Normal 33 5" xfId="15687"/>
    <cellStyle name="Normal 33 5 2" xfId="40667"/>
    <cellStyle name="Normal 33 5 3" xfId="40668"/>
    <cellStyle name="Normal 33 6" xfId="15688"/>
    <cellStyle name="Normal 33 7" xfId="40669"/>
    <cellStyle name="Normal 33 8" xfId="40670"/>
    <cellStyle name="Normal 33 9" xfId="40671"/>
    <cellStyle name="Normal 330" xfId="15689"/>
    <cellStyle name="Normal 330 10" xfId="40672"/>
    <cellStyle name="Normal 330 2" xfId="15690"/>
    <cellStyle name="Normal 330 2 2" xfId="15691"/>
    <cellStyle name="Normal 330 2 2 2" xfId="15692"/>
    <cellStyle name="Normal 330 2 2 3" xfId="15693"/>
    <cellStyle name="Normal 330 2 3" xfId="15694"/>
    <cellStyle name="Normal 330 2 3 2" xfId="40673"/>
    <cellStyle name="Normal 330 2 3 3" xfId="40674"/>
    <cellStyle name="Normal 330 2 4" xfId="15695"/>
    <cellStyle name="Normal 330 2 5" xfId="15696"/>
    <cellStyle name="Normal 330 2 6" xfId="40675"/>
    <cellStyle name="Normal 330 2 7" xfId="40676"/>
    <cellStyle name="Normal 330 2 8" xfId="40677"/>
    <cellStyle name="Normal 330 3" xfId="15697"/>
    <cellStyle name="Normal 330 3 2" xfId="15698"/>
    <cellStyle name="Normal 330 3 2 2" xfId="40678"/>
    <cellStyle name="Normal 330 3 2 3" xfId="40679"/>
    <cellStyle name="Normal 330 3 3" xfId="15699"/>
    <cellStyle name="Normal 330 3 3 2" xfId="40680"/>
    <cellStyle name="Normal 330 3 3 3" xfId="40681"/>
    <cellStyle name="Normal 330 3 4" xfId="40682"/>
    <cellStyle name="Normal 330 3 5" xfId="40683"/>
    <cellStyle name="Normal 330 4" xfId="15700"/>
    <cellStyle name="Normal 330 4 2" xfId="40684"/>
    <cellStyle name="Normal 330 4 3" xfId="40685"/>
    <cellStyle name="Normal 330 5" xfId="15701"/>
    <cellStyle name="Normal 330 5 2" xfId="40686"/>
    <cellStyle name="Normal 330 5 3" xfId="40687"/>
    <cellStyle name="Normal 330 6" xfId="15702"/>
    <cellStyle name="Normal 330 7" xfId="40688"/>
    <cellStyle name="Normal 330 8" xfId="40689"/>
    <cellStyle name="Normal 330 9" xfId="40690"/>
    <cellStyle name="Normal 3300" xfId="15703"/>
    <cellStyle name="Normal 3300 2" xfId="15704"/>
    <cellStyle name="Normal 3300 2 2" xfId="40691"/>
    <cellStyle name="Normal 3300 2 3" xfId="40692"/>
    <cellStyle name="Normal 3300 3" xfId="15705"/>
    <cellStyle name="Normal 3300 4" xfId="40693"/>
    <cellStyle name="Normal 3301" xfId="15706"/>
    <cellStyle name="Normal 3301 2" xfId="15707"/>
    <cellStyle name="Normal 3301 2 2" xfId="40694"/>
    <cellStyle name="Normal 3301 2 3" xfId="40695"/>
    <cellStyle name="Normal 3301 3" xfId="15708"/>
    <cellStyle name="Normal 3301 4" xfId="40696"/>
    <cellStyle name="Normal 3302" xfId="15709"/>
    <cellStyle name="Normal 3302 2" xfId="15710"/>
    <cellStyle name="Normal 3302 2 2" xfId="40697"/>
    <cellStyle name="Normal 3302 2 3" xfId="40698"/>
    <cellStyle name="Normal 3302 3" xfId="15711"/>
    <cellStyle name="Normal 3302 4" xfId="40699"/>
    <cellStyle name="Normal 3303" xfId="15712"/>
    <cellStyle name="Normal 3303 2" xfId="15713"/>
    <cellStyle name="Normal 3303 2 2" xfId="40700"/>
    <cellStyle name="Normal 3303 2 3" xfId="40701"/>
    <cellStyle name="Normal 3303 3" xfId="15714"/>
    <cellStyle name="Normal 3303 4" xfId="40702"/>
    <cellStyle name="Normal 3304" xfId="15715"/>
    <cellStyle name="Normal 3304 2" xfId="15716"/>
    <cellStyle name="Normal 3304 2 2" xfId="40703"/>
    <cellStyle name="Normal 3304 2 3" xfId="40704"/>
    <cellStyle name="Normal 3304 3" xfId="15717"/>
    <cellStyle name="Normal 3304 4" xfId="40705"/>
    <cellStyle name="Normal 3305" xfId="15718"/>
    <cellStyle name="Normal 3305 2" xfId="15719"/>
    <cellStyle name="Normal 3305 2 2" xfId="40706"/>
    <cellStyle name="Normal 3305 2 3" xfId="40707"/>
    <cellStyle name="Normal 3305 3" xfId="15720"/>
    <cellStyle name="Normal 3305 4" xfId="40708"/>
    <cellStyle name="Normal 3306" xfId="15721"/>
    <cellStyle name="Normal 3306 2" xfId="15722"/>
    <cellStyle name="Normal 3306 2 2" xfId="40709"/>
    <cellStyle name="Normal 3306 2 3" xfId="40710"/>
    <cellStyle name="Normal 3306 3" xfId="15723"/>
    <cellStyle name="Normal 3306 4" xfId="40711"/>
    <cellStyle name="Normal 3307" xfId="15724"/>
    <cellStyle name="Normal 3307 2" xfId="15725"/>
    <cellStyle name="Normal 3307 2 2" xfId="40712"/>
    <cellStyle name="Normal 3307 2 3" xfId="40713"/>
    <cellStyle name="Normal 3307 3" xfId="15726"/>
    <cellStyle name="Normal 3307 4" xfId="40714"/>
    <cellStyle name="Normal 3308" xfId="15727"/>
    <cellStyle name="Normal 3308 2" xfId="15728"/>
    <cellStyle name="Normal 3308 2 2" xfId="40715"/>
    <cellStyle name="Normal 3308 2 3" xfId="40716"/>
    <cellStyle name="Normal 3308 3" xfId="15729"/>
    <cellStyle name="Normal 3308 4" xfId="40717"/>
    <cellStyle name="Normal 3309" xfId="15730"/>
    <cellStyle name="Normal 3309 2" xfId="15731"/>
    <cellStyle name="Normal 3309 2 2" xfId="40718"/>
    <cellStyle name="Normal 3309 2 3" xfId="40719"/>
    <cellStyle name="Normal 3309 3" xfId="15732"/>
    <cellStyle name="Normal 3309 4" xfId="40720"/>
    <cellStyle name="Normal 331" xfId="15733"/>
    <cellStyle name="Normal 331 10" xfId="40721"/>
    <cellStyle name="Normal 331 2" xfId="15734"/>
    <cellStyle name="Normal 331 2 2" xfId="15735"/>
    <cellStyle name="Normal 331 2 2 2" xfId="15736"/>
    <cellStyle name="Normal 331 2 2 3" xfId="15737"/>
    <cellStyle name="Normal 331 2 3" xfId="15738"/>
    <cellStyle name="Normal 331 2 3 2" xfId="40722"/>
    <cellStyle name="Normal 331 2 3 3" xfId="40723"/>
    <cellStyle name="Normal 331 2 4" xfId="15739"/>
    <cellStyle name="Normal 331 2 5" xfId="15740"/>
    <cellStyle name="Normal 331 2 6" xfId="40724"/>
    <cellStyle name="Normal 331 2 7" xfId="40725"/>
    <cellStyle name="Normal 331 2 8" xfId="40726"/>
    <cellStyle name="Normal 331 3" xfId="15741"/>
    <cellStyle name="Normal 331 3 2" xfId="15742"/>
    <cellStyle name="Normal 331 3 2 2" xfId="40727"/>
    <cellStyle name="Normal 331 3 2 3" xfId="40728"/>
    <cellStyle name="Normal 331 3 3" xfId="15743"/>
    <cellStyle name="Normal 331 3 3 2" xfId="40729"/>
    <cellStyle name="Normal 331 3 3 3" xfId="40730"/>
    <cellStyle name="Normal 331 3 4" xfId="40731"/>
    <cellStyle name="Normal 331 3 5" xfId="40732"/>
    <cellStyle name="Normal 331 4" xfId="15744"/>
    <cellStyle name="Normal 331 4 2" xfId="40733"/>
    <cellStyle name="Normal 331 4 3" xfId="40734"/>
    <cellStyle name="Normal 331 5" xfId="15745"/>
    <cellStyle name="Normal 331 5 2" xfId="40735"/>
    <cellStyle name="Normal 331 5 3" xfId="40736"/>
    <cellStyle name="Normal 331 6" xfId="15746"/>
    <cellStyle name="Normal 331 7" xfId="40737"/>
    <cellStyle name="Normal 331 8" xfId="40738"/>
    <cellStyle name="Normal 331 9" xfId="40739"/>
    <cellStyle name="Normal 3310" xfId="15747"/>
    <cellStyle name="Normal 3310 2" xfId="15748"/>
    <cellStyle name="Normal 3310 2 2" xfId="40740"/>
    <cellStyle name="Normal 3310 2 3" xfId="40741"/>
    <cellStyle name="Normal 3310 3" xfId="15749"/>
    <cellStyle name="Normal 3310 4" xfId="40742"/>
    <cellStyle name="Normal 3311" xfId="15750"/>
    <cellStyle name="Normal 3311 2" xfId="15751"/>
    <cellStyle name="Normal 3311 2 2" xfId="40743"/>
    <cellStyle name="Normal 3311 2 3" xfId="40744"/>
    <cellStyle name="Normal 3311 3" xfId="15752"/>
    <cellStyle name="Normal 3311 4" xfId="40745"/>
    <cellStyle name="Normal 3312" xfId="15753"/>
    <cellStyle name="Normal 3312 2" xfId="15754"/>
    <cellStyle name="Normal 3312 2 2" xfId="40746"/>
    <cellStyle name="Normal 3312 2 3" xfId="40747"/>
    <cellStyle name="Normal 3312 3" xfId="15755"/>
    <cellStyle name="Normal 3312 4" xfId="40748"/>
    <cellStyle name="Normal 3313" xfId="15756"/>
    <cellStyle name="Normal 3313 2" xfId="15757"/>
    <cellStyle name="Normal 3313 2 2" xfId="40749"/>
    <cellStyle name="Normal 3313 2 3" xfId="40750"/>
    <cellStyle name="Normal 3313 3" xfId="15758"/>
    <cellStyle name="Normal 3313 4" xfId="40751"/>
    <cellStyle name="Normal 3314" xfId="15759"/>
    <cellStyle name="Normal 3314 2" xfId="15760"/>
    <cellStyle name="Normal 3314 2 2" xfId="40752"/>
    <cellStyle name="Normal 3314 2 3" xfId="40753"/>
    <cellStyle name="Normal 3314 3" xfId="15761"/>
    <cellStyle name="Normal 3314 4" xfId="40754"/>
    <cellStyle name="Normal 3315" xfId="15762"/>
    <cellStyle name="Normal 3315 2" xfId="15763"/>
    <cellStyle name="Normal 3315 2 2" xfId="40755"/>
    <cellStyle name="Normal 3315 2 3" xfId="40756"/>
    <cellStyle name="Normal 3315 3" xfId="15764"/>
    <cellStyle name="Normal 3315 4" xfId="40757"/>
    <cellStyle name="Normal 3316" xfId="15765"/>
    <cellStyle name="Normal 3316 2" xfId="15766"/>
    <cellStyle name="Normal 3316 2 2" xfId="40758"/>
    <cellStyle name="Normal 3316 2 3" xfId="40759"/>
    <cellStyle name="Normal 3316 3" xfId="15767"/>
    <cellStyle name="Normal 3316 4" xfId="40760"/>
    <cellStyle name="Normal 3317" xfId="15768"/>
    <cellStyle name="Normal 3317 2" xfId="15769"/>
    <cellStyle name="Normal 3317 2 2" xfId="40761"/>
    <cellStyle name="Normal 3317 2 3" xfId="40762"/>
    <cellStyle name="Normal 3317 3" xfId="15770"/>
    <cellStyle name="Normal 3317 4" xfId="40763"/>
    <cellStyle name="Normal 3318" xfId="15771"/>
    <cellStyle name="Normal 3318 2" xfId="15772"/>
    <cellStyle name="Normal 3318 2 2" xfId="40764"/>
    <cellStyle name="Normal 3318 2 3" xfId="40765"/>
    <cellStyle name="Normal 3318 3" xfId="15773"/>
    <cellStyle name="Normal 3318 4" xfId="40766"/>
    <cellStyle name="Normal 3319" xfId="15774"/>
    <cellStyle name="Normal 3319 2" xfId="15775"/>
    <cellStyle name="Normal 3319 2 2" xfId="40767"/>
    <cellStyle name="Normal 3319 2 3" xfId="40768"/>
    <cellStyle name="Normal 3319 3" xfId="15776"/>
    <cellStyle name="Normal 3319 4" xfId="40769"/>
    <cellStyle name="Normal 332" xfId="15777"/>
    <cellStyle name="Normal 332 10" xfId="40770"/>
    <cellStyle name="Normal 332 2" xfId="15778"/>
    <cellStyle name="Normal 332 2 2" xfId="15779"/>
    <cellStyle name="Normal 332 2 2 2" xfId="15780"/>
    <cellStyle name="Normal 332 2 2 3" xfId="15781"/>
    <cellStyle name="Normal 332 2 3" xfId="15782"/>
    <cellStyle name="Normal 332 2 3 2" xfId="40771"/>
    <cellStyle name="Normal 332 2 3 3" xfId="40772"/>
    <cellStyle name="Normal 332 2 4" xfId="15783"/>
    <cellStyle name="Normal 332 2 5" xfId="15784"/>
    <cellStyle name="Normal 332 2 6" xfId="40773"/>
    <cellStyle name="Normal 332 2 7" xfId="40774"/>
    <cellStyle name="Normal 332 2 8" xfId="40775"/>
    <cellStyle name="Normal 332 3" xfId="15785"/>
    <cellStyle name="Normal 332 3 2" xfId="15786"/>
    <cellStyle name="Normal 332 3 2 2" xfId="40776"/>
    <cellStyle name="Normal 332 3 2 3" xfId="40777"/>
    <cellStyle name="Normal 332 3 3" xfId="15787"/>
    <cellStyle name="Normal 332 3 3 2" xfId="40778"/>
    <cellStyle name="Normal 332 3 3 3" xfId="40779"/>
    <cellStyle name="Normal 332 3 4" xfId="40780"/>
    <cellStyle name="Normal 332 3 5" xfId="40781"/>
    <cellStyle name="Normal 332 4" xfId="15788"/>
    <cellStyle name="Normal 332 4 2" xfId="40782"/>
    <cellStyle name="Normal 332 4 3" xfId="40783"/>
    <cellStyle name="Normal 332 5" xfId="15789"/>
    <cellStyle name="Normal 332 5 2" xfId="40784"/>
    <cellStyle name="Normal 332 5 3" xfId="40785"/>
    <cellStyle name="Normal 332 6" xfId="15790"/>
    <cellStyle name="Normal 332 7" xfId="40786"/>
    <cellStyle name="Normal 332 8" xfId="40787"/>
    <cellStyle name="Normal 332 9" xfId="40788"/>
    <cellStyle name="Normal 3320" xfId="15791"/>
    <cellStyle name="Normal 3320 2" xfId="15792"/>
    <cellStyle name="Normal 3320 2 2" xfId="40789"/>
    <cellStyle name="Normal 3320 2 3" xfId="40790"/>
    <cellStyle name="Normal 3320 3" xfId="15793"/>
    <cellStyle name="Normal 3320 4" xfId="40791"/>
    <cellStyle name="Normal 3321" xfId="15794"/>
    <cellStyle name="Normal 3321 2" xfId="15795"/>
    <cellStyle name="Normal 3321 2 2" xfId="40792"/>
    <cellStyle name="Normal 3321 2 3" xfId="40793"/>
    <cellStyle name="Normal 3321 3" xfId="15796"/>
    <cellStyle name="Normal 3321 4" xfId="40794"/>
    <cellStyle name="Normal 3322" xfId="15797"/>
    <cellStyle name="Normal 3322 2" xfId="15798"/>
    <cellStyle name="Normal 3322 2 2" xfId="40795"/>
    <cellStyle name="Normal 3322 2 3" xfId="40796"/>
    <cellStyle name="Normal 3322 3" xfId="15799"/>
    <cellStyle name="Normal 3322 4" xfId="40797"/>
    <cellStyle name="Normal 3323" xfId="15800"/>
    <cellStyle name="Normal 3323 2" xfId="15801"/>
    <cellStyle name="Normal 3323 2 2" xfId="40798"/>
    <cellStyle name="Normal 3323 2 3" xfId="40799"/>
    <cellStyle name="Normal 3323 3" xfId="15802"/>
    <cellStyle name="Normal 3323 4" xfId="40800"/>
    <cellStyle name="Normal 3324" xfId="15803"/>
    <cellStyle name="Normal 3324 2" xfId="15804"/>
    <cellStyle name="Normal 3324 2 2" xfId="40801"/>
    <cellStyle name="Normal 3324 2 3" xfId="40802"/>
    <cellStyle name="Normal 3324 3" xfId="15805"/>
    <cellStyle name="Normal 3324 4" xfId="40803"/>
    <cellStyle name="Normal 3325" xfId="15806"/>
    <cellStyle name="Normal 3325 2" xfId="15807"/>
    <cellStyle name="Normal 3325 2 2" xfId="40804"/>
    <cellStyle name="Normal 3325 2 3" xfId="40805"/>
    <cellStyle name="Normal 3325 3" xfId="15808"/>
    <cellStyle name="Normal 3325 4" xfId="40806"/>
    <cellStyle name="Normal 3326" xfId="15809"/>
    <cellStyle name="Normal 3326 2" xfId="15810"/>
    <cellStyle name="Normal 3326 2 2" xfId="40807"/>
    <cellStyle name="Normal 3326 2 3" xfId="40808"/>
    <cellStyle name="Normal 3326 3" xfId="15811"/>
    <cellStyle name="Normal 3326 4" xfId="40809"/>
    <cellStyle name="Normal 3327" xfId="15812"/>
    <cellStyle name="Normal 3327 2" xfId="15813"/>
    <cellStyle name="Normal 3327 2 2" xfId="40810"/>
    <cellStyle name="Normal 3327 2 3" xfId="40811"/>
    <cellStyle name="Normal 3327 3" xfId="15814"/>
    <cellStyle name="Normal 3327 4" xfId="40812"/>
    <cellStyle name="Normal 3328" xfId="15815"/>
    <cellStyle name="Normal 3328 2" xfId="15816"/>
    <cellStyle name="Normal 3328 2 2" xfId="40813"/>
    <cellStyle name="Normal 3328 2 3" xfId="40814"/>
    <cellStyle name="Normal 3328 3" xfId="15817"/>
    <cellStyle name="Normal 3328 4" xfId="40815"/>
    <cellStyle name="Normal 3329" xfId="15818"/>
    <cellStyle name="Normal 3329 2" xfId="15819"/>
    <cellStyle name="Normal 3329 2 2" xfId="40816"/>
    <cellStyle name="Normal 3329 2 3" xfId="40817"/>
    <cellStyle name="Normal 3329 3" xfId="15820"/>
    <cellStyle name="Normal 3329 4" xfId="40818"/>
    <cellStyle name="Normal 333" xfId="15821"/>
    <cellStyle name="Normal 333 10" xfId="40819"/>
    <cellStyle name="Normal 333 2" xfId="15822"/>
    <cellStyle name="Normal 333 2 2" xfId="15823"/>
    <cellStyle name="Normal 333 2 2 2" xfId="15824"/>
    <cellStyle name="Normal 333 2 2 3" xfId="15825"/>
    <cellStyle name="Normal 333 2 3" xfId="15826"/>
    <cellStyle name="Normal 333 2 3 2" xfId="40820"/>
    <cellStyle name="Normal 333 2 3 3" xfId="40821"/>
    <cellStyle name="Normal 333 2 4" xfId="15827"/>
    <cellStyle name="Normal 333 2 5" xfId="15828"/>
    <cellStyle name="Normal 333 2 6" xfId="40822"/>
    <cellStyle name="Normal 333 2 7" xfId="40823"/>
    <cellStyle name="Normal 333 2 8" xfId="40824"/>
    <cellStyle name="Normal 333 3" xfId="15829"/>
    <cellStyle name="Normal 333 3 2" xfId="15830"/>
    <cellStyle name="Normal 333 3 2 2" xfId="40825"/>
    <cellStyle name="Normal 333 3 2 3" xfId="40826"/>
    <cellStyle name="Normal 333 3 3" xfId="15831"/>
    <cellStyle name="Normal 333 3 3 2" xfId="40827"/>
    <cellStyle name="Normal 333 3 3 3" xfId="40828"/>
    <cellStyle name="Normal 333 3 4" xfId="40829"/>
    <cellStyle name="Normal 333 3 5" xfId="40830"/>
    <cellStyle name="Normal 333 4" xfId="15832"/>
    <cellStyle name="Normal 333 4 2" xfId="40831"/>
    <cellStyle name="Normal 333 4 3" xfId="40832"/>
    <cellStyle name="Normal 333 5" xfId="15833"/>
    <cellStyle name="Normal 333 5 2" xfId="40833"/>
    <cellStyle name="Normal 333 5 3" xfId="40834"/>
    <cellStyle name="Normal 333 6" xfId="15834"/>
    <cellStyle name="Normal 333 7" xfId="40835"/>
    <cellStyle name="Normal 333 8" xfId="40836"/>
    <cellStyle name="Normal 333 9" xfId="40837"/>
    <cellStyle name="Normal 3330" xfId="15835"/>
    <cellStyle name="Normal 3330 2" xfId="15836"/>
    <cellStyle name="Normal 3330 2 2" xfId="40838"/>
    <cellStyle name="Normal 3330 2 3" xfId="40839"/>
    <cellStyle name="Normal 3330 3" xfId="15837"/>
    <cellStyle name="Normal 3330 4" xfId="40840"/>
    <cellStyle name="Normal 3331" xfId="15838"/>
    <cellStyle name="Normal 3331 2" xfId="15839"/>
    <cellStyle name="Normal 3331 2 2" xfId="40841"/>
    <cellStyle name="Normal 3331 2 3" xfId="40842"/>
    <cellStyle name="Normal 3331 3" xfId="15840"/>
    <cellStyle name="Normal 3331 4" xfId="40843"/>
    <cellStyle name="Normal 3332" xfId="15841"/>
    <cellStyle name="Normal 3332 2" xfId="15842"/>
    <cellStyle name="Normal 3332 2 2" xfId="40844"/>
    <cellStyle name="Normal 3332 2 3" xfId="40845"/>
    <cellStyle name="Normal 3332 3" xfId="15843"/>
    <cellStyle name="Normal 3332 4" xfId="40846"/>
    <cellStyle name="Normal 3333" xfId="15844"/>
    <cellStyle name="Normal 3333 2" xfId="15845"/>
    <cellStyle name="Normal 3333 2 2" xfId="40847"/>
    <cellStyle name="Normal 3333 2 3" xfId="40848"/>
    <cellStyle name="Normal 3333 3" xfId="15846"/>
    <cellStyle name="Normal 3333 4" xfId="40849"/>
    <cellStyle name="Normal 3334" xfId="15847"/>
    <cellStyle name="Normal 3334 2" xfId="15848"/>
    <cellStyle name="Normal 3334 2 2" xfId="40850"/>
    <cellStyle name="Normal 3334 2 3" xfId="40851"/>
    <cellStyle name="Normal 3334 3" xfId="15849"/>
    <cellStyle name="Normal 3334 4" xfId="40852"/>
    <cellStyle name="Normal 3335" xfId="15850"/>
    <cellStyle name="Normal 3335 2" xfId="15851"/>
    <cellStyle name="Normal 3335 2 2" xfId="40853"/>
    <cellStyle name="Normal 3335 2 3" xfId="40854"/>
    <cellStyle name="Normal 3335 3" xfId="15852"/>
    <cellStyle name="Normal 3335 4" xfId="40855"/>
    <cellStyle name="Normal 3336" xfId="15853"/>
    <cellStyle name="Normal 3336 2" xfId="15854"/>
    <cellStyle name="Normal 3336 2 2" xfId="40856"/>
    <cellStyle name="Normal 3336 2 3" xfId="40857"/>
    <cellStyle name="Normal 3336 3" xfId="15855"/>
    <cellStyle name="Normal 3336 4" xfId="40858"/>
    <cellStyle name="Normal 3337" xfId="15856"/>
    <cellStyle name="Normal 3337 2" xfId="15857"/>
    <cellStyle name="Normal 3337 2 2" xfId="40859"/>
    <cellStyle name="Normal 3337 2 3" xfId="40860"/>
    <cellStyle name="Normal 3337 3" xfId="15858"/>
    <cellStyle name="Normal 3337 4" xfId="40861"/>
    <cellStyle name="Normal 3338" xfId="15859"/>
    <cellStyle name="Normal 3338 2" xfId="15860"/>
    <cellStyle name="Normal 3338 2 2" xfId="40862"/>
    <cellStyle name="Normal 3338 2 3" xfId="40863"/>
    <cellStyle name="Normal 3338 3" xfId="15861"/>
    <cellStyle name="Normal 3338 4" xfId="40864"/>
    <cellStyle name="Normal 3339" xfId="15862"/>
    <cellStyle name="Normal 3339 2" xfId="15863"/>
    <cellStyle name="Normal 3339 2 2" xfId="40865"/>
    <cellStyle name="Normal 3339 2 3" xfId="40866"/>
    <cellStyle name="Normal 3339 3" xfId="15864"/>
    <cellStyle name="Normal 3339 4" xfId="40867"/>
    <cellStyle name="Normal 334" xfId="15865"/>
    <cellStyle name="Normal 334 10" xfId="40868"/>
    <cellStyle name="Normal 334 2" xfId="15866"/>
    <cellStyle name="Normal 334 2 2" xfId="15867"/>
    <cellStyle name="Normal 334 2 2 2" xfId="15868"/>
    <cellStyle name="Normal 334 2 2 3" xfId="15869"/>
    <cellStyle name="Normal 334 2 3" xfId="15870"/>
    <cellStyle name="Normal 334 2 3 2" xfId="40869"/>
    <cellStyle name="Normal 334 2 3 3" xfId="40870"/>
    <cellStyle name="Normal 334 2 4" xfId="15871"/>
    <cellStyle name="Normal 334 2 5" xfId="15872"/>
    <cellStyle name="Normal 334 2 6" xfId="40871"/>
    <cellStyle name="Normal 334 2 7" xfId="40872"/>
    <cellStyle name="Normal 334 2 8" xfId="40873"/>
    <cellStyle name="Normal 334 3" xfId="15873"/>
    <cellStyle name="Normal 334 3 2" xfId="15874"/>
    <cellStyle name="Normal 334 3 2 2" xfId="40874"/>
    <cellStyle name="Normal 334 3 2 3" xfId="40875"/>
    <cellStyle name="Normal 334 3 3" xfId="15875"/>
    <cellStyle name="Normal 334 3 3 2" xfId="40876"/>
    <cellStyle name="Normal 334 3 3 3" xfId="40877"/>
    <cellStyle name="Normal 334 3 4" xfId="40878"/>
    <cellStyle name="Normal 334 3 5" xfId="40879"/>
    <cellStyle name="Normal 334 4" xfId="15876"/>
    <cellStyle name="Normal 334 4 2" xfId="40880"/>
    <cellStyle name="Normal 334 4 3" xfId="40881"/>
    <cellStyle name="Normal 334 5" xfId="15877"/>
    <cellStyle name="Normal 334 5 2" xfId="40882"/>
    <cellStyle name="Normal 334 5 3" xfId="40883"/>
    <cellStyle name="Normal 334 6" xfId="15878"/>
    <cellStyle name="Normal 334 7" xfId="40884"/>
    <cellStyle name="Normal 334 8" xfId="40885"/>
    <cellStyle name="Normal 334 9" xfId="40886"/>
    <cellStyle name="Normal 3340" xfId="15879"/>
    <cellStyle name="Normal 3340 2" xfId="15880"/>
    <cellStyle name="Normal 3340 2 2" xfId="40887"/>
    <cellStyle name="Normal 3340 2 3" xfId="40888"/>
    <cellStyle name="Normal 3340 3" xfId="15881"/>
    <cellStyle name="Normal 3340 4" xfId="40889"/>
    <cellStyle name="Normal 3341" xfId="15882"/>
    <cellStyle name="Normal 3341 2" xfId="15883"/>
    <cellStyle name="Normal 3341 2 2" xfId="40890"/>
    <cellStyle name="Normal 3341 2 3" xfId="40891"/>
    <cellStyle name="Normal 3341 3" xfId="15884"/>
    <cellStyle name="Normal 3341 4" xfId="40892"/>
    <cellStyle name="Normal 3342" xfId="15885"/>
    <cellStyle name="Normal 3342 2" xfId="15886"/>
    <cellStyle name="Normal 3342 2 2" xfId="40893"/>
    <cellStyle name="Normal 3342 2 3" xfId="40894"/>
    <cellStyle name="Normal 3342 3" xfId="15887"/>
    <cellStyle name="Normal 3342 4" xfId="40895"/>
    <cellStyle name="Normal 3343" xfId="15888"/>
    <cellStyle name="Normal 3343 2" xfId="15889"/>
    <cellStyle name="Normal 3343 2 2" xfId="40896"/>
    <cellStyle name="Normal 3343 2 3" xfId="40897"/>
    <cellStyle name="Normal 3343 3" xfId="15890"/>
    <cellStyle name="Normal 3343 4" xfId="40898"/>
    <cellStyle name="Normal 3344" xfId="15891"/>
    <cellStyle name="Normal 3344 2" xfId="15892"/>
    <cellStyle name="Normal 3344 2 2" xfId="40899"/>
    <cellStyle name="Normal 3344 2 3" xfId="40900"/>
    <cellStyle name="Normal 3344 3" xfId="15893"/>
    <cellStyle name="Normal 3344 4" xfId="40901"/>
    <cellStyle name="Normal 3345" xfId="15894"/>
    <cellStyle name="Normal 3345 2" xfId="15895"/>
    <cellStyle name="Normal 3345 2 2" xfId="40902"/>
    <cellStyle name="Normal 3345 2 3" xfId="40903"/>
    <cellStyle name="Normal 3345 3" xfId="15896"/>
    <cellStyle name="Normal 3345 4" xfId="40904"/>
    <cellStyle name="Normal 3346" xfId="15897"/>
    <cellStyle name="Normal 3346 2" xfId="15898"/>
    <cellStyle name="Normal 3346 2 2" xfId="40905"/>
    <cellStyle name="Normal 3346 2 3" xfId="40906"/>
    <cellStyle name="Normal 3346 3" xfId="15899"/>
    <cellStyle name="Normal 3346 4" xfId="40907"/>
    <cellStyle name="Normal 3347" xfId="15900"/>
    <cellStyle name="Normal 3347 2" xfId="15901"/>
    <cellStyle name="Normal 3347 2 2" xfId="40908"/>
    <cellStyle name="Normal 3347 2 3" xfId="40909"/>
    <cellStyle name="Normal 3347 3" xfId="15902"/>
    <cellStyle name="Normal 3347 4" xfId="40910"/>
    <cellStyle name="Normal 3348" xfId="15903"/>
    <cellStyle name="Normal 3348 2" xfId="15904"/>
    <cellStyle name="Normal 3348 2 2" xfId="40911"/>
    <cellStyle name="Normal 3348 2 3" xfId="40912"/>
    <cellStyle name="Normal 3348 3" xfId="15905"/>
    <cellStyle name="Normal 3348 4" xfId="40913"/>
    <cellStyle name="Normal 3349" xfId="15906"/>
    <cellStyle name="Normal 3349 2" xfId="15907"/>
    <cellStyle name="Normal 3349 2 2" xfId="40914"/>
    <cellStyle name="Normal 3349 2 3" xfId="40915"/>
    <cellStyle name="Normal 3349 3" xfId="15908"/>
    <cellStyle name="Normal 3349 4" xfId="40916"/>
    <cellStyle name="Normal 335" xfId="15909"/>
    <cellStyle name="Normal 335 10" xfId="40917"/>
    <cellStyle name="Normal 335 2" xfId="15910"/>
    <cellStyle name="Normal 335 2 2" xfId="15911"/>
    <cellStyle name="Normal 335 2 2 2" xfId="15912"/>
    <cellStyle name="Normal 335 2 2 3" xfId="15913"/>
    <cellStyle name="Normal 335 2 3" xfId="15914"/>
    <cellStyle name="Normal 335 2 3 2" xfId="40918"/>
    <cellStyle name="Normal 335 2 3 3" xfId="40919"/>
    <cellStyle name="Normal 335 2 4" xfId="15915"/>
    <cellStyle name="Normal 335 2 5" xfId="15916"/>
    <cellStyle name="Normal 335 2 6" xfId="40920"/>
    <cellStyle name="Normal 335 2 7" xfId="40921"/>
    <cellStyle name="Normal 335 2 8" xfId="40922"/>
    <cellStyle name="Normal 335 3" xfId="15917"/>
    <cellStyle name="Normal 335 3 2" xfId="15918"/>
    <cellStyle name="Normal 335 3 2 2" xfId="40923"/>
    <cellStyle name="Normal 335 3 2 3" xfId="40924"/>
    <cellStyle name="Normal 335 3 3" xfId="15919"/>
    <cellStyle name="Normal 335 3 3 2" xfId="40925"/>
    <cellStyle name="Normal 335 3 3 3" xfId="40926"/>
    <cellStyle name="Normal 335 3 4" xfId="40927"/>
    <cellStyle name="Normal 335 3 5" xfId="40928"/>
    <cellStyle name="Normal 335 4" xfId="15920"/>
    <cellStyle name="Normal 335 4 2" xfId="40929"/>
    <cellStyle name="Normal 335 4 3" xfId="40930"/>
    <cellStyle name="Normal 335 5" xfId="15921"/>
    <cellStyle name="Normal 335 5 2" xfId="40931"/>
    <cellStyle name="Normal 335 5 3" xfId="40932"/>
    <cellStyle name="Normal 335 6" xfId="15922"/>
    <cellStyle name="Normal 335 7" xfId="40933"/>
    <cellStyle name="Normal 335 8" xfId="40934"/>
    <cellStyle name="Normal 335 9" xfId="40935"/>
    <cellStyle name="Normal 3350" xfId="15923"/>
    <cellStyle name="Normal 3350 2" xfId="15924"/>
    <cellStyle name="Normal 3350 2 2" xfId="40936"/>
    <cellStyle name="Normal 3350 2 3" xfId="40937"/>
    <cellStyle name="Normal 3350 3" xfId="15925"/>
    <cellStyle name="Normal 3350 4" xfId="40938"/>
    <cellStyle name="Normal 3351" xfId="15926"/>
    <cellStyle name="Normal 3351 2" xfId="15927"/>
    <cellStyle name="Normal 3351 2 2" xfId="40939"/>
    <cellStyle name="Normal 3351 2 3" xfId="40940"/>
    <cellStyle name="Normal 3351 3" xfId="15928"/>
    <cellStyle name="Normal 3351 4" xfId="40941"/>
    <cellStyle name="Normal 3352" xfId="15929"/>
    <cellStyle name="Normal 3352 2" xfId="15930"/>
    <cellStyle name="Normal 3352 2 2" xfId="40942"/>
    <cellStyle name="Normal 3352 2 3" xfId="40943"/>
    <cellStyle name="Normal 3352 3" xfId="15931"/>
    <cellStyle name="Normal 3352 4" xfId="40944"/>
    <cellStyle name="Normal 3353" xfId="15932"/>
    <cellStyle name="Normal 3353 2" xfId="15933"/>
    <cellStyle name="Normal 3353 2 2" xfId="40945"/>
    <cellStyle name="Normal 3353 2 3" xfId="40946"/>
    <cellStyle name="Normal 3353 3" xfId="15934"/>
    <cellStyle name="Normal 3353 4" xfId="40947"/>
    <cellStyle name="Normal 3354" xfId="15935"/>
    <cellStyle name="Normal 3354 2" xfId="15936"/>
    <cellStyle name="Normal 3354 2 2" xfId="40948"/>
    <cellStyle name="Normal 3354 2 3" xfId="40949"/>
    <cellStyle name="Normal 3354 3" xfId="15937"/>
    <cellStyle name="Normal 3354 4" xfId="40950"/>
    <cellStyle name="Normal 3355" xfId="15938"/>
    <cellStyle name="Normal 3355 2" xfId="15939"/>
    <cellStyle name="Normal 3355 2 2" xfId="40951"/>
    <cellStyle name="Normal 3355 2 3" xfId="40952"/>
    <cellStyle name="Normal 3355 3" xfId="15940"/>
    <cellStyle name="Normal 3355 4" xfId="40953"/>
    <cellStyle name="Normal 3356" xfId="15941"/>
    <cellStyle name="Normal 3356 2" xfId="15942"/>
    <cellStyle name="Normal 3356 2 2" xfId="40954"/>
    <cellStyle name="Normal 3356 2 3" xfId="40955"/>
    <cellStyle name="Normal 3356 3" xfId="15943"/>
    <cellStyle name="Normal 3356 4" xfId="40956"/>
    <cellStyle name="Normal 3357" xfId="15944"/>
    <cellStyle name="Normal 3357 2" xfId="15945"/>
    <cellStyle name="Normal 3357 2 2" xfId="40957"/>
    <cellStyle name="Normal 3357 2 3" xfId="40958"/>
    <cellStyle name="Normal 3357 3" xfId="15946"/>
    <cellStyle name="Normal 3357 4" xfId="40959"/>
    <cellStyle name="Normal 3358" xfId="15947"/>
    <cellStyle name="Normal 3358 2" xfId="15948"/>
    <cellStyle name="Normal 3358 2 2" xfId="40960"/>
    <cellStyle name="Normal 3358 2 3" xfId="40961"/>
    <cellStyle name="Normal 3358 3" xfId="15949"/>
    <cellStyle name="Normal 3358 4" xfId="40962"/>
    <cellStyle name="Normal 3359" xfId="15950"/>
    <cellStyle name="Normal 3359 2" xfId="15951"/>
    <cellStyle name="Normal 3359 2 2" xfId="40963"/>
    <cellStyle name="Normal 3359 2 3" xfId="40964"/>
    <cellStyle name="Normal 3359 3" xfId="15952"/>
    <cellStyle name="Normal 3359 4" xfId="40965"/>
    <cellStyle name="Normal 336" xfId="15953"/>
    <cellStyle name="Normal 336 10" xfId="40966"/>
    <cellStyle name="Normal 336 2" xfId="15954"/>
    <cellStyle name="Normal 336 2 2" xfId="15955"/>
    <cellStyle name="Normal 336 2 2 2" xfId="15956"/>
    <cellStyle name="Normal 336 2 2 3" xfId="15957"/>
    <cellStyle name="Normal 336 2 3" xfId="15958"/>
    <cellStyle name="Normal 336 2 3 2" xfId="40967"/>
    <cellStyle name="Normal 336 2 3 3" xfId="40968"/>
    <cellStyle name="Normal 336 2 4" xfId="15959"/>
    <cellStyle name="Normal 336 2 5" xfId="15960"/>
    <cellStyle name="Normal 336 2 6" xfId="40969"/>
    <cellStyle name="Normal 336 2 7" xfId="40970"/>
    <cellStyle name="Normal 336 2 8" xfId="40971"/>
    <cellStyle name="Normal 336 3" xfId="15961"/>
    <cellStyle name="Normal 336 3 2" xfId="15962"/>
    <cellStyle name="Normal 336 3 2 2" xfId="40972"/>
    <cellStyle name="Normal 336 3 2 3" xfId="40973"/>
    <cellStyle name="Normal 336 3 3" xfId="15963"/>
    <cellStyle name="Normal 336 3 3 2" xfId="40974"/>
    <cellStyle name="Normal 336 3 3 3" xfId="40975"/>
    <cellStyle name="Normal 336 3 4" xfId="40976"/>
    <cellStyle name="Normal 336 3 5" xfId="40977"/>
    <cellStyle name="Normal 336 4" xfId="15964"/>
    <cellStyle name="Normal 336 4 2" xfId="40978"/>
    <cellStyle name="Normal 336 4 3" xfId="40979"/>
    <cellStyle name="Normal 336 5" xfId="15965"/>
    <cellStyle name="Normal 336 5 2" xfId="40980"/>
    <cellStyle name="Normal 336 5 3" xfId="40981"/>
    <cellStyle name="Normal 336 6" xfId="15966"/>
    <cellStyle name="Normal 336 7" xfId="40982"/>
    <cellStyle name="Normal 336 8" xfId="40983"/>
    <cellStyle name="Normal 336 9" xfId="40984"/>
    <cellStyle name="Normal 3360" xfId="15967"/>
    <cellStyle name="Normal 3360 2" xfId="15968"/>
    <cellStyle name="Normal 3360 2 2" xfId="40985"/>
    <cellStyle name="Normal 3360 2 3" xfId="40986"/>
    <cellStyle name="Normal 3360 3" xfId="15969"/>
    <cellStyle name="Normal 3360 4" xfId="40987"/>
    <cellStyle name="Normal 3361" xfId="15970"/>
    <cellStyle name="Normal 3361 2" xfId="15971"/>
    <cellStyle name="Normal 3361 2 2" xfId="40988"/>
    <cellStyle name="Normal 3361 2 3" xfId="40989"/>
    <cellStyle name="Normal 3361 3" xfId="15972"/>
    <cellStyle name="Normal 3361 4" xfId="40990"/>
    <cellStyle name="Normal 3362" xfId="15973"/>
    <cellStyle name="Normal 3362 2" xfId="15974"/>
    <cellStyle name="Normal 3362 2 2" xfId="40991"/>
    <cellStyle name="Normal 3362 2 3" xfId="40992"/>
    <cellStyle name="Normal 3362 3" xfId="15975"/>
    <cellStyle name="Normal 3362 4" xfId="40993"/>
    <cellStyle name="Normal 3363" xfId="15976"/>
    <cellStyle name="Normal 3363 2" xfId="15977"/>
    <cellStyle name="Normal 3363 2 2" xfId="40994"/>
    <cellStyle name="Normal 3363 2 3" xfId="40995"/>
    <cellStyle name="Normal 3363 3" xfId="15978"/>
    <cellStyle name="Normal 3363 4" xfId="40996"/>
    <cellStyle name="Normal 3364" xfId="15979"/>
    <cellStyle name="Normal 3364 2" xfId="15980"/>
    <cellStyle name="Normal 3364 2 2" xfId="40997"/>
    <cellStyle name="Normal 3364 2 3" xfId="40998"/>
    <cellStyle name="Normal 3364 3" xfId="15981"/>
    <cellStyle name="Normal 3364 4" xfId="40999"/>
    <cellStyle name="Normal 3365" xfId="15982"/>
    <cellStyle name="Normal 3365 2" xfId="15983"/>
    <cellStyle name="Normal 3365 2 2" xfId="41000"/>
    <cellStyle name="Normal 3365 2 3" xfId="41001"/>
    <cellStyle name="Normal 3365 3" xfId="15984"/>
    <cellStyle name="Normal 3365 4" xfId="41002"/>
    <cellStyle name="Normal 3366" xfId="15985"/>
    <cellStyle name="Normal 3366 2" xfId="15986"/>
    <cellStyle name="Normal 3366 2 2" xfId="41003"/>
    <cellStyle name="Normal 3366 2 3" xfId="41004"/>
    <cellStyle name="Normal 3366 3" xfId="15987"/>
    <cellStyle name="Normal 3366 4" xfId="41005"/>
    <cellStyle name="Normal 3367" xfId="15988"/>
    <cellStyle name="Normal 3367 2" xfId="15989"/>
    <cellStyle name="Normal 3367 2 2" xfId="41006"/>
    <cellStyle name="Normal 3367 2 3" xfId="41007"/>
    <cellStyle name="Normal 3367 3" xfId="15990"/>
    <cellStyle name="Normal 3367 4" xfId="41008"/>
    <cellStyle name="Normal 3368" xfId="15991"/>
    <cellStyle name="Normal 3368 2" xfId="15992"/>
    <cellStyle name="Normal 3368 2 2" xfId="41009"/>
    <cellStyle name="Normal 3368 2 3" xfId="41010"/>
    <cellStyle name="Normal 3368 3" xfId="15993"/>
    <cellStyle name="Normal 3368 4" xfId="41011"/>
    <cellStyle name="Normal 3369" xfId="15994"/>
    <cellStyle name="Normal 3369 2" xfId="15995"/>
    <cellStyle name="Normal 3369 2 2" xfId="41012"/>
    <cellStyle name="Normal 3369 2 3" xfId="41013"/>
    <cellStyle name="Normal 3369 3" xfId="15996"/>
    <cellStyle name="Normal 3369 4" xfId="41014"/>
    <cellStyle name="Normal 337" xfId="15997"/>
    <cellStyle name="Normal 337 10" xfId="41015"/>
    <cellStyle name="Normal 337 2" xfId="15998"/>
    <cellStyle name="Normal 337 2 2" xfId="15999"/>
    <cellStyle name="Normal 337 2 2 2" xfId="16000"/>
    <cellStyle name="Normal 337 2 2 3" xfId="16001"/>
    <cellStyle name="Normal 337 2 3" xfId="16002"/>
    <cellStyle name="Normal 337 2 3 2" xfId="41016"/>
    <cellStyle name="Normal 337 2 3 3" xfId="41017"/>
    <cellStyle name="Normal 337 2 4" xfId="16003"/>
    <cellStyle name="Normal 337 2 5" xfId="16004"/>
    <cellStyle name="Normal 337 2 6" xfId="41018"/>
    <cellStyle name="Normal 337 2 7" xfId="41019"/>
    <cellStyle name="Normal 337 2 8" xfId="41020"/>
    <cellStyle name="Normal 337 3" xfId="16005"/>
    <cellStyle name="Normal 337 3 2" xfId="16006"/>
    <cellStyle name="Normal 337 3 2 2" xfId="41021"/>
    <cellStyle name="Normal 337 3 2 3" xfId="41022"/>
    <cellStyle name="Normal 337 3 3" xfId="16007"/>
    <cellStyle name="Normal 337 3 3 2" xfId="41023"/>
    <cellStyle name="Normal 337 3 3 3" xfId="41024"/>
    <cellStyle name="Normal 337 3 4" xfId="41025"/>
    <cellStyle name="Normal 337 3 5" xfId="41026"/>
    <cellStyle name="Normal 337 4" xfId="16008"/>
    <cellStyle name="Normal 337 4 2" xfId="41027"/>
    <cellStyle name="Normal 337 4 3" xfId="41028"/>
    <cellStyle name="Normal 337 5" xfId="16009"/>
    <cellStyle name="Normal 337 5 2" xfId="41029"/>
    <cellStyle name="Normal 337 5 3" xfId="41030"/>
    <cellStyle name="Normal 337 6" xfId="16010"/>
    <cellStyle name="Normal 337 7" xfId="41031"/>
    <cellStyle name="Normal 337 8" xfId="41032"/>
    <cellStyle name="Normal 337 9" xfId="41033"/>
    <cellStyle name="Normal 3370" xfId="16011"/>
    <cellStyle name="Normal 3370 2" xfId="16012"/>
    <cellStyle name="Normal 3370 2 2" xfId="41034"/>
    <cellStyle name="Normal 3370 2 3" xfId="41035"/>
    <cellStyle name="Normal 3370 3" xfId="16013"/>
    <cellStyle name="Normal 3370 4" xfId="41036"/>
    <cellStyle name="Normal 3371" xfId="16014"/>
    <cellStyle name="Normal 3371 2" xfId="16015"/>
    <cellStyle name="Normal 3371 2 2" xfId="41037"/>
    <cellStyle name="Normal 3371 2 3" xfId="41038"/>
    <cellStyle name="Normal 3371 3" xfId="16016"/>
    <cellStyle name="Normal 3371 4" xfId="41039"/>
    <cellStyle name="Normal 3372" xfId="16017"/>
    <cellStyle name="Normal 3372 2" xfId="16018"/>
    <cellStyle name="Normal 3372 2 2" xfId="41040"/>
    <cellStyle name="Normal 3372 2 3" xfId="41041"/>
    <cellStyle name="Normal 3372 3" xfId="16019"/>
    <cellStyle name="Normal 3372 4" xfId="41042"/>
    <cellStyle name="Normal 3373" xfId="16020"/>
    <cellStyle name="Normal 3373 2" xfId="16021"/>
    <cellStyle name="Normal 3373 2 2" xfId="41043"/>
    <cellStyle name="Normal 3373 2 3" xfId="41044"/>
    <cellStyle name="Normal 3373 3" xfId="16022"/>
    <cellStyle name="Normal 3373 4" xfId="41045"/>
    <cellStyle name="Normal 3374" xfId="16023"/>
    <cellStyle name="Normal 3374 2" xfId="16024"/>
    <cellStyle name="Normal 3374 2 2" xfId="41046"/>
    <cellStyle name="Normal 3374 2 3" xfId="41047"/>
    <cellStyle name="Normal 3374 3" xfId="16025"/>
    <cellStyle name="Normal 3374 4" xfId="41048"/>
    <cellStyle name="Normal 3375" xfId="16026"/>
    <cellStyle name="Normal 3375 2" xfId="16027"/>
    <cellStyle name="Normal 3375 2 2" xfId="41049"/>
    <cellStyle name="Normal 3375 2 3" xfId="41050"/>
    <cellStyle name="Normal 3375 3" xfId="16028"/>
    <cellStyle name="Normal 3375 4" xfId="41051"/>
    <cellStyle name="Normal 3376" xfId="16029"/>
    <cellStyle name="Normal 3376 2" xfId="16030"/>
    <cellStyle name="Normal 3376 2 2" xfId="41052"/>
    <cellStyle name="Normal 3376 2 3" xfId="41053"/>
    <cellStyle name="Normal 3376 3" xfId="16031"/>
    <cellStyle name="Normal 3376 4" xfId="41054"/>
    <cellStyle name="Normal 3377" xfId="16032"/>
    <cellStyle name="Normal 3377 2" xfId="16033"/>
    <cellStyle name="Normal 3377 2 2" xfId="41055"/>
    <cellStyle name="Normal 3377 2 3" xfId="41056"/>
    <cellStyle name="Normal 3377 3" xfId="16034"/>
    <cellStyle name="Normal 3377 4" xfId="41057"/>
    <cellStyle name="Normal 3378" xfId="16035"/>
    <cellStyle name="Normal 3378 2" xfId="16036"/>
    <cellStyle name="Normal 3378 2 2" xfId="41058"/>
    <cellStyle name="Normal 3378 2 3" xfId="41059"/>
    <cellStyle name="Normal 3378 3" xfId="16037"/>
    <cellStyle name="Normal 3378 4" xfId="41060"/>
    <cellStyle name="Normal 3379" xfId="16038"/>
    <cellStyle name="Normal 3379 2" xfId="16039"/>
    <cellStyle name="Normal 3379 2 2" xfId="41061"/>
    <cellStyle name="Normal 3379 2 3" xfId="41062"/>
    <cellStyle name="Normal 3379 3" xfId="16040"/>
    <cellStyle name="Normal 3379 4" xfId="41063"/>
    <cellStyle name="Normal 338" xfId="16041"/>
    <cellStyle name="Normal 338 10" xfId="41064"/>
    <cellStyle name="Normal 338 2" xfId="16042"/>
    <cellStyle name="Normal 338 2 2" xfId="16043"/>
    <cellStyle name="Normal 338 2 2 2" xfId="16044"/>
    <cellStyle name="Normal 338 2 2 3" xfId="16045"/>
    <cellStyle name="Normal 338 2 3" xfId="16046"/>
    <cellStyle name="Normal 338 2 3 2" xfId="41065"/>
    <cellStyle name="Normal 338 2 3 3" xfId="41066"/>
    <cellStyle name="Normal 338 2 4" xfId="16047"/>
    <cellStyle name="Normal 338 2 5" xfId="16048"/>
    <cellStyle name="Normal 338 2 6" xfId="41067"/>
    <cellStyle name="Normal 338 2 7" xfId="41068"/>
    <cellStyle name="Normal 338 2 8" xfId="41069"/>
    <cellStyle name="Normal 338 3" xfId="16049"/>
    <cellStyle name="Normal 338 3 2" xfId="16050"/>
    <cellStyle name="Normal 338 3 2 2" xfId="41070"/>
    <cellStyle name="Normal 338 3 2 3" xfId="41071"/>
    <cellStyle name="Normal 338 3 3" xfId="16051"/>
    <cellStyle name="Normal 338 3 3 2" xfId="41072"/>
    <cellStyle name="Normal 338 3 3 3" xfId="41073"/>
    <cellStyle name="Normal 338 3 4" xfId="41074"/>
    <cellStyle name="Normal 338 3 5" xfId="41075"/>
    <cellStyle name="Normal 338 4" xfId="16052"/>
    <cellStyle name="Normal 338 4 2" xfId="41076"/>
    <cellStyle name="Normal 338 4 3" xfId="41077"/>
    <cellStyle name="Normal 338 5" xfId="16053"/>
    <cellStyle name="Normal 338 5 2" xfId="41078"/>
    <cellStyle name="Normal 338 5 3" xfId="41079"/>
    <cellStyle name="Normal 338 6" xfId="16054"/>
    <cellStyle name="Normal 338 7" xfId="41080"/>
    <cellStyle name="Normal 338 8" xfId="41081"/>
    <cellStyle name="Normal 338 9" xfId="41082"/>
    <cellStyle name="Normal 3380" xfId="16055"/>
    <cellStyle name="Normal 3380 2" xfId="16056"/>
    <cellStyle name="Normal 3380 2 2" xfId="41083"/>
    <cellStyle name="Normal 3380 2 3" xfId="41084"/>
    <cellStyle name="Normal 3380 3" xfId="16057"/>
    <cellStyle name="Normal 3380 4" xfId="41085"/>
    <cellStyle name="Normal 3381" xfId="16058"/>
    <cellStyle name="Normal 3381 2" xfId="16059"/>
    <cellStyle name="Normal 3381 2 2" xfId="41086"/>
    <cellStyle name="Normal 3381 2 3" xfId="41087"/>
    <cellStyle name="Normal 3381 3" xfId="16060"/>
    <cellStyle name="Normal 3381 4" xfId="41088"/>
    <cellStyle name="Normal 3382" xfId="16061"/>
    <cellStyle name="Normal 3382 2" xfId="16062"/>
    <cellStyle name="Normal 3382 2 2" xfId="41089"/>
    <cellStyle name="Normal 3382 2 3" xfId="41090"/>
    <cellStyle name="Normal 3382 3" xfId="16063"/>
    <cellStyle name="Normal 3382 4" xfId="41091"/>
    <cellStyle name="Normal 3383" xfId="16064"/>
    <cellStyle name="Normal 3383 2" xfId="16065"/>
    <cellStyle name="Normal 3383 2 2" xfId="41092"/>
    <cellStyle name="Normal 3383 2 3" xfId="41093"/>
    <cellStyle name="Normal 3383 3" xfId="16066"/>
    <cellStyle name="Normal 3383 4" xfId="41094"/>
    <cellStyle name="Normal 3384" xfId="16067"/>
    <cellStyle name="Normal 3384 2" xfId="16068"/>
    <cellStyle name="Normal 3384 2 2" xfId="41095"/>
    <cellStyle name="Normal 3384 2 3" xfId="41096"/>
    <cellStyle name="Normal 3384 3" xfId="16069"/>
    <cellStyle name="Normal 3384 4" xfId="41097"/>
    <cellStyle name="Normal 3385" xfId="16070"/>
    <cellStyle name="Normal 3385 2" xfId="16071"/>
    <cellStyle name="Normal 3385 2 2" xfId="41098"/>
    <cellStyle name="Normal 3385 2 3" xfId="41099"/>
    <cellStyle name="Normal 3385 3" xfId="16072"/>
    <cellStyle name="Normal 3385 4" xfId="41100"/>
    <cellStyle name="Normal 3386" xfId="16073"/>
    <cellStyle name="Normal 3386 2" xfId="16074"/>
    <cellStyle name="Normal 3386 2 2" xfId="41101"/>
    <cellStyle name="Normal 3386 2 3" xfId="41102"/>
    <cellStyle name="Normal 3386 3" xfId="16075"/>
    <cellStyle name="Normal 3386 4" xfId="41103"/>
    <cellStyle name="Normal 3387" xfId="16076"/>
    <cellStyle name="Normal 3387 2" xfId="16077"/>
    <cellStyle name="Normal 3387 2 2" xfId="41104"/>
    <cellStyle name="Normal 3387 2 3" xfId="41105"/>
    <cellStyle name="Normal 3387 3" xfId="16078"/>
    <cellStyle name="Normal 3387 4" xfId="41106"/>
    <cellStyle name="Normal 3388" xfId="16079"/>
    <cellStyle name="Normal 3388 2" xfId="16080"/>
    <cellStyle name="Normal 3388 2 2" xfId="41107"/>
    <cellStyle name="Normal 3388 2 3" xfId="41108"/>
    <cellStyle name="Normal 3388 3" xfId="16081"/>
    <cellStyle name="Normal 3388 4" xfId="41109"/>
    <cellStyle name="Normal 3389" xfId="16082"/>
    <cellStyle name="Normal 3389 2" xfId="16083"/>
    <cellStyle name="Normal 3389 2 2" xfId="41110"/>
    <cellStyle name="Normal 3389 2 3" xfId="41111"/>
    <cellStyle name="Normal 3389 3" xfId="16084"/>
    <cellStyle name="Normal 3389 4" xfId="41112"/>
    <cellStyle name="Normal 339" xfId="16085"/>
    <cellStyle name="Normal 339 10" xfId="41113"/>
    <cellStyle name="Normal 339 2" xfId="16086"/>
    <cellStyle name="Normal 339 2 2" xfId="16087"/>
    <cellStyle name="Normal 339 2 2 2" xfId="16088"/>
    <cellStyle name="Normal 339 2 2 3" xfId="16089"/>
    <cellStyle name="Normal 339 2 3" xfId="16090"/>
    <cellStyle name="Normal 339 2 3 2" xfId="41114"/>
    <cellStyle name="Normal 339 2 3 3" xfId="41115"/>
    <cellStyle name="Normal 339 2 4" xfId="16091"/>
    <cellStyle name="Normal 339 2 5" xfId="16092"/>
    <cellStyle name="Normal 339 2 6" xfId="41116"/>
    <cellStyle name="Normal 339 2 7" xfId="41117"/>
    <cellStyle name="Normal 339 2 8" xfId="41118"/>
    <cellStyle name="Normal 339 3" xfId="16093"/>
    <cellStyle name="Normal 339 3 2" xfId="16094"/>
    <cellStyle name="Normal 339 3 2 2" xfId="41119"/>
    <cellStyle name="Normal 339 3 2 3" xfId="41120"/>
    <cellStyle name="Normal 339 3 3" xfId="16095"/>
    <cellStyle name="Normal 339 3 3 2" xfId="41121"/>
    <cellStyle name="Normal 339 3 3 3" xfId="41122"/>
    <cellStyle name="Normal 339 3 4" xfId="41123"/>
    <cellStyle name="Normal 339 3 5" xfId="41124"/>
    <cellStyle name="Normal 339 4" xfId="16096"/>
    <cellStyle name="Normal 339 4 2" xfId="41125"/>
    <cellStyle name="Normal 339 4 3" xfId="41126"/>
    <cellStyle name="Normal 339 5" xfId="16097"/>
    <cellStyle name="Normal 339 5 2" xfId="41127"/>
    <cellStyle name="Normal 339 5 3" xfId="41128"/>
    <cellStyle name="Normal 339 6" xfId="16098"/>
    <cellStyle name="Normal 339 7" xfId="41129"/>
    <cellStyle name="Normal 339 8" xfId="41130"/>
    <cellStyle name="Normal 339 9" xfId="41131"/>
    <cellStyle name="Normal 3390" xfId="16099"/>
    <cellStyle name="Normal 3390 2" xfId="16100"/>
    <cellStyle name="Normal 3390 2 2" xfId="41132"/>
    <cellStyle name="Normal 3390 2 3" xfId="41133"/>
    <cellStyle name="Normal 3390 3" xfId="16101"/>
    <cellStyle name="Normal 3390 4" xfId="41134"/>
    <cellStyle name="Normal 3391" xfId="16102"/>
    <cellStyle name="Normal 3391 2" xfId="16103"/>
    <cellStyle name="Normal 3391 2 2" xfId="41135"/>
    <cellStyle name="Normal 3391 2 3" xfId="41136"/>
    <cellStyle name="Normal 3391 3" xfId="16104"/>
    <cellStyle name="Normal 3391 4" xfId="41137"/>
    <cellStyle name="Normal 3392" xfId="16105"/>
    <cellStyle name="Normal 3392 2" xfId="16106"/>
    <cellStyle name="Normal 3392 2 2" xfId="41138"/>
    <cellStyle name="Normal 3392 2 3" xfId="41139"/>
    <cellStyle name="Normal 3392 3" xfId="16107"/>
    <cellStyle name="Normal 3392 4" xfId="41140"/>
    <cellStyle name="Normal 3393" xfId="16108"/>
    <cellStyle name="Normal 3393 2" xfId="16109"/>
    <cellStyle name="Normal 3393 2 2" xfId="41141"/>
    <cellStyle name="Normal 3393 2 3" xfId="41142"/>
    <cellStyle name="Normal 3393 3" xfId="16110"/>
    <cellStyle name="Normal 3393 4" xfId="41143"/>
    <cellStyle name="Normal 3394" xfId="16111"/>
    <cellStyle name="Normal 3394 2" xfId="16112"/>
    <cellStyle name="Normal 3394 2 2" xfId="41144"/>
    <cellStyle name="Normal 3394 2 3" xfId="41145"/>
    <cellStyle name="Normal 3394 3" xfId="16113"/>
    <cellStyle name="Normal 3394 4" xfId="41146"/>
    <cellStyle name="Normal 3395" xfId="16114"/>
    <cellStyle name="Normal 3395 2" xfId="16115"/>
    <cellStyle name="Normal 3395 2 2" xfId="41147"/>
    <cellStyle name="Normal 3395 2 3" xfId="41148"/>
    <cellStyle name="Normal 3395 3" xfId="16116"/>
    <cellStyle name="Normal 3395 4" xfId="41149"/>
    <cellStyle name="Normal 3396" xfId="16117"/>
    <cellStyle name="Normal 3396 2" xfId="16118"/>
    <cellStyle name="Normal 3396 2 2" xfId="41150"/>
    <cellStyle name="Normal 3396 2 3" xfId="41151"/>
    <cellStyle name="Normal 3396 3" xfId="16119"/>
    <cellStyle name="Normal 3396 4" xfId="41152"/>
    <cellStyle name="Normal 3397" xfId="16120"/>
    <cellStyle name="Normal 3397 2" xfId="16121"/>
    <cellStyle name="Normal 3397 2 2" xfId="41153"/>
    <cellStyle name="Normal 3397 2 3" xfId="41154"/>
    <cellStyle name="Normal 3397 3" xfId="16122"/>
    <cellStyle name="Normal 3397 4" xfId="41155"/>
    <cellStyle name="Normal 3398" xfId="16123"/>
    <cellStyle name="Normal 3398 2" xfId="16124"/>
    <cellStyle name="Normal 3398 2 2" xfId="41156"/>
    <cellStyle name="Normal 3398 2 3" xfId="41157"/>
    <cellStyle name="Normal 3398 3" xfId="16125"/>
    <cellStyle name="Normal 3398 4" xfId="41158"/>
    <cellStyle name="Normal 3399" xfId="16126"/>
    <cellStyle name="Normal 3399 2" xfId="16127"/>
    <cellStyle name="Normal 3399 2 2" xfId="41159"/>
    <cellStyle name="Normal 3399 2 3" xfId="41160"/>
    <cellStyle name="Normal 3399 3" xfId="16128"/>
    <cellStyle name="Normal 3399 4" xfId="41161"/>
    <cellStyle name="Normal 34" xfId="16129"/>
    <cellStyle name="Normal 34 10" xfId="41162"/>
    <cellStyle name="Normal 34 2" xfId="16130"/>
    <cellStyle name="Normal 34 2 2" xfId="16131"/>
    <cellStyle name="Normal 34 2 2 2" xfId="16132"/>
    <cellStyle name="Normal 34 2 2 3" xfId="16133"/>
    <cellStyle name="Normal 34 2 3" xfId="16134"/>
    <cellStyle name="Normal 34 2 3 2" xfId="41163"/>
    <cellStyle name="Normal 34 2 3 3" xfId="41164"/>
    <cellStyle name="Normal 34 2 4" xfId="16135"/>
    <cellStyle name="Normal 34 2 5" xfId="16136"/>
    <cellStyle name="Normal 34 2 6" xfId="41165"/>
    <cellStyle name="Normal 34 2 7" xfId="41166"/>
    <cellStyle name="Normal 34 2 8" xfId="41167"/>
    <cellStyle name="Normal 34 3" xfId="16137"/>
    <cellStyle name="Normal 34 3 2" xfId="16138"/>
    <cellStyle name="Normal 34 3 2 2" xfId="41168"/>
    <cellStyle name="Normal 34 3 2 3" xfId="41169"/>
    <cellStyle name="Normal 34 3 3" xfId="16139"/>
    <cellStyle name="Normal 34 3 3 2" xfId="41170"/>
    <cellStyle name="Normal 34 3 3 3" xfId="41171"/>
    <cellStyle name="Normal 34 3 4" xfId="16140"/>
    <cellStyle name="Normal 34 3 5" xfId="41172"/>
    <cellStyle name="Normal 34 4" xfId="16141"/>
    <cellStyle name="Normal 34 4 2" xfId="41173"/>
    <cellStyle name="Normal 34 4 3" xfId="41174"/>
    <cellStyle name="Normal 34 5" xfId="16142"/>
    <cellStyle name="Normal 34 5 2" xfId="41175"/>
    <cellStyle name="Normal 34 5 3" xfId="41176"/>
    <cellStyle name="Normal 34 6" xfId="16143"/>
    <cellStyle name="Normal 34 7" xfId="41177"/>
    <cellStyle name="Normal 34 8" xfId="41178"/>
    <cellStyle name="Normal 34 9" xfId="41179"/>
    <cellStyle name="Normal 340" xfId="16144"/>
    <cellStyle name="Normal 340 10" xfId="41180"/>
    <cellStyle name="Normal 340 2" xfId="16145"/>
    <cellStyle name="Normal 340 2 2" xfId="16146"/>
    <cellStyle name="Normal 340 2 2 2" xfId="16147"/>
    <cellStyle name="Normal 340 2 2 3" xfId="16148"/>
    <cellStyle name="Normal 340 2 3" xfId="16149"/>
    <cellStyle name="Normal 340 2 3 2" xfId="41181"/>
    <cellStyle name="Normal 340 2 3 3" xfId="41182"/>
    <cellStyle name="Normal 340 2 4" xfId="16150"/>
    <cellStyle name="Normal 340 2 5" xfId="16151"/>
    <cellStyle name="Normal 340 2 6" xfId="41183"/>
    <cellStyle name="Normal 340 2 7" xfId="41184"/>
    <cellStyle name="Normal 340 2 8" xfId="41185"/>
    <cellStyle name="Normal 340 3" xfId="16152"/>
    <cellStyle name="Normal 340 3 2" xfId="16153"/>
    <cellStyle name="Normal 340 3 2 2" xfId="41186"/>
    <cellStyle name="Normal 340 3 2 3" xfId="41187"/>
    <cellStyle name="Normal 340 3 3" xfId="16154"/>
    <cellStyle name="Normal 340 3 3 2" xfId="41188"/>
    <cellStyle name="Normal 340 3 3 3" xfId="41189"/>
    <cellStyle name="Normal 340 3 4" xfId="41190"/>
    <cellStyle name="Normal 340 3 5" xfId="41191"/>
    <cellStyle name="Normal 340 4" xfId="16155"/>
    <cellStyle name="Normal 340 4 2" xfId="41192"/>
    <cellStyle name="Normal 340 4 3" xfId="41193"/>
    <cellStyle name="Normal 340 5" xfId="16156"/>
    <cellStyle name="Normal 340 5 2" xfId="41194"/>
    <cellStyle name="Normal 340 5 3" xfId="41195"/>
    <cellStyle name="Normal 340 6" xfId="16157"/>
    <cellStyle name="Normal 340 7" xfId="41196"/>
    <cellStyle name="Normal 340 8" xfId="41197"/>
    <cellStyle name="Normal 340 9" xfId="41198"/>
    <cellStyle name="Normal 3400" xfId="16158"/>
    <cellStyle name="Normal 3400 2" xfId="16159"/>
    <cellStyle name="Normal 3400 2 2" xfId="41199"/>
    <cellStyle name="Normal 3400 2 3" xfId="41200"/>
    <cellStyle name="Normal 3400 3" xfId="16160"/>
    <cellStyle name="Normal 3400 4" xfId="41201"/>
    <cellStyle name="Normal 3401" xfId="16161"/>
    <cellStyle name="Normal 3401 2" xfId="16162"/>
    <cellStyle name="Normal 3401 2 2" xfId="41202"/>
    <cellStyle name="Normal 3401 2 3" xfId="41203"/>
    <cellStyle name="Normal 3401 3" xfId="16163"/>
    <cellStyle name="Normal 3401 4" xfId="41204"/>
    <cellStyle name="Normal 3402" xfId="16164"/>
    <cellStyle name="Normal 3402 2" xfId="16165"/>
    <cellStyle name="Normal 3402 2 2" xfId="41205"/>
    <cellStyle name="Normal 3402 2 3" xfId="41206"/>
    <cellStyle name="Normal 3402 3" xfId="16166"/>
    <cellStyle name="Normal 3402 4" xfId="41207"/>
    <cellStyle name="Normal 3403" xfId="16167"/>
    <cellStyle name="Normal 3403 2" xfId="16168"/>
    <cellStyle name="Normal 3403 2 2" xfId="41208"/>
    <cellStyle name="Normal 3403 2 3" xfId="41209"/>
    <cellStyle name="Normal 3403 3" xfId="16169"/>
    <cellStyle name="Normal 3403 4" xfId="41210"/>
    <cellStyle name="Normal 3404" xfId="16170"/>
    <cellStyle name="Normal 3404 2" xfId="16171"/>
    <cellStyle name="Normal 3404 2 2" xfId="41211"/>
    <cellStyle name="Normal 3404 2 3" xfId="41212"/>
    <cellStyle name="Normal 3404 3" xfId="16172"/>
    <cellStyle name="Normal 3404 4" xfId="41213"/>
    <cellStyle name="Normal 3405" xfId="16173"/>
    <cellStyle name="Normal 3405 2" xfId="16174"/>
    <cellStyle name="Normal 3405 2 2" xfId="41214"/>
    <cellStyle name="Normal 3405 2 3" xfId="41215"/>
    <cellStyle name="Normal 3405 3" xfId="16175"/>
    <cellStyle name="Normal 3405 4" xfId="41216"/>
    <cellStyle name="Normal 3406" xfId="16176"/>
    <cellStyle name="Normal 3406 2" xfId="16177"/>
    <cellStyle name="Normal 3406 2 2" xfId="41217"/>
    <cellStyle name="Normal 3406 2 3" xfId="41218"/>
    <cellStyle name="Normal 3406 3" xfId="16178"/>
    <cellStyle name="Normal 3406 4" xfId="41219"/>
    <cellStyle name="Normal 3407" xfId="16179"/>
    <cellStyle name="Normal 3407 2" xfId="16180"/>
    <cellStyle name="Normal 3407 2 2" xfId="41220"/>
    <cellStyle name="Normal 3407 2 3" xfId="41221"/>
    <cellStyle name="Normal 3407 3" xfId="16181"/>
    <cellStyle name="Normal 3407 4" xfId="41222"/>
    <cellStyle name="Normal 3408" xfId="16182"/>
    <cellStyle name="Normal 3408 2" xfId="16183"/>
    <cellStyle name="Normal 3408 2 2" xfId="41223"/>
    <cellStyle name="Normal 3408 2 3" xfId="41224"/>
    <cellStyle name="Normal 3408 3" xfId="16184"/>
    <cellStyle name="Normal 3408 4" xfId="41225"/>
    <cellStyle name="Normal 3409" xfId="16185"/>
    <cellStyle name="Normal 3409 2" xfId="16186"/>
    <cellStyle name="Normal 3409 2 2" xfId="41226"/>
    <cellStyle name="Normal 3409 2 3" xfId="41227"/>
    <cellStyle name="Normal 3409 3" xfId="16187"/>
    <cellStyle name="Normal 3409 4" xfId="41228"/>
    <cellStyle name="Normal 341" xfId="16188"/>
    <cellStyle name="Normal 341 10" xfId="41229"/>
    <cellStyle name="Normal 341 2" xfId="16189"/>
    <cellStyle name="Normal 341 2 2" xfId="16190"/>
    <cellStyle name="Normal 341 2 2 2" xfId="16191"/>
    <cellStyle name="Normal 341 2 2 3" xfId="16192"/>
    <cellStyle name="Normal 341 2 3" xfId="16193"/>
    <cellStyle name="Normal 341 2 3 2" xfId="41230"/>
    <cellStyle name="Normal 341 2 3 3" xfId="41231"/>
    <cellStyle name="Normal 341 2 4" xfId="16194"/>
    <cellStyle name="Normal 341 2 5" xfId="16195"/>
    <cellStyle name="Normal 341 2 6" xfId="41232"/>
    <cellStyle name="Normal 341 2 7" xfId="41233"/>
    <cellStyle name="Normal 341 2 8" xfId="41234"/>
    <cellStyle name="Normal 341 3" xfId="16196"/>
    <cellStyle name="Normal 341 3 2" xfId="16197"/>
    <cellStyle name="Normal 341 3 2 2" xfId="41235"/>
    <cellStyle name="Normal 341 3 2 3" xfId="41236"/>
    <cellStyle name="Normal 341 3 3" xfId="16198"/>
    <cellStyle name="Normal 341 3 3 2" xfId="41237"/>
    <cellStyle name="Normal 341 3 3 3" xfId="41238"/>
    <cellStyle name="Normal 341 3 4" xfId="41239"/>
    <cellStyle name="Normal 341 3 5" xfId="41240"/>
    <cellStyle name="Normal 341 4" xfId="16199"/>
    <cellStyle name="Normal 341 4 2" xfId="41241"/>
    <cellStyle name="Normal 341 4 3" xfId="41242"/>
    <cellStyle name="Normal 341 5" xfId="16200"/>
    <cellStyle name="Normal 341 5 2" xfId="41243"/>
    <cellStyle name="Normal 341 5 3" xfId="41244"/>
    <cellStyle name="Normal 341 6" xfId="16201"/>
    <cellStyle name="Normal 341 7" xfId="41245"/>
    <cellStyle name="Normal 341 8" xfId="41246"/>
    <cellStyle name="Normal 341 9" xfId="41247"/>
    <cellStyle name="Normal 3410" xfId="16202"/>
    <cellStyle name="Normal 3410 2" xfId="16203"/>
    <cellStyle name="Normal 3410 2 2" xfId="41248"/>
    <cellStyle name="Normal 3410 2 3" xfId="41249"/>
    <cellStyle name="Normal 3410 3" xfId="16204"/>
    <cellStyle name="Normal 3410 4" xfId="41250"/>
    <cellStyle name="Normal 3411" xfId="16205"/>
    <cellStyle name="Normal 3411 2" xfId="16206"/>
    <cellStyle name="Normal 3411 2 2" xfId="41251"/>
    <cellStyle name="Normal 3411 2 3" xfId="41252"/>
    <cellStyle name="Normal 3411 3" xfId="16207"/>
    <cellStyle name="Normal 3411 4" xfId="41253"/>
    <cellStyle name="Normal 3412" xfId="16208"/>
    <cellStyle name="Normal 3412 2" xfId="16209"/>
    <cellStyle name="Normal 3412 2 2" xfId="41254"/>
    <cellStyle name="Normal 3412 2 3" xfId="41255"/>
    <cellStyle name="Normal 3412 3" xfId="16210"/>
    <cellStyle name="Normal 3412 4" xfId="41256"/>
    <cellStyle name="Normal 3413" xfId="16211"/>
    <cellStyle name="Normal 3413 2" xfId="16212"/>
    <cellStyle name="Normal 3413 2 2" xfId="41257"/>
    <cellStyle name="Normal 3413 2 3" xfId="41258"/>
    <cellStyle name="Normal 3413 3" xfId="16213"/>
    <cellStyle name="Normal 3413 4" xfId="41259"/>
    <cellStyle name="Normal 3414" xfId="16214"/>
    <cellStyle name="Normal 3414 2" xfId="16215"/>
    <cellStyle name="Normal 3414 2 2" xfId="41260"/>
    <cellStyle name="Normal 3414 2 3" xfId="41261"/>
    <cellStyle name="Normal 3414 3" xfId="16216"/>
    <cellStyle name="Normal 3414 4" xfId="41262"/>
    <cellStyle name="Normal 3415" xfId="16217"/>
    <cellStyle name="Normal 3415 2" xfId="16218"/>
    <cellStyle name="Normal 3415 2 2" xfId="41263"/>
    <cellStyle name="Normal 3415 2 3" xfId="41264"/>
    <cellStyle name="Normal 3415 3" xfId="16219"/>
    <cellStyle name="Normal 3415 4" xfId="41265"/>
    <cellStyle name="Normal 3416" xfId="16220"/>
    <cellStyle name="Normal 3416 2" xfId="16221"/>
    <cellStyle name="Normal 3416 2 2" xfId="41266"/>
    <cellStyle name="Normal 3416 2 3" xfId="41267"/>
    <cellStyle name="Normal 3416 3" xfId="16222"/>
    <cellStyle name="Normal 3416 4" xfId="41268"/>
    <cellStyle name="Normal 3417" xfId="16223"/>
    <cellStyle name="Normal 3417 2" xfId="16224"/>
    <cellStyle name="Normal 3417 2 2" xfId="41269"/>
    <cellStyle name="Normal 3417 2 3" xfId="41270"/>
    <cellStyle name="Normal 3417 3" xfId="16225"/>
    <cellStyle name="Normal 3417 4" xfId="41271"/>
    <cellStyle name="Normal 3418" xfId="16226"/>
    <cellStyle name="Normal 3418 2" xfId="16227"/>
    <cellStyle name="Normal 3418 2 2" xfId="41272"/>
    <cellStyle name="Normal 3418 2 3" xfId="41273"/>
    <cellStyle name="Normal 3418 3" xfId="16228"/>
    <cellStyle name="Normal 3418 4" xfId="41274"/>
    <cellStyle name="Normal 3419" xfId="16229"/>
    <cellStyle name="Normal 3419 2" xfId="16230"/>
    <cellStyle name="Normal 3419 2 2" xfId="41275"/>
    <cellStyle name="Normal 3419 2 3" xfId="41276"/>
    <cellStyle name="Normal 3419 3" xfId="16231"/>
    <cellStyle name="Normal 3419 4" xfId="41277"/>
    <cellStyle name="Normal 342" xfId="16232"/>
    <cellStyle name="Normal 342 10" xfId="41278"/>
    <cellStyle name="Normal 342 2" xfId="16233"/>
    <cellStyle name="Normal 342 2 2" xfId="16234"/>
    <cellStyle name="Normal 342 2 2 2" xfId="16235"/>
    <cellStyle name="Normal 342 2 2 3" xfId="16236"/>
    <cellStyle name="Normal 342 2 3" xfId="16237"/>
    <cellStyle name="Normal 342 2 3 2" xfId="41279"/>
    <cellStyle name="Normal 342 2 3 3" xfId="41280"/>
    <cellStyle name="Normal 342 2 4" xfId="16238"/>
    <cellStyle name="Normal 342 2 5" xfId="16239"/>
    <cellStyle name="Normal 342 2 6" xfId="41281"/>
    <cellStyle name="Normal 342 2 7" xfId="41282"/>
    <cellStyle name="Normal 342 2 8" xfId="41283"/>
    <cellStyle name="Normal 342 3" xfId="16240"/>
    <cellStyle name="Normal 342 3 2" xfId="16241"/>
    <cellStyle name="Normal 342 3 2 2" xfId="41284"/>
    <cellStyle name="Normal 342 3 2 3" xfId="41285"/>
    <cellStyle name="Normal 342 3 3" xfId="16242"/>
    <cellStyle name="Normal 342 3 3 2" xfId="41286"/>
    <cellStyle name="Normal 342 3 3 3" xfId="41287"/>
    <cellStyle name="Normal 342 3 4" xfId="41288"/>
    <cellStyle name="Normal 342 3 5" xfId="41289"/>
    <cellStyle name="Normal 342 4" xfId="16243"/>
    <cellStyle name="Normal 342 4 2" xfId="41290"/>
    <cellStyle name="Normal 342 4 3" xfId="41291"/>
    <cellStyle name="Normal 342 5" xfId="16244"/>
    <cellStyle name="Normal 342 5 2" xfId="41292"/>
    <cellStyle name="Normal 342 5 3" xfId="41293"/>
    <cellStyle name="Normal 342 6" xfId="16245"/>
    <cellStyle name="Normal 342 7" xfId="41294"/>
    <cellStyle name="Normal 342 8" xfId="41295"/>
    <cellStyle name="Normal 342 9" xfId="41296"/>
    <cellStyle name="Normal 3420" xfId="16246"/>
    <cellStyle name="Normal 3420 2" xfId="16247"/>
    <cellStyle name="Normal 3420 2 2" xfId="41297"/>
    <cellStyle name="Normal 3420 2 3" xfId="41298"/>
    <cellStyle name="Normal 3420 3" xfId="16248"/>
    <cellStyle name="Normal 3420 4" xfId="41299"/>
    <cellStyle name="Normal 3421" xfId="16249"/>
    <cellStyle name="Normal 3421 2" xfId="16250"/>
    <cellStyle name="Normal 3421 2 2" xfId="41300"/>
    <cellStyle name="Normal 3421 2 3" xfId="41301"/>
    <cellStyle name="Normal 3421 3" xfId="16251"/>
    <cellStyle name="Normal 3421 4" xfId="41302"/>
    <cellStyle name="Normal 3422" xfId="16252"/>
    <cellStyle name="Normal 3422 2" xfId="16253"/>
    <cellStyle name="Normal 3422 2 2" xfId="41303"/>
    <cellStyle name="Normal 3422 2 3" xfId="41304"/>
    <cellStyle name="Normal 3422 3" xfId="16254"/>
    <cellStyle name="Normal 3422 4" xfId="41305"/>
    <cellStyle name="Normal 3423" xfId="16255"/>
    <cellStyle name="Normal 3423 2" xfId="16256"/>
    <cellStyle name="Normal 3423 2 2" xfId="41306"/>
    <cellStyle name="Normal 3423 2 3" xfId="41307"/>
    <cellStyle name="Normal 3423 3" xfId="16257"/>
    <cellStyle name="Normal 3423 4" xfId="41308"/>
    <cellStyle name="Normal 3424" xfId="16258"/>
    <cellStyle name="Normal 3424 2" xfId="16259"/>
    <cellStyle name="Normal 3424 2 2" xfId="41309"/>
    <cellStyle name="Normal 3424 2 3" xfId="41310"/>
    <cellStyle name="Normal 3424 3" xfId="16260"/>
    <cellStyle name="Normal 3424 4" xfId="41311"/>
    <cellStyle name="Normal 3425" xfId="16261"/>
    <cellStyle name="Normal 3425 2" xfId="16262"/>
    <cellStyle name="Normal 3425 2 2" xfId="41312"/>
    <cellStyle name="Normal 3425 2 3" xfId="41313"/>
    <cellStyle name="Normal 3425 3" xfId="16263"/>
    <cellStyle name="Normal 3425 4" xfId="41314"/>
    <cellStyle name="Normal 3426" xfId="16264"/>
    <cellStyle name="Normal 3426 2" xfId="16265"/>
    <cellStyle name="Normal 3426 2 2" xfId="41315"/>
    <cellStyle name="Normal 3426 2 3" xfId="41316"/>
    <cellStyle name="Normal 3426 3" xfId="16266"/>
    <cellStyle name="Normal 3426 4" xfId="41317"/>
    <cellStyle name="Normal 3427" xfId="16267"/>
    <cellStyle name="Normal 3427 2" xfId="16268"/>
    <cellStyle name="Normal 3427 2 2" xfId="41318"/>
    <cellStyle name="Normal 3427 2 3" xfId="41319"/>
    <cellStyle name="Normal 3427 3" xfId="16269"/>
    <cellStyle name="Normal 3427 4" xfId="41320"/>
    <cellStyle name="Normal 3428" xfId="16270"/>
    <cellStyle name="Normal 3428 2" xfId="16271"/>
    <cellStyle name="Normal 3428 2 2" xfId="41321"/>
    <cellStyle name="Normal 3428 2 3" xfId="41322"/>
    <cellStyle name="Normal 3428 3" xfId="16272"/>
    <cellStyle name="Normal 3428 4" xfId="41323"/>
    <cellStyle name="Normal 3429" xfId="16273"/>
    <cellStyle name="Normal 3429 2" xfId="16274"/>
    <cellStyle name="Normal 3429 2 2" xfId="41324"/>
    <cellStyle name="Normal 3429 2 3" xfId="41325"/>
    <cellStyle name="Normal 3429 3" xfId="16275"/>
    <cellStyle name="Normal 3429 4" xfId="41326"/>
    <cellStyle name="Normal 343" xfId="16276"/>
    <cellStyle name="Normal 343 10" xfId="41327"/>
    <cellStyle name="Normal 343 2" xfId="16277"/>
    <cellStyle name="Normal 343 2 2" xfId="16278"/>
    <cellStyle name="Normal 343 2 2 2" xfId="16279"/>
    <cellStyle name="Normal 343 2 2 3" xfId="16280"/>
    <cellStyle name="Normal 343 2 3" xfId="16281"/>
    <cellStyle name="Normal 343 2 3 2" xfId="41328"/>
    <cellStyle name="Normal 343 2 3 3" xfId="41329"/>
    <cellStyle name="Normal 343 2 4" xfId="16282"/>
    <cellStyle name="Normal 343 2 5" xfId="16283"/>
    <cellStyle name="Normal 343 2 6" xfId="41330"/>
    <cellStyle name="Normal 343 2 7" xfId="41331"/>
    <cellStyle name="Normal 343 2 8" xfId="41332"/>
    <cellStyle name="Normal 343 3" xfId="16284"/>
    <cellStyle name="Normal 343 3 2" xfId="16285"/>
    <cellStyle name="Normal 343 3 2 2" xfId="41333"/>
    <cellStyle name="Normal 343 3 2 3" xfId="41334"/>
    <cellStyle name="Normal 343 3 3" xfId="16286"/>
    <cellStyle name="Normal 343 3 3 2" xfId="41335"/>
    <cellStyle name="Normal 343 3 3 3" xfId="41336"/>
    <cellStyle name="Normal 343 3 4" xfId="41337"/>
    <cellStyle name="Normal 343 3 5" xfId="41338"/>
    <cellStyle name="Normal 343 4" xfId="16287"/>
    <cellStyle name="Normal 343 4 2" xfId="41339"/>
    <cellStyle name="Normal 343 4 3" xfId="41340"/>
    <cellStyle name="Normal 343 5" xfId="16288"/>
    <cellStyle name="Normal 343 5 2" xfId="41341"/>
    <cellStyle name="Normal 343 5 3" xfId="41342"/>
    <cellStyle name="Normal 343 6" xfId="16289"/>
    <cellStyle name="Normal 343 7" xfId="41343"/>
    <cellStyle name="Normal 343 8" xfId="41344"/>
    <cellStyle name="Normal 343 9" xfId="41345"/>
    <cellStyle name="Normal 3430" xfId="16290"/>
    <cellStyle name="Normal 3430 2" xfId="16291"/>
    <cellStyle name="Normal 3430 2 2" xfId="41346"/>
    <cellStyle name="Normal 3430 2 3" xfId="41347"/>
    <cellStyle name="Normal 3430 3" xfId="16292"/>
    <cellStyle name="Normal 3430 4" xfId="41348"/>
    <cellStyle name="Normal 3431" xfId="16293"/>
    <cellStyle name="Normal 3431 2" xfId="16294"/>
    <cellStyle name="Normal 3431 2 2" xfId="41349"/>
    <cellStyle name="Normal 3431 2 3" xfId="41350"/>
    <cellStyle name="Normal 3431 3" xfId="16295"/>
    <cellStyle name="Normal 3431 4" xfId="41351"/>
    <cellStyle name="Normal 3432" xfId="16296"/>
    <cellStyle name="Normal 3432 2" xfId="16297"/>
    <cellStyle name="Normal 3432 2 2" xfId="41352"/>
    <cellStyle name="Normal 3432 2 3" xfId="41353"/>
    <cellStyle name="Normal 3432 3" xfId="16298"/>
    <cellStyle name="Normal 3432 4" xfId="41354"/>
    <cellStyle name="Normal 3433" xfId="16299"/>
    <cellStyle name="Normal 3433 2" xfId="16300"/>
    <cellStyle name="Normal 3433 2 2" xfId="41355"/>
    <cellStyle name="Normal 3433 2 3" xfId="41356"/>
    <cellStyle name="Normal 3433 3" xfId="16301"/>
    <cellStyle name="Normal 3433 4" xfId="41357"/>
    <cellStyle name="Normal 3434" xfId="16302"/>
    <cellStyle name="Normal 3434 2" xfId="16303"/>
    <cellStyle name="Normal 3434 2 2" xfId="41358"/>
    <cellStyle name="Normal 3434 2 3" xfId="41359"/>
    <cellStyle name="Normal 3434 3" xfId="16304"/>
    <cellStyle name="Normal 3434 4" xfId="41360"/>
    <cellStyle name="Normal 3435" xfId="16305"/>
    <cellStyle name="Normal 3435 2" xfId="16306"/>
    <cellStyle name="Normal 3435 2 2" xfId="41361"/>
    <cellStyle name="Normal 3435 2 3" xfId="41362"/>
    <cellStyle name="Normal 3435 3" xfId="16307"/>
    <cellStyle name="Normal 3435 4" xfId="41363"/>
    <cellStyle name="Normal 3436" xfId="16308"/>
    <cellStyle name="Normal 3436 2" xfId="16309"/>
    <cellStyle name="Normal 3436 2 2" xfId="41364"/>
    <cellStyle name="Normal 3436 2 3" xfId="41365"/>
    <cellStyle name="Normal 3436 3" xfId="16310"/>
    <cellStyle name="Normal 3436 4" xfId="41366"/>
    <cellStyle name="Normal 3437" xfId="16311"/>
    <cellStyle name="Normal 3437 2" xfId="16312"/>
    <cellStyle name="Normal 3437 2 2" xfId="41367"/>
    <cellStyle name="Normal 3437 2 3" xfId="41368"/>
    <cellStyle name="Normal 3437 3" xfId="16313"/>
    <cellStyle name="Normal 3437 4" xfId="41369"/>
    <cellStyle name="Normal 3438" xfId="16314"/>
    <cellStyle name="Normal 3438 2" xfId="16315"/>
    <cellStyle name="Normal 3438 2 2" xfId="41370"/>
    <cellStyle name="Normal 3438 2 3" xfId="41371"/>
    <cellStyle name="Normal 3438 3" xfId="16316"/>
    <cellStyle name="Normal 3438 4" xfId="41372"/>
    <cellStyle name="Normal 3439" xfId="16317"/>
    <cellStyle name="Normal 3439 2" xfId="16318"/>
    <cellStyle name="Normal 3439 2 2" xfId="41373"/>
    <cellStyle name="Normal 3439 2 3" xfId="41374"/>
    <cellStyle name="Normal 3439 3" xfId="16319"/>
    <cellStyle name="Normal 3439 4" xfId="41375"/>
    <cellStyle name="Normal 344" xfId="16320"/>
    <cellStyle name="Normal 344 10" xfId="41376"/>
    <cellStyle name="Normal 344 2" xfId="16321"/>
    <cellStyle name="Normal 344 2 2" xfId="16322"/>
    <cellStyle name="Normal 344 2 2 2" xfId="16323"/>
    <cellStyle name="Normal 344 2 2 3" xfId="16324"/>
    <cellStyle name="Normal 344 2 3" xfId="16325"/>
    <cellStyle name="Normal 344 2 3 2" xfId="41377"/>
    <cellStyle name="Normal 344 2 3 3" xfId="41378"/>
    <cellStyle name="Normal 344 2 4" xfId="16326"/>
    <cellStyle name="Normal 344 2 5" xfId="16327"/>
    <cellStyle name="Normal 344 2 6" xfId="41379"/>
    <cellStyle name="Normal 344 2 7" xfId="41380"/>
    <cellStyle name="Normal 344 2 8" xfId="41381"/>
    <cellStyle name="Normal 344 3" xfId="16328"/>
    <cellStyle name="Normal 344 3 2" xfId="16329"/>
    <cellStyle name="Normal 344 3 2 2" xfId="41382"/>
    <cellStyle name="Normal 344 3 2 3" xfId="41383"/>
    <cellStyle name="Normal 344 3 3" xfId="16330"/>
    <cellStyle name="Normal 344 3 3 2" xfId="41384"/>
    <cellStyle name="Normal 344 3 3 3" xfId="41385"/>
    <cellStyle name="Normal 344 3 4" xfId="41386"/>
    <cellStyle name="Normal 344 3 5" xfId="41387"/>
    <cellStyle name="Normal 344 4" xfId="16331"/>
    <cellStyle name="Normal 344 4 2" xfId="41388"/>
    <cellStyle name="Normal 344 4 3" xfId="41389"/>
    <cellStyle name="Normal 344 5" xfId="16332"/>
    <cellStyle name="Normal 344 5 2" xfId="41390"/>
    <cellStyle name="Normal 344 5 3" xfId="41391"/>
    <cellStyle name="Normal 344 6" xfId="16333"/>
    <cellStyle name="Normal 344 7" xfId="41392"/>
    <cellStyle name="Normal 344 8" xfId="41393"/>
    <cellStyle name="Normal 344 9" xfId="41394"/>
    <cellStyle name="Normal 3440" xfId="16334"/>
    <cellStyle name="Normal 3440 2" xfId="16335"/>
    <cellStyle name="Normal 3440 2 2" xfId="41395"/>
    <cellStyle name="Normal 3440 2 3" xfId="41396"/>
    <cellStyle name="Normal 3440 3" xfId="16336"/>
    <cellStyle name="Normal 3440 4" xfId="41397"/>
    <cellStyle name="Normal 3441" xfId="16337"/>
    <cellStyle name="Normal 3441 2" xfId="16338"/>
    <cellStyle name="Normal 3441 2 2" xfId="41398"/>
    <cellStyle name="Normal 3441 2 3" xfId="41399"/>
    <cellStyle name="Normal 3441 3" xfId="16339"/>
    <cellStyle name="Normal 3441 4" xfId="41400"/>
    <cellStyle name="Normal 3442" xfId="16340"/>
    <cellStyle name="Normal 3442 2" xfId="16341"/>
    <cellStyle name="Normal 3442 2 2" xfId="41401"/>
    <cellStyle name="Normal 3442 2 3" xfId="41402"/>
    <cellStyle name="Normal 3442 3" xfId="16342"/>
    <cellStyle name="Normal 3442 4" xfId="41403"/>
    <cellStyle name="Normal 3443" xfId="16343"/>
    <cellStyle name="Normal 3443 2" xfId="16344"/>
    <cellStyle name="Normal 3443 2 2" xfId="41404"/>
    <cellStyle name="Normal 3443 2 3" xfId="41405"/>
    <cellStyle name="Normal 3443 3" xfId="16345"/>
    <cellStyle name="Normal 3443 4" xfId="41406"/>
    <cellStyle name="Normal 3444" xfId="16346"/>
    <cellStyle name="Normal 3444 2" xfId="16347"/>
    <cellStyle name="Normal 3444 2 2" xfId="41407"/>
    <cellStyle name="Normal 3444 2 3" xfId="41408"/>
    <cellStyle name="Normal 3444 3" xfId="16348"/>
    <cellStyle name="Normal 3444 4" xfId="41409"/>
    <cellStyle name="Normal 3445" xfId="16349"/>
    <cellStyle name="Normal 3445 2" xfId="16350"/>
    <cellStyle name="Normal 3445 2 2" xfId="41410"/>
    <cellStyle name="Normal 3445 2 3" xfId="41411"/>
    <cellStyle name="Normal 3445 3" xfId="16351"/>
    <cellStyle name="Normal 3445 4" xfId="41412"/>
    <cellStyle name="Normal 3446" xfId="16352"/>
    <cellStyle name="Normal 3446 2" xfId="16353"/>
    <cellStyle name="Normal 3446 2 2" xfId="41413"/>
    <cellStyle name="Normal 3446 2 3" xfId="41414"/>
    <cellStyle name="Normal 3446 3" xfId="16354"/>
    <cellStyle name="Normal 3446 4" xfId="41415"/>
    <cellStyle name="Normal 3447" xfId="16355"/>
    <cellStyle name="Normal 3447 2" xfId="16356"/>
    <cellStyle name="Normal 3447 2 2" xfId="41416"/>
    <cellStyle name="Normal 3447 2 3" xfId="41417"/>
    <cellStyle name="Normal 3447 3" xfId="16357"/>
    <cellStyle name="Normal 3447 4" xfId="41418"/>
    <cellStyle name="Normal 3448" xfId="16358"/>
    <cellStyle name="Normal 3448 2" xfId="16359"/>
    <cellStyle name="Normal 3448 2 2" xfId="41419"/>
    <cellStyle name="Normal 3448 2 3" xfId="41420"/>
    <cellStyle name="Normal 3448 3" xfId="16360"/>
    <cellStyle name="Normal 3448 4" xfId="41421"/>
    <cellStyle name="Normal 3449" xfId="16361"/>
    <cellStyle name="Normal 3449 2" xfId="16362"/>
    <cellStyle name="Normal 3449 2 2" xfId="41422"/>
    <cellStyle name="Normal 3449 2 3" xfId="41423"/>
    <cellStyle name="Normal 3449 3" xfId="16363"/>
    <cellStyle name="Normal 3449 4" xfId="41424"/>
    <cellStyle name="Normal 345" xfId="16364"/>
    <cellStyle name="Normal 345 10" xfId="41425"/>
    <cellStyle name="Normal 345 2" xfId="16365"/>
    <cellStyle name="Normal 345 2 2" xfId="16366"/>
    <cellStyle name="Normal 345 2 2 2" xfId="16367"/>
    <cellStyle name="Normal 345 2 2 3" xfId="16368"/>
    <cellStyle name="Normal 345 2 3" xfId="16369"/>
    <cellStyle name="Normal 345 2 3 2" xfId="41426"/>
    <cellStyle name="Normal 345 2 3 3" xfId="41427"/>
    <cellStyle name="Normal 345 2 4" xfId="16370"/>
    <cellStyle name="Normal 345 2 5" xfId="16371"/>
    <cellStyle name="Normal 345 2 6" xfId="41428"/>
    <cellStyle name="Normal 345 2 7" xfId="41429"/>
    <cellStyle name="Normal 345 2 8" xfId="41430"/>
    <cellStyle name="Normal 345 3" xfId="16372"/>
    <cellStyle name="Normal 345 3 2" xfId="16373"/>
    <cellStyle name="Normal 345 3 2 2" xfId="41431"/>
    <cellStyle name="Normal 345 3 2 3" xfId="41432"/>
    <cellStyle name="Normal 345 3 3" xfId="16374"/>
    <cellStyle name="Normal 345 3 3 2" xfId="41433"/>
    <cellStyle name="Normal 345 3 3 3" xfId="41434"/>
    <cellStyle name="Normal 345 3 4" xfId="41435"/>
    <cellStyle name="Normal 345 3 5" xfId="41436"/>
    <cellStyle name="Normal 345 4" xfId="16375"/>
    <cellStyle name="Normal 345 4 2" xfId="41437"/>
    <cellStyle name="Normal 345 4 3" xfId="41438"/>
    <cellStyle name="Normal 345 5" xfId="16376"/>
    <cellStyle name="Normal 345 5 2" xfId="41439"/>
    <cellStyle name="Normal 345 5 3" xfId="41440"/>
    <cellStyle name="Normal 345 6" xfId="16377"/>
    <cellStyle name="Normal 345 7" xfId="41441"/>
    <cellStyle name="Normal 345 8" xfId="41442"/>
    <cellStyle name="Normal 345 9" xfId="41443"/>
    <cellStyle name="Normal 3450" xfId="16378"/>
    <cellStyle name="Normal 3450 2" xfId="16379"/>
    <cellStyle name="Normal 3450 2 2" xfId="41444"/>
    <cellStyle name="Normal 3450 2 3" xfId="41445"/>
    <cellStyle name="Normal 3450 3" xfId="16380"/>
    <cellStyle name="Normal 3450 4" xfId="41446"/>
    <cellStyle name="Normal 3451" xfId="16381"/>
    <cellStyle name="Normal 3451 2" xfId="16382"/>
    <cellStyle name="Normal 3451 2 2" xfId="41447"/>
    <cellStyle name="Normal 3451 2 3" xfId="41448"/>
    <cellStyle name="Normal 3451 3" xfId="16383"/>
    <cellStyle name="Normal 3451 4" xfId="41449"/>
    <cellStyle name="Normal 3452" xfId="16384"/>
    <cellStyle name="Normal 3452 2" xfId="16385"/>
    <cellStyle name="Normal 3452 2 2" xfId="41450"/>
    <cellStyle name="Normal 3452 2 3" xfId="41451"/>
    <cellStyle name="Normal 3452 3" xfId="16386"/>
    <cellStyle name="Normal 3452 4" xfId="41452"/>
    <cellStyle name="Normal 3453" xfId="16387"/>
    <cellStyle name="Normal 3453 2" xfId="16388"/>
    <cellStyle name="Normal 3453 2 2" xfId="41453"/>
    <cellStyle name="Normal 3453 2 3" xfId="41454"/>
    <cellStyle name="Normal 3453 3" xfId="16389"/>
    <cellStyle name="Normal 3453 4" xfId="41455"/>
    <cellStyle name="Normal 3454" xfId="16390"/>
    <cellStyle name="Normal 3454 2" xfId="16391"/>
    <cellStyle name="Normal 3454 2 2" xfId="41456"/>
    <cellStyle name="Normal 3454 2 3" xfId="41457"/>
    <cellStyle name="Normal 3454 3" xfId="16392"/>
    <cellStyle name="Normal 3454 4" xfId="41458"/>
    <cellStyle name="Normal 3455" xfId="16393"/>
    <cellStyle name="Normal 3455 2" xfId="16394"/>
    <cellStyle name="Normal 3455 2 2" xfId="41459"/>
    <cellStyle name="Normal 3455 2 3" xfId="41460"/>
    <cellStyle name="Normal 3455 3" xfId="16395"/>
    <cellStyle name="Normal 3455 4" xfId="41461"/>
    <cellStyle name="Normal 3456" xfId="16396"/>
    <cellStyle name="Normal 3456 2" xfId="16397"/>
    <cellStyle name="Normal 3456 2 2" xfId="41462"/>
    <cellStyle name="Normal 3456 2 3" xfId="41463"/>
    <cellStyle name="Normal 3456 3" xfId="16398"/>
    <cellStyle name="Normal 3456 4" xfId="41464"/>
    <cellStyle name="Normal 3457" xfId="16399"/>
    <cellStyle name="Normal 3457 2" xfId="16400"/>
    <cellStyle name="Normal 3457 2 2" xfId="41465"/>
    <cellStyle name="Normal 3457 2 3" xfId="41466"/>
    <cellStyle name="Normal 3457 3" xfId="16401"/>
    <cellStyle name="Normal 3457 4" xfId="41467"/>
    <cellStyle name="Normal 3458" xfId="16402"/>
    <cellStyle name="Normal 3458 2" xfId="16403"/>
    <cellStyle name="Normal 3458 2 2" xfId="41468"/>
    <cellStyle name="Normal 3458 2 3" xfId="41469"/>
    <cellStyle name="Normal 3458 3" xfId="16404"/>
    <cellStyle name="Normal 3458 4" xfId="41470"/>
    <cellStyle name="Normal 3459" xfId="16405"/>
    <cellStyle name="Normal 3459 2" xfId="16406"/>
    <cellStyle name="Normal 3459 2 2" xfId="41471"/>
    <cellStyle name="Normal 3459 2 3" xfId="41472"/>
    <cellStyle name="Normal 3459 3" xfId="16407"/>
    <cellStyle name="Normal 3459 4" xfId="41473"/>
    <cellStyle name="Normal 346" xfId="16408"/>
    <cellStyle name="Normal 346 10" xfId="41474"/>
    <cellStyle name="Normal 346 2" xfId="16409"/>
    <cellStyle name="Normal 346 2 2" xfId="16410"/>
    <cellStyle name="Normal 346 2 2 2" xfId="16411"/>
    <cellStyle name="Normal 346 2 2 3" xfId="16412"/>
    <cellStyle name="Normal 346 2 3" xfId="16413"/>
    <cellStyle name="Normal 346 2 3 2" xfId="41475"/>
    <cellStyle name="Normal 346 2 3 3" xfId="41476"/>
    <cellStyle name="Normal 346 2 4" xfId="16414"/>
    <cellStyle name="Normal 346 2 5" xfId="16415"/>
    <cellStyle name="Normal 346 2 6" xfId="41477"/>
    <cellStyle name="Normal 346 2 7" xfId="41478"/>
    <cellStyle name="Normal 346 2 8" xfId="41479"/>
    <cellStyle name="Normal 346 3" xfId="16416"/>
    <cellStyle name="Normal 346 3 2" xfId="16417"/>
    <cellStyle name="Normal 346 3 2 2" xfId="41480"/>
    <cellStyle name="Normal 346 3 2 3" xfId="41481"/>
    <cellStyle name="Normal 346 3 3" xfId="16418"/>
    <cellStyle name="Normal 346 3 3 2" xfId="41482"/>
    <cellStyle name="Normal 346 3 3 3" xfId="41483"/>
    <cellStyle name="Normal 346 3 4" xfId="41484"/>
    <cellStyle name="Normal 346 3 5" xfId="41485"/>
    <cellStyle name="Normal 346 4" xfId="16419"/>
    <cellStyle name="Normal 346 4 2" xfId="41486"/>
    <cellStyle name="Normal 346 4 3" xfId="41487"/>
    <cellStyle name="Normal 346 5" xfId="16420"/>
    <cellStyle name="Normal 346 5 2" xfId="41488"/>
    <cellStyle name="Normal 346 5 3" xfId="41489"/>
    <cellStyle name="Normal 346 6" xfId="16421"/>
    <cellStyle name="Normal 346 7" xfId="41490"/>
    <cellStyle name="Normal 346 8" xfId="41491"/>
    <cellStyle name="Normal 346 9" xfId="41492"/>
    <cellStyle name="Normal 3460" xfId="16422"/>
    <cellStyle name="Normal 3460 2" xfId="16423"/>
    <cellStyle name="Normal 3460 2 2" xfId="41493"/>
    <cellStyle name="Normal 3460 2 3" xfId="41494"/>
    <cellStyle name="Normal 3460 3" xfId="16424"/>
    <cellStyle name="Normal 3460 4" xfId="41495"/>
    <cellStyle name="Normal 3461" xfId="16425"/>
    <cellStyle name="Normal 3461 2" xfId="16426"/>
    <cellStyle name="Normal 3461 2 2" xfId="41496"/>
    <cellStyle name="Normal 3461 2 3" xfId="41497"/>
    <cellStyle name="Normal 3461 3" xfId="16427"/>
    <cellStyle name="Normal 3461 4" xfId="41498"/>
    <cellStyle name="Normal 3462" xfId="16428"/>
    <cellStyle name="Normal 3462 2" xfId="16429"/>
    <cellStyle name="Normal 3462 2 2" xfId="41499"/>
    <cellStyle name="Normal 3462 2 3" xfId="41500"/>
    <cellStyle name="Normal 3462 3" xfId="16430"/>
    <cellStyle name="Normal 3462 4" xfId="41501"/>
    <cellStyle name="Normal 3463" xfId="16431"/>
    <cellStyle name="Normal 3463 2" xfId="16432"/>
    <cellStyle name="Normal 3463 2 2" xfId="41502"/>
    <cellStyle name="Normal 3463 2 3" xfId="41503"/>
    <cellStyle name="Normal 3463 3" xfId="16433"/>
    <cellStyle name="Normal 3463 4" xfId="41504"/>
    <cellStyle name="Normal 3464" xfId="16434"/>
    <cellStyle name="Normal 3464 2" xfId="16435"/>
    <cellStyle name="Normal 3464 2 2" xfId="41505"/>
    <cellStyle name="Normal 3464 2 3" xfId="41506"/>
    <cellStyle name="Normal 3464 3" xfId="16436"/>
    <cellStyle name="Normal 3464 4" xfId="41507"/>
    <cellStyle name="Normal 3465" xfId="16437"/>
    <cellStyle name="Normal 3465 2" xfId="16438"/>
    <cellStyle name="Normal 3465 2 2" xfId="41508"/>
    <cellStyle name="Normal 3465 2 3" xfId="41509"/>
    <cellStyle name="Normal 3465 3" xfId="16439"/>
    <cellStyle name="Normal 3465 4" xfId="41510"/>
    <cellStyle name="Normal 3466" xfId="16440"/>
    <cellStyle name="Normal 3466 2" xfId="16441"/>
    <cellStyle name="Normal 3466 2 2" xfId="41511"/>
    <cellStyle name="Normal 3466 2 3" xfId="41512"/>
    <cellStyle name="Normal 3466 3" xfId="16442"/>
    <cellStyle name="Normal 3466 4" xfId="41513"/>
    <cellStyle name="Normal 3467" xfId="16443"/>
    <cellStyle name="Normal 3467 2" xfId="16444"/>
    <cellStyle name="Normal 3467 2 2" xfId="41514"/>
    <cellStyle name="Normal 3467 2 3" xfId="41515"/>
    <cellStyle name="Normal 3467 3" xfId="16445"/>
    <cellStyle name="Normal 3467 4" xfId="41516"/>
    <cellStyle name="Normal 3468" xfId="16446"/>
    <cellStyle name="Normal 3468 2" xfId="16447"/>
    <cellStyle name="Normal 3468 2 2" xfId="41517"/>
    <cellStyle name="Normal 3468 2 3" xfId="41518"/>
    <cellStyle name="Normal 3468 3" xfId="16448"/>
    <cellStyle name="Normal 3468 4" xfId="41519"/>
    <cellStyle name="Normal 3469" xfId="16449"/>
    <cellStyle name="Normal 3469 2" xfId="16450"/>
    <cellStyle name="Normal 3469 2 2" xfId="41520"/>
    <cellStyle name="Normal 3469 2 3" xfId="41521"/>
    <cellStyle name="Normal 3469 3" xfId="16451"/>
    <cellStyle name="Normal 3469 4" xfId="41522"/>
    <cellStyle name="Normal 347" xfId="16452"/>
    <cellStyle name="Normal 347 10" xfId="41523"/>
    <cellStyle name="Normal 347 2" xfId="16453"/>
    <cellStyle name="Normal 347 2 2" xfId="16454"/>
    <cellStyle name="Normal 347 2 2 2" xfId="16455"/>
    <cellStyle name="Normal 347 2 2 3" xfId="16456"/>
    <cellStyle name="Normal 347 2 3" xfId="16457"/>
    <cellStyle name="Normal 347 2 3 2" xfId="41524"/>
    <cellStyle name="Normal 347 2 3 3" xfId="41525"/>
    <cellStyle name="Normal 347 2 4" xfId="16458"/>
    <cellStyle name="Normal 347 2 5" xfId="16459"/>
    <cellStyle name="Normal 347 2 6" xfId="41526"/>
    <cellStyle name="Normal 347 2 7" xfId="41527"/>
    <cellStyle name="Normal 347 2 8" xfId="41528"/>
    <cellStyle name="Normal 347 3" xfId="16460"/>
    <cellStyle name="Normal 347 3 2" xfId="16461"/>
    <cellStyle name="Normal 347 3 2 2" xfId="41529"/>
    <cellStyle name="Normal 347 3 2 3" xfId="41530"/>
    <cellStyle name="Normal 347 3 3" xfId="16462"/>
    <cellStyle name="Normal 347 3 3 2" xfId="41531"/>
    <cellStyle name="Normal 347 3 3 3" xfId="41532"/>
    <cellStyle name="Normal 347 3 4" xfId="41533"/>
    <cellStyle name="Normal 347 3 5" xfId="41534"/>
    <cellStyle name="Normal 347 4" xfId="16463"/>
    <cellStyle name="Normal 347 4 2" xfId="41535"/>
    <cellStyle name="Normal 347 4 3" xfId="41536"/>
    <cellStyle name="Normal 347 5" xfId="16464"/>
    <cellStyle name="Normal 347 5 2" xfId="41537"/>
    <cellStyle name="Normal 347 5 3" xfId="41538"/>
    <cellStyle name="Normal 347 6" xfId="16465"/>
    <cellStyle name="Normal 347 7" xfId="41539"/>
    <cellStyle name="Normal 347 8" xfId="41540"/>
    <cellStyle name="Normal 347 9" xfId="41541"/>
    <cellStyle name="Normal 3470" xfId="16466"/>
    <cellStyle name="Normal 3470 2" xfId="16467"/>
    <cellStyle name="Normal 3470 2 2" xfId="41542"/>
    <cellStyle name="Normal 3470 2 3" xfId="41543"/>
    <cellStyle name="Normal 3470 3" xfId="16468"/>
    <cellStyle name="Normal 3470 4" xfId="41544"/>
    <cellStyle name="Normal 3471" xfId="16469"/>
    <cellStyle name="Normal 3471 2" xfId="16470"/>
    <cellStyle name="Normal 3471 2 2" xfId="41545"/>
    <cellStyle name="Normal 3471 2 3" xfId="41546"/>
    <cellStyle name="Normal 3471 3" xfId="16471"/>
    <cellStyle name="Normal 3471 4" xfId="41547"/>
    <cellStyle name="Normal 3472" xfId="16472"/>
    <cellStyle name="Normal 3472 2" xfId="16473"/>
    <cellStyle name="Normal 3472 2 2" xfId="41548"/>
    <cellStyle name="Normal 3472 2 3" xfId="41549"/>
    <cellStyle name="Normal 3472 3" xfId="16474"/>
    <cellStyle name="Normal 3472 4" xfId="41550"/>
    <cellStyle name="Normal 3473" xfId="16475"/>
    <cellStyle name="Normal 3473 2" xfId="16476"/>
    <cellStyle name="Normal 3473 2 2" xfId="41551"/>
    <cellStyle name="Normal 3473 2 3" xfId="41552"/>
    <cellStyle name="Normal 3473 3" xfId="16477"/>
    <cellStyle name="Normal 3473 4" xfId="41553"/>
    <cellStyle name="Normal 3474" xfId="16478"/>
    <cellStyle name="Normal 3474 2" xfId="16479"/>
    <cellStyle name="Normal 3474 2 2" xfId="41554"/>
    <cellStyle name="Normal 3474 2 3" xfId="41555"/>
    <cellStyle name="Normal 3474 3" xfId="16480"/>
    <cellStyle name="Normal 3474 4" xfId="41556"/>
    <cellStyle name="Normal 3475" xfId="16481"/>
    <cellStyle name="Normal 3475 2" xfId="16482"/>
    <cellStyle name="Normal 3475 2 2" xfId="41557"/>
    <cellStyle name="Normal 3475 2 3" xfId="41558"/>
    <cellStyle name="Normal 3475 3" xfId="16483"/>
    <cellStyle name="Normal 3475 4" xfId="41559"/>
    <cellStyle name="Normal 3476" xfId="16484"/>
    <cellStyle name="Normal 3476 2" xfId="16485"/>
    <cellStyle name="Normal 3476 2 2" xfId="41560"/>
    <cellStyle name="Normal 3476 2 3" xfId="41561"/>
    <cellStyle name="Normal 3476 3" xfId="16486"/>
    <cellStyle name="Normal 3476 4" xfId="41562"/>
    <cellStyle name="Normal 3477" xfId="16487"/>
    <cellStyle name="Normal 3477 2" xfId="16488"/>
    <cellStyle name="Normal 3477 2 2" xfId="41563"/>
    <cellStyle name="Normal 3477 2 3" xfId="41564"/>
    <cellStyle name="Normal 3477 3" xfId="16489"/>
    <cellStyle name="Normal 3477 4" xfId="41565"/>
    <cellStyle name="Normal 3478" xfId="16490"/>
    <cellStyle name="Normal 3478 2" xfId="16491"/>
    <cellStyle name="Normal 3478 2 2" xfId="41566"/>
    <cellStyle name="Normal 3478 2 3" xfId="41567"/>
    <cellStyle name="Normal 3478 3" xfId="16492"/>
    <cellStyle name="Normal 3478 4" xfId="41568"/>
    <cellStyle name="Normal 3479" xfId="16493"/>
    <cellStyle name="Normal 3479 2" xfId="16494"/>
    <cellStyle name="Normal 3479 2 2" xfId="41569"/>
    <cellStyle name="Normal 3479 2 3" xfId="41570"/>
    <cellStyle name="Normal 3479 3" xfId="16495"/>
    <cellStyle name="Normal 3479 4" xfId="41571"/>
    <cellStyle name="Normal 348" xfId="16496"/>
    <cellStyle name="Normal 348 10" xfId="41572"/>
    <cellStyle name="Normal 348 2" xfId="16497"/>
    <cellStyle name="Normal 348 2 2" xfId="16498"/>
    <cellStyle name="Normal 348 2 2 2" xfId="16499"/>
    <cellStyle name="Normal 348 2 2 3" xfId="16500"/>
    <cellStyle name="Normal 348 2 3" xfId="16501"/>
    <cellStyle name="Normal 348 2 3 2" xfId="41573"/>
    <cellStyle name="Normal 348 2 3 3" xfId="41574"/>
    <cellStyle name="Normal 348 2 4" xfId="16502"/>
    <cellStyle name="Normal 348 2 5" xfId="16503"/>
    <cellStyle name="Normal 348 2 6" xfId="41575"/>
    <cellStyle name="Normal 348 2 7" xfId="41576"/>
    <cellStyle name="Normal 348 2 8" xfId="41577"/>
    <cellStyle name="Normal 348 3" xfId="16504"/>
    <cellStyle name="Normal 348 3 2" xfId="16505"/>
    <cellStyle name="Normal 348 3 2 2" xfId="41578"/>
    <cellStyle name="Normal 348 3 2 3" xfId="41579"/>
    <cellStyle name="Normal 348 3 3" xfId="16506"/>
    <cellStyle name="Normal 348 3 3 2" xfId="41580"/>
    <cellStyle name="Normal 348 3 3 3" xfId="41581"/>
    <cellStyle name="Normal 348 3 4" xfId="41582"/>
    <cellStyle name="Normal 348 3 5" xfId="41583"/>
    <cellStyle name="Normal 348 4" xfId="16507"/>
    <cellStyle name="Normal 348 4 2" xfId="41584"/>
    <cellStyle name="Normal 348 4 3" xfId="41585"/>
    <cellStyle name="Normal 348 5" xfId="16508"/>
    <cellStyle name="Normal 348 5 2" xfId="41586"/>
    <cellStyle name="Normal 348 5 3" xfId="41587"/>
    <cellStyle name="Normal 348 6" xfId="16509"/>
    <cellStyle name="Normal 348 7" xfId="41588"/>
    <cellStyle name="Normal 348 8" xfId="41589"/>
    <cellStyle name="Normal 348 9" xfId="41590"/>
    <cellStyle name="Normal 3480" xfId="16510"/>
    <cellStyle name="Normal 3480 2" xfId="16511"/>
    <cellStyle name="Normal 3480 2 2" xfId="41591"/>
    <cellStyle name="Normal 3480 2 3" xfId="41592"/>
    <cellStyle name="Normal 3480 3" xfId="16512"/>
    <cellStyle name="Normal 3480 4" xfId="41593"/>
    <cellStyle name="Normal 3481" xfId="16513"/>
    <cellStyle name="Normal 3481 2" xfId="16514"/>
    <cellStyle name="Normal 3481 2 2" xfId="41594"/>
    <cellStyle name="Normal 3481 2 3" xfId="41595"/>
    <cellStyle name="Normal 3481 3" xfId="16515"/>
    <cellStyle name="Normal 3481 4" xfId="41596"/>
    <cellStyle name="Normal 3482" xfId="16516"/>
    <cellStyle name="Normal 3482 2" xfId="16517"/>
    <cellStyle name="Normal 3482 2 2" xfId="41597"/>
    <cellStyle name="Normal 3482 2 3" xfId="41598"/>
    <cellStyle name="Normal 3482 3" xfId="16518"/>
    <cellStyle name="Normal 3482 4" xfId="41599"/>
    <cellStyle name="Normal 3483" xfId="16519"/>
    <cellStyle name="Normal 3483 2" xfId="16520"/>
    <cellStyle name="Normal 3483 2 2" xfId="41600"/>
    <cellStyle name="Normal 3483 2 3" xfId="41601"/>
    <cellStyle name="Normal 3483 3" xfId="16521"/>
    <cellStyle name="Normal 3483 4" xfId="41602"/>
    <cellStyle name="Normal 3484" xfId="16522"/>
    <cellStyle name="Normal 3484 2" xfId="16523"/>
    <cellStyle name="Normal 3484 2 2" xfId="41603"/>
    <cellStyle name="Normal 3484 2 3" xfId="41604"/>
    <cellStyle name="Normal 3484 3" xfId="16524"/>
    <cellStyle name="Normal 3484 4" xfId="41605"/>
    <cellStyle name="Normal 3485" xfId="16525"/>
    <cellStyle name="Normal 3485 2" xfId="16526"/>
    <cellStyle name="Normal 3485 2 2" xfId="41606"/>
    <cellStyle name="Normal 3485 2 3" xfId="41607"/>
    <cellStyle name="Normal 3485 3" xfId="16527"/>
    <cellStyle name="Normal 3485 4" xfId="41608"/>
    <cellStyle name="Normal 3486" xfId="16528"/>
    <cellStyle name="Normal 3486 2" xfId="16529"/>
    <cellStyle name="Normal 3486 2 2" xfId="41609"/>
    <cellStyle name="Normal 3486 2 3" xfId="41610"/>
    <cellStyle name="Normal 3486 3" xfId="16530"/>
    <cellStyle name="Normal 3486 4" xfId="41611"/>
    <cellStyle name="Normal 3487" xfId="16531"/>
    <cellStyle name="Normal 3487 2" xfId="16532"/>
    <cellStyle name="Normal 3487 2 2" xfId="41612"/>
    <cellStyle name="Normal 3487 2 3" xfId="41613"/>
    <cellStyle name="Normal 3487 3" xfId="16533"/>
    <cellStyle name="Normal 3487 4" xfId="41614"/>
    <cellStyle name="Normal 3488" xfId="16534"/>
    <cellStyle name="Normal 3488 2" xfId="16535"/>
    <cellStyle name="Normal 3488 2 2" xfId="41615"/>
    <cellStyle name="Normal 3488 2 3" xfId="41616"/>
    <cellStyle name="Normal 3488 3" xfId="16536"/>
    <cellStyle name="Normal 3488 4" xfId="41617"/>
    <cellStyle name="Normal 3489" xfId="16537"/>
    <cellStyle name="Normal 3489 2" xfId="16538"/>
    <cellStyle name="Normal 3489 2 2" xfId="41618"/>
    <cellStyle name="Normal 3489 2 3" xfId="41619"/>
    <cellStyle name="Normal 3489 3" xfId="16539"/>
    <cellStyle name="Normal 3489 4" xfId="41620"/>
    <cellStyle name="Normal 349" xfId="16540"/>
    <cellStyle name="Normal 349 10" xfId="41621"/>
    <cellStyle name="Normal 349 2" xfId="16541"/>
    <cellStyle name="Normal 349 2 2" xfId="16542"/>
    <cellStyle name="Normal 349 2 2 2" xfId="16543"/>
    <cellStyle name="Normal 349 2 2 3" xfId="16544"/>
    <cellStyle name="Normal 349 2 3" xfId="16545"/>
    <cellStyle name="Normal 349 2 3 2" xfId="41622"/>
    <cellStyle name="Normal 349 2 3 3" xfId="41623"/>
    <cellStyle name="Normal 349 2 4" xfId="16546"/>
    <cellStyle name="Normal 349 2 5" xfId="16547"/>
    <cellStyle name="Normal 349 2 6" xfId="41624"/>
    <cellStyle name="Normal 349 2 7" xfId="41625"/>
    <cellStyle name="Normal 349 2 8" xfId="41626"/>
    <cellStyle name="Normal 349 3" xfId="16548"/>
    <cellStyle name="Normal 349 3 2" xfId="16549"/>
    <cellStyle name="Normal 349 3 2 2" xfId="41627"/>
    <cellStyle name="Normal 349 3 2 3" xfId="41628"/>
    <cellStyle name="Normal 349 3 3" xfId="16550"/>
    <cellStyle name="Normal 349 3 3 2" xfId="41629"/>
    <cellStyle name="Normal 349 3 3 3" xfId="41630"/>
    <cellStyle name="Normal 349 3 4" xfId="41631"/>
    <cellStyle name="Normal 349 3 5" xfId="41632"/>
    <cellStyle name="Normal 349 4" xfId="16551"/>
    <cellStyle name="Normal 349 4 2" xfId="41633"/>
    <cellStyle name="Normal 349 4 3" xfId="41634"/>
    <cellStyle name="Normal 349 5" xfId="16552"/>
    <cellStyle name="Normal 349 5 2" xfId="41635"/>
    <cellStyle name="Normal 349 5 3" xfId="41636"/>
    <cellStyle name="Normal 349 6" xfId="16553"/>
    <cellStyle name="Normal 349 7" xfId="41637"/>
    <cellStyle name="Normal 349 8" xfId="41638"/>
    <cellStyle name="Normal 349 9" xfId="41639"/>
    <cellStyle name="Normal 3490" xfId="16554"/>
    <cellStyle name="Normal 3490 2" xfId="16555"/>
    <cellStyle name="Normal 3490 2 2" xfId="41640"/>
    <cellStyle name="Normal 3490 2 3" xfId="41641"/>
    <cellStyle name="Normal 3490 3" xfId="16556"/>
    <cellStyle name="Normal 3490 4" xfId="41642"/>
    <cellStyle name="Normal 3491" xfId="16557"/>
    <cellStyle name="Normal 3491 2" xfId="16558"/>
    <cellStyle name="Normal 3491 2 2" xfId="41643"/>
    <cellStyle name="Normal 3491 2 3" xfId="41644"/>
    <cellStyle name="Normal 3491 3" xfId="16559"/>
    <cellStyle name="Normal 3491 4" xfId="41645"/>
    <cellStyle name="Normal 3492" xfId="16560"/>
    <cellStyle name="Normal 3492 2" xfId="16561"/>
    <cellStyle name="Normal 3492 2 2" xfId="41646"/>
    <cellStyle name="Normal 3492 2 3" xfId="41647"/>
    <cellStyle name="Normal 3492 3" xfId="16562"/>
    <cellStyle name="Normal 3492 4" xfId="41648"/>
    <cellStyle name="Normal 3493" xfId="16563"/>
    <cellStyle name="Normal 3493 2" xfId="16564"/>
    <cellStyle name="Normal 3493 2 2" xfId="41649"/>
    <cellStyle name="Normal 3493 2 3" xfId="41650"/>
    <cellStyle name="Normal 3493 3" xfId="16565"/>
    <cellStyle name="Normal 3493 4" xfId="41651"/>
    <cellStyle name="Normal 3494" xfId="16566"/>
    <cellStyle name="Normal 3494 2" xfId="16567"/>
    <cellStyle name="Normal 3494 2 2" xfId="41652"/>
    <cellStyle name="Normal 3494 2 3" xfId="41653"/>
    <cellStyle name="Normal 3494 3" xfId="16568"/>
    <cellStyle name="Normal 3494 4" xfId="41654"/>
    <cellStyle name="Normal 3495" xfId="16569"/>
    <cellStyle name="Normal 3495 2" xfId="16570"/>
    <cellStyle name="Normal 3495 2 2" xfId="41655"/>
    <cellStyle name="Normal 3495 2 3" xfId="41656"/>
    <cellStyle name="Normal 3495 3" xfId="16571"/>
    <cellStyle name="Normal 3495 4" xfId="41657"/>
    <cellStyle name="Normal 3496" xfId="16572"/>
    <cellStyle name="Normal 3496 2" xfId="16573"/>
    <cellStyle name="Normal 3496 2 2" xfId="41658"/>
    <cellStyle name="Normal 3496 2 3" xfId="41659"/>
    <cellStyle name="Normal 3496 3" xfId="16574"/>
    <cellStyle name="Normal 3496 4" xfId="41660"/>
    <cellStyle name="Normal 3497" xfId="16575"/>
    <cellStyle name="Normal 3497 2" xfId="16576"/>
    <cellStyle name="Normal 3497 2 2" xfId="41661"/>
    <cellStyle name="Normal 3497 2 3" xfId="41662"/>
    <cellStyle name="Normal 3497 3" xfId="16577"/>
    <cellStyle name="Normal 3497 4" xfId="41663"/>
    <cellStyle name="Normal 3498" xfId="16578"/>
    <cellStyle name="Normal 3498 2" xfId="16579"/>
    <cellStyle name="Normal 3498 2 2" xfId="41664"/>
    <cellStyle name="Normal 3498 2 3" xfId="41665"/>
    <cellStyle name="Normal 3498 3" xfId="16580"/>
    <cellStyle name="Normal 3498 4" xfId="41666"/>
    <cellStyle name="Normal 3499" xfId="16581"/>
    <cellStyle name="Normal 3499 2" xfId="16582"/>
    <cellStyle name="Normal 3499 2 2" xfId="41667"/>
    <cellStyle name="Normal 3499 2 3" xfId="41668"/>
    <cellStyle name="Normal 3499 3" xfId="16583"/>
    <cellStyle name="Normal 3499 4" xfId="41669"/>
    <cellStyle name="Normal 35" xfId="16584"/>
    <cellStyle name="Normal 35 10" xfId="41670"/>
    <cellStyle name="Normal 35 2" xfId="16585"/>
    <cellStyle name="Normal 35 2 2" xfId="16586"/>
    <cellStyle name="Normal 35 2 2 2" xfId="16587"/>
    <cellStyle name="Normal 35 2 2 3" xfId="16588"/>
    <cellStyle name="Normal 35 2 3" xfId="16589"/>
    <cellStyle name="Normal 35 2 3 2" xfId="41671"/>
    <cellStyle name="Normal 35 2 3 3" xfId="41672"/>
    <cellStyle name="Normal 35 2 4" xfId="16590"/>
    <cellStyle name="Normal 35 2 5" xfId="16591"/>
    <cellStyle name="Normal 35 2 6" xfId="41673"/>
    <cellStyle name="Normal 35 2 7" xfId="41674"/>
    <cellStyle name="Normal 35 2 8" xfId="41675"/>
    <cellStyle name="Normal 35 3" xfId="16592"/>
    <cellStyle name="Normal 35 3 2" xfId="16593"/>
    <cellStyle name="Normal 35 3 2 2" xfId="41676"/>
    <cellStyle name="Normal 35 3 2 3" xfId="41677"/>
    <cellStyle name="Normal 35 3 3" xfId="16594"/>
    <cellStyle name="Normal 35 3 3 2" xfId="41678"/>
    <cellStyle name="Normal 35 3 3 3" xfId="41679"/>
    <cellStyle name="Normal 35 3 4" xfId="16595"/>
    <cellStyle name="Normal 35 3 5" xfId="41680"/>
    <cellStyle name="Normal 35 4" xfId="16596"/>
    <cellStyle name="Normal 35 4 2" xfId="41681"/>
    <cellStyle name="Normal 35 4 3" xfId="41682"/>
    <cellStyle name="Normal 35 5" xfId="16597"/>
    <cellStyle name="Normal 35 5 2" xfId="41683"/>
    <cellStyle name="Normal 35 5 3" xfId="41684"/>
    <cellStyle name="Normal 35 6" xfId="16598"/>
    <cellStyle name="Normal 35 7" xfId="41685"/>
    <cellStyle name="Normal 35 8" xfId="41686"/>
    <cellStyle name="Normal 35 9" xfId="41687"/>
    <cellStyle name="Normal 350" xfId="16599"/>
    <cellStyle name="Normal 350 10" xfId="41688"/>
    <cellStyle name="Normal 350 2" xfId="16600"/>
    <cellStyle name="Normal 350 2 2" xfId="16601"/>
    <cellStyle name="Normal 350 2 2 2" xfId="16602"/>
    <cellStyle name="Normal 350 2 2 3" xfId="16603"/>
    <cellStyle name="Normal 350 2 3" xfId="16604"/>
    <cellStyle name="Normal 350 2 3 2" xfId="41689"/>
    <cellStyle name="Normal 350 2 3 3" xfId="41690"/>
    <cellStyle name="Normal 350 2 4" xfId="16605"/>
    <cellStyle name="Normal 350 2 5" xfId="16606"/>
    <cellStyle name="Normal 350 2 6" xfId="41691"/>
    <cellStyle name="Normal 350 2 7" xfId="41692"/>
    <cellStyle name="Normal 350 2 8" xfId="41693"/>
    <cellStyle name="Normal 350 3" xfId="16607"/>
    <cellStyle name="Normal 350 3 2" xfId="16608"/>
    <cellStyle name="Normal 350 3 2 2" xfId="41694"/>
    <cellStyle name="Normal 350 3 2 3" xfId="41695"/>
    <cellStyle name="Normal 350 3 3" xfId="16609"/>
    <cellStyle name="Normal 350 3 3 2" xfId="41696"/>
    <cellStyle name="Normal 350 3 3 3" xfId="41697"/>
    <cellStyle name="Normal 350 3 4" xfId="41698"/>
    <cellStyle name="Normal 350 3 5" xfId="41699"/>
    <cellStyle name="Normal 350 4" xfId="16610"/>
    <cellStyle name="Normal 350 4 2" xfId="41700"/>
    <cellStyle name="Normal 350 4 3" xfId="41701"/>
    <cellStyle name="Normal 350 5" xfId="16611"/>
    <cellStyle name="Normal 350 5 2" xfId="41702"/>
    <cellStyle name="Normal 350 5 3" xfId="41703"/>
    <cellStyle name="Normal 350 6" xfId="16612"/>
    <cellStyle name="Normal 350 7" xfId="41704"/>
    <cellStyle name="Normal 350 8" xfId="41705"/>
    <cellStyle name="Normal 350 9" xfId="41706"/>
    <cellStyle name="Normal 3500" xfId="16613"/>
    <cellStyle name="Normal 3500 2" xfId="16614"/>
    <cellStyle name="Normal 3500 2 2" xfId="41707"/>
    <cellStyle name="Normal 3500 2 3" xfId="41708"/>
    <cellStyle name="Normal 3500 3" xfId="16615"/>
    <cellStyle name="Normal 3500 4" xfId="41709"/>
    <cellStyle name="Normal 3501" xfId="16616"/>
    <cellStyle name="Normal 3501 2" xfId="16617"/>
    <cellStyle name="Normal 3501 2 2" xfId="41710"/>
    <cellStyle name="Normal 3501 2 3" xfId="41711"/>
    <cellStyle name="Normal 3501 3" xfId="16618"/>
    <cellStyle name="Normal 3501 4" xfId="41712"/>
    <cellStyle name="Normal 3502" xfId="16619"/>
    <cellStyle name="Normal 3502 2" xfId="16620"/>
    <cellStyle name="Normal 3502 2 2" xfId="41713"/>
    <cellStyle name="Normal 3502 2 3" xfId="41714"/>
    <cellStyle name="Normal 3502 3" xfId="16621"/>
    <cellStyle name="Normal 3502 4" xfId="41715"/>
    <cellStyle name="Normal 3503" xfId="16622"/>
    <cellStyle name="Normal 3503 2" xfId="16623"/>
    <cellStyle name="Normal 3503 2 2" xfId="41716"/>
    <cellStyle name="Normal 3503 2 3" xfId="41717"/>
    <cellStyle name="Normal 3503 3" xfId="16624"/>
    <cellStyle name="Normal 3503 4" xfId="41718"/>
    <cellStyle name="Normal 3504" xfId="16625"/>
    <cellStyle name="Normal 3504 2" xfId="16626"/>
    <cellStyle name="Normal 3504 2 2" xfId="41719"/>
    <cellStyle name="Normal 3504 2 3" xfId="41720"/>
    <cellStyle name="Normal 3504 3" xfId="16627"/>
    <cellStyle name="Normal 3504 4" xfId="41721"/>
    <cellStyle name="Normal 3505" xfId="16628"/>
    <cellStyle name="Normal 3505 2" xfId="16629"/>
    <cellStyle name="Normal 3505 2 2" xfId="41722"/>
    <cellStyle name="Normal 3505 2 3" xfId="41723"/>
    <cellStyle name="Normal 3505 3" xfId="16630"/>
    <cellStyle name="Normal 3505 4" xfId="41724"/>
    <cellStyle name="Normal 3506" xfId="16631"/>
    <cellStyle name="Normal 3506 2" xfId="16632"/>
    <cellStyle name="Normal 3506 2 2" xfId="41725"/>
    <cellStyle name="Normal 3506 2 3" xfId="41726"/>
    <cellStyle name="Normal 3506 3" xfId="16633"/>
    <cellStyle name="Normal 3506 4" xfId="41727"/>
    <cellStyle name="Normal 3507" xfId="16634"/>
    <cellStyle name="Normal 3507 2" xfId="16635"/>
    <cellStyle name="Normal 3507 2 2" xfId="41728"/>
    <cellStyle name="Normal 3507 2 3" xfId="41729"/>
    <cellStyle name="Normal 3507 3" xfId="16636"/>
    <cellStyle name="Normal 3507 4" xfId="41730"/>
    <cellStyle name="Normal 3508" xfId="16637"/>
    <cellStyle name="Normal 3508 2" xfId="16638"/>
    <cellStyle name="Normal 3508 2 2" xfId="41731"/>
    <cellStyle name="Normal 3508 2 3" xfId="41732"/>
    <cellStyle name="Normal 3508 3" xfId="16639"/>
    <cellStyle name="Normal 3508 4" xfId="41733"/>
    <cellStyle name="Normal 3509" xfId="16640"/>
    <cellStyle name="Normal 3509 2" xfId="16641"/>
    <cellStyle name="Normal 3509 2 2" xfId="41734"/>
    <cellStyle name="Normal 3509 2 3" xfId="41735"/>
    <cellStyle name="Normal 3509 3" xfId="16642"/>
    <cellStyle name="Normal 3509 4" xfId="41736"/>
    <cellStyle name="Normal 351" xfId="16643"/>
    <cellStyle name="Normal 351 10" xfId="41737"/>
    <cellStyle name="Normal 351 2" xfId="16644"/>
    <cellStyle name="Normal 351 2 2" xfId="16645"/>
    <cellStyle name="Normal 351 2 2 2" xfId="16646"/>
    <cellStyle name="Normal 351 2 2 3" xfId="16647"/>
    <cellStyle name="Normal 351 2 3" xfId="16648"/>
    <cellStyle name="Normal 351 2 3 2" xfId="41738"/>
    <cellStyle name="Normal 351 2 3 3" xfId="41739"/>
    <cellStyle name="Normal 351 2 4" xfId="16649"/>
    <cellStyle name="Normal 351 2 5" xfId="16650"/>
    <cellStyle name="Normal 351 2 6" xfId="41740"/>
    <cellStyle name="Normal 351 2 7" xfId="41741"/>
    <cellStyle name="Normal 351 2 8" xfId="41742"/>
    <cellStyle name="Normal 351 3" xfId="16651"/>
    <cellStyle name="Normal 351 3 2" xfId="16652"/>
    <cellStyle name="Normal 351 3 2 2" xfId="41743"/>
    <cellStyle name="Normal 351 3 2 3" xfId="41744"/>
    <cellStyle name="Normal 351 3 3" xfId="16653"/>
    <cellStyle name="Normal 351 3 3 2" xfId="41745"/>
    <cellStyle name="Normal 351 3 3 3" xfId="41746"/>
    <cellStyle name="Normal 351 3 4" xfId="41747"/>
    <cellStyle name="Normal 351 3 5" xfId="41748"/>
    <cellStyle name="Normal 351 4" xfId="16654"/>
    <cellStyle name="Normal 351 4 2" xfId="41749"/>
    <cellStyle name="Normal 351 4 3" xfId="41750"/>
    <cellStyle name="Normal 351 5" xfId="16655"/>
    <cellStyle name="Normal 351 5 2" xfId="41751"/>
    <cellStyle name="Normal 351 5 3" xfId="41752"/>
    <cellStyle name="Normal 351 6" xfId="16656"/>
    <cellStyle name="Normal 351 7" xfId="41753"/>
    <cellStyle name="Normal 351 8" xfId="41754"/>
    <cellStyle name="Normal 351 9" xfId="41755"/>
    <cellStyle name="Normal 3510" xfId="16657"/>
    <cellStyle name="Normal 3510 2" xfId="16658"/>
    <cellStyle name="Normal 3510 2 2" xfId="41756"/>
    <cellStyle name="Normal 3510 2 3" xfId="41757"/>
    <cellStyle name="Normal 3510 3" xfId="16659"/>
    <cellStyle name="Normal 3510 4" xfId="41758"/>
    <cellStyle name="Normal 3511" xfId="16660"/>
    <cellStyle name="Normal 3511 2" xfId="16661"/>
    <cellStyle name="Normal 3511 2 2" xfId="41759"/>
    <cellStyle name="Normal 3511 2 3" xfId="41760"/>
    <cellStyle name="Normal 3511 3" xfId="16662"/>
    <cellStyle name="Normal 3511 4" xfId="41761"/>
    <cellStyle name="Normal 3512" xfId="16663"/>
    <cellStyle name="Normal 3512 2" xfId="16664"/>
    <cellStyle name="Normal 3512 2 2" xfId="41762"/>
    <cellStyle name="Normal 3512 2 3" xfId="41763"/>
    <cellStyle name="Normal 3512 3" xfId="16665"/>
    <cellStyle name="Normal 3512 4" xfId="41764"/>
    <cellStyle name="Normal 3513" xfId="16666"/>
    <cellStyle name="Normal 3513 2" xfId="16667"/>
    <cellStyle name="Normal 3513 2 2" xfId="41765"/>
    <cellStyle name="Normal 3513 2 3" xfId="41766"/>
    <cellStyle name="Normal 3513 3" xfId="16668"/>
    <cellStyle name="Normal 3513 4" xfId="41767"/>
    <cellStyle name="Normal 3514" xfId="16669"/>
    <cellStyle name="Normal 3514 2" xfId="16670"/>
    <cellStyle name="Normal 3514 2 2" xfId="41768"/>
    <cellStyle name="Normal 3514 2 3" xfId="41769"/>
    <cellStyle name="Normal 3514 3" xfId="16671"/>
    <cellStyle name="Normal 3514 4" xfId="41770"/>
    <cellStyle name="Normal 3515" xfId="16672"/>
    <cellStyle name="Normal 3515 2" xfId="16673"/>
    <cellStyle name="Normal 3515 2 2" xfId="41771"/>
    <cellStyle name="Normal 3515 2 3" xfId="41772"/>
    <cellStyle name="Normal 3515 3" xfId="16674"/>
    <cellStyle name="Normal 3515 4" xfId="41773"/>
    <cellStyle name="Normal 3516" xfId="16675"/>
    <cellStyle name="Normal 3516 2" xfId="16676"/>
    <cellStyle name="Normal 3516 2 2" xfId="41774"/>
    <cellStyle name="Normal 3516 2 3" xfId="41775"/>
    <cellStyle name="Normal 3516 3" xfId="16677"/>
    <cellStyle name="Normal 3516 4" xfId="41776"/>
    <cellStyle name="Normal 3517" xfId="16678"/>
    <cellStyle name="Normal 3517 2" xfId="16679"/>
    <cellStyle name="Normal 3517 2 2" xfId="41777"/>
    <cellStyle name="Normal 3517 2 3" xfId="41778"/>
    <cellStyle name="Normal 3517 3" xfId="16680"/>
    <cellStyle name="Normal 3517 4" xfId="41779"/>
    <cellStyle name="Normal 3518" xfId="16681"/>
    <cellStyle name="Normal 3518 2" xfId="16682"/>
    <cellStyle name="Normal 3518 2 2" xfId="41780"/>
    <cellStyle name="Normal 3518 2 3" xfId="41781"/>
    <cellStyle name="Normal 3518 3" xfId="16683"/>
    <cellStyle name="Normal 3518 4" xfId="41782"/>
    <cellStyle name="Normal 3519" xfId="16684"/>
    <cellStyle name="Normal 3519 2" xfId="16685"/>
    <cellStyle name="Normal 3519 2 2" xfId="41783"/>
    <cellStyle name="Normal 3519 2 3" xfId="41784"/>
    <cellStyle name="Normal 3519 3" xfId="16686"/>
    <cellStyle name="Normal 3519 4" xfId="41785"/>
    <cellStyle name="Normal 352" xfId="16687"/>
    <cellStyle name="Normal 352 10" xfId="41786"/>
    <cellStyle name="Normal 352 2" xfId="16688"/>
    <cellStyle name="Normal 352 2 2" xfId="16689"/>
    <cellStyle name="Normal 352 2 2 2" xfId="16690"/>
    <cellStyle name="Normal 352 2 2 3" xfId="16691"/>
    <cellStyle name="Normal 352 2 3" xfId="16692"/>
    <cellStyle name="Normal 352 2 3 2" xfId="41787"/>
    <cellStyle name="Normal 352 2 3 3" xfId="41788"/>
    <cellStyle name="Normal 352 2 4" xfId="16693"/>
    <cellStyle name="Normal 352 2 5" xfId="16694"/>
    <cellStyle name="Normal 352 2 6" xfId="41789"/>
    <cellStyle name="Normal 352 2 7" xfId="41790"/>
    <cellStyle name="Normal 352 2 8" xfId="41791"/>
    <cellStyle name="Normal 352 3" xfId="16695"/>
    <cellStyle name="Normal 352 3 2" xfId="16696"/>
    <cellStyle name="Normal 352 3 2 2" xfId="41792"/>
    <cellStyle name="Normal 352 3 2 3" xfId="41793"/>
    <cellStyle name="Normal 352 3 3" xfId="16697"/>
    <cellStyle name="Normal 352 3 3 2" xfId="41794"/>
    <cellStyle name="Normal 352 3 3 3" xfId="41795"/>
    <cellStyle name="Normal 352 3 4" xfId="41796"/>
    <cellStyle name="Normal 352 3 5" xfId="41797"/>
    <cellStyle name="Normal 352 4" xfId="16698"/>
    <cellStyle name="Normal 352 4 2" xfId="41798"/>
    <cellStyle name="Normal 352 4 3" xfId="41799"/>
    <cellStyle name="Normal 352 5" xfId="16699"/>
    <cellStyle name="Normal 352 5 2" xfId="41800"/>
    <cellStyle name="Normal 352 5 3" xfId="41801"/>
    <cellStyle name="Normal 352 6" xfId="16700"/>
    <cellStyle name="Normal 352 7" xfId="41802"/>
    <cellStyle name="Normal 352 8" xfId="41803"/>
    <cellStyle name="Normal 352 9" xfId="41804"/>
    <cellStyle name="Normal 3520" xfId="16701"/>
    <cellStyle name="Normal 3520 2" xfId="16702"/>
    <cellStyle name="Normal 3520 2 2" xfId="41805"/>
    <cellStyle name="Normal 3520 2 3" xfId="41806"/>
    <cellStyle name="Normal 3520 3" xfId="16703"/>
    <cellStyle name="Normal 3520 4" xfId="41807"/>
    <cellStyle name="Normal 3521" xfId="16704"/>
    <cellStyle name="Normal 3521 2" xfId="16705"/>
    <cellStyle name="Normal 3521 2 2" xfId="41808"/>
    <cellStyle name="Normal 3521 2 3" xfId="41809"/>
    <cellStyle name="Normal 3521 3" xfId="16706"/>
    <cellStyle name="Normal 3521 4" xfId="41810"/>
    <cellStyle name="Normal 3522" xfId="16707"/>
    <cellStyle name="Normal 3522 2" xfId="16708"/>
    <cellStyle name="Normal 3522 2 2" xfId="41811"/>
    <cellStyle name="Normal 3522 2 3" xfId="41812"/>
    <cellStyle name="Normal 3522 3" xfId="16709"/>
    <cellStyle name="Normal 3522 4" xfId="41813"/>
    <cellStyle name="Normal 3523" xfId="16710"/>
    <cellStyle name="Normal 3523 2" xfId="16711"/>
    <cellStyle name="Normal 3523 2 2" xfId="41814"/>
    <cellStyle name="Normal 3523 2 3" xfId="41815"/>
    <cellStyle name="Normal 3523 3" xfId="16712"/>
    <cellStyle name="Normal 3523 4" xfId="41816"/>
    <cellStyle name="Normal 3524" xfId="16713"/>
    <cellStyle name="Normal 3524 2" xfId="16714"/>
    <cellStyle name="Normal 3524 2 2" xfId="41817"/>
    <cellStyle name="Normal 3524 2 3" xfId="41818"/>
    <cellStyle name="Normal 3524 3" xfId="16715"/>
    <cellStyle name="Normal 3524 4" xfId="41819"/>
    <cellStyle name="Normal 3525" xfId="16716"/>
    <cellStyle name="Normal 3525 2" xfId="16717"/>
    <cellStyle name="Normal 3525 2 2" xfId="41820"/>
    <cellStyle name="Normal 3525 2 3" xfId="41821"/>
    <cellStyle name="Normal 3525 3" xfId="16718"/>
    <cellStyle name="Normal 3525 4" xfId="41822"/>
    <cellStyle name="Normal 3526" xfId="16719"/>
    <cellStyle name="Normal 3526 2" xfId="16720"/>
    <cellStyle name="Normal 3526 2 2" xfId="41823"/>
    <cellStyle name="Normal 3526 2 3" xfId="41824"/>
    <cellStyle name="Normal 3526 3" xfId="16721"/>
    <cellStyle name="Normal 3526 4" xfId="41825"/>
    <cellStyle name="Normal 3527" xfId="16722"/>
    <cellStyle name="Normal 3527 2" xfId="16723"/>
    <cellStyle name="Normal 3527 2 2" xfId="41826"/>
    <cellStyle name="Normal 3527 2 3" xfId="41827"/>
    <cellStyle name="Normal 3527 3" xfId="16724"/>
    <cellStyle name="Normal 3527 4" xfId="41828"/>
    <cellStyle name="Normal 3528" xfId="16725"/>
    <cellStyle name="Normal 3528 2" xfId="16726"/>
    <cellStyle name="Normal 3528 2 2" xfId="41829"/>
    <cellStyle name="Normal 3528 2 3" xfId="41830"/>
    <cellStyle name="Normal 3528 3" xfId="16727"/>
    <cellStyle name="Normal 3528 4" xfId="41831"/>
    <cellStyle name="Normal 3529" xfId="16728"/>
    <cellStyle name="Normal 3529 2" xfId="16729"/>
    <cellStyle name="Normal 3529 2 2" xfId="41832"/>
    <cellStyle name="Normal 3529 2 3" xfId="41833"/>
    <cellStyle name="Normal 3529 3" xfId="16730"/>
    <cellStyle name="Normal 3529 4" xfId="41834"/>
    <cellStyle name="Normal 353" xfId="16731"/>
    <cellStyle name="Normal 353 10" xfId="41835"/>
    <cellStyle name="Normal 353 2" xfId="16732"/>
    <cellStyle name="Normal 353 2 2" xfId="16733"/>
    <cellStyle name="Normal 353 2 2 2" xfId="16734"/>
    <cellStyle name="Normal 353 2 2 3" xfId="16735"/>
    <cellStyle name="Normal 353 2 3" xfId="16736"/>
    <cellStyle name="Normal 353 2 3 2" xfId="41836"/>
    <cellStyle name="Normal 353 2 3 3" xfId="41837"/>
    <cellStyle name="Normal 353 2 4" xfId="16737"/>
    <cellStyle name="Normal 353 2 5" xfId="16738"/>
    <cellStyle name="Normal 353 2 6" xfId="41838"/>
    <cellStyle name="Normal 353 2 7" xfId="41839"/>
    <cellStyle name="Normal 353 2 8" xfId="41840"/>
    <cellStyle name="Normal 353 3" xfId="16739"/>
    <cellStyle name="Normal 353 3 2" xfId="16740"/>
    <cellStyle name="Normal 353 3 2 2" xfId="41841"/>
    <cellStyle name="Normal 353 3 2 3" xfId="41842"/>
    <cellStyle name="Normal 353 3 3" xfId="16741"/>
    <cellStyle name="Normal 353 3 3 2" xfId="41843"/>
    <cellStyle name="Normal 353 3 3 3" xfId="41844"/>
    <cellStyle name="Normal 353 3 4" xfId="41845"/>
    <cellStyle name="Normal 353 3 5" xfId="41846"/>
    <cellStyle name="Normal 353 4" xfId="16742"/>
    <cellStyle name="Normal 353 4 2" xfId="41847"/>
    <cellStyle name="Normal 353 4 3" xfId="41848"/>
    <cellStyle name="Normal 353 5" xfId="16743"/>
    <cellStyle name="Normal 353 5 2" xfId="41849"/>
    <cellStyle name="Normal 353 5 3" xfId="41850"/>
    <cellStyle name="Normal 353 6" xfId="16744"/>
    <cellStyle name="Normal 353 7" xfId="41851"/>
    <cellStyle name="Normal 353 8" xfId="41852"/>
    <cellStyle name="Normal 353 9" xfId="41853"/>
    <cellStyle name="Normal 3530" xfId="16745"/>
    <cellStyle name="Normal 3530 2" xfId="16746"/>
    <cellStyle name="Normal 3530 2 2" xfId="41854"/>
    <cellStyle name="Normal 3530 2 3" xfId="41855"/>
    <cellStyle name="Normal 3530 3" xfId="16747"/>
    <cellStyle name="Normal 3530 4" xfId="41856"/>
    <cellStyle name="Normal 3531" xfId="16748"/>
    <cellStyle name="Normal 3531 2" xfId="16749"/>
    <cellStyle name="Normal 3531 2 2" xfId="41857"/>
    <cellStyle name="Normal 3531 2 3" xfId="41858"/>
    <cellStyle name="Normal 3531 3" xfId="16750"/>
    <cellStyle name="Normal 3531 4" xfId="41859"/>
    <cellStyle name="Normal 3532" xfId="16751"/>
    <cellStyle name="Normal 3532 2" xfId="16752"/>
    <cellStyle name="Normal 3532 2 2" xfId="41860"/>
    <cellStyle name="Normal 3532 2 3" xfId="41861"/>
    <cellStyle name="Normal 3532 3" xfId="16753"/>
    <cellStyle name="Normal 3532 4" xfId="41862"/>
    <cellStyle name="Normal 3533" xfId="16754"/>
    <cellStyle name="Normal 3533 2" xfId="16755"/>
    <cellStyle name="Normal 3533 2 2" xfId="41863"/>
    <cellStyle name="Normal 3533 2 3" xfId="41864"/>
    <cellStyle name="Normal 3533 3" xfId="16756"/>
    <cellStyle name="Normal 3533 4" xfId="41865"/>
    <cellStyle name="Normal 3534" xfId="16757"/>
    <cellStyle name="Normal 3534 2" xfId="16758"/>
    <cellStyle name="Normal 3534 2 2" xfId="41866"/>
    <cellStyle name="Normal 3534 2 3" xfId="41867"/>
    <cellStyle name="Normal 3534 3" xfId="16759"/>
    <cellStyle name="Normal 3534 4" xfId="41868"/>
    <cellStyle name="Normal 3535" xfId="16760"/>
    <cellStyle name="Normal 3535 2" xfId="16761"/>
    <cellStyle name="Normal 3535 2 2" xfId="41869"/>
    <cellStyle name="Normal 3535 2 3" xfId="41870"/>
    <cellStyle name="Normal 3535 3" xfId="16762"/>
    <cellStyle name="Normal 3535 4" xfId="41871"/>
    <cellStyle name="Normal 3536" xfId="16763"/>
    <cellStyle name="Normal 3536 2" xfId="16764"/>
    <cellStyle name="Normal 3536 2 2" xfId="41872"/>
    <cellStyle name="Normal 3536 2 3" xfId="41873"/>
    <cellStyle name="Normal 3536 3" xfId="16765"/>
    <cellStyle name="Normal 3536 4" xfId="41874"/>
    <cellStyle name="Normal 3537" xfId="16766"/>
    <cellStyle name="Normal 3537 2" xfId="16767"/>
    <cellStyle name="Normal 3537 2 2" xfId="41875"/>
    <cellStyle name="Normal 3537 2 3" xfId="41876"/>
    <cellStyle name="Normal 3537 3" xfId="16768"/>
    <cellStyle name="Normal 3537 4" xfId="41877"/>
    <cellStyle name="Normal 3538" xfId="16769"/>
    <cellStyle name="Normal 3538 2" xfId="16770"/>
    <cellStyle name="Normal 3538 2 2" xfId="41878"/>
    <cellStyle name="Normal 3538 2 3" xfId="41879"/>
    <cellStyle name="Normal 3538 3" xfId="16771"/>
    <cellStyle name="Normal 3538 4" xfId="41880"/>
    <cellStyle name="Normal 3539" xfId="16772"/>
    <cellStyle name="Normal 3539 2" xfId="16773"/>
    <cellStyle name="Normal 3539 2 2" xfId="41881"/>
    <cellStyle name="Normal 3539 2 3" xfId="41882"/>
    <cellStyle name="Normal 3539 3" xfId="16774"/>
    <cellStyle name="Normal 3539 4" xfId="41883"/>
    <cellStyle name="Normal 354" xfId="16775"/>
    <cellStyle name="Normal 354 10" xfId="41884"/>
    <cellStyle name="Normal 354 2" xfId="16776"/>
    <cellStyle name="Normal 354 2 2" xfId="16777"/>
    <cellStyle name="Normal 354 2 2 2" xfId="16778"/>
    <cellStyle name="Normal 354 2 2 3" xfId="16779"/>
    <cellStyle name="Normal 354 2 3" xfId="16780"/>
    <cellStyle name="Normal 354 2 3 2" xfId="41885"/>
    <cellStyle name="Normal 354 2 3 3" xfId="41886"/>
    <cellStyle name="Normal 354 2 4" xfId="16781"/>
    <cellStyle name="Normal 354 2 5" xfId="16782"/>
    <cellStyle name="Normal 354 2 6" xfId="41887"/>
    <cellStyle name="Normal 354 2 7" xfId="41888"/>
    <cellStyle name="Normal 354 2 8" xfId="41889"/>
    <cellStyle name="Normal 354 3" xfId="16783"/>
    <cellStyle name="Normal 354 3 2" xfId="16784"/>
    <cellStyle name="Normal 354 3 2 2" xfId="41890"/>
    <cellStyle name="Normal 354 3 2 3" xfId="41891"/>
    <cellStyle name="Normal 354 3 3" xfId="16785"/>
    <cellStyle name="Normal 354 3 3 2" xfId="41892"/>
    <cellStyle name="Normal 354 3 3 3" xfId="41893"/>
    <cellStyle name="Normal 354 3 4" xfId="41894"/>
    <cellStyle name="Normal 354 3 5" xfId="41895"/>
    <cellStyle name="Normal 354 4" xfId="16786"/>
    <cellStyle name="Normal 354 4 2" xfId="41896"/>
    <cellStyle name="Normal 354 4 3" xfId="41897"/>
    <cellStyle name="Normal 354 5" xfId="16787"/>
    <cellStyle name="Normal 354 5 2" xfId="41898"/>
    <cellStyle name="Normal 354 5 3" xfId="41899"/>
    <cellStyle name="Normal 354 6" xfId="16788"/>
    <cellStyle name="Normal 354 7" xfId="41900"/>
    <cellStyle name="Normal 354 8" xfId="41901"/>
    <cellStyle name="Normal 354 9" xfId="41902"/>
    <cellStyle name="Normal 3540" xfId="16789"/>
    <cellStyle name="Normal 3540 2" xfId="16790"/>
    <cellStyle name="Normal 3540 2 2" xfId="41903"/>
    <cellStyle name="Normal 3540 2 3" xfId="41904"/>
    <cellStyle name="Normal 3540 3" xfId="16791"/>
    <cellStyle name="Normal 3540 4" xfId="41905"/>
    <cellStyle name="Normal 3541" xfId="16792"/>
    <cellStyle name="Normal 3541 2" xfId="16793"/>
    <cellStyle name="Normal 3541 2 2" xfId="41906"/>
    <cellStyle name="Normal 3541 2 3" xfId="41907"/>
    <cellStyle name="Normal 3541 3" xfId="16794"/>
    <cellStyle name="Normal 3541 4" xfId="41908"/>
    <cellStyle name="Normal 3542" xfId="16795"/>
    <cellStyle name="Normal 3542 2" xfId="16796"/>
    <cellStyle name="Normal 3542 2 2" xfId="41909"/>
    <cellStyle name="Normal 3542 2 3" xfId="41910"/>
    <cellStyle name="Normal 3542 3" xfId="16797"/>
    <cellStyle name="Normal 3542 4" xfId="41911"/>
    <cellStyle name="Normal 3543" xfId="16798"/>
    <cellStyle name="Normal 3543 2" xfId="16799"/>
    <cellStyle name="Normal 3543 2 2" xfId="41912"/>
    <cellStyle name="Normal 3543 2 3" xfId="41913"/>
    <cellStyle name="Normal 3543 3" xfId="16800"/>
    <cellStyle name="Normal 3543 4" xfId="41914"/>
    <cellStyle name="Normal 3544" xfId="16801"/>
    <cellStyle name="Normal 3544 2" xfId="16802"/>
    <cellStyle name="Normal 3544 2 2" xfId="41915"/>
    <cellStyle name="Normal 3544 2 3" xfId="41916"/>
    <cellStyle name="Normal 3544 3" xfId="16803"/>
    <cellStyle name="Normal 3544 4" xfId="41917"/>
    <cellStyle name="Normal 3545" xfId="16804"/>
    <cellStyle name="Normal 3545 2" xfId="16805"/>
    <cellStyle name="Normal 3545 2 2" xfId="41918"/>
    <cellStyle name="Normal 3545 2 3" xfId="41919"/>
    <cellStyle name="Normal 3545 3" xfId="16806"/>
    <cellStyle name="Normal 3545 4" xfId="41920"/>
    <cellStyle name="Normal 3546" xfId="16807"/>
    <cellStyle name="Normal 3546 2" xfId="16808"/>
    <cellStyle name="Normal 3546 2 2" xfId="41921"/>
    <cellStyle name="Normal 3546 2 3" xfId="41922"/>
    <cellStyle name="Normal 3546 3" xfId="16809"/>
    <cellStyle name="Normal 3546 4" xfId="41923"/>
    <cellStyle name="Normal 3547" xfId="16810"/>
    <cellStyle name="Normal 3547 2" xfId="16811"/>
    <cellStyle name="Normal 3547 2 2" xfId="41924"/>
    <cellStyle name="Normal 3547 2 3" xfId="41925"/>
    <cellStyle name="Normal 3547 3" xfId="16812"/>
    <cellStyle name="Normal 3547 4" xfId="41926"/>
    <cellStyle name="Normal 3548" xfId="16813"/>
    <cellStyle name="Normal 3548 2" xfId="16814"/>
    <cellStyle name="Normal 3548 2 2" xfId="41927"/>
    <cellStyle name="Normal 3548 2 3" xfId="41928"/>
    <cellStyle name="Normal 3548 3" xfId="16815"/>
    <cellStyle name="Normal 3548 4" xfId="41929"/>
    <cellStyle name="Normal 3549" xfId="16816"/>
    <cellStyle name="Normal 3549 2" xfId="16817"/>
    <cellStyle name="Normal 3549 2 2" xfId="41930"/>
    <cellStyle name="Normal 3549 2 3" xfId="41931"/>
    <cellStyle name="Normal 3549 3" xfId="16818"/>
    <cellStyle name="Normal 3549 4" xfId="41932"/>
    <cellStyle name="Normal 355" xfId="16819"/>
    <cellStyle name="Normal 355 10" xfId="41933"/>
    <cellStyle name="Normal 355 2" xfId="16820"/>
    <cellStyle name="Normal 355 2 2" xfId="16821"/>
    <cellStyle name="Normal 355 2 2 2" xfId="16822"/>
    <cellStyle name="Normal 355 2 2 3" xfId="16823"/>
    <cellStyle name="Normal 355 2 3" xfId="16824"/>
    <cellStyle name="Normal 355 2 3 2" xfId="41934"/>
    <cellStyle name="Normal 355 2 3 3" xfId="41935"/>
    <cellStyle name="Normal 355 2 4" xfId="16825"/>
    <cellStyle name="Normal 355 2 5" xfId="16826"/>
    <cellStyle name="Normal 355 2 6" xfId="41936"/>
    <cellStyle name="Normal 355 2 7" xfId="41937"/>
    <cellStyle name="Normal 355 2 8" xfId="41938"/>
    <cellStyle name="Normal 355 3" xfId="16827"/>
    <cellStyle name="Normal 355 3 2" xfId="16828"/>
    <cellStyle name="Normal 355 3 2 2" xfId="41939"/>
    <cellStyle name="Normal 355 3 2 3" xfId="41940"/>
    <cellStyle name="Normal 355 3 3" xfId="16829"/>
    <cellStyle name="Normal 355 3 3 2" xfId="41941"/>
    <cellStyle name="Normal 355 3 3 3" xfId="41942"/>
    <cellStyle name="Normal 355 3 4" xfId="41943"/>
    <cellStyle name="Normal 355 3 5" xfId="41944"/>
    <cellStyle name="Normal 355 4" xfId="16830"/>
    <cellStyle name="Normal 355 4 2" xfId="41945"/>
    <cellStyle name="Normal 355 4 3" xfId="41946"/>
    <cellStyle name="Normal 355 5" xfId="16831"/>
    <cellStyle name="Normal 355 5 2" xfId="41947"/>
    <cellStyle name="Normal 355 5 3" xfId="41948"/>
    <cellStyle name="Normal 355 6" xfId="16832"/>
    <cellStyle name="Normal 355 7" xfId="41949"/>
    <cellStyle name="Normal 355 8" xfId="41950"/>
    <cellStyle name="Normal 355 9" xfId="41951"/>
    <cellStyle name="Normal 3550" xfId="16833"/>
    <cellStyle name="Normal 3550 2" xfId="16834"/>
    <cellStyle name="Normal 3550 2 2" xfId="41952"/>
    <cellStyle name="Normal 3550 2 3" xfId="41953"/>
    <cellStyle name="Normal 3550 3" xfId="16835"/>
    <cellStyle name="Normal 3550 4" xfId="41954"/>
    <cellStyle name="Normal 3551" xfId="16836"/>
    <cellStyle name="Normal 3551 2" xfId="16837"/>
    <cellStyle name="Normal 3551 2 2" xfId="41955"/>
    <cellStyle name="Normal 3551 2 3" xfId="41956"/>
    <cellStyle name="Normal 3551 3" xfId="16838"/>
    <cellStyle name="Normal 3551 4" xfId="41957"/>
    <cellStyle name="Normal 3552" xfId="16839"/>
    <cellStyle name="Normal 3552 2" xfId="16840"/>
    <cellStyle name="Normal 3552 2 2" xfId="41958"/>
    <cellStyle name="Normal 3552 2 3" xfId="41959"/>
    <cellStyle name="Normal 3552 3" xfId="16841"/>
    <cellStyle name="Normal 3552 4" xfId="41960"/>
    <cellStyle name="Normal 3553" xfId="16842"/>
    <cellStyle name="Normal 3553 2" xfId="16843"/>
    <cellStyle name="Normal 3553 2 2" xfId="41961"/>
    <cellStyle name="Normal 3553 2 3" xfId="41962"/>
    <cellStyle name="Normal 3553 3" xfId="16844"/>
    <cellStyle name="Normal 3553 4" xfId="41963"/>
    <cellStyle name="Normal 3554" xfId="16845"/>
    <cellStyle name="Normal 3554 2" xfId="16846"/>
    <cellStyle name="Normal 3554 2 2" xfId="41964"/>
    <cellStyle name="Normal 3554 2 3" xfId="41965"/>
    <cellStyle name="Normal 3554 3" xfId="16847"/>
    <cellStyle name="Normal 3554 4" xfId="41966"/>
    <cellStyle name="Normal 3555" xfId="16848"/>
    <cellStyle name="Normal 3555 2" xfId="16849"/>
    <cellStyle name="Normal 3555 2 2" xfId="41967"/>
    <cellStyle name="Normal 3555 2 3" xfId="41968"/>
    <cellStyle name="Normal 3555 3" xfId="16850"/>
    <cellStyle name="Normal 3555 4" xfId="41969"/>
    <cellStyle name="Normal 3556" xfId="16851"/>
    <cellStyle name="Normal 3556 2" xfId="16852"/>
    <cellStyle name="Normal 3556 2 2" xfId="41970"/>
    <cellStyle name="Normal 3556 2 3" xfId="41971"/>
    <cellStyle name="Normal 3556 3" xfId="16853"/>
    <cellStyle name="Normal 3556 4" xfId="41972"/>
    <cellStyle name="Normal 3557" xfId="16854"/>
    <cellStyle name="Normal 3557 2" xfId="16855"/>
    <cellStyle name="Normal 3557 2 2" xfId="41973"/>
    <cellStyle name="Normal 3557 2 3" xfId="41974"/>
    <cellStyle name="Normal 3557 3" xfId="16856"/>
    <cellStyle name="Normal 3557 4" xfId="41975"/>
    <cellStyle name="Normal 3558" xfId="16857"/>
    <cellStyle name="Normal 3558 2" xfId="16858"/>
    <cellStyle name="Normal 3558 2 2" xfId="41976"/>
    <cellStyle name="Normal 3558 2 3" xfId="41977"/>
    <cellStyle name="Normal 3558 3" xfId="16859"/>
    <cellStyle name="Normal 3558 4" xfId="41978"/>
    <cellStyle name="Normal 3559" xfId="16860"/>
    <cellStyle name="Normal 3559 2" xfId="16861"/>
    <cellStyle name="Normal 3559 2 2" xfId="41979"/>
    <cellStyle name="Normal 3559 2 3" xfId="41980"/>
    <cellStyle name="Normal 3559 3" xfId="16862"/>
    <cellStyle name="Normal 3559 4" xfId="41981"/>
    <cellStyle name="Normal 356" xfId="16863"/>
    <cellStyle name="Normal 356 10" xfId="41982"/>
    <cellStyle name="Normal 356 2" xfId="16864"/>
    <cellStyle name="Normal 356 2 2" xfId="16865"/>
    <cellStyle name="Normal 356 2 2 2" xfId="16866"/>
    <cellStyle name="Normal 356 2 2 3" xfId="16867"/>
    <cellStyle name="Normal 356 2 3" xfId="16868"/>
    <cellStyle name="Normal 356 2 3 2" xfId="41983"/>
    <cellStyle name="Normal 356 2 3 3" xfId="41984"/>
    <cellStyle name="Normal 356 2 4" xfId="16869"/>
    <cellStyle name="Normal 356 2 5" xfId="16870"/>
    <cellStyle name="Normal 356 2 6" xfId="41985"/>
    <cellStyle name="Normal 356 2 7" xfId="41986"/>
    <cellStyle name="Normal 356 2 8" xfId="41987"/>
    <cellStyle name="Normal 356 3" xfId="16871"/>
    <cellStyle name="Normal 356 3 2" xfId="16872"/>
    <cellStyle name="Normal 356 3 2 2" xfId="41988"/>
    <cellStyle name="Normal 356 3 2 3" xfId="41989"/>
    <cellStyle name="Normal 356 3 3" xfId="16873"/>
    <cellStyle name="Normal 356 3 3 2" xfId="41990"/>
    <cellStyle name="Normal 356 3 3 3" xfId="41991"/>
    <cellStyle name="Normal 356 3 4" xfId="41992"/>
    <cellStyle name="Normal 356 3 5" xfId="41993"/>
    <cellStyle name="Normal 356 4" xfId="16874"/>
    <cellStyle name="Normal 356 4 2" xfId="41994"/>
    <cellStyle name="Normal 356 4 3" xfId="41995"/>
    <cellStyle name="Normal 356 5" xfId="16875"/>
    <cellStyle name="Normal 356 5 2" xfId="41996"/>
    <cellStyle name="Normal 356 5 3" xfId="41997"/>
    <cellStyle name="Normal 356 6" xfId="16876"/>
    <cellStyle name="Normal 356 7" xfId="41998"/>
    <cellStyle name="Normal 356 8" xfId="41999"/>
    <cellStyle name="Normal 356 9" xfId="42000"/>
    <cellStyle name="Normal 3560" xfId="16877"/>
    <cellStyle name="Normal 3560 2" xfId="16878"/>
    <cellStyle name="Normal 3560 2 2" xfId="42001"/>
    <cellStyle name="Normal 3560 2 3" xfId="42002"/>
    <cellStyle name="Normal 3560 3" xfId="16879"/>
    <cellStyle name="Normal 3560 4" xfId="42003"/>
    <cellStyle name="Normal 3561" xfId="16880"/>
    <cellStyle name="Normal 3561 2" xfId="16881"/>
    <cellStyle name="Normal 3561 2 2" xfId="42004"/>
    <cellStyle name="Normal 3561 2 3" xfId="42005"/>
    <cellStyle name="Normal 3561 3" xfId="16882"/>
    <cellStyle name="Normal 3561 4" xfId="42006"/>
    <cellStyle name="Normal 3562" xfId="16883"/>
    <cellStyle name="Normal 3562 2" xfId="16884"/>
    <cellStyle name="Normal 3562 2 2" xfId="42007"/>
    <cellStyle name="Normal 3562 2 3" xfId="42008"/>
    <cellStyle name="Normal 3562 3" xfId="16885"/>
    <cellStyle name="Normal 3562 4" xfId="42009"/>
    <cellStyle name="Normal 3563" xfId="16886"/>
    <cellStyle name="Normal 3563 2" xfId="16887"/>
    <cellStyle name="Normal 3563 2 2" xfId="42010"/>
    <cellStyle name="Normal 3563 2 3" xfId="42011"/>
    <cellStyle name="Normal 3563 3" xfId="16888"/>
    <cellStyle name="Normal 3563 4" xfId="42012"/>
    <cellStyle name="Normal 3564" xfId="16889"/>
    <cellStyle name="Normal 3564 2" xfId="16890"/>
    <cellStyle name="Normal 3564 2 2" xfId="42013"/>
    <cellStyle name="Normal 3564 2 3" xfId="42014"/>
    <cellStyle name="Normal 3564 3" xfId="16891"/>
    <cellStyle name="Normal 3564 4" xfId="42015"/>
    <cellStyle name="Normal 3565" xfId="16892"/>
    <cellStyle name="Normal 3565 2" xfId="16893"/>
    <cellStyle name="Normal 3565 2 2" xfId="42016"/>
    <cellStyle name="Normal 3565 2 3" xfId="42017"/>
    <cellStyle name="Normal 3565 3" xfId="16894"/>
    <cellStyle name="Normal 3565 4" xfId="42018"/>
    <cellStyle name="Normal 3566" xfId="16895"/>
    <cellStyle name="Normal 3566 2" xfId="16896"/>
    <cellStyle name="Normal 3566 2 2" xfId="42019"/>
    <cellStyle name="Normal 3566 2 3" xfId="42020"/>
    <cellStyle name="Normal 3566 3" xfId="16897"/>
    <cellStyle name="Normal 3566 4" xfId="42021"/>
    <cellStyle name="Normal 3567" xfId="16898"/>
    <cellStyle name="Normal 3567 2" xfId="16899"/>
    <cellStyle name="Normal 3567 2 2" xfId="42022"/>
    <cellStyle name="Normal 3567 2 3" xfId="42023"/>
    <cellStyle name="Normal 3567 3" xfId="16900"/>
    <cellStyle name="Normal 3567 4" xfId="42024"/>
    <cellStyle name="Normal 3568" xfId="16901"/>
    <cellStyle name="Normal 3568 2" xfId="16902"/>
    <cellStyle name="Normal 3568 2 2" xfId="42025"/>
    <cellStyle name="Normal 3568 2 3" xfId="42026"/>
    <cellStyle name="Normal 3568 3" xfId="16903"/>
    <cellStyle name="Normal 3568 4" xfId="42027"/>
    <cellStyle name="Normal 3569" xfId="16904"/>
    <cellStyle name="Normal 3569 2" xfId="16905"/>
    <cellStyle name="Normal 3569 2 2" xfId="42028"/>
    <cellStyle name="Normal 3569 2 3" xfId="42029"/>
    <cellStyle name="Normal 3569 3" xfId="16906"/>
    <cellStyle name="Normal 3569 4" xfId="42030"/>
    <cellStyle name="Normal 357" xfId="16907"/>
    <cellStyle name="Normal 357 10" xfId="42031"/>
    <cellStyle name="Normal 357 2" xfId="16908"/>
    <cellStyle name="Normal 357 2 2" xfId="16909"/>
    <cellStyle name="Normal 357 2 2 2" xfId="16910"/>
    <cellStyle name="Normal 357 2 2 3" xfId="16911"/>
    <cellStyle name="Normal 357 2 3" xfId="16912"/>
    <cellStyle name="Normal 357 2 3 2" xfId="42032"/>
    <cellStyle name="Normal 357 2 3 3" xfId="42033"/>
    <cellStyle name="Normal 357 2 4" xfId="16913"/>
    <cellStyle name="Normal 357 2 5" xfId="16914"/>
    <cellStyle name="Normal 357 2 6" xfId="42034"/>
    <cellStyle name="Normal 357 2 7" xfId="42035"/>
    <cellStyle name="Normal 357 2 8" xfId="42036"/>
    <cellStyle name="Normal 357 3" xfId="16915"/>
    <cellStyle name="Normal 357 3 2" xfId="16916"/>
    <cellStyle name="Normal 357 3 2 2" xfId="42037"/>
    <cellStyle name="Normal 357 3 2 3" xfId="42038"/>
    <cellStyle name="Normal 357 3 3" xfId="16917"/>
    <cellStyle name="Normal 357 3 3 2" xfId="42039"/>
    <cellStyle name="Normal 357 3 3 3" xfId="42040"/>
    <cellStyle name="Normal 357 3 4" xfId="42041"/>
    <cellStyle name="Normal 357 3 5" xfId="42042"/>
    <cellStyle name="Normal 357 4" xfId="16918"/>
    <cellStyle name="Normal 357 4 2" xfId="42043"/>
    <cellStyle name="Normal 357 4 3" xfId="42044"/>
    <cellStyle name="Normal 357 5" xfId="16919"/>
    <cellStyle name="Normal 357 5 2" xfId="42045"/>
    <cellStyle name="Normal 357 5 3" xfId="42046"/>
    <cellStyle name="Normal 357 6" xfId="16920"/>
    <cellStyle name="Normal 357 7" xfId="42047"/>
    <cellStyle name="Normal 357 8" xfId="42048"/>
    <cellStyle name="Normal 357 9" xfId="42049"/>
    <cellStyle name="Normal 3570" xfId="16921"/>
    <cellStyle name="Normal 3570 2" xfId="16922"/>
    <cellStyle name="Normal 3570 2 2" xfId="42050"/>
    <cellStyle name="Normal 3570 2 3" xfId="42051"/>
    <cellStyle name="Normal 3570 3" xfId="16923"/>
    <cellStyle name="Normal 3570 4" xfId="42052"/>
    <cellStyle name="Normal 3571" xfId="16924"/>
    <cellStyle name="Normal 3571 2" xfId="16925"/>
    <cellStyle name="Normal 3571 2 2" xfId="42053"/>
    <cellStyle name="Normal 3571 2 3" xfId="42054"/>
    <cellStyle name="Normal 3571 3" xfId="16926"/>
    <cellStyle name="Normal 3571 4" xfId="42055"/>
    <cellStyle name="Normal 3572" xfId="16927"/>
    <cellStyle name="Normal 3572 2" xfId="16928"/>
    <cellStyle name="Normal 3572 2 2" xfId="42056"/>
    <cellStyle name="Normal 3572 2 3" xfId="42057"/>
    <cellStyle name="Normal 3572 3" xfId="16929"/>
    <cellStyle name="Normal 3572 4" xfId="42058"/>
    <cellStyle name="Normal 3573" xfId="16930"/>
    <cellStyle name="Normal 3573 2" xfId="16931"/>
    <cellStyle name="Normal 3573 2 2" xfId="42059"/>
    <cellStyle name="Normal 3573 2 3" xfId="42060"/>
    <cellStyle name="Normal 3573 3" xfId="16932"/>
    <cellStyle name="Normal 3573 4" xfId="42061"/>
    <cellStyle name="Normal 3574" xfId="16933"/>
    <cellStyle name="Normal 3574 2" xfId="16934"/>
    <cellStyle name="Normal 3574 2 2" xfId="42062"/>
    <cellStyle name="Normal 3574 2 3" xfId="42063"/>
    <cellStyle name="Normal 3574 3" xfId="16935"/>
    <cellStyle name="Normal 3574 4" xfId="42064"/>
    <cellStyle name="Normal 3575" xfId="16936"/>
    <cellStyle name="Normal 3575 2" xfId="16937"/>
    <cellStyle name="Normal 3575 2 2" xfId="42065"/>
    <cellStyle name="Normal 3575 2 3" xfId="42066"/>
    <cellStyle name="Normal 3575 3" xfId="16938"/>
    <cellStyle name="Normal 3575 4" xfId="42067"/>
    <cellStyle name="Normal 3576" xfId="16939"/>
    <cellStyle name="Normal 3576 2" xfId="16940"/>
    <cellStyle name="Normal 3576 2 2" xfId="42068"/>
    <cellStyle name="Normal 3576 2 3" xfId="42069"/>
    <cellStyle name="Normal 3576 3" xfId="16941"/>
    <cellStyle name="Normal 3576 4" xfId="42070"/>
    <cellStyle name="Normal 3577" xfId="16942"/>
    <cellStyle name="Normal 3577 2" xfId="16943"/>
    <cellStyle name="Normal 3577 2 2" xfId="42071"/>
    <cellStyle name="Normal 3577 2 3" xfId="42072"/>
    <cellStyle name="Normal 3577 3" xfId="16944"/>
    <cellStyle name="Normal 3577 4" xfId="42073"/>
    <cellStyle name="Normal 3578" xfId="16945"/>
    <cellStyle name="Normal 3578 2" xfId="16946"/>
    <cellStyle name="Normal 3578 2 2" xfId="42074"/>
    <cellStyle name="Normal 3578 2 3" xfId="42075"/>
    <cellStyle name="Normal 3578 3" xfId="16947"/>
    <cellStyle name="Normal 3578 4" xfId="42076"/>
    <cellStyle name="Normal 3579" xfId="16948"/>
    <cellStyle name="Normal 3579 2" xfId="16949"/>
    <cellStyle name="Normal 3579 2 2" xfId="42077"/>
    <cellStyle name="Normal 3579 2 3" xfId="42078"/>
    <cellStyle name="Normal 3579 3" xfId="16950"/>
    <cellStyle name="Normal 3579 4" xfId="42079"/>
    <cellStyle name="Normal 358" xfId="16951"/>
    <cellStyle name="Normal 358 10" xfId="42080"/>
    <cellStyle name="Normal 358 2" xfId="16952"/>
    <cellStyle name="Normal 358 2 2" xfId="16953"/>
    <cellStyle name="Normal 358 2 2 2" xfId="16954"/>
    <cellStyle name="Normal 358 2 2 3" xfId="16955"/>
    <cellStyle name="Normal 358 2 3" xfId="16956"/>
    <cellStyle name="Normal 358 2 3 2" xfId="42081"/>
    <cellStyle name="Normal 358 2 3 3" xfId="42082"/>
    <cellStyle name="Normal 358 2 4" xfId="16957"/>
    <cellStyle name="Normal 358 2 5" xfId="16958"/>
    <cellStyle name="Normal 358 2 6" xfId="42083"/>
    <cellStyle name="Normal 358 2 7" xfId="42084"/>
    <cellStyle name="Normal 358 2 8" xfId="42085"/>
    <cellStyle name="Normal 358 3" xfId="16959"/>
    <cellStyle name="Normal 358 3 2" xfId="16960"/>
    <cellStyle name="Normal 358 3 2 2" xfId="42086"/>
    <cellStyle name="Normal 358 3 2 3" xfId="42087"/>
    <cellStyle name="Normal 358 3 3" xfId="16961"/>
    <cellStyle name="Normal 358 3 3 2" xfId="42088"/>
    <cellStyle name="Normal 358 3 3 3" xfId="42089"/>
    <cellStyle name="Normal 358 3 4" xfId="42090"/>
    <cellStyle name="Normal 358 3 5" xfId="42091"/>
    <cellStyle name="Normal 358 4" xfId="16962"/>
    <cellStyle name="Normal 358 4 2" xfId="42092"/>
    <cellStyle name="Normal 358 4 3" xfId="42093"/>
    <cellStyle name="Normal 358 5" xfId="16963"/>
    <cellStyle name="Normal 358 5 2" xfId="42094"/>
    <cellStyle name="Normal 358 5 3" xfId="42095"/>
    <cellStyle name="Normal 358 6" xfId="16964"/>
    <cellStyle name="Normal 358 7" xfId="42096"/>
    <cellStyle name="Normal 358 8" xfId="42097"/>
    <cellStyle name="Normal 358 9" xfId="42098"/>
    <cellStyle name="Normal 3580" xfId="16965"/>
    <cellStyle name="Normal 3580 2" xfId="16966"/>
    <cellStyle name="Normal 3580 2 2" xfId="42099"/>
    <cellStyle name="Normal 3580 2 3" xfId="42100"/>
    <cellStyle name="Normal 3580 3" xfId="16967"/>
    <cellStyle name="Normal 3580 4" xfId="42101"/>
    <cellStyle name="Normal 3581" xfId="16968"/>
    <cellStyle name="Normal 3581 2" xfId="16969"/>
    <cellStyle name="Normal 3581 2 2" xfId="42102"/>
    <cellStyle name="Normal 3581 2 3" xfId="42103"/>
    <cellStyle name="Normal 3581 3" xfId="16970"/>
    <cellStyle name="Normal 3581 4" xfId="42104"/>
    <cellStyle name="Normal 3582" xfId="16971"/>
    <cellStyle name="Normal 3582 2" xfId="16972"/>
    <cellStyle name="Normal 3582 2 2" xfId="42105"/>
    <cellStyle name="Normal 3582 2 3" xfId="42106"/>
    <cellStyle name="Normal 3582 3" xfId="16973"/>
    <cellStyle name="Normal 3582 4" xfId="42107"/>
    <cellStyle name="Normal 3583" xfId="16974"/>
    <cellStyle name="Normal 3583 2" xfId="16975"/>
    <cellStyle name="Normal 3583 2 2" xfId="42108"/>
    <cellStyle name="Normal 3583 2 3" xfId="42109"/>
    <cellStyle name="Normal 3583 3" xfId="16976"/>
    <cellStyle name="Normal 3583 4" xfId="42110"/>
    <cellStyle name="Normal 3584" xfId="16977"/>
    <cellStyle name="Normal 3584 2" xfId="16978"/>
    <cellStyle name="Normal 3584 2 2" xfId="42111"/>
    <cellStyle name="Normal 3584 2 3" xfId="42112"/>
    <cellStyle name="Normal 3584 3" xfId="16979"/>
    <cellStyle name="Normal 3584 4" xfId="42113"/>
    <cellStyle name="Normal 3585" xfId="16980"/>
    <cellStyle name="Normal 3585 2" xfId="16981"/>
    <cellStyle name="Normal 3585 2 2" xfId="42114"/>
    <cellStyle name="Normal 3585 2 3" xfId="42115"/>
    <cellStyle name="Normal 3585 3" xfId="16982"/>
    <cellStyle name="Normal 3585 4" xfId="42116"/>
    <cellStyle name="Normal 3586" xfId="16983"/>
    <cellStyle name="Normal 3586 2" xfId="16984"/>
    <cellStyle name="Normal 3586 2 2" xfId="42117"/>
    <cellStyle name="Normal 3586 2 3" xfId="42118"/>
    <cellStyle name="Normal 3586 3" xfId="16985"/>
    <cellStyle name="Normal 3586 4" xfId="42119"/>
    <cellStyle name="Normal 3587" xfId="16986"/>
    <cellStyle name="Normal 3587 2" xfId="16987"/>
    <cellStyle name="Normal 3587 2 2" xfId="42120"/>
    <cellStyle name="Normal 3587 2 3" xfId="42121"/>
    <cellStyle name="Normal 3587 3" xfId="16988"/>
    <cellStyle name="Normal 3587 4" xfId="42122"/>
    <cellStyle name="Normal 3588" xfId="16989"/>
    <cellStyle name="Normal 3588 2" xfId="16990"/>
    <cellStyle name="Normal 3588 2 2" xfId="42123"/>
    <cellStyle name="Normal 3588 2 3" xfId="42124"/>
    <cellStyle name="Normal 3588 3" xfId="16991"/>
    <cellStyle name="Normal 3588 4" xfId="42125"/>
    <cellStyle name="Normal 3589" xfId="16992"/>
    <cellStyle name="Normal 3589 2" xfId="16993"/>
    <cellStyle name="Normal 3589 2 2" xfId="42126"/>
    <cellStyle name="Normal 3589 2 3" xfId="42127"/>
    <cellStyle name="Normal 3589 3" xfId="16994"/>
    <cellStyle name="Normal 3589 4" xfId="42128"/>
    <cellStyle name="Normal 359" xfId="16995"/>
    <cellStyle name="Normal 359 10" xfId="42129"/>
    <cellStyle name="Normal 359 2" xfId="16996"/>
    <cellStyle name="Normal 359 2 2" xfId="16997"/>
    <cellStyle name="Normal 359 2 2 2" xfId="16998"/>
    <cellStyle name="Normal 359 2 2 3" xfId="16999"/>
    <cellStyle name="Normal 359 2 3" xfId="17000"/>
    <cellStyle name="Normal 359 2 3 2" xfId="42130"/>
    <cellStyle name="Normal 359 2 3 3" xfId="42131"/>
    <cellStyle name="Normal 359 2 4" xfId="17001"/>
    <cellStyle name="Normal 359 2 5" xfId="17002"/>
    <cellStyle name="Normal 359 2 6" xfId="42132"/>
    <cellStyle name="Normal 359 2 7" xfId="42133"/>
    <cellStyle name="Normal 359 2 8" xfId="42134"/>
    <cellStyle name="Normal 359 3" xfId="17003"/>
    <cellStyle name="Normal 359 3 2" xfId="17004"/>
    <cellStyle name="Normal 359 3 2 2" xfId="42135"/>
    <cellStyle name="Normal 359 3 2 3" xfId="42136"/>
    <cellStyle name="Normal 359 3 3" xfId="17005"/>
    <cellStyle name="Normal 359 3 3 2" xfId="42137"/>
    <cellStyle name="Normal 359 3 3 3" xfId="42138"/>
    <cellStyle name="Normal 359 3 4" xfId="42139"/>
    <cellStyle name="Normal 359 3 5" xfId="42140"/>
    <cellStyle name="Normal 359 4" xfId="17006"/>
    <cellStyle name="Normal 359 4 2" xfId="42141"/>
    <cellStyle name="Normal 359 4 3" xfId="42142"/>
    <cellStyle name="Normal 359 5" xfId="17007"/>
    <cellStyle name="Normal 359 5 2" xfId="42143"/>
    <cellStyle name="Normal 359 5 3" xfId="42144"/>
    <cellStyle name="Normal 359 6" xfId="17008"/>
    <cellStyle name="Normal 359 7" xfId="42145"/>
    <cellStyle name="Normal 359 8" xfId="42146"/>
    <cellStyle name="Normal 359 9" xfId="42147"/>
    <cellStyle name="Normal 3590" xfId="17009"/>
    <cellStyle name="Normal 3590 2" xfId="17010"/>
    <cellStyle name="Normal 3590 2 2" xfId="42148"/>
    <cellStyle name="Normal 3590 2 3" xfId="42149"/>
    <cellStyle name="Normal 3590 3" xfId="17011"/>
    <cellStyle name="Normal 3590 4" xfId="42150"/>
    <cellStyle name="Normal 3591" xfId="17012"/>
    <cellStyle name="Normal 3591 2" xfId="17013"/>
    <cellStyle name="Normal 3591 2 2" xfId="42151"/>
    <cellStyle name="Normal 3591 2 3" xfId="42152"/>
    <cellStyle name="Normal 3591 3" xfId="17014"/>
    <cellStyle name="Normal 3591 4" xfId="42153"/>
    <cellStyle name="Normal 3592" xfId="17015"/>
    <cellStyle name="Normal 3592 2" xfId="17016"/>
    <cellStyle name="Normal 3592 2 2" xfId="42154"/>
    <cellStyle name="Normal 3592 2 3" xfId="42155"/>
    <cellStyle name="Normal 3592 3" xfId="17017"/>
    <cellStyle name="Normal 3592 4" xfId="42156"/>
    <cellStyle name="Normal 3593" xfId="17018"/>
    <cellStyle name="Normal 3593 2" xfId="17019"/>
    <cellStyle name="Normal 3593 2 2" xfId="42157"/>
    <cellStyle name="Normal 3593 2 3" xfId="42158"/>
    <cellStyle name="Normal 3593 3" xfId="17020"/>
    <cellStyle name="Normal 3593 4" xfId="42159"/>
    <cellStyle name="Normal 3594" xfId="17021"/>
    <cellStyle name="Normal 3594 2" xfId="17022"/>
    <cellStyle name="Normal 3594 2 2" xfId="42160"/>
    <cellStyle name="Normal 3594 2 3" xfId="42161"/>
    <cellStyle name="Normal 3594 3" xfId="17023"/>
    <cellStyle name="Normal 3594 4" xfId="42162"/>
    <cellStyle name="Normal 3595" xfId="17024"/>
    <cellStyle name="Normal 3595 2" xfId="17025"/>
    <cellStyle name="Normal 3595 2 2" xfId="42163"/>
    <cellStyle name="Normal 3595 2 3" xfId="42164"/>
    <cellStyle name="Normal 3595 3" xfId="17026"/>
    <cellStyle name="Normal 3595 4" xfId="42165"/>
    <cellStyle name="Normal 3596" xfId="17027"/>
    <cellStyle name="Normal 3596 2" xfId="17028"/>
    <cellStyle name="Normal 3596 2 2" xfId="42166"/>
    <cellStyle name="Normal 3596 2 3" xfId="42167"/>
    <cellStyle name="Normal 3596 3" xfId="17029"/>
    <cellStyle name="Normal 3596 4" xfId="42168"/>
    <cellStyle name="Normal 3597" xfId="17030"/>
    <cellStyle name="Normal 3597 2" xfId="17031"/>
    <cellStyle name="Normal 3597 2 2" xfId="42169"/>
    <cellStyle name="Normal 3597 2 3" xfId="42170"/>
    <cellStyle name="Normal 3597 3" xfId="17032"/>
    <cellStyle name="Normal 3597 4" xfId="42171"/>
    <cellStyle name="Normal 3598" xfId="17033"/>
    <cellStyle name="Normal 3598 2" xfId="17034"/>
    <cellStyle name="Normal 3598 2 2" xfId="42172"/>
    <cellStyle name="Normal 3598 2 3" xfId="42173"/>
    <cellStyle name="Normal 3598 3" xfId="17035"/>
    <cellStyle name="Normal 3598 4" xfId="42174"/>
    <cellStyle name="Normal 3599" xfId="17036"/>
    <cellStyle name="Normal 3599 2" xfId="17037"/>
    <cellStyle name="Normal 3599 2 2" xfId="42175"/>
    <cellStyle name="Normal 3599 2 3" xfId="42176"/>
    <cellStyle name="Normal 3599 3" xfId="17038"/>
    <cellStyle name="Normal 3599 4" xfId="42177"/>
    <cellStyle name="Normal 36" xfId="17039"/>
    <cellStyle name="Normal 36 10" xfId="42178"/>
    <cellStyle name="Normal 36 2" xfId="17040"/>
    <cellStyle name="Normal 36 2 2" xfId="17041"/>
    <cellStyle name="Normal 36 2 2 2" xfId="17042"/>
    <cellStyle name="Normal 36 2 2 3" xfId="17043"/>
    <cellStyle name="Normal 36 2 3" xfId="17044"/>
    <cellStyle name="Normal 36 2 3 2" xfId="42179"/>
    <cellStyle name="Normal 36 2 3 3" xfId="42180"/>
    <cellStyle name="Normal 36 2 4" xfId="17045"/>
    <cellStyle name="Normal 36 2 5" xfId="17046"/>
    <cellStyle name="Normal 36 2 6" xfId="42181"/>
    <cellStyle name="Normal 36 2 7" xfId="42182"/>
    <cellStyle name="Normal 36 2 8" xfId="42183"/>
    <cellStyle name="Normal 36 3" xfId="17047"/>
    <cellStyle name="Normal 36 3 2" xfId="17048"/>
    <cellStyle name="Normal 36 3 2 2" xfId="42184"/>
    <cellStyle name="Normal 36 3 2 3" xfId="42185"/>
    <cellStyle name="Normal 36 3 3" xfId="17049"/>
    <cellStyle name="Normal 36 3 3 2" xfId="42186"/>
    <cellStyle name="Normal 36 3 3 3" xfId="42187"/>
    <cellStyle name="Normal 36 3 4" xfId="17050"/>
    <cellStyle name="Normal 36 3 5" xfId="42188"/>
    <cellStyle name="Normal 36 4" xfId="17051"/>
    <cellStyle name="Normal 36 4 2" xfId="42189"/>
    <cellStyle name="Normal 36 4 3" xfId="42190"/>
    <cellStyle name="Normal 36 5" xfId="17052"/>
    <cellStyle name="Normal 36 5 2" xfId="42191"/>
    <cellStyle name="Normal 36 5 3" xfId="42192"/>
    <cellStyle name="Normal 36 6" xfId="17053"/>
    <cellStyle name="Normal 36 7" xfId="42193"/>
    <cellStyle name="Normal 36 8" xfId="42194"/>
    <cellStyle name="Normal 36 9" xfId="42195"/>
    <cellStyle name="Normal 360" xfId="17054"/>
    <cellStyle name="Normal 360 10" xfId="42196"/>
    <cellStyle name="Normal 360 2" xfId="17055"/>
    <cellStyle name="Normal 360 2 2" xfId="17056"/>
    <cellStyle name="Normal 360 2 2 2" xfId="17057"/>
    <cellStyle name="Normal 360 2 2 3" xfId="17058"/>
    <cellStyle name="Normal 360 2 3" xfId="17059"/>
    <cellStyle name="Normal 360 2 3 2" xfId="42197"/>
    <cellStyle name="Normal 360 2 3 3" xfId="42198"/>
    <cellStyle name="Normal 360 2 4" xfId="17060"/>
    <cellStyle name="Normal 360 2 5" xfId="17061"/>
    <cellStyle name="Normal 360 2 6" xfId="42199"/>
    <cellStyle name="Normal 360 2 7" xfId="42200"/>
    <cellStyle name="Normal 360 2 8" xfId="42201"/>
    <cellStyle name="Normal 360 3" xfId="17062"/>
    <cellStyle name="Normal 360 3 2" xfId="17063"/>
    <cellStyle name="Normal 360 3 2 2" xfId="42202"/>
    <cellStyle name="Normal 360 3 2 3" xfId="42203"/>
    <cellStyle name="Normal 360 3 3" xfId="17064"/>
    <cellStyle name="Normal 360 3 3 2" xfId="42204"/>
    <cellStyle name="Normal 360 3 3 3" xfId="42205"/>
    <cellStyle name="Normal 360 3 4" xfId="42206"/>
    <cellStyle name="Normal 360 3 5" xfId="42207"/>
    <cellStyle name="Normal 360 4" xfId="17065"/>
    <cellStyle name="Normal 360 4 2" xfId="42208"/>
    <cellStyle name="Normal 360 4 3" xfId="42209"/>
    <cellStyle name="Normal 360 5" xfId="17066"/>
    <cellStyle name="Normal 360 5 2" xfId="42210"/>
    <cellStyle name="Normal 360 5 3" xfId="42211"/>
    <cellStyle name="Normal 360 6" xfId="17067"/>
    <cellStyle name="Normal 360 7" xfId="42212"/>
    <cellStyle name="Normal 360 8" xfId="42213"/>
    <cellStyle name="Normal 360 9" xfId="42214"/>
    <cellStyle name="Normal 3600" xfId="17068"/>
    <cellStyle name="Normal 3600 2" xfId="17069"/>
    <cellStyle name="Normal 3600 2 2" xfId="42215"/>
    <cellStyle name="Normal 3600 2 3" xfId="42216"/>
    <cellStyle name="Normal 3600 3" xfId="17070"/>
    <cellStyle name="Normal 3600 4" xfId="42217"/>
    <cellStyle name="Normal 3601" xfId="17071"/>
    <cellStyle name="Normal 3601 2" xfId="17072"/>
    <cellStyle name="Normal 3601 2 2" xfId="42218"/>
    <cellStyle name="Normal 3601 2 3" xfId="42219"/>
    <cellStyle name="Normal 3601 3" xfId="17073"/>
    <cellStyle name="Normal 3601 4" xfId="42220"/>
    <cellStyle name="Normal 3602" xfId="17074"/>
    <cellStyle name="Normal 3602 2" xfId="17075"/>
    <cellStyle name="Normal 3602 2 2" xfId="42221"/>
    <cellStyle name="Normal 3602 2 3" xfId="42222"/>
    <cellStyle name="Normal 3602 3" xfId="17076"/>
    <cellStyle name="Normal 3602 4" xfId="42223"/>
    <cellStyle name="Normal 3603" xfId="17077"/>
    <cellStyle name="Normal 3603 2" xfId="17078"/>
    <cellStyle name="Normal 3603 2 2" xfId="42224"/>
    <cellStyle name="Normal 3603 2 3" xfId="42225"/>
    <cellStyle name="Normal 3603 3" xfId="17079"/>
    <cellStyle name="Normal 3603 4" xfId="42226"/>
    <cellStyle name="Normal 3604" xfId="17080"/>
    <cellStyle name="Normal 3604 2" xfId="17081"/>
    <cellStyle name="Normal 3604 2 2" xfId="42227"/>
    <cellStyle name="Normal 3604 2 3" xfId="42228"/>
    <cellStyle name="Normal 3604 3" xfId="17082"/>
    <cellStyle name="Normal 3604 4" xfId="42229"/>
    <cellStyle name="Normal 3605" xfId="17083"/>
    <cellStyle name="Normal 3605 2" xfId="17084"/>
    <cellStyle name="Normal 3605 2 2" xfId="42230"/>
    <cellStyle name="Normal 3605 2 3" xfId="42231"/>
    <cellStyle name="Normal 3605 3" xfId="17085"/>
    <cellStyle name="Normal 3605 4" xfId="42232"/>
    <cellStyle name="Normal 3606" xfId="17086"/>
    <cellStyle name="Normal 3606 2" xfId="17087"/>
    <cellStyle name="Normal 3606 2 2" xfId="42233"/>
    <cellStyle name="Normal 3606 2 3" xfId="42234"/>
    <cellStyle name="Normal 3606 3" xfId="17088"/>
    <cellStyle name="Normal 3606 4" xfId="42235"/>
    <cellStyle name="Normal 3607" xfId="17089"/>
    <cellStyle name="Normal 3607 2" xfId="17090"/>
    <cellStyle name="Normal 3607 2 2" xfId="42236"/>
    <cellStyle name="Normal 3607 2 3" xfId="42237"/>
    <cellStyle name="Normal 3607 3" xfId="17091"/>
    <cellStyle name="Normal 3607 4" xfId="42238"/>
    <cellStyle name="Normal 3608" xfId="17092"/>
    <cellStyle name="Normal 3608 2" xfId="17093"/>
    <cellStyle name="Normal 3608 2 2" xfId="42239"/>
    <cellStyle name="Normal 3608 2 3" xfId="42240"/>
    <cellStyle name="Normal 3608 3" xfId="17094"/>
    <cellStyle name="Normal 3608 4" xfId="42241"/>
    <cellStyle name="Normal 3609" xfId="17095"/>
    <cellStyle name="Normal 3609 2" xfId="17096"/>
    <cellStyle name="Normal 3609 2 2" xfId="42242"/>
    <cellStyle name="Normal 3609 2 3" xfId="42243"/>
    <cellStyle name="Normal 3609 3" xfId="17097"/>
    <cellStyle name="Normal 3609 4" xfId="42244"/>
    <cellStyle name="Normal 361" xfId="17098"/>
    <cellStyle name="Normal 361 10" xfId="42245"/>
    <cellStyle name="Normal 361 2" xfId="17099"/>
    <cellStyle name="Normal 361 2 2" xfId="17100"/>
    <cellStyle name="Normal 361 2 2 2" xfId="17101"/>
    <cellStyle name="Normal 361 2 2 3" xfId="17102"/>
    <cellStyle name="Normal 361 2 3" xfId="17103"/>
    <cellStyle name="Normal 361 2 3 2" xfId="42246"/>
    <cellStyle name="Normal 361 2 3 3" xfId="42247"/>
    <cellStyle name="Normal 361 2 4" xfId="17104"/>
    <cellStyle name="Normal 361 2 5" xfId="17105"/>
    <cellStyle name="Normal 361 2 6" xfId="42248"/>
    <cellStyle name="Normal 361 2 7" xfId="42249"/>
    <cellStyle name="Normal 361 2 8" xfId="42250"/>
    <cellStyle name="Normal 361 3" xfId="17106"/>
    <cellStyle name="Normal 361 3 2" xfId="17107"/>
    <cellStyle name="Normal 361 3 2 2" xfId="42251"/>
    <cellStyle name="Normal 361 3 2 3" xfId="42252"/>
    <cellStyle name="Normal 361 3 3" xfId="17108"/>
    <cellStyle name="Normal 361 3 3 2" xfId="42253"/>
    <cellStyle name="Normal 361 3 3 3" xfId="42254"/>
    <cellStyle name="Normal 361 3 4" xfId="42255"/>
    <cellStyle name="Normal 361 3 5" xfId="42256"/>
    <cellStyle name="Normal 361 4" xfId="17109"/>
    <cellStyle name="Normal 361 4 2" xfId="42257"/>
    <cellStyle name="Normal 361 4 3" xfId="42258"/>
    <cellStyle name="Normal 361 5" xfId="17110"/>
    <cellStyle name="Normal 361 5 2" xfId="42259"/>
    <cellStyle name="Normal 361 5 3" xfId="42260"/>
    <cellStyle name="Normal 361 6" xfId="17111"/>
    <cellStyle name="Normal 361 7" xfId="42261"/>
    <cellStyle name="Normal 361 8" xfId="42262"/>
    <cellStyle name="Normal 361 9" xfId="42263"/>
    <cellStyle name="Normal 3610" xfId="17112"/>
    <cellStyle name="Normal 3610 2" xfId="17113"/>
    <cellStyle name="Normal 3610 2 2" xfId="42264"/>
    <cellStyle name="Normal 3610 2 3" xfId="42265"/>
    <cellStyle name="Normal 3610 3" xfId="17114"/>
    <cellStyle name="Normal 3610 4" xfId="42266"/>
    <cellStyle name="Normal 3611" xfId="17115"/>
    <cellStyle name="Normal 3611 2" xfId="17116"/>
    <cellStyle name="Normal 3611 2 2" xfId="42267"/>
    <cellStyle name="Normal 3611 2 3" xfId="42268"/>
    <cellStyle name="Normal 3611 3" xfId="17117"/>
    <cellStyle name="Normal 3611 4" xfId="42269"/>
    <cellStyle name="Normal 3612" xfId="17118"/>
    <cellStyle name="Normal 3612 2" xfId="17119"/>
    <cellStyle name="Normal 3612 2 2" xfId="42270"/>
    <cellStyle name="Normal 3612 2 3" xfId="42271"/>
    <cellStyle name="Normal 3612 3" xfId="17120"/>
    <cellStyle name="Normal 3612 4" xfId="42272"/>
    <cellStyle name="Normal 3613" xfId="17121"/>
    <cellStyle name="Normal 3613 2" xfId="17122"/>
    <cellStyle name="Normal 3613 2 2" xfId="42273"/>
    <cellStyle name="Normal 3613 2 3" xfId="42274"/>
    <cellStyle name="Normal 3613 3" xfId="17123"/>
    <cellStyle name="Normal 3613 4" xfId="42275"/>
    <cellStyle name="Normal 3614" xfId="17124"/>
    <cellStyle name="Normal 3614 2" xfId="17125"/>
    <cellStyle name="Normal 3614 2 2" xfId="42276"/>
    <cellStyle name="Normal 3614 2 3" xfId="42277"/>
    <cellStyle name="Normal 3614 3" xfId="17126"/>
    <cellStyle name="Normal 3614 4" xfId="42278"/>
    <cellStyle name="Normal 3615" xfId="17127"/>
    <cellStyle name="Normal 3615 2" xfId="17128"/>
    <cellStyle name="Normal 3615 2 2" xfId="42279"/>
    <cellStyle name="Normal 3615 2 3" xfId="42280"/>
    <cellStyle name="Normal 3615 3" xfId="17129"/>
    <cellStyle name="Normal 3615 4" xfId="42281"/>
    <cellStyle name="Normal 3616" xfId="17130"/>
    <cellStyle name="Normal 3616 2" xfId="17131"/>
    <cellStyle name="Normal 3616 2 2" xfId="42282"/>
    <cellStyle name="Normal 3616 2 3" xfId="42283"/>
    <cellStyle name="Normal 3616 3" xfId="17132"/>
    <cellStyle name="Normal 3616 4" xfId="42284"/>
    <cellStyle name="Normal 3617" xfId="17133"/>
    <cellStyle name="Normal 3617 2" xfId="17134"/>
    <cellStyle name="Normal 3617 2 2" xfId="42285"/>
    <cellStyle name="Normal 3617 2 3" xfId="42286"/>
    <cellStyle name="Normal 3617 3" xfId="17135"/>
    <cellStyle name="Normal 3617 4" xfId="42287"/>
    <cellStyle name="Normal 3618" xfId="17136"/>
    <cellStyle name="Normal 3618 2" xfId="17137"/>
    <cellStyle name="Normal 3618 2 2" xfId="42288"/>
    <cellStyle name="Normal 3618 2 3" xfId="42289"/>
    <cellStyle name="Normal 3618 3" xfId="17138"/>
    <cellStyle name="Normal 3618 4" xfId="42290"/>
    <cellStyle name="Normal 3619" xfId="17139"/>
    <cellStyle name="Normal 3619 2" xfId="17140"/>
    <cellStyle name="Normal 3619 2 2" xfId="42291"/>
    <cellStyle name="Normal 3619 2 3" xfId="42292"/>
    <cellStyle name="Normal 3619 3" xfId="17141"/>
    <cellStyle name="Normal 3619 4" xfId="42293"/>
    <cellStyle name="Normal 362" xfId="17142"/>
    <cellStyle name="Normal 362 10" xfId="42294"/>
    <cellStyle name="Normal 362 2" xfId="17143"/>
    <cellStyle name="Normal 362 2 2" xfId="17144"/>
    <cellStyle name="Normal 362 2 2 2" xfId="17145"/>
    <cellStyle name="Normal 362 2 2 3" xfId="17146"/>
    <cellStyle name="Normal 362 2 3" xfId="17147"/>
    <cellStyle name="Normal 362 2 3 2" xfId="42295"/>
    <cellStyle name="Normal 362 2 3 3" xfId="42296"/>
    <cellStyle name="Normal 362 2 4" xfId="17148"/>
    <cellStyle name="Normal 362 2 5" xfId="17149"/>
    <cellStyle name="Normal 362 2 6" xfId="42297"/>
    <cellStyle name="Normal 362 2 7" xfId="42298"/>
    <cellStyle name="Normal 362 2 8" xfId="42299"/>
    <cellStyle name="Normal 362 3" xfId="17150"/>
    <cellStyle name="Normal 362 3 2" xfId="17151"/>
    <cellStyle name="Normal 362 3 2 2" xfId="42300"/>
    <cellStyle name="Normal 362 3 2 3" xfId="42301"/>
    <cellStyle name="Normal 362 3 3" xfId="17152"/>
    <cellStyle name="Normal 362 3 3 2" xfId="42302"/>
    <cellStyle name="Normal 362 3 3 3" xfId="42303"/>
    <cellStyle name="Normal 362 3 4" xfId="42304"/>
    <cellStyle name="Normal 362 3 5" xfId="42305"/>
    <cellStyle name="Normal 362 4" xfId="17153"/>
    <cellStyle name="Normal 362 4 2" xfId="42306"/>
    <cellStyle name="Normal 362 4 3" xfId="42307"/>
    <cellStyle name="Normal 362 5" xfId="17154"/>
    <cellStyle name="Normal 362 5 2" xfId="42308"/>
    <cellStyle name="Normal 362 5 3" xfId="42309"/>
    <cellStyle name="Normal 362 6" xfId="17155"/>
    <cellStyle name="Normal 362 7" xfId="42310"/>
    <cellStyle name="Normal 362 8" xfId="42311"/>
    <cellStyle name="Normal 362 9" xfId="42312"/>
    <cellStyle name="Normal 3620" xfId="17156"/>
    <cellStyle name="Normal 3620 2" xfId="17157"/>
    <cellStyle name="Normal 3620 2 2" xfId="42313"/>
    <cellStyle name="Normal 3620 2 3" xfId="42314"/>
    <cellStyle name="Normal 3620 3" xfId="17158"/>
    <cellStyle name="Normal 3620 4" xfId="42315"/>
    <cellStyle name="Normal 3621" xfId="17159"/>
    <cellStyle name="Normal 3621 2" xfId="17160"/>
    <cellStyle name="Normal 3621 2 2" xfId="42316"/>
    <cellStyle name="Normal 3621 2 3" xfId="42317"/>
    <cellStyle name="Normal 3621 3" xfId="17161"/>
    <cellStyle name="Normal 3621 4" xfId="42318"/>
    <cellStyle name="Normal 3622" xfId="17162"/>
    <cellStyle name="Normal 3622 2" xfId="17163"/>
    <cellStyle name="Normal 3622 2 2" xfId="42319"/>
    <cellStyle name="Normal 3622 2 3" xfId="42320"/>
    <cellStyle name="Normal 3622 3" xfId="17164"/>
    <cellStyle name="Normal 3622 4" xfId="42321"/>
    <cellStyle name="Normal 3623" xfId="17165"/>
    <cellStyle name="Normal 3623 2" xfId="17166"/>
    <cellStyle name="Normal 3623 2 2" xfId="42322"/>
    <cellStyle name="Normal 3623 2 3" xfId="42323"/>
    <cellStyle name="Normal 3623 3" xfId="17167"/>
    <cellStyle name="Normal 3623 4" xfId="42324"/>
    <cellStyle name="Normal 3624" xfId="17168"/>
    <cellStyle name="Normal 3624 2" xfId="17169"/>
    <cellStyle name="Normal 3624 2 2" xfId="42325"/>
    <cellStyle name="Normal 3624 2 3" xfId="42326"/>
    <cellStyle name="Normal 3624 3" xfId="17170"/>
    <cellStyle name="Normal 3624 4" xfId="42327"/>
    <cellStyle name="Normal 3625" xfId="17171"/>
    <cellStyle name="Normal 3625 2" xfId="17172"/>
    <cellStyle name="Normal 3625 2 2" xfId="42328"/>
    <cellStyle name="Normal 3625 2 3" xfId="42329"/>
    <cellStyle name="Normal 3625 3" xfId="17173"/>
    <cellStyle name="Normal 3625 4" xfId="42330"/>
    <cellStyle name="Normal 3626" xfId="17174"/>
    <cellStyle name="Normal 3626 2" xfId="17175"/>
    <cellStyle name="Normal 3626 2 2" xfId="42331"/>
    <cellStyle name="Normal 3626 2 3" xfId="42332"/>
    <cellStyle name="Normal 3626 3" xfId="17176"/>
    <cellStyle name="Normal 3626 4" xfId="42333"/>
    <cellStyle name="Normal 3627" xfId="17177"/>
    <cellStyle name="Normal 3627 2" xfId="17178"/>
    <cellStyle name="Normal 3627 2 2" xfId="42334"/>
    <cellStyle name="Normal 3627 2 3" xfId="42335"/>
    <cellStyle name="Normal 3627 3" xfId="17179"/>
    <cellStyle name="Normal 3627 4" xfId="42336"/>
    <cellStyle name="Normal 3628" xfId="17180"/>
    <cellStyle name="Normal 3628 2" xfId="17181"/>
    <cellStyle name="Normal 3628 2 2" xfId="42337"/>
    <cellStyle name="Normal 3628 2 3" xfId="42338"/>
    <cellStyle name="Normal 3628 3" xfId="17182"/>
    <cellStyle name="Normal 3628 4" xfId="42339"/>
    <cellStyle name="Normal 3629" xfId="17183"/>
    <cellStyle name="Normal 3629 2" xfId="17184"/>
    <cellStyle name="Normal 3629 2 2" xfId="42340"/>
    <cellStyle name="Normal 3629 2 3" xfId="42341"/>
    <cellStyle name="Normal 3629 3" xfId="17185"/>
    <cellStyle name="Normal 3629 4" xfId="42342"/>
    <cellStyle name="Normal 363" xfId="17186"/>
    <cellStyle name="Normal 363 10" xfId="42343"/>
    <cellStyle name="Normal 363 2" xfId="17187"/>
    <cellStyle name="Normal 363 2 2" xfId="17188"/>
    <cellStyle name="Normal 363 2 2 2" xfId="17189"/>
    <cellStyle name="Normal 363 2 2 3" xfId="17190"/>
    <cellStyle name="Normal 363 2 3" xfId="17191"/>
    <cellStyle name="Normal 363 2 3 2" xfId="42344"/>
    <cellStyle name="Normal 363 2 3 3" xfId="42345"/>
    <cellStyle name="Normal 363 2 4" xfId="17192"/>
    <cellStyle name="Normal 363 2 5" xfId="17193"/>
    <cellStyle name="Normal 363 2 6" xfId="42346"/>
    <cellStyle name="Normal 363 2 7" xfId="42347"/>
    <cellStyle name="Normal 363 2 8" xfId="42348"/>
    <cellStyle name="Normal 363 3" xfId="17194"/>
    <cellStyle name="Normal 363 3 2" xfId="17195"/>
    <cellStyle name="Normal 363 3 2 2" xfId="42349"/>
    <cellStyle name="Normal 363 3 2 3" xfId="42350"/>
    <cellStyle name="Normal 363 3 3" xfId="17196"/>
    <cellStyle name="Normal 363 3 3 2" xfId="42351"/>
    <cellStyle name="Normal 363 3 3 3" xfId="42352"/>
    <cellStyle name="Normal 363 3 4" xfId="42353"/>
    <cellStyle name="Normal 363 3 5" xfId="42354"/>
    <cellStyle name="Normal 363 4" xfId="17197"/>
    <cellStyle name="Normal 363 4 2" xfId="42355"/>
    <cellStyle name="Normal 363 4 3" xfId="42356"/>
    <cellStyle name="Normal 363 5" xfId="17198"/>
    <cellStyle name="Normal 363 5 2" xfId="42357"/>
    <cellStyle name="Normal 363 5 3" xfId="42358"/>
    <cellStyle name="Normal 363 6" xfId="17199"/>
    <cellStyle name="Normal 363 7" xfId="42359"/>
    <cellStyle name="Normal 363 8" xfId="42360"/>
    <cellStyle name="Normal 363 9" xfId="42361"/>
    <cellStyle name="Normal 3630" xfId="17200"/>
    <cellStyle name="Normal 3630 2" xfId="17201"/>
    <cellStyle name="Normal 3630 2 2" xfId="42362"/>
    <cellStyle name="Normal 3630 2 3" xfId="42363"/>
    <cellStyle name="Normal 3630 3" xfId="17202"/>
    <cellStyle name="Normal 3630 4" xfId="42364"/>
    <cellStyle name="Normal 3631" xfId="17203"/>
    <cellStyle name="Normal 3631 2" xfId="17204"/>
    <cellStyle name="Normal 3631 2 2" xfId="42365"/>
    <cellStyle name="Normal 3631 2 3" xfId="42366"/>
    <cellStyle name="Normal 3631 3" xfId="17205"/>
    <cellStyle name="Normal 3631 4" xfId="42367"/>
    <cellStyle name="Normal 3632" xfId="17206"/>
    <cellStyle name="Normal 3632 2" xfId="17207"/>
    <cellStyle name="Normal 3632 2 2" xfId="42368"/>
    <cellStyle name="Normal 3632 2 3" xfId="42369"/>
    <cellStyle name="Normal 3632 3" xfId="17208"/>
    <cellStyle name="Normal 3632 4" xfId="42370"/>
    <cellStyle name="Normal 3633" xfId="17209"/>
    <cellStyle name="Normal 3633 2" xfId="17210"/>
    <cellStyle name="Normal 3633 2 2" xfId="42371"/>
    <cellStyle name="Normal 3633 2 3" xfId="42372"/>
    <cellStyle name="Normal 3633 3" xfId="17211"/>
    <cellStyle name="Normal 3633 4" xfId="42373"/>
    <cellStyle name="Normal 3634" xfId="17212"/>
    <cellStyle name="Normal 3634 2" xfId="17213"/>
    <cellStyle name="Normal 3634 2 2" xfId="42374"/>
    <cellStyle name="Normal 3634 2 3" xfId="42375"/>
    <cellStyle name="Normal 3634 3" xfId="17214"/>
    <cellStyle name="Normal 3634 4" xfId="42376"/>
    <cellStyle name="Normal 3635" xfId="17215"/>
    <cellStyle name="Normal 3635 2" xfId="17216"/>
    <cellStyle name="Normal 3635 2 2" xfId="42377"/>
    <cellStyle name="Normal 3635 2 3" xfId="42378"/>
    <cellStyle name="Normal 3635 3" xfId="17217"/>
    <cellStyle name="Normal 3635 4" xfId="42379"/>
    <cellStyle name="Normal 3636" xfId="17218"/>
    <cellStyle name="Normal 3636 2" xfId="17219"/>
    <cellStyle name="Normal 3636 2 2" xfId="42380"/>
    <cellStyle name="Normal 3636 2 3" xfId="42381"/>
    <cellStyle name="Normal 3636 3" xfId="17220"/>
    <cellStyle name="Normal 3636 4" xfId="42382"/>
    <cellStyle name="Normal 3637" xfId="17221"/>
    <cellStyle name="Normal 3637 2" xfId="17222"/>
    <cellStyle name="Normal 3637 2 2" xfId="42383"/>
    <cellStyle name="Normal 3637 2 3" xfId="42384"/>
    <cellStyle name="Normal 3637 3" xfId="17223"/>
    <cellStyle name="Normal 3637 4" xfId="42385"/>
    <cellStyle name="Normal 3638" xfId="17224"/>
    <cellStyle name="Normal 3638 2" xfId="17225"/>
    <cellStyle name="Normal 3638 2 2" xfId="42386"/>
    <cellStyle name="Normal 3638 2 3" xfId="42387"/>
    <cellStyle name="Normal 3638 3" xfId="17226"/>
    <cellStyle name="Normal 3638 4" xfId="42388"/>
    <cellStyle name="Normal 3639" xfId="17227"/>
    <cellStyle name="Normal 3639 2" xfId="17228"/>
    <cellStyle name="Normal 3639 2 2" xfId="42389"/>
    <cellStyle name="Normal 3639 2 3" xfId="42390"/>
    <cellStyle name="Normal 3639 3" xfId="17229"/>
    <cellStyle name="Normal 3639 4" xfId="42391"/>
    <cellStyle name="Normal 364" xfId="17230"/>
    <cellStyle name="Normal 364 10" xfId="42392"/>
    <cellStyle name="Normal 364 2" xfId="17231"/>
    <cellStyle name="Normal 364 2 2" xfId="17232"/>
    <cellStyle name="Normal 364 2 2 2" xfId="17233"/>
    <cellStyle name="Normal 364 2 2 3" xfId="17234"/>
    <cellStyle name="Normal 364 2 3" xfId="17235"/>
    <cellStyle name="Normal 364 2 3 2" xfId="42393"/>
    <cellStyle name="Normal 364 2 3 3" xfId="42394"/>
    <cellStyle name="Normal 364 2 4" xfId="17236"/>
    <cellStyle name="Normal 364 2 5" xfId="17237"/>
    <cellStyle name="Normal 364 2 6" xfId="42395"/>
    <cellStyle name="Normal 364 2 7" xfId="42396"/>
    <cellStyle name="Normal 364 2 8" xfId="42397"/>
    <cellStyle name="Normal 364 3" xfId="17238"/>
    <cellStyle name="Normal 364 3 2" xfId="17239"/>
    <cellStyle name="Normal 364 3 2 2" xfId="42398"/>
    <cellStyle name="Normal 364 3 2 3" xfId="42399"/>
    <cellStyle name="Normal 364 3 3" xfId="17240"/>
    <cellStyle name="Normal 364 3 3 2" xfId="42400"/>
    <cellStyle name="Normal 364 3 3 3" xfId="42401"/>
    <cellStyle name="Normal 364 3 4" xfId="42402"/>
    <cellStyle name="Normal 364 3 5" xfId="42403"/>
    <cellStyle name="Normal 364 4" xfId="17241"/>
    <cellStyle name="Normal 364 4 2" xfId="42404"/>
    <cellStyle name="Normal 364 4 3" xfId="42405"/>
    <cellStyle name="Normal 364 5" xfId="17242"/>
    <cellStyle name="Normal 364 5 2" xfId="42406"/>
    <cellStyle name="Normal 364 5 3" xfId="42407"/>
    <cellStyle name="Normal 364 6" xfId="17243"/>
    <cellStyle name="Normal 364 7" xfId="42408"/>
    <cellStyle name="Normal 364 8" xfId="42409"/>
    <cellStyle name="Normal 364 9" xfId="42410"/>
    <cellStyle name="Normal 3640" xfId="17244"/>
    <cellStyle name="Normal 3640 2" xfId="17245"/>
    <cellStyle name="Normal 3640 2 2" xfId="42411"/>
    <cellStyle name="Normal 3640 2 3" xfId="42412"/>
    <cellStyle name="Normal 3640 3" xfId="17246"/>
    <cellStyle name="Normal 3640 4" xfId="42413"/>
    <cellStyle name="Normal 3641" xfId="17247"/>
    <cellStyle name="Normal 3641 2" xfId="17248"/>
    <cellStyle name="Normal 3641 2 2" xfId="42414"/>
    <cellStyle name="Normal 3641 2 3" xfId="42415"/>
    <cellStyle name="Normal 3641 3" xfId="17249"/>
    <cellStyle name="Normal 3641 4" xfId="42416"/>
    <cellStyle name="Normal 3642" xfId="17250"/>
    <cellStyle name="Normal 3642 2" xfId="17251"/>
    <cellStyle name="Normal 3642 2 2" xfId="42417"/>
    <cellStyle name="Normal 3642 2 3" xfId="42418"/>
    <cellStyle name="Normal 3642 3" xfId="17252"/>
    <cellStyle name="Normal 3642 4" xfId="42419"/>
    <cellStyle name="Normal 3643" xfId="17253"/>
    <cellStyle name="Normal 3643 2" xfId="17254"/>
    <cellStyle name="Normal 3643 2 2" xfId="42420"/>
    <cellStyle name="Normal 3643 2 3" xfId="42421"/>
    <cellStyle name="Normal 3643 3" xfId="17255"/>
    <cellStyle name="Normal 3643 4" xfId="42422"/>
    <cellStyle name="Normal 3644" xfId="17256"/>
    <cellStyle name="Normal 3644 2" xfId="17257"/>
    <cellStyle name="Normal 3644 2 2" xfId="42423"/>
    <cellStyle name="Normal 3644 2 3" xfId="42424"/>
    <cellStyle name="Normal 3644 3" xfId="17258"/>
    <cellStyle name="Normal 3644 4" xfId="42425"/>
    <cellStyle name="Normal 3645" xfId="17259"/>
    <cellStyle name="Normal 3645 2" xfId="17260"/>
    <cellStyle name="Normal 3645 2 2" xfId="42426"/>
    <cellStyle name="Normal 3645 2 3" xfId="42427"/>
    <cellStyle name="Normal 3645 3" xfId="17261"/>
    <cellStyle name="Normal 3645 4" xfId="42428"/>
    <cellStyle name="Normal 3646" xfId="17262"/>
    <cellStyle name="Normal 3646 2" xfId="17263"/>
    <cellStyle name="Normal 3646 2 2" xfId="42429"/>
    <cellStyle name="Normal 3646 2 3" xfId="42430"/>
    <cellStyle name="Normal 3646 3" xfId="17264"/>
    <cellStyle name="Normal 3646 4" xfId="42431"/>
    <cellStyle name="Normal 3647" xfId="17265"/>
    <cellStyle name="Normal 3647 2" xfId="17266"/>
    <cellStyle name="Normal 3647 2 2" xfId="42432"/>
    <cellStyle name="Normal 3647 2 3" xfId="42433"/>
    <cellStyle name="Normal 3647 3" xfId="17267"/>
    <cellStyle name="Normal 3647 4" xfId="42434"/>
    <cellStyle name="Normal 3648" xfId="17268"/>
    <cellStyle name="Normal 3648 2" xfId="17269"/>
    <cellStyle name="Normal 3648 2 2" xfId="42435"/>
    <cellStyle name="Normal 3648 2 3" xfId="42436"/>
    <cellStyle name="Normal 3648 3" xfId="17270"/>
    <cellStyle name="Normal 3648 4" xfId="42437"/>
    <cellStyle name="Normal 3649" xfId="17271"/>
    <cellStyle name="Normal 3649 2" xfId="17272"/>
    <cellStyle name="Normal 3649 2 2" xfId="42438"/>
    <cellStyle name="Normal 3649 2 3" xfId="42439"/>
    <cellStyle name="Normal 3649 3" xfId="17273"/>
    <cellStyle name="Normal 3649 4" xfId="42440"/>
    <cellStyle name="Normal 365" xfId="17274"/>
    <cellStyle name="Normal 365 10" xfId="42441"/>
    <cellStyle name="Normal 365 2" xfId="17275"/>
    <cellStyle name="Normal 365 2 2" xfId="17276"/>
    <cellStyle name="Normal 365 2 2 2" xfId="17277"/>
    <cellStyle name="Normal 365 2 2 3" xfId="17278"/>
    <cellStyle name="Normal 365 2 3" xfId="17279"/>
    <cellStyle name="Normal 365 2 3 2" xfId="42442"/>
    <cellStyle name="Normal 365 2 3 3" xfId="42443"/>
    <cellStyle name="Normal 365 2 4" xfId="17280"/>
    <cellStyle name="Normal 365 2 5" xfId="17281"/>
    <cellStyle name="Normal 365 2 6" xfId="42444"/>
    <cellStyle name="Normal 365 2 7" xfId="42445"/>
    <cellStyle name="Normal 365 2 8" xfId="42446"/>
    <cellStyle name="Normal 365 3" xfId="17282"/>
    <cellStyle name="Normal 365 3 2" xfId="17283"/>
    <cellStyle name="Normal 365 3 2 2" xfId="42447"/>
    <cellStyle name="Normal 365 3 2 3" xfId="42448"/>
    <cellStyle name="Normal 365 3 3" xfId="17284"/>
    <cellStyle name="Normal 365 3 3 2" xfId="42449"/>
    <cellStyle name="Normal 365 3 3 3" xfId="42450"/>
    <cellStyle name="Normal 365 3 4" xfId="42451"/>
    <cellStyle name="Normal 365 3 5" xfId="42452"/>
    <cellStyle name="Normal 365 4" xfId="17285"/>
    <cellStyle name="Normal 365 4 2" xfId="42453"/>
    <cellStyle name="Normal 365 4 3" xfId="42454"/>
    <cellStyle name="Normal 365 5" xfId="17286"/>
    <cellStyle name="Normal 365 5 2" xfId="42455"/>
    <cellStyle name="Normal 365 5 3" xfId="42456"/>
    <cellStyle name="Normal 365 6" xfId="17287"/>
    <cellStyle name="Normal 365 7" xfId="42457"/>
    <cellStyle name="Normal 365 8" xfId="42458"/>
    <cellStyle name="Normal 365 9" xfId="42459"/>
    <cellStyle name="Normal 3650" xfId="17288"/>
    <cellStyle name="Normal 3650 2" xfId="17289"/>
    <cellStyle name="Normal 3650 2 2" xfId="42460"/>
    <cellStyle name="Normal 3650 2 3" xfId="42461"/>
    <cellStyle name="Normal 3650 3" xfId="17290"/>
    <cellStyle name="Normal 3650 4" xfId="42462"/>
    <cellStyle name="Normal 3651" xfId="17291"/>
    <cellStyle name="Normal 3651 2" xfId="17292"/>
    <cellStyle name="Normal 3651 2 2" xfId="42463"/>
    <cellStyle name="Normal 3651 2 3" xfId="42464"/>
    <cellStyle name="Normal 3651 3" xfId="17293"/>
    <cellStyle name="Normal 3651 4" xfId="42465"/>
    <cellStyle name="Normal 3652" xfId="17294"/>
    <cellStyle name="Normal 3652 2" xfId="17295"/>
    <cellStyle name="Normal 3652 2 2" xfId="42466"/>
    <cellStyle name="Normal 3652 2 3" xfId="42467"/>
    <cellStyle name="Normal 3652 3" xfId="17296"/>
    <cellStyle name="Normal 3652 4" xfId="42468"/>
    <cellStyle name="Normal 3653" xfId="17297"/>
    <cellStyle name="Normal 3653 2" xfId="17298"/>
    <cellStyle name="Normal 3653 2 2" xfId="42469"/>
    <cellStyle name="Normal 3653 2 3" xfId="42470"/>
    <cellStyle name="Normal 3653 3" xfId="17299"/>
    <cellStyle name="Normal 3653 4" xfId="42471"/>
    <cellStyle name="Normal 3654" xfId="17300"/>
    <cellStyle name="Normal 3654 2" xfId="17301"/>
    <cellStyle name="Normal 3654 2 2" xfId="42472"/>
    <cellStyle name="Normal 3654 2 3" xfId="42473"/>
    <cellStyle name="Normal 3654 3" xfId="17302"/>
    <cellStyle name="Normal 3654 4" xfId="42474"/>
    <cellStyle name="Normal 3655" xfId="17303"/>
    <cellStyle name="Normal 3655 2" xfId="17304"/>
    <cellStyle name="Normal 3655 2 2" xfId="42475"/>
    <cellStyle name="Normal 3655 2 3" xfId="42476"/>
    <cellStyle name="Normal 3655 3" xfId="17305"/>
    <cellStyle name="Normal 3655 4" xfId="42477"/>
    <cellStyle name="Normal 3656" xfId="17306"/>
    <cellStyle name="Normal 3656 2" xfId="17307"/>
    <cellStyle name="Normal 3656 2 2" xfId="42478"/>
    <cellStyle name="Normal 3656 2 3" xfId="42479"/>
    <cellStyle name="Normal 3656 3" xfId="17308"/>
    <cellStyle name="Normal 3656 4" xfId="42480"/>
    <cellStyle name="Normal 3657" xfId="17309"/>
    <cellStyle name="Normal 3657 2" xfId="17310"/>
    <cellStyle name="Normal 3657 2 2" xfId="42481"/>
    <cellStyle name="Normal 3657 2 3" xfId="42482"/>
    <cellStyle name="Normal 3657 3" xfId="17311"/>
    <cellStyle name="Normal 3657 4" xfId="42483"/>
    <cellStyle name="Normal 3658" xfId="17312"/>
    <cellStyle name="Normal 3658 2" xfId="17313"/>
    <cellStyle name="Normal 3658 2 2" xfId="42484"/>
    <cellStyle name="Normal 3658 2 3" xfId="42485"/>
    <cellStyle name="Normal 3658 3" xfId="17314"/>
    <cellStyle name="Normal 3658 4" xfId="42486"/>
    <cellStyle name="Normal 3659" xfId="17315"/>
    <cellStyle name="Normal 3659 2" xfId="17316"/>
    <cellStyle name="Normal 3659 2 2" xfId="42487"/>
    <cellStyle name="Normal 3659 2 3" xfId="42488"/>
    <cellStyle name="Normal 3659 3" xfId="17317"/>
    <cellStyle name="Normal 3659 4" xfId="42489"/>
    <cellStyle name="Normal 366" xfId="17318"/>
    <cellStyle name="Normal 366 10" xfId="42490"/>
    <cellStyle name="Normal 366 2" xfId="17319"/>
    <cellStyle name="Normal 366 2 2" xfId="17320"/>
    <cellStyle name="Normal 366 2 2 2" xfId="17321"/>
    <cellStyle name="Normal 366 2 2 3" xfId="17322"/>
    <cellStyle name="Normal 366 2 3" xfId="17323"/>
    <cellStyle name="Normal 366 2 3 2" xfId="42491"/>
    <cellStyle name="Normal 366 2 3 3" xfId="42492"/>
    <cellStyle name="Normal 366 2 4" xfId="17324"/>
    <cellStyle name="Normal 366 2 5" xfId="17325"/>
    <cellStyle name="Normal 366 2 6" xfId="42493"/>
    <cellStyle name="Normal 366 2 7" xfId="42494"/>
    <cellStyle name="Normal 366 2 8" xfId="42495"/>
    <cellStyle name="Normal 366 3" xfId="17326"/>
    <cellStyle name="Normal 366 3 2" xfId="17327"/>
    <cellStyle name="Normal 366 3 2 2" xfId="42496"/>
    <cellStyle name="Normal 366 3 2 3" xfId="42497"/>
    <cellStyle name="Normal 366 3 3" xfId="17328"/>
    <cellStyle name="Normal 366 3 3 2" xfId="42498"/>
    <cellStyle name="Normal 366 3 3 3" xfId="42499"/>
    <cellStyle name="Normal 366 3 4" xfId="42500"/>
    <cellStyle name="Normal 366 3 5" xfId="42501"/>
    <cellStyle name="Normal 366 4" xfId="17329"/>
    <cellStyle name="Normal 366 4 2" xfId="42502"/>
    <cellStyle name="Normal 366 4 3" xfId="42503"/>
    <cellStyle name="Normal 366 5" xfId="17330"/>
    <cellStyle name="Normal 366 5 2" xfId="42504"/>
    <cellStyle name="Normal 366 5 3" xfId="42505"/>
    <cellStyle name="Normal 366 6" xfId="17331"/>
    <cellStyle name="Normal 366 7" xfId="42506"/>
    <cellStyle name="Normal 366 8" xfId="42507"/>
    <cellStyle name="Normal 366 9" xfId="42508"/>
    <cellStyle name="Normal 3660" xfId="17332"/>
    <cellStyle name="Normal 3660 2" xfId="17333"/>
    <cellStyle name="Normal 3660 2 2" xfId="42509"/>
    <cellStyle name="Normal 3660 2 3" xfId="42510"/>
    <cellStyle name="Normal 3660 3" xfId="17334"/>
    <cellStyle name="Normal 3660 4" xfId="42511"/>
    <cellStyle name="Normal 3661" xfId="17335"/>
    <cellStyle name="Normal 3661 2" xfId="17336"/>
    <cellStyle name="Normal 3661 2 2" xfId="42512"/>
    <cellStyle name="Normal 3661 2 3" xfId="42513"/>
    <cellStyle name="Normal 3661 3" xfId="17337"/>
    <cellStyle name="Normal 3661 4" xfId="42514"/>
    <cellStyle name="Normal 3662" xfId="17338"/>
    <cellStyle name="Normal 3662 2" xfId="17339"/>
    <cellStyle name="Normal 3662 2 2" xfId="42515"/>
    <cellStyle name="Normal 3662 2 3" xfId="42516"/>
    <cellStyle name="Normal 3662 3" xfId="17340"/>
    <cellStyle name="Normal 3662 4" xfId="42517"/>
    <cellStyle name="Normal 3663" xfId="17341"/>
    <cellStyle name="Normal 3663 2" xfId="17342"/>
    <cellStyle name="Normal 3663 2 2" xfId="42518"/>
    <cellStyle name="Normal 3663 2 3" xfId="42519"/>
    <cellStyle name="Normal 3663 3" xfId="17343"/>
    <cellStyle name="Normal 3663 4" xfId="42520"/>
    <cellStyle name="Normal 3664" xfId="17344"/>
    <cellStyle name="Normal 3664 2" xfId="17345"/>
    <cellStyle name="Normal 3664 2 2" xfId="42521"/>
    <cellStyle name="Normal 3664 2 3" xfId="42522"/>
    <cellStyle name="Normal 3664 3" xfId="17346"/>
    <cellStyle name="Normal 3664 4" xfId="42523"/>
    <cellStyle name="Normal 3665" xfId="17347"/>
    <cellStyle name="Normal 3665 2" xfId="17348"/>
    <cellStyle name="Normal 3665 2 2" xfId="42524"/>
    <cellStyle name="Normal 3665 2 3" xfId="42525"/>
    <cellStyle name="Normal 3665 3" xfId="17349"/>
    <cellStyle name="Normal 3665 4" xfId="42526"/>
    <cellStyle name="Normal 3666" xfId="17350"/>
    <cellStyle name="Normal 3666 2" xfId="17351"/>
    <cellStyle name="Normal 3666 2 2" xfId="42527"/>
    <cellStyle name="Normal 3666 2 3" xfId="42528"/>
    <cellStyle name="Normal 3666 3" xfId="17352"/>
    <cellStyle name="Normal 3666 4" xfId="42529"/>
    <cellStyle name="Normal 3667" xfId="17353"/>
    <cellStyle name="Normal 3667 2" xfId="17354"/>
    <cellStyle name="Normal 3667 2 2" xfId="42530"/>
    <cellStyle name="Normal 3667 2 3" xfId="42531"/>
    <cellStyle name="Normal 3667 3" xfId="17355"/>
    <cellStyle name="Normal 3667 4" xfId="42532"/>
    <cellStyle name="Normal 3668" xfId="17356"/>
    <cellStyle name="Normal 3668 2" xfId="17357"/>
    <cellStyle name="Normal 3668 2 2" xfId="42533"/>
    <cellStyle name="Normal 3668 2 3" xfId="42534"/>
    <cellStyle name="Normal 3668 3" xfId="17358"/>
    <cellStyle name="Normal 3668 4" xfId="42535"/>
    <cellStyle name="Normal 3669" xfId="17359"/>
    <cellStyle name="Normal 3669 2" xfId="17360"/>
    <cellStyle name="Normal 3669 2 2" xfId="42536"/>
    <cellStyle name="Normal 3669 2 3" xfId="42537"/>
    <cellStyle name="Normal 3669 3" xfId="17361"/>
    <cellStyle name="Normal 3669 4" xfId="42538"/>
    <cellStyle name="Normal 367" xfId="17362"/>
    <cellStyle name="Normal 367 10" xfId="42539"/>
    <cellStyle name="Normal 367 2" xfId="17363"/>
    <cellStyle name="Normal 367 2 2" xfId="17364"/>
    <cellStyle name="Normal 367 2 2 2" xfId="17365"/>
    <cellStyle name="Normal 367 2 2 3" xfId="17366"/>
    <cellStyle name="Normal 367 2 3" xfId="17367"/>
    <cellStyle name="Normal 367 2 3 2" xfId="42540"/>
    <cellStyle name="Normal 367 2 3 3" xfId="42541"/>
    <cellStyle name="Normal 367 2 4" xfId="17368"/>
    <cellStyle name="Normal 367 2 5" xfId="17369"/>
    <cellStyle name="Normal 367 2 6" xfId="42542"/>
    <cellStyle name="Normal 367 2 7" xfId="42543"/>
    <cellStyle name="Normal 367 2 8" xfId="42544"/>
    <cellStyle name="Normal 367 3" xfId="17370"/>
    <cellStyle name="Normal 367 3 2" xfId="17371"/>
    <cellStyle name="Normal 367 3 2 2" xfId="42545"/>
    <cellStyle name="Normal 367 3 2 3" xfId="42546"/>
    <cellStyle name="Normal 367 3 3" xfId="17372"/>
    <cellStyle name="Normal 367 3 3 2" xfId="42547"/>
    <cellStyle name="Normal 367 3 3 3" xfId="42548"/>
    <cellStyle name="Normal 367 3 4" xfId="42549"/>
    <cellStyle name="Normal 367 3 5" xfId="42550"/>
    <cellStyle name="Normal 367 4" xfId="17373"/>
    <cellStyle name="Normal 367 4 2" xfId="42551"/>
    <cellStyle name="Normal 367 4 3" xfId="42552"/>
    <cellStyle name="Normal 367 5" xfId="17374"/>
    <cellStyle name="Normal 367 5 2" xfId="42553"/>
    <cellStyle name="Normal 367 5 3" xfId="42554"/>
    <cellStyle name="Normal 367 6" xfId="17375"/>
    <cellStyle name="Normal 367 7" xfId="42555"/>
    <cellStyle name="Normal 367 8" xfId="42556"/>
    <cellStyle name="Normal 367 9" xfId="42557"/>
    <cellStyle name="Normal 3670" xfId="17376"/>
    <cellStyle name="Normal 3670 2" xfId="17377"/>
    <cellStyle name="Normal 3670 2 2" xfId="42558"/>
    <cellStyle name="Normal 3670 2 3" xfId="42559"/>
    <cellStyle name="Normal 3670 3" xfId="17378"/>
    <cellStyle name="Normal 3670 4" xfId="42560"/>
    <cellStyle name="Normal 3671" xfId="17379"/>
    <cellStyle name="Normal 3671 2" xfId="17380"/>
    <cellStyle name="Normal 3671 2 2" xfId="42561"/>
    <cellStyle name="Normal 3671 2 3" xfId="42562"/>
    <cellStyle name="Normal 3671 3" xfId="17381"/>
    <cellStyle name="Normal 3671 4" xfId="42563"/>
    <cellStyle name="Normal 3672" xfId="17382"/>
    <cellStyle name="Normal 3672 2" xfId="17383"/>
    <cellStyle name="Normal 3672 2 2" xfId="42564"/>
    <cellStyle name="Normal 3672 2 3" xfId="42565"/>
    <cellStyle name="Normal 3672 3" xfId="17384"/>
    <cellStyle name="Normal 3672 4" xfId="42566"/>
    <cellStyle name="Normal 3673" xfId="17385"/>
    <cellStyle name="Normal 3673 2" xfId="17386"/>
    <cellStyle name="Normal 3673 2 2" xfId="42567"/>
    <cellStyle name="Normal 3673 2 3" xfId="42568"/>
    <cellStyle name="Normal 3673 3" xfId="17387"/>
    <cellStyle name="Normal 3673 4" xfId="42569"/>
    <cellStyle name="Normal 3674" xfId="17388"/>
    <cellStyle name="Normal 3674 2" xfId="17389"/>
    <cellStyle name="Normal 3674 2 2" xfId="42570"/>
    <cellStyle name="Normal 3674 2 3" xfId="42571"/>
    <cellStyle name="Normal 3674 3" xfId="17390"/>
    <cellStyle name="Normal 3674 4" xfId="42572"/>
    <cellStyle name="Normal 3675" xfId="17391"/>
    <cellStyle name="Normal 3675 2" xfId="17392"/>
    <cellStyle name="Normal 3675 2 2" xfId="42573"/>
    <cellStyle name="Normal 3675 2 3" xfId="42574"/>
    <cellStyle name="Normal 3675 3" xfId="17393"/>
    <cellStyle name="Normal 3675 4" xfId="42575"/>
    <cellStyle name="Normal 3676" xfId="17394"/>
    <cellStyle name="Normal 3676 2" xfId="17395"/>
    <cellStyle name="Normal 3676 2 2" xfId="42576"/>
    <cellStyle name="Normal 3676 2 3" xfId="42577"/>
    <cellStyle name="Normal 3676 3" xfId="17396"/>
    <cellStyle name="Normal 3676 4" xfId="42578"/>
    <cellStyle name="Normal 3677" xfId="17397"/>
    <cellStyle name="Normal 3677 2" xfId="17398"/>
    <cellStyle name="Normal 3677 2 2" xfId="42579"/>
    <cellStyle name="Normal 3677 2 3" xfId="42580"/>
    <cellStyle name="Normal 3677 3" xfId="17399"/>
    <cellStyle name="Normal 3677 4" xfId="42581"/>
    <cellStyle name="Normal 3678" xfId="17400"/>
    <cellStyle name="Normal 3678 2" xfId="17401"/>
    <cellStyle name="Normal 3678 2 2" xfId="42582"/>
    <cellStyle name="Normal 3678 2 3" xfId="42583"/>
    <cellStyle name="Normal 3678 3" xfId="17402"/>
    <cellStyle name="Normal 3678 4" xfId="42584"/>
    <cellStyle name="Normal 3679" xfId="17403"/>
    <cellStyle name="Normal 3679 2" xfId="17404"/>
    <cellStyle name="Normal 3679 2 2" xfId="42585"/>
    <cellStyle name="Normal 3679 2 3" xfId="42586"/>
    <cellStyle name="Normal 3679 3" xfId="17405"/>
    <cellStyle name="Normal 3679 4" xfId="42587"/>
    <cellStyle name="Normal 368" xfId="17406"/>
    <cellStyle name="Normal 368 10" xfId="42588"/>
    <cellStyle name="Normal 368 2" xfId="17407"/>
    <cellStyle name="Normal 368 2 2" xfId="17408"/>
    <cellStyle name="Normal 368 2 2 2" xfId="17409"/>
    <cellStyle name="Normal 368 2 2 3" xfId="17410"/>
    <cellStyle name="Normal 368 2 3" xfId="17411"/>
    <cellStyle name="Normal 368 2 3 2" xfId="42589"/>
    <cellStyle name="Normal 368 2 3 3" xfId="42590"/>
    <cellStyle name="Normal 368 2 4" xfId="17412"/>
    <cellStyle name="Normal 368 2 5" xfId="17413"/>
    <cellStyle name="Normal 368 2 6" xfId="42591"/>
    <cellStyle name="Normal 368 2 7" xfId="42592"/>
    <cellStyle name="Normal 368 2 8" xfId="42593"/>
    <cellStyle name="Normal 368 3" xfId="17414"/>
    <cellStyle name="Normal 368 3 2" xfId="17415"/>
    <cellStyle name="Normal 368 3 2 2" xfId="42594"/>
    <cellStyle name="Normal 368 3 2 3" xfId="42595"/>
    <cellStyle name="Normal 368 3 3" xfId="17416"/>
    <cellStyle name="Normal 368 3 3 2" xfId="42596"/>
    <cellStyle name="Normal 368 3 3 3" xfId="42597"/>
    <cellStyle name="Normal 368 3 4" xfId="42598"/>
    <cellStyle name="Normal 368 3 5" xfId="42599"/>
    <cellStyle name="Normal 368 4" xfId="17417"/>
    <cellStyle name="Normal 368 4 2" xfId="42600"/>
    <cellStyle name="Normal 368 4 3" xfId="42601"/>
    <cellStyle name="Normal 368 5" xfId="17418"/>
    <cellStyle name="Normal 368 5 2" xfId="42602"/>
    <cellStyle name="Normal 368 5 3" xfId="42603"/>
    <cellStyle name="Normal 368 6" xfId="17419"/>
    <cellStyle name="Normal 368 7" xfId="42604"/>
    <cellStyle name="Normal 368 8" xfId="42605"/>
    <cellStyle name="Normal 368 9" xfId="42606"/>
    <cellStyle name="Normal 3680" xfId="17420"/>
    <cellStyle name="Normal 3680 2" xfId="17421"/>
    <cellStyle name="Normal 3680 2 2" xfId="42607"/>
    <cellStyle name="Normal 3680 2 3" xfId="42608"/>
    <cellStyle name="Normal 3680 3" xfId="17422"/>
    <cellStyle name="Normal 3680 4" xfId="42609"/>
    <cellStyle name="Normal 3681" xfId="17423"/>
    <cellStyle name="Normal 3681 2" xfId="17424"/>
    <cellStyle name="Normal 3681 2 2" xfId="42610"/>
    <cellStyle name="Normal 3681 2 3" xfId="42611"/>
    <cellStyle name="Normal 3681 3" xfId="17425"/>
    <cellStyle name="Normal 3681 4" xfId="42612"/>
    <cellStyle name="Normal 3682" xfId="17426"/>
    <cellStyle name="Normal 3682 2" xfId="17427"/>
    <cellStyle name="Normal 3682 2 2" xfId="42613"/>
    <cellStyle name="Normal 3682 2 3" xfId="42614"/>
    <cellStyle name="Normal 3682 3" xfId="17428"/>
    <cellStyle name="Normal 3682 4" xfId="42615"/>
    <cellStyle name="Normal 3683" xfId="17429"/>
    <cellStyle name="Normal 3683 2" xfId="17430"/>
    <cellStyle name="Normal 3683 2 2" xfId="42616"/>
    <cellStyle name="Normal 3683 2 3" xfId="42617"/>
    <cellStyle name="Normal 3683 3" xfId="17431"/>
    <cellStyle name="Normal 3683 4" xfId="42618"/>
    <cellStyle name="Normal 3684" xfId="17432"/>
    <cellStyle name="Normal 3684 2" xfId="17433"/>
    <cellStyle name="Normal 3684 2 2" xfId="42619"/>
    <cellStyle name="Normal 3684 2 3" xfId="42620"/>
    <cellStyle name="Normal 3684 3" xfId="17434"/>
    <cellStyle name="Normal 3684 4" xfId="42621"/>
    <cellStyle name="Normal 3685" xfId="17435"/>
    <cellStyle name="Normal 3685 2" xfId="17436"/>
    <cellStyle name="Normal 3685 2 2" xfId="42622"/>
    <cellStyle name="Normal 3685 2 3" xfId="42623"/>
    <cellStyle name="Normal 3685 3" xfId="17437"/>
    <cellStyle name="Normal 3685 4" xfId="42624"/>
    <cellStyle name="Normal 3686" xfId="17438"/>
    <cellStyle name="Normal 3686 2" xfId="17439"/>
    <cellStyle name="Normal 3686 2 2" xfId="42625"/>
    <cellStyle name="Normal 3686 2 3" xfId="42626"/>
    <cellStyle name="Normal 3686 3" xfId="17440"/>
    <cellStyle name="Normal 3686 4" xfId="42627"/>
    <cellStyle name="Normal 3687" xfId="17441"/>
    <cellStyle name="Normal 3687 2" xfId="17442"/>
    <cellStyle name="Normal 3687 2 2" xfId="42628"/>
    <cellStyle name="Normal 3687 2 3" xfId="42629"/>
    <cellStyle name="Normal 3687 3" xfId="17443"/>
    <cellStyle name="Normal 3687 4" xfId="42630"/>
    <cellStyle name="Normal 3688" xfId="17444"/>
    <cellStyle name="Normal 3688 2" xfId="17445"/>
    <cellStyle name="Normal 3688 2 2" xfId="42631"/>
    <cellStyle name="Normal 3688 2 3" xfId="42632"/>
    <cellStyle name="Normal 3688 3" xfId="17446"/>
    <cellStyle name="Normal 3688 4" xfId="42633"/>
    <cellStyle name="Normal 3689" xfId="17447"/>
    <cellStyle name="Normal 3689 2" xfId="17448"/>
    <cellStyle name="Normal 3689 3" xfId="17449"/>
    <cellStyle name="Normal 369" xfId="17450"/>
    <cellStyle name="Normal 369 10" xfId="42634"/>
    <cellStyle name="Normal 369 2" xfId="17451"/>
    <cellStyle name="Normal 369 2 2" xfId="17452"/>
    <cellStyle name="Normal 369 2 2 2" xfId="17453"/>
    <cellStyle name="Normal 369 2 2 3" xfId="17454"/>
    <cellStyle name="Normal 369 2 3" xfId="17455"/>
    <cellStyle name="Normal 369 2 3 2" xfId="42635"/>
    <cellStyle name="Normal 369 2 3 3" xfId="42636"/>
    <cellStyle name="Normal 369 2 4" xfId="17456"/>
    <cellStyle name="Normal 369 2 5" xfId="17457"/>
    <cellStyle name="Normal 369 2 6" xfId="42637"/>
    <cellStyle name="Normal 369 2 7" xfId="42638"/>
    <cellStyle name="Normal 369 2 8" xfId="42639"/>
    <cellStyle name="Normal 369 3" xfId="17458"/>
    <cellStyle name="Normal 369 3 2" xfId="17459"/>
    <cellStyle name="Normal 369 3 2 2" xfId="42640"/>
    <cellStyle name="Normal 369 3 2 3" xfId="42641"/>
    <cellStyle name="Normal 369 3 3" xfId="17460"/>
    <cellStyle name="Normal 369 3 3 2" xfId="42642"/>
    <cellStyle name="Normal 369 3 3 3" xfId="42643"/>
    <cellStyle name="Normal 369 3 4" xfId="42644"/>
    <cellStyle name="Normal 369 3 5" xfId="42645"/>
    <cellStyle name="Normal 369 4" xfId="17461"/>
    <cellStyle name="Normal 369 4 2" xfId="42646"/>
    <cellStyle name="Normal 369 4 3" xfId="42647"/>
    <cellStyle name="Normal 369 5" xfId="17462"/>
    <cellStyle name="Normal 369 5 2" xfId="42648"/>
    <cellStyle name="Normal 369 5 3" xfId="42649"/>
    <cellStyle name="Normal 369 6" xfId="17463"/>
    <cellStyle name="Normal 369 7" xfId="42650"/>
    <cellStyle name="Normal 369 8" xfId="42651"/>
    <cellStyle name="Normal 369 9" xfId="42652"/>
    <cellStyle name="Normal 3690" xfId="17464"/>
    <cellStyle name="Normal 3690 2" xfId="17465"/>
    <cellStyle name="Normal 3690 3" xfId="17466"/>
    <cellStyle name="Normal 3691" xfId="17467"/>
    <cellStyle name="Normal 3691 2" xfId="17468"/>
    <cellStyle name="Normal 3691 3" xfId="17469"/>
    <cellStyle name="Normal 3692" xfId="17470"/>
    <cellStyle name="Normal 3692 2" xfId="17471"/>
    <cellStyle name="Normal 3692 2 2" xfId="42653"/>
    <cellStyle name="Normal 3692 2 3" xfId="42654"/>
    <cellStyle name="Normal 3692 3" xfId="17472"/>
    <cellStyle name="Normal 3692 4" xfId="42655"/>
    <cellStyle name="Normal 3693" xfId="17473"/>
    <cellStyle name="Normal 3693 2" xfId="17474"/>
    <cellStyle name="Normal 3693 2 2" xfId="42656"/>
    <cellStyle name="Normal 3693 2 3" xfId="42657"/>
    <cellStyle name="Normal 3693 3" xfId="17475"/>
    <cellStyle name="Normal 3693 4" xfId="42658"/>
    <cellStyle name="Normal 3694" xfId="17476"/>
    <cellStyle name="Normal 3694 2" xfId="17477"/>
    <cellStyle name="Normal 3694 2 2" xfId="42659"/>
    <cellStyle name="Normal 3694 2 3" xfId="42660"/>
    <cellStyle name="Normal 3694 3" xfId="17478"/>
    <cellStyle name="Normal 3694 4" xfId="42661"/>
    <cellStyle name="Normal 3695" xfId="17479"/>
    <cellStyle name="Normal 3695 2" xfId="17480"/>
    <cellStyle name="Normal 3695 2 2" xfId="42662"/>
    <cellStyle name="Normal 3695 2 3" xfId="42663"/>
    <cellStyle name="Normal 3695 3" xfId="17481"/>
    <cellStyle name="Normal 3695 4" xfId="42664"/>
    <cellStyle name="Normal 3696" xfId="17482"/>
    <cellStyle name="Normal 3696 2" xfId="17483"/>
    <cellStyle name="Normal 3696 2 2" xfId="42665"/>
    <cellStyle name="Normal 3696 2 3" xfId="42666"/>
    <cellStyle name="Normal 3696 3" xfId="17484"/>
    <cellStyle name="Normal 3696 4" xfId="42667"/>
    <cellStyle name="Normal 3697" xfId="17485"/>
    <cellStyle name="Normal 3697 2" xfId="17486"/>
    <cellStyle name="Normal 3697 2 2" xfId="42668"/>
    <cellStyle name="Normal 3697 2 3" xfId="42669"/>
    <cellStyle name="Normal 3697 3" xfId="17487"/>
    <cellStyle name="Normal 3697 4" xfId="42670"/>
    <cellStyle name="Normal 3698" xfId="17488"/>
    <cellStyle name="Normal 3698 2" xfId="17489"/>
    <cellStyle name="Normal 3698 2 2" xfId="42671"/>
    <cellStyle name="Normal 3698 2 3" xfId="42672"/>
    <cellStyle name="Normal 3698 3" xfId="17490"/>
    <cellStyle name="Normal 3698 4" xfId="42673"/>
    <cellStyle name="Normal 3699" xfId="17491"/>
    <cellStyle name="Normal 3699 2" xfId="17492"/>
    <cellStyle name="Normal 3699 2 2" xfId="42674"/>
    <cellStyle name="Normal 3699 2 3" xfId="42675"/>
    <cellStyle name="Normal 3699 3" xfId="17493"/>
    <cellStyle name="Normal 3699 4" xfId="42676"/>
    <cellStyle name="Normal 37" xfId="17494"/>
    <cellStyle name="Normal 37 10" xfId="42677"/>
    <cellStyle name="Normal 37 2" xfId="17495"/>
    <cellStyle name="Normal 37 2 2" xfId="17496"/>
    <cellStyle name="Normal 37 2 2 2" xfId="17497"/>
    <cellStyle name="Normal 37 2 2 3" xfId="17498"/>
    <cellStyle name="Normal 37 2 3" xfId="17499"/>
    <cellStyle name="Normal 37 2 3 2" xfId="42678"/>
    <cellStyle name="Normal 37 2 3 3" xfId="42679"/>
    <cellStyle name="Normal 37 2 4" xfId="17500"/>
    <cellStyle name="Normal 37 2 5" xfId="17501"/>
    <cellStyle name="Normal 37 2 6" xfId="42680"/>
    <cellStyle name="Normal 37 2 7" xfId="42681"/>
    <cellStyle name="Normal 37 2 8" xfId="42682"/>
    <cellStyle name="Normal 37 3" xfId="17502"/>
    <cellStyle name="Normal 37 3 2" xfId="17503"/>
    <cellStyle name="Normal 37 3 2 2" xfId="42683"/>
    <cellStyle name="Normal 37 3 2 3" xfId="42684"/>
    <cellStyle name="Normal 37 3 3" xfId="17504"/>
    <cellStyle name="Normal 37 3 3 2" xfId="42685"/>
    <cellStyle name="Normal 37 3 3 3" xfId="42686"/>
    <cellStyle name="Normal 37 3 4" xfId="17505"/>
    <cellStyle name="Normal 37 3 5" xfId="42687"/>
    <cellStyle name="Normal 37 4" xfId="17506"/>
    <cellStyle name="Normal 37 4 2" xfId="42688"/>
    <cellStyle name="Normal 37 4 3" xfId="42689"/>
    <cellStyle name="Normal 37 5" xfId="17507"/>
    <cellStyle name="Normal 37 5 2" xfId="42690"/>
    <cellStyle name="Normal 37 5 3" xfId="42691"/>
    <cellStyle name="Normal 37 6" xfId="17508"/>
    <cellStyle name="Normal 37 7" xfId="42692"/>
    <cellStyle name="Normal 37 8" xfId="42693"/>
    <cellStyle name="Normal 37 9" xfId="42694"/>
    <cellStyle name="Normal 370" xfId="17509"/>
    <cellStyle name="Normal 370 10" xfId="42695"/>
    <cellStyle name="Normal 370 2" xfId="17510"/>
    <cellStyle name="Normal 370 2 2" xfId="17511"/>
    <cellStyle name="Normal 370 2 2 2" xfId="17512"/>
    <cellStyle name="Normal 370 2 2 3" xfId="17513"/>
    <cellStyle name="Normal 370 2 3" xfId="17514"/>
    <cellStyle name="Normal 370 2 3 2" xfId="42696"/>
    <cellStyle name="Normal 370 2 3 3" xfId="42697"/>
    <cellStyle name="Normal 370 2 4" xfId="17515"/>
    <cellStyle name="Normal 370 2 5" xfId="17516"/>
    <cellStyle name="Normal 370 2 6" xfId="42698"/>
    <cellStyle name="Normal 370 2 7" xfId="42699"/>
    <cellStyle name="Normal 370 2 8" xfId="42700"/>
    <cellStyle name="Normal 370 3" xfId="17517"/>
    <cellStyle name="Normal 370 3 2" xfId="17518"/>
    <cellStyle name="Normal 370 3 2 2" xfId="42701"/>
    <cellStyle name="Normal 370 3 2 3" xfId="42702"/>
    <cellStyle name="Normal 370 3 3" xfId="17519"/>
    <cellStyle name="Normal 370 3 3 2" xfId="42703"/>
    <cellStyle name="Normal 370 3 3 3" xfId="42704"/>
    <cellStyle name="Normal 370 3 4" xfId="42705"/>
    <cellStyle name="Normal 370 3 5" xfId="42706"/>
    <cellStyle name="Normal 370 4" xfId="17520"/>
    <cellStyle name="Normal 370 4 2" xfId="42707"/>
    <cellStyle name="Normal 370 4 3" xfId="42708"/>
    <cellStyle name="Normal 370 5" xfId="17521"/>
    <cellStyle name="Normal 370 5 2" xfId="42709"/>
    <cellStyle name="Normal 370 5 3" xfId="42710"/>
    <cellStyle name="Normal 370 6" xfId="17522"/>
    <cellStyle name="Normal 370 7" xfId="42711"/>
    <cellStyle name="Normal 370 8" xfId="42712"/>
    <cellStyle name="Normal 370 9" xfId="42713"/>
    <cellStyle name="Normal 3700" xfId="17523"/>
    <cellStyle name="Normal 3700 2" xfId="17524"/>
    <cellStyle name="Normal 3700 2 2" xfId="42714"/>
    <cellStyle name="Normal 3700 2 3" xfId="42715"/>
    <cellStyle name="Normal 3700 3" xfId="17525"/>
    <cellStyle name="Normal 3700 4" xfId="42716"/>
    <cellStyle name="Normal 3701" xfId="17526"/>
    <cellStyle name="Normal 3701 2" xfId="17527"/>
    <cellStyle name="Normal 3701 2 2" xfId="42717"/>
    <cellStyle name="Normal 3701 2 3" xfId="42718"/>
    <cellStyle name="Normal 3701 3" xfId="17528"/>
    <cellStyle name="Normal 3701 4" xfId="42719"/>
    <cellStyle name="Normal 3702" xfId="17529"/>
    <cellStyle name="Normal 3702 2" xfId="17530"/>
    <cellStyle name="Normal 3702 2 2" xfId="42720"/>
    <cellStyle name="Normal 3702 2 3" xfId="42721"/>
    <cellStyle name="Normal 3702 3" xfId="17531"/>
    <cellStyle name="Normal 3702 4" xfId="42722"/>
    <cellStyle name="Normal 3703" xfId="17532"/>
    <cellStyle name="Normal 3703 2" xfId="17533"/>
    <cellStyle name="Normal 3703 2 2" xfId="42723"/>
    <cellStyle name="Normal 3703 2 3" xfId="42724"/>
    <cellStyle name="Normal 3703 3" xfId="17534"/>
    <cellStyle name="Normal 3703 4" xfId="42725"/>
    <cellStyle name="Normal 3704" xfId="17535"/>
    <cellStyle name="Normal 3704 2" xfId="17536"/>
    <cellStyle name="Normal 3704 2 2" xfId="42726"/>
    <cellStyle name="Normal 3704 2 3" xfId="42727"/>
    <cellStyle name="Normal 3704 3" xfId="17537"/>
    <cellStyle name="Normal 3704 4" xfId="42728"/>
    <cellStyle name="Normal 3705" xfId="17538"/>
    <cellStyle name="Normal 3705 2" xfId="17539"/>
    <cellStyle name="Normal 3705 2 2" xfId="42729"/>
    <cellStyle name="Normal 3705 2 3" xfId="42730"/>
    <cellStyle name="Normal 3705 3" xfId="17540"/>
    <cellStyle name="Normal 3705 4" xfId="42731"/>
    <cellStyle name="Normal 3706" xfId="17541"/>
    <cellStyle name="Normal 3706 2" xfId="17542"/>
    <cellStyle name="Normal 3706 2 2" xfId="42732"/>
    <cellStyle name="Normal 3706 2 3" xfId="42733"/>
    <cellStyle name="Normal 3706 3" xfId="17543"/>
    <cellStyle name="Normal 3706 4" xfId="42734"/>
    <cellStyle name="Normal 3707" xfId="17544"/>
    <cellStyle name="Normal 3707 2" xfId="17545"/>
    <cellStyle name="Normal 3707 2 2" xfId="42735"/>
    <cellStyle name="Normal 3707 2 3" xfId="42736"/>
    <cellStyle name="Normal 3707 3" xfId="17546"/>
    <cellStyle name="Normal 3707 4" xfId="42737"/>
    <cellStyle name="Normal 3708" xfId="17547"/>
    <cellStyle name="Normal 3708 2" xfId="17548"/>
    <cellStyle name="Normal 3708 2 2" xfId="42738"/>
    <cellStyle name="Normal 3708 2 3" xfId="42739"/>
    <cellStyle name="Normal 3708 3" xfId="17549"/>
    <cellStyle name="Normal 3708 4" xfId="42740"/>
    <cellStyle name="Normal 3709" xfId="17550"/>
    <cellStyle name="Normal 3709 2" xfId="17551"/>
    <cellStyle name="Normal 3709 2 2" xfId="42741"/>
    <cellStyle name="Normal 3709 2 3" xfId="42742"/>
    <cellStyle name="Normal 3709 3" xfId="17552"/>
    <cellStyle name="Normal 3709 4" xfId="42743"/>
    <cellStyle name="Normal 371" xfId="17553"/>
    <cellStyle name="Normal 371 10" xfId="42744"/>
    <cellStyle name="Normal 371 2" xfId="17554"/>
    <cellStyle name="Normal 371 2 2" xfId="17555"/>
    <cellStyle name="Normal 371 2 2 2" xfId="17556"/>
    <cellStyle name="Normal 371 2 2 3" xfId="17557"/>
    <cellStyle name="Normal 371 2 3" xfId="17558"/>
    <cellStyle name="Normal 371 2 3 2" xfId="42745"/>
    <cellStyle name="Normal 371 2 3 3" xfId="42746"/>
    <cellStyle name="Normal 371 2 4" xfId="17559"/>
    <cellStyle name="Normal 371 2 5" xfId="17560"/>
    <cellStyle name="Normal 371 2 6" xfId="42747"/>
    <cellStyle name="Normal 371 2 7" xfId="42748"/>
    <cellStyle name="Normal 371 2 8" xfId="42749"/>
    <cellStyle name="Normal 371 3" xfId="17561"/>
    <cellStyle name="Normal 371 3 2" xfId="17562"/>
    <cellStyle name="Normal 371 3 2 2" xfId="42750"/>
    <cellStyle name="Normal 371 3 2 3" xfId="42751"/>
    <cellStyle name="Normal 371 3 3" xfId="17563"/>
    <cellStyle name="Normal 371 3 3 2" xfId="42752"/>
    <cellStyle name="Normal 371 3 3 3" xfId="42753"/>
    <cellStyle name="Normal 371 3 4" xfId="42754"/>
    <cellStyle name="Normal 371 3 5" xfId="42755"/>
    <cellStyle name="Normal 371 4" xfId="17564"/>
    <cellStyle name="Normal 371 4 2" xfId="42756"/>
    <cellStyle name="Normal 371 4 3" xfId="42757"/>
    <cellStyle name="Normal 371 5" xfId="17565"/>
    <cellStyle name="Normal 371 5 2" xfId="42758"/>
    <cellStyle name="Normal 371 5 3" xfId="42759"/>
    <cellStyle name="Normal 371 6" xfId="17566"/>
    <cellStyle name="Normal 371 7" xfId="42760"/>
    <cellStyle name="Normal 371 8" xfId="42761"/>
    <cellStyle name="Normal 371 9" xfId="42762"/>
    <cellStyle name="Normal 3710" xfId="17567"/>
    <cellStyle name="Normal 3710 2" xfId="17568"/>
    <cellStyle name="Normal 3710 2 2" xfId="42763"/>
    <cellStyle name="Normal 3710 2 3" xfId="42764"/>
    <cellStyle name="Normal 3710 3" xfId="17569"/>
    <cellStyle name="Normal 3710 4" xfId="42765"/>
    <cellStyle name="Normal 3711" xfId="17570"/>
    <cellStyle name="Normal 3711 2" xfId="17571"/>
    <cellStyle name="Normal 3711 2 2" xfId="42766"/>
    <cellStyle name="Normal 3711 2 3" xfId="42767"/>
    <cellStyle name="Normal 3711 3" xfId="17572"/>
    <cellStyle name="Normal 3711 4" xfId="42768"/>
    <cellStyle name="Normal 3712" xfId="17573"/>
    <cellStyle name="Normal 3712 2" xfId="17574"/>
    <cellStyle name="Normal 3712 2 2" xfId="42769"/>
    <cellStyle name="Normal 3712 2 3" xfId="42770"/>
    <cellStyle name="Normal 3712 3" xfId="17575"/>
    <cellStyle name="Normal 3712 4" xfId="42771"/>
    <cellStyle name="Normal 3713" xfId="17576"/>
    <cellStyle name="Normal 3713 2" xfId="17577"/>
    <cellStyle name="Normal 3713 2 2" xfId="42772"/>
    <cellStyle name="Normal 3713 2 3" xfId="42773"/>
    <cellStyle name="Normal 3713 3" xfId="17578"/>
    <cellStyle name="Normal 3713 4" xfId="42774"/>
    <cellStyle name="Normal 3714" xfId="17579"/>
    <cellStyle name="Normal 3714 2" xfId="17580"/>
    <cellStyle name="Normal 3714 2 2" xfId="42775"/>
    <cellStyle name="Normal 3714 2 3" xfId="42776"/>
    <cellStyle name="Normal 3714 3" xfId="17581"/>
    <cellStyle name="Normal 3714 4" xfId="42777"/>
    <cellStyle name="Normal 3715" xfId="17582"/>
    <cellStyle name="Normal 3715 2" xfId="17583"/>
    <cellStyle name="Normal 3715 2 2" xfId="42778"/>
    <cellStyle name="Normal 3715 2 3" xfId="42779"/>
    <cellStyle name="Normal 3715 3" xfId="17584"/>
    <cellStyle name="Normal 3715 4" xfId="42780"/>
    <cellStyle name="Normal 3716" xfId="17585"/>
    <cellStyle name="Normal 3716 2" xfId="17586"/>
    <cellStyle name="Normal 3716 2 2" xfId="42781"/>
    <cellStyle name="Normal 3716 2 3" xfId="42782"/>
    <cellStyle name="Normal 3716 3" xfId="17587"/>
    <cellStyle name="Normal 3716 4" xfId="42783"/>
    <cellStyle name="Normal 3717" xfId="17588"/>
    <cellStyle name="Normal 3717 2" xfId="17589"/>
    <cellStyle name="Normal 3717 2 2" xfId="42784"/>
    <cellStyle name="Normal 3717 2 3" xfId="42785"/>
    <cellStyle name="Normal 3717 3" xfId="17590"/>
    <cellStyle name="Normal 3717 4" xfId="42786"/>
    <cellStyle name="Normal 3718" xfId="17591"/>
    <cellStyle name="Normal 3718 2" xfId="17592"/>
    <cellStyle name="Normal 3718 2 2" xfId="42787"/>
    <cellStyle name="Normal 3718 2 3" xfId="42788"/>
    <cellStyle name="Normal 3718 3" xfId="17593"/>
    <cellStyle name="Normal 3718 4" xfId="42789"/>
    <cellStyle name="Normal 3719" xfId="17594"/>
    <cellStyle name="Normal 3719 2" xfId="17595"/>
    <cellStyle name="Normal 3719 2 2" xfId="42790"/>
    <cellStyle name="Normal 3719 2 3" xfId="42791"/>
    <cellStyle name="Normal 3719 3" xfId="17596"/>
    <cellStyle name="Normal 3719 4" xfId="42792"/>
    <cellStyle name="Normal 372" xfId="17597"/>
    <cellStyle name="Normal 372 10" xfId="42793"/>
    <cellStyle name="Normal 372 2" xfId="17598"/>
    <cellStyle name="Normal 372 2 2" xfId="17599"/>
    <cellStyle name="Normal 372 2 2 2" xfId="17600"/>
    <cellStyle name="Normal 372 2 2 3" xfId="17601"/>
    <cellStyle name="Normal 372 2 3" xfId="17602"/>
    <cellStyle name="Normal 372 2 3 2" xfId="42794"/>
    <cellStyle name="Normal 372 2 3 3" xfId="42795"/>
    <cellStyle name="Normal 372 2 4" xfId="17603"/>
    <cellStyle name="Normal 372 2 5" xfId="17604"/>
    <cellStyle name="Normal 372 2 6" xfId="42796"/>
    <cellStyle name="Normal 372 2 7" xfId="42797"/>
    <cellStyle name="Normal 372 2 8" xfId="42798"/>
    <cellStyle name="Normal 372 3" xfId="17605"/>
    <cellStyle name="Normal 372 3 2" xfId="17606"/>
    <cellStyle name="Normal 372 3 2 2" xfId="42799"/>
    <cellStyle name="Normal 372 3 2 3" xfId="42800"/>
    <cellStyle name="Normal 372 3 3" xfId="17607"/>
    <cellStyle name="Normal 372 3 3 2" xfId="42801"/>
    <cellStyle name="Normal 372 3 3 3" xfId="42802"/>
    <cellStyle name="Normal 372 3 4" xfId="42803"/>
    <cellStyle name="Normal 372 3 5" xfId="42804"/>
    <cellStyle name="Normal 372 4" xfId="17608"/>
    <cellStyle name="Normal 372 4 2" xfId="42805"/>
    <cellStyle name="Normal 372 4 3" xfId="42806"/>
    <cellStyle name="Normal 372 5" xfId="17609"/>
    <cellStyle name="Normal 372 5 2" xfId="42807"/>
    <cellStyle name="Normal 372 5 3" xfId="42808"/>
    <cellStyle name="Normal 372 6" xfId="17610"/>
    <cellStyle name="Normal 372 7" xfId="42809"/>
    <cellStyle name="Normal 372 8" xfId="42810"/>
    <cellStyle name="Normal 372 9" xfId="42811"/>
    <cellStyle name="Normal 3720" xfId="17611"/>
    <cellStyle name="Normal 3720 2" xfId="17612"/>
    <cellStyle name="Normal 3720 2 2" xfId="42812"/>
    <cellStyle name="Normal 3720 2 3" xfId="42813"/>
    <cellStyle name="Normal 3720 3" xfId="17613"/>
    <cellStyle name="Normal 3720 4" xfId="42814"/>
    <cellStyle name="Normal 3721" xfId="17614"/>
    <cellStyle name="Normal 3721 2" xfId="17615"/>
    <cellStyle name="Normal 3721 2 2" xfId="42815"/>
    <cellStyle name="Normal 3721 2 3" xfId="42816"/>
    <cellStyle name="Normal 3721 3" xfId="17616"/>
    <cellStyle name="Normal 3721 4" xfId="42817"/>
    <cellStyle name="Normal 3722" xfId="17617"/>
    <cellStyle name="Normal 3722 2" xfId="17618"/>
    <cellStyle name="Normal 3722 2 2" xfId="42818"/>
    <cellStyle name="Normal 3722 2 3" xfId="42819"/>
    <cellStyle name="Normal 3722 3" xfId="17619"/>
    <cellStyle name="Normal 3722 4" xfId="42820"/>
    <cellStyle name="Normal 3723" xfId="17620"/>
    <cellStyle name="Normal 3723 2" xfId="17621"/>
    <cellStyle name="Normal 3723 2 2" xfId="42821"/>
    <cellStyle name="Normal 3723 2 3" xfId="42822"/>
    <cellStyle name="Normal 3723 3" xfId="17622"/>
    <cellStyle name="Normal 3723 4" xfId="42823"/>
    <cellStyle name="Normal 3724" xfId="17623"/>
    <cellStyle name="Normal 3724 2" xfId="17624"/>
    <cellStyle name="Normal 3724 2 2" xfId="42824"/>
    <cellStyle name="Normal 3724 2 3" xfId="42825"/>
    <cellStyle name="Normal 3724 3" xfId="17625"/>
    <cellStyle name="Normal 3724 4" xfId="42826"/>
    <cellStyle name="Normal 3725" xfId="17626"/>
    <cellStyle name="Normal 3725 2" xfId="17627"/>
    <cellStyle name="Normal 3725 2 2" xfId="42827"/>
    <cellStyle name="Normal 3725 2 3" xfId="42828"/>
    <cellStyle name="Normal 3725 3" xfId="17628"/>
    <cellStyle name="Normal 3725 4" xfId="42829"/>
    <cellStyle name="Normal 3726" xfId="17629"/>
    <cellStyle name="Normal 3726 2" xfId="17630"/>
    <cellStyle name="Normal 3726 2 2" xfId="42830"/>
    <cellStyle name="Normal 3726 2 3" xfId="42831"/>
    <cellStyle name="Normal 3726 3" xfId="17631"/>
    <cellStyle name="Normal 3726 4" xfId="42832"/>
    <cellStyle name="Normal 3727" xfId="17632"/>
    <cellStyle name="Normal 3727 2" xfId="17633"/>
    <cellStyle name="Normal 3727 2 2" xfId="42833"/>
    <cellStyle name="Normal 3727 2 3" xfId="42834"/>
    <cellStyle name="Normal 3727 3" xfId="17634"/>
    <cellStyle name="Normal 3727 4" xfId="42835"/>
    <cellStyle name="Normal 3728" xfId="17635"/>
    <cellStyle name="Normal 3728 2" xfId="17636"/>
    <cellStyle name="Normal 3728 2 2" xfId="17637"/>
    <cellStyle name="Normal 3728 2 2 2" xfId="17638"/>
    <cellStyle name="Normal 3728 2 2 3" xfId="17639"/>
    <cellStyle name="Normal 3728 2 3" xfId="17640"/>
    <cellStyle name="Normal 3728 2 4" xfId="17641"/>
    <cellStyle name="Normal 3728 3" xfId="17642"/>
    <cellStyle name="Normal 3728 3 2" xfId="17643"/>
    <cellStyle name="Normal 3728 3 3" xfId="17644"/>
    <cellStyle name="Normal 3728 4" xfId="17645"/>
    <cellStyle name="Normal 3728 5" xfId="17646"/>
    <cellStyle name="Normal 3729" xfId="17647"/>
    <cellStyle name="Normal 3729 2" xfId="17648"/>
    <cellStyle name="Normal 3729 2 2" xfId="42836"/>
    <cellStyle name="Normal 3729 2 3" xfId="42837"/>
    <cellStyle name="Normal 3729 3" xfId="17649"/>
    <cellStyle name="Normal 3729 4" xfId="42838"/>
    <cellStyle name="Normal 373" xfId="17650"/>
    <cellStyle name="Normal 373 10" xfId="42839"/>
    <cellStyle name="Normal 373 2" xfId="17651"/>
    <cellStyle name="Normal 373 2 2" xfId="17652"/>
    <cellStyle name="Normal 373 2 2 2" xfId="17653"/>
    <cellStyle name="Normal 373 2 2 3" xfId="17654"/>
    <cellStyle name="Normal 373 2 3" xfId="17655"/>
    <cellStyle name="Normal 373 2 3 2" xfId="42840"/>
    <cellStyle name="Normal 373 2 3 3" xfId="42841"/>
    <cellStyle name="Normal 373 2 4" xfId="17656"/>
    <cellStyle name="Normal 373 2 5" xfId="17657"/>
    <cellStyle name="Normal 373 2 6" xfId="42842"/>
    <cellStyle name="Normal 373 2 7" xfId="42843"/>
    <cellStyle name="Normal 373 2 8" xfId="42844"/>
    <cellStyle name="Normal 373 3" xfId="17658"/>
    <cellStyle name="Normal 373 3 2" xfId="17659"/>
    <cellStyle name="Normal 373 3 2 2" xfId="42845"/>
    <cellStyle name="Normal 373 3 2 3" xfId="42846"/>
    <cellStyle name="Normal 373 3 3" xfId="17660"/>
    <cellStyle name="Normal 373 3 3 2" xfId="42847"/>
    <cellStyle name="Normal 373 3 3 3" xfId="42848"/>
    <cellStyle name="Normal 373 3 4" xfId="42849"/>
    <cellStyle name="Normal 373 3 5" xfId="42850"/>
    <cellStyle name="Normal 373 4" xfId="17661"/>
    <cellStyle name="Normal 373 4 2" xfId="42851"/>
    <cellStyle name="Normal 373 4 3" xfId="42852"/>
    <cellStyle name="Normal 373 5" xfId="17662"/>
    <cellStyle name="Normal 373 5 2" xfId="42853"/>
    <cellStyle name="Normal 373 5 3" xfId="42854"/>
    <cellStyle name="Normal 373 6" xfId="17663"/>
    <cellStyle name="Normal 373 7" xfId="42855"/>
    <cellStyle name="Normal 373 8" xfId="42856"/>
    <cellStyle name="Normal 373 9" xfId="42857"/>
    <cellStyle name="Normal 3730" xfId="17664"/>
    <cellStyle name="Normal 3730 2" xfId="17665"/>
    <cellStyle name="Normal 3730 2 2" xfId="42858"/>
    <cellStyle name="Normal 3730 2 3" xfId="42859"/>
    <cellStyle name="Normal 3730 3" xfId="17666"/>
    <cellStyle name="Normal 3730 4" xfId="42860"/>
    <cellStyle name="Normal 3731" xfId="17667"/>
    <cellStyle name="Normal 3731 2" xfId="17668"/>
    <cellStyle name="Normal 3731 2 2" xfId="42861"/>
    <cellStyle name="Normal 3731 2 3" xfId="42862"/>
    <cellStyle name="Normal 3731 3" xfId="17669"/>
    <cellStyle name="Normal 3731 4" xfId="42863"/>
    <cellStyle name="Normal 3732" xfId="17670"/>
    <cellStyle name="Normal 3732 2" xfId="17671"/>
    <cellStyle name="Normal 3732 2 2" xfId="42864"/>
    <cellStyle name="Normal 3732 2 3" xfId="42865"/>
    <cellStyle name="Normal 3732 3" xfId="17672"/>
    <cellStyle name="Normal 3732 4" xfId="42866"/>
    <cellStyle name="Normal 3733" xfId="17673"/>
    <cellStyle name="Normal 3733 2" xfId="17674"/>
    <cellStyle name="Normal 3733 2 2" xfId="42867"/>
    <cellStyle name="Normal 3733 2 3" xfId="42868"/>
    <cellStyle name="Normal 3733 3" xfId="17675"/>
    <cellStyle name="Normal 3733 4" xfId="42869"/>
    <cellStyle name="Normal 3734" xfId="17676"/>
    <cellStyle name="Normal 3734 2" xfId="17677"/>
    <cellStyle name="Normal 3734 2 2" xfId="42870"/>
    <cellStyle name="Normal 3734 2 3" xfId="42871"/>
    <cellStyle name="Normal 3734 3" xfId="17678"/>
    <cellStyle name="Normal 3734 4" xfId="42872"/>
    <cellStyle name="Normal 3735" xfId="17679"/>
    <cellStyle name="Normal 3735 2" xfId="17680"/>
    <cellStyle name="Normal 3735 2 2" xfId="42873"/>
    <cellStyle name="Normal 3735 2 3" xfId="42874"/>
    <cellStyle name="Normal 3735 3" xfId="17681"/>
    <cellStyle name="Normal 3735 4" xfId="42875"/>
    <cellStyle name="Normal 3736" xfId="17682"/>
    <cellStyle name="Normal 3736 2" xfId="17683"/>
    <cellStyle name="Normal 3736 2 2" xfId="42876"/>
    <cellStyle name="Normal 3736 2 3" xfId="42877"/>
    <cellStyle name="Normal 3736 3" xfId="17684"/>
    <cellStyle name="Normal 3736 4" xfId="42878"/>
    <cellStyle name="Normal 3737" xfId="17685"/>
    <cellStyle name="Normal 3737 2" xfId="17686"/>
    <cellStyle name="Normal 3737 2 2" xfId="42879"/>
    <cellStyle name="Normal 3737 2 3" xfId="42880"/>
    <cellStyle name="Normal 3737 3" xfId="17687"/>
    <cellStyle name="Normal 3737 4" xfId="42881"/>
    <cellStyle name="Normal 3738" xfId="17688"/>
    <cellStyle name="Normal 3738 2" xfId="17689"/>
    <cellStyle name="Normal 3738 2 2" xfId="42882"/>
    <cellStyle name="Normal 3738 2 3" xfId="42883"/>
    <cellStyle name="Normal 3738 3" xfId="17690"/>
    <cellStyle name="Normal 3738 4" xfId="42884"/>
    <cellStyle name="Normal 3739" xfId="17691"/>
    <cellStyle name="Normal 3739 2" xfId="17692"/>
    <cellStyle name="Normal 3739 2 2" xfId="42885"/>
    <cellStyle name="Normal 3739 2 3" xfId="42886"/>
    <cellStyle name="Normal 3739 3" xfId="17693"/>
    <cellStyle name="Normal 3739 4" xfId="42887"/>
    <cellStyle name="Normal 374" xfId="17694"/>
    <cellStyle name="Normal 374 10" xfId="42888"/>
    <cellStyle name="Normal 374 2" xfId="17695"/>
    <cellStyle name="Normal 374 2 2" xfId="17696"/>
    <cellStyle name="Normal 374 2 2 2" xfId="17697"/>
    <cellStyle name="Normal 374 2 2 3" xfId="17698"/>
    <cellStyle name="Normal 374 2 3" xfId="17699"/>
    <cellStyle name="Normal 374 2 3 2" xfId="42889"/>
    <cellStyle name="Normal 374 2 3 3" xfId="42890"/>
    <cellStyle name="Normal 374 2 4" xfId="17700"/>
    <cellStyle name="Normal 374 2 5" xfId="17701"/>
    <cellStyle name="Normal 374 2 6" xfId="42891"/>
    <cellStyle name="Normal 374 2 7" xfId="42892"/>
    <cellStyle name="Normal 374 2 8" xfId="42893"/>
    <cellStyle name="Normal 374 3" xfId="17702"/>
    <cellStyle name="Normal 374 3 2" xfId="17703"/>
    <cellStyle name="Normal 374 3 2 2" xfId="42894"/>
    <cellStyle name="Normal 374 3 2 3" xfId="42895"/>
    <cellStyle name="Normal 374 3 3" xfId="17704"/>
    <cellStyle name="Normal 374 3 3 2" xfId="42896"/>
    <cellStyle name="Normal 374 3 3 3" xfId="42897"/>
    <cellStyle name="Normal 374 3 4" xfId="42898"/>
    <cellStyle name="Normal 374 3 5" xfId="42899"/>
    <cellStyle name="Normal 374 4" xfId="17705"/>
    <cellStyle name="Normal 374 4 2" xfId="42900"/>
    <cellStyle name="Normal 374 4 3" xfId="42901"/>
    <cellStyle name="Normal 374 5" xfId="17706"/>
    <cellStyle name="Normal 374 5 2" xfId="42902"/>
    <cellStyle name="Normal 374 5 3" xfId="42903"/>
    <cellStyle name="Normal 374 6" xfId="17707"/>
    <cellStyle name="Normal 374 7" xfId="42904"/>
    <cellStyle name="Normal 374 8" xfId="42905"/>
    <cellStyle name="Normal 374 9" xfId="42906"/>
    <cellStyle name="Normal 3740" xfId="17708"/>
    <cellStyle name="Normal 3740 2" xfId="17709"/>
    <cellStyle name="Normal 3740 2 2" xfId="42907"/>
    <cellStyle name="Normal 3740 2 3" xfId="42908"/>
    <cellStyle name="Normal 3740 3" xfId="17710"/>
    <cellStyle name="Normal 3740 4" xfId="42909"/>
    <cellStyle name="Normal 3741" xfId="17711"/>
    <cellStyle name="Normal 3741 2" xfId="17712"/>
    <cellStyle name="Normal 3741 2 2" xfId="42910"/>
    <cellStyle name="Normal 3741 2 3" xfId="42911"/>
    <cellStyle name="Normal 3741 3" xfId="17713"/>
    <cellStyle name="Normal 3741 4" xfId="42912"/>
    <cellStyle name="Normal 3742" xfId="17714"/>
    <cellStyle name="Normal 3742 2" xfId="17715"/>
    <cellStyle name="Normal 3742 2 2" xfId="42913"/>
    <cellStyle name="Normal 3742 2 3" xfId="42914"/>
    <cellStyle name="Normal 3742 3" xfId="17716"/>
    <cellStyle name="Normal 3742 4" xfId="42915"/>
    <cellStyle name="Normal 3743" xfId="17717"/>
    <cellStyle name="Normal 3743 2" xfId="17718"/>
    <cellStyle name="Normal 3743 2 2" xfId="42916"/>
    <cellStyle name="Normal 3743 2 3" xfId="42917"/>
    <cellStyle name="Normal 3743 3" xfId="17719"/>
    <cellStyle name="Normal 3743 4" xfId="42918"/>
    <cellStyle name="Normal 3744" xfId="17720"/>
    <cellStyle name="Normal 3744 2" xfId="17721"/>
    <cellStyle name="Normal 3744 2 2" xfId="42919"/>
    <cellStyle name="Normal 3744 2 3" xfId="42920"/>
    <cellStyle name="Normal 3744 3" xfId="17722"/>
    <cellStyle name="Normal 3744 4" xfId="42921"/>
    <cellStyle name="Normal 3745" xfId="17723"/>
    <cellStyle name="Normal 3745 2" xfId="17724"/>
    <cellStyle name="Normal 3745 2 2" xfId="42922"/>
    <cellStyle name="Normal 3745 2 3" xfId="42923"/>
    <cellStyle name="Normal 3745 3" xfId="17725"/>
    <cellStyle name="Normal 3745 4" xfId="42924"/>
    <cellStyle name="Normal 3746" xfId="17726"/>
    <cellStyle name="Normal 3746 2" xfId="17727"/>
    <cellStyle name="Normal 3746 2 2" xfId="42925"/>
    <cellStyle name="Normal 3746 2 3" xfId="42926"/>
    <cellStyle name="Normal 3746 3" xfId="17728"/>
    <cellStyle name="Normal 3746 4" xfId="42927"/>
    <cellStyle name="Normal 3747" xfId="17729"/>
    <cellStyle name="Normal 3747 2" xfId="17730"/>
    <cellStyle name="Normal 3747 2 2" xfId="42928"/>
    <cellStyle name="Normal 3747 2 3" xfId="42929"/>
    <cellStyle name="Normal 3747 3" xfId="17731"/>
    <cellStyle name="Normal 3747 4" xfId="42930"/>
    <cellStyle name="Normal 3748" xfId="17732"/>
    <cellStyle name="Normal 3748 2" xfId="17733"/>
    <cellStyle name="Normal 3748 2 2" xfId="42931"/>
    <cellStyle name="Normal 3748 2 3" xfId="42932"/>
    <cellStyle name="Normal 3748 3" xfId="17734"/>
    <cellStyle name="Normal 3748 4" xfId="42933"/>
    <cellStyle name="Normal 3749" xfId="17735"/>
    <cellStyle name="Normal 3749 2" xfId="17736"/>
    <cellStyle name="Normal 3749 2 2" xfId="42934"/>
    <cellStyle name="Normal 3749 2 3" xfId="42935"/>
    <cellStyle name="Normal 3749 3" xfId="17737"/>
    <cellStyle name="Normal 3749 4" xfId="42936"/>
    <cellStyle name="Normal 375" xfId="17738"/>
    <cellStyle name="Normal 375 10" xfId="42937"/>
    <cellStyle name="Normal 375 2" xfId="17739"/>
    <cellStyle name="Normal 375 2 2" xfId="17740"/>
    <cellStyle name="Normal 375 2 2 2" xfId="17741"/>
    <cellStyle name="Normal 375 2 2 3" xfId="17742"/>
    <cellStyle name="Normal 375 2 3" xfId="17743"/>
    <cellStyle name="Normal 375 2 3 2" xfId="42938"/>
    <cellStyle name="Normal 375 2 3 3" xfId="42939"/>
    <cellStyle name="Normal 375 2 4" xfId="17744"/>
    <cellStyle name="Normal 375 2 5" xfId="17745"/>
    <cellStyle name="Normal 375 2 6" xfId="42940"/>
    <cellStyle name="Normal 375 2 7" xfId="42941"/>
    <cellStyle name="Normal 375 2 8" xfId="42942"/>
    <cellStyle name="Normal 375 3" xfId="17746"/>
    <cellStyle name="Normal 375 3 2" xfId="17747"/>
    <cellStyle name="Normal 375 3 2 2" xfId="42943"/>
    <cellStyle name="Normal 375 3 2 3" xfId="42944"/>
    <cellStyle name="Normal 375 3 3" xfId="17748"/>
    <cellStyle name="Normal 375 3 3 2" xfId="42945"/>
    <cellStyle name="Normal 375 3 3 3" xfId="42946"/>
    <cellStyle name="Normal 375 3 4" xfId="42947"/>
    <cellStyle name="Normal 375 3 5" xfId="42948"/>
    <cellStyle name="Normal 375 4" xfId="17749"/>
    <cellStyle name="Normal 375 4 2" xfId="42949"/>
    <cellStyle name="Normal 375 4 3" xfId="42950"/>
    <cellStyle name="Normal 375 5" xfId="17750"/>
    <cellStyle name="Normal 375 5 2" xfId="42951"/>
    <cellStyle name="Normal 375 5 3" xfId="42952"/>
    <cellStyle name="Normal 375 6" xfId="17751"/>
    <cellStyle name="Normal 375 7" xfId="42953"/>
    <cellStyle name="Normal 375 8" xfId="42954"/>
    <cellStyle name="Normal 375 9" xfId="42955"/>
    <cellStyle name="Normal 3750" xfId="17752"/>
    <cellStyle name="Normal 3750 2" xfId="17753"/>
    <cellStyle name="Normal 3750 2 2" xfId="42956"/>
    <cellStyle name="Normal 3750 2 3" xfId="42957"/>
    <cellStyle name="Normal 3750 3" xfId="17754"/>
    <cellStyle name="Normal 3750 4" xfId="42958"/>
    <cellStyle name="Normal 3751" xfId="17755"/>
    <cellStyle name="Normal 3751 2" xfId="17756"/>
    <cellStyle name="Normal 3751 2 2" xfId="42959"/>
    <cellStyle name="Normal 3751 2 3" xfId="42960"/>
    <cellStyle name="Normal 3751 3" xfId="17757"/>
    <cellStyle name="Normal 3751 4" xfId="42961"/>
    <cellStyle name="Normal 3752" xfId="17758"/>
    <cellStyle name="Normal 3752 2" xfId="17759"/>
    <cellStyle name="Normal 3752 2 2" xfId="42962"/>
    <cellStyle name="Normal 3752 2 3" xfId="42963"/>
    <cellStyle name="Normal 3752 3" xfId="17760"/>
    <cellStyle name="Normal 3752 4" xfId="42964"/>
    <cellStyle name="Normal 3753" xfId="17761"/>
    <cellStyle name="Normal 3753 2" xfId="17762"/>
    <cellStyle name="Normal 3753 2 2" xfId="42965"/>
    <cellStyle name="Normal 3753 2 3" xfId="42966"/>
    <cellStyle name="Normal 3753 3" xfId="17763"/>
    <cellStyle name="Normal 3753 4" xfId="42967"/>
    <cellStyle name="Normal 3754" xfId="17764"/>
    <cellStyle name="Normal 3754 2" xfId="17765"/>
    <cellStyle name="Normal 3754 2 2" xfId="42968"/>
    <cellStyle name="Normal 3754 2 3" xfId="42969"/>
    <cellStyle name="Normal 3754 3" xfId="17766"/>
    <cellStyle name="Normal 3754 4" xfId="42970"/>
    <cellStyle name="Normal 3755" xfId="17767"/>
    <cellStyle name="Normal 3755 2" xfId="17768"/>
    <cellStyle name="Normal 3755 2 2" xfId="42971"/>
    <cellStyle name="Normal 3755 2 3" xfId="42972"/>
    <cellStyle name="Normal 3755 3" xfId="17769"/>
    <cellStyle name="Normal 3755 4" xfId="42973"/>
    <cellStyle name="Normal 3756" xfId="17770"/>
    <cellStyle name="Normal 3756 2" xfId="17771"/>
    <cellStyle name="Normal 3756 2 2" xfId="42974"/>
    <cellStyle name="Normal 3756 2 3" xfId="42975"/>
    <cellStyle name="Normal 3756 3" xfId="17772"/>
    <cellStyle name="Normal 3756 4" xfId="42976"/>
    <cellStyle name="Normal 3757" xfId="17773"/>
    <cellStyle name="Normal 3757 2" xfId="17774"/>
    <cellStyle name="Normal 3757 2 2" xfId="42977"/>
    <cellStyle name="Normal 3757 2 3" xfId="42978"/>
    <cellStyle name="Normal 3757 3" xfId="17775"/>
    <cellStyle name="Normal 3757 4" xfId="42979"/>
    <cellStyle name="Normal 3758" xfId="17776"/>
    <cellStyle name="Normal 3758 2" xfId="17777"/>
    <cellStyle name="Normal 3758 2 2" xfId="42980"/>
    <cellStyle name="Normal 3758 2 3" xfId="42981"/>
    <cellStyle name="Normal 3758 3" xfId="17778"/>
    <cellStyle name="Normal 3758 4" xfId="42982"/>
    <cellStyle name="Normal 3759" xfId="17779"/>
    <cellStyle name="Normal 3759 2" xfId="17780"/>
    <cellStyle name="Normal 3759 2 2" xfId="42983"/>
    <cellStyle name="Normal 3759 2 3" xfId="42984"/>
    <cellStyle name="Normal 3759 3" xfId="17781"/>
    <cellStyle name="Normal 3759 4" xfId="42985"/>
    <cellStyle name="Normal 376" xfId="17782"/>
    <cellStyle name="Normal 376 10" xfId="42986"/>
    <cellStyle name="Normal 376 2" xfId="17783"/>
    <cellStyle name="Normal 376 2 2" xfId="17784"/>
    <cellStyle name="Normal 376 2 2 2" xfId="17785"/>
    <cellStyle name="Normal 376 2 2 3" xfId="17786"/>
    <cellStyle name="Normal 376 2 3" xfId="17787"/>
    <cellStyle name="Normal 376 2 3 2" xfId="42987"/>
    <cellStyle name="Normal 376 2 3 3" xfId="42988"/>
    <cellStyle name="Normal 376 2 4" xfId="17788"/>
    <cellStyle name="Normal 376 2 5" xfId="17789"/>
    <cellStyle name="Normal 376 2 6" xfId="42989"/>
    <cellStyle name="Normal 376 2 7" xfId="42990"/>
    <cellStyle name="Normal 376 2 8" xfId="42991"/>
    <cellStyle name="Normal 376 3" xfId="17790"/>
    <cellStyle name="Normal 376 3 2" xfId="17791"/>
    <cellStyle name="Normal 376 3 2 2" xfId="42992"/>
    <cellStyle name="Normal 376 3 2 3" xfId="42993"/>
    <cellStyle name="Normal 376 3 3" xfId="17792"/>
    <cellStyle name="Normal 376 3 3 2" xfId="42994"/>
    <cellStyle name="Normal 376 3 3 3" xfId="42995"/>
    <cellStyle name="Normal 376 3 4" xfId="42996"/>
    <cellStyle name="Normal 376 3 5" xfId="42997"/>
    <cellStyle name="Normal 376 4" xfId="17793"/>
    <cellStyle name="Normal 376 4 2" xfId="42998"/>
    <cellStyle name="Normal 376 4 3" xfId="42999"/>
    <cellStyle name="Normal 376 5" xfId="17794"/>
    <cellStyle name="Normal 376 5 2" xfId="43000"/>
    <cellStyle name="Normal 376 5 3" xfId="43001"/>
    <cellStyle name="Normal 376 6" xfId="17795"/>
    <cellStyle name="Normal 376 7" xfId="43002"/>
    <cellStyle name="Normal 376 8" xfId="43003"/>
    <cellStyle name="Normal 376 9" xfId="43004"/>
    <cellStyle name="Normal 3760" xfId="17796"/>
    <cellStyle name="Normal 3760 2" xfId="17797"/>
    <cellStyle name="Normal 3760 2 2" xfId="43005"/>
    <cellStyle name="Normal 3760 2 3" xfId="43006"/>
    <cellStyle name="Normal 3760 3" xfId="17798"/>
    <cellStyle name="Normal 3760 4" xfId="43007"/>
    <cellStyle name="Normal 3761" xfId="17799"/>
    <cellStyle name="Normal 3761 2" xfId="17800"/>
    <cellStyle name="Normal 3761 2 2" xfId="43008"/>
    <cellStyle name="Normal 3761 2 3" xfId="43009"/>
    <cellStyle name="Normal 3761 3" xfId="17801"/>
    <cellStyle name="Normal 3761 4" xfId="43010"/>
    <cellStyle name="Normal 3762" xfId="17802"/>
    <cellStyle name="Normal 3762 2" xfId="17803"/>
    <cellStyle name="Normal 3762 2 2" xfId="43011"/>
    <cellStyle name="Normal 3762 2 3" xfId="43012"/>
    <cellStyle name="Normal 3762 3" xfId="17804"/>
    <cellStyle name="Normal 3762 4" xfId="43013"/>
    <cellStyle name="Normal 3763" xfId="17805"/>
    <cellStyle name="Normal 3763 2" xfId="17806"/>
    <cellStyle name="Normal 3763 2 2" xfId="43014"/>
    <cellStyle name="Normal 3763 2 3" xfId="43015"/>
    <cellStyle name="Normal 3763 3" xfId="17807"/>
    <cellStyle name="Normal 3763 4" xfId="43016"/>
    <cellStyle name="Normal 3764" xfId="17808"/>
    <cellStyle name="Normal 3764 2" xfId="17809"/>
    <cellStyle name="Normal 3764 2 2" xfId="43017"/>
    <cellStyle name="Normal 3764 2 3" xfId="43018"/>
    <cellStyle name="Normal 3764 3" xfId="17810"/>
    <cellStyle name="Normal 3764 4" xfId="43019"/>
    <cellStyle name="Normal 3765" xfId="17811"/>
    <cellStyle name="Normal 3765 2" xfId="17812"/>
    <cellStyle name="Normal 3765 2 2" xfId="43020"/>
    <cellStyle name="Normal 3765 2 3" xfId="43021"/>
    <cellStyle name="Normal 3765 3" xfId="17813"/>
    <cellStyle name="Normal 3765 4" xfId="43022"/>
    <cellStyle name="Normal 3766" xfId="17814"/>
    <cellStyle name="Normal 3766 2" xfId="17815"/>
    <cellStyle name="Normal 3766 2 2" xfId="43023"/>
    <cellStyle name="Normal 3766 2 3" xfId="43024"/>
    <cellStyle name="Normal 3766 3" xfId="17816"/>
    <cellStyle name="Normal 3766 4" xfId="43025"/>
    <cellStyle name="Normal 3767" xfId="17817"/>
    <cellStyle name="Normal 3767 2" xfId="17818"/>
    <cellStyle name="Normal 3767 2 2" xfId="43026"/>
    <cellStyle name="Normal 3767 2 3" xfId="43027"/>
    <cellStyle name="Normal 3767 3" xfId="17819"/>
    <cellStyle name="Normal 3767 4" xfId="43028"/>
    <cellStyle name="Normal 3768" xfId="17820"/>
    <cellStyle name="Normal 3768 2" xfId="17821"/>
    <cellStyle name="Normal 3768 2 2" xfId="43029"/>
    <cellStyle name="Normal 3768 2 3" xfId="43030"/>
    <cellStyle name="Normal 3768 3" xfId="17822"/>
    <cellStyle name="Normal 3768 4" xfId="43031"/>
    <cellStyle name="Normal 3769" xfId="17823"/>
    <cellStyle name="Normal 3769 2" xfId="17824"/>
    <cellStyle name="Normal 3769 2 2" xfId="43032"/>
    <cellStyle name="Normal 3769 2 3" xfId="43033"/>
    <cellStyle name="Normal 3769 3" xfId="17825"/>
    <cellStyle name="Normal 3769 4" xfId="43034"/>
    <cellStyle name="Normal 377" xfId="17826"/>
    <cellStyle name="Normal 377 10" xfId="43035"/>
    <cellStyle name="Normal 377 2" xfId="17827"/>
    <cellStyle name="Normal 377 2 2" xfId="17828"/>
    <cellStyle name="Normal 377 2 2 2" xfId="17829"/>
    <cellStyle name="Normal 377 2 2 3" xfId="17830"/>
    <cellStyle name="Normal 377 2 3" xfId="17831"/>
    <cellStyle name="Normal 377 2 3 2" xfId="43036"/>
    <cellStyle name="Normal 377 2 3 3" xfId="43037"/>
    <cellStyle name="Normal 377 2 4" xfId="17832"/>
    <cellStyle name="Normal 377 2 5" xfId="17833"/>
    <cellStyle name="Normal 377 2 6" xfId="43038"/>
    <cellStyle name="Normal 377 2 7" xfId="43039"/>
    <cellStyle name="Normal 377 2 8" xfId="43040"/>
    <cellStyle name="Normal 377 3" xfId="17834"/>
    <cellStyle name="Normal 377 3 2" xfId="17835"/>
    <cellStyle name="Normal 377 3 2 2" xfId="43041"/>
    <cellStyle name="Normal 377 3 2 3" xfId="43042"/>
    <cellStyle name="Normal 377 3 3" xfId="17836"/>
    <cellStyle name="Normal 377 3 3 2" xfId="43043"/>
    <cellStyle name="Normal 377 3 3 3" xfId="43044"/>
    <cellStyle name="Normal 377 3 4" xfId="43045"/>
    <cellStyle name="Normal 377 3 5" xfId="43046"/>
    <cellStyle name="Normal 377 4" xfId="17837"/>
    <cellStyle name="Normal 377 4 2" xfId="43047"/>
    <cellStyle name="Normal 377 4 3" xfId="43048"/>
    <cellStyle name="Normal 377 5" xfId="17838"/>
    <cellStyle name="Normal 377 5 2" xfId="43049"/>
    <cellStyle name="Normal 377 5 3" xfId="43050"/>
    <cellStyle name="Normal 377 6" xfId="17839"/>
    <cellStyle name="Normal 377 7" xfId="43051"/>
    <cellStyle name="Normal 377 8" xfId="43052"/>
    <cellStyle name="Normal 377 9" xfId="43053"/>
    <cellStyle name="Normal 3770" xfId="17840"/>
    <cellStyle name="Normal 3770 2" xfId="17841"/>
    <cellStyle name="Normal 3770 2 2" xfId="43054"/>
    <cellStyle name="Normal 3770 2 3" xfId="43055"/>
    <cellStyle name="Normal 3770 3" xfId="17842"/>
    <cellStyle name="Normal 3770 4" xfId="43056"/>
    <cellStyle name="Normal 3771" xfId="17843"/>
    <cellStyle name="Normal 3771 2" xfId="17844"/>
    <cellStyle name="Normal 3771 2 2" xfId="43057"/>
    <cellStyle name="Normal 3771 2 3" xfId="43058"/>
    <cellStyle name="Normal 3771 3" xfId="17845"/>
    <cellStyle name="Normal 3771 4" xfId="43059"/>
    <cellStyle name="Normal 3772" xfId="17846"/>
    <cellStyle name="Normal 3772 2" xfId="17847"/>
    <cellStyle name="Normal 3772 2 2" xfId="43060"/>
    <cellStyle name="Normal 3772 2 3" xfId="43061"/>
    <cellStyle name="Normal 3772 3" xfId="17848"/>
    <cellStyle name="Normal 3772 4" xfId="43062"/>
    <cellStyle name="Normal 3773" xfId="17849"/>
    <cellStyle name="Normal 3773 2" xfId="17850"/>
    <cellStyle name="Normal 3773 2 2" xfId="43063"/>
    <cellStyle name="Normal 3773 2 3" xfId="43064"/>
    <cellStyle name="Normal 3773 3" xfId="17851"/>
    <cellStyle name="Normal 3773 4" xfId="43065"/>
    <cellStyle name="Normal 3774" xfId="17852"/>
    <cellStyle name="Normal 3774 2" xfId="17853"/>
    <cellStyle name="Normal 3774 2 2" xfId="43066"/>
    <cellStyle name="Normal 3774 2 3" xfId="43067"/>
    <cellStyle name="Normal 3774 3" xfId="17854"/>
    <cellStyle name="Normal 3774 4" xfId="43068"/>
    <cellStyle name="Normal 3775" xfId="17855"/>
    <cellStyle name="Normal 3775 2" xfId="17856"/>
    <cellStyle name="Normal 3775 2 2" xfId="43069"/>
    <cellStyle name="Normal 3775 2 3" xfId="43070"/>
    <cellStyle name="Normal 3775 3" xfId="17857"/>
    <cellStyle name="Normal 3775 4" xfId="43071"/>
    <cellStyle name="Normal 3776" xfId="17858"/>
    <cellStyle name="Normal 3776 2" xfId="17859"/>
    <cellStyle name="Normal 3776 2 2" xfId="43072"/>
    <cellStyle name="Normal 3776 2 3" xfId="43073"/>
    <cellStyle name="Normal 3776 3" xfId="17860"/>
    <cellStyle name="Normal 3776 4" xfId="43074"/>
    <cellStyle name="Normal 3777" xfId="17861"/>
    <cellStyle name="Normal 3777 2" xfId="17862"/>
    <cellStyle name="Normal 3777 2 2" xfId="43075"/>
    <cellStyle name="Normal 3777 2 3" xfId="43076"/>
    <cellStyle name="Normal 3777 3" xfId="17863"/>
    <cellStyle name="Normal 3777 4" xfId="43077"/>
    <cellStyle name="Normal 3778" xfId="17864"/>
    <cellStyle name="Normal 3778 2" xfId="17865"/>
    <cellStyle name="Normal 3778 2 2" xfId="43078"/>
    <cellStyle name="Normal 3778 2 3" xfId="43079"/>
    <cellStyle name="Normal 3778 3" xfId="17866"/>
    <cellStyle name="Normal 3778 4" xfId="43080"/>
    <cellStyle name="Normal 3779" xfId="17867"/>
    <cellStyle name="Normal 3779 2" xfId="17868"/>
    <cellStyle name="Normal 3779 2 2" xfId="43081"/>
    <cellStyle name="Normal 3779 2 3" xfId="43082"/>
    <cellStyle name="Normal 3779 3" xfId="17869"/>
    <cellStyle name="Normal 3779 4" xfId="43083"/>
    <cellStyle name="Normal 378" xfId="17870"/>
    <cellStyle name="Normal 378 10" xfId="43084"/>
    <cellStyle name="Normal 378 2" xfId="17871"/>
    <cellStyle name="Normal 378 2 2" xfId="17872"/>
    <cellStyle name="Normal 378 2 2 2" xfId="17873"/>
    <cellStyle name="Normal 378 2 2 3" xfId="17874"/>
    <cellStyle name="Normal 378 2 3" xfId="17875"/>
    <cellStyle name="Normal 378 2 3 2" xfId="43085"/>
    <cellStyle name="Normal 378 2 3 3" xfId="43086"/>
    <cellStyle name="Normal 378 2 4" xfId="17876"/>
    <cellStyle name="Normal 378 2 5" xfId="17877"/>
    <cellStyle name="Normal 378 2 6" xfId="43087"/>
    <cellStyle name="Normal 378 2 7" xfId="43088"/>
    <cellStyle name="Normal 378 2 8" xfId="43089"/>
    <cellStyle name="Normal 378 3" xfId="17878"/>
    <cellStyle name="Normal 378 3 2" xfId="17879"/>
    <cellStyle name="Normal 378 3 2 2" xfId="43090"/>
    <cellStyle name="Normal 378 3 2 3" xfId="43091"/>
    <cellStyle name="Normal 378 3 3" xfId="17880"/>
    <cellStyle name="Normal 378 3 3 2" xfId="43092"/>
    <cellStyle name="Normal 378 3 3 3" xfId="43093"/>
    <cellStyle name="Normal 378 3 4" xfId="43094"/>
    <cellStyle name="Normal 378 3 5" xfId="43095"/>
    <cellStyle name="Normal 378 4" xfId="17881"/>
    <cellStyle name="Normal 378 4 2" xfId="43096"/>
    <cellStyle name="Normal 378 4 3" xfId="43097"/>
    <cellStyle name="Normal 378 5" xfId="17882"/>
    <cellStyle name="Normal 378 5 2" xfId="43098"/>
    <cellStyle name="Normal 378 5 3" xfId="43099"/>
    <cellStyle name="Normal 378 6" xfId="17883"/>
    <cellStyle name="Normal 378 7" xfId="43100"/>
    <cellStyle name="Normal 378 8" xfId="43101"/>
    <cellStyle name="Normal 378 9" xfId="43102"/>
    <cellStyle name="Normal 3780" xfId="17884"/>
    <cellStyle name="Normal 3780 2" xfId="17885"/>
    <cellStyle name="Normal 3780 2 2" xfId="43103"/>
    <cellStyle name="Normal 3780 2 3" xfId="43104"/>
    <cellStyle name="Normal 3780 3" xfId="17886"/>
    <cellStyle name="Normal 3780 4" xfId="43105"/>
    <cellStyle name="Normal 3781" xfId="17887"/>
    <cellStyle name="Normal 3781 2" xfId="17888"/>
    <cellStyle name="Normal 3781 2 2" xfId="43106"/>
    <cellStyle name="Normal 3781 2 3" xfId="43107"/>
    <cellStyle name="Normal 3781 3" xfId="17889"/>
    <cellStyle name="Normal 3781 4" xfId="43108"/>
    <cellStyle name="Normal 3782" xfId="17890"/>
    <cellStyle name="Normal 3782 2" xfId="17891"/>
    <cellStyle name="Normal 3782 2 2" xfId="43109"/>
    <cellStyle name="Normal 3782 2 3" xfId="43110"/>
    <cellStyle name="Normal 3782 3" xfId="17892"/>
    <cellStyle name="Normal 3782 4" xfId="43111"/>
    <cellStyle name="Normal 3783" xfId="17893"/>
    <cellStyle name="Normal 3783 2" xfId="17894"/>
    <cellStyle name="Normal 3783 2 2" xfId="43112"/>
    <cellStyle name="Normal 3783 2 3" xfId="43113"/>
    <cellStyle name="Normal 3783 3" xfId="17895"/>
    <cellStyle name="Normal 3783 4" xfId="43114"/>
    <cellStyle name="Normal 3784" xfId="17896"/>
    <cellStyle name="Normal 3784 2" xfId="17897"/>
    <cellStyle name="Normal 3784 2 2" xfId="43115"/>
    <cellStyle name="Normal 3784 2 3" xfId="43116"/>
    <cellStyle name="Normal 3784 3" xfId="17898"/>
    <cellStyle name="Normal 3784 4" xfId="43117"/>
    <cellStyle name="Normal 3785" xfId="17899"/>
    <cellStyle name="Normal 3785 2" xfId="17900"/>
    <cellStyle name="Normal 3785 2 2" xfId="43118"/>
    <cellStyle name="Normal 3785 2 3" xfId="43119"/>
    <cellStyle name="Normal 3785 3" xfId="17901"/>
    <cellStyle name="Normal 3785 4" xfId="43120"/>
    <cellStyle name="Normal 3786" xfId="17902"/>
    <cellStyle name="Normal 3786 2" xfId="17903"/>
    <cellStyle name="Normal 3786 2 2" xfId="43121"/>
    <cellStyle name="Normal 3786 2 3" xfId="43122"/>
    <cellStyle name="Normal 3786 3" xfId="17904"/>
    <cellStyle name="Normal 3786 4" xfId="43123"/>
    <cellStyle name="Normal 3787" xfId="17905"/>
    <cellStyle name="Normal 3787 2" xfId="17906"/>
    <cellStyle name="Normal 3787 2 2" xfId="43124"/>
    <cellStyle name="Normal 3787 2 3" xfId="43125"/>
    <cellStyle name="Normal 3787 3" xfId="17907"/>
    <cellStyle name="Normal 3787 4" xfId="43126"/>
    <cellStyle name="Normal 3788" xfId="17908"/>
    <cellStyle name="Normal 3788 2" xfId="17909"/>
    <cellStyle name="Normal 3788 2 2" xfId="43127"/>
    <cellStyle name="Normal 3788 2 3" xfId="43128"/>
    <cellStyle name="Normal 3788 3" xfId="17910"/>
    <cellStyle name="Normal 3788 4" xfId="43129"/>
    <cellStyle name="Normal 3789" xfId="17911"/>
    <cellStyle name="Normal 3789 2" xfId="17912"/>
    <cellStyle name="Normal 3789 2 2" xfId="43130"/>
    <cellStyle name="Normal 3789 2 3" xfId="43131"/>
    <cellStyle name="Normal 3789 3" xfId="17913"/>
    <cellStyle name="Normal 3789 4" xfId="43132"/>
    <cellStyle name="Normal 379" xfId="17914"/>
    <cellStyle name="Normal 379 10" xfId="43133"/>
    <cellStyle name="Normal 379 2" xfId="17915"/>
    <cellStyle name="Normal 379 2 2" xfId="17916"/>
    <cellStyle name="Normal 379 2 2 2" xfId="17917"/>
    <cellStyle name="Normal 379 2 2 3" xfId="17918"/>
    <cellStyle name="Normal 379 2 3" xfId="17919"/>
    <cellStyle name="Normal 379 2 3 2" xfId="43134"/>
    <cellStyle name="Normal 379 2 3 3" xfId="43135"/>
    <cellStyle name="Normal 379 2 4" xfId="17920"/>
    <cellStyle name="Normal 379 2 5" xfId="17921"/>
    <cellStyle name="Normal 379 2 6" xfId="43136"/>
    <cellStyle name="Normal 379 2 7" xfId="43137"/>
    <cellStyle name="Normal 379 2 8" xfId="43138"/>
    <cellStyle name="Normal 379 3" xfId="17922"/>
    <cellStyle name="Normal 379 3 2" xfId="17923"/>
    <cellStyle name="Normal 379 3 2 2" xfId="43139"/>
    <cellStyle name="Normal 379 3 2 3" xfId="43140"/>
    <cellStyle name="Normal 379 3 3" xfId="17924"/>
    <cellStyle name="Normal 379 3 3 2" xfId="43141"/>
    <cellStyle name="Normal 379 3 3 3" xfId="43142"/>
    <cellStyle name="Normal 379 3 4" xfId="43143"/>
    <cellStyle name="Normal 379 3 5" xfId="43144"/>
    <cellStyle name="Normal 379 4" xfId="17925"/>
    <cellStyle name="Normal 379 4 2" xfId="43145"/>
    <cellStyle name="Normal 379 4 3" xfId="43146"/>
    <cellStyle name="Normal 379 5" xfId="17926"/>
    <cellStyle name="Normal 379 5 2" xfId="43147"/>
    <cellStyle name="Normal 379 5 3" xfId="43148"/>
    <cellStyle name="Normal 379 6" xfId="17927"/>
    <cellStyle name="Normal 379 7" xfId="43149"/>
    <cellStyle name="Normal 379 8" xfId="43150"/>
    <cellStyle name="Normal 379 9" xfId="43151"/>
    <cellStyle name="Normal 3790" xfId="17928"/>
    <cellStyle name="Normal 3790 2" xfId="17929"/>
    <cellStyle name="Normal 3790 2 2" xfId="43152"/>
    <cellStyle name="Normal 3790 2 3" xfId="43153"/>
    <cellStyle name="Normal 3790 3" xfId="17930"/>
    <cellStyle name="Normal 3790 4" xfId="43154"/>
    <cellStyle name="Normal 3791" xfId="17931"/>
    <cellStyle name="Normal 3791 2" xfId="17932"/>
    <cellStyle name="Normal 3791 2 2" xfId="43155"/>
    <cellStyle name="Normal 3791 2 3" xfId="43156"/>
    <cellStyle name="Normal 3791 3" xfId="17933"/>
    <cellStyle name="Normal 3791 4" xfId="43157"/>
    <cellStyle name="Normal 3792" xfId="17934"/>
    <cellStyle name="Normal 3792 2" xfId="17935"/>
    <cellStyle name="Normal 3792 2 2" xfId="43158"/>
    <cellStyle name="Normal 3792 2 3" xfId="43159"/>
    <cellStyle name="Normal 3792 3" xfId="17936"/>
    <cellStyle name="Normal 3792 4" xfId="43160"/>
    <cellStyle name="Normal 3793" xfId="17937"/>
    <cellStyle name="Normal 3793 2" xfId="17938"/>
    <cellStyle name="Normal 3793 2 2" xfId="43161"/>
    <cellStyle name="Normal 3793 2 3" xfId="43162"/>
    <cellStyle name="Normal 3793 3" xfId="17939"/>
    <cellStyle name="Normal 3793 4" xfId="43163"/>
    <cellStyle name="Normal 3794" xfId="17940"/>
    <cellStyle name="Normal 3794 2" xfId="17941"/>
    <cellStyle name="Normal 3794 2 2" xfId="43164"/>
    <cellStyle name="Normal 3794 2 3" xfId="43165"/>
    <cellStyle name="Normal 3794 3" xfId="17942"/>
    <cellStyle name="Normal 3794 4" xfId="43166"/>
    <cellStyle name="Normal 3795" xfId="17943"/>
    <cellStyle name="Normal 3795 2" xfId="17944"/>
    <cellStyle name="Normal 3795 2 2" xfId="43167"/>
    <cellStyle name="Normal 3795 2 3" xfId="43168"/>
    <cellStyle name="Normal 3795 3" xfId="17945"/>
    <cellStyle name="Normal 3795 4" xfId="43169"/>
    <cellStyle name="Normal 3796" xfId="17946"/>
    <cellStyle name="Normal 3796 2" xfId="17947"/>
    <cellStyle name="Normal 3796 2 2" xfId="43170"/>
    <cellStyle name="Normal 3796 2 3" xfId="43171"/>
    <cellStyle name="Normal 3796 3" xfId="17948"/>
    <cellStyle name="Normal 3796 4" xfId="43172"/>
    <cellStyle name="Normal 3797" xfId="17949"/>
    <cellStyle name="Normal 3797 2" xfId="17950"/>
    <cellStyle name="Normal 3797 2 2" xfId="43173"/>
    <cellStyle name="Normal 3797 2 3" xfId="43174"/>
    <cellStyle name="Normal 3797 3" xfId="17951"/>
    <cellStyle name="Normal 3797 4" xfId="43175"/>
    <cellStyle name="Normal 3798" xfId="17952"/>
    <cellStyle name="Normal 3798 2" xfId="17953"/>
    <cellStyle name="Normal 3798 2 2" xfId="43176"/>
    <cellStyle name="Normal 3798 2 3" xfId="43177"/>
    <cellStyle name="Normal 3798 3" xfId="17954"/>
    <cellStyle name="Normal 3798 4" xfId="43178"/>
    <cellStyle name="Normal 3799" xfId="17955"/>
    <cellStyle name="Normal 3799 2" xfId="17956"/>
    <cellStyle name="Normal 3799 2 2" xfId="43179"/>
    <cellStyle name="Normal 3799 2 3" xfId="43180"/>
    <cellStyle name="Normal 3799 3" xfId="17957"/>
    <cellStyle name="Normal 3799 4" xfId="43181"/>
    <cellStyle name="Normal 38" xfId="17958"/>
    <cellStyle name="Normal 38 10" xfId="43182"/>
    <cellStyle name="Normal 38 2" xfId="17959"/>
    <cellStyle name="Normal 38 2 2" xfId="17960"/>
    <cellStyle name="Normal 38 2 2 2" xfId="17961"/>
    <cellStyle name="Normal 38 2 2 3" xfId="17962"/>
    <cellStyle name="Normal 38 2 2 4" xfId="17963"/>
    <cellStyle name="Normal 38 2 3" xfId="17964"/>
    <cellStyle name="Normal 38 2 3 2" xfId="43183"/>
    <cellStyle name="Normal 38 2 3 3" xfId="43184"/>
    <cellStyle name="Normal 38 2 4" xfId="17965"/>
    <cellStyle name="Normal 38 2 5" xfId="17966"/>
    <cellStyle name="Normal 38 2 6" xfId="43185"/>
    <cellStyle name="Normal 38 2 7" xfId="43186"/>
    <cellStyle name="Normal 38 2 8" xfId="43187"/>
    <cellStyle name="Normal 38 3" xfId="17967"/>
    <cellStyle name="Normal 38 3 2" xfId="17968"/>
    <cellStyle name="Normal 38 3 2 2" xfId="43188"/>
    <cellStyle name="Normal 38 3 2 3" xfId="43189"/>
    <cellStyle name="Normal 38 3 3" xfId="17969"/>
    <cellStyle name="Normal 38 3 3 2" xfId="43190"/>
    <cellStyle name="Normal 38 3 3 3" xfId="43191"/>
    <cellStyle name="Normal 38 3 4" xfId="17970"/>
    <cellStyle name="Normal 38 3 5" xfId="43192"/>
    <cellStyle name="Normal 38 4" xfId="17971"/>
    <cellStyle name="Normal 38 4 2" xfId="43193"/>
    <cellStyle name="Normal 38 4 3" xfId="43194"/>
    <cellStyle name="Normal 38 5" xfId="17972"/>
    <cellStyle name="Normal 38 5 2" xfId="43195"/>
    <cellStyle name="Normal 38 5 3" xfId="43196"/>
    <cellStyle name="Normal 38 6" xfId="17973"/>
    <cellStyle name="Normal 38 7" xfId="43197"/>
    <cellStyle name="Normal 38 8" xfId="43198"/>
    <cellStyle name="Normal 38 9" xfId="43199"/>
    <cellStyle name="Normal 380" xfId="17974"/>
    <cellStyle name="Normal 380 10" xfId="43200"/>
    <cellStyle name="Normal 380 2" xfId="17975"/>
    <cellStyle name="Normal 380 2 2" xfId="17976"/>
    <cellStyle name="Normal 380 2 2 2" xfId="17977"/>
    <cellStyle name="Normal 380 2 2 3" xfId="17978"/>
    <cellStyle name="Normal 380 2 3" xfId="17979"/>
    <cellStyle name="Normal 380 2 3 2" xfId="43201"/>
    <cellStyle name="Normal 380 2 3 3" xfId="43202"/>
    <cellStyle name="Normal 380 2 4" xfId="17980"/>
    <cellStyle name="Normal 380 2 5" xfId="17981"/>
    <cellStyle name="Normal 380 2 6" xfId="43203"/>
    <cellStyle name="Normal 380 2 7" xfId="43204"/>
    <cellStyle name="Normal 380 2 8" xfId="43205"/>
    <cellStyle name="Normal 380 3" xfId="17982"/>
    <cellStyle name="Normal 380 3 2" xfId="17983"/>
    <cellStyle name="Normal 380 3 2 2" xfId="43206"/>
    <cellStyle name="Normal 380 3 2 3" xfId="43207"/>
    <cellStyle name="Normal 380 3 3" xfId="17984"/>
    <cellStyle name="Normal 380 3 3 2" xfId="43208"/>
    <cellStyle name="Normal 380 3 3 3" xfId="43209"/>
    <cellStyle name="Normal 380 3 4" xfId="43210"/>
    <cellStyle name="Normal 380 3 5" xfId="43211"/>
    <cellStyle name="Normal 380 4" xfId="17985"/>
    <cellStyle name="Normal 380 4 2" xfId="43212"/>
    <cellStyle name="Normal 380 4 3" xfId="43213"/>
    <cellStyle name="Normal 380 5" xfId="17986"/>
    <cellStyle name="Normal 380 5 2" xfId="43214"/>
    <cellStyle name="Normal 380 5 3" xfId="43215"/>
    <cellStyle name="Normal 380 6" xfId="17987"/>
    <cellStyle name="Normal 380 7" xfId="43216"/>
    <cellStyle name="Normal 380 8" xfId="43217"/>
    <cellStyle name="Normal 380 9" xfId="43218"/>
    <cellStyle name="Normal 3800" xfId="17988"/>
    <cellStyle name="Normal 3800 2" xfId="17989"/>
    <cellStyle name="Normal 3800 2 2" xfId="43219"/>
    <cellStyle name="Normal 3800 2 3" xfId="43220"/>
    <cellStyle name="Normal 3800 3" xfId="17990"/>
    <cellStyle name="Normal 3800 4" xfId="43221"/>
    <cellStyle name="Normal 3801" xfId="17991"/>
    <cellStyle name="Normal 3801 2" xfId="17992"/>
    <cellStyle name="Normal 3801 2 2" xfId="43222"/>
    <cellStyle name="Normal 3801 2 3" xfId="43223"/>
    <cellStyle name="Normal 3801 3" xfId="17993"/>
    <cellStyle name="Normal 3801 4" xfId="43224"/>
    <cellStyle name="Normal 3802" xfId="17994"/>
    <cellStyle name="Normal 3802 2" xfId="17995"/>
    <cellStyle name="Normal 3802 2 2" xfId="43225"/>
    <cellStyle name="Normal 3802 2 3" xfId="43226"/>
    <cellStyle name="Normal 3802 3" xfId="17996"/>
    <cellStyle name="Normal 3802 4" xfId="43227"/>
    <cellStyle name="Normal 3803" xfId="17997"/>
    <cellStyle name="Normal 3803 2" xfId="17998"/>
    <cellStyle name="Normal 3803 2 2" xfId="43228"/>
    <cellStyle name="Normal 3803 2 3" xfId="43229"/>
    <cellStyle name="Normal 3803 3" xfId="17999"/>
    <cellStyle name="Normal 3803 4" xfId="43230"/>
    <cellStyle name="Normal 3804" xfId="18000"/>
    <cellStyle name="Normal 3804 2" xfId="18001"/>
    <cellStyle name="Normal 3804 2 2" xfId="43231"/>
    <cellStyle name="Normal 3804 2 3" xfId="43232"/>
    <cellStyle name="Normal 3804 3" xfId="18002"/>
    <cellStyle name="Normal 3804 4" xfId="43233"/>
    <cellStyle name="Normal 3805" xfId="18003"/>
    <cellStyle name="Normal 3805 2" xfId="18004"/>
    <cellStyle name="Normal 3805 2 2" xfId="43234"/>
    <cellStyle name="Normal 3805 2 3" xfId="43235"/>
    <cellStyle name="Normal 3805 3" xfId="18005"/>
    <cellStyle name="Normal 3805 4" xfId="43236"/>
    <cellStyle name="Normal 3806" xfId="18006"/>
    <cellStyle name="Normal 3806 2" xfId="18007"/>
    <cellStyle name="Normal 3806 2 2" xfId="43237"/>
    <cellStyle name="Normal 3806 2 3" xfId="43238"/>
    <cellStyle name="Normal 3806 3" xfId="18008"/>
    <cellStyle name="Normal 3806 4" xfId="43239"/>
    <cellStyle name="Normal 3807" xfId="18009"/>
    <cellStyle name="Normal 3807 2" xfId="18010"/>
    <cellStyle name="Normal 3807 2 2" xfId="43240"/>
    <cellStyle name="Normal 3807 2 3" xfId="43241"/>
    <cellStyle name="Normal 3807 3" xfId="18011"/>
    <cellStyle name="Normal 3807 4" xfId="43242"/>
    <cellStyle name="Normal 3808" xfId="18012"/>
    <cellStyle name="Normal 3808 2" xfId="18013"/>
    <cellStyle name="Normal 3808 2 2" xfId="43243"/>
    <cellStyle name="Normal 3808 2 3" xfId="43244"/>
    <cellStyle name="Normal 3808 3" xfId="18014"/>
    <cellStyle name="Normal 3808 4" xfId="43245"/>
    <cellStyle name="Normal 3809" xfId="18015"/>
    <cellStyle name="Normal 3809 2" xfId="18016"/>
    <cellStyle name="Normal 3809 2 2" xfId="43246"/>
    <cellStyle name="Normal 3809 2 3" xfId="43247"/>
    <cellStyle name="Normal 3809 3" xfId="18017"/>
    <cellStyle name="Normal 3809 4" xfId="43248"/>
    <cellStyle name="Normal 381" xfId="18018"/>
    <cellStyle name="Normal 381 10" xfId="43249"/>
    <cellStyle name="Normal 381 2" xfId="18019"/>
    <cellStyle name="Normal 381 2 2" xfId="18020"/>
    <cellStyle name="Normal 381 2 2 2" xfId="18021"/>
    <cellStyle name="Normal 381 2 2 3" xfId="18022"/>
    <cellStyle name="Normal 381 2 3" xfId="18023"/>
    <cellStyle name="Normal 381 2 3 2" xfId="43250"/>
    <cellStyle name="Normal 381 2 3 3" xfId="43251"/>
    <cellStyle name="Normal 381 2 4" xfId="18024"/>
    <cellStyle name="Normal 381 2 5" xfId="18025"/>
    <cellStyle name="Normal 381 2 6" xfId="43252"/>
    <cellStyle name="Normal 381 2 7" xfId="43253"/>
    <cellStyle name="Normal 381 2 8" xfId="43254"/>
    <cellStyle name="Normal 381 3" xfId="18026"/>
    <cellStyle name="Normal 381 3 2" xfId="18027"/>
    <cellStyle name="Normal 381 3 2 2" xfId="43255"/>
    <cellStyle name="Normal 381 3 2 3" xfId="43256"/>
    <cellStyle name="Normal 381 3 3" xfId="18028"/>
    <cellStyle name="Normal 381 3 3 2" xfId="43257"/>
    <cellStyle name="Normal 381 3 3 3" xfId="43258"/>
    <cellStyle name="Normal 381 3 4" xfId="43259"/>
    <cellStyle name="Normal 381 3 5" xfId="43260"/>
    <cellStyle name="Normal 381 4" xfId="18029"/>
    <cellStyle name="Normal 381 4 2" xfId="43261"/>
    <cellStyle name="Normal 381 4 3" xfId="43262"/>
    <cellStyle name="Normal 381 5" xfId="18030"/>
    <cellStyle name="Normal 381 5 2" xfId="43263"/>
    <cellStyle name="Normal 381 5 3" xfId="43264"/>
    <cellStyle name="Normal 381 6" xfId="18031"/>
    <cellStyle name="Normal 381 7" xfId="43265"/>
    <cellStyle name="Normal 381 8" xfId="43266"/>
    <cellStyle name="Normal 381 9" xfId="43267"/>
    <cellStyle name="Normal 3810" xfId="18032"/>
    <cellStyle name="Normal 3810 2" xfId="18033"/>
    <cellStyle name="Normal 3810 2 2" xfId="43268"/>
    <cellStyle name="Normal 3810 2 3" xfId="43269"/>
    <cellStyle name="Normal 3810 3" xfId="18034"/>
    <cellStyle name="Normal 3810 4" xfId="43270"/>
    <cellStyle name="Normal 3811" xfId="18035"/>
    <cellStyle name="Normal 3811 2" xfId="18036"/>
    <cellStyle name="Normal 3811 2 2" xfId="43271"/>
    <cellStyle name="Normal 3811 2 3" xfId="43272"/>
    <cellStyle name="Normal 3811 3" xfId="18037"/>
    <cellStyle name="Normal 3811 4" xfId="43273"/>
    <cellStyle name="Normal 3812" xfId="18038"/>
    <cellStyle name="Normal 3812 2" xfId="18039"/>
    <cellStyle name="Normal 3812 2 2" xfId="43274"/>
    <cellStyle name="Normal 3812 2 3" xfId="43275"/>
    <cellStyle name="Normal 3812 3" xfId="18040"/>
    <cellStyle name="Normal 3812 4" xfId="43276"/>
    <cellStyle name="Normal 3813" xfId="18041"/>
    <cellStyle name="Normal 3813 2" xfId="18042"/>
    <cellStyle name="Normal 3813 2 2" xfId="43277"/>
    <cellStyle name="Normal 3813 2 3" xfId="43278"/>
    <cellStyle name="Normal 3813 3" xfId="18043"/>
    <cellStyle name="Normal 3813 4" xfId="43279"/>
    <cellStyle name="Normal 3814" xfId="18044"/>
    <cellStyle name="Normal 3814 2" xfId="18045"/>
    <cellStyle name="Normal 3814 2 2" xfId="43280"/>
    <cellStyle name="Normal 3814 2 3" xfId="43281"/>
    <cellStyle name="Normal 3814 3" xfId="18046"/>
    <cellStyle name="Normal 3814 4" xfId="43282"/>
    <cellStyle name="Normal 3815" xfId="18047"/>
    <cellStyle name="Normal 3815 2" xfId="18048"/>
    <cellStyle name="Normal 3815 2 2" xfId="43283"/>
    <cellStyle name="Normal 3815 2 3" xfId="43284"/>
    <cellStyle name="Normal 3815 3" xfId="18049"/>
    <cellStyle name="Normal 3815 4" xfId="43285"/>
    <cellStyle name="Normal 3816" xfId="18050"/>
    <cellStyle name="Normal 3816 2" xfId="18051"/>
    <cellStyle name="Normal 3816 2 2" xfId="43286"/>
    <cellStyle name="Normal 3816 2 3" xfId="43287"/>
    <cellStyle name="Normal 3816 3" xfId="18052"/>
    <cellStyle name="Normal 3816 4" xfId="43288"/>
    <cellStyle name="Normal 3817" xfId="18053"/>
    <cellStyle name="Normal 3817 2" xfId="18054"/>
    <cellStyle name="Normal 3817 2 2" xfId="43289"/>
    <cellStyle name="Normal 3817 2 3" xfId="43290"/>
    <cellStyle name="Normal 3817 3" xfId="18055"/>
    <cellStyle name="Normal 3817 4" xfId="43291"/>
    <cellStyle name="Normal 3818" xfId="18056"/>
    <cellStyle name="Normal 3818 2" xfId="18057"/>
    <cellStyle name="Normal 3818 2 2" xfId="43292"/>
    <cellStyle name="Normal 3818 2 3" xfId="43293"/>
    <cellStyle name="Normal 3818 3" xfId="18058"/>
    <cellStyle name="Normal 3818 4" xfId="43294"/>
    <cellStyle name="Normal 3819" xfId="18059"/>
    <cellStyle name="Normal 3819 2" xfId="18060"/>
    <cellStyle name="Normal 3819 2 2" xfId="43295"/>
    <cellStyle name="Normal 3819 2 3" xfId="43296"/>
    <cellStyle name="Normal 3819 3" xfId="18061"/>
    <cellStyle name="Normal 3819 4" xfId="43297"/>
    <cellStyle name="Normal 382" xfId="18062"/>
    <cellStyle name="Normal 382 10" xfId="43298"/>
    <cellStyle name="Normal 382 2" xfId="18063"/>
    <cellStyle name="Normal 382 2 2" xfId="18064"/>
    <cellStyle name="Normal 382 2 2 2" xfId="18065"/>
    <cellStyle name="Normal 382 2 2 3" xfId="18066"/>
    <cellStyle name="Normal 382 2 3" xfId="18067"/>
    <cellStyle name="Normal 382 2 3 2" xfId="43299"/>
    <cellStyle name="Normal 382 2 3 3" xfId="43300"/>
    <cellStyle name="Normal 382 2 4" xfId="18068"/>
    <cellStyle name="Normal 382 2 5" xfId="18069"/>
    <cellStyle name="Normal 382 2 6" xfId="43301"/>
    <cellStyle name="Normal 382 2 7" xfId="43302"/>
    <cellStyle name="Normal 382 2 8" xfId="43303"/>
    <cellStyle name="Normal 382 3" xfId="18070"/>
    <cellStyle name="Normal 382 3 2" xfId="18071"/>
    <cellStyle name="Normal 382 3 2 2" xfId="43304"/>
    <cellStyle name="Normal 382 3 2 3" xfId="43305"/>
    <cellStyle name="Normal 382 3 3" xfId="18072"/>
    <cellStyle name="Normal 382 3 3 2" xfId="43306"/>
    <cellStyle name="Normal 382 3 3 3" xfId="43307"/>
    <cellStyle name="Normal 382 3 4" xfId="43308"/>
    <cellStyle name="Normal 382 3 5" xfId="43309"/>
    <cellStyle name="Normal 382 4" xfId="18073"/>
    <cellStyle name="Normal 382 4 2" xfId="43310"/>
    <cellStyle name="Normal 382 4 3" xfId="43311"/>
    <cellStyle name="Normal 382 5" xfId="18074"/>
    <cellStyle name="Normal 382 5 2" xfId="43312"/>
    <cellStyle name="Normal 382 5 3" xfId="43313"/>
    <cellStyle name="Normal 382 6" xfId="18075"/>
    <cellStyle name="Normal 382 7" xfId="43314"/>
    <cellStyle name="Normal 382 8" xfId="43315"/>
    <cellStyle name="Normal 382 9" xfId="43316"/>
    <cellStyle name="Normal 3820" xfId="18076"/>
    <cellStyle name="Normal 3820 2" xfId="18077"/>
    <cellStyle name="Normal 3820 2 2" xfId="43317"/>
    <cellStyle name="Normal 3820 2 3" xfId="43318"/>
    <cellStyle name="Normal 3820 3" xfId="18078"/>
    <cellStyle name="Normal 3820 4" xfId="43319"/>
    <cellStyle name="Normal 3821" xfId="18079"/>
    <cellStyle name="Normal 3821 2" xfId="18080"/>
    <cellStyle name="Normal 3821 2 2" xfId="43320"/>
    <cellStyle name="Normal 3821 2 3" xfId="43321"/>
    <cellStyle name="Normal 3821 3" xfId="18081"/>
    <cellStyle name="Normal 3821 4" xfId="43322"/>
    <cellStyle name="Normal 3822" xfId="18082"/>
    <cellStyle name="Normal 3822 2" xfId="18083"/>
    <cellStyle name="Normal 3822 2 2" xfId="43323"/>
    <cellStyle name="Normal 3822 2 3" xfId="43324"/>
    <cellStyle name="Normal 3822 3" xfId="18084"/>
    <cellStyle name="Normal 3822 4" xfId="43325"/>
    <cellStyle name="Normal 3823" xfId="18085"/>
    <cellStyle name="Normal 3823 2" xfId="18086"/>
    <cellStyle name="Normal 3823 2 2" xfId="43326"/>
    <cellStyle name="Normal 3823 2 3" xfId="43327"/>
    <cellStyle name="Normal 3823 3" xfId="18087"/>
    <cellStyle name="Normal 3823 4" xfId="43328"/>
    <cellStyle name="Normal 3824" xfId="18088"/>
    <cellStyle name="Normal 3824 2" xfId="18089"/>
    <cellStyle name="Normal 3824 2 2" xfId="43329"/>
    <cellStyle name="Normal 3824 2 3" xfId="43330"/>
    <cellStyle name="Normal 3824 3" xfId="18090"/>
    <cellStyle name="Normal 3824 4" xfId="43331"/>
    <cellStyle name="Normal 3825" xfId="18091"/>
    <cellStyle name="Normal 3825 2" xfId="18092"/>
    <cellStyle name="Normal 3825 2 2" xfId="43332"/>
    <cellStyle name="Normal 3825 2 3" xfId="43333"/>
    <cellStyle name="Normal 3825 3" xfId="18093"/>
    <cellStyle name="Normal 3825 4" xfId="43334"/>
    <cellStyle name="Normal 3826" xfId="18094"/>
    <cellStyle name="Normal 3826 2" xfId="18095"/>
    <cellStyle name="Normal 3826 2 2" xfId="43335"/>
    <cellStyle name="Normal 3826 2 3" xfId="43336"/>
    <cellStyle name="Normal 3826 3" xfId="18096"/>
    <cellStyle name="Normal 3826 4" xfId="43337"/>
    <cellStyle name="Normal 3827" xfId="18097"/>
    <cellStyle name="Normal 3827 2" xfId="18098"/>
    <cellStyle name="Normal 3827 2 2" xfId="43338"/>
    <cellStyle name="Normal 3827 2 3" xfId="43339"/>
    <cellStyle name="Normal 3827 3" xfId="18099"/>
    <cellStyle name="Normal 3827 4" xfId="43340"/>
    <cellStyle name="Normal 3828" xfId="18100"/>
    <cellStyle name="Normal 3828 2" xfId="18101"/>
    <cellStyle name="Normal 3828 2 2" xfId="43341"/>
    <cellStyle name="Normal 3828 2 3" xfId="43342"/>
    <cellStyle name="Normal 3828 3" xfId="18102"/>
    <cellStyle name="Normal 3828 4" xfId="43343"/>
    <cellStyle name="Normal 3829" xfId="18103"/>
    <cellStyle name="Normal 3829 2" xfId="18104"/>
    <cellStyle name="Normal 3829 2 2" xfId="43344"/>
    <cellStyle name="Normal 3829 2 3" xfId="43345"/>
    <cellStyle name="Normal 3829 3" xfId="18105"/>
    <cellStyle name="Normal 3829 4" xfId="43346"/>
    <cellStyle name="Normal 383" xfId="18106"/>
    <cellStyle name="Normal 383 10" xfId="43347"/>
    <cellStyle name="Normal 383 2" xfId="18107"/>
    <cellStyle name="Normal 383 2 2" xfId="18108"/>
    <cellStyle name="Normal 383 2 2 2" xfId="18109"/>
    <cellStyle name="Normal 383 2 2 3" xfId="18110"/>
    <cellStyle name="Normal 383 2 3" xfId="18111"/>
    <cellStyle name="Normal 383 2 3 2" xfId="43348"/>
    <cellStyle name="Normal 383 2 3 3" xfId="43349"/>
    <cellStyle name="Normal 383 2 4" xfId="18112"/>
    <cellStyle name="Normal 383 2 5" xfId="18113"/>
    <cellStyle name="Normal 383 2 6" xfId="43350"/>
    <cellStyle name="Normal 383 2 7" xfId="43351"/>
    <cellStyle name="Normal 383 2 8" xfId="43352"/>
    <cellStyle name="Normal 383 3" xfId="18114"/>
    <cellStyle name="Normal 383 3 2" xfId="18115"/>
    <cellStyle name="Normal 383 3 2 2" xfId="43353"/>
    <cellStyle name="Normal 383 3 2 3" xfId="43354"/>
    <cellStyle name="Normal 383 3 3" xfId="18116"/>
    <cellStyle name="Normal 383 3 3 2" xfId="43355"/>
    <cellStyle name="Normal 383 3 3 3" xfId="43356"/>
    <cellStyle name="Normal 383 3 4" xfId="43357"/>
    <cellStyle name="Normal 383 3 5" xfId="43358"/>
    <cellStyle name="Normal 383 4" xfId="18117"/>
    <cellStyle name="Normal 383 4 2" xfId="43359"/>
    <cellStyle name="Normal 383 4 3" xfId="43360"/>
    <cellStyle name="Normal 383 5" xfId="18118"/>
    <cellStyle name="Normal 383 5 2" xfId="43361"/>
    <cellStyle name="Normal 383 5 3" xfId="43362"/>
    <cellStyle name="Normal 383 6" xfId="18119"/>
    <cellStyle name="Normal 383 7" xfId="43363"/>
    <cellStyle name="Normal 383 8" xfId="43364"/>
    <cellStyle name="Normal 383 9" xfId="43365"/>
    <cellStyle name="Normal 3830" xfId="18120"/>
    <cellStyle name="Normal 3830 2" xfId="18121"/>
    <cellStyle name="Normal 3830 2 2" xfId="43366"/>
    <cellStyle name="Normal 3830 2 3" xfId="43367"/>
    <cellStyle name="Normal 3830 3" xfId="18122"/>
    <cellStyle name="Normal 3830 4" xfId="43368"/>
    <cellStyle name="Normal 3831" xfId="18123"/>
    <cellStyle name="Normal 3831 2" xfId="18124"/>
    <cellStyle name="Normal 3831 2 2" xfId="43369"/>
    <cellStyle name="Normal 3831 2 3" xfId="43370"/>
    <cellStyle name="Normal 3831 3" xfId="18125"/>
    <cellStyle name="Normal 3831 4" xfId="43371"/>
    <cellStyle name="Normal 3832" xfId="18126"/>
    <cellStyle name="Normal 3832 2" xfId="18127"/>
    <cellStyle name="Normal 3832 2 2" xfId="43372"/>
    <cellStyle name="Normal 3832 2 3" xfId="43373"/>
    <cellStyle name="Normal 3832 3" xfId="18128"/>
    <cellStyle name="Normal 3832 4" xfId="43374"/>
    <cellStyle name="Normal 3833" xfId="18129"/>
    <cellStyle name="Normal 3833 2" xfId="18130"/>
    <cellStyle name="Normal 3833 2 2" xfId="43375"/>
    <cellStyle name="Normal 3833 2 3" xfId="43376"/>
    <cellStyle name="Normal 3833 3" xfId="18131"/>
    <cellStyle name="Normal 3833 4" xfId="43377"/>
    <cellStyle name="Normal 3834" xfId="18132"/>
    <cellStyle name="Normal 3834 2" xfId="18133"/>
    <cellStyle name="Normal 3834 2 2" xfId="43378"/>
    <cellStyle name="Normal 3834 2 3" xfId="43379"/>
    <cellStyle name="Normal 3834 3" xfId="18134"/>
    <cellStyle name="Normal 3834 4" xfId="43380"/>
    <cellStyle name="Normal 3835" xfId="18135"/>
    <cellStyle name="Normal 3835 2" xfId="18136"/>
    <cellStyle name="Normal 3835 2 2" xfId="43381"/>
    <cellStyle name="Normal 3835 2 3" xfId="43382"/>
    <cellStyle name="Normal 3835 3" xfId="18137"/>
    <cellStyle name="Normal 3835 4" xfId="43383"/>
    <cellStyle name="Normal 3836" xfId="18138"/>
    <cellStyle name="Normal 3836 2" xfId="18139"/>
    <cellStyle name="Normal 3836 2 2" xfId="43384"/>
    <cellStyle name="Normal 3836 2 3" xfId="43385"/>
    <cellStyle name="Normal 3836 3" xfId="18140"/>
    <cellStyle name="Normal 3836 4" xfId="43386"/>
    <cellStyle name="Normal 3837" xfId="18141"/>
    <cellStyle name="Normal 3837 2" xfId="18142"/>
    <cellStyle name="Normal 3837 2 2" xfId="43387"/>
    <cellStyle name="Normal 3837 2 3" xfId="43388"/>
    <cellStyle name="Normal 3837 3" xfId="18143"/>
    <cellStyle name="Normal 3837 4" xfId="43389"/>
    <cellStyle name="Normal 3838" xfId="18144"/>
    <cellStyle name="Normal 3838 2" xfId="18145"/>
    <cellStyle name="Normal 3838 2 2" xfId="43390"/>
    <cellStyle name="Normal 3838 2 3" xfId="43391"/>
    <cellStyle name="Normal 3838 3" xfId="18146"/>
    <cellStyle name="Normal 3838 4" xfId="43392"/>
    <cellStyle name="Normal 3839" xfId="18147"/>
    <cellStyle name="Normal 3839 2" xfId="18148"/>
    <cellStyle name="Normal 3839 2 2" xfId="43393"/>
    <cellStyle name="Normal 3839 2 3" xfId="43394"/>
    <cellStyle name="Normal 3839 3" xfId="18149"/>
    <cellStyle name="Normal 3839 4" xfId="43395"/>
    <cellStyle name="Normal 384" xfId="18150"/>
    <cellStyle name="Normal 384 10" xfId="43396"/>
    <cellStyle name="Normal 384 2" xfId="18151"/>
    <cellStyle name="Normal 384 2 2" xfId="18152"/>
    <cellStyle name="Normal 384 2 2 2" xfId="18153"/>
    <cellStyle name="Normal 384 2 2 3" xfId="18154"/>
    <cellStyle name="Normal 384 2 3" xfId="18155"/>
    <cellStyle name="Normal 384 2 3 2" xfId="43397"/>
    <cellStyle name="Normal 384 2 3 3" xfId="43398"/>
    <cellStyle name="Normal 384 2 4" xfId="18156"/>
    <cellStyle name="Normal 384 2 5" xfId="18157"/>
    <cellStyle name="Normal 384 2 6" xfId="43399"/>
    <cellStyle name="Normal 384 2 7" xfId="43400"/>
    <cellStyle name="Normal 384 2 8" xfId="43401"/>
    <cellStyle name="Normal 384 3" xfId="18158"/>
    <cellStyle name="Normal 384 3 2" xfId="18159"/>
    <cellStyle name="Normal 384 3 2 2" xfId="43402"/>
    <cellStyle name="Normal 384 3 2 3" xfId="43403"/>
    <cellStyle name="Normal 384 3 3" xfId="18160"/>
    <cellStyle name="Normal 384 3 3 2" xfId="43404"/>
    <cellStyle name="Normal 384 3 3 3" xfId="43405"/>
    <cellStyle name="Normal 384 3 4" xfId="43406"/>
    <cellStyle name="Normal 384 3 5" xfId="43407"/>
    <cellStyle name="Normal 384 4" xfId="18161"/>
    <cellStyle name="Normal 384 4 2" xfId="43408"/>
    <cellStyle name="Normal 384 4 3" xfId="43409"/>
    <cellStyle name="Normal 384 5" xfId="18162"/>
    <cellStyle name="Normal 384 5 2" xfId="43410"/>
    <cellStyle name="Normal 384 5 3" xfId="43411"/>
    <cellStyle name="Normal 384 6" xfId="18163"/>
    <cellStyle name="Normal 384 7" xfId="43412"/>
    <cellStyle name="Normal 384 8" xfId="43413"/>
    <cellStyle name="Normal 384 9" xfId="43414"/>
    <cellStyle name="Normal 3840" xfId="18164"/>
    <cellStyle name="Normal 3840 2" xfId="18165"/>
    <cellStyle name="Normal 3840 2 2" xfId="43415"/>
    <cellStyle name="Normal 3840 2 3" xfId="43416"/>
    <cellStyle name="Normal 3840 3" xfId="18166"/>
    <cellStyle name="Normal 3840 4" xfId="43417"/>
    <cellStyle name="Normal 3841" xfId="18167"/>
    <cellStyle name="Normal 3841 2" xfId="18168"/>
    <cellStyle name="Normal 3841 2 2" xfId="43418"/>
    <cellStyle name="Normal 3841 2 3" xfId="43419"/>
    <cellStyle name="Normal 3841 3" xfId="18169"/>
    <cellStyle name="Normal 3841 4" xfId="43420"/>
    <cellStyle name="Normal 3842" xfId="18170"/>
    <cellStyle name="Normal 3842 2" xfId="18171"/>
    <cellStyle name="Normal 3842 2 2" xfId="43421"/>
    <cellStyle name="Normal 3842 2 3" xfId="43422"/>
    <cellStyle name="Normal 3842 3" xfId="18172"/>
    <cellStyle name="Normal 3842 4" xfId="43423"/>
    <cellStyle name="Normal 3843" xfId="18173"/>
    <cellStyle name="Normal 3843 2" xfId="18174"/>
    <cellStyle name="Normal 3843 2 2" xfId="43424"/>
    <cellStyle name="Normal 3843 2 3" xfId="43425"/>
    <cellStyle name="Normal 3843 3" xfId="18175"/>
    <cellStyle name="Normal 3843 4" xfId="43426"/>
    <cellStyle name="Normal 3844" xfId="18176"/>
    <cellStyle name="Normal 3844 2" xfId="18177"/>
    <cellStyle name="Normal 3844 2 2" xfId="43427"/>
    <cellStyle name="Normal 3844 2 3" xfId="43428"/>
    <cellStyle name="Normal 3844 3" xfId="18178"/>
    <cellStyle name="Normal 3844 4" xfId="43429"/>
    <cellStyle name="Normal 3845" xfId="18179"/>
    <cellStyle name="Normal 3845 2" xfId="18180"/>
    <cellStyle name="Normal 3845 2 2" xfId="43430"/>
    <cellStyle name="Normal 3845 2 3" xfId="43431"/>
    <cellStyle name="Normal 3845 3" xfId="18181"/>
    <cellStyle name="Normal 3845 4" xfId="43432"/>
    <cellStyle name="Normal 3846" xfId="18182"/>
    <cellStyle name="Normal 3846 2" xfId="18183"/>
    <cellStyle name="Normal 3846 2 2" xfId="43433"/>
    <cellStyle name="Normal 3846 2 3" xfId="43434"/>
    <cellStyle name="Normal 3846 3" xfId="18184"/>
    <cellStyle name="Normal 3846 4" xfId="43435"/>
    <cellStyle name="Normal 3847" xfId="18185"/>
    <cellStyle name="Normal 3847 2" xfId="18186"/>
    <cellStyle name="Normal 3847 2 2" xfId="43436"/>
    <cellStyle name="Normal 3847 2 3" xfId="43437"/>
    <cellStyle name="Normal 3847 3" xfId="18187"/>
    <cellStyle name="Normal 3847 4" xfId="43438"/>
    <cellStyle name="Normal 3848" xfId="18188"/>
    <cellStyle name="Normal 3848 2" xfId="18189"/>
    <cellStyle name="Normal 3848 2 2" xfId="43439"/>
    <cellStyle name="Normal 3848 2 3" xfId="43440"/>
    <cellStyle name="Normal 3848 3" xfId="18190"/>
    <cellStyle name="Normal 3848 4" xfId="43441"/>
    <cellStyle name="Normal 3849" xfId="18191"/>
    <cellStyle name="Normal 3849 2" xfId="18192"/>
    <cellStyle name="Normal 3849 2 2" xfId="43442"/>
    <cellStyle name="Normal 3849 2 3" xfId="43443"/>
    <cellStyle name="Normal 3849 3" xfId="18193"/>
    <cellStyle name="Normal 3849 4" xfId="43444"/>
    <cellStyle name="Normal 385" xfId="18194"/>
    <cellStyle name="Normal 385 10" xfId="43445"/>
    <cellStyle name="Normal 385 2" xfId="18195"/>
    <cellStyle name="Normal 385 2 2" xfId="18196"/>
    <cellStyle name="Normal 385 2 2 2" xfId="18197"/>
    <cellStyle name="Normal 385 2 2 3" xfId="18198"/>
    <cellStyle name="Normal 385 2 3" xfId="18199"/>
    <cellStyle name="Normal 385 2 3 2" xfId="43446"/>
    <cellStyle name="Normal 385 2 3 3" xfId="43447"/>
    <cellStyle name="Normal 385 2 4" xfId="18200"/>
    <cellStyle name="Normal 385 2 5" xfId="18201"/>
    <cellStyle name="Normal 385 2 6" xfId="43448"/>
    <cellStyle name="Normal 385 2 7" xfId="43449"/>
    <cellStyle name="Normal 385 2 8" xfId="43450"/>
    <cellStyle name="Normal 385 3" xfId="18202"/>
    <cellStyle name="Normal 385 3 2" xfId="18203"/>
    <cellStyle name="Normal 385 3 2 2" xfId="43451"/>
    <cellStyle name="Normal 385 3 2 3" xfId="43452"/>
    <cellStyle name="Normal 385 3 3" xfId="18204"/>
    <cellStyle name="Normal 385 3 3 2" xfId="43453"/>
    <cellStyle name="Normal 385 3 3 3" xfId="43454"/>
    <cellStyle name="Normal 385 3 4" xfId="43455"/>
    <cellStyle name="Normal 385 3 5" xfId="43456"/>
    <cellStyle name="Normal 385 4" xfId="18205"/>
    <cellStyle name="Normal 385 4 2" xfId="43457"/>
    <cellStyle name="Normal 385 4 3" xfId="43458"/>
    <cellStyle name="Normal 385 5" xfId="18206"/>
    <cellStyle name="Normal 385 5 2" xfId="43459"/>
    <cellStyle name="Normal 385 5 3" xfId="43460"/>
    <cellStyle name="Normal 385 6" xfId="18207"/>
    <cellStyle name="Normal 385 7" xfId="43461"/>
    <cellStyle name="Normal 385 8" xfId="43462"/>
    <cellStyle name="Normal 385 9" xfId="43463"/>
    <cellStyle name="Normal 3850" xfId="18208"/>
    <cellStyle name="Normal 3850 2" xfId="18209"/>
    <cellStyle name="Normal 3850 2 2" xfId="43464"/>
    <cellStyle name="Normal 3850 2 3" xfId="43465"/>
    <cellStyle name="Normal 3850 3" xfId="18210"/>
    <cellStyle name="Normal 3850 4" xfId="43466"/>
    <cellStyle name="Normal 3851" xfId="18211"/>
    <cellStyle name="Normal 3851 2" xfId="18212"/>
    <cellStyle name="Normal 3851 2 2" xfId="43467"/>
    <cellStyle name="Normal 3851 2 3" xfId="43468"/>
    <cellStyle name="Normal 3851 3" xfId="18213"/>
    <cellStyle name="Normal 3851 4" xfId="43469"/>
    <cellStyle name="Normal 3852" xfId="18214"/>
    <cellStyle name="Normal 3852 2" xfId="18215"/>
    <cellStyle name="Normal 3852 2 2" xfId="43470"/>
    <cellStyle name="Normal 3852 2 3" xfId="43471"/>
    <cellStyle name="Normal 3852 3" xfId="18216"/>
    <cellStyle name="Normal 3852 4" xfId="43472"/>
    <cellStyle name="Normal 3853" xfId="18217"/>
    <cellStyle name="Normal 3853 2" xfId="18218"/>
    <cellStyle name="Normal 3853 2 2" xfId="43473"/>
    <cellStyle name="Normal 3853 2 3" xfId="43474"/>
    <cellStyle name="Normal 3853 3" xfId="18219"/>
    <cellStyle name="Normal 3853 4" xfId="43475"/>
    <cellStyle name="Normal 3854" xfId="18220"/>
    <cellStyle name="Normal 3854 2" xfId="18221"/>
    <cellStyle name="Normal 3854 2 2" xfId="43476"/>
    <cellStyle name="Normal 3854 2 3" xfId="43477"/>
    <cellStyle name="Normal 3854 3" xfId="18222"/>
    <cellStyle name="Normal 3854 4" xfId="43478"/>
    <cellStyle name="Normal 3855" xfId="18223"/>
    <cellStyle name="Normal 3855 2" xfId="18224"/>
    <cellStyle name="Normal 3855 2 2" xfId="43479"/>
    <cellStyle name="Normal 3855 2 3" xfId="43480"/>
    <cellStyle name="Normal 3855 3" xfId="18225"/>
    <cellStyle name="Normal 3855 4" xfId="43481"/>
    <cellStyle name="Normal 3856" xfId="18226"/>
    <cellStyle name="Normal 3856 2" xfId="18227"/>
    <cellStyle name="Normal 3856 2 2" xfId="43482"/>
    <cellStyle name="Normal 3856 2 3" xfId="43483"/>
    <cellStyle name="Normal 3856 3" xfId="18228"/>
    <cellStyle name="Normal 3856 4" xfId="43484"/>
    <cellStyle name="Normal 3857" xfId="18229"/>
    <cellStyle name="Normal 3857 2" xfId="18230"/>
    <cellStyle name="Normal 3857 2 2" xfId="43485"/>
    <cellStyle name="Normal 3857 2 3" xfId="43486"/>
    <cellStyle name="Normal 3857 3" xfId="18231"/>
    <cellStyle name="Normal 3857 4" xfId="43487"/>
    <cellStyle name="Normal 3858" xfId="18232"/>
    <cellStyle name="Normal 3858 2" xfId="18233"/>
    <cellStyle name="Normal 3858 2 2" xfId="43488"/>
    <cellStyle name="Normal 3858 2 3" xfId="43489"/>
    <cellStyle name="Normal 3858 3" xfId="18234"/>
    <cellStyle name="Normal 3858 4" xfId="43490"/>
    <cellStyle name="Normal 3859" xfId="18235"/>
    <cellStyle name="Normal 3859 2" xfId="18236"/>
    <cellStyle name="Normal 3859 2 2" xfId="43491"/>
    <cellStyle name="Normal 3859 2 3" xfId="43492"/>
    <cellStyle name="Normal 3859 3" xfId="18237"/>
    <cellStyle name="Normal 3859 4" xfId="43493"/>
    <cellStyle name="Normal 386" xfId="18238"/>
    <cellStyle name="Normal 386 10" xfId="43494"/>
    <cellStyle name="Normal 386 2" xfId="18239"/>
    <cellStyle name="Normal 386 2 2" xfId="18240"/>
    <cellStyle name="Normal 386 2 2 2" xfId="18241"/>
    <cellStyle name="Normal 386 2 2 3" xfId="18242"/>
    <cellStyle name="Normal 386 2 3" xfId="18243"/>
    <cellStyle name="Normal 386 2 3 2" xfId="43495"/>
    <cellStyle name="Normal 386 2 3 3" xfId="43496"/>
    <cellStyle name="Normal 386 2 4" xfId="18244"/>
    <cellStyle name="Normal 386 2 5" xfId="18245"/>
    <cellStyle name="Normal 386 2 6" xfId="43497"/>
    <cellStyle name="Normal 386 2 7" xfId="43498"/>
    <cellStyle name="Normal 386 2 8" xfId="43499"/>
    <cellStyle name="Normal 386 3" xfId="18246"/>
    <cellStyle name="Normal 386 3 2" xfId="18247"/>
    <cellStyle name="Normal 386 3 2 2" xfId="43500"/>
    <cellStyle name="Normal 386 3 2 3" xfId="43501"/>
    <cellStyle name="Normal 386 3 3" xfId="18248"/>
    <cellStyle name="Normal 386 3 3 2" xfId="43502"/>
    <cellStyle name="Normal 386 3 3 3" xfId="43503"/>
    <cellStyle name="Normal 386 3 4" xfId="43504"/>
    <cellStyle name="Normal 386 3 5" xfId="43505"/>
    <cellStyle name="Normal 386 4" xfId="18249"/>
    <cellStyle name="Normal 386 4 2" xfId="43506"/>
    <cellStyle name="Normal 386 4 3" xfId="43507"/>
    <cellStyle name="Normal 386 5" xfId="18250"/>
    <cellStyle name="Normal 386 5 2" xfId="43508"/>
    <cellStyle name="Normal 386 5 3" xfId="43509"/>
    <cellStyle name="Normal 386 6" xfId="18251"/>
    <cellStyle name="Normal 386 7" xfId="43510"/>
    <cellStyle name="Normal 386 8" xfId="43511"/>
    <cellStyle name="Normal 386 9" xfId="43512"/>
    <cellStyle name="Normal 3860" xfId="18252"/>
    <cellStyle name="Normal 3860 2" xfId="18253"/>
    <cellStyle name="Normal 3860 2 2" xfId="43513"/>
    <cellStyle name="Normal 3860 2 3" xfId="43514"/>
    <cellStyle name="Normal 3860 3" xfId="18254"/>
    <cellStyle name="Normal 3860 4" xfId="43515"/>
    <cellStyle name="Normal 3861" xfId="18255"/>
    <cellStyle name="Normal 3861 2" xfId="18256"/>
    <cellStyle name="Normal 3861 2 2" xfId="43516"/>
    <cellStyle name="Normal 3861 2 3" xfId="43517"/>
    <cellStyle name="Normal 3861 3" xfId="18257"/>
    <cellStyle name="Normal 3861 4" xfId="43518"/>
    <cellStyle name="Normal 3862" xfId="18258"/>
    <cellStyle name="Normal 3862 2" xfId="18259"/>
    <cellStyle name="Normal 3862 2 2" xfId="43519"/>
    <cellStyle name="Normal 3862 2 3" xfId="43520"/>
    <cellStyle name="Normal 3862 3" xfId="18260"/>
    <cellStyle name="Normal 3862 4" xfId="43521"/>
    <cellStyle name="Normal 3863" xfId="18261"/>
    <cellStyle name="Normal 3863 2" xfId="18262"/>
    <cellStyle name="Normal 3863 2 2" xfId="43522"/>
    <cellStyle name="Normal 3863 2 3" xfId="43523"/>
    <cellStyle name="Normal 3863 3" xfId="18263"/>
    <cellStyle name="Normal 3863 4" xfId="43524"/>
    <cellStyle name="Normal 3864" xfId="18264"/>
    <cellStyle name="Normal 3864 2" xfId="18265"/>
    <cellStyle name="Normal 3864 2 2" xfId="43525"/>
    <cellStyle name="Normal 3864 2 3" xfId="43526"/>
    <cellStyle name="Normal 3864 3" xfId="18266"/>
    <cellStyle name="Normal 3864 4" xfId="43527"/>
    <cellStyle name="Normal 3865" xfId="18267"/>
    <cellStyle name="Normal 3865 2" xfId="18268"/>
    <cellStyle name="Normal 3865 2 2" xfId="43528"/>
    <cellStyle name="Normal 3865 2 3" xfId="43529"/>
    <cellStyle name="Normal 3865 3" xfId="18269"/>
    <cellStyle name="Normal 3865 4" xfId="43530"/>
    <cellStyle name="Normal 3866" xfId="18270"/>
    <cellStyle name="Normal 3866 2" xfId="18271"/>
    <cellStyle name="Normal 3866 2 2" xfId="43531"/>
    <cellStyle name="Normal 3866 2 3" xfId="43532"/>
    <cellStyle name="Normal 3866 3" xfId="18272"/>
    <cellStyle name="Normal 3866 4" xfId="43533"/>
    <cellStyle name="Normal 3867" xfId="18273"/>
    <cellStyle name="Normal 3867 2" xfId="18274"/>
    <cellStyle name="Normal 3867 2 2" xfId="43534"/>
    <cellStyle name="Normal 3867 2 3" xfId="43535"/>
    <cellStyle name="Normal 3867 3" xfId="18275"/>
    <cellStyle name="Normal 3867 4" xfId="43536"/>
    <cellStyle name="Normal 3868" xfId="18276"/>
    <cellStyle name="Normal 3868 2" xfId="18277"/>
    <cellStyle name="Normal 3868 2 2" xfId="43537"/>
    <cellStyle name="Normal 3868 2 3" xfId="43538"/>
    <cellStyle name="Normal 3868 3" xfId="18278"/>
    <cellStyle name="Normal 3868 4" xfId="43539"/>
    <cellStyle name="Normal 3869" xfId="18279"/>
    <cellStyle name="Normal 3869 2" xfId="18280"/>
    <cellStyle name="Normal 3869 2 2" xfId="43540"/>
    <cellStyle name="Normal 3869 2 3" xfId="43541"/>
    <cellStyle name="Normal 3869 3" xfId="18281"/>
    <cellStyle name="Normal 3869 4" xfId="43542"/>
    <cellStyle name="Normal 387" xfId="18282"/>
    <cellStyle name="Normal 387 10" xfId="43543"/>
    <cellStyle name="Normal 387 2" xfId="18283"/>
    <cellStyle name="Normal 387 2 2" xfId="18284"/>
    <cellStyle name="Normal 387 2 2 2" xfId="18285"/>
    <cellStyle name="Normal 387 2 2 3" xfId="18286"/>
    <cellStyle name="Normal 387 2 3" xfId="18287"/>
    <cellStyle name="Normal 387 2 3 2" xfId="43544"/>
    <cellStyle name="Normal 387 2 3 3" xfId="43545"/>
    <cellStyle name="Normal 387 2 4" xfId="18288"/>
    <cellStyle name="Normal 387 2 5" xfId="18289"/>
    <cellStyle name="Normal 387 2 6" xfId="43546"/>
    <cellStyle name="Normal 387 2 7" xfId="43547"/>
    <cellStyle name="Normal 387 2 8" xfId="43548"/>
    <cellStyle name="Normal 387 3" xfId="18290"/>
    <cellStyle name="Normal 387 3 2" xfId="18291"/>
    <cellStyle name="Normal 387 3 2 2" xfId="43549"/>
    <cellStyle name="Normal 387 3 2 3" xfId="43550"/>
    <cellStyle name="Normal 387 3 3" xfId="18292"/>
    <cellStyle name="Normal 387 3 3 2" xfId="43551"/>
    <cellStyle name="Normal 387 3 3 3" xfId="43552"/>
    <cellStyle name="Normal 387 3 4" xfId="43553"/>
    <cellStyle name="Normal 387 3 5" xfId="43554"/>
    <cellStyle name="Normal 387 4" xfId="18293"/>
    <cellStyle name="Normal 387 4 2" xfId="43555"/>
    <cellStyle name="Normal 387 4 3" xfId="43556"/>
    <cellStyle name="Normal 387 5" xfId="18294"/>
    <cellStyle name="Normal 387 5 2" xfId="43557"/>
    <cellStyle name="Normal 387 5 3" xfId="43558"/>
    <cellStyle name="Normal 387 6" xfId="18295"/>
    <cellStyle name="Normal 387 7" xfId="43559"/>
    <cellStyle name="Normal 387 8" xfId="43560"/>
    <cellStyle name="Normal 387 9" xfId="43561"/>
    <cellStyle name="Normal 3870" xfId="18296"/>
    <cellStyle name="Normal 3870 2" xfId="18297"/>
    <cellStyle name="Normal 3870 2 2" xfId="43562"/>
    <cellStyle name="Normal 3870 2 3" xfId="43563"/>
    <cellStyle name="Normal 3870 3" xfId="18298"/>
    <cellStyle name="Normal 3870 4" xfId="43564"/>
    <cellStyle name="Normal 3871" xfId="18299"/>
    <cellStyle name="Normal 3871 2" xfId="18300"/>
    <cellStyle name="Normal 3871 2 2" xfId="43565"/>
    <cellStyle name="Normal 3871 2 3" xfId="43566"/>
    <cellStyle name="Normal 3871 3" xfId="18301"/>
    <cellStyle name="Normal 3871 4" xfId="43567"/>
    <cellStyle name="Normal 3872" xfId="18302"/>
    <cellStyle name="Normal 3872 2" xfId="18303"/>
    <cellStyle name="Normal 3872 2 2" xfId="43568"/>
    <cellStyle name="Normal 3872 2 3" xfId="43569"/>
    <cellStyle name="Normal 3872 3" xfId="18304"/>
    <cellStyle name="Normal 3872 4" xfId="43570"/>
    <cellStyle name="Normal 3873" xfId="18305"/>
    <cellStyle name="Normal 3873 2" xfId="18306"/>
    <cellStyle name="Normal 3873 2 2" xfId="43571"/>
    <cellStyle name="Normal 3873 2 3" xfId="43572"/>
    <cellStyle name="Normal 3873 3" xfId="18307"/>
    <cellStyle name="Normal 3873 4" xfId="43573"/>
    <cellStyle name="Normal 3874" xfId="18308"/>
    <cellStyle name="Normal 3874 2" xfId="18309"/>
    <cellStyle name="Normal 3874 2 2" xfId="43574"/>
    <cellStyle name="Normal 3874 2 3" xfId="43575"/>
    <cellStyle name="Normal 3874 3" xfId="18310"/>
    <cellStyle name="Normal 3874 4" xfId="43576"/>
    <cellStyle name="Normal 3875" xfId="18311"/>
    <cellStyle name="Normal 3875 2" xfId="18312"/>
    <cellStyle name="Normal 3875 2 2" xfId="43577"/>
    <cellStyle name="Normal 3875 2 3" xfId="43578"/>
    <cellStyle name="Normal 3875 3" xfId="18313"/>
    <cellStyle name="Normal 3875 4" xfId="43579"/>
    <cellStyle name="Normal 3876" xfId="18314"/>
    <cellStyle name="Normal 3876 2" xfId="18315"/>
    <cellStyle name="Normal 3876 2 2" xfId="43580"/>
    <cellStyle name="Normal 3876 2 3" xfId="43581"/>
    <cellStyle name="Normal 3876 3" xfId="18316"/>
    <cellStyle name="Normal 3876 4" xfId="43582"/>
    <cellStyle name="Normal 3877" xfId="18317"/>
    <cellStyle name="Normal 3877 2" xfId="18318"/>
    <cellStyle name="Normal 3877 2 2" xfId="43583"/>
    <cellStyle name="Normal 3877 2 3" xfId="43584"/>
    <cellStyle name="Normal 3877 3" xfId="18319"/>
    <cellStyle name="Normal 3877 4" xfId="43585"/>
    <cellStyle name="Normal 3878" xfId="18320"/>
    <cellStyle name="Normal 3878 2" xfId="18321"/>
    <cellStyle name="Normal 3878 2 2" xfId="43586"/>
    <cellStyle name="Normal 3878 2 3" xfId="43587"/>
    <cellStyle name="Normal 3878 3" xfId="18322"/>
    <cellStyle name="Normal 3878 4" xfId="43588"/>
    <cellStyle name="Normal 3879" xfId="18323"/>
    <cellStyle name="Normal 3879 2" xfId="18324"/>
    <cellStyle name="Normal 3879 2 2" xfId="43589"/>
    <cellStyle name="Normal 3879 2 3" xfId="43590"/>
    <cellStyle name="Normal 3879 3" xfId="43591"/>
    <cellStyle name="Normal 3879 4" xfId="43592"/>
    <cellStyle name="Normal 388" xfId="18325"/>
    <cellStyle name="Normal 388 10" xfId="43593"/>
    <cellStyle name="Normal 388 2" xfId="18326"/>
    <cellStyle name="Normal 388 2 2" xfId="18327"/>
    <cellStyle name="Normal 388 2 2 2" xfId="18328"/>
    <cellStyle name="Normal 388 2 2 3" xfId="18329"/>
    <cellStyle name="Normal 388 2 3" xfId="18330"/>
    <cellStyle name="Normal 388 2 3 2" xfId="43594"/>
    <cellStyle name="Normal 388 2 3 3" xfId="43595"/>
    <cellStyle name="Normal 388 2 4" xfId="18331"/>
    <cellStyle name="Normal 388 2 5" xfId="18332"/>
    <cellStyle name="Normal 388 2 6" xfId="43596"/>
    <cellStyle name="Normal 388 2 7" xfId="43597"/>
    <cellStyle name="Normal 388 2 8" xfId="43598"/>
    <cellStyle name="Normal 388 3" xfId="18333"/>
    <cellStyle name="Normal 388 3 2" xfId="18334"/>
    <cellStyle name="Normal 388 3 2 2" xfId="43599"/>
    <cellStyle name="Normal 388 3 2 3" xfId="43600"/>
    <cellStyle name="Normal 388 3 3" xfId="18335"/>
    <cellStyle name="Normal 388 3 3 2" xfId="43601"/>
    <cellStyle name="Normal 388 3 3 3" xfId="43602"/>
    <cellStyle name="Normal 388 3 4" xfId="43603"/>
    <cellStyle name="Normal 388 3 5" xfId="43604"/>
    <cellStyle name="Normal 388 4" xfId="18336"/>
    <cellStyle name="Normal 388 4 2" xfId="43605"/>
    <cellStyle name="Normal 388 4 3" xfId="43606"/>
    <cellStyle name="Normal 388 5" xfId="18337"/>
    <cellStyle name="Normal 388 5 2" xfId="43607"/>
    <cellStyle name="Normal 388 5 3" xfId="43608"/>
    <cellStyle name="Normal 388 6" xfId="18338"/>
    <cellStyle name="Normal 388 7" xfId="43609"/>
    <cellStyle name="Normal 388 8" xfId="43610"/>
    <cellStyle name="Normal 388 9" xfId="43611"/>
    <cellStyle name="Normal 3880" xfId="18339"/>
    <cellStyle name="Normal 3880 2" xfId="18340"/>
    <cellStyle name="Normal 3880 2 2" xfId="43612"/>
    <cellStyle name="Normal 3880 2 3" xfId="43613"/>
    <cellStyle name="Normal 3880 3" xfId="18341"/>
    <cellStyle name="Normal 3880 4" xfId="43614"/>
    <cellStyle name="Normal 3881" xfId="18342"/>
    <cellStyle name="Normal 3881 2" xfId="18343"/>
    <cellStyle name="Normal 3881 2 2" xfId="43615"/>
    <cellStyle name="Normal 3881 2 3" xfId="43616"/>
    <cellStyle name="Normal 3881 3" xfId="18344"/>
    <cellStyle name="Normal 3881 4" xfId="43617"/>
    <cellStyle name="Normal 3882" xfId="18345"/>
    <cellStyle name="Normal 3882 2" xfId="18346"/>
    <cellStyle name="Normal 3882 2 2" xfId="43618"/>
    <cellStyle name="Normal 3882 2 3" xfId="43619"/>
    <cellStyle name="Normal 3882 3" xfId="18347"/>
    <cellStyle name="Normal 3882 4" xfId="43620"/>
    <cellStyle name="Normal 3883" xfId="18348"/>
    <cellStyle name="Normal 3883 2" xfId="18349"/>
    <cellStyle name="Normal 3883 2 2" xfId="43621"/>
    <cellStyle name="Normal 3883 2 3" xfId="43622"/>
    <cellStyle name="Normal 3883 3" xfId="18350"/>
    <cellStyle name="Normal 3883 4" xfId="43623"/>
    <cellStyle name="Normal 3884" xfId="18351"/>
    <cellStyle name="Normal 3884 2" xfId="18352"/>
    <cellStyle name="Normal 3884 2 2" xfId="43624"/>
    <cellStyle name="Normal 3884 2 3" xfId="43625"/>
    <cellStyle name="Normal 3884 3" xfId="18353"/>
    <cellStyle name="Normal 3884 4" xfId="43626"/>
    <cellStyle name="Normal 3885" xfId="18354"/>
    <cellStyle name="Normal 3885 2" xfId="18355"/>
    <cellStyle name="Normal 3885 2 2" xfId="43627"/>
    <cellStyle name="Normal 3885 2 3" xfId="43628"/>
    <cellStyle name="Normal 3885 3" xfId="18356"/>
    <cellStyle name="Normal 3885 4" xfId="43629"/>
    <cellStyle name="Normal 3886" xfId="18357"/>
    <cellStyle name="Normal 3886 2" xfId="18358"/>
    <cellStyle name="Normal 3886 2 2" xfId="43630"/>
    <cellStyle name="Normal 3886 2 3" xfId="43631"/>
    <cellStyle name="Normal 3886 3" xfId="18359"/>
    <cellStyle name="Normal 3886 4" xfId="43632"/>
    <cellStyle name="Normal 3887" xfId="18360"/>
    <cellStyle name="Normal 3887 2" xfId="18361"/>
    <cellStyle name="Normal 3887 2 2" xfId="43633"/>
    <cellStyle name="Normal 3887 2 3" xfId="43634"/>
    <cellStyle name="Normal 3887 3" xfId="18362"/>
    <cellStyle name="Normal 3887 4" xfId="43635"/>
    <cellStyle name="Normal 3888" xfId="18363"/>
    <cellStyle name="Normal 3888 2" xfId="18364"/>
    <cellStyle name="Normal 3888 2 2" xfId="43636"/>
    <cellStyle name="Normal 3888 2 3" xfId="43637"/>
    <cellStyle name="Normal 3888 3" xfId="18365"/>
    <cellStyle name="Normal 3888 4" xfId="43638"/>
    <cellStyle name="Normal 3889" xfId="18366"/>
    <cellStyle name="Normal 3889 2" xfId="18367"/>
    <cellStyle name="Normal 3889 2 2" xfId="43639"/>
    <cellStyle name="Normal 3889 2 3" xfId="43640"/>
    <cellStyle name="Normal 3889 3" xfId="18368"/>
    <cellStyle name="Normal 3889 4" xfId="43641"/>
    <cellStyle name="Normal 389" xfId="18369"/>
    <cellStyle name="Normal 389 10" xfId="43642"/>
    <cellStyle name="Normal 389 2" xfId="18370"/>
    <cellStyle name="Normal 389 2 2" xfId="18371"/>
    <cellStyle name="Normal 389 2 2 2" xfId="18372"/>
    <cellStyle name="Normal 389 2 2 3" xfId="18373"/>
    <cellStyle name="Normal 389 2 3" xfId="18374"/>
    <cellStyle name="Normal 389 2 3 2" xfId="43643"/>
    <cellStyle name="Normal 389 2 3 3" xfId="43644"/>
    <cellStyle name="Normal 389 2 4" xfId="18375"/>
    <cellStyle name="Normal 389 2 5" xfId="18376"/>
    <cellStyle name="Normal 389 2 6" xfId="43645"/>
    <cellStyle name="Normal 389 2 7" xfId="43646"/>
    <cellStyle name="Normal 389 2 8" xfId="43647"/>
    <cellStyle name="Normal 389 3" xfId="18377"/>
    <cellStyle name="Normal 389 3 2" xfId="18378"/>
    <cellStyle name="Normal 389 3 2 2" xfId="43648"/>
    <cellStyle name="Normal 389 3 2 3" xfId="43649"/>
    <cellStyle name="Normal 389 3 3" xfId="18379"/>
    <cellStyle name="Normal 389 3 3 2" xfId="43650"/>
    <cellStyle name="Normal 389 3 3 3" xfId="43651"/>
    <cellStyle name="Normal 389 3 4" xfId="43652"/>
    <cellStyle name="Normal 389 3 5" xfId="43653"/>
    <cellStyle name="Normal 389 4" xfId="18380"/>
    <cellStyle name="Normal 389 4 2" xfId="43654"/>
    <cellStyle name="Normal 389 4 3" xfId="43655"/>
    <cellStyle name="Normal 389 5" xfId="18381"/>
    <cellStyle name="Normal 389 5 2" xfId="43656"/>
    <cellStyle name="Normal 389 5 3" xfId="43657"/>
    <cellStyle name="Normal 389 6" xfId="18382"/>
    <cellStyle name="Normal 389 7" xfId="43658"/>
    <cellStyle name="Normal 389 8" xfId="43659"/>
    <cellStyle name="Normal 389 9" xfId="43660"/>
    <cellStyle name="Normal 3890" xfId="18383"/>
    <cellStyle name="Normal 3890 2" xfId="18384"/>
    <cellStyle name="Normal 3890 2 2" xfId="43661"/>
    <cellStyle name="Normal 3890 2 3" xfId="43662"/>
    <cellStyle name="Normal 3890 3" xfId="18385"/>
    <cellStyle name="Normal 3890 4" xfId="43663"/>
    <cellStyle name="Normal 3891" xfId="18386"/>
    <cellStyle name="Normal 3891 2" xfId="18387"/>
    <cellStyle name="Normal 3891 2 2" xfId="43664"/>
    <cellStyle name="Normal 3891 2 3" xfId="43665"/>
    <cellStyle name="Normal 3891 3" xfId="18388"/>
    <cellStyle name="Normal 3891 4" xfId="43666"/>
    <cellStyle name="Normal 3892" xfId="18389"/>
    <cellStyle name="Normal 3892 2" xfId="18390"/>
    <cellStyle name="Normal 3892 2 2" xfId="43667"/>
    <cellStyle name="Normal 3892 2 3" xfId="43668"/>
    <cellStyle name="Normal 3892 3" xfId="18391"/>
    <cellStyle name="Normal 3892 4" xfId="43669"/>
    <cellStyle name="Normal 3893" xfId="18392"/>
    <cellStyle name="Normal 3893 2" xfId="18393"/>
    <cellStyle name="Normal 3893 2 2" xfId="43670"/>
    <cellStyle name="Normal 3893 2 3" xfId="43671"/>
    <cellStyle name="Normal 3893 3" xfId="18394"/>
    <cellStyle name="Normal 3893 4" xfId="43672"/>
    <cellStyle name="Normal 3894" xfId="18395"/>
    <cellStyle name="Normal 3894 2" xfId="18396"/>
    <cellStyle name="Normal 3894 2 2" xfId="43673"/>
    <cellStyle name="Normal 3894 2 3" xfId="43674"/>
    <cellStyle name="Normal 3894 3" xfId="18397"/>
    <cellStyle name="Normal 3894 4" xfId="43675"/>
    <cellStyle name="Normal 3895" xfId="18398"/>
    <cellStyle name="Normal 3895 2" xfId="18399"/>
    <cellStyle name="Normal 3895 2 2" xfId="43676"/>
    <cellStyle name="Normal 3895 2 3" xfId="43677"/>
    <cellStyle name="Normal 3895 3" xfId="18400"/>
    <cellStyle name="Normal 3895 4" xfId="43678"/>
    <cellStyle name="Normal 3896" xfId="18401"/>
    <cellStyle name="Normal 3896 2" xfId="18402"/>
    <cellStyle name="Normal 3896 2 2" xfId="43679"/>
    <cellStyle name="Normal 3896 2 3" xfId="43680"/>
    <cellStyle name="Normal 3896 3" xfId="18403"/>
    <cellStyle name="Normal 3896 4" xfId="43681"/>
    <cellStyle name="Normal 3897" xfId="18404"/>
    <cellStyle name="Normal 3897 2" xfId="18405"/>
    <cellStyle name="Normal 3897 2 2" xfId="43682"/>
    <cellStyle name="Normal 3897 2 3" xfId="43683"/>
    <cellStyle name="Normal 3897 3" xfId="18406"/>
    <cellStyle name="Normal 3897 4" xfId="43684"/>
    <cellStyle name="Normal 3898" xfId="18407"/>
    <cellStyle name="Normal 3898 2" xfId="18408"/>
    <cellStyle name="Normal 3898 2 2" xfId="43685"/>
    <cellStyle name="Normal 3898 2 3" xfId="43686"/>
    <cellStyle name="Normal 3898 3" xfId="18409"/>
    <cellStyle name="Normal 3898 4" xfId="43687"/>
    <cellStyle name="Normal 3899" xfId="18410"/>
    <cellStyle name="Normal 3899 2" xfId="18411"/>
    <cellStyle name="Normal 3899 2 2" xfId="43688"/>
    <cellStyle name="Normal 3899 2 3" xfId="43689"/>
    <cellStyle name="Normal 3899 3" xfId="18412"/>
    <cellStyle name="Normal 3899 4" xfId="43690"/>
    <cellStyle name="Normal 39" xfId="18413"/>
    <cellStyle name="Normal 39 10" xfId="43691"/>
    <cellStyle name="Normal 39 2" xfId="18414"/>
    <cellStyle name="Normal 39 2 2" xfId="18415"/>
    <cellStyle name="Normal 39 2 2 2" xfId="18416"/>
    <cellStyle name="Normal 39 2 2 3" xfId="18417"/>
    <cellStyle name="Normal 39 2 3" xfId="18418"/>
    <cellStyle name="Normal 39 2 3 2" xfId="43692"/>
    <cellStyle name="Normal 39 2 3 3" xfId="43693"/>
    <cellStyle name="Normal 39 2 4" xfId="18419"/>
    <cellStyle name="Normal 39 2 5" xfId="18420"/>
    <cellStyle name="Normal 39 2 6" xfId="43694"/>
    <cellStyle name="Normal 39 2 7" xfId="43695"/>
    <cellStyle name="Normal 39 2 8" xfId="43696"/>
    <cellStyle name="Normal 39 3" xfId="18421"/>
    <cellStyle name="Normal 39 3 2" xfId="18422"/>
    <cellStyle name="Normal 39 3 2 2" xfId="43697"/>
    <cellStyle name="Normal 39 3 2 3" xfId="43698"/>
    <cellStyle name="Normal 39 3 3" xfId="18423"/>
    <cellStyle name="Normal 39 3 3 2" xfId="43699"/>
    <cellStyle name="Normal 39 3 3 3" xfId="43700"/>
    <cellStyle name="Normal 39 3 4" xfId="18424"/>
    <cellStyle name="Normal 39 3 5" xfId="43701"/>
    <cellStyle name="Normal 39 4" xfId="18425"/>
    <cellStyle name="Normal 39 4 2" xfId="43702"/>
    <cellStyle name="Normal 39 4 3" xfId="43703"/>
    <cellStyle name="Normal 39 5" xfId="18426"/>
    <cellStyle name="Normal 39 5 2" xfId="43704"/>
    <cellStyle name="Normal 39 5 3" xfId="43705"/>
    <cellStyle name="Normal 39 6" xfId="18427"/>
    <cellStyle name="Normal 39 7" xfId="43706"/>
    <cellStyle name="Normal 39 8" xfId="43707"/>
    <cellStyle name="Normal 39 9" xfId="43708"/>
    <cellStyle name="Normal 390" xfId="18428"/>
    <cellStyle name="Normal 390 10" xfId="43709"/>
    <cellStyle name="Normal 390 2" xfId="18429"/>
    <cellStyle name="Normal 390 2 2" xfId="18430"/>
    <cellStyle name="Normal 390 2 2 2" xfId="18431"/>
    <cellStyle name="Normal 390 2 2 3" xfId="18432"/>
    <cellStyle name="Normal 390 2 3" xfId="18433"/>
    <cellStyle name="Normal 390 2 3 2" xfId="43710"/>
    <cellStyle name="Normal 390 2 3 3" xfId="43711"/>
    <cellStyle name="Normal 390 2 4" xfId="18434"/>
    <cellStyle name="Normal 390 2 5" xfId="18435"/>
    <cellStyle name="Normal 390 2 6" xfId="43712"/>
    <cellStyle name="Normal 390 2 7" xfId="43713"/>
    <cellStyle name="Normal 390 2 8" xfId="43714"/>
    <cellStyle name="Normal 390 3" xfId="18436"/>
    <cellStyle name="Normal 390 3 2" xfId="18437"/>
    <cellStyle name="Normal 390 3 2 2" xfId="43715"/>
    <cellStyle name="Normal 390 3 2 3" xfId="43716"/>
    <cellStyle name="Normal 390 3 3" xfId="18438"/>
    <cellStyle name="Normal 390 3 3 2" xfId="43717"/>
    <cellStyle name="Normal 390 3 3 3" xfId="43718"/>
    <cellStyle name="Normal 390 3 4" xfId="43719"/>
    <cellStyle name="Normal 390 3 5" xfId="43720"/>
    <cellStyle name="Normal 390 4" xfId="18439"/>
    <cellStyle name="Normal 390 4 2" xfId="43721"/>
    <cellStyle name="Normal 390 4 3" xfId="43722"/>
    <cellStyle name="Normal 390 5" xfId="18440"/>
    <cellStyle name="Normal 390 5 2" xfId="43723"/>
    <cellStyle name="Normal 390 5 3" xfId="43724"/>
    <cellStyle name="Normal 390 6" xfId="18441"/>
    <cellStyle name="Normal 390 7" xfId="43725"/>
    <cellStyle name="Normal 390 8" xfId="43726"/>
    <cellStyle name="Normal 390 9" xfId="43727"/>
    <cellStyle name="Normal 3900" xfId="18442"/>
    <cellStyle name="Normal 3900 2" xfId="18443"/>
    <cellStyle name="Normal 3900 2 2" xfId="43728"/>
    <cellStyle name="Normal 3900 2 3" xfId="43729"/>
    <cellStyle name="Normal 3900 3" xfId="18444"/>
    <cellStyle name="Normal 3900 4" xfId="43730"/>
    <cellStyle name="Normal 3901" xfId="18445"/>
    <cellStyle name="Normal 3901 2" xfId="18446"/>
    <cellStyle name="Normal 3901 2 2" xfId="43731"/>
    <cellStyle name="Normal 3901 2 3" xfId="43732"/>
    <cellStyle name="Normal 3901 3" xfId="18447"/>
    <cellStyle name="Normal 3901 4" xfId="43733"/>
    <cellStyle name="Normal 3902" xfId="18448"/>
    <cellStyle name="Normal 3902 2" xfId="18449"/>
    <cellStyle name="Normal 3902 2 2" xfId="43734"/>
    <cellStyle name="Normal 3902 2 3" xfId="43735"/>
    <cellStyle name="Normal 3902 3" xfId="18450"/>
    <cellStyle name="Normal 3902 4" xfId="43736"/>
    <cellStyle name="Normal 3903" xfId="18451"/>
    <cellStyle name="Normal 3903 2" xfId="18452"/>
    <cellStyle name="Normal 3903 2 2" xfId="43737"/>
    <cellStyle name="Normal 3903 2 3" xfId="43738"/>
    <cellStyle name="Normal 3903 3" xfId="18453"/>
    <cellStyle name="Normal 3903 4" xfId="43739"/>
    <cellStyle name="Normal 3904" xfId="18454"/>
    <cellStyle name="Normal 3904 2" xfId="18455"/>
    <cellStyle name="Normal 3904 2 2" xfId="43740"/>
    <cellStyle name="Normal 3904 2 3" xfId="43741"/>
    <cellStyle name="Normal 3904 3" xfId="18456"/>
    <cellStyle name="Normal 3904 4" xfId="43742"/>
    <cellStyle name="Normal 3905" xfId="18457"/>
    <cellStyle name="Normal 3905 2" xfId="18458"/>
    <cellStyle name="Normal 3905 2 2" xfId="43743"/>
    <cellStyle name="Normal 3905 2 3" xfId="43744"/>
    <cellStyle name="Normal 3905 3" xfId="18459"/>
    <cellStyle name="Normal 3905 4" xfId="43745"/>
    <cellStyle name="Normal 3906" xfId="18460"/>
    <cellStyle name="Normal 3906 2" xfId="18461"/>
    <cellStyle name="Normal 3906 2 2" xfId="43746"/>
    <cellStyle name="Normal 3906 2 3" xfId="43747"/>
    <cellStyle name="Normal 3906 3" xfId="18462"/>
    <cellStyle name="Normal 3906 4" xfId="43748"/>
    <cellStyle name="Normal 3907" xfId="18463"/>
    <cellStyle name="Normal 3907 2" xfId="18464"/>
    <cellStyle name="Normal 3907 2 2" xfId="43749"/>
    <cellStyle name="Normal 3907 2 3" xfId="43750"/>
    <cellStyle name="Normal 3907 3" xfId="18465"/>
    <cellStyle name="Normal 3907 4" xfId="43751"/>
    <cellStyle name="Normal 3908" xfId="18466"/>
    <cellStyle name="Normal 3908 2" xfId="18467"/>
    <cellStyle name="Normal 3908 2 2" xfId="43752"/>
    <cellStyle name="Normal 3908 2 3" xfId="43753"/>
    <cellStyle name="Normal 3908 3" xfId="18468"/>
    <cellStyle name="Normal 3908 4" xfId="43754"/>
    <cellStyle name="Normal 3909" xfId="18469"/>
    <cellStyle name="Normal 3909 2" xfId="18470"/>
    <cellStyle name="Normal 3909 2 2" xfId="43755"/>
    <cellStyle name="Normal 3909 2 3" xfId="43756"/>
    <cellStyle name="Normal 3909 3" xfId="18471"/>
    <cellStyle name="Normal 3909 4" xfId="43757"/>
    <cellStyle name="Normal 391" xfId="18472"/>
    <cellStyle name="Normal 391 10" xfId="43758"/>
    <cellStyle name="Normal 391 2" xfId="18473"/>
    <cellStyle name="Normal 391 2 2" xfId="18474"/>
    <cellStyle name="Normal 391 2 2 2" xfId="18475"/>
    <cellStyle name="Normal 391 2 2 3" xfId="18476"/>
    <cellStyle name="Normal 391 2 3" xfId="18477"/>
    <cellStyle name="Normal 391 2 3 2" xfId="43759"/>
    <cellStyle name="Normal 391 2 3 3" xfId="43760"/>
    <cellStyle name="Normal 391 2 4" xfId="18478"/>
    <cellStyle name="Normal 391 2 5" xfId="18479"/>
    <cellStyle name="Normal 391 2 6" xfId="43761"/>
    <cellStyle name="Normal 391 2 7" xfId="43762"/>
    <cellStyle name="Normal 391 2 8" xfId="43763"/>
    <cellStyle name="Normal 391 3" xfId="18480"/>
    <cellStyle name="Normal 391 3 2" xfId="18481"/>
    <cellStyle name="Normal 391 3 2 2" xfId="43764"/>
    <cellStyle name="Normal 391 3 2 3" xfId="43765"/>
    <cellStyle name="Normal 391 3 3" xfId="18482"/>
    <cellStyle name="Normal 391 3 3 2" xfId="43766"/>
    <cellStyle name="Normal 391 3 3 3" xfId="43767"/>
    <cellStyle name="Normal 391 3 4" xfId="43768"/>
    <cellStyle name="Normal 391 3 5" xfId="43769"/>
    <cellStyle name="Normal 391 4" xfId="18483"/>
    <cellStyle name="Normal 391 4 2" xfId="43770"/>
    <cellStyle name="Normal 391 4 3" xfId="43771"/>
    <cellStyle name="Normal 391 5" xfId="18484"/>
    <cellStyle name="Normal 391 5 2" xfId="43772"/>
    <cellStyle name="Normal 391 5 3" xfId="43773"/>
    <cellStyle name="Normal 391 6" xfId="18485"/>
    <cellStyle name="Normal 391 7" xfId="43774"/>
    <cellStyle name="Normal 391 8" xfId="43775"/>
    <cellStyle name="Normal 391 9" xfId="43776"/>
    <cellStyle name="Normal 3910" xfId="18486"/>
    <cellStyle name="Normal 3910 2" xfId="18487"/>
    <cellStyle name="Normal 3910 2 2" xfId="43777"/>
    <cellStyle name="Normal 3910 2 3" xfId="43778"/>
    <cellStyle name="Normal 3910 3" xfId="18488"/>
    <cellStyle name="Normal 3910 4" xfId="43779"/>
    <cellStyle name="Normal 3911" xfId="18489"/>
    <cellStyle name="Normal 3911 2" xfId="18490"/>
    <cellStyle name="Normal 3911 2 2" xfId="43780"/>
    <cellStyle name="Normal 3911 2 3" xfId="43781"/>
    <cellStyle name="Normal 3911 3" xfId="18491"/>
    <cellStyle name="Normal 3911 4" xfId="43782"/>
    <cellStyle name="Normal 3912" xfId="18492"/>
    <cellStyle name="Normal 3912 2" xfId="18493"/>
    <cellStyle name="Normal 3912 2 2" xfId="43783"/>
    <cellStyle name="Normal 3912 2 3" xfId="43784"/>
    <cellStyle name="Normal 3912 3" xfId="18494"/>
    <cellStyle name="Normal 3912 4" xfId="43785"/>
    <cellStyle name="Normal 3913" xfId="18495"/>
    <cellStyle name="Normal 3913 2" xfId="18496"/>
    <cellStyle name="Normal 3913 2 2" xfId="43786"/>
    <cellStyle name="Normal 3913 2 3" xfId="43787"/>
    <cellStyle name="Normal 3913 3" xfId="18497"/>
    <cellStyle name="Normal 3913 4" xfId="43788"/>
    <cellStyle name="Normal 3914" xfId="18498"/>
    <cellStyle name="Normal 3914 2" xfId="18499"/>
    <cellStyle name="Normal 3914 2 2" xfId="43789"/>
    <cellStyle name="Normal 3914 2 3" xfId="43790"/>
    <cellStyle name="Normal 3914 3" xfId="18500"/>
    <cellStyle name="Normal 3914 4" xfId="43791"/>
    <cellStyle name="Normal 3915" xfId="18501"/>
    <cellStyle name="Normal 3915 2" xfId="18502"/>
    <cellStyle name="Normal 3915 2 2" xfId="43792"/>
    <cellStyle name="Normal 3915 2 3" xfId="43793"/>
    <cellStyle name="Normal 3915 3" xfId="18503"/>
    <cellStyle name="Normal 3915 4" xfId="43794"/>
    <cellStyle name="Normal 3916" xfId="18504"/>
    <cellStyle name="Normal 3916 2" xfId="18505"/>
    <cellStyle name="Normal 3916 2 2" xfId="43795"/>
    <cellStyle name="Normal 3916 2 3" xfId="43796"/>
    <cellStyle name="Normal 3916 3" xfId="18506"/>
    <cellStyle name="Normal 3916 4" xfId="43797"/>
    <cellStyle name="Normal 3917" xfId="18507"/>
    <cellStyle name="Normal 3917 2" xfId="18508"/>
    <cellStyle name="Normal 3917 2 2" xfId="43798"/>
    <cellStyle name="Normal 3917 2 3" xfId="43799"/>
    <cellStyle name="Normal 3917 3" xfId="18509"/>
    <cellStyle name="Normal 3917 4" xfId="43800"/>
    <cellStyle name="Normal 3918" xfId="18510"/>
    <cellStyle name="Normal 3918 2" xfId="18511"/>
    <cellStyle name="Normal 3918 2 2" xfId="43801"/>
    <cellStyle name="Normal 3918 2 3" xfId="43802"/>
    <cellStyle name="Normal 3918 3" xfId="18512"/>
    <cellStyle name="Normal 3918 4" xfId="43803"/>
    <cellStyle name="Normal 3919" xfId="18513"/>
    <cellStyle name="Normal 3919 2" xfId="18514"/>
    <cellStyle name="Normal 3919 2 2" xfId="43804"/>
    <cellStyle name="Normal 3919 2 3" xfId="43805"/>
    <cellStyle name="Normal 3919 3" xfId="18515"/>
    <cellStyle name="Normal 3919 4" xfId="43806"/>
    <cellStyle name="Normal 392" xfId="18516"/>
    <cellStyle name="Normal 392 10" xfId="43807"/>
    <cellStyle name="Normal 392 2" xfId="18517"/>
    <cellStyle name="Normal 392 2 2" xfId="18518"/>
    <cellStyle name="Normal 392 2 2 2" xfId="18519"/>
    <cellStyle name="Normal 392 2 2 3" xfId="18520"/>
    <cellStyle name="Normal 392 2 3" xfId="18521"/>
    <cellStyle name="Normal 392 2 3 2" xfId="43808"/>
    <cellStyle name="Normal 392 2 3 3" xfId="43809"/>
    <cellStyle name="Normal 392 2 4" xfId="18522"/>
    <cellStyle name="Normal 392 2 5" xfId="18523"/>
    <cellStyle name="Normal 392 2 6" xfId="43810"/>
    <cellStyle name="Normal 392 2 7" xfId="43811"/>
    <cellStyle name="Normal 392 2 8" xfId="43812"/>
    <cellStyle name="Normal 392 3" xfId="18524"/>
    <cellStyle name="Normal 392 3 2" xfId="18525"/>
    <cellStyle name="Normal 392 3 2 2" xfId="43813"/>
    <cellStyle name="Normal 392 3 2 3" xfId="43814"/>
    <cellStyle name="Normal 392 3 3" xfId="18526"/>
    <cellStyle name="Normal 392 3 3 2" xfId="43815"/>
    <cellStyle name="Normal 392 3 3 3" xfId="43816"/>
    <cellStyle name="Normal 392 3 4" xfId="43817"/>
    <cellStyle name="Normal 392 3 5" xfId="43818"/>
    <cellStyle name="Normal 392 4" xfId="18527"/>
    <cellStyle name="Normal 392 4 2" xfId="43819"/>
    <cellStyle name="Normal 392 4 3" xfId="43820"/>
    <cellStyle name="Normal 392 5" xfId="18528"/>
    <cellStyle name="Normal 392 5 2" xfId="43821"/>
    <cellStyle name="Normal 392 5 3" xfId="43822"/>
    <cellStyle name="Normal 392 6" xfId="18529"/>
    <cellStyle name="Normal 392 7" xfId="43823"/>
    <cellStyle name="Normal 392 8" xfId="43824"/>
    <cellStyle name="Normal 392 9" xfId="43825"/>
    <cellStyle name="Normal 3920" xfId="18530"/>
    <cellStyle name="Normal 3920 2" xfId="18531"/>
    <cellStyle name="Normal 3920 2 2" xfId="43826"/>
    <cellStyle name="Normal 3920 2 3" xfId="43827"/>
    <cellStyle name="Normal 3920 3" xfId="18532"/>
    <cellStyle name="Normal 3920 4" xfId="43828"/>
    <cellStyle name="Normal 3921" xfId="18533"/>
    <cellStyle name="Normal 3921 2" xfId="18534"/>
    <cellStyle name="Normal 3921 2 2" xfId="43829"/>
    <cellStyle name="Normal 3921 2 3" xfId="43830"/>
    <cellStyle name="Normal 3921 3" xfId="18535"/>
    <cellStyle name="Normal 3921 4" xfId="43831"/>
    <cellStyle name="Normal 3922" xfId="18536"/>
    <cellStyle name="Normal 3922 2" xfId="18537"/>
    <cellStyle name="Normal 3922 2 2" xfId="43832"/>
    <cellStyle name="Normal 3922 2 3" xfId="43833"/>
    <cellStyle name="Normal 3922 3" xfId="18538"/>
    <cellStyle name="Normal 3922 4" xfId="43834"/>
    <cellStyle name="Normal 3923" xfId="18539"/>
    <cellStyle name="Normal 3923 2" xfId="18540"/>
    <cellStyle name="Normal 3923 2 2" xfId="43835"/>
    <cellStyle name="Normal 3923 2 3" xfId="43836"/>
    <cellStyle name="Normal 3923 3" xfId="18541"/>
    <cellStyle name="Normal 3923 4" xfId="43837"/>
    <cellStyle name="Normal 3924" xfId="18542"/>
    <cellStyle name="Normal 3924 2" xfId="18543"/>
    <cellStyle name="Normal 3924 2 2" xfId="43838"/>
    <cellStyle name="Normal 3924 2 3" xfId="43839"/>
    <cellStyle name="Normal 3924 3" xfId="18544"/>
    <cellStyle name="Normal 3924 4" xfId="43840"/>
    <cellStyle name="Normal 3925" xfId="18545"/>
    <cellStyle name="Normal 3925 2" xfId="18546"/>
    <cellStyle name="Normal 3925 2 2" xfId="43841"/>
    <cellStyle name="Normal 3925 2 3" xfId="43842"/>
    <cellStyle name="Normal 3925 3" xfId="18547"/>
    <cellStyle name="Normal 3925 4" xfId="43843"/>
    <cellStyle name="Normal 3926" xfId="18548"/>
    <cellStyle name="Normal 3926 2" xfId="18549"/>
    <cellStyle name="Normal 3926 2 2" xfId="43844"/>
    <cellStyle name="Normal 3926 2 3" xfId="43845"/>
    <cellStyle name="Normal 3926 3" xfId="18550"/>
    <cellStyle name="Normal 3926 4" xfId="43846"/>
    <cellStyle name="Normal 3927" xfId="18551"/>
    <cellStyle name="Normal 3927 2" xfId="18552"/>
    <cellStyle name="Normal 3927 2 2" xfId="43847"/>
    <cellStyle name="Normal 3927 2 3" xfId="43848"/>
    <cellStyle name="Normal 3927 3" xfId="18553"/>
    <cellStyle name="Normal 3927 4" xfId="43849"/>
    <cellStyle name="Normal 3928" xfId="18554"/>
    <cellStyle name="Normal 3928 2" xfId="18555"/>
    <cellStyle name="Normal 3928 2 2" xfId="43850"/>
    <cellStyle name="Normal 3928 2 3" xfId="43851"/>
    <cellStyle name="Normal 3928 3" xfId="18556"/>
    <cellStyle name="Normal 3928 4" xfId="43852"/>
    <cellStyle name="Normal 3929" xfId="18557"/>
    <cellStyle name="Normal 3929 2" xfId="18558"/>
    <cellStyle name="Normal 3929 2 2" xfId="43853"/>
    <cellStyle name="Normal 3929 2 3" xfId="43854"/>
    <cellStyle name="Normal 3929 3" xfId="18559"/>
    <cellStyle name="Normal 3929 4" xfId="43855"/>
    <cellStyle name="Normal 393" xfId="18560"/>
    <cellStyle name="Normal 393 10" xfId="43856"/>
    <cellStyle name="Normal 393 2" xfId="18561"/>
    <cellStyle name="Normal 393 2 2" xfId="18562"/>
    <cellStyle name="Normal 393 2 2 2" xfId="18563"/>
    <cellStyle name="Normal 393 2 2 3" xfId="18564"/>
    <cellStyle name="Normal 393 2 3" xfId="18565"/>
    <cellStyle name="Normal 393 2 3 2" xfId="43857"/>
    <cellStyle name="Normal 393 2 3 3" xfId="43858"/>
    <cellStyle name="Normal 393 2 4" xfId="18566"/>
    <cellStyle name="Normal 393 2 5" xfId="18567"/>
    <cellStyle name="Normal 393 2 6" xfId="43859"/>
    <cellStyle name="Normal 393 2 7" xfId="43860"/>
    <cellStyle name="Normal 393 2 8" xfId="43861"/>
    <cellStyle name="Normal 393 3" xfId="18568"/>
    <cellStyle name="Normal 393 3 2" xfId="18569"/>
    <cellStyle name="Normal 393 3 2 2" xfId="43862"/>
    <cellStyle name="Normal 393 3 2 3" xfId="43863"/>
    <cellStyle name="Normal 393 3 3" xfId="18570"/>
    <cellStyle name="Normal 393 3 3 2" xfId="43864"/>
    <cellStyle name="Normal 393 3 3 3" xfId="43865"/>
    <cellStyle name="Normal 393 3 4" xfId="43866"/>
    <cellStyle name="Normal 393 3 5" xfId="43867"/>
    <cellStyle name="Normal 393 4" xfId="18571"/>
    <cellStyle name="Normal 393 4 2" xfId="43868"/>
    <cellStyle name="Normal 393 4 3" xfId="43869"/>
    <cellStyle name="Normal 393 5" xfId="18572"/>
    <cellStyle name="Normal 393 5 2" xfId="43870"/>
    <cellStyle name="Normal 393 5 3" xfId="43871"/>
    <cellStyle name="Normal 393 6" xfId="18573"/>
    <cellStyle name="Normal 393 7" xfId="43872"/>
    <cellStyle name="Normal 393 8" xfId="43873"/>
    <cellStyle name="Normal 393 9" xfId="43874"/>
    <cellStyle name="Normal 3930" xfId="18574"/>
    <cellStyle name="Normal 3930 2" xfId="18575"/>
    <cellStyle name="Normal 3930 2 2" xfId="43875"/>
    <cellStyle name="Normal 3930 2 3" xfId="43876"/>
    <cellStyle name="Normal 3930 3" xfId="18576"/>
    <cellStyle name="Normal 3930 4" xfId="43877"/>
    <cellStyle name="Normal 3931" xfId="18577"/>
    <cellStyle name="Normal 3931 2" xfId="18578"/>
    <cellStyle name="Normal 3931 2 2" xfId="43878"/>
    <cellStyle name="Normal 3931 2 3" xfId="43879"/>
    <cellStyle name="Normal 3931 3" xfId="18579"/>
    <cellStyle name="Normal 3931 4" xfId="43880"/>
    <cellStyle name="Normal 3932" xfId="18580"/>
    <cellStyle name="Normal 3932 2" xfId="18581"/>
    <cellStyle name="Normal 3932 2 2" xfId="43881"/>
    <cellStyle name="Normal 3932 2 3" xfId="43882"/>
    <cellStyle name="Normal 3932 3" xfId="18582"/>
    <cellStyle name="Normal 3932 4" xfId="43883"/>
    <cellStyle name="Normal 3933" xfId="18583"/>
    <cellStyle name="Normal 3933 2" xfId="18584"/>
    <cellStyle name="Normal 3933 2 2" xfId="43884"/>
    <cellStyle name="Normal 3933 2 3" xfId="43885"/>
    <cellStyle name="Normal 3933 3" xfId="18585"/>
    <cellStyle name="Normal 3933 4" xfId="43886"/>
    <cellStyle name="Normal 3934" xfId="18586"/>
    <cellStyle name="Normal 3934 2" xfId="18587"/>
    <cellStyle name="Normal 3934 2 2" xfId="43887"/>
    <cellStyle name="Normal 3934 2 3" xfId="43888"/>
    <cellStyle name="Normal 3934 3" xfId="18588"/>
    <cellStyle name="Normal 3934 4" xfId="43889"/>
    <cellStyle name="Normal 3935" xfId="18589"/>
    <cellStyle name="Normal 3935 2" xfId="18590"/>
    <cellStyle name="Normal 3935 2 2" xfId="43890"/>
    <cellStyle name="Normal 3935 2 3" xfId="43891"/>
    <cellStyle name="Normal 3935 3" xfId="18591"/>
    <cellStyle name="Normal 3935 4" xfId="43892"/>
    <cellStyle name="Normal 3936" xfId="18592"/>
    <cellStyle name="Normal 3936 2" xfId="18593"/>
    <cellStyle name="Normal 3936 2 2" xfId="43893"/>
    <cellStyle name="Normal 3936 2 3" xfId="43894"/>
    <cellStyle name="Normal 3936 3" xfId="18594"/>
    <cellStyle name="Normal 3936 4" xfId="43895"/>
    <cellStyle name="Normal 3937" xfId="18595"/>
    <cellStyle name="Normal 3937 2" xfId="18596"/>
    <cellStyle name="Normal 3937 2 2" xfId="43896"/>
    <cellStyle name="Normal 3937 2 3" xfId="43897"/>
    <cellStyle name="Normal 3937 3" xfId="18597"/>
    <cellStyle name="Normal 3937 4" xfId="43898"/>
    <cellStyle name="Normal 3938" xfId="18598"/>
    <cellStyle name="Normal 3938 2" xfId="18599"/>
    <cellStyle name="Normal 3938 2 2" xfId="43899"/>
    <cellStyle name="Normal 3938 2 3" xfId="43900"/>
    <cellStyle name="Normal 3938 3" xfId="18600"/>
    <cellStyle name="Normal 3938 4" xfId="43901"/>
    <cellStyle name="Normal 3939" xfId="18601"/>
    <cellStyle name="Normal 3939 2" xfId="18602"/>
    <cellStyle name="Normal 3939 2 2" xfId="43902"/>
    <cellStyle name="Normal 3939 2 3" xfId="43903"/>
    <cellStyle name="Normal 3939 3" xfId="18603"/>
    <cellStyle name="Normal 3939 4" xfId="43904"/>
    <cellStyle name="Normal 394" xfId="18604"/>
    <cellStyle name="Normal 394 10" xfId="43905"/>
    <cellStyle name="Normal 394 2" xfId="18605"/>
    <cellStyle name="Normal 394 2 2" xfId="18606"/>
    <cellStyle name="Normal 394 2 2 2" xfId="18607"/>
    <cellStyle name="Normal 394 2 2 3" xfId="18608"/>
    <cellStyle name="Normal 394 2 3" xfId="18609"/>
    <cellStyle name="Normal 394 2 3 2" xfId="43906"/>
    <cellStyle name="Normal 394 2 3 3" xfId="43907"/>
    <cellStyle name="Normal 394 2 4" xfId="18610"/>
    <cellStyle name="Normal 394 2 5" xfId="18611"/>
    <cellStyle name="Normal 394 2 6" xfId="43908"/>
    <cellStyle name="Normal 394 2 7" xfId="43909"/>
    <cellStyle name="Normal 394 2 8" xfId="43910"/>
    <cellStyle name="Normal 394 3" xfId="18612"/>
    <cellStyle name="Normal 394 3 2" xfId="18613"/>
    <cellStyle name="Normal 394 3 2 2" xfId="43911"/>
    <cellStyle name="Normal 394 3 2 3" xfId="43912"/>
    <cellStyle name="Normal 394 3 3" xfId="18614"/>
    <cellStyle name="Normal 394 3 3 2" xfId="43913"/>
    <cellStyle name="Normal 394 3 3 3" xfId="43914"/>
    <cellStyle name="Normal 394 3 4" xfId="43915"/>
    <cellStyle name="Normal 394 3 5" xfId="43916"/>
    <cellStyle name="Normal 394 4" xfId="18615"/>
    <cellStyle name="Normal 394 4 2" xfId="43917"/>
    <cellStyle name="Normal 394 4 3" xfId="43918"/>
    <cellStyle name="Normal 394 5" xfId="18616"/>
    <cellStyle name="Normal 394 5 2" xfId="43919"/>
    <cellStyle name="Normal 394 5 3" xfId="43920"/>
    <cellStyle name="Normal 394 6" xfId="18617"/>
    <cellStyle name="Normal 394 7" xfId="43921"/>
    <cellStyle name="Normal 394 8" xfId="43922"/>
    <cellStyle name="Normal 394 9" xfId="43923"/>
    <cellStyle name="Normal 3940" xfId="18618"/>
    <cellStyle name="Normal 3940 2" xfId="18619"/>
    <cellStyle name="Normal 3940 2 2" xfId="43924"/>
    <cellStyle name="Normal 3940 2 3" xfId="43925"/>
    <cellStyle name="Normal 3940 3" xfId="18620"/>
    <cellStyle name="Normal 3940 4" xfId="43926"/>
    <cellStyle name="Normal 3941" xfId="18621"/>
    <cellStyle name="Normal 3941 2" xfId="18622"/>
    <cellStyle name="Normal 3941 2 2" xfId="43927"/>
    <cellStyle name="Normal 3941 2 3" xfId="43928"/>
    <cellStyle name="Normal 3941 3" xfId="18623"/>
    <cellStyle name="Normal 3941 4" xfId="43929"/>
    <cellStyle name="Normal 3942" xfId="18624"/>
    <cellStyle name="Normal 3942 2" xfId="18625"/>
    <cellStyle name="Normal 3942 2 2" xfId="43930"/>
    <cellStyle name="Normal 3942 2 3" xfId="43931"/>
    <cellStyle name="Normal 3942 3" xfId="18626"/>
    <cellStyle name="Normal 3942 4" xfId="43932"/>
    <cellStyle name="Normal 3943" xfId="18627"/>
    <cellStyle name="Normal 3943 2" xfId="18628"/>
    <cellStyle name="Normal 3943 2 2" xfId="43933"/>
    <cellStyle name="Normal 3943 2 3" xfId="43934"/>
    <cellStyle name="Normal 3943 3" xfId="18629"/>
    <cellStyle name="Normal 3943 4" xfId="43935"/>
    <cellStyle name="Normal 3944" xfId="18630"/>
    <cellStyle name="Normal 3944 2" xfId="18631"/>
    <cellStyle name="Normal 3944 2 2" xfId="43936"/>
    <cellStyle name="Normal 3944 2 3" xfId="43937"/>
    <cellStyle name="Normal 3944 3" xfId="18632"/>
    <cellStyle name="Normal 3944 4" xfId="43938"/>
    <cellStyle name="Normal 3945" xfId="18633"/>
    <cellStyle name="Normal 3945 2" xfId="18634"/>
    <cellStyle name="Normal 3945 2 2" xfId="43939"/>
    <cellStyle name="Normal 3945 2 3" xfId="43940"/>
    <cellStyle name="Normal 3945 3" xfId="18635"/>
    <cellStyle name="Normal 3945 4" xfId="43941"/>
    <cellStyle name="Normal 3946" xfId="18636"/>
    <cellStyle name="Normal 3946 2" xfId="18637"/>
    <cellStyle name="Normal 3946 2 2" xfId="43942"/>
    <cellStyle name="Normal 3946 2 3" xfId="43943"/>
    <cellStyle name="Normal 3946 3" xfId="18638"/>
    <cellStyle name="Normal 3946 4" xfId="43944"/>
    <cellStyle name="Normal 3947" xfId="18639"/>
    <cellStyle name="Normal 3947 2" xfId="18640"/>
    <cellStyle name="Normal 3947 2 2" xfId="43945"/>
    <cellStyle name="Normal 3947 2 3" xfId="43946"/>
    <cellStyle name="Normal 3947 3" xfId="18641"/>
    <cellStyle name="Normal 3947 4" xfId="43947"/>
    <cellStyle name="Normal 3948" xfId="18642"/>
    <cellStyle name="Normal 3948 2" xfId="18643"/>
    <cellStyle name="Normal 3948 2 2" xfId="43948"/>
    <cellStyle name="Normal 3948 2 3" xfId="43949"/>
    <cellStyle name="Normal 3948 3" xfId="18644"/>
    <cellStyle name="Normal 3948 4" xfId="43950"/>
    <cellStyle name="Normal 3949" xfId="18645"/>
    <cellStyle name="Normal 3949 2" xfId="18646"/>
    <cellStyle name="Normal 3949 2 2" xfId="43951"/>
    <cellStyle name="Normal 3949 2 3" xfId="43952"/>
    <cellStyle name="Normal 3949 3" xfId="18647"/>
    <cellStyle name="Normal 3949 4" xfId="43953"/>
    <cellStyle name="Normal 395" xfId="18648"/>
    <cellStyle name="Normal 395 10" xfId="43954"/>
    <cellStyle name="Normal 395 2" xfId="18649"/>
    <cellStyle name="Normal 395 2 2" xfId="18650"/>
    <cellStyle name="Normal 395 2 2 2" xfId="18651"/>
    <cellStyle name="Normal 395 2 2 3" xfId="18652"/>
    <cellStyle name="Normal 395 2 3" xfId="18653"/>
    <cellStyle name="Normal 395 2 3 2" xfId="43955"/>
    <cellStyle name="Normal 395 2 3 3" xfId="43956"/>
    <cellStyle name="Normal 395 2 4" xfId="18654"/>
    <cellStyle name="Normal 395 2 5" xfId="18655"/>
    <cellStyle name="Normal 395 2 6" xfId="43957"/>
    <cellStyle name="Normal 395 2 7" xfId="43958"/>
    <cellStyle name="Normal 395 2 8" xfId="43959"/>
    <cellStyle name="Normal 395 3" xfId="18656"/>
    <cellStyle name="Normal 395 3 2" xfId="18657"/>
    <cellStyle name="Normal 395 3 2 2" xfId="43960"/>
    <cellStyle name="Normal 395 3 2 3" xfId="43961"/>
    <cellStyle name="Normal 395 3 3" xfId="18658"/>
    <cellStyle name="Normal 395 3 3 2" xfId="43962"/>
    <cellStyle name="Normal 395 3 3 3" xfId="43963"/>
    <cellStyle name="Normal 395 3 4" xfId="43964"/>
    <cellStyle name="Normal 395 3 5" xfId="43965"/>
    <cellStyle name="Normal 395 4" xfId="18659"/>
    <cellStyle name="Normal 395 4 2" xfId="43966"/>
    <cellStyle name="Normal 395 4 3" xfId="43967"/>
    <cellStyle name="Normal 395 5" xfId="18660"/>
    <cellStyle name="Normal 395 5 2" xfId="43968"/>
    <cellStyle name="Normal 395 5 3" xfId="43969"/>
    <cellStyle name="Normal 395 6" xfId="18661"/>
    <cellStyle name="Normal 395 7" xfId="43970"/>
    <cellStyle name="Normal 395 8" xfId="43971"/>
    <cellStyle name="Normal 395 9" xfId="43972"/>
    <cellStyle name="Normal 3950" xfId="18662"/>
    <cellStyle name="Normal 3950 2" xfId="18663"/>
    <cellStyle name="Normal 3950 2 2" xfId="43973"/>
    <cellStyle name="Normal 3950 2 3" xfId="43974"/>
    <cellStyle name="Normal 3950 3" xfId="18664"/>
    <cellStyle name="Normal 3950 4" xfId="43975"/>
    <cellStyle name="Normal 3951" xfId="18665"/>
    <cellStyle name="Normal 3951 2" xfId="18666"/>
    <cellStyle name="Normal 3951 2 2" xfId="43976"/>
    <cellStyle name="Normal 3951 2 3" xfId="43977"/>
    <cellStyle name="Normal 3951 3" xfId="18667"/>
    <cellStyle name="Normal 3951 4" xfId="43978"/>
    <cellStyle name="Normal 3952" xfId="18668"/>
    <cellStyle name="Normal 3952 2" xfId="18669"/>
    <cellStyle name="Normal 3952 2 2" xfId="43979"/>
    <cellStyle name="Normal 3952 2 3" xfId="43980"/>
    <cellStyle name="Normal 3952 3" xfId="18670"/>
    <cellStyle name="Normal 3952 4" xfId="43981"/>
    <cellStyle name="Normal 3953" xfId="18671"/>
    <cellStyle name="Normal 3953 2" xfId="18672"/>
    <cellStyle name="Normal 3953 2 2" xfId="43982"/>
    <cellStyle name="Normal 3953 2 3" xfId="43983"/>
    <cellStyle name="Normal 3953 3" xfId="18673"/>
    <cellStyle name="Normal 3953 4" xfId="43984"/>
    <cellStyle name="Normal 3954" xfId="18674"/>
    <cellStyle name="Normal 3954 2" xfId="18675"/>
    <cellStyle name="Normal 3954 2 2" xfId="43985"/>
    <cellStyle name="Normal 3954 2 3" xfId="43986"/>
    <cellStyle name="Normal 3954 3" xfId="18676"/>
    <cellStyle name="Normal 3954 4" xfId="43987"/>
    <cellStyle name="Normal 3955" xfId="18677"/>
    <cellStyle name="Normal 3955 2" xfId="18678"/>
    <cellStyle name="Normal 3955 2 2" xfId="43988"/>
    <cellStyle name="Normal 3955 2 3" xfId="43989"/>
    <cellStyle name="Normal 3955 3" xfId="18679"/>
    <cellStyle name="Normal 3955 4" xfId="43990"/>
    <cellStyle name="Normal 3956" xfId="18680"/>
    <cellStyle name="Normal 3956 2" xfId="18681"/>
    <cellStyle name="Normal 3956 2 2" xfId="43991"/>
    <cellStyle name="Normal 3956 2 3" xfId="43992"/>
    <cellStyle name="Normal 3956 3" xfId="18682"/>
    <cellStyle name="Normal 3956 4" xfId="43993"/>
    <cellStyle name="Normal 3957" xfId="18683"/>
    <cellStyle name="Normal 3957 2" xfId="18684"/>
    <cellStyle name="Normal 3957 2 2" xfId="43994"/>
    <cellStyle name="Normal 3957 2 3" xfId="43995"/>
    <cellStyle name="Normal 3957 3" xfId="18685"/>
    <cellStyle name="Normal 3957 4" xfId="43996"/>
    <cellStyle name="Normal 3958" xfId="18686"/>
    <cellStyle name="Normal 3958 2" xfId="18687"/>
    <cellStyle name="Normal 3958 2 2" xfId="43997"/>
    <cellStyle name="Normal 3958 2 3" xfId="43998"/>
    <cellStyle name="Normal 3958 3" xfId="18688"/>
    <cellStyle name="Normal 3958 4" xfId="43999"/>
    <cellStyle name="Normal 3959" xfId="18689"/>
    <cellStyle name="Normal 3959 2" xfId="18690"/>
    <cellStyle name="Normal 3959 2 2" xfId="44000"/>
    <cellStyle name="Normal 3959 2 3" xfId="44001"/>
    <cellStyle name="Normal 3959 3" xfId="18691"/>
    <cellStyle name="Normal 3959 4" xfId="44002"/>
    <cellStyle name="Normal 396" xfId="18692"/>
    <cellStyle name="Normal 396 10" xfId="44003"/>
    <cellStyle name="Normal 396 2" xfId="18693"/>
    <cellStyle name="Normal 396 2 2" xfId="18694"/>
    <cellStyle name="Normal 396 2 2 2" xfId="18695"/>
    <cellStyle name="Normal 396 2 2 3" xfId="18696"/>
    <cellStyle name="Normal 396 2 3" xfId="18697"/>
    <cellStyle name="Normal 396 2 3 2" xfId="44004"/>
    <cellStyle name="Normal 396 2 3 3" xfId="44005"/>
    <cellStyle name="Normal 396 2 4" xfId="18698"/>
    <cellStyle name="Normal 396 2 5" xfId="18699"/>
    <cellStyle name="Normal 396 2 6" xfId="44006"/>
    <cellStyle name="Normal 396 2 7" xfId="44007"/>
    <cellStyle name="Normal 396 2 8" xfId="44008"/>
    <cellStyle name="Normal 396 3" xfId="18700"/>
    <cellStyle name="Normal 396 3 2" xfId="18701"/>
    <cellStyle name="Normal 396 3 2 2" xfId="44009"/>
    <cellStyle name="Normal 396 3 2 3" xfId="44010"/>
    <cellStyle name="Normal 396 3 3" xfId="18702"/>
    <cellStyle name="Normal 396 3 3 2" xfId="44011"/>
    <cellStyle name="Normal 396 3 3 3" xfId="44012"/>
    <cellStyle name="Normal 396 3 4" xfId="44013"/>
    <cellStyle name="Normal 396 3 5" xfId="44014"/>
    <cellStyle name="Normal 396 4" xfId="18703"/>
    <cellStyle name="Normal 396 4 2" xfId="44015"/>
    <cellStyle name="Normal 396 4 3" xfId="44016"/>
    <cellStyle name="Normal 396 5" xfId="18704"/>
    <cellStyle name="Normal 396 5 2" xfId="44017"/>
    <cellStyle name="Normal 396 5 3" xfId="44018"/>
    <cellStyle name="Normal 396 6" xfId="18705"/>
    <cellStyle name="Normal 396 7" xfId="44019"/>
    <cellStyle name="Normal 396 8" xfId="44020"/>
    <cellStyle name="Normal 396 9" xfId="44021"/>
    <cellStyle name="Normal 3960" xfId="18706"/>
    <cellStyle name="Normal 3960 2" xfId="18707"/>
    <cellStyle name="Normal 3960 2 2" xfId="44022"/>
    <cellStyle name="Normal 3960 2 3" xfId="44023"/>
    <cellStyle name="Normal 3960 3" xfId="18708"/>
    <cellStyle name="Normal 3960 4" xfId="44024"/>
    <cellStyle name="Normal 3961" xfId="18709"/>
    <cellStyle name="Normal 3961 2" xfId="18710"/>
    <cellStyle name="Normal 3961 2 2" xfId="44025"/>
    <cellStyle name="Normal 3961 2 3" xfId="44026"/>
    <cellStyle name="Normal 3961 3" xfId="18711"/>
    <cellStyle name="Normal 3961 4" xfId="44027"/>
    <cellStyle name="Normal 3962" xfId="18712"/>
    <cellStyle name="Normal 3962 2" xfId="18713"/>
    <cellStyle name="Normal 3962 2 2" xfId="44028"/>
    <cellStyle name="Normal 3962 2 3" xfId="44029"/>
    <cellStyle name="Normal 3962 3" xfId="18714"/>
    <cellStyle name="Normal 3962 4" xfId="44030"/>
    <cellStyle name="Normal 3963" xfId="18715"/>
    <cellStyle name="Normal 3963 2" xfId="18716"/>
    <cellStyle name="Normal 3963 2 2" xfId="44031"/>
    <cellStyle name="Normal 3963 2 3" xfId="44032"/>
    <cellStyle name="Normal 3963 3" xfId="18717"/>
    <cellStyle name="Normal 3963 4" xfId="44033"/>
    <cellStyle name="Normal 3964" xfId="18718"/>
    <cellStyle name="Normal 3964 2" xfId="18719"/>
    <cellStyle name="Normal 3964 2 2" xfId="44034"/>
    <cellStyle name="Normal 3964 2 3" xfId="44035"/>
    <cellStyle name="Normal 3964 3" xfId="18720"/>
    <cellStyle name="Normal 3964 4" xfId="44036"/>
    <cellStyle name="Normal 3965" xfId="18721"/>
    <cellStyle name="Normal 3965 2" xfId="18722"/>
    <cellStyle name="Normal 3965 2 2" xfId="44037"/>
    <cellStyle name="Normal 3965 2 3" xfId="44038"/>
    <cellStyle name="Normal 3965 3" xfId="18723"/>
    <cellStyle name="Normal 3965 4" xfId="44039"/>
    <cellStyle name="Normal 3966" xfId="18724"/>
    <cellStyle name="Normal 3966 2" xfId="18725"/>
    <cellStyle name="Normal 3966 2 2" xfId="44040"/>
    <cellStyle name="Normal 3966 2 3" xfId="44041"/>
    <cellStyle name="Normal 3966 3" xfId="44042"/>
    <cellStyle name="Normal 3966 4" xfId="44043"/>
    <cellStyle name="Normal 3967" xfId="18726"/>
    <cellStyle name="Normal 3967 2" xfId="18727"/>
    <cellStyle name="Normal 3967 2 2" xfId="44044"/>
    <cellStyle name="Normal 3967 2 3" xfId="44045"/>
    <cellStyle name="Normal 3967 3" xfId="44046"/>
    <cellStyle name="Normal 3967 4" xfId="44047"/>
    <cellStyle name="Normal 3968" xfId="18728"/>
    <cellStyle name="Normal 3968 2" xfId="18729"/>
    <cellStyle name="Normal 3968 2 2" xfId="44048"/>
    <cellStyle name="Normal 3968 2 3" xfId="44049"/>
    <cellStyle name="Normal 3968 3" xfId="44050"/>
    <cellStyle name="Normal 3968 4" xfId="44051"/>
    <cellStyle name="Normal 3969" xfId="18730"/>
    <cellStyle name="Normal 3969 2" xfId="18731"/>
    <cellStyle name="Normal 3969 2 2" xfId="44052"/>
    <cellStyle name="Normal 3969 2 3" xfId="44053"/>
    <cellStyle name="Normal 3969 3" xfId="44054"/>
    <cellStyle name="Normal 3969 4" xfId="44055"/>
    <cellStyle name="Normal 397" xfId="18732"/>
    <cellStyle name="Normal 397 10" xfId="44056"/>
    <cellStyle name="Normal 397 2" xfId="18733"/>
    <cellStyle name="Normal 397 2 2" xfId="18734"/>
    <cellStyle name="Normal 397 2 2 2" xfId="18735"/>
    <cellStyle name="Normal 397 2 2 3" xfId="18736"/>
    <cellStyle name="Normal 397 2 3" xfId="18737"/>
    <cellStyle name="Normal 397 2 3 2" xfId="44057"/>
    <cellStyle name="Normal 397 2 3 3" xfId="44058"/>
    <cellStyle name="Normal 397 2 4" xfId="18738"/>
    <cellStyle name="Normal 397 2 5" xfId="18739"/>
    <cellStyle name="Normal 397 2 6" xfId="44059"/>
    <cellStyle name="Normal 397 2 7" xfId="44060"/>
    <cellStyle name="Normal 397 2 8" xfId="44061"/>
    <cellStyle name="Normal 397 3" xfId="18740"/>
    <cellStyle name="Normal 397 3 2" xfId="18741"/>
    <cellStyle name="Normal 397 3 2 2" xfId="44062"/>
    <cellStyle name="Normal 397 3 2 3" xfId="44063"/>
    <cellStyle name="Normal 397 3 3" xfId="18742"/>
    <cellStyle name="Normal 397 3 3 2" xfId="44064"/>
    <cellStyle name="Normal 397 3 3 3" xfId="44065"/>
    <cellStyle name="Normal 397 3 4" xfId="44066"/>
    <cellStyle name="Normal 397 3 5" xfId="44067"/>
    <cellStyle name="Normal 397 4" xfId="18743"/>
    <cellStyle name="Normal 397 4 2" xfId="44068"/>
    <cellStyle name="Normal 397 4 3" xfId="44069"/>
    <cellStyle name="Normal 397 5" xfId="18744"/>
    <cellStyle name="Normal 397 5 2" xfId="44070"/>
    <cellStyle name="Normal 397 5 3" xfId="44071"/>
    <cellStyle name="Normal 397 6" xfId="18745"/>
    <cellStyle name="Normal 397 7" xfId="44072"/>
    <cellStyle name="Normal 397 8" xfId="44073"/>
    <cellStyle name="Normal 397 9" xfId="44074"/>
    <cellStyle name="Normal 3970" xfId="18746"/>
    <cellStyle name="Normal 3970 2" xfId="18747"/>
    <cellStyle name="Normal 3970 2 2" xfId="44075"/>
    <cellStyle name="Normal 3970 2 3" xfId="44076"/>
    <cellStyle name="Normal 3970 3" xfId="44077"/>
    <cellStyle name="Normal 3970 4" xfId="44078"/>
    <cellStyle name="Normal 3971" xfId="18748"/>
    <cellStyle name="Normal 3971 2" xfId="18749"/>
    <cellStyle name="Normal 3971 2 2" xfId="44079"/>
    <cellStyle name="Normal 3971 2 3" xfId="44080"/>
    <cellStyle name="Normal 3971 3" xfId="44081"/>
    <cellStyle name="Normal 3971 4" xfId="44082"/>
    <cellStyle name="Normal 3972" xfId="18750"/>
    <cellStyle name="Normal 3972 2" xfId="18751"/>
    <cellStyle name="Normal 3972 2 2" xfId="44083"/>
    <cellStyle name="Normal 3972 2 3" xfId="44084"/>
    <cellStyle name="Normal 3972 3" xfId="44085"/>
    <cellStyle name="Normal 3972 4" xfId="44086"/>
    <cellStyle name="Normal 3973" xfId="18752"/>
    <cellStyle name="Normal 3973 2" xfId="18753"/>
    <cellStyle name="Normal 3973 2 2" xfId="44087"/>
    <cellStyle name="Normal 3973 2 3" xfId="44088"/>
    <cellStyle name="Normal 3973 3" xfId="44089"/>
    <cellStyle name="Normal 3973 4" xfId="44090"/>
    <cellStyle name="Normal 3974" xfId="18754"/>
    <cellStyle name="Normal 3974 2" xfId="18755"/>
    <cellStyle name="Normal 3974 2 2" xfId="44091"/>
    <cellStyle name="Normal 3974 2 3" xfId="44092"/>
    <cellStyle name="Normal 3974 3" xfId="44093"/>
    <cellStyle name="Normal 3974 4" xfId="44094"/>
    <cellStyle name="Normal 3975" xfId="18756"/>
    <cellStyle name="Normal 3975 2" xfId="18757"/>
    <cellStyle name="Normal 3975 2 2" xfId="44095"/>
    <cellStyle name="Normal 3975 2 3" xfId="44096"/>
    <cellStyle name="Normal 3975 3" xfId="44097"/>
    <cellStyle name="Normal 3975 4" xfId="44098"/>
    <cellStyle name="Normal 3976" xfId="18758"/>
    <cellStyle name="Normal 3976 2" xfId="18759"/>
    <cellStyle name="Normal 3976 2 2" xfId="44099"/>
    <cellStyle name="Normal 3976 2 3" xfId="44100"/>
    <cellStyle name="Normal 3976 3" xfId="44101"/>
    <cellStyle name="Normal 3976 4" xfId="44102"/>
    <cellStyle name="Normal 3977" xfId="18760"/>
    <cellStyle name="Normal 3977 2" xfId="18761"/>
    <cellStyle name="Normal 3977 2 2" xfId="44103"/>
    <cellStyle name="Normal 3977 2 3" xfId="44104"/>
    <cellStyle name="Normal 3977 3" xfId="44105"/>
    <cellStyle name="Normal 3977 4" xfId="44106"/>
    <cellStyle name="Normal 3978" xfId="18762"/>
    <cellStyle name="Normal 3978 2" xfId="18763"/>
    <cellStyle name="Normal 3978 2 2" xfId="44107"/>
    <cellStyle name="Normal 3978 2 3" xfId="44108"/>
    <cellStyle name="Normal 3978 3" xfId="44109"/>
    <cellStyle name="Normal 3978 4" xfId="44110"/>
    <cellStyle name="Normal 3979" xfId="18764"/>
    <cellStyle name="Normal 3979 2" xfId="18765"/>
    <cellStyle name="Normal 3979 2 2" xfId="44111"/>
    <cellStyle name="Normal 3979 2 3" xfId="44112"/>
    <cellStyle name="Normal 3979 3" xfId="44113"/>
    <cellStyle name="Normal 3979 4" xfId="44114"/>
    <cellStyle name="Normal 398" xfId="18766"/>
    <cellStyle name="Normal 398 10" xfId="44115"/>
    <cellStyle name="Normal 398 2" xfId="18767"/>
    <cellStyle name="Normal 398 2 2" xfId="18768"/>
    <cellStyle name="Normal 398 2 2 2" xfId="18769"/>
    <cellStyle name="Normal 398 2 2 3" xfId="18770"/>
    <cellStyle name="Normal 398 2 3" xfId="18771"/>
    <cellStyle name="Normal 398 2 3 2" xfId="44116"/>
    <cellStyle name="Normal 398 2 3 3" xfId="44117"/>
    <cellStyle name="Normal 398 2 4" xfId="18772"/>
    <cellStyle name="Normal 398 2 5" xfId="18773"/>
    <cellStyle name="Normal 398 2 6" xfId="44118"/>
    <cellStyle name="Normal 398 2 7" xfId="44119"/>
    <cellStyle name="Normal 398 2 8" xfId="44120"/>
    <cellStyle name="Normal 398 3" xfId="18774"/>
    <cellStyle name="Normal 398 3 2" xfId="18775"/>
    <cellStyle name="Normal 398 3 2 2" xfId="44121"/>
    <cellStyle name="Normal 398 3 2 3" xfId="44122"/>
    <cellStyle name="Normal 398 3 3" xfId="18776"/>
    <cellStyle name="Normal 398 3 3 2" xfId="44123"/>
    <cellStyle name="Normal 398 3 3 3" xfId="44124"/>
    <cellStyle name="Normal 398 3 4" xfId="44125"/>
    <cellStyle name="Normal 398 3 5" xfId="44126"/>
    <cellStyle name="Normal 398 4" xfId="18777"/>
    <cellStyle name="Normal 398 4 2" xfId="44127"/>
    <cellStyle name="Normal 398 4 3" xfId="44128"/>
    <cellStyle name="Normal 398 5" xfId="18778"/>
    <cellStyle name="Normal 398 5 2" xfId="44129"/>
    <cellStyle name="Normal 398 5 3" xfId="44130"/>
    <cellStyle name="Normal 398 6" xfId="18779"/>
    <cellStyle name="Normal 398 7" xfId="44131"/>
    <cellStyle name="Normal 398 8" xfId="44132"/>
    <cellStyle name="Normal 398 9" xfId="44133"/>
    <cellStyle name="Normal 3980" xfId="18780"/>
    <cellStyle name="Normal 3980 2" xfId="18781"/>
    <cellStyle name="Normal 3980 2 2" xfId="44134"/>
    <cellStyle name="Normal 3980 2 3" xfId="44135"/>
    <cellStyle name="Normal 3980 3" xfId="44136"/>
    <cellStyle name="Normal 3980 4" xfId="44137"/>
    <cellStyle name="Normal 3981" xfId="18782"/>
    <cellStyle name="Normal 3981 2" xfId="18783"/>
    <cellStyle name="Normal 3981 2 2" xfId="44138"/>
    <cellStyle name="Normal 3981 2 3" xfId="44139"/>
    <cellStyle name="Normal 3981 3" xfId="44140"/>
    <cellStyle name="Normal 3981 4" xfId="44141"/>
    <cellStyle name="Normal 3982" xfId="18784"/>
    <cellStyle name="Normal 3982 2" xfId="18785"/>
    <cellStyle name="Normal 3982 2 2" xfId="44142"/>
    <cellStyle name="Normal 3982 2 3" xfId="44143"/>
    <cellStyle name="Normal 3982 3" xfId="44144"/>
    <cellStyle name="Normal 3982 4" xfId="44145"/>
    <cellStyle name="Normal 3983" xfId="18786"/>
    <cellStyle name="Normal 3983 2" xfId="18787"/>
    <cellStyle name="Normal 3983 2 2" xfId="44146"/>
    <cellStyle name="Normal 3983 2 3" xfId="44147"/>
    <cellStyle name="Normal 3983 3" xfId="44148"/>
    <cellStyle name="Normal 3983 4" xfId="44149"/>
    <cellStyle name="Normal 3984" xfId="18788"/>
    <cellStyle name="Normal 3984 2" xfId="18789"/>
    <cellStyle name="Normal 3984 2 2" xfId="44150"/>
    <cellStyle name="Normal 3984 2 3" xfId="44151"/>
    <cellStyle name="Normal 3984 3" xfId="44152"/>
    <cellStyle name="Normal 3984 4" xfId="44153"/>
    <cellStyle name="Normal 3985" xfId="18790"/>
    <cellStyle name="Normal 3985 2" xfId="18791"/>
    <cellStyle name="Normal 3985 2 2" xfId="44154"/>
    <cellStyle name="Normal 3985 2 3" xfId="44155"/>
    <cellStyle name="Normal 3985 3" xfId="44156"/>
    <cellStyle name="Normal 3985 4" xfId="44157"/>
    <cellStyle name="Normal 3986" xfId="18792"/>
    <cellStyle name="Normal 3986 2" xfId="18793"/>
    <cellStyle name="Normal 3986 2 2" xfId="44158"/>
    <cellStyle name="Normal 3986 2 3" xfId="44159"/>
    <cellStyle name="Normal 3986 3" xfId="44160"/>
    <cellStyle name="Normal 3986 4" xfId="44161"/>
    <cellStyle name="Normal 3987" xfId="18794"/>
    <cellStyle name="Normal 3987 2" xfId="18795"/>
    <cellStyle name="Normal 3987 2 2" xfId="44162"/>
    <cellStyle name="Normal 3987 2 3" xfId="44163"/>
    <cellStyle name="Normal 3987 3" xfId="44164"/>
    <cellStyle name="Normal 3987 4" xfId="44165"/>
    <cellStyle name="Normal 3988" xfId="18796"/>
    <cellStyle name="Normal 3988 2" xfId="18797"/>
    <cellStyle name="Normal 3988 2 2" xfId="44166"/>
    <cellStyle name="Normal 3988 2 3" xfId="44167"/>
    <cellStyle name="Normal 3988 3" xfId="44168"/>
    <cellStyle name="Normal 3988 4" xfId="44169"/>
    <cellStyle name="Normal 3989" xfId="18798"/>
    <cellStyle name="Normal 3989 2" xfId="18799"/>
    <cellStyle name="Normal 3989 2 2" xfId="44170"/>
    <cellStyle name="Normal 3989 2 3" xfId="44171"/>
    <cellStyle name="Normal 3989 3" xfId="44172"/>
    <cellStyle name="Normal 3989 4" xfId="44173"/>
    <cellStyle name="Normal 399" xfId="18800"/>
    <cellStyle name="Normal 399 10" xfId="44174"/>
    <cellStyle name="Normal 399 2" xfId="18801"/>
    <cellStyle name="Normal 399 2 2" xfId="18802"/>
    <cellStyle name="Normal 399 2 2 2" xfId="18803"/>
    <cellStyle name="Normal 399 2 2 3" xfId="18804"/>
    <cellStyle name="Normal 399 2 3" xfId="18805"/>
    <cellStyle name="Normal 399 2 3 2" xfId="44175"/>
    <cellStyle name="Normal 399 2 3 3" xfId="44176"/>
    <cellStyle name="Normal 399 2 4" xfId="18806"/>
    <cellStyle name="Normal 399 2 5" xfId="18807"/>
    <cellStyle name="Normal 399 2 6" xfId="44177"/>
    <cellStyle name="Normal 399 2 7" xfId="44178"/>
    <cellStyle name="Normal 399 2 8" xfId="44179"/>
    <cellStyle name="Normal 399 3" xfId="18808"/>
    <cellStyle name="Normal 399 3 2" xfId="18809"/>
    <cellStyle name="Normal 399 3 2 2" xfId="44180"/>
    <cellStyle name="Normal 399 3 2 3" xfId="44181"/>
    <cellStyle name="Normal 399 3 3" xfId="18810"/>
    <cellStyle name="Normal 399 3 3 2" xfId="44182"/>
    <cellStyle name="Normal 399 3 3 3" xfId="44183"/>
    <cellStyle name="Normal 399 3 4" xfId="44184"/>
    <cellStyle name="Normal 399 3 5" xfId="44185"/>
    <cellStyle name="Normal 399 4" xfId="18811"/>
    <cellStyle name="Normal 399 4 2" xfId="44186"/>
    <cellStyle name="Normal 399 4 3" xfId="44187"/>
    <cellStyle name="Normal 399 5" xfId="18812"/>
    <cellStyle name="Normal 399 5 2" xfId="44188"/>
    <cellStyle name="Normal 399 5 3" xfId="44189"/>
    <cellStyle name="Normal 399 6" xfId="18813"/>
    <cellStyle name="Normal 399 7" xfId="44190"/>
    <cellStyle name="Normal 399 8" xfId="44191"/>
    <cellStyle name="Normal 399 9" xfId="44192"/>
    <cellStyle name="Normal 3990" xfId="18814"/>
    <cellStyle name="Normal 3990 2" xfId="18815"/>
    <cellStyle name="Normal 3990 2 2" xfId="44193"/>
    <cellStyle name="Normal 3990 2 3" xfId="44194"/>
    <cellStyle name="Normal 3990 3" xfId="44195"/>
    <cellStyle name="Normal 3990 4" xfId="44196"/>
    <cellStyle name="Normal 3991" xfId="18816"/>
    <cellStyle name="Normal 3991 2" xfId="18817"/>
    <cellStyle name="Normal 3991 2 2" xfId="44197"/>
    <cellStyle name="Normal 3991 2 3" xfId="44198"/>
    <cellStyle name="Normal 3991 3" xfId="44199"/>
    <cellStyle name="Normal 3991 4" xfId="44200"/>
    <cellStyle name="Normal 3992" xfId="18818"/>
    <cellStyle name="Normal 3992 2" xfId="18819"/>
    <cellStyle name="Normal 3992 2 2" xfId="44201"/>
    <cellStyle name="Normal 3992 2 3" xfId="44202"/>
    <cellStyle name="Normal 3992 3" xfId="44203"/>
    <cellStyle name="Normal 3992 4" xfId="44204"/>
    <cellStyle name="Normal 3993" xfId="18820"/>
    <cellStyle name="Normal 3993 2" xfId="18821"/>
    <cellStyle name="Normal 3993 2 2" xfId="44205"/>
    <cellStyle name="Normal 3993 2 3" xfId="44206"/>
    <cellStyle name="Normal 3993 3" xfId="44207"/>
    <cellStyle name="Normal 3993 4" xfId="44208"/>
    <cellStyle name="Normal 3994" xfId="18822"/>
    <cellStyle name="Normal 3994 2" xfId="18823"/>
    <cellStyle name="Normal 3994 2 2" xfId="44209"/>
    <cellStyle name="Normal 3994 2 3" xfId="44210"/>
    <cellStyle name="Normal 3994 3" xfId="44211"/>
    <cellStyle name="Normal 3994 4" xfId="44212"/>
    <cellStyle name="Normal 3995" xfId="18824"/>
    <cellStyle name="Normal 3995 2" xfId="18825"/>
    <cellStyle name="Normal 3995 2 2" xfId="44213"/>
    <cellStyle name="Normal 3995 2 3" xfId="44214"/>
    <cellStyle name="Normal 3995 3" xfId="44215"/>
    <cellStyle name="Normal 3995 4" xfId="44216"/>
    <cellStyle name="Normal 3996" xfId="18826"/>
    <cellStyle name="Normal 3996 2" xfId="18827"/>
    <cellStyle name="Normal 3996 2 2" xfId="44217"/>
    <cellStyle name="Normal 3996 2 3" xfId="44218"/>
    <cellStyle name="Normal 3996 3" xfId="44219"/>
    <cellStyle name="Normal 3996 4" xfId="44220"/>
    <cellStyle name="Normal 3997" xfId="18828"/>
    <cellStyle name="Normal 3997 2" xfId="18829"/>
    <cellStyle name="Normal 3997 2 2" xfId="44221"/>
    <cellStyle name="Normal 3997 2 3" xfId="44222"/>
    <cellStyle name="Normal 3997 3" xfId="44223"/>
    <cellStyle name="Normal 3997 4" xfId="44224"/>
    <cellStyle name="Normal 3998" xfId="18830"/>
    <cellStyle name="Normal 3998 2" xfId="18831"/>
    <cellStyle name="Normal 3998 2 2" xfId="44225"/>
    <cellStyle name="Normal 3998 2 3" xfId="44226"/>
    <cellStyle name="Normal 3998 3" xfId="44227"/>
    <cellStyle name="Normal 3998 4" xfId="44228"/>
    <cellStyle name="Normal 3999" xfId="18832"/>
    <cellStyle name="Normal 3999 2" xfId="18833"/>
    <cellStyle name="Normal 3999 2 2" xfId="44229"/>
    <cellStyle name="Normal 3999 2 3" xfId="44230"/>
    <cellStyle name="Normal 3999 3" xfId="44231"/>
    <cellStyle name="Normal 3999 4" xfId="44232"/>
    <cellStyle name="Normal 4" xfId="18834"/>
    <cellStyle name="Normal 4 10" xfId="18835"/>
    <cellStyle name="Normal 4 11" xfId="18836"/>
    <cellStyle name="Normal 4 12" xfId="18837"/>
    <cellStyle name="Normal 4 13" xfId="18838"/>
    <cellStyle name="Normal 4 14" xfId="18839"/>
    <cellStyle name="Normal 4 15" xfId="18840"/>
    <cellStyle name="Normal 4 16" xfId="18841"/>
    <cellStyle name="Normal 4 17" xfId="18842"/>
    <cellStyle name="Normal 4 18" xfId="18843"/>
    <cellStyle name="Normal 4 19" xfId="18844"/>
    <cellStyle name="Normal 4 2" xfId="18845"/>
    <cellStyle name="Normal 4 2 2" xfId="18846"/>
    <cellStyle name="Normal 4 2 2 2" xfId="18847"/>
    <cellStyle name="Normal 4 2 2 3" xfId="18848"/>
    <cellStyle name="Normal 4 2 3" xfId="18849"/>
    <cellStyle name="Normal 4 2 3 2" xfId="44233"/>
    <cellStyle name="Normal 4 2 3 3" xfId="44234"/>
    <cellStyle name="Normal 4 2 4" xfId="18850"/>
    <cellStyle name="Normal 4 2 5" xfId="44235"/>
    <cellStyle name="Normal 4 2 6" xfId="44236"/>
    <cellStyle name="Normal 4 2 7" xfId="44237"/>
    <cellStyle name="Normal 4 2 8" xfId="44238"/>
    <cellStyle name="Normal 4 3" xfId="18851"/>
    <cellStyle name="Normal 4 3 2" xfId="18852"/>
    <cellStyle name="Normal 4 3 2 2" xfId="44239"/>
    <cellStyle name="Normal 4 3 2 3" xfId="44240"/>
    <cellStyle name="Normal 4 3 3" xfId="18853"/>
    <cellStyle name="Normal 4 3 3 2" xfId="44241"/>
    <cellStyle name="Normal 4 3 3 3" xfId="44242"/>
    <cellStyle name="Normal 4 3 4" xfId="18854"/>
    <cellStyle name="Normal 4 3 5" xfId="44243"/>
    <cellStyle name="Normal 4 4" xfId="18855"/>
    <cellStyle name="Normal 4 4 2" xfId="44244"/>
    <cellStyle name="Normal 4 4 3" xfId="44245"/>
    <cellStyle name="Normal 4 5" xfId="18856"/>
    <cellStyle name="Normal 4 5 2" xfId="44246"/>
    <cellStyle name="Normal 4 5 3" xfId="44247"/>
    <cellStyle name="Normal 4 6" xfId="18857"/>
    <cellStyle name="Normal 4 7" xfId="18858"/>
    <cellStyle name="Normal 4 8" xfId="18859"/>
    <cellStyle name="Normal 4 9" xfId="18860"/>
    <cellStyle name="Normal 40" xfId="18861"/>
    <cellStyle name="Normal 40 10" xfId="44248"/>
    <cellStyle name="Normal 40 2" xfId="18862"/>
    <cellStyle name="Normal 40 2 2" xfId="18863"/>
    <cellStyle name="Normal 40 2 2 2" xfId="18864"/>
    <cellStyle name="Normal 40 2 2 3" xfId="18865"/>
    <cellStyle name="Normal 40 2 3" xfId="18866"/>
    <cellStyle name="Normal 40 2 3 2" xfId="44249"/>
    <cellStyle name="Normal 40 2 3 3" xfId="44250"/>
    <cellStyle name="Normal 40 2 4" xfId="18867"/>
    <cellStyle name="Normal 40 2 5" xfId="18868"/>
    <cellStyle name="Normal 40 2 6" xfId="44251"/>
    <cellStyle name="Normal 40 2 7" xfId="44252"/>
    <cellStyle name="Normal 40 2 8" xfId="44253"/>
    <cellStyle name="Normal 40 3" xfId="18869"/>
    <cellStyle name="Normal 40 3 2" xfId="18870"/>
    <cellStyle name="Normal 40 3 2 2" xfId="44254"/>
    <cellStyle name="Normal 40 3 2 3" xfId="44255"/>
    <cellStyle name="Normal 40 3 3" xfId="18871"/>
    <cellStyle name="Normal 40 3 3 2" xfId="44256"/>
    <cellStyle name="Normal 40 3 3 3" xfId="44257"/>
    <cellStyle name="Normal 40 3 4" xfId="18872"/>
    <cellStyle name="Normal 40 3 5" xfId="44258"/>
    <cellStyle name="Normal 40 4" xfId="18873"/>
    <cellStyle name="Normal 40 4 2" xfId="44259"/>
    <cellStyle name="Normal 40 4 3" xfId="44260"/>
    <cellStyle name="Normal 40 5" xfId="18874"/>
    <cellStyle name="Normal 40 5 2" xfId="44261"/>
    <cellStyle name="Normal 40 5 3" xfId="44262"/>
    <cellStyle name="Normal 40 6" xfId="18875"/>
    <cellStyle name="Normal 40 7" xfId="44263"/>
    <cellStyle name="Normal 40 8" xfId="44264"/>
    <cellStyle name="Normal 40 9" xfId="44265"/>
    <cellStyle name="Normal 400" xfId="18876"/>
    <cellStyle name="Normal 400 10" xfId="44266"/>
    <cellStyle name="Normal 400 2" xfId="18877"/>
    <cellStyle name="Normal 400 2 2" xfId="18878"/>
    <cellStyle name="Normal 400 2 2 2" xfId="18879"/>
    <cellStyle name="Normal 400 2 2 3" xfId="18880"/>
    <cellStyle name="Normal 400 2 3" xfId="18881"/>
    <cellStyle name="Normal 400 2 3 2" xfId="44267"/>
    <cellStyle name="Normal 400 2 3 3" xfId="44268"/>
    <cellStyle name="Normal 400 2 4" xfId="18882"/>
    <cellStyle name="Normal 400 2 5" xfId="18883"/>
    <cellStyle name="Normal 400 2 6" xfId="44269"/>
    <cellStyle name="Normal 400 2 7" xfId="44270"/>
    <cellStyle name="Normal 400 2 8" xfId="44271"/>
    <cellStyle name="Normal 400 3" xfId="18884"/>
    <cellStyle name="Normal 400 3 2" xfId="18885"/>
    <cellStyle name="Normal 400 3 2 2" xfId="44272"/>
    <cellStyle name="Normal 400 3 2 3" xfId="44273"/>
    <cellStyle name="Normal 400 3 3" xfId="18886"/>
    <cellStyle name="Normal 400 3 3 2" xfId="44274"/>
    <cellStyle name="Normal 400 3 3 3" xfId="44275"/>
    <cellStyle name="Normal 400 3 4" xfId="44276"/>
    <cellStyle name="Normal 400 3 5" xfId="44277"/>
    <cellStyle name="Normal 400 4" xfId="18887"/>
    <cellStyle name="Normal 400 4 2" xfId="44278"/>
    <cellStyle name="Normal 400 4 3" xfId="44279"/>
    <cellStyle name="Normal 400 5" xfId="18888"/>
    <cellStyle name="Normal 400 5 2" xfId="44280"/>
    <cellStyle name="Normal 400 5 3" xfId="44281"/>
    <cellStyle name="Normal 400 6" xfId="18889"/>
    <cellStyle name="Normal 400 7" xfId="44282"/>
    <cellStyle name="Normal 400 8" xfId="44283"/>
    <cellStyle name="Normal 400 9" xfId="44284"/>
    <cellStyle name="Normal 4000" xfId="18890"/>
    <cellStyle name="Normal 4000 2" xfId="18891"/>
    <cellStyle name="Normal 4000 2 2" xfId="44285"/>
    <cellStyle name="Normal 4000 2 3" xfId="44286"/>
    <cellStyle name="Normal 4000 3" xfId="44287"/>
    <cellStyle name="Normal 4000 4" xfId="44288"/>
    <cellStyle name="Normal 4001" xfId="18892"/>
    <cellStyle name="Normal 4001 2" xfId="18893"/>
    <cellStyle name="Normal 4001 2 2" xfId="44289"/>
    <cellStyle name="Normal 4001 2 3" xfId="44290"/>
    <cellStyle name="Normal 4001 3" xfId="44291"/>
    <cellStyle name="Normal 4001 4" xfId="44292"/>
    <cellStyle name="Normal 4002" xfId="18894"/>
    <cellStyle name="Normal 4002 2" xfId="18895"/>
    <cellStyle name="Normal 4002 2 2" xfId="44293"/>
    <cellStyle name="Normal 4002 2 3" xfId="44294"/>
    <cellStyle name="Normal 4002 3" xfId="44295"/>
    <cellStyle name="Normal 4002 4" xfId="44296"/>
    <cellStyle name="Normal 4003" xfId="18896"/>
    <cellStyle name="Normal 4003 2" xfId="18897"/>
    <cellStyle name="Normal 4003 2 2" xfId="44297"/>
    <cellStyle name="Normal 4003 2 3" xfId="44298"/>
    <cellStyle name="Normal 4003 3" xfId="44299"/>
    <cellStyle name="Normal 4003 4" xfId="44300"/>
    <cellStyle name="Normal 4004" xfId="18898"/>
    <cellStyle name="Normal 4004 2" xfId="18899"/>
    <cellStyle name="Normal 4004 2 2" xfId="44301"/>
    <cellStyle name="Normal 4004 2 3" xfId="44302"/>
    <cellStyle name="Normal 4004 3" xfId="44303"/>
    <cellStyle name="Normal 4004 4" xfId="44304"/>
    <cellStyle name="Normal 4005" xfId="18900"/>
    <cellStyle name="Normal 4005 2" xfId="18901"/>
    <cellStyle name="Normal 4005 2 2" xfId="44305"/>
    <cellStyle name="Normal 4005 2 3" xfId="44306"/>
    <cellStyle name="Normal 4005 3" xfId="44307"/>
    <cellStyle name="Normal 4005 4" xfId="44308"/>
    <cellStyle name="Normal 4006" xfId="18902"/>
    <cellStyle name="Normal 4006 2" xfId="18903"/>
    <cellStyle name="Normal 4006 2 2" xfId="44309"/>
    <cellStyle name="Normal 4006 2 3" xfId="44310"/>
    <cellStyle name="Normal 4006 3" xfId="44311"/>
    <cellStyle name="Normal 4006 4" xfId="44312"/>
    <cellStyle name="Normal 4007" xfId="18904"/>
    <cellStyle name="Normal 4007 2" xfId="18905"/>
    <cellStyle name="Normal 4007 2 2" xfId="44313"/>
    <cellStyle name="Normal 4007 2 3" xfId="44314"/>
    <cellStyle name="Normal 4007 3" xfId="44315"/>
    <cellStyle name="Normal 4007 4" xfId="44316"/>
    <cellStyle name="Normal 4008" xfId="18906"/>
    <cellStyle name="Normal 4008 2" xfId="18907"/>
    <cellStyle name="Normal 4008 2 2" xfId="44317"/>
    <cellStyle name="Normal 4008 2 3" xfId="44318"/>
    <cellStyle name="Normal 4008 3" xfId="44319"/>
    <cellStyle name="Normal 4008 4" xfId="44320"/>
    <cellStyle name="Normal 4009" xfId="18908"/>
    <cellStyle name="Normal 4009 2" xfId="18909"/>
    <cellStyle name="Normal 4009 2 2" xfId="44321"/>
    <cellStyle name="Normal 4009 2 3" xfId="44322"/>
    <cellStyle name="Normal 4009 3" xfId="44323"/>
    <cellStyle name="Normal 4009 4" xfId="44324"/>
    <cellStyle name="Normal 401" xfId="18910"/>
    <cellStyle name="Normal 401 10" xfId="44325"/>
    <cellStyle name="Normal 401 2" xfId="18911"/>
    <cellStyle name="Normal 401 2 2" xfId="18912"/>
    <cellStyle name="Normal 401 2 2 2" xfId="18913"/>
    <cellStyle name="Normal 401 2 2 3" xfId="18914"/>
    <cellStyle name="Normal 401 2 3" xfId="18915"/>
    <cellStyle name="Normal 401 2 3 2" xfId="44326"/>
    <cellStyle name="Normal 401 2 3 3" xfId="44327"/>
    <cellStyle name="Normal 401 2 4" xfId="18916"/>
    <cellStyle name="Normal 401 2 5" xfId="18917"/>
    <cellStyle name="Normal 401 2 6" xfId="44328"/>
    <cellStyle name="Normal 401 2 7" xfId="44329"/>
    <cellStyle name="Normal 401 2 8" xfId="44330"/>
    <cellStyle name="Normal 401 3" xfId="18918"/>
    <cellStyle name="Normal 401 3 2" xfId="18919"/>
    <cellStyle name="Normal 401 3 2 2" xfId="44331"/>
    <cellStyle name="Normal 401 3 2 3" xfId="44332"/>
    <cellStyle name="Normal 401 3 3" xfId="18920"/>
    <cellStyle name="Normal 401 3 3 2" xfId="44333"/>
    <cellStyle name="Normal 401 3 3 3" xfId="44334"/>
    <cellStyle name="Normal 401 3 4" xfId="44335"/>
    <cellStyle name="Normal 401 3 5" xfId="44336"/>
    <cellStyle name="Normal 401 4" xfId="18921"/>
    <cellStyle name="Normal 401 4 2" xfId="44337"/>
    <cellStyle name="Normal 401 4 3" xfId="44338"/>
    <cellStyle name="Normal 401 5" xfId="18922"/>
    <cellStyle name="Normal 401 5 2" xfId="44339"/>
    <cellStyle name="Normal 401 5 3" xfId="44340"/>
    <cellStyle name="Normal 401 6" xfId="18923"/>
    <cellStyle name="Normal 401 7" xfId="44341"/>
    <cellStyle name="Normal 401 8" xfId="44342"/>
    <cellStyle name="Normal 401 9" xfId="44343"/>
    <cellStyle name="Normal 4010" xfId="18924"/>
    <cellStyle name="Normal 4010 2" xfId="18925"/>
    <cellStyle name="Normal 4010 2 2" xfId="44344"/>
    <cellStyle name="Normal 4010 2 3" xfId="44345"/>
    <cellStyle name="Normal 4010 3" xfId="44346"/>
    <cellStyle name="Normal 4010 4" xfId="44347"/>
    <cellStyle name="Normal 4011" xfId="18926"/>
    <cellStyle name="Normal 4011 2" xfId="18927"/>
    <cellStyle name="Normal 4011 2 2" xfId="44348"/>
    <cellStyle name="Normal 4011 2 3" xfId="44349"/>
    <cellStyle name="Normal 4011 3" xfId="44350"/>
    <cellStyle name="Normal 4011 4" xfId="44351"/>
    <cellStyle name="Normal 4012" xfId="18928"/>
    <cellStyle name="Normal 4012 2" xfId="18929"/>
    <cellStyle name="Normal 4012 2 2" xfId="44352"/>
    <cellStyle name="Normal 4012 2 3" xfId="44353"/>
    <cellStyle name="Normal 4012 3" xfId="44354"/>
    <cellStyle name="Normal 4012 4" xfId="44355"/>
    <cellStyle name="Normal 4013" xfId="18930"/>
    <cellStyle name="Normal 4013 2" xfId="18931"/>
    <cellStyle name="Normal 4013 2 2" xfId="44356"/>
    <cellStyle name="Normal 4013 2 3" xfId="44357"/>
    <cellStyle name="Normal 4013 3" xfId="44358"/>
    <cellStyle name="Normal 4013 4" xfId="44359"/>
    <cellStyle name="Normal 4014" xfId="18932"/>
    <cellStyle name="Normal 4014 2" xfId="18933"/>
    <cellStyle name="Normal 4014 2 2" xfId="44360"/>
    <cellStyle name="Normal 4014 2 3" xfId="44361"/>
    <cellStyle name="Normal 4014 3" xfId="44362"/>
    <cellStyle name="Normal 4014 4" xfId="44363"/>
    <cellStyle name="Normal 4015" xfId="18934"/>
    <cellStyle name="Normal 4015 2" xfId="18935"/>
    <cellStyle name="Normal 4015 2 2" xfId="44364"/>
    <cellStyle name="Normal 4015 2 3" xfId="44365"/>
    <cellStyle name="Normal 4015 3" xfId="44366"/>
    <cellStyle name="Normal 4015 4" xfId="44367"/>
    <cellStyle name="Normal 4016" xfId="18936"/>
    <cellStyle name="Normal 4016 2" xfId="18937"/>
    <cellStyle name="Normal 4016 2 2" xfId="44368"/>
    <cellStyle name="Normal 4016 2 3" xfId="44369"/>
    <cellStyle name="Normal 4016 3" xfId="44370"/>
    <cellStyle name="Normal 4016 4" xfId="44371"/>
    <cellStyle name="Normal 4017" xfId="18938"/>
    <cellStyle name="Normal 4017 2" xfId="18939"/>
    <cellStyle name="Normal 4017 2 2" xfId="44372"/>
    <cellStyle name="Normal 4017 2 3" xfId="44373"/>
    <cellStyle name="Normal 4017 3" xfId="44374"/>
    <cellStyle name="Normal 4017 4" xfId="44375"/>
    <cellStyle name="Normal 4018" xfId="18940"/>
    <cellStyle name="Normal 4018 2" xfId="18941"/>
    <cellStyle name="Normal 4018 2 2" xfId="44376"/>
    <cellStyle name="Normal 4018 2 3" xfId="44377"/>
    <cellStyle name="Normal 4018 3" xfId="44378"/>
    <cellStyle name="Normal 4018 4" xfId="44379"/>
    <cellStyle name="Normal 4019" xfId="18942"/>
    <cellStyle name="Normal 4019 2" xfId="18943"/>
    <cellStyle name="Normal 4019 2 2" xfId="44380"/>
    <cellStyle name="Normal 4019 2 3" xfId="44381"/>
    <cellStyle name="Normal 4019 3" xfId="44382"/>
    <cellStyle name="Normal 4019 4" xfId="44383"/>
    <cellStyle name="Normal 402" xfId="18944"/>
    <cellStyle name="Normal 402 10" xfId="44384"/>
    <cellStyle name="Normal 402 2" xfId="18945"/>
    <cellStyle name="Normal 402 2 2" xfId="18946"/>
    <cellStyle name="Normal 402 2 2 2" xfId="18947"/>
    <cellStyle name="Normal 402 2 2 3" xfId="18948"/>
    <cellStyle name="Normal 402 2 3" xfId="18949"/>
    <cellStyle name="Normal 402 2 3 2" xfId="44385"/>
    <cellStyle name="Normal 402 2 3 3" xfId="44386"/>
    <cellStyle name="Normal 402 2 4" xfId="18950"/>
    <cellStyle name="Normal 402 2 5" xfId="18951"/>
    <cellStyle name="Normal 402 2 6" xfId="44387"/>
    <cellStyle name="Normal 402 2 7" xfId="44388"/>
    <cellStyle name="Normal 402 2 8" xfId="44389"/>
    <cellStyle name="Normal 402 3" xfId="18952"/>
    <cellStyle name="Normal 402 3 2" xfId="18953"/>
    <cellStyle name="Normal 402 3 2 2" xfId="44390"/>
    <cellStyle name="Normal 402 3 2 3" xfId="44391"/>
    <cellStyle name="Normal 402 3 3" xfId="18954"/>
    <cellStyle name="Normal 402 3 3 2" xfId="44392"/>
    <cellStyle name="Normal 402 3 3 3" xfId="44393"/>
    <cellStyle name="Normal 402 3 4" xfId="44394"/>
    <cellStyle name="Normal 402 3 5" xfId="44395"/>
    <cellStyle name="Normal 402 4" xfId="18955"/>
    <cellStyle name="Normal 402 4 2" xfId="44396"/>
    <cellStyle name="Normal 402 4 3" xfId="44397"/>
    <cellStyle name="Normal 402 5" xfId="18956"/>
    <cellStyle name="Normal 402 5 2" xfId="44398"/>
    <cellStyle name="Normal 402 5 3" xfId="44399"/>
    <cellStyle name="Normal 402 6" xfId="18957"/>
    <cellStyle name="Normal 402 7" xfId="44400"/>
    <cellStyle name="Normal 402 8" xfId="44401"/>
    <cellStyle name="Normal 402 9" xfId="44402"/>
    <cellStyle name="Normal 4020" xfId="18958"/>
    <cellStyle name="Normal 4020 2" xfId="18959"/>
    <cellStyle name="Normal 4020 2 2" xfId="44403"/>
    <cellStyle name="Normal 4020 2 3" xfId="44404"/>
    <cellStyle name="Normal 4020 3" xfId="44405"/>
    <cellStyle name="Normal 4020 4" xfId="44406"/>
    <cellStyle name="Normal 4021" xfId="18960"/>
    <cellStyle name="Normal 4021 2" xfId="18961"/>
    <cellStyle name="Normal 4021 2 2" xfId="44407"/>
    <cellStyle name="Normal 4021 2 3" xfId="44408"/>
    <cellStyle name="Normal 4021 3" xfId="44409"/>
    <cellStyle name="Normal 4021 4" xfId="44410"/>
    <cellStyle name="Normal 4022" xfId="18962"/>
    <cellStyle name="Normal 4022 2" xfId="18963"/>
    <cellStyle name="Normal 4022 2 2" xfId="44411"/>
    <cellStyle name="Normal 4022 2 3" xfId="44412"/>
    <cellStyle name="Normal 4022 3" xfId="44413"/>
    <cellStyle name="Normal 4022 4" xfId="44414"/>
    <cellStyle name="Normal 4023" xfId="18964"/>
    <cellStyle name="Normal 4023 2" xfId="18965"/>
    <cellStyle name="Normal 4023 2 2" xfId="44415"/>
    <cellStyle name="Normal 4023 2 3" xfId="44416"/>
    <cellStyle name="Normal 4023 3" xfId="44417"/>
    <cellStyle name="Normal 4023 4" xfId="44418"/>
    <cellStyle name="Normal 4024" xfId="18966"/>
    <cellStyle name="Normal 4024 2" xfId="18967"/>
    <cellStyle name="Normal 4024 2 2" xfId="44419"/>
    <cellStyle name="Normal 4024 2 3" xfId="44420"/>
    <cellStyle name="Normal 4024 3" xfId="44421"/>
    <cellStyle name="Normal 4024 4" xfId="44422"/>
    <cellStyle name="Normal 4025" xfId="18968"/>
    <cellStyle name="Normal 4025 2" xfId="18969"/>
    <cellStyle name="Normal 4025 2 2" xfId="44423"/>
    <cellStyle name="Normal 4025 2 3" xfId="44424"/>
    <cellStyle name="Normal 4025 3" xfId="44425"/>
    <cellStyle name="Normal 4025 4" xfId="44426"/>
    <cellStyle name="Normal 4026" xfId="18970"/>
    <cellStyle name="Normal 4026 2" xfId="18971"/>
    <cellStyle name="Normal 4026 2 2" xfId="44427"/>
    <cellStyle name="Normal 4026 2 3" xfId="44428"/>
    <cellStyle name="Normal 4026 3" xfId="44429"/>
    <cellStyle name="Normal 4026 4" xfId="44430"/>
    <cellStyle name="Normal 4027" xfId="18972"/>
    <cellStyle name="Normal 4027 2" xfId="18973"/>
    <cellStyle name="Normal 4027 2 2" xfId="44431"/>
    <cellStyle name="Normal 4027 2 3" xfId="44432"/>
    <cellStyle name="Normal 4027 3" xfId="44433"/>
    <cellStyle name="Normal 4027 4" xfId="44434"/>
    <cellStyle name="Normal 4028" xfId="18974"/>
    <cellStyle name="Normal 4028 2" xfId="18975"/>
    <cellStyle name="Normal 4028 2 2" xfId="44435"/>
    <cellStyle name="Normal 4028 2 3" xfId="44436"/>
    <cellStyle name="Normal 4028 3" xfId="44437"/>
    <cellStyle name="Normal 4028 4" xfId="44438"/>
    <cellStyle name="Normal 4029" xfId="18976"/>
    <cellStyle name="Normal 4029 2" xfId="18977"/>
    <cellStyle name="Normal 4029 2 2" xfId="44439"/>
    <cellStyle name="Normal 4029 2 3" xfId="44440"/>
    <cellStyle name="Normal 4029 3" xfId="44441"/>
    <cellStyle name="Normal 4029 4" xfId="44442"/>
    <cellStyle name="Normal 403" xfId="18978"/>
    <cellStyle name="Normal 403 10" xfId="44443"/>
    <cellStyle name="Normal 403 2" xfId="18979"/>
    <cellStyle name="Normal 403 2 2" xfId="18980"/>
    <cellStyle name="Normal 403 2 2 2" xfId="18981"/>
    <cellStyle name="Normal 403 2 2 3" xfId="18982"/>
    <cellStyle name="Normal 403 2 3" xfId="18983"/>
    <cellStyle name="Normal 403 2 3 2" xfId="44444"/>
    <cellStyle name="Normal 403 2 3 3" xfId="44445"/>
    <cellStyle name="Normal 403 2 4" xfId="18984"/>
    <cellStyle name="Normal 403 2 5" xfId="18985"/>
    <cellStyle name="Normal 403 2 6" xfId="44446"/>
    <cellStyle name="Normal 403 2 7" xfId="44447"/>
    <cellStyle name="Normal 403 2 8" xfId="44448"/>
    <cellStyle name="Normal 403 3" xfId="18986"/>
    <cellStyle name="Normal 403 3 2" xfId="18987"/>
    <cellStyle name="Normal 403 3 2 2" xfId="44449"/>
    <cellStyle name="Normal 403 3 2 3" xfId="44450"/>
    <cellStyle name="Normal 403 3 3" xfId="18988"/>
    <cellStyle name="Normal 403 3 3 2" xfId="44451"/>
    <cellStyle name="Normal 403 3 3 3" xfId="44452"/>
    <cellStyle name="Normal 403 3 4" xfId="44453"/>
    <cellStyle name="Normal 403 3 5" xfId="44454"/>
    <cellStyle name="Normal 403 4" xfId="18989"/>
    <cellStyle name="Normal 403 4 2" xfId="44455"/>
    <cellStyle name="Normal 403 4 3" xfId="44456"/>
    <cellStyle name="Normal 403 5" xfId="18990"/>
    <cellStyle name="Normal 403 5 2" xfId="44457"/>
    <cellStyle name="Normal 403 5 3" xfId="44458"/>
    <cellStyle name="Normal 403 6" xfId="18991"/>
    <cellStyle name="Normal 403 7" xfId="44459"/>
    <cellStyle name="Normal 403 8" xfId="44460"/>
    <cellStyle name="Normal 403 9" xfId="44461"/>
    <cellStyle name="Normal 4030" xfId="18992"/>
    <cellStyle name="Normal 4030 2" xfId="18993"/>
    <cellStyle name="Normal 4030 2 2" xfId="44462"/>
    <cellStyle name="Normal 4030 2 3" xfId="44463"/>
    <cellStyle name="Normal 4030 3" xfId="44464"/>
    <cellStyle name="Normal 4030 4" xfId="44465"/>
    <cellStyle name="Normal 4031" xfId="18994"/>
    <cellStyle name="Normal 4031 2" xfId="18995"/>
    <cellStyle name="Normal 4031 2 2" xfId="44466"/>
    <cellStyle name="Normal 4031 2 3" xfId="44467"/>
    <cellStyle name="Normal 4031 3" xfId="44468"/>
    <cellStyle name="Normal 4031 4" xfId="44469"/>
    <cellStyle name="Normal 4032" xfId="18996"/>
    <cellStyle name="Normal 4032 2" xfId="18997"/>
    <cellStyle name="Normal 4032 2 2" xfId="44470"/>
    <cellStyle name="Normal 4032 2 3" xfId="44471"/>
    <cellStyle name="Normal 4032 3" xfId="44472"/>
    <cellStyle name="Normal 4032 4" xfId="44473"/>
    <cellStyle name="Normal 4033" xfId="18998"/>
    <cellStyle name="Normal 4033 2" xfId="18999"/>
    <cellStyle name="Normal 4033 2 2" xfId="44474"/>
    <cellStyle name="Normal 4033 2 3" xfId="44475"/>
    <cellStyle name="Normal 4033 3" xfId="44476"/>
    <cellStyle name="Normal 4033 4" xfId="44477"/>
    <cellStyle name="Normal 4034" xfId="19000"/>
    <cellStyle name="Normal 4034 2" xfId="19001"/>
    <cellStyle name="Normal 4034 2 2" xfId="44478"/>
    <cellStyle name="Normal 4034 2 3" xfId="44479"/>
    <cellStyle name="Normal 4034 3" xfId="44480"/>
    <cellStyle name="Normal 4034 4" xfId="44481"/>
    <cellStyle name="Normal 4035" xfId="19002"/>
    <cellStyle name="Normal 4035 2" xfId="19003"/>
    <cellStyle name="Normal 4035 2 2" xfId="44482"/>
    <cellStyle name="Normal 4035 2 3" xfId="44483"/>
    <cellStyle name="Normal 4035 3" xfId="44484"/>
    <cellStyle name="Normal 4035 4" xfId="44485"/>
    <cellStyle name="Normal 4036" xfId="19004"/>
    <cellStyle name="Normal 4036 2" xfId="19005"/>
    <cellStyle name="Normal 4036 2 2" xfId="44486"/>
    <cellStyle name="Normal 4036 2 3" xfId="44487"/>
    <cellStyle name="Normal 4036 3" xfId="44488"/>
    <cellStyle name="Normal 4036 4" xfId="44489"/>
    <cellStyle name="Normal 4037" xfId="19006"/>
    <cellStyle name="Normal 4037 2" xfId="19007"/>
    <cellStyle name="Normal 4037 2 2" xfId="44490"/>
    <cellStyle name="Normal 4037 2 3" xfId="44491"/>
    <cellStyle name="Normal 4037 3" xfId="44492"/>
    <cellStyle name="Normal 4037 4" xfId="44493"/>
    <cellStyle name="Normal 4038" xfId="19008"/>
    <cellStyle name="Normal 4038 2" xfId="19009"/>
    <cellStyle name="Normal 4038 2 2" xfId="44494"/>
    <cellStyle name="Normal 4038 2 3" xfId="44495"/>
    <cellStyle name="Normal 4038 3" xfId="44496"/>
    <cellStyle name="Normal 4038 4" xfId="44497"/>
    <cellStyle name="Normal 4039" xfId="19010"/>
    <cellStyle name="Normal 4039 2" xfId="19011"/>
    <cellStyle name="Normal 4039 2 2" xfId="44498"/>
    <cellStyle name="Normal 4039 2 3" xfId="44499"/>
    <cellStyle name="Normal 4039 3" xfId="44500"/>
    <cellStyle name="Normal 4039 4" xfId="44501"/>
    <cellStyle name="Normal 404" xfId="19012"/>
    <cellStyle name="Normal 404 10" xfId="44502"/>
    <cellStyle name="Normal 404 2" xfId="19013"/>
    <cellStyle name="Normal 404 2 2" xfId="19014"/>
    <cellStyle name="Normal 404 2 2 2" xfId="19015"/>
    <cellStyle name="Normal 404 2 2 3" xfId="19016"/>
    <cellStyle name="Normal 404 2 3" xfId="19017"/>
    <cellStyle name="Normal 404 2 3 2" xfId="44503"/>
    <cellStyle name="Normal 404 2 3 3" xfId="44504"/>
    <cellStyle name="Normal 404 2 4" xfId="19018"/>
    <cellStyle name="Normal 404 2 5" xfId="19019"/>
    <cellStyle name="Normal 404 2 6" xfId="44505"/>
    <cellStyle name="Normal 404 2 7" xfId="44506"/>
    <cellStyle name="Normal 404 2 8" xfId="44507"/>
    <cellStyle name="Normal 404 3" xfId="19020"/>
    <cellStyle name="Normal 404 3 2" xfId="19021"/>
    <cellStyle name="Normal 404 3 2 2" xfId="44508"/>
    <cellStyle name="Normal 404 3 2 3" xfId="44509"/>
    <cellStyle name="Normal 404 3 3" xfId="19022"/>
    <cellStyle name="Normal 404 3 3 2" xfId="44510"/>
    <cellStyle name="Normal 404 3 3 3" xfId="44511"/>
    <cellStyle name="Normal 404 3 4" xfId="44512"/>
    <cellStyle name="Normal 404 3 5" xfId="44513"/>
    <cellStyle name="Normal 404 4" xfId="19023"/>
    <cellStyle name="Normal 404 4 2" xfId="44514"/>
    <cellStyle name="Normal 404 4 3" xfId="44515"/>
    <cellStyle name="Normal 404 5" xfId="19024"/>
    <cellStyle name="Normal 404 5 2" xfId="44516"/>
    <cellStyle name="Normal 404 5 3" xfId="44517"/>
    <cellStyle name="Normal 404 6" xfId="19025"/>
    <cellStyle name="Normal 404 7" xfId="44518"/>
    <cellStyle name="Normal 404 8" xfId="44519"/>
    <cellStyle name="Normal 404 9" xfId="44520"/>
    <cellStyle name="Normal 4040" xfId="19026"/>
    <cellStyle name="Normal 4040 2" xfId="19027"/>
    <cellStyle name="Normal 4040 2 2" xfId="44521"/>
    <cellStyle name="Normal 4040 2 3" xfId="44522"/>
    <cellStyle name="Normal 4040 3" xfId="44523"/>
    <cellStyle name="Normal 4040 4" xfId="44524"/>
    <cellStyle name="Normal 4041" xfId="19028"/>
    <cellStyle name="Normal 4041 2" xfId="19029"/>
    <cellStyle name="Normal 4041 2 2" xfId="44525"/>
    <cellStyle name="Normal 4041 2 3" xfId="44526"/>
    <cellStyle name="Normal 4041 3" xfId="44527"/>
    <cellStyle name="Normal 4041 4" xfId="44528"/>
    <cellStyle name="Normal 4042" xfId="19030"/>
    <cellStyle name="Normal 4042 2" xfId="19031"/>
    <cellStyle name="Normal 4042 2 2" xfId="44529"/>
    <cellStyle name="Normal 4042 2 3" xfId="44530"/>
    <cellStyle name="Normal 4042 3" xfId="44531"/>
    <cellStyle name="Normal 4042 4" xfId="44532"/>
    <cellStyle name="Normal 4043" xfId="19032"/>
    <cellStyle name="Normal 4043 2" xfId="19033"/>
    <cellStyle name="Normal 4043 2 2" xfId="44533"/>
    <cellStyle name="Normal 4043 2 3" xfId="44534"/>
    <cellStyle name="Normal 4043 3" xfId="44535"/>
    <cellStyle name="Normal 4043 4" xfId="44536"/>
    <cellStyle name="Normal 4044" xfId="19034"/>
    <cellStyle name="Normal 4044 2" xfId="19035"/>
    <cellStyle name="Normal 4044 2 2" xfId="44537"/>
    <cellStyle name="Normal 4044 2 3" xfId="44538"/>
    <cellStyle name="Normal 4044 3" xfId="44539"/>
    <cellStyle name="Normal 4044 4" xfId="44540"/>
    <cellStyle name="Normal 4045" xfId="19036"/>
    <cellStyle name="Normal 4045 2" xfId="19037"/>
    <cellStyle name="Normal 4045 2 2" xfId="44541"/>
    <cellStyle name="Normal 4045 2 3" xfId="44542"/>
    <cellStyle name="Normal 4045 3" xfId="44543"/>
    <cellStyle name="Normal 4045 4" xfId="44544"/>
    <cellStyle name="Normal 4046" xfId="19038"/>
    <cellStyle name="Normal 4046 2" xfId="19039"/>
    <cellStyle name="Normal 4046 2 2" xfId="44545"/>
    <cellStyle name="Normal 4046 2 3" xfId="44546"/>
    <cellStyle name="Normal 4046 3" xfId="44547"/>
    <cellStyle name="Normal 4046 4" xfId="44548"/>
    <cellStyle name="Normal 4047" xfId="19040"/>
    <cellStyle name="Normal 4047 2" xfId="19041"/>
    <cellStyle name="Normal 4047 2 2" xfId="44549"/>
    <cellStyle name="Normal 4047 2 3" xfId="44550"/>
    <cellStyle name="Normal 4047 3" xfId="44551"/>
    <cellStyle name="Normal 4047 4" xfId="44552"/>
    <cellStyle name="Normal 4048" xfId="19042"/>
    <cellStyle name="Normal 4048 2" xfId="19043"/>
    <cellStyle name="Normal 4048 2 2" xfId="44553"/>
    <cellStyle name="Normal 4048 2 3" xfId="44554"/>
    <cellStyle name="Normal 4048 3" xfId="44555"/>
    <cellStyle name="Normal 4048 4" xfId="44556"/>
    <cellStyle name="Normal 4049" xfId="19044"/>
    <cellStyle name="Normal 4049 2" xfId="19045"/>
    <cellStyle name="Normal 4049 2 2" xfId="44557"/>
    <cellStyle name="Normal 4049 2 3" xfId="44558"/>
    <cellStyle name="Normal 4049 3" xfId="44559"/>
    <cellStyle name="Normal 4049 4" xfId="44560"/>
    <cellStyle name="Normal 405" xfId="19046"/>
    <cellStyle name="Normal 405 10" xfId="44561"/>
    <cellStyle name="Normal 405 2" xfId="19047"/>
    <cellStyle name="Normal 405 2 2" xfId="19048"/>
    <cellStyle name="Normal 405 2 2 2" xfId="19049"/>
    <cellStyle name="Normal 405 2 2 3" xfId="19050"/>
    <cellStyle name="Normal 405 2 3" xfId="19051"/>
    <cellStyle name="Normal 405 2 3 2" xfId="44562"/>
    <cellStyle name="Normal 405 2 3 3" xfId="44563"/>
    <cellStyle name="Normal 405 2 4" xfId="19052"/>
    <cellStyle name="Normal 405 2 5" xfId="19053"/>
    <cellStyle name="Normal 405 2 6" xfId="44564"/>
    <cellStyle name="Normal 405 2 7" xfId="44565"/>
    <cellStyle name="Normal 405 2 8" xfId="44566"/>
    <cellStyle name="Normal 405 3" xfId="19054"/>
    <cellStyle name="Normal 405 3 2" xfId="19055"/>
    <cellStyle name="Normal 405 3 2 2" xfId="44567"/>
    <cellStyle name="Normal 405 3 2 3" xfId="44568"/>
    <cellStyle name="Normal 405 3 3" xfId="19056"/>
    <cellStyle name="Normal 405 3 3 2" xfId="44569"/>
    <cellStyle name="Normal 405 3 3 3" xfId="44570"/>
    <cellStyle name="Normal 405 3 4" xfId="44571"/>
    <cellStyle name="Normal 405 3 5" xfId="44572"/>
    <cellStyle name="Normal 405 4" xfId="19057"/>
    <cellStyle name="Normal 405 4 2" xfId="44573"/>
    <cellStyle name="Normal 405 4 3" xfId="44574"/>
    <cellStyle name="Normal 405 5" xfId="19058"/>
    <cellStyle name="Normal 405 5 2" xfId="44575"/>
    <cellStyle name="Normal 405 5 3" xfId="44576"/>
    <cellStyle name="Normal 405 6" xfId="19059"/>
    <cellStyle name="Normal 405 7" xfId="44577"/>
    <cellStyle name="Normal 405 8" xfId="44578"/>
    <cellStyle name="Normal 405 9" xfId="44579"/>
    <cellStyle name="Normal 4050" xfId="19060"/>
    <cellStyle name="Normal 4050 2" xfId="19061"/>
    <cellStyle name="Normal 4050 2 2" xfId="44580"/>
    <cellStyle name="Normal 4050 2 3" xfId="44581"/>
    <cellStyle name="Normal 4050 3" xfId="44582"/>
    <cellStyle name="Normal 4050 4" xfId="44583"/>
    <cellStyle name="Normal 4051" xfId="19062"/>
    <cellStyle name="Normal 4051 2" xfId="19063"/>
    <cellStyle name="Normal 4051 2 2" xfId="44584"/>
    <cellStyle name="Normal 4051 2 3" xfId="44585"/>
    <cellStyle name="Normal 4051 3" xfId="44586"/>
    <cellStyle name="Normal 4051 4" xfId="44587"/>
    <cellStyle name="Normal 4052" xfId="19064"/>
    <cellStyle name="Normal 4052 2" xfId="19065"/>
    <cellStyle name="Normal 4052 2 2" xfId="44588"/>
    <cellStyle name="Normal 4052 2 3" xfId="44589"/>
    <cellStyle name="Normal 4052 3" xfId="44590"/>
    <cellStyle name="Normal 4052 4" xfId="44591"/>
    <cellStyle name="Normal 4053" xfId="19066"/>
    <cellStyle name="Normal 4053 2" xfId="19067"/>
    <cellStyle name="Normal 4053 2 2" xfId="44592"/>
    <cellStyle name="Normal 4053 2 3" xfId="44593"/>
    <cellStyle name="Normal 4053 3" xfId="44594"/>
    <cellStyle name="Normal 4053 4" xfId="44595"/>
    <cellStyle name="Normal 4054" xfId="19068"/>
    <cellStyle name="Normal 4054 2" xfId="19069"/>
    <cellStyle name="Normal 4054 2 2" xfId="44596"/>
    <cellStyle name="Normal 4054 2 3" xfId="44597"/>
    <cellStyle name="Normal 4054 3" xfId="44598"/>
    <cellStyle name="Normal 4054 4" xfId="44599"/>
    <cellStyle name="Normal 4055" xfId="19070"/>
    <cellStyle name="Normal 4055 2" xfId="19071"/>
    <cellStyle name="Normal 4055 2 2" xfId="44600"/>
    <cellStyle name="Normal 4055 2 3" xfId="44601"/>
    <cellStyle name="Normal 4055 3" xfId="44602"/>
    <cellStyle name="Normal 4055 4" xfId="44603"/>
    <cellStyle name="Normal 4056" xfId="19072"/>
    <cellStyle name="Normal 4056 2" xfId="19073"/>
    <cellStyle name="Normal 4056 2 2" xfId="44604"/>
    <cellStyle name="Normal 4056 2 3" xfId="44605"/>
    <cellStyle name="Normal 4056 3" xfId="44606"/>
    <cellStyle name="Normal 4056 4" xfId="44607"/>
    <cellStyle name="Normal 4057" xfId="19074"/>
    <cellStyle name="Normal 4057 2" xfId="19075"/>
    <cellStyle name="Normal 4057 2 2" xfId="44608"/>
    <cellStyle name="Normal 4057 2 3" xfId="44609"/>
    <cellStyle name="Normal 4057 3" xfId="44610"/>
    <cellStyle name="Normal 4057 4" xfId="44611"/>
    <cellStyle name="Normal 4058" xfId="19076"/>
    <cellStyle name="Normal 4058 2" xfId="19077"/>
    <cellStyle name="Normal 4058 2 2" xfId="44612"/>
    <cellStyle name="Normal 4058 2 3" xfId="44613"/>
    <cellStyle name="Normal 4058 3" xfId="44614"/>
    <cellStyle name="Normal 4058 4" xfId="44615"/>
    <cellStyle name="Normal 4059" xfId="19078"/>
    <cellStyle name="Normal 4059 2" xfId="19079"/>
    <cellStyle name="Normal 4059 2 2" xfId="44616"/>
    <cellStyle name="Normal 4059 2 3" xfId="44617"/>
    <cellStyle name="Normal 4059 3" xfId="44618"/>
    <cellStyle name="Normal 4059 4" xfId="44619"/>
    <cellStyle name="Normal 406" xfId="19080"/>
    <cellStyle name="Normal 406 10" xfId="44620"/>
    <cellStyle name="Normal 406 2" xfId="19081"/>
    <cellStyle name="Normal 406 2 2" xfId="19082"/>
    <cellStyle name="Normal 406 2 2 2" xfId="19083"/>
    <cellStyle name="Normal 406 2 2 3" xfId="19084"/>
    <cellStyle name="Normal 406 2 3" xfId="19085"/>
    <cellStyle name="Normal 406 2 3 2" xfId="44621"/>
    <cellStyle name="Normal 406 2 3 3" xfId="44622"/>
    <cellStyle name="Normal 406 2 4" xfId="19086"/>
    <cellStyle name="Normal 406 2 5" xfId="19087"/>
    <cellStyle name="Normal 406 2 6" xfId="44623"/>
    <cellStyle name="Normal 406 2 7" xfId="44624"/>
    <cellStyle name="Normal 406 2 8" xfId="44625"/>
    <cellStyle name="Normal 406 3" xfId="19088"/>
    <cellStyle name="Normal 406 3 2" xfId="19089"/>
    <cellStyle name="Normal 406 3 2 2" xfId="44626"/>
    <cellStyle name="Normal 406 3 2 3" xfId="44627"/>
    <cellStyle name="Normal 406 3 3" xfId="19090"/>
    <cellStyle name="Normal 406 3 3 2" xfId="44628"/>
    <cellStyle name="Normal 406 3 3 3" xfId="44629"/>
    <cellStyle name="Normal 406 3 4" xfId="44630"/>
    <cellStyle name="Normal 406 3 5" xfId="44631"/>
    <cellStyle name="Normal 406 4" xfId="19091"/>
    <cellStyle name="Normal 406 4 2" xfId="44632"/>
    <cellStyle name="Normal 406 4 3" xfId="44633"/>
    <cellStyle name="Normal 406 5" xfId="19092"/>
    <cellStyle name="Normal 406 5 2" xfId="44634"/>
    <cellStyle name="Normal 406 5 3" xfId="44635"/>
    <cellStyle name="Normal 406 6" xfId="19093"/>
    <cellStyle name="Normal 406 7" xfId="44636"/>
    <cellStyle name="Normal 406 8" xfId="44637"/>
    <cellStyle name="Normal 406 9" xfId="44638"/>
    <cellStyle name="Normal 4060" xfId="19094"/>
    <cellStyle name="Normal 4060 2" xfId="19095"/>
    <cellStyle name="Normal 4060 2 2" xfId="44639"/>
    <cellStyle name="Normal 4060 2 3" xfId="44640"/>
    <cellStyle name="Normal 4060 3" xfId="44641"/>
    <cellStyle name="Normal 4060 4" xfId="44642"/>
    <cellStyle name="Normal 4061" xfId="19096"/>
    <cellStyle name="Normal 4061 2" xfId="19097"/>
    <cellStyle name="Normal 4061 2 2" xfId="44643"/>
    <cellStyle name="Normal 4061 2 3" xfId="44644"/>
    <cellStyle name="Normal 4061 3" xfId="44645"/>
    <cellStyle name="Normal 4061 4" xfId="44646"/>
    <cellStyle name="Normal 4062" xfId="19098"/>
    <cellStyle name="Normal 4062 2" xfId="19099"/>
    <cellStyle name="Normal 4062 2 2" xfId="44647"/>
    <cellStyle name="Normal 4062 2 3" xfId="44648"/>
    <cellStyle name="Normal 4062 3" xfId="44649"/>
    <cellStyle name="Normal 4062 4" xfId="44650"/>
    <cellStyle name="Normal 4063" xfId="19100"/>
    <cellStyle name="Normal 4063 2" xfId="19101"/>
    <cellStyle name="Normal 4063 2 2" xfId="44651"/>
    <cellStyle name="Normal 4063 2 3" xfId="44652"/>
    <cellStyle name="Normal 4063 3" xfId="44653"/>
    <cellStyle name="Normal 4063 4" xfId="44654"/>
    <cellStyle name="Normal 4064" xfId="19102"/>
    <cellStyle name="Normal 4064 2" xfId="19103"/>
    <cellStyle name="Normal 4064 2 2" xfId="44655"/>
    <cellStyle name="Normal 4064 2 3" xfId="44656"/>
    <cellStyle name="Normal 4064 3" xfId="44657"/>
    <cellStyle name="Normal 4064 4" xfId="44658"/>
    <cellStyle name="Normal 4065" xfId="19104"/>
    <cellStyle name="Normal 4065 2" xfId="19105"/>
    <cellStyle name="Normal 4065 2 2" xfId="44659"/>
    <cellStyle name="Normal 4065 2 3" xfId="44660"/>
    <cellStyle name="Normal 4065 3" xfId="44661"/>
    <cellStyle name="Normal 4065 4" xfId="44662"/>
    <cellStyle name="Normal 4066" xfId="19106"/>
    <cellStyle name="Normal 4066 2" xfId="19107"/>
    <cellStyle name="Normal 4066 2 2" xfId="44663"/>
    <cellStyle name="Normal 4066 2 3" xfId="44664"/>
    <cellStyle name="Normal 4066 3" xfId="44665"/>
    <cellStyle name="Normal 4066 4" xfId="44666"/>
    <cellStyle name="Normal 4067" xfId="19108"/>
    <cellStyle name="Normal 4067 2" xfId="19109"/>
    <cellStyle name="Normal 4067 2 2" xfId="44667"/>
    <cellStyle name="Normal 4067 2 3" xfId="44668"/>
    <cellStyle name="Normal 4067 3" xfId="44669"/>
    <cellStyle name="Normal 4067 4" xfId="44670"/>
    <cellStyle name="Normal 4068" xfId="19110"/>
    <cellStyle name="Normal 4068 2" xfId="19111"/>
    <cellStyle name="Normal 4068 2 2" xfId="44671"/>
    <cellStyle name="Normal 4068 2 3" xfId="44672"/>
    <cellStyle name="Normal 4068 3" xfId="44673"/>
    <cellStyle name="Normal 4068 4" xfId="44674"/>
    <cellStyle name="Normal 4069" xfId="19112"/>
    <cellStyle name="Normal 4069 2" xfId="19113"/>
    <cellStyle name="Normal 4069 2 2" xfId="44675"/>
    <cellStyle name="Normal 4069 2 3" xfId="44676"/>
    <cellStyle name="Normal 4069 3" xfId="44677"/>
    <cellStyle name="Normal 4069 4" xfId="44678"/>
    <cellStyle name="Normal 407" xfId="19114"/>
    <cellStyle name="Normal 407 10" xfId="44679"/>
    <cellStyle name="Normal 407 2" xfId="19115"/>
    <cellStyle name="Normal 407 2 2" xfId="19116"/>
    <cellStyle name="Normal 407 2 2 2" xfId="19117"/>
    <cellStyle name="Normal 407 2 2 3" xfId="19118"/>
    <cellStyle name="Normal 407 2 3" xfId="19119"/>
    <cellStyle name="Normal 407 2 3 2" xfId="44680"/>
    <cellStyle name="Normal 407 2 3 3" xfId="44681"/>
    <cellStyle name="Normal 407 2 4" xfId="19120"/>
    <cellStyle name="Normal 407 2 5" xfId="19121"/>
    <cellStyle name="Normal 407 2 6" xfId="44682"/>
    <cellStyle name="Normal 407 2 7" xfId="44683"/>
    <cellStyle name="Normal 407 2 8" xfId="44684"/>
    <cellStyle name="Normal 407 3" xfId="19122"/>
    <cellStyle name="Normal 407 3 2" xfId="19123"/>
    <cellStyle name="Normal 407 3 2 2" xfId="44685"/>
    <cellStyle name="Normal 407 3 2 3" xfId="44686"/>
    <cellStyle name="Normal 407 3 3" xfId="19124"/>
    <cellStyle name="Normal 407 3 3 2" xfId="44687"/>
    <cellStyle name="Normal 407 3 3 3" xfId="44688"/>
    <cellStyle name="Normal 407 3 4" xfId="44689"/>
    <cellStyle name="Normal 407 3 5" xfId="44690"/>
    <cellStyle name="Normal 407 4" xfId="19125"/>
    <cellStyle name="Normal 407 4 2" xfId="44691"/>
    <cellStyle name="Normal 407 4 3" xfId="44692"/>
    <cellStyle name="Normal 407 5" xfId="19126"/>
    <cellStyle name="Normal 407 5 2" xfId="44693"/>
    <cellStyle name="Normal 407 5 3" xfId="44694"/>
    <cellStyle name="Normal 407 6" xfId="19127"/>
    <cellStyle name="Normal 407 7" xfId="44695"/>
    <cellStyle name="Normal 407 8" xfId="44696"/>
    <cellStyle name="Normal 407 9" xfId="44697"/>
    <cellStyle name="Normal 4070" xfId="19128"/>
    <cellStyle name="Normal 4070 2" xfId="19129"/>
    <cellStyle name="Normal 4070 2 2" xfId="44698"/>
    <cellStyle name="Normal 4070 2 3" xfId="44699"/>
    <cellStyle name="Normal 4070 3" xfId="44700"/>
    <cellStyle name="Normal 4070 4" xfId="44701"/>
    <cellStyle name="Normal 4071" xfId="19130"/>
    <cellStyle name="Normal 4071 2" xfId="19131"/>
    <cellStyle name="Normal 4071 2 2" xfId="44702"/>
    <cellStyle name="Normal 4071 2 3" xfId="44703"/>
    <cellStyle name="Normal 4071 3" xfId="44704"/>
    <cellStyle name="Normal 4071 4" xfId="44705"/>
    <cellStyle name="Normal 4072" xfId="19132"/>
    <cellStyle name="Normal 4072 2" xfId="19133"/>
    <cellStyle name="Normal 4072 2 2" xfId="44706"/>
    <cellStyle name="Normal 4072 2 3" xfId="44707"/>
    <cellStyle name="Normal 4072 3" xfId="44708"/>
    <cellStyle name="Normal 4072 4" xfId="44709"/>
    <cellStyle name="Normal 4073" xfId="19134"/>
    <cellStyle name="Normal 4073 2" xfId="19135"/>
    <cellStyle name="Normal 4073 2 2" xfId="44710"/>
    <cellStyle name="Normal 4073 2 3" xfId="44711"/>
    <cellStyle name="Normal 4073 3" xfId="44712"/>
    <cellStyle name="Normal 4073 4" xfId="44713"/>
    <cellStyle name="Normal 4074" xfId="19136"/>
    <cellStyle name="Normal 4074 2" xfId="19137"/>
    <cellStyle name="Normal 4074 2 2" xfId="44714"/>
    <cellStyle name="Normal 4074 2 3" xfId="44715"/>
    <cellStyle name="Normal 4074 3" xfId="44716"/>
    <cellStyle name="Normal 4074 4" xfId="44717"/>
    <cellStyle name="Normal 4075" xfId="19138"/>
    <cellStyle name="Normal 4075 2" xfId="19139"/>
    <cellStyle name="Normal 4075 2 2" xfId="44718"/>
    <cellStyle name="Normal 4075 2 3" xfId="44719"/>
    <cellStyle name="Normal 4075 3" xfId="44720"/>
    <cellStyle name="Normal 4075 4" xfId="44721"/>
    <cellStyle name="Normal 4076" xfId="19140"/>
    <cellStyle name="Normal 4076 2" xfId="19141"/>
    <cellStyle name="Normal 4076 2 2" xfId="44722"/>
    <cellStyle name="Normal 4076 2 3" xfId="44723"/>
    <cellStyle name="Normal 4076 3" xfId="44724"/>
    <cellStyle name="Normal 4076 4" xfId="44725"/>
    <cellStyle name="Normal 4077" xfId="19142"/>
    <cellStyle name="Normal 4077 2" xfId="19143"/>
    <cellStyle name="Normal 4077 2 2" xfId="44726"/>
    <cellStyle name="Normal 4077 2 3" xfId="44727"/>
    <cellStyle name="Normal 4077 3" xfId="44728"/>
    <cellStyle name="Normal 4077 4" xfId="44729"/>
    <cellStyle name="Normal 4078" xfId="19144"/>
    <cellStyle name="Normal 4078 2" xfId="19145"/>
    <cellStyle name="Normal 4078 2 2" xfId="44730"/>
    <cellStyle name="Normal 4078 2 3" xfId="44731"/>
    <cellStyle name="Normal 4078 3" xfId="44732"/>
    <cellStyle name="Normal 4078 4" xfId="44733"/>
    <cellStyle name="Normal 4079" xfId="19146"/>
    <cellStyle name="Normal 4079 2" xfId="19147"/>
    <cellStyle name="Normal 4079 2 2" xfId="44734"/>
    <cellStyle name="Normal 4079 2 3" xfId="44735"/>
    <cellStyle name="Normal 4079 3" xfId="44736"/>
    <cellStyle name="Normal 4079 4" xfId="44737"/>
    <cellStyle name="Normal 408" xfId="19148"/>
    <cellStyle name="Normal 408 10" xfId="44738"/>
    <cellStyle name="Normal 408 2" xfId="19149"/>
    <cellStyle name="Normal 408 2 2" xfId="19150"/>
    <cellStyle name="Normal 408 2 2 2" xfId="19151"/>
    <cellStyle name="Normal 408 2 2 3" xfId="19152"/>
    <cellStyle name="Normal 408 2 3" xfId="19153"/>
    <cellStyle name="Normal 408 2 3 2" xfId="44739"/>
    <cellStyle name="Normal 408 2 3 3" xfId="44740"/>
    <cellStyle name="Normal 408 2 4" xfId="19154"/>
    <cellStyle name="Normal 408 2 5" xfId="19155"/>
    <cellStyle name="Normal 408 2 6" xfId="44741"/>
    <cellStyle name="Normal 408 2 7" xfId="44742"/>
    <cellStyle name="Normal 408 2 8" xfId="44743"/>
    <cellStyle name="Normal 408 3" xfId="19156"/>
    <cellStyle name="Normal 408 3 2" xfId="19157"/>
    <cellStyle name="Normal 408 3 2 2" xfId="44744"/>
    <cellStyle name="Normal 408 3 2 3" xfId="44745"/>
    <cellStyle name="Normal 408 3 3" xfId="19158"/>
    <cellStyle name="Normal 408 3 3 2" xfId="44746"/>
    <cellStyle name="Normal 408 3 3 3" xfId="44747"/>
    <cellStyle name="Normal 408 3 4" xfId="44748"/>
    <cellStyle name="Normal 408 3 5" xfId="44749"/>
    <cellStyle name="Normal 408 4" xfId="19159"/>
    <cellStyle name="Normal 408 4 2" xfId="44750"/>
    <cellStyle name="Normal 408 4 3" xfId="44751"/>
    <cellStyle name="Normal 408 5" xfId="19160"/>
    <cellStyle name="Normal 408 5 2" xfId="44752"/>
    <cellStyle name="Normal 408 5 3" xfId="44753"/>
    <cellStyle name="Normal 408 6" xfId="19161"/>
    <cellStyle name="Normal 408 7" xfId="44754"/>
    <cellStyle name="Normal 408 8" xfId="44755"/>
    <cellStyle name="Normal 408 9" xfId="44756"/>
    <cellStyle name="Normal 4080" xfId="19162"/>
    <cellStyle name="Normal 4080 2" xfId="19163"/>
    <cellStyle name="Normal 4080 2 2" xfId="44757"/>
    <cellStyle name="Normal 4080 2 3" xfId="44758"/>
    <cellStyle name="Normal 4080 3" xfId="44759"/>
    <cellStyle name="Normal 4080 4" xfId="44760"/>
    <cellStyle name="Normal 4081" xfId="19164"/>
    <cellStyle name="Normal 4081 2" xfId="19165"/>
    <cellStyle name="Normal 4081 2 2" xfId="44761"/>
    <cellStyle name="Normal 4081 2 3" xfId="44762"/>
    <cellStyle name="Normal 4081 3" xfId="44763"/>
    <cellStyle name="Normal 4081 4" xfId="44764"/>
    <cellStyle name="Normal 4082" xfId="19166"/>
    <cellStyle name="Normal 4082 2" xfId="19167"/>
    <cellStyle name="Normal 4082 2 2" xfId="44765"/>
    <cellStyle name="Normal 4082 2 3" xfId="44766"/>
    <cellStyle name="Normal 4082 3" xfId="44767"/>
    <cellStyle name="Normal 4082 4" xfId="44768"/>
    <cellStyle name="Normal 4083" xfId="19168"/>
    <cellStyle name="Normal 4083 2" xfId="19169"/>
    <cellStyle name="Normal 4083 2 2" xfId="44769"/>
    <cellStyle name="Normal 4083 2 3" xfId="44770"/>
    <cellStyle name="Normal 4083 3" xfId="44771"/>
    <cellStyle name="Normal 4083 4" xfId="44772"/>
    <cellStyle name="Normal 4084" xfId="19170"/>
    <cellStyle name="Normal 4084 2" xfId="19171"/>
    <cellStyle name="Normal 4084 2 2" xfId="44773"/>
    <cellStyle name="Normal 4084 2 3" xfId="44774"/>
    <cellStyle name="Normal 4084 3" xfId="44775"/>
    <cellStyle name="Normal 4084 4" xfId="44776"/>
    <cellStyle name="Normal 4085" xfId="19172"/>
    <cellStyle name="Normal 4085 2" xfId="19173"/>
    <cellStyle name="Normal 4085 2 2" xfId="44777"/>
    <cellStyle name="Normal 4085 2 3" xfId="44778"/>
    <cellStyle name="Normal 4085 3" xfId="44779"/>
    <cellStyle name="Normal 4085 4" xfId="44780"/>
    <cellStyle name="Normal 4086" xfId="19174"/>
    <cellStyle name="Normal 4086 2" xfId="19175"/>
    <cellStyle name="Normal 4086 2 2" xfId="44781"/>
    <cellStyle name="Normal 4086 2 3" xfId="44782"/>
    <cellStyle name="Normal 4086 3" xfId="44783"/>
    <cellStyle name="Normal 4086 4" xfId="44784"/>
    <cellStyle name="Normal 4087" xfId="19176"/>
    <cellStyle name="Normal 4087 2" xfId="19177"/>
    <cellStyle name="Normal 4087 2 2" xfId="44785"/>
    <cellStyle name="Normal 4087 2 3" xfId="44786"/>
    <cellStyle name="Normal 4087 3" xfId="44787"/>
    <cellStyle name="Normal 4087 4" xfId="44788"/>
    <cellStyle name="Normal 4088" xfId="19178"/>
    <cellStyle name="Normal 4088 2" xfId="19179"/>
    <cellStyle name="Normal 4088 2 2" xfId="44789"/>
    <cellStyle name="Normal 4088 2 3" xfId="44790"/>
    <cellStyle name="Normal 4088 3" xfId="44791"/>
    <cellStyle name="Normal 4088 4" xfId="44792"/>
    <cellStyle name="Normal 4089" xfId="19180"/>
    <cellStyle name="Normal 4089 2" xfId="19181"/>
    <cellStyle name="Normal 4089 2 2" xfId="44793"/>
    <cellStyle name="Normal 4089 2 3" xfId="44794"/>
    <cellStyle name="Normal 4089 3" xfId="44795"/>
    <cellStyle name="Normal 4089 4" xfId="44796"/>
    <cellStyle name="Normal 409" xfId="19182"/>
    <cellStyle name="Normal 409 10" xfId="44797"/>
    <cellStyle name="Normal 409 2" xfId="19183"/>
    <cellStyle name="Normal 409 2 2" xfId="19184"/>
    <cellStyle name="Normal 409 2 2 2" xfId="19185"/>
    <cellStyle name="Normal 409 2 2 3" xfId="19186"/>
    <cellStyle name="Normal 409 2 3" xfId="19187"/>
    <cellStyle name="Normal 409 2 3 2" xfId="44798"/>
    <cellStyle name="Normal 409 2 3 3" xfId="44799"/>
    <cellStyle name="Normal 409 2 4" xfId="19188"/>
    <cellStyle name="Normal 409 2 5" xfId="19189"/>
    <cellStyle name="Normal 409 2 6" xfId="44800"/>
    <cellStyle name="Normal 409 2 7" xfId="44801"/>
    <cellStyle name="Normal 409 2 8" xfId="44802"/>
    <cellStyle name="Normal 409 3" xfId="19190"/>
    <cellStyle name="Normal 409 3 2" xfId="19191"/>
    <cellStyle name="Normal 409 3 2 2" xfId="44803"/>
    <cellStyle name="Normal 409 3 2 3" xfId="44804"/>
    <cellStyle name="Normal 409 3 3" xfId="19192"/>
    <cellStyle name="Normal 409 3 3 2" xfId="44805"/>
    <cellStyle name="Normal 409 3 3 3" xfId="44806"/>
    <cellStyle name="Normal 409 3 4" xfId="44807"/>
    <cellStyle name="Normal 409 3 5" xfId="44808"/>
    <cellStyle name="Normal 409 4" xfId="19193"/>
    <cellStyle name="Normal 409 4 2" xfId="44809"/>
    <cellStyle name="Normal 409 4 3" xfId="44810"/>
    <cellStyle name="Normal 409 5" xfId="19194"/>
    <cellStyle name="Normal 409 5 2" xfId="44811"/>
    <cellStyle name="Normal 409 5 3" xfId="44812"/>
    <cellStyle name="Normal 409 6" xfId="19195"/>
    <cellStyle name="Normal 409 7" xfId="44813"/>
    <cellStyle name="Normal 409 8" xfId="44814"/>
    <cellStyle name="Normal 409 9" xfId="44815"/>
    <cellStyle name="Normal 4090" xfId="19196"/>
    <cellStyle name="Normal 4090 2" xfId="19197"/>
    <cellStyle name="Normal 4090 2 2" xfId="44816"/>
    <cellStyle name="Normal 4090 2 3" xfId="44817"/>
    <cellStyle name="Normal 4090 3" xfId="44818"/>
    <cellStyle name="Normal 4090 4" xfId="44819"/>
    <cellStyle name="Normal 4091" xfId="19198"/>
    <cellStyle name="Normal 4091 2" xfId="19199"/>
    <cellStyle name="Normal 4091 2 2" xfId="44820"/>
    <cellStyle name="Normal 4091 2 3" xfId="44821"/>
    <cellStyle name="Normal 4091 3" xfId="44822"/>
    <cellStyle name="Normal 4091 4" xfId="44823"/>
    <cellStyle name="Normal 4092" xfId="19200"/>
    <cellStyle name="Normal 4092 2" xfId="19201"/>
    <cellStyle name="Normal 4092 2 2" xfId="44824"/>
    <cellStyle name="Normal 4092 2 3" xfId="44825"/>
    <cellStyle name="Normal 4092 3" xfId="44826"/>
    <cellStyle name="Normal 4092 4" xfId="44827"/>
    <cellStyle name="Normal 4093" xfId="19202"/>
    <cellStyle name="Normal 4093 2" xfId="19203"/>
    <cellStyle name="Normal 4093 2 2" xfId="44828"/>
    <cellStyle name="Normal 4093 2 3" xfId="44829"/>
    <cellStyle name="Normal 4093 3" xfId="44830"/>
    <cellStyle name="Normal 4093 4" xfId="44831"/>
    <cellStyle name="Normal 4094" xfId="19204"/>
    <cellStyle name="Normal 4094 2" xfId="19205"/>
    <cellStyle name="Normal 4094 2 2" xfId="44832"/>
    <cellStyle name="Normal 4094 2 3" xfId="44833"/>
    <cellStyle name="Normal 4094 3" xfId="44834"/>
    <cellStyle name="Normal 4094 4" xfId="44835"/>
    <cellStyle name="Normal 4095" xfId="19206"/>
    <cellStyle name="Normal 4095 2" xfId="19207"/>
    <cellStyle name="Normal 4095 2 2" xfId="44836"/>
    <cellStyle name="Normal 4095 2 3" xfId="44837"/>
    <cellStyle name="Normal 4095 3" xfId="44838"/>
    <cellStyle name="Normal 4095 4" xfId="44839"/>
    <cellStyle name="Normal 4096" xfId="19208"/>
    <cellStyle name="Normal 4096 2" xfId="19209"/>
    <cellStyle name="Normal 4096 2 2" xfId="44840"/>
    <cellStyle name="Normal 4096 2 3" xfId="44841"/>
    <cellStyle name="Normal 4096 3" xfId="44842"/>
    <cellStyle name="Normal 4096 4" xfId="44843"/>
    <cellStyle name="Normal 4097" xfId="19210"/>
    <cellStyle name="Normal 4097 2" xfId="19211"/>
    <cellStyle name="Normal 4097 2 2" xfId="44844"/>
    <cellStyle name="Normal 4097 2 3" xfId="44845"/>
    <cellStyle name="Normal 4097 3" xfId="44846"/>
    <cellStyle name="Normal 4097 4" xfId="44847"/>
    <cellStyle name="Normal 4098" xfId="19212"/>
    <cellStyle name="Normal 4098 2" xfId="19213"/>
    <cellStyle name="Normal 4098 2 2" xfId="44848"/>
    <cellStyle name="Normal 4098 2 3" xfId="44849"/>
    <cellStyle name="Normal 4098 3" xfId="44850"/>
    <cellStyle name="Normal 4098 4" xfId="44851"/>
    <cellStyle name="Normal 4099" xfId="19214"/>
    <cellStyle name="Normal 4099 2" xfId="19215"/>
    <cellStyle name="Normal 4099 2 2" xfId="44852"/>
    <cellStyle name="Normal 4099 2 3" xfId="44853"/>
    <cellStyle name="Normal 4099 3" xfId="44854"/>
    <cellStyle name="Normal 4099 4" xfId="44855"/>
    <cellStyle name="Normal 41" xfId="19216"/>
    <cellStyle name="Normal 41 10" xfId="44856"/>
    <cellStyle name="Normal 41 2" xfId="19217"/>
    <cellStyle name="Normal 41 2 2" xfId="19218"/>
    <cellStyle name="Normal 41 2 2 2" xfId="19219"/>
    <cellStyle name="Normal 41 2 2 3" xfId="19220"/>
    <cellStyle name="Normal 41 2 3" xfId="19221"/>
    <cellStyle name="Normal 41 2 3 2" xfId="44857"/>
    <cellStyle name="Normal 41 2 3 3" xfId="44858"/>
    <cellStyle name="Normal 41 2 4" xfId="19222"/>
    <cellStyle name="Normal 41 2 5" xfId="19223"/>
    <cellStyle name="Normal 41 2 6" xfId="44859"/>
    <cellStyle name="Normal 41 2 7" xfId="44860"/>
    <cellStyle name="Normal 41 2 8" xfId="44861"/>
    <cellStyle name="Normal 41 3" xfId="19224"/>
    <cellStyle name="Normal 41 3 2" xfId="19225"/>
    <cellStyle name="Normal 41 3 2 2" xfId="44862"/>
    <cellStyle name="Normal 41 3 2 3" xfId="44863"/>
    <cellStyle name="Normal 41 3 3" xfId="19226"/>
    <cellStyle name="Normal 41 3 3 2" xfId="44864"/>
    <cellStyle name="Normal 41 3 3 3" xfId="44865"/>
    <cellStyle name="Normal 41 3 4" xfId="19227"/>
    <cellStyle name="Normal 41 3 5" xfId="44866"/>
    <cellStyle name="Normal 41 4" xfId="19228"/>
    <cellStyle name="Normal 41 4 2" xfId="44867"/>
    <cellStyle name="Normal 41 4 3" xfId="44868"/>
    <cellStyle name="Normal 41 5" xfId="19229"/>
    <cellStyle name="Normal 41 5 2" xfId="44869"/>
    <cellStyle name="Normal 41 5 3" xfId="44870"/>
    <cellStyle name="Normal 41 6" xfId="19230"/>
    <cellStyle name="Normal 41 7" xfId="44871"/>
    <cellStyle name="Normal 41 8" xfId="44872"/>
    <cellStyle name="Normal 41 9" xfId="44873"/>
    <cellStyle name="Normal 410" xfId="19231"/>
    <cellStyle name="Normal 410 10" xfId="44874"/>
    <cellStyle name="Normal 410 2" xfId="19232"/>
    <cellStyle name="Normal 410 2 2" xfId="19233"/>
    <cellStyle name="Normal 410 2 2 2" xfId="19234"/>
    <cellStyle name="Normal 410 2 2 3" xfId="19235"/>
    <cellStyle name="Normal 410 2 3" xfId="19236"/>
    <cellStyle name="Normal 410 2 3 2" xfId="44875"/>
    <cellStyle name="Normal 410 2 3 3" xfId="44876"/>
    <cellStyle name="Normal 410 2 4" xfId="19237"/>
    <cellStyle name="Normal 410 2 5" xfId="19238"/>
    <cellStyle name="Normal 410 2 6" xfId="44877"/>
    <cellStyle name="Normal 410 2 7" xfId="44878"/>
    <cellStyle name="Normal 410 2 8" xfId="44879"/>
    <cellStyle name="Normal 410 3" xfId="19239"/>
    <cellStyle name="Normal 410 3 2" xfId="19240"/>
    <cellStyle name="Normal 410 3 2 2" xfId="44880"/>
    <cellStyle name="Normal 410 3 2 3" xfId="44881"/>
    <cellStyle name="Normal 410 3 3" xfId="19241"/>
    <cellStyle name="Normal 410 3 3 2" xfId="44882"/>
    <cellStyle name="Normal 410 3 3 3" xfId="44883"/>
    <cellStyle name="Normal 410 3 4" xfId="44884"/>
    <cellStyle name="Normal 410 3 5" xfId="44885"/>
    <cellStyle name="Normal 410 4" xfId="19242"/>
    <cellStyle name="Normal 410 4 2" xfId="44886"/>
    <cellStyle name="Normal 410 4 3" xfId="44887"/>
    <cellStyle name="Normal 410 5" xfId="19243"/>
    <cellStyle name="Normal 410 5 2" xfId="44888"/>
    <cellStyle name="Normal 410 5 3" xfId="44889"/>
    <cellStyle name="Normal 410 6" xfId="19244"/>
    <cellStyle name="Normal 410 7" xfId="44890"/>
    <cellStyle name="Normal 410 8" xfId="44891"/>
    <cellStyle name="Normal 410 9" xfId="44892"/>
    <cellStyle name="Normal 4100" xfId="19245"/>
    <cellStyle name="Normal 4100 2" xfId="19246"/>
    <cellStyle name="Normal 4100 2 2" xfId="44893"/>
    <cellStyle name="Normal 4100 2 3" xfId="44894"/>
    <cellStyle name="Normal 4100 3" xfId="44895"/>
    <cellStyle name="Normal 4100 4" xfId="44896"/>
    <cellStyle name="Normal 4101" xfId="19247"/>
    <cellStyle name="Normal 4101 2" xfId="19248"/>
    <cellStyle name="Normal 4101 2 2" xfId="44897"/>
    <cellStyle name="Normal 4101 2 3" xfId="44898"/>
    <cellStyle name="Normal 4101 3" xfId="44899"/>
    <cellStyle name="Normal 4101 4" xfId="44900"/>
    <cellStyle name="Normal 4102" xfId="19249"/>
    <cellStyle name="Normal 4102 2" xfId="19250"/>
    <cellStyle name="Normal 4102 2 2" xfId="44901"/>
    <cellStyle name="Normal 4102 2 3" xfId="44902"/>
    <cellStyle name="Normal 4102 3" xfId="44903"/>
    <cellStyle name="Normal 4102 4" xfId="44904"/>
    <cellStyle name="Normal 4103" xfId="19251"/>
    <cellStyle name="Normal 4103 2" xfId="19252"/>
    <cellStyle name="Normal 4103 2 2" xfId="44905"/>
    <cellStyle name="Normal 4103 2 3" xfId="44906"/>
    <cellStyle name="Normal 4103 3" xfId="44907"/>
    <cellStyle name="Normal 4103 4" xfId="44908"/>
    <cellStyle name="Normal 4104" xfId="19253"/>
    <cellStyle name="Normal 4104 2" xfId="19254"/>
    <cellStyle name="Normal 4104 2 2" xfId="44909"/>
    <cellStyle name="Normal 4104 2 3" xfId="44910"/>
    <cellStyle name="Normal 4104 3" xfId="44911"/>
    <cellStyle name="Normal 4104 4" xfId="44912"/>
    <cellStyle name="Normal 4105" xfId="19255"/>
    <cellStyle name="Normal 4105 2" xfId="19256"/>
    <cellStyle name="Normal 4105 2 2" xfId="44913"/>
    <cellStyle name="Normal 4105 2 3" xfId="44914"/>
    <cellStyle name="Normal 4105 3" xfId="44915"/>
    <cellStyle name="Normal 4105 4" xfId="44916"/>
    <cellStyle name="Normal 4106" xfId="19257"/>
    <cellStyle name="Normal 4106 2" xfId="19258"/>
    <cellStyle name="Normal 4106 2 2" xfId="44917"/>
    <cellStyle name="Normal 4106 2 3" xfId="44918"/>
    <cellStyle name="Normal 4106 3" xfId="44919"/>
    <cellStyle name="Normal 4106 4" xfId="44920"/>
    <cellStyle name="Normal 4107" xfId="19259"/>
    <cellStyle name="Normal 4107 2" xfId="19260"/>
    <cellStyle name="Normal 4107 2 2" xfId="44921"/>
    <cellStyle name="Normal 4107 2 3" xfId="44922"/>
    <cellStyle name="Normal 4107 3" xfId="44923"/>
    <cellStyle name="Normal 4107 4" xfId="44924"/>
    <cellStyle name="Normal 4108" xfId="19261"/>
    <cellStyle name="Normal 4108 2" xfId="19262"/>
    <cellStyle name="Normal 4108 2 2" xfId="44925"/>
    <cellStyle name="Normal 4108 2 3" xfId="44926"/>
    <cellStyle name="Normal 4108 3" xfId="44927"/>
    <cellStyle name="Normal 4108 4" xfId="44928"/>
    <cellStyle name="Normal 4109" xfId="19263"/>
    <cellStyle name="Normal 4109 2" xfId="19264"/>
    <cellStyle name="Normal 4109 2 2" xfId="44929"/>
    <cellStyle name="Normal 4109 2 3" xfId="44930"/>
    <cellStyle name="Normal 4109 3" xfId="44931"/>
    <cellStyle name="Normal 4109 4" xfId="44932"/>
    <cellStyle name="Normal 411" xfId="19265"/>
    <cellStyle name="Normal 411 10" xfId="44933"/>
    <cellStyle name="Normal 411 2" xfId="19266"/>
    <cellStyle name="Normal 411 2 2" xfId="19267"/>
    <cellStyle name="Normal 411 2 2 2" xfId="19268"/>
    <cellStyle name="Normal 411 2 2 3" xfId="19269"/>
    <cellStyle name="Normal 411 2 3" xfId="19270"/>
    <cellStyle name="Normal 411 2 3 2" xfId="44934"/>
    <cellStyle name="Normal 411 2 3 3" xfId="44935"/>
    <cellStyle name="Normal 411 2 4" xfId="19271"/>
    <cellStyle name="Normal 411 2 5" xfId="19272"/>
    <cellStyle name="Normal 411 2 6" xfId="44936"/>
    <cellStyle name="Normal 411 2 7" xfId="44937"/>
    <cellStyle name="Normal 411 2 8" xfId="44938"/>
    <cellStyle name="Normal 411 3" xfId="19273"/>
    <cellStyle name="Normal 411 3 2" xfId="19274"/>
    <cellStyle name="Normal 411 3 2 2" xfId="44939"/>
    <cellStyle name="Normal 411 3 2 3" xfId="44940"/>
    <cellStyle name="Normal 411 3 3" xfId="19275"/>
    <cellStyle name="Normal 411 3 3 2" xfId="44941"/>
    <cellStyle name="Normal 411 3 3 3" xfId="44942"/>
    <cellStyle name="Normal 411 3 4" xfId="44943"/>
    <cellStyle name="Normal 411 3 5" xfId="44944"/>
    <cellStyle name="Normal 411 4" xfId="19276"/>
    <cellStyle name="Normal 411 4 2" xfId="44945"/>
    <cellStyle name="Normal 411 4 3" xfId="44946"/>
    <cellStyle name="Normal 411 5" xfId="19277"/>
    <cellStyle name="Normal 411 5 2" xfId="44947"/>
    <cellStyle name="Normal 411 5 3" xfId="44948"/>
    <cellStyle name="Normal 411 6" xfId="19278"/>
    <cellStyle name="Normal 411 7" xfId="44949"/>
    <cellStyle name="Normal 411 8" xfId="44950"/>
    <cellStyle name="Normal 411 9" xfId="44951"/>
    <cellStyle name="Normal 4110" xfId="19279"/>
    <cellStyle name="Normal 4110 2" xfId="19280"/>
    <cellStyle name="Normal 4110 2 2" xfId="44952"/>
    <cellStyle name="Normal 4110 2 3" xfId="44953"/>
    <cellStyle name="Normal 4110 3" xfId="44954"/>
    <cellStyle name="Normal 4110 4" xfId="44955"/>
    <cellStyle name="Normal 4111" xfId="19281"/>
    <cellStyle name="Normal 4111 2" xfId="19282"/>
    <cellStyle name="Normal 4111 2 2" xfId="44956"/>
    <cellStyle name="Normal 4111 2 3" xfId="44957"/>
    <cellStyle name="Normal 4111 3" xfId="44958"/>
    <cellStyle name="Normal 4111 4" xfId="44959"/>
    <cellStyle name="Normal 4112" xfId="19283"/>
    <cellStyle name="Normal 4112 2" xfId="19284"/>
    <cellStyle name="Normal 4112 2 2" xfId="44960"/>
    <cellStyle name="Normal 4112 2 3" xfId="44961"/>
    <cellStyle name="Normal 4112 3" xfId="44962"/>
    <cellStyle name="Normal 4112 4" xfId="44963"/>
    <cellStyle name="Normal 4113" xfId="19285"/>
    <cellStyle name="Normal 4113 2" xfId="19286"/>
    <cellStyle name="Normal 4113 2 2" xfId="44964"/>
    <cellStyle name="Normal 4113 2 3" xfId="44965"/>
    <cellStyle name="Normal 4113 3" xfId="44966"/>
    <cellStyle name="Normal 4113 4" xfId="44967"/>
    <cellStyle name="Normal 4114" xfId="19287"/>
    <cellStyle name="Normal 4114 2" xfId="19288"/>
    <cellStyle name="Normal 4114 2 2" xfId="44968"/>
    <cellStyle name="Normal 4114 2 3" xfId="44969"/>
    <cellStyle name="Normal 4114 3" xfId="44970"/>
    <cellStyle name="Normal 4114 4" xfId="44971"/>
    <cellStyle name="Normal 4115" xfId="19289"/>
    <cellStyle name="Normal 4115 2" xfId="19290"/>
    <cellStyle name="Normal 4115 2 2" xfId="44972"/>
    <cellStyle name="Normal 4115 2 3" xfId="44973"/>
    <cellStyle name="Normal 4115 3" xfId="44974"/>
    <cellStyle name="Normal 4115 4" xfId="44975"/>
    <cellStyle name="Normal 4116" xfId="19291"/>
    <cellStyle name="Normal 4116 2" xfId="19292"/>
    <cellStyle name="Normal 4116 2 2" xfId="44976"/>
    <cellStyle name="Normal 4116 2 3" xfId="44977"/>
    <cellStyle name="Normal 4116 3" xfId="44978"/>
    <cellStyle name="Normal 4116 4" xfId="44979"/>
    <cellStyle name="Normal 4117" xfId="19293"/>
    <cellStyle name="Normal 4117 2" xfId="19294"/>
    <cellStyle name="Normal 4117 2 2" xfId="44980"/>
    <cellStyle name="Normal 4117 2 3" xfId="44981"/>
    <cellStyle name="Normal 4117 3" xfId="44982"/>
    <cellStyle name="Normal 4117 4" xfId="44983"/>
    <cellStyle name="Normal 4118" xfId="19295"/>
    <cellStyle name="Normal 4118 2" xfId="19296"/>
    <cellStyle name="Normal 4118 2 2" xfId="44984"/>
    <cellStyle name="Normal 4118 2 3" xfId="44985"/>
    <cellStyle name="Normal 4118 3" xfId="44986"/>
    <cellStyle name="Normal 4118 4" xfId="44987"/>
    <cellStyle name="Normal 4119" xfId="19297"/>
    <cellStyle name="Normal 4119 2" xfId="19298"/>
    <cellStyle name="Normal 4119 2 2" xfId="44988"/>
    <cellStyle name="Normal 4119 2 3" xfId="44989"/>
    <cellStyle name="Normal 4119 3" xfId="44990"/>
    <cellStyle name="Normal 4119 4" xfId="44991"/>
    <cellStyle name="Normal 412" xfId="19299"/>
    <cellStyle name="Normal 412 10" xfId="44992"/>
    <cellStyle name="Normal 412 2" xfId="19300"/>
    <cellStyle name="Normal 412 2 2" xfId="19301"/>
    <cellStyle name="Normal 412 2 2 2" xfId="19302"/>
    <cellStyle name="Normal 412 2 2 3" xfId="19303"/>
    <cellStyle name="Normal 412 2 3" xfId="19304"/>
    <cellStyle name="Normal 412 2 3 2" xfId="44993"/>
    <cellStyle name="Normal 412 2 3 3" xfId="44994"/>
    <cellStyle name="Normal 412 2 4" xfId="19305"/>
    <cellStyle name="Normal 412 2 5" xfId="19306"/>
    <cellStyle name="Normal 412 2 6" xfId="44995"/>
    <cellStyle name="Normal 412 2 7" xfId="44996"/>
    <cellStyle name="Normal 412 2 8" xfId="44997"/>
    <cellStyle name="Normal 412 3" xfId="19307"/>
    <cellStyle name="Normal 412 3 2" xfId="19308"/>
    <cellStyle name="Normal 412 3 2 2" xfId="44998"/>
    <cellStyle name="Normal 412 3 2 3" xfId="44999"/>
    <cellStyle name="Normal 412 3 3" xfId="19309"/>
    <cellStyle name="Normal 412 3 3 2" xfId="45000"/>
    <cellStyle name="Normal 412 3 3 3" xfId="45001"/>
    <cellStyle name="Normal 412 3 4" xfId="45002"/>
    <cellStyle name="Normal 412 3 5" xfId="45003"/>
    <cellStyle name="Normal 412 4" xfId="19310"/>
    <cellStyle name="Normal 412 4 2" xfId="45004"/>
    <cellStyle name="Normal 412 4 3" xfId="45005"/>
    <cellStyle name="Normal 412 5" xfId="19311"/>
    <cellStyle name="Normal 412 5 2" xfId="45006"/>
    <cellStyle name="Normal 412 5 3" xfId="45007"/>
    <cellStyle name="Normal 412 6" xfId="19312"/>
    <cellStyle name="Normal 412 7" xfId="45008"/>
    <cellStyle name="Normal 412 8" xfId="45009"/>
    <cellStyle name="Normal 412 9" xfId="45010"/>
    <cellStyle name="Normal 4120" xfId="19313"/>
    <cellStyle name="Normal 4120 2" xfId="19314"/>
    <cellStyle name="Normal 4120 2 2" xfId="45011"/>
    <cellStyle name="Normal 4120 2 3" xfId="45012"/>
    <cellStyle name="Normal 4120 3" xfId="45013"/>
    <cellStyle name="Normal 4120 4" xfId="45014"/>
    <cellStyle name="Normal 4121" xfId="19315"/>
    <cellStyle name="Normal 4121 2" xfId="19316"/>
    <cellStyle name="Normal 4121 2 2" xfId="45015"/>
    <cellStyle name="Normal 4121 2 3" xfId="45016"/>
    <cellStyle name="Normal 4121 3" xfId="45017"/>
    <cellStyle name="Normal 4121 4" xfId="45018"/>
    <cellStyle name="Normal 4122" xfId="19317"/>
    <cellStyle name="Normal 4122 2" xfId="19318"/>
    <cellStyle name="Normal 4122 2 2" xfId="45019"/>
    <cellStyle name="Normal 4122 2 3" xfId="45020"/>
    <cellStyle name="Normal 4122 3" xfId="45021"/>
    <cellStyle name="Normal 4122 4" xfId="45022"/>
    <cellStyle name="Normal 4123" xfId="19319"/>
    <cellStyle name="Normal 4123 2" xfId="19320"/>
    <cellStyle name="Normal 4123 2 2" xfId="45023"/>
    <cellStyle name="Normal 4123 2 3" xfId="45024"/>
    <cellStyle name="Normal 4123 3" xfId="45025"/>
    <cellStyle name="Normal 4123 4" xfId="45026"/>
    <cellStyle name="Normal 4124" xfId="19321"/>
    <cellStyle name="Normal 4124 2" xfId="19322"/>
    <cellStyle name="Normal 4124 2 2" xfId="45027"/>
    <cellStyle name="Normal 4124 2 3" xfId="45028"/>
    <cellStyle name="Normal 4124 3" xfId="45029"/>
    <cellStyle name="Normal 4124 4" xfId="45030"/>
    <cellStyle name="Normal 4125" xfId="19323"/>
    <cellStyle name="Normal 4125 2" xfId="19324"/>
    <cellStyle name="Normal 4125 2 2" xfId="45031"/>
    <cellStyle name="Normal 4125 2 3" xfId="45032"/>
    <cellStyle name="Normal 4125 3" xfId="45033"/>
    <cellStyle name="Normal 4125 4" xfId="45034"/>
    <cellStyle name="Normal 4126" xfId="19325"/>
    <cellStyle name="Normal 4126 2" xfId="19326"/>
    <cellStyle name="Normal 4126 2 2" xfId="45035"/>
    <cellStyle name="Normal 4126 2 3" xfId="45036"/>
    <cellStyle name="Normal 4126 3" xfId="45037"/>
    <cellStyle name="Normal 4126 4" xfId="45038"/>
    <cellStyle name="Normal 4127" xfId="19327"/>
    <cellStyle name="Normal 4127 2" xfId="19328"/>
    <cellStyle name="Normal 4127 2 2" xfId="45039"/>
    <cellStyle name="Normal 4127 2 3" xfId="45040"/>
    <cellStyle name="Normal 4127 3" xfId="45041"/>
    <cellStyle name="Normal 4127 4" xfId="45042"/>
    <cellStyle name="Normal 4128" xfId="19329"/>
    <cellStyle name="Normal 4128 2" xfId="19330"/>
    <cellStyle name="Normal 4128 2 2" xfId="45043"/>
    <cellStyle name="Normal 4128 2 3" xfId="45044"/>
    <cellStyle name="Normal 4128 3" xfId="45045"/>
    <cellStyle name="Normal 4128 4" xfId="45046"/>
    <cellStyle name="Normal 4129" xfId="19331"/>
    <cellStyle name="Normal 4129 2" xfId="19332"/>
    <cellStyle name="Normal 4129 2 2" xfId="45047"/>
    <cellStyle name="Normal 4129 2 3" xfId="45048"/>
    <cellStyle name="Normal 4129 3" xfId="45049"/>
    <cellStyle name="Normal 4129 4" xfId="45050"/>
    <cellStyle name="Normal 413" xfId="19333"/>
    <cellStyle name="Normal 413 10" xfId="45051"/>
    <cellStyle name="Normal 413 2" xfId="19334"/>
    <cellStyle name="Normal 413 2 2" xfId="19335"/>
    <cellStyle name="Normal 413 2 2 2" xfId="19336"/>
    <cellStyle name="Normal 413 2 2 3" xfId="19337"/>
    <cellStyle name="Normal 413 2 3" xfId="19338"/>
    <cellStyle name="Normal 413 2 3 2" xfId="45052"/>
    <cellStyle name="Normal 413 2 3 3" xfId="45053"/>
    <cellStyle name="Normal 413 2 4" xfId="19339"/>
    <cellStyle name="Normal 413 2 5" xfId="19340"/>
    <cellStyle name="Normal 413 2 6" xfId="45054"/>
    <cellStyle name="Normal 413 2 7" xfId="45055"/>
    <cellStyle name="Normal 413 2 8" xfId="45056"/>
    <cellStyle name="Normal 413 3" xfId="19341"/>
    <cellStyle name="Normal 413 3 2" xfId="19342"/>
    <cellStyle name="Normal 413 3 2 2" xfId="45057"/>
    <cellStyle name="Normal 413 3 2 3" xfId="45058"/>
    <cellStyle name="Normal 413 3 3" xfId="19343"/>
    <cellStyle name="Normal 413 3 3 2" xfId="45059"/>
    <cellStyle name="Normal 413 3 3 3" xfId="45060"/>
    <cellStyle name="Normal 413 3 4" xfId="45061"/>
    <cellStyle name="Normal 413 3 5" xfId="45062"/>
    <cellStyle name="Normal 413 4" xfId="19344"/>
    <cellStyle name="Normal 413 4 2" xfId="45063"/>
    <cellStyle name="Normal 413 4 3" xfId="45064"/>
    <cellStyle name="Normal 413 5" xfId="19345"/>
    <cellStyle name="Normal 413 5 2" xfId="45065"/>
    <cellStyle name="Normal 413 5 3" xfId="45066"/>
    <cellStyle name="Normal 413 6" xfId="19346"/>
    <cellStyle name="Normal 413 7" xfId="45067"/>
    <cellStyle name="Normal 413 8" xfId="45068"/>
    <cellStyle name="Normal 413 9" xfId="45069"/>
    <cellStyle name="Normal 4130" xfId="19347"/>
    <cellStyle name="Normal 4130 2" xfId="19348"/>
    <cellStyle name="Normal 4130 2 2" xfId="45070"/>
    <cellStyle name="Normal 4130 2 3" xfId="45071"/>
    <cellStyle name="Normal 4130 3" xfId="45072"/>
    <cellStyle name="Normal 4130 4" xfId="45073"/>
    <cellStyle name="Normal 4131" xfId="19349"/>
    <cellStyle name="Normal 4131 2" xfId="19350"/>
    <cellStyle name="Normal 4131 2 2" xfId="45074"/>
    <cellStyle name="Normal 4131 2 3" xfId="45075"/>
    <cellStyle name="Normal 4131 3" xfId="45076"/>
    <cellStyle name="Normal 4131 4" xfId="45077"/>
    <cellStyle name="Normal 4132" xfId="19351"/>
    <cellStyle name="Normal 4132 2" xfId="19352"/>
    <cellStyle name="Normal 4132 2 2" xfId="45078"/>
    <cellStyle name="Normal 4132 2 3" xfId="45079"/>
    <cellStyle name="Normal 4132 3" xfId="45080"/>
    <cellStyle name="Normal 4132 4" xfId="45081"/>
    <cellStyle name="Normal 4133" xfId="19353"/>
    <cellStyle name="Normal 4133 2" xfId="19354"/>
    <cellStyle name="Normal 4133 2 2" xfId="45082"/>
    <cellStyle name="Normal 4133 2 3" xfId="45083"/>
    <cellStyle name="Normal 4133 3" xfId="45084"/>
    <cellStyle name="Normal 4133 4" xfId="45085"/>
    <cellStyle name="Normal 4134" xfId="19355"/>
    <cellStyle name="Normal 4134 2" xfId="19356"/>
    <cellStyle name="Normal 4134 2 2" xfId="45086"/>
    <cellStyle name="Normal 4134 2 3" xfId="45087"/>
    <cellStyle name="Normal 4134 3" xfId="45088"/>
    <cellStyle name="Normal 4134 4" xfId="45089"/>
    <cellStyle name="Normal 4135" xfId="19357"/>
    <cellStyle name="Normal 4135 2" xfId="19358"/>
    <cellStyle name="Normal 4135 2 2" xfId="45090"/>
    <cellStyle name="Normal 4135 2 3" xfId="45091"/>
    <cellStyle name="Normal 4135 3" xfId="45092"/>
    <cellStyle name="Normal 4135 4" xfId="45093"/>
    <cellStyle name="Normal 4136" xfId="19359"/>
    <cellStyle name="Normal 4136 2" xfId="19360"/>
    <cellStyle name="Normal 4136 2 2" xfId="45094"/>
    <cellStyle name="Normal 4136 2 3" xfId="45095"/>
    <cellStyle name="Normal 4136 3" xfId="45096"/>
    <cellStyle name="Normal 4136 4" xfId="45097"/>
    <cellStyle name="Normal 4137" xfId="19361"/>
    <cellStyle name="Normal 4137 2" xfId="19362"/>
    <cellStyle name="Normal 4137 2 2" xfId="45098"/>
    <cellStyle name="Normal 4137 2 3" xfId="45099"/>
    <cellStyle name="Normal 4137 3" xfId="45100"/>
    <cellStyle name="Normal 4137 4" xfId="45101"/>
    <cellStyle name="Normal 4138" xfId="19363"/>
    <cellStyle name="Normal 4138 2" xfId="19364"/>
    <cellStyle name="Normal 4138 2 2" xfId="45102"/>
    <cellStyle name="Normal 4138 2 3" xfId="45103"/>
    <cellStyle name="Normal 4138 3" xfId="45104"/>
    <cellStyle name="Normal 4138 4" xfId="45105"/>
    <cellStyle name="Normal 4139" xfId="19365"/>
    <cellStyle name="Normal 4139 2" xfId="19366"/>
    <cellStyle name="Normal 4139 2 2" xfId="45106"/>
    <cellStyle name="Normal 4139 2 3" xfId="45107"/>
    <cellStyle name="Normal 4139 3" xfId="45108"/>
    <cellStyle name="Normal 4139 4" xfId="45109"/>
    <cellStyle name="Normal 414" xfId="19367"/>
    <cellStyle name="Normal 414 10" xfId="45110"/>
    <cellStyle name="Normal 414 2" xfId="19368"/>
    <cellStyle name="Normal 414 2 2" xfId="19369"/>
    <cellStyle name="Normal 414 2 2 2" xfId="19370"/>
    <cellStyle name="Normal 414 2 2 3" xfId="19371"/>
    <cellStyle name="Normal 414 2 3" xfId="19372"/>
    <cellStyle name="Normal 414 2 3 2" xfId="45111"/>
    <cellStyle name="Normal 414 2 3 3" xfId="45112"/>
    <cellStyle name="Normal 414 2 4" xfId="19373"/>
    <cellStyle name="Normal 414 2 5" xfId="19374"/>
    <cellStyle name="Normal 414 2 6" xfId="45113"/>
    <cellStyle name="Normal 414 2 7" xfId="45114"/>
    <cellStyle name="Normal 414 2 8" xfId="45115"/>
    <cellStyle name="Normal 414 3" xfId="19375"/>
    <cellStyle name="Normal 414 3 2" xfId="19376"/>
    <cellStyle name="Normal 414 3 2 2" xfId="45116"/>
    <cellStyle name="Normal 414 3 2 3" xfId="45117"/>
    <cellStyle name="Normal 414 3 3" xfId="19377"/>
    <cellStyle name="Normal 414 3 3 2" xfId="45118"/>
    <cellStyle name="Normal 414 3 3 3" xfId="45119"/>
    <cellStyle name="Normal 414 3 4" xfId="45120"/>
    <cellStyle name="Normal 414 3 5" xfId="45121"/>
    <cellStyle name="Normal 414 4" xfId="19378"/>
    <cellStyle name="Normal 414 4 2" xfId="45122"/>
    <cellStyle name="Normal 414 4 3" xfId="45123"/>
    <cellStyle name="Normal 414 5" xfId="19379"/>
    <cellStyle name="Normal 414 5 2" xfId="45124"/>
    <cellStyle name="Normal 414 5 3" xfId="45125"/>
    <cellStyle name="Normal 414 6" xfId="19380"/>
    <cellStyle name="Normal 414 7" xfId="45126"/>
    <cellStyle name="Normal 414 8" xfId="45127"/>
    <cellStyle name="Normal 414 9" xfId="45128"/>
    <cellStyle name="Normal 4140" xfId="19381"/>
    <cellStyle name="Normal 4140 2" xfId="19382"/>
    <cellStyle name="Normal 4140 2 2" xfId="45129"/>
    <cellStyle name="Normal 4140 2 3" xfId="45130"/>
    <cellStyle name="Normal 4140 3" xfId="45131"/>
    <cellStyle name="Normal 4140 4" xfId="45132"/>
    <cellStyle name="Normal 4141" xfId="19383"/>
    <cellStyle name="Normal 4141 2" xfId="19384"/>
    <cellStyle name="Normal 4141 2 2" xfId="45133"/>
    <cellStyle name="Normal 4141 2 3" xfId="45134"/>
    <cellStyle name="Normal 4141 3" xfId="45135"/>
    <cellStyle name="Normal 4141 4" xfId="45136"/>
    <cellStyle name="Normal 4142" xfId="19385"/>
    <cellStyle name="Normal 4142 2" xfId="19386"/>
    <cellStyle name="Normal 4142 2 2" xfId="45137"/>
    <cellStyle name="Normal 4142 2 3" xfId="45138"/>
    <cellStyle name="Normal 4142 3" xfId="45139"/>
    <cellStyle name="Normal 4142 4" xfId="45140"/>
    <cellStyle name="Normal 4143" xfId="19387"/>
    <cellStyle name="Normal 4143 2" xfId="19388"/>
    <cellStyle name="Normal 4143 2 2" xfId="45141"/>
    <cellStyle name="Normal 4143 2 3" xfId="45142"/>
    <cellStyle name="Normal 4143 3" xfId="45143"/>
    <cellStyle name="Normal 4143 4" xfId="45144"/>
    <cellStyle name="Normal 4144" xfId="19389"/>
    <cellStyle name="Normal 4144 2" xfId="19390"/>
    <cellStyle name="Normal 4144 2 2" xfId="45145"/>
    <cellStyle name="Normal 4144 2 3" xfId="45146"/>
    <cellStyle name="Normal 4144 3" xfId="19391"/>
    <cellStyle name="Normal 4144 4" xfId="45147"/>
    <cellStyle name="Normal 4145" xfId="19392"/>
    <cellStyle name="Normal 4145 2" xfId="19393"/>
    <cellStyle name="Normal 4145 2 2" xfId="45148"/>
    <cellStyle name="Normal 4145 2 3" xfId="45149"/>
    <cellStyle name="Normal 4145 3" xfId="19394"/>
    <cellStyle name="Normal 4145 4" xfId="45150"/>
    <cellStyle name="Normal 4146" xfId="19395"/>
    <cellStyle name="Normal 4146 2" xfId="19396"/>
    <cellStyle name="Normal 4146 2 2" xfId="45151"/>
    <cellStyle name="Normal 4146 2 3" xfId="45152"/>
    <cellStyle name="Normal 4146 3" xfId="19397"/>
    <cellStyle name="Normal 4146 4" xfId="45153"/>
    <cellStyle name="Normal 4147" xfId="19398"/>
    <cellStyle name="Normal 4147 2" xfId="19399"/>
    <cellStyle name="Normal 4147 2 2" xfId="45154"/>
    <cellStyle name="Normal 4147 2 3" xfId="45155"/>
    <cellStyle name="Normal 4147 3" xfId="19400"/>
    <cellStyle name="Normal 4147 4" xfId="45156"/>
    <cellStyle name="Normal 4148" xfId="19401"/>
    <cellStyle name="Normal 4148 2" xfId="19402"/>
    <cellStyle name="Normal 4148 2 2" xfId="45157"/>
    <cellStyle name="Normal 4148 2 3" xfId="45158"/>
    <cellStyle name="Normal 4148 3" xfId="19403"/>
    <cellStyle name="Normal 4148 4" xfId="45159"/>
    <cellStyle name="Normal 4149" xfId="19404"/>
    <cellStyle name="Normal 4149 2" xfId="19405"/>
    <cellStyle name="Normal 4149 2 2" xfId="45160"/>
    <cellStyle name="Normal 4149 2 3" xfId="45161"/>
    <cellStyle name="Normal 4149 3" xfId="19406"/>
    <cellStyle name="Normal 4149 4" xfId="45162"/>
    <cellStyle name="Normal 415" xfId="19407"/>
    <cellStyle name="Normal 415 10" xfId="45163"/>
    <cellStyle name="Normal 415 2" xfId="19408"/>
    <cellStyle name="Normal 415 2 2" xfId="19409"/>
    <cellStyle name="Normal 415 2 2 2" xfId="19410"/>
    <cellStyle name="Normal 415 2 2 3" xfId="19411"/>
    <cellStyle name="Normal 415 2 3" xfId="19412"/>
    <cellStyle name="Normal 415 2 3 2" xfId="45164"/>
    <cellStyle name="Normal 415 2 3 3" xfId="45165"/>
    <cellStyle name="Normal 415 2 4" xfId="19413"/>
    <cellStyle name="Normal 415 2 5" xfId="19414"/>
    <cellStyle name="Normal 415 2 6" xfId="45166"/>
    <cellStyle name="Normal 415 2 7" xfId="45167"/>
    <cellStyle name="Normal 415 2 8" xfId="45168"/>
    <cellStyle name="Normal 415 3" xfId="19415"/>
    <cellStyle name="Normal 415 3 2" xfId="19416"/>
    <cellStyle name="Normal 415 3 2 2" xfId="45169"/>
    <cellStyle name="Normal 415 3 2 3" xfId="45170"/>
    <cellStyle name="Normal 415 3 3" xfId="19417"/>
    <cellStyle name="Normal 415 3 3 2" xfId="45171"/>
    <cellStyle name="Normal 415 3 3 3" xfId="45172"/>
    <cellStyle name="Normal 415 3 4" xfId="45173"/>
    <cellStyle name="Normal 415 3 5" xfId="45174"/>
    <cellStyle name="Normal 415 4" xfId="19418"/>
    <cellStyle name="Normal 415 4 2" xfId="45175"/>
    <cellStyle name="Normal 415 4 3" xfId="45176"/>
    <cellStyle name="Normal 415 5" xfId="19419"/>
    <cellStyle name="Normal 415 5 2" xfId="45177"/>
    <cellStyle name="Normal 415 5 3" xfId="45178"/>
    <cellStyle name="Normal 415 6" xfId="19420"/>
    <cellStyle name="Normal 415 7" xfId="45179"/>
    <cellStyle name="Normal 415 8" xfId="45180"/>
    <cellStyle name="Normal 415 9" xfId="45181"/>
    <cellStyle name="Normal 4150" xfId="19421"/>
    <cellStyle name="Normal 4150 2" xfId="19422"/>
    <cellStyle name="Normal 4150 2 2" xfId="45182"/>
    <cellStyle name="Normal 4150 2 3" xfId="45183"/>
    <cellStyle name="Normal 4150 3" xfId="19423"/>
    <cellStyle name="Normal 4150 4" xfId="45184"/>
    <cellStyle name="Normal 4151" xfId="19424"/>
    <cellStyle name="Normal 4151 2" xfId="19425"/>
    <cellStyle name="Normal 4151 2 2" xfId="45185"/>
    <cellStyle name="Normal 4151 2 3" xfId="45186"/>
    <cellStyle name="Normal 4151 3" xfId="19426"/>
    <cellStyle name="Normal 4151 4" xfId="45187"/>
    <cellStyle name="Normal 4152" xfId="19427"/>
    <cellStyle name="Normal 4152 2" xfId="19428"/>
    <cellStyle name="Normal 4152 2 2" xfId="45188"/>
    <cellStyle name="Normal 4152 2 3" xfId="45189"/>
    <cellStyle name="Normal 4152 3" xfId="19429"/>
    <cellStyle name="Normal 4152 4" xfId="45190"/>
    <cellStyle name="Normal 4153" xfId="19430"/>
    <cellStyle name="Normal 4153 2" xfId="19431"/>
    <cellStyle name="Normal 4153 2 2" xfId="45191"/>
    <cellStyle name="Normal 4153 2 3" xfId="45192"/>
    <cellStyle name="Normal 4153 3" xfId="19432"/>
    <cellStyle name="Normal 4153 4" xfId="45193"/>
    <cellStyle name="Normal 4154" xfId="19433"/>
    <cellStyle name="Normal 4154 2" xfId="19434"/>
    <cellStyle name="Normal 4154 2 2" xfId="45194"/>
    <cellStyle name="Normal 4154 2 3" xfId="45195"/>
    <cellStyle name="Normal 4154 3" xfId="19435"/>
    <cellStyle name="Normal 4154 4" xfId="45196"/>
    <cellStyle name="Normal 4155" xfId="19436"/>
    <cellStyle name="Normal 4155 2" xfId="19437"/>
    <cellStyle name="Normal 4155 2 2" xfId="45197"/>
    <cellStyle name="Normal 4155 2 3" xfId="45198"/>
    <cellStyle name="Normal 4155 3" xfId="19438"/>
    <cellStyle name="Normal 4155 4" xfId="45199"/>
    <cellStyle name="Normal 4156" xfId="19439"/>
    <cellStyle name="Normal 4156 2" xfId="19440"/>
    <cellStyle name="Normal 4156 2 2" xfId="45200"/>
    <cellStyle name="Normal 4156 2 3" xfId="45201"/>
    <cellStyle name="Normal 4156 3" xfId="19441"/>
    <cellStyle name="Normal 4156 4" xfId="45202"/>
    <cellStyle name="Normal 4157" xfId="19442"/>
    <cellStyle name="Normal 4157 2" xfId="19443"/>
    <cellStyle name="Normal 4157 2 2" xfId="45203"/>
    <cellStyle name="Normal 4157 2 3" xfId="45204"/>
    <cellStyle name="Normal 4157 3" xfId="19444"/>
    <cellStyle name="Normal 4157 4" xfId="45205"/>
    <cellStyle name="Normal 4158" xfId="19445"/>
    <cellStyle name="Normal 4158 2" xfId="19446"/>
    <cellStyle name="Normal 4158 2 2" xfId="45206"/>
    <cellStyle name="Normal 4158 2 3" xfId="45207"/>
    <cellStyle name="Normal 4158 3" xfId="19447"/>
    <cellStyle name="Normal 4158 4" xfId="45208"/>
    <cellStyle name="Normal 4159" xfId="19448"/>
    <cellStyle name="Normal 4159 2" xfId="19449"/>
    <cellStyle name="Normal 4159 2 2" xfId="45209"/>
    <cellStyle name="Normal 4159 2 3" xfId="45210"/>
    <cellStyle name="Normal 4159 3" xfId="19450"/>
    <cellStyle name="Normal 4159 4" xfId="45211"/>
    <cellStyle name="Normal 416" xfId="19451"/>
    <cellStyle name="Normal 416 10" xfId="45212"/>
    <cellStyle name="Normal 416 2" xfId="19452"/>
    <cellStyle name="Normal 416 2 2" xfId="19453"/>
    <cellStyle name="Normal 416 2 2 2" xfId="19454"/>
    <cellStyle name="Normal 416 2 2 3" xfId="19455"/>
    <cellStyle name="Normal 416 2 3" xfId="19456"/>
    <cellStyle name="Normal 416 2 3 2" xfId="45213"/>
    <cellStyle name="Normal 416 2 3 3" xfId="45214"/>
    <cellStyle name="Normal 416 2 4" xfId="19457"/>
    <cellStyle name="Normal 416 2 5" xfId="19458"/>
    <cellStyle name="Normal 416 2 6" xfId="45215"/>
    <cellStyle name="Normal 416 2 7" xfId="45216"/>
    <cellStyle name="Normal 416 2 8" xfId="45217"/>
    <cellStyle name="Normal 416 3" xfId="19459"/>
    <cellStyle name="Normal 416 3 2" xfId="19460"/>
    <cellStyle name="Normal 416 3 2 2" xfId="45218"/>
    <cellStyle name="Normal 416 3 2 3" xfId="45219"/>
    <cellStyle name="Normal 416 3 3" xfId="19461"/>
    <cellStyle name="Normal 416 3 3 2" xfId="45220"/>
    <cellStyle name="Normal 416 3 3 3" xfId="45221"/>
    <cellStyle name="Normal 416 3 4" xfId="45222"/>
    <cellStyle name="Normal 416 3 5" xfId="45223"/>
    <cellStyle name="Normal 416 4" xfId="19462"/>
    <cellStyle name="Normal 416 4 2" xfId="45224"/>
    <cellStyle name="Normal 416 4 3" xfId="45225"/>
    <cellStyle name="Normal 416 5" xfId="19463"/>
    <cellStyle name="Normal 416 5 2" xfId="45226"/>
    <cellStyle name="Normal 416 5 3" xfId="45227"/>
    <cellStyle name="Normal 416 6" xfId="19464"/>
    <cellStyle name="Normal 416 7" xfId="45228"/>
    <cellStyle name="Normal 416 8" xfId="45229"/>
    <cellStyle name="Normal 416 9" xfId="45230"/>
    <cellStyle name="Normal 4160" xfId="19465"/>
    <cellStyle name="Normal 4160 2" xfId="19466"/>
    <cellStyle name="Normal 4160 2 2" xfId="45231"/>
    <cellStyle name="Normal 4160 2 3" xfId="45232"/>
    <cellStyle name="Normal 4160 3" xfId="19467"/>
    <cellStyle name="Normal 4160 4" xfId="45233"/>
    <cellStyle name="Normal 4161" xfId="19468"/>
    <cellStyle name="Normal 4161 2" xfId="19469"/>
    <cellStyle name="Normal 4161 2 2" xfId="45234"/>
    <cellStyle name="Normal 4161 2 3" xfId="45235"/>
    <cellStyle name="Normal 4161 3" xfId="19470"/>
    <cellStyle name="Normal 4161 4" xfId="45236"/>
    <cellStyle name="Normal 4162" xfId="19471"/>
    <cellStyle name="Normal 4162 2" xfId="19472"/>
    <cellStyle name="Normal 4162 2 2" xfId="45237"/>
    <cellStyle name="Normal 4162 2 3" xfId="45238"/>
    <cellStyle name="Normal 4162 3" xfId="19473"/>
    <cellStyle name="Normal 4162 4" xfId="45239"/>
    <cellStyle name="Normal 4163" xfId="19474"/>
    <cellStyle name="Normal 4163 2" xfId="19475"/>
    <cellStyle name="Normal 4163 2 2" xfId="45240"/>
    <cellStyle name="Normal 4163 2 3" xfId="45241"/>
    <cellStyle name="Normal 4163 3" xfId="19476"/>
    <cellStyle name="Normal 4163 4" xfId="45242"/>
    <cellStyle name="Normal 4164" xfId="19477"/>
    <cellStyle name="Normal 4164 2" xfId="19478"/>
    <cellStyle name="Normal 4164 2 2" xfId="45243"/>
    <cellStyle name="Normal 4164 2 3" xfId="45244"/>
    <cellStyle name="Normal 4164 3" xfId="19479"/>
    <cellStyle name="Normal 4164 4" xfId="45245"/>
    <cellStyle name="Normal 4165" xfId="19480"/>
    <cellStyle name="Normal 4165 2" xfId="19481"/>
    <cellStyle name="Normal 4165 2 2" xfId="45246"/>
    <cellStyle name="Normal 4165 2 3" xfId="45247"/>
    <cellStyle name="Normal 4165 3" xfId="19482"/>
    <cellStyle name="Normal 4165 4" xfId="45248"/>
    <cellStyle name="Normal 4166" xfId="19483"/>
    <cellStyle name="Normal 4166 2" xfId="19484"/>
    <cellStyle name="Normal 4166 2 2" xfId="45249"/>
    <cellStyle name="Normal 4166 2 3" xfId="45250"/>
    <cellStyle name="Normal 4166 3" xfId="19485"/>
    <cellStyle name="Normal 4166 4" xfId="45251"/>
    <cellStyle name="Normal 4167" xfId="19486"/>
    <cellStyle name="Normal 4167 2" xfId="19487"/>
    <cellStyle name="Normal 4167 2 2" xfId="45252"/>
    <cellStyle name="Normal 4167 2 3" xfId="45253"/>
    <cellStyle name="Normal 4167 3" xfId="19488"/>
    <cellStyle name="Normal 4167 4" xfId="45254"/>
    <cellStyle name="Normal 4168" xfId="19489"/>
    <cellStyle name="Normal 4168 2" xfId="19490"/>
    <cellStyle name="Normal 4168 2 2" xfId="45255"/>
    <cellStyle name="Normal 4168 2 3" xfId="45256"/>
    <cellStyle name="Normal 4168 3" xfId="19491"/>
    <cellStyle name="Normal 4168 4" xfId="45257"/>
    <cellStyle name="Normal 4169" xfId="19492"/>
    <cellStyle name="Normal 4169 2" xfId="19493"/>
    <cellStyle name="Normal 4169 2 2" xfId="45258"/>
    <cellStyle name="Normal 4169 2 3" xfId="45259"/>
    <cellStyle name="Normal 4169 3" xfId="19494"/>
    <cellStyle name="Normal 4169 4" xfId="45260"/>
    <cellStyle name="Normal 417" xfId="19495"/>
    <cellStyle name="Normal 417 10" xfId="45261"/>
    <cellStyle name="Normal 417 2" xfId="19496"/>
    <cellStyle name="Normal 417 2 2" xfId="19497"/>
    <cellStyle name="Normal 417 2 2 2" xfId="19498"/>
    <cellStyle name="Normal 417 2 2 3" xfId="19499"/>
    <cellStyle name="Normal 417 2 3" xfId="19500"/>
    <cellStyle name="Normal 417 2 3 2" xfId="45262"/>
    <cellStyle name="Normal 417 2 3 3" xfId="45263"/>
    <cellStyle name="Normal 417 2 4" xfId="19501"/>
    <cellStyle name="Normal 417 2 5" xfId="19502"/>
    <cellStyle name="Normal 417 2 6" xfId="45264"/>
    <cellStyle name="Normal 417 2 7" xfId="45265"/>
    <cellStyle name="Normal 417 2 8" xfId="45266"/>
    <cellStyle name="Normal 417 3" xfId="19503"/>
    <cellStyle name="Normal 417 3 2" xfId="19504"/>
    <cellStyle name="Normal 417 3 2 2" xfId="45267"/>
    <cellStyle name="Normal 417 3 2 3" xfId="45268"/>
    <cellStyle name="Normal 417 3 3" xfId="19505"/>
    <cellStyle name="Normal 417 3 3 2" xfId="45269"/>
    <cellStyle name="Normal 417 3 3 3" xfId="45270"/>
    <cellStyle name="Normal 417 3 4" xfId="45271"/>
    <cellStyle name="Normal 417 3 5" xfId="45272"/>
    <cellStyle name="Normal 417 4" xfId="19506"/>
    <cellStyle name="Normal 417 4 2" xfId="45273"/>
    <cellStyle name="Normal 417 4 3" xfId="45274"/>
    <cellStyle name="Normal 417 5" xfId="19507"/>
    <cellStyle name="Normal 417 5 2" xfId="45275"/>
    <cellStyle name="Normal 417 5 3" xfId="45276"/>
    <cellStyle name="Normal 417 6" xfId="19508"/>
    <cellStyle name="Normal 417 7" xfId="45277"/>
    <cellStyle name="Normal 417 8" xfId="45278"/>
    <cellStyle name="Normal 417 9" xfId="45279"/>
    <cellStyle name="Normal 4170" xfId="19509"/>
    <cellStyle name="Normal 4170 2" xfId="19510"/>
    <cellStyle name="Normal 4170 2 2" xfId="45280"/>
    <cellStyle name="Normal 4170 2 3" xfId="45281"/>
    <cellStyle name="Normal 4170 3" xfId="19511"/>
    <cellStyle name="Normal 4170 4" xfId="45282"/>
    <cellStyle name="Normal 4171" xfId="19512"/>
    <cellStyle name="Normal 4171 2" xfId="19513"/>
    <cellStyle name="Normal 4171 2 2" xfId="45283"/>
    <cellStyle name="Normal 4171 2 3" xfId="45284"/>
    <cellStyle name="Normal 4171 3" xfId="19514"/>
    <cellStyle name="Normal 4171 4" xfId="45285"/>
    <cellStyle name="Normal 4172" xfId="19515"/>
    <cellStyle name="Normal 4172 2" xfId="19516"/>
    <cellStyle name="Normal 4172 2 2" xfId="45286"/>
    <cellStyle name="Normal 4172 2 3" xfId="45287"/>
    <cellStyle name="Normal 4172 3" xfId="19517"/>
    <cellStyle name="Normal 4172 4" xfId="45288"/>
    <cellStyle name="Normal 4173" xfId="19518"/>
    <cellStyle name="Normal 4173 2" xfId="19519"/>
    <cellStyle name="Normal 4173 2 2" xfId="45289"/>
    <cellStyle name="Normal 4173 2 3" xfId="45290"/>
    <cellStyle name="Normal 4173 3" xfId="19520"/>
    <cellStyle name="Normal 4173 4" xfId="45291"/>
    <cellStyle name="Normal 4174" xfId="19521"/>
    <cellStyle name="Normal 4174 2" xfId="19522"/>
    <cellStyle name="Normal 4174 2 2" xfId="45292"/>
    <cellStyle name="Normal 4174 2 3" xfId="45293"/>
    <cellStyle name="Normal 4174 3" xfId="19523"/>
    <cellStyle name="Normal 4174 4" xfId="45294"/>
    <cellStyle name="Normal 4175" xfId="19524"/>
    <cellStyle name="Normal 4175 2" xfId="19525"/>
    <cellStyle name="Normal 4175 2 2" xfId="45295"/>
    <cellStyle name="Normal 4175 2 3" xfId="45296"/>
    <cellStyle name="Normal 4175 3" xfId="19526"/>
    <cellStyle name="Normal 4175 4" xfId="45297"/>
    <cellStyle name="Normal 4176" xfId="19527"/>
    <cellStyle name="Normal 4176 2" xfId="19528"/>
    <cellStyle name="Normal 4176 2 2" xfId="45298"/>
    <cellStyle name="Normal 4176 2 3" xfId="45299"/>
    <cellStyle name="Normal 4176 3" xfId="19529"/>
    <cellStyle name="Normal 4176 4" xfId="45300"/>
    <cellStyle name="Normal 4177" xfId="19530"/>
    <cellStyle name="Normal 4177 2" xfId="19531"/>
    <cellStyle name="Normal 4177 2 2" xfId="45301"/>
    <cellStyle name="Normal 4177 2 3" xfId="45302"/>
    <cellStyle name="Normal 4177 3" xfId="19532"/>
    <cellStyle name="Normal 4177 4" xfId="45303"/>
    <cellStyle name="Normal 4178" xfId="19533"/>
    <cellStyle name="Normal 4178 2" xfId="19534"/>
    <cellStyle name="Normal 4178 2 2" xfId="45304"/>
    <cellStyle name="Normal 4178 2 3" xfId="45305"/>
    <cellStyle name="Normal 4178 3" xfId="19535"/>
    <cellStyle name="Normal 4178 4" xfId="45306"/>
    <cellStyle name="Normal 4179" xfId="19536"/>
    <cellStyle name="Normal 4179 2" xfId="19537"/>
    <cellStyle name="Normal 4179 2 2" xfId="45307"/>
    <cellStyle name="Normal 4179 2 3" xfId="45308"/>
    <cellStyle name="Normal 4179 3" xfId="19538"/>
    <cellStyle name="Normal 4179 4" xfId="45309"/>
    <cellStyle name="Normal 418" xfId="19539"/>
    <cellStyle name="Normal 418 10" xfId="45310"/>
    <cellStyle name="Normal 418 2" xfId="19540"/>
    <cellStyle name="Normal 418 2 2" xfId="19541"/>
    <cellStyle name="Normal 418 2 2 2" xfId="19542"/>
    <cellStyle name="Normal 418 2 2 3" xfId="19543"/>
    <cellStyle name="Normal 418 2 3" xfId="19544"/>
    <cellStyle name="Normal 418 2 3 2" xfId="45311"/>
    <cellStyle name="Normal 418 2 3 3" xfId="45312"/>
    <cellStyle name="Normal 418 2 4" xfId="19545"/>
    <cellStyle name="Normal 418 2 5" xfId="19546"/>
    <cellStyle name="Normal 418 2 6" xfId="45313"/>
    <cellStyle name="Normal 418 2 7" xfId="45314"/>
    <cellStyle name="Normal 418 2 8" xfId="45315"/>
    <cellStyle name="Normal 418 3" xfId="19547"/>
    <cellStyle name="Normal 418 3 2" xfId="19548"/>
    <cellStyle name="Normal 418 3 2 2" xfId="45316"/>
    <cellStyle name="Normal 418 3 2 3" xfId="45317"/>
    <cellStyle name="Normal 418 3 3" xfId="19549"/>
    <cellStyle name="Normal 418 3 3 2" xfId="45318"/>
    <cellStyle name="Normal 418 3 3 3" xfId="45319"/>
    <cellStyle name="Normal 418 3 4" xfId="45320"/>
    <cellStyle name="Normal 418 3 5" xfId="45321"/>
    <cellStyle name="Normal 418 4" xfId="19550"/>
    <cellStyle name="Normal 418 4 2" xfId="45322"/>
    <cellStyle name="Normal 418 4 3" xfId="45323"/>
    <cellStyle name="Normal 418 5" xfId="19551"/>
    <cellStyle name="Normal 418 5 2" xfId="45324"/>
    <cellStyle name="Normal 418 5 3" xfId="45325"/>
    <cellStyle name="Normal 418 6" xfId="19552"/>
    <cellStyle name="Normal 418 7" xfId="45326"/>
    <cellStyle name="Normal 418 8" xfId="45327"/>
    <cellStyle name="Normal 418 9" xfId="45328"/>
    <cellStyle name="Normal 4180" xfId="19553"/>
    <cellStyle name="Normal 4180 2" xfId="19554"/>
    <cellStyle name="Normal 4180 2 2" xfId="45329"/>
    <cellStyle name="Normal 4180 2 3" xfId="45330"/>
    <cellStyle name="Normal 4180 3" xfId="19555"/>
    <cellStyle name="Normal 4180 4" xfId="45331"/>
    <cellStyle name="Normal 4181" xfId="19556"/>
    <cellStyle name="Normal 4181 2" xfId="19557"/>
    <cellStyle name="Normal 4181 2 2" xfId="45332"/>
    <cellStyle name="Normal 4181 2 3" xfId="45333"/>
    <cellStyle name="Normal 4181 3" xfId="19558"/>
    <cellStyle name="Normal 4181 4" xfId="45334"/>
    <cellStyle name="Normal 4182" xfId="19559"/>
    <cellStyle name="Normal 4182 2" xfId="19560"/>
    <cellStyle name="Normal 4182 2 2" xfId="45335"/>
    <cellStyle name="Normal 4182 2 3" xfId="45336"/>
    <cellStyle name="Normal 4182 3" xfId="19561"/>
    <cellStyle name="Normal 4182 4" xfId="45337"/>
    <cellStyle name="Normal 4183" xfId="19562"/>
    <cellStyle name="Normal 4183 2" xfId="19563"/>
    <cellStyle name="Normal 4183 2 2" xfId="45338"/>
    <cellStyle name="Normal 4183 2 3" xfId="45339"/>
    <cellStyle name="Normal 4183 3" xfId="19564"/>
    <cellStyle name="Normal 4183 4" xfId="45340"/>
    <cellStyle name="Normal 4184" xfId="19565"/>
    <cellStyle name="Normal 4184 2" xfId="19566"/>
    <cellStyle name="Normal 4184 2 2" xfId="45341"/>
    <cellStyle name="Normal 4184 2 3" xfId="45342"/>
    <cellStyle name="Normal 4184 3" xfId="19567"/>
    <cellStyle name="Normal 4184 4" xfId="45343"/>
    <cellStyle name="Normal 4185" xfId="19568"/>
    <cellStyle name="Normal 4185 2" xfId="19569"/>
    <cellStyle name="Normal 4185 2 2" xfId="45344"/>
    <cellStyle name="Normal 4185 2 3" xfId="45345"/>
    <cellStyle name="Normal 4185 3" xfId="19570"/>
    <cellStyle name="Normal 4185 4" xfId="45346"/>
    <cellStyle name="Normal 4186" xfId="19571"/>
    <cellStyle name="Normal 4186 2" xfId="19572"/>
    <cellStyle name="Normal 4186 2 2" xfId="45347"/>
    <cellStyle name="Normal 4186 2 3" xfId="45348"/>
    <cellStyle name="Normal 4186 3" xfId="19573"/>
    <cellStyle name="Normal 4186 4" xfId="45349"/>
    <cellStyle name="Normal 4187" xfId="19574"/>
    <cellStyle name="Normal 4187 2" xfId="19575"/>
    <cellStyle name="Normal 4187 2 2" xfId="45350"/>
    <cellStyle name="Normal 4187 2 3" xfId="45351"/>
    <cellStyle name="Normal 4187 3" xfId="19576"/>
    <cellStyle name="Normal 4187 4" xfId="45352"/>
    <cellStyle name="Normal 4188" xfId="19577"/>
    <cellStyle name="Normal 4188 2" xfId="19578"/>
    <cellStyle name="Normal 4188 2 2" xfId="45353"/>
    <cellStyle name="Normal 4188 2 3" xfId="45354"/>
    <cellStyle name="Normal 4188 3" xfId="19579"/>
    <cellStyle name="Normal 4188 4" xfId="45355"/>
    <cellStyle name="Normal 4189" xfId="19580"/>
    <cellStyle name="Normal 4189 2" xfId="19581"/>
    <cellStyle name="Normal 4189 2 2" xfId="45356"/>
    <cellStyle name="Normal 4189 2 3" xfId="45357"/>
    <cellStyle name="Normal 4189 3" xfId="19582"/>
    <cellStyle name="Normal 4189 4" xfId="45358"/>
    <cellStyle name="Normal 419" xfId="19583"/>
    <cellStyle name="Normal 419 10" xfId="45359"/>
    <cellStyle name="Normal 419 2" xfId="19584"/>
    <cellStyle name="Normal 419 2 2" xfId="19585"/>
    <cellStyle name="Normal 419 2 2 2" xfId="19586"/>
    <cellStyle name="Normal 419 2 2 3" xfId="19587"/>
    <cellStyle name="Normal 419 2 3" xfId="19588"/>
    <cellStyle name="Normal 419 2 3 2" xfId="45360"/>
    <cellStyle name="Normal 419 2 3 3" xfId="45361"/>
    <cellStyle name="Normal 419 2 4" xfId="19589"/>
    <cellStyle name="Normal 419 2 5" xfId="19590"/>
    <cellStyle name="Normal 419 2 6" xfId="45362"/>
    <cellStyle name="Normal 419 2 7" xfId="45363"/>
    <cellStyle name="Normal 419 2 8" xfId="45364"/>
    <cellStyle name="Normal 419 3" xfId="19591"/>
    <cellStyle name="Normal 419 3 2" xfId="19592"/>
    <cellStyle name="Normal 419 3 2 2" xfId="45365"/>
    <cellStyle name="Normal 419 3 2 3" xfId="45366"/>
    <cellStyle name="Normal 419 3 3" xfId="19593"/>
    <cellStyle name="Normal 419 3 3 2" xfId="45367"/>
    <cellStyle name="Normal 419 3 3 3" xfId="45368"/>
    <cellStyle name="Normal 419 3 4" xfId="45369"/>
    <cellStyle name="Normal 419 3 5" xfId="45370"/>
    <cellStyle name="Normal 419 4" xfId="19594"/>
    <cellStyle name="Normal 419 4 2" xfId="45371"/>
    <cellStyle name="Normal 419 4 3" xfId="45372"/>
    <cellStyle name="Normal 419 5" xfId="19595"/>
    <cellStyle name="Normal 419 5 2" xfId="45373"/>
    <cellStyle name="Normal 419 5 3" xfId="45374"/>
    <cellStyle name="Normal 419 6" xfId="19596"/>
    <cellStyle name="Normal 419 7" xfId="45375"/>
    <cellStyle name="Normal 419 8" xfId="45376"/>
    <cellStyle name="Normal 419 9" xfId="45377"/>
    <cellStyle name="Normal 4190" xfId="19597"/>
    <cellStyle name="Normal 4190 2" xfId="19598"/>
    <cellStyle name="Normal 4190 2 2" xfId="45378"/>
    <cellStyle name="Normal 4190 2 3" xfId="45379"/>
    <cellStyle name="Normal 4190 3" xfId="19599"/>
    <cellStyle name="Normal 4190 4" xfId="45380"/>
    <cellStyle name="Normal 4191" xfId="19600"/>
    <cellStyle name="Normal 4191 2" xfId="19601"/>
    <cellStyle name="Normal 4191 2 2" xfId="45381"/>
    <cellStyle name="Normal 4191 2 3" xfId="45382"/>
    <cellStyle name="Normal 4191 3" xfId="19602"/>
    <cellStyle name="Normal 4191 4" xfId="45383"/>
    <cellStyle name="Normal 4192" xfId="19603"/>
    <cellStyle name="Normal 4192 2" xfId="19604"/>
    <cellStyle name="Normal 4192 2 2" xfId="45384"/>
    <cellStyle name="Normal 4192 2 3" xfId="45385"/>
    <cellStyle name="Normal 4192 3" xfId="19605"/>
    <cellStyle name="Normal 4192 4" xfId="45386"/>
    <cellStyle name="Normal 4193" xfId="19606"/>
    <cellStyle name="Normal 4193 2" xfId="19607"/>
    <cellStyle name="Normal 4193 2 2" xfId="45387"/>
    <cellStyle name="Normal 4193 2 3" xfId="45388"/>
    <cellStyle name="Normal 4193 3" xfId="19608"/>
    <cellStyle name="Normal 4193 4" xfId="45389"/>
    <cellStyle name="Normal 4194" xfId="19609"/>
    <cellStyle name="Normal 4194 2" xfId="19610"/>
    <cellStyle name="Normal 4194 2 2" xfId="45390"/>
    <cellStyle name="Normal 4194 2 3" xfId="45391"/>
    <cellStyle name="Normal 4194 3" xfId="19611"/>
    <cellStyle name="Normal 4194 4" xfId="45392"/>
    <cellStyle name="Normal 4195" xfId="19612"/>
    <cellStyle name="Normal 4195 2" xfId="19613"/>
    <cellStyle name="Normal 4195 2 2" xfId="45393"/>
    <cellStyle name="Normal 4195 2 3" xfId="45394"/>
    <cellStyle name="Normal 4195 3" xfId="19614"/>
    <cellStyle name="Normal 4195 4" xfId="45395"/>
    <cellStyle name="Normal 4196" xfId="19615"/>
    <cellStyle name="Normal 4196 2" xfId="19616"/>
    <cellStyle name="Normal 4196 2 2" xfId="45396"/>
    <cellStyle name="Normal 4196 2 3" xfId="45397"/>
    <cellStyle name="Normal 4196 3" xfId="19617"/>
    <cellStyle name="Normal 4196 4" xfId="45398"/>
    <cellStyle name="Normal 4197" xfId="19618"/>
    <cellStyle name="Normal 4197 2" xfId="19619"/>
    <cellStyle name="Normal 4197 2 2" xfId="45399"/>
    <cellStyle name="Normal 4197 2 3" xfId="45400"/>
    <cellStyle name="Normal 4197 3" xfId="19620"/>
    <cellStyle name="Normal 4197 4" xfId="45401"/>
    <cellStyle name="Normal 4198" xfId="19621"/>
    <cellStyle name="Normal 4198 2" xfId="19622"/>
    <cellStyle name="Normal 4198 2 2" xfId="45402"/>
    <cellStyle name="Normal 4198 2 3" xfId="45403"/>
    <cellStyle name="Normal 4198 3" xfId="19623"/>
    <cellStyle name="Normal 4198 4" xfId="45404"/>
    <cellStyle name="Normal 4199" xfId="19624"/>
    <cellStyle name="Normal 4199 2" xfId="19625"/>
    <cellStyle name="Normal 4199 2 2" xfId="45405"/>
    <cellStyle name="Normal 4199 2 3" xfId="45406"/>
    <cellStyle name="Normal 4199 3" xfId="19626"/>
    <cellStyle name="Normal 4199 4" xfId="45407"/>
    <cellStyle name="Normal 42" xfId="19627"/>
    <cellStyle name="Normal 42 10" xfId="45408"/>
    <cellStyle name="Normal 42 2" xfId="19628"/>
    <cellStyle name="Normal 42 2 2" xfId="19629"/>
    <cellStyle name="Normal 42 2 2 2" xfId="19630"/>
    <cellStyle name="Normal 42 2 2 3" xfId="19631"/>
    <cellStyle name="Normal 42 2 3" xfId="19632"/>
    <cellStyle name="Normal 42 2 3 2" xfId="45409"/>
    <cellStyle name="Normal 42 2 3 3" xfId="45410"/>
    <cellStyle name="Normal 42 2 4" xfId="19633"/>
    <cellStyle name="Normal 42 2 5" xfId="19634"/>
    <cellStyle name="Normal 42 2 6" xfId="45411"/>
    <cellStyle name="Normal 42 2 7" xfId="45412"/>
    <cellStyle name="Normal 42 2 8" xfId="45413"/>
    <cellStyle name="Normal 42 3" xfId="19635"/>
    <cellStyle name="Normal 42 3 2" xfId="19636"/>
    <cellStyle name="Normal 42 3 2 2" xfId="45414"/>
    <cellStyle name="Normal 42 3 2 3" xfId="45415"/>
    <cellStyle name="Normal 42 3 3" xfId="19637"/>
    <cellStyle name="Normal 42 3 3 2" xfId="45416"/>
    <cellStyle name="Normal 42 3 3 3" xfId="45417"/>
    <cellStyle name="Normal 42 3 4" xfId="19638"/>
    <cellStyle name="Normal 42 3 5" xfId="45418"/>
    <cellStyle name="Normal 42 4" xfId="19639"/>
    <cellStyle name="Normal 42 4 2" xfId="45419"/>
    <cellStyle name="Normal 42 4 3" xfId="45420"/>
    <cellStyle name="Normal 42 5" xfId="19640"/>
    <cellStyle name="Normal 42 5 2" xfId="45421"/>
    <cellStyle name="Normal 42 5 3" xfId="45422"/>
    <cellStyle name="Normal 42 6" xfId="19641"/>
    <cellStyle name="Normal 42 7" xfId="45423"/>
    <cellStyle name="Normal 42 8" xfId="45424"/>
    <cellStyle name="Normal 42 9" xfId="45425"/>
    <cellStyle name="Normal 420" xfId="19642"/>
    <cellStyle name="Normal 420 10" xfId="45426"/>
    <cellStyle name="Normal 420 2" xfId="19643"/>
    <cellStyle name="Normal 420 2 2" xfId="19644"/>
    <cellStyle name="Normal 420 2 2 2" xfId="19645"/>
    <cellStyle name="Normal 420 2 2 3" xfId="19646"/>
    <cellStyle name="Normal 420 2 3" xfId="19647"/>
    <cellStyle name="Normal 420 2 3 2" xfId="45427"/>
    <cellStyle name="Normal 420 2 3 3" xfId="45428"/>
    <cellStyle name="Normal 420 2 4" xfId="19648"/>
    <cellStyle name="Normal 420 2 5" xfId="19649"/>
    <cellStyle name="Normal 420 2 6" xfId="45429"/>
    <cellStyle name="Normal 420 2 7" xfId="45430"/>
    <cellStyle name="Normal 420 2 8" xfId="45431"/>
    <cellStyle name="Normal 420 3" xfId="19650"/>
    <cellStyle name="Normal 420 3 2" xfId="19651"/>
    <cellStyle name="Normal 420 3 2 2" xfId="45432"/>
    <cellStyle name="Normal 420 3 2 3" xfId="45433"/>
    <cellStyle name="Normal 420 3 3" xfId="19652"/>
    <cellStyle name="Normal 420 3 3 2" xfId="45434"/>
    <cellStyle name="Normal 420 3 3 3" xfId="45435"/>
    <cellStyle name="Normal 420 3 4" xfId="45436"/>
    <cellStyle name="Normal 420 3 5" xfId="45437"/>
    <cellStyle name="Normal 420 4" xfId="19653"/>
    <cellStyle name="Normal 420 4 2" xfId="45438"/>
    <cellStyle name="Normal 420 4 3" xfId="45439"/>
    <cellStyle name="Normal 420 5" xfId="19654"/>
    <cellStyle name="Normal 420 5 2" xfId="45440"/>
    <cellStyle name="Normal 420 5 3" xfId="45441"/>
    <cellStyle name="Normal 420 6" xfId="19655"/>
    <cellStyle name="Normal 420 7" xfId="45442"/>
    <cellStyle name="Normal 420 8" xfId="45443"/>
    <cellStyle name="Normal 420 9" xfId="45444"/>
    <cellStyle name="Normal 4200" xfId="19656"/>
    <cellStyle name="Normal 4200 2" xfId="19657"/>
    <cellStyle name="Normal 4200 2 2" xfId="45445"/>
    <cellStyle name="Normal 4200 2 3" xfId="45446"/>
    <cellStyle name="Normal 4200 3" xfId="19658"/>
    <cellStyle name="Normal 4200 4" xfId="45447"/>
    <cellStyle name="Normal 4201" xfId="19659"/>
    <cellStyle name="Normal 4201 2" xfId="19660"/>
    <cellStyle name="Normal 4201 2 2" xfId="45448"/>
    <cellStyle name="Normal 4201 2 3" xfId="45449"/>
    <cellStyle name="Normal 4201 3" xfId="19661"/>
    <cellStyle name="Normal 4201 4" xfId="45450"/>
    <cellStyle name="Normal 4202" xfId="19662"/>
    <cellStyle name="Normal 4202 2" xfId="19663"/>
    <cellStyle name="Normal 4202 2 2" xfId="45451"/>
    <cellStyle name="Normal 4202 2 3" xfId="45452"/>
    <cellStyle name="Normal 4202 3" xfId="19664"/>
    <cellStyle name="Normal 4202 4" xfId="45453"/>
    <cellStyle name="Normal 4203" xfId="19665"/>
    <cellStyle name="Normal 4203 2" xfId="19666"/>
    <cellStyle name="Normal 4203 2 2" xfId="45454"/>
    <cellStyle name="Normal 4203 2 3" xfId="45455"/>
    <cellStyle name="Normal 4203 3" xfId="19667"/>
    <cellStyle name="Normal 4203 4" xfId="45456"/>
    <cellStyle name="Normal 4204" xfId="19668"/>
    <cellStyle name="Normal 4204 2" xfId="19669"/>
    <cellStyle name="Normal 4204 2 2" xfId="45457"/>
    <cellStyle name="Normal 4204 2 3" xfId="45458"/>
    <cellStyle name="Normal 4204 3" xfId="19670"/>
    <cellStyle name="Normal 4204 4" xfId="45459"/>
    <cellStyle name="Normal 4205" xfId="19671"/>
    <cellStyle name="Normal 4205 2" xfId="19672"/>
    <cellStyle name="Normal 4205 2 2" xfId="45460"/>
    <cellStyle name="Normal 4205 2 3" xfId="45461"/>
    <cellStyle name="Normal 4205 3" xfId="19673"/>
    <cellStyle name="Normal 4205 4" xfId="45462"/>
    <cellStyle name="Normal 4206" xfId="19674"/>
    <cellStyle name="Normal 4206 2" xfId="19675"/>
    <cellStyle name="Normal 4206 2 2" xfId="45463"/>
    <cellStyle name="Normal 4206 2 3" xfId="45464"/>
    <cellStyle name="Normal 4206 3" xfId="19676"/>
    <cellStyle name="Normal 4206 4" xfId="45465"/>
    <cellStyle name="Normal 4207" xfId="19677"/>
    <cellStyle name="Normal 4207 2" xfId="19678"/>
    <cellStyle name="Normal 4207 2 2" xfId="45466"/>
    <cellStyle name="Normal 4207 2 3" xfId="45467"/>
    <cellStyle name="Normal 4207 3" xfId="19679"/>
    <cellStyle name="Normal 4207 4" xfId="45468"/>
    <cellStyle name="Normal 4208" xfId="19680"/>
    <cellStyle name="Normal 4208 2" xfId="19681"/>
    <cellStyle name="Normal 4208 2 2" xfId="45469"/>
    <cellStyle name="Normal 4208 2 3" xfId="45470"/>
    <cellStyle name="Normal 4208 3" xfId="19682"/>
    <cellStyle name="Normal 4208 4" xfId="45471"/>
    <cellStyle name="Normal 4209" xfId="19683"/>
    <cellStyle name="Normal 4209 2" xfId="19684"/>
    <cellStyle name="Normal 4209 2 2" xfId="45472"/>
    <cellStyle name="Normal 4209 2 3" xfId="45473"/>
    <cellStyle name="Normal 4209 3" xfId="19685"/>
    <cellStyle name="Normal 4209 4" xfId="45474"/>
    <cellStyle name="Normal 421" xfId="19686"/>
    <cellStyle name="Normal 421 10" xfId="45475"/>
    <cellStyle name="Normal 421 2" xfId="19687"/>
    <cellStyle name="Normal 421 2 2" xfId="19688"/>
    <cellStyle name="Normal 421 2 2 2" xfId="19689"/>
    <cellStyle name="Normal 421 2 2 3" xfId="19690"/>
    <cellStyle name="Normal 421 2 3" xfId="19691"/>
    <cellStyle name="Normal 421 2 3 2" xfId="45476"/>
    <cellStyle name="Normal 421 2 3 3" xfId="45477"/>
    <cellStyle name="Normal 421 2 4" xfId="19692"/>
    <cellStyle name="Normal 421 2 5" xfId="19693"/>
    <cellStyle name="Normal 421 2 6" xfId="45478"/>
    <cellStyle name="Normal 421 2 7" xfId="45479"/>
    <cellStyle name="Normal 421 2 8" xfId="45480"/>
    <cellStyle name="Normal 421 3" xfId="19694"/>
    <cellStyle name="Normal 421 3 2" xfId="19695"/>
    <cellStyle name="Normal 421 3 2 2" xfId="45481"/>
    <cellStyle name="Normal 421 3 2 3" xfId="45482"/>
    <cellStyle name="Normal 421 3 3" xfId="19696"/>
    <cellStyle name="Normal 421 3 3 2" xfId="45483"/>
    <cellStyle name="Normal 421 3 3 3" xfId="45484"/>
    <cellStyle name="Normal 421 3 4" xfId="45485"/>
    <cellStyle name="Normal 421 3 5" xfId="45486"/>
    <cellStyle name="Normal 421 4" xfId="19697"/>
    <cellStyle name="Normal 421 4 2" xfId="45487"/>
    <cellStyle name="Normal 421 4 3" xfId="45488"/>
    <cellStyle name="Normal 421 5" xfId="19698"/>
    <cellStyle name="Normal 421 5 2" xfId="45489"/>
    <cellStyle name="Normal 421 5 3" xfId="45490"/>
    <cellStyle name="Normal 421 6" xfId="19699"/>
    <cellStyle name="Normal 421 7" xfId="45491"/>
    <cellStyle name="Normal 421 8" xfId="45492"/>
    <cellStyle name="Normal 421 9" xfId="45493"/>
    <cellStyle name="Normal 4210" xfId="19700"/>
    <cellStyle name="Normal 4210 2" xfId="19701"/>
    <cellStyle name="Normal 4210 2 2" xfId="45494"/>
    <cellStyle name="Normal 4210 2 3" xfId="45495"/>
    <cellStyle name="Normal 4210 3" xfId="19702"/>
    <cellStyle name="Normal 4210 4" xfId="45496"/>
    <cellStyle name="Normal 4211" xfId="19703"/>
    <cellStyle name="Normal 4211 2" xfId="19704"/>
    <cellStyle name="Normal 4211 2 2" xfId="45497"/>
    <cellStyle name="Normal 4211 2 3" xfId="45498"/>
    <cellStyle name="Normal 4211 3" xfId="19705"/>
    <cellStyle name="Normal 4211 4" xfId="45499"/>
    <cellStyle name="Normal 4212" xfId="19706"/>
    <cellStyle name="Normal 4212 2" xfId="19707"/>
    <cellStyle name="Normal 4212 2 2" xfId="45500"/>
    <cellStyle name="Normal 4212 2 3" xfId="45501"/>
    <cellStyle name="Normal 4212 3" xfId="45502"/>
    <cellStyle name="Normal 4212 4" xfId="45503"/>
    <cellStyle name="Normal 4213" xfId="19708"/>
    <cellStyle name="Normal 4213 2" xfId="19709"/>
    <cellStyle name="Normal 4213 2 2" xfId="45504"/>
    <cellStyle name="Normal 4213 2 3" xfId="45505"/>
    <cellStyle name="Normal 4213 3" xfId="45506"/>
    <cellStyle name="Normal 4213 4" xfId="45507"/>
    <cellStyle name="Normal 4214" xfId="19710"/>
    <cellStyle name="Normal 4214 2" xfId="19711"/>
    <cellStyle name="Normal 4214 2 2" xfId="45508"/>
    <cellStyle name="Normal 4214 2 3" xfId="45509"/>
    <cellStyle name="Normal 4214 3" xfId="45510"/>
    <cellStyle name="Normal 4214 4" xfId="45511"/>
    <cellStyle name="Normal 4215" xfId="19712"/>
    <cellStyle name="Normal 4215 2" xfId="19713"/>
    <cellStyle name="Normal 4215 2 2" xfId="45512"/>
    <cellStyle name="Normal 4215 2 3" xfId="45513"/>
    <cellStyle name="Normal 4215 3" xfId="45514"/>
    <cellStyle name="Normal 4215 4" xfId="45515"/>
    <cellStyle name="Normal 4216" xfId="19714"/>
    <cellStyle name="Normal 4216 2" xfId="19715"/>
    <cellStyle name="Normal 4216 2 2" xfId="45516"/>
    <cellStyle name="Normal 4216 2 3" xfId="45517"/>
    <cellStyle name="Normal 4216 3" xfId="45518"/>
    <cellStyle name="Normal 4216 4" xfId="45519"/>
    <cellStyle name="Normal 4217" xfId="19716"/>
    <cellStyle name="Normal 4217 2" xfId="19717"/>
    <cellStyle name="Normal 4217 2 2" xfId="45520"/>
    <cellStyle name="Normal 4217 2 3" xfId="45521"/>
    <cellStyle name="Normal 4217 3" xfId="45522"/>
    <cellStyle name="Normal 4217 4" xfId="45523"/>
    <cellStyle name="Normal 4218" xfId="19718"/>
    <cellStyle name="Normal 4218 2" xfId="19719"/>
    <cellStyle name="Normal 4218 2 2" xfId="45524"/>
    <cellStyle name="Normal 4218 2 3" xfId="45525"/>
    <cellStyle name="Normal 4218 3" xfId="45526"/>
    <cellStyle name="Normal 4218 4" xfId="45527"/>
    <cellStyle name="Normal 4219" xfId="19720"/>
    <cellStyle name="Normal 4219 2" xfId="19721"/>
    <cellStyle name="Normal 4219 2 2" xfId="45528"/>
    <cellStyle name="Normal 4219 2 3" xfId="45529"/>
    <cellStyle name="Normal 4219 3" xfId="45530"/>
    <cellStyle name="Normal 4219 4" xfId="45531"/>
    <cellStyle name="Normal 422" xfId="19722"/>
    <cellStyle name="Normal 422 10" xfId="45532"/>
    <cellStyle name="Normal 422 2" xfId="19723"/>
    <cellStyle name="Normal 422 2 2" xfId="19724"/>
    <cellStyle name="Normal 422 2 2 2" xfId="19725"/>
    <cellStyle name="Normal 422 2 2 3" xfId="19726"/>
    <cellStyle name="Normal 422 2 3" xfId="19727"/>
    <cellStyle name="Normal 422 2 3 2" xfId="45533"/>
    <cellStyle name="Normal 422 2 3 3" xfId="45534"/>
    <cellStyle name="Normal 422 2 4" xfId="19728"/>
    <cellStyle name="Normal 422 2 5" xfId="19729"/>
    <cellStyle name="Normal 422 2 6" xfId="45535"/>
    <cellStyle name="Normal 422 2 7" xfId="45536"/>
    <cellStyle name="Normal 422 2 8" xfId="45537"/>
    <cellStyle name="Normal 422 3" xfId="19730"/>
    <cellStyle name="Normal 422 3 2" xfId="19731"/>
    <cellStyle name="Normal 422 3 2 2" xfId="45538"/>
    <cellStyle name="Normal 422 3 2 3" xfId="45539"/>
    <cellStyle name="Normal 422 3 3" xfId="19732"/>
    <cellStyle name="Normal 422 3 3 2" xfId="45540"/>
    <cellStyle name="Normal 422 3 3 3" xfId="45541"/>
    <cellStyle name="Normal 422 3 4" xfId="45542"/>
    <cellStyle name="Normal 422 3 5" xfId="45543"/>
    <cellStyle name="Normal 422 4" xfId="19733"/>
    <cellStyle name="Normal 422 4 2" xfId="45544"/>
    <cellStyle name="Normal 422 4 3" xfId="45545"/>
    <cellStyle name="Normal 422 5" xfId="19734"/>
    <cellStyle name="Normal 422 5 2" xfId="45546"/>
    <cellStyle name="Normal 422 5 3" xfId="45547"/>
    <cellStyle name="Normal 422 6" xfId="19735"/>
    <cellStyle name="Normal 422 7" xfId="45548"/>
    <cellStyle name="Normal 422 8" xfId="45549"/>
    <cellStyle name="Normal 422 9" xfId="45550"/>
    <cellStyle name="Normal 4220" xfId="19736"/>
    <cellStyle name="Normal 4220 2" xfId="19737"/>
    <cellStyle name="Normal 4220 2 2" xfId="45551"/>
    <cellStyle name="Normal 4220 2 3" xfId="45552"/>
    <cellStyle name="Normal 4220 3" xfId="45553"/>
    <cellStyle name="Normal 4220 4" xfId="45554"/>
    <cellStyle name="Normal 4221" xfId="19738"/>
    <cellStyle name="Normal 4221 2" xfId="19739"/>
    <cellStyle name="Normal 4221 2 2" xfId="45555"/>
    <cellStyle name="Normal 4221 2 3" xfId="45556"/>
    <cellStyle name="Normal 4221 3" xfId="45557"/>
    <cellStyle name="Normal 4221 4" xfId="45558"/>
    <cellStyle name="Normal 4222" xfId="19740"/>
    <cellStyle name="Normal 4222 2" xfId="19741"/>
    <cellStyle name="Normal 4222 2 2" xfId="45559"/>
    <cellStyle name="Normal 4222 2 3" xfId="45560"/>
    <cellStyle name="Normal 4222 3" xfId="45561"/>
    <cellStyle name="Normal 4222 4" xfId="45562"/>
    <cellStyle name="Normal 4223" xfId="19742"/>
    <cellStyle name="Normal 4223 2" xfId="19743"/>
    <cellStyle name="Normal 4223 2 2" xfId="45563"/>
    <cellStyle name="Normal 4223 2 3" xfId="45564"/>
    <cellStyle name="Normal 4223 3" xfId="45565"/>
    <cellStyle name="Normal 4223 4" xfId="45566"/>
    <cellStyle name="Normal 4224" xfId="19744"/>
    <cellStyle name="Normal 4224 2" xfId="19745"/>
    <cellStyle name="Normal 4224 2 2" xfId="45567"/>
    <cellStyle name="Normal 4224 2 3" xfId="45568"/>
    <cellStyle name="Normal 4224 3" xfId="45569"/>
    <cellStyle name="Normal 4224 4" xfId="45570"/>
    <cellStyle name="Normal 4225" xfId="19746"/>
    <cellStyle name="Normal 4225 2" xfId="19747"/>
    <cellStyle name="Normal 4225 2 2" xfId="45571"/>
    <cellStyle name="Normal 4225 2 3" xfId="45572"/>
    <cellStyle name="Normal 4225 3" xfId="45573"/>
    <cellStyle name="Normal 4225 4" xfId="45574"/>
    <cellStyle name="Normal 4226" xfId="19748"/>
    <cellStyle name="Normal 4226 2" xfId="19749"/>
    <cellStyle name="Normal 4226 2 2" xfId="45575"/>
    <cellStyle name="Normal 4226 2 3" xfId="45576"/>
    <cellStyle name="Normal 4226 3" xfId="45577"/>
    <cellStyle name="Normal 4226 4" xfId="45578"/>
    <cellStyle name="Normal 4227" xfId="19750"/>
    <cellStyle name="Normal 4227 2" xfId="19751"/>
    <cellStyle name="Normal 4227 2 2" xfId="45579"/>
    <cellStyle name="Normal 4227 2 3" xfId="45580"/>
    <cellStyle name="Normal 4227 3" xfId="45581"/>
    <cellStyle name="Normal 4227 4" xfId="45582"/>
    <cellStyle name="Normal 4228" xfId="19752"/>
    <cellStyle name="Normal 4228 2" xfId="19753"/>
    <cellStyle name="Normal 4228 2 2" xfId="45583"/>
    <cellStyle name="Normal 4228 2 3" xfId="45584"/>
    <cellStyle name="Normal 4228 3" xfId="45585"/>
    <cellStyle name="Normal 4228 4" xfId="45586"/>
    <cellStyle name="Normal 4229" xfId="19754"/>
    <cellStyle name="Normal 4229 2" xfId="19755"/>
    <cellStyle name="Normal 4229 2 2" xfId="45587"/>
    <cellStyle name="Normal 4229 2 3" xfId="45588"/>
    <cellStyle name="Normal 4229 3" xfId="45589"/>
    <cellStyle name="Normal 4229 4" xfId="45590"/>
    <cellStyle name="Normal 423" xfId="19756"/>
    <cellStyle name="Normal 423 10" xfId="45591"/>
    <cellStyle name="Normal 423 2" xfId="19757"/>
    <cellStyle name="Normal 423 2 2" xfId="19758"/>
    <cellStyle name="Normal 423 2 2 2" xfId="19759"/>
    <cellStyle name="Normal 423 2 2 3" xfId="19760"/>
    <cellStyle name="Normal 423 2 3" xfId="19761"/>
    <cellStyle name="Normal 423 2 3 2" xfId="45592"/>
    <cellStyle name="Normal 423 2 3 3" xfId="45593"/>
    <cellStyle name="Normal 423 2 4" xfId="19762"/>
    <cellStyle name="Normal 423 2 5" xfId="19763"/>
    <cellStyle name="Normal 423 2 6" xfId="45594"/>
    <cellStyle name="Normal 423 2 7" xfId="45595"/>
    <cellStyle name="Normal 423 2 8" xfId="45596"/>
    <cellStyle name="Normal 423 3" xfId="19764"/>
    <cellStyle name="Normal 423 3 2" xfId="19765"/>
    <cellStyle name="Normal 423 3 2 2" xfId="45597"/>
    <cellStyle name="Normal 423 3 2 3" xfId="45598"/>
    <cellStyle name="Normal 423 3 3" xfId="19766"/>
    <cellStyle name="Normal 423 3 3 2" xfId="45599"/>
    <cellStyle name="Normal 423 3 3 3" xfId="45600"/>
    <cellStyle name="Normal 423 3 4" xfId="45601"/>
    <cellStyle name="Normal 423 3 5" xfId="45602"/>
    <cellStyle name="Normal 423 4" xfId="19767"/>
    <cellStyle name="Normal 423 4 2" xfId="45603"/>
    <cellStyle name="Normal 423 4 3" xfId="45604"/>
    <cellStyle name="Normal 423 5" xfId="19768"/>
    <cellStyle name="Normal 423 5 2" xfId="45605"/>
    <cellStyle name="Normal 423 5 3" xfId="45606"/>
    <cellStyle name="Normal 423 6" xfId="19769"/>
    <cellStyle name="Normal 423 7" xfId="45607"/>
    <cellStyle name="Normal 423 8" xfId="45608"/>
    <cellStyle name="Normal 423 9" xfId="45609"/>
    <cellStyle name="Normal 4230" xfId="19770"/>
    <cellStyle name="Normal 4230 2" xfId="19771"/>
    <cellStyle name="Normal 4230 2 2" xfId="45610"/>
    <cellStyle name="Normal 4230 2 3" xfId="45611"/>
    <cellStyle name="Normal 4230 3" xfId="45612"/>
    <cellStyle name="Normal 4230 4" xfId="45613"/>
    <cellStyle name="Normal 4231" xfId="19772"/>
    <cellStyle name="Normal 4231 2" xfId="19773"/>
    <cellStyle name="Normal 4231 2 2" xfId="45614"/>
    <cellStyle name="Normal 4231 2 3" xfId="45615"/>
    <cellStyle name="Normal 4231 3" xfId="45616"/>
    <cellStyle name="Normal 4231 4" xfId="45617"/>
    <cellStyle name="Normal 4232" xfId="19774"/>
    <cellStyle name="Normal 4232 2" xfId="19775"/>
    <cellStyle name="Normal 4232 2 2" xfId="45618"/>
    <cellStyle name="Normal 4232 2 3" xfId="45619"/>
    <cellStyle name="Normal 4232 3" xfId="45620"/>
    <cellStyle name="Normal 4232 4" xfId="45621"/>
    <cellStyle name="Normal 4233" xfId="19776"/>
    <cellStyle name="Normal 4233 2" xfId="19777"/>
    <cellStyle name="Normal 4233 2 2" xfId="45622"/>
    <cellStyle name="Normal 4233 2 3" xfId="45623"/>
    <cellStyle name="Normal 4233 3" xfId="45624"/>
    <cellStyle name="Normal 4233 4" xfId="45625"/>
    <cellStyle name="Normal 4234" xfId="19778"/>
    <cellStyle name="Normal 4234 2" xfId="19779"/>
    <cellStyle name="Normal 4234 2 2" xfId="45626"/>
    <cellStyle name="Normal 4234 2 3" xfId="45627"/>
    <cellStyle name="Normal 4234 3" xfId="45628"/>
    <cellStyle name="Normal 4234 4" xfId="45629"/>
    <cellStyle name="Normal 4235" xfId="19780"/>
    <cellStyle name="Normal 4235 2" xfId="19781"/>
    <cellStyle name="Normal 4235 2 2" xfId="45630"/>
    <cellStyle name="Normal 4235 2 3" xfId="45631"/>
    <cellStyle name="Normal 4235 3" xfId="45632"/>
    <cellStyle name="Normal 4235 4" xfId="45633"/>
    <cellStyle name="Normal 4236" xfId="19782"/>
    <cellStyle name="Normal 4236 2" xfId="19783"/>
    <cellStyle name="Normal 4236 2 2" xfId="45634"/>
    <cellStyle name="Normal 4236 2 3" xfId="45635"/>
    <cellStyle name="Normal 4236 3" xfId="45636"/>
    <cellStyle name="Normal 4236 4" xfId="45637"/>
    <cellStyle name="Normal 4237" xfId="19784"/>
    <cellStyle name="Normal 4237 2" xfId="19785"/>
    <cellStyle name="Normal 4237 2 2" xfId="45638"/>
    <cellStyle name="Normal 4237 2 3" xfId="45639"/>
    <cellStyle name="Normal 4237 3" xfId="45640"/>
    <cellStyle name="Normal 4237 4" xfId="45641"/>
    <cellStyle name="Normal 4238" xfId="19786"/>
    <cellStyle name="Normal 4238 2" xfId="19787"/>
    <cellStyle name="Normal 4238 2 2" xfId="45642"/>
    <cellStyle name="Normal 4238 2 3" xfId="45643"/>
    <cellStyle name="Normal 4238 3" xfId="45644"/>
    <cellStyle name="Normal 4238 4" xfId="45645"/>
    <cellStyle name="Normal 4239" xfId="19788"/>
    <cellStyle name="Normal 4239 2" xfId="19789"/>
    <cellStyle name="Normal 4239 2 2" xfId="45646"/>
    <cellStyle name="Normal 4239 2 3" xfId="45647"/>
    <cellStyle name="Normal 4239 3" xfId="45648"/>
    <cellStyle name="Normal 4239 4" xfId="45649"/>
    <cellStyle name="Normal 424" xfId="19790"/>
    <cellStyle name="Normal 424 10" xfId="45650"/>
    <cellStyle name="Normal 424 2" xfId="19791"/>
    <cellStyle name="Normal 424 2 2" xfId="19792"/>
    <cellStyle name="Normal 424 2 2 2" xfId="19793"/>
    <cellStyle name="Normal 424 2 2 3" xfId="19794"/>
    <cellStyle name="Normal 424 2 3" xfId="19795"/>
    <cellStyle name="Normal 424 2 3 2" xfId="45651"/>
    <cellStyle name="Normal 424 2 3 3" xfId="45652"/>
    <cellStyle name="Normal 424 2 4" xfId="19796"/>
    <cellStyle name="Normal 424 2 5" xfId="19797"/>
    <cellStyle name="Normal 424 2 6" xfId="45653"/>
    <cellStyle name="Normal 424 2 7" xfId="45654"/>
    <cellStyle name="Normal 424 2 8" xfId="45655"/>
    <cellStyle name="Normal 424 3" xfId="19798"/>
    <cellStyle name="Normal 424 3 2" xfId="19799"/>
    <cellStyle name="Normal 424 3 2 2" xfId="45656"/>
    <cellStyle name="Normal 424 3 2 3" xfId="45657"/>
    <cellStyle name="Normal 424 3 3" xfId="19800"/>
    <cellStyle name="Normal 424 3 3 2" xfId="45658"/>
    <cellStyle name="Normal 424 3 3 3" xfId="45659"/>
    <cellStyle name="Normal 424 3 4" xfId="45660"/>
    <cellStyle name="Normal 424 3 5" xfId="45661"/>
    <cellStyle name="Normal 424 4" xfId="19801"/>
    <cellStyle name="Normal 424 4 2" xfId="45662"/>
    <cellStyle name="Normal 424 4 3" xfId="45663"/>
    <cellStyle name="Normal 424 5" xfId="19802"/>
    <cellStyle name="Normal 424 5 2" xfId="45664"/>
    <cellStyle name="Normal 424 5 3" xfId="45665"/>
    <cellStyle name="Normal 424 6" xfId="19803"/>
    <cellStyle name="Normal 424 7" xfId="45666"/>
    <cellStyle name="Normal 424 8" xfId="45667"/>
    <cellStyle name="Normal 424 9" xfId="45668"/>
    <cellStyle name="Normal 4240" xfId="19804"/>
    <cellStyle name="Normal 4240 2" xfId="19805"/>
    <cellStyle name="Normal 4240 2 2" xfId="45669"/>
    <cellStyle name="Normal 4240 2 3" xfId="45670"/>
    <cellStyle name="Normal 4240 3" xfId="45671"/>
    <cellStyle name="Normal 4240 4" xfId="45672"/>
    <cellStyle name="Normal 4241" xfId="19806"/>
    <cellStyle name="Normal 4241 2" xfId="19807"/>
    <cellStyle name="Normal 4241 2 2" xfId="45673"/>
    <cellStyle name="Normal 4241 2 3" xfId="45674"/>
    <cellStyle name="Normal 4241 3" xfId="45675"/>
    <cellStyle name="Normal 4241 4" xfId="45676"/>
    <cellStyle name="Normal 4242" xfId="19808"/>
    <cellStyle name="Normal 4242 2" xfId="19809"/>
    <cellStyle name="Normal 4242 2 2" xfId="45677"/>
    <cellStyle name="Normal 4242 2 3" xfId="45678"/>
    <cellStyle name="Normal 4242 3" xfId="45679"/>
    <cellStyle name="Normal 4242 4" xfId="45680"/>
    <cellStyle name="Normal 4243" xfId="19810"/>
    <cellStyle name="Normal 4243 2" xfId="19811"/>
    <cellStyle name="Normal 4243 2 2" xfId="45681"/>
    <cellStyle name="Normal 4243 2 3" xfId="45682"/>
    <cellStyle name="Normal 4243 3" xfId="45683"/>
    <cellStyle name="Normal 4243 4" xfId="45684"/>
    <cellStyle name="Normal 4244" xfId="19812"/>
    <cellStyle name="Normal 4244 2" xfId="19813"/>
    <cellStyle name="Normal 4244 2 2" xfId="45685"/>
    <cellStyle name="Normal 4244 2 3" xfId="45686"/>
    <cellStyle name="Normal 4244 3" xfId="45687"/>
    <cellStyle name="Normal 4244 4" xfId="45688"/>
    <cellStyle name="Normal 4245" xfId="19814"/>
    <cellStyle name="Normal 4245 2" xfId="19815"/>
    <cellStyle name="Normal 4245 2 2" xfId="45689"/>
    <cellStyle name="Normal 4245 2 3" xfId="45690"/>
    <cellStyle name="Normal 4245 3" xfId="45691"/>
    <cellStyle name="Normal 4245 4" xfId="45692"/>
    <cellStyle name="Normal 4246" xfId="19816"/>
    <cellStyle name="Normal 4246 2" xfId="19817"/>
    <cellStyle name="Normal 4246 2 2" xfId="45693"/>
    <cellStyle name="Normal 4246 2 3" xfId="45694"/>
    <cellStyle name="Normal 4246 3" xfId="45695"/>
    <cellStyle name="Normal 4246 4" xfId="45696"/>
    <cellStyle name="Normal 4247" xfId="19818"/>
    <cellStyle name="Normal 4247 2" xfId="19819"/>
    <cellStyle name="Normal 4247 2 2" xfId="45697"/>
    <cellStyle name="Normal 4247 2 3" xfId="45698"/>
    <cellStyle name="Normal 4247 3" xfId="45699"/>
    <cellStyle name="Normal 4247 4" xfId="45700"/>
    <cellStyle name="Normal 4248" xfId="19820"/>
    <cellStyle name="Normal 4248 2" xfId="19821"/>
    <cellStyle name="Normal 4248 2 2" xfId="45701"/>
    <cellStyle name="Normal 4248 2 3" xfId="45702"/>
    <cellStyle name="Normal 4248 3" xfId="45703"/>
    <cellStyle name="Normal 4248 4" xfId="45704"/>
    <cellStyle name="Normal 4249" xfId="19822"/>
    <cellStyle name="Normal 4249 2" xfId="19823"/>
    <cellStyle name="Normal 4249 2 2" xfId="45705"/>
    <cellStyle name="Normal 4249 2 3" xfId="45706"/>
    <cellStyle name="Normal 4249 3" xfId="45707"/>
    <cellStyle name="Normal 4249 4" xfId="45708"/>
    <cellStyle name="Normal 425" xfId="19824"/>
    <cellStyle name="Normal 425 10" xfId="45709"/>
    <cellStyle name="Normal 425 2" xfId="19825"/>
    <cellStyle name="Normal 425 2 2" xfId="19826"/>
    <cellStyle name="Normal 425 2 2 2" xfId="19827"/>
    <cellStyle name="Normal 425 2 2 3" xfId="19828"/>
    <cellStyle name="Normal 425 2 3" xfId="19829"/>
    <cellStyle name="Normal 425 2 3 2" xfId="45710"/>
    <cellStyle name="Normal 425 2 3 3" xfId="45711"/>
    <cellStyle name="Normal 425 2 4" xfId="19830"/>
    <cellStyle name="Normal 425 2 5" xfId="19831"/>
    <cellStyle name="Normal 425 2 6" xfId="45712"/>
    <cellStyle name="Normal 425 2 7" xfId="45713"/>
    <cellStyle name="Normal 425 2 8" xfId="45714"/>
    <cellStyle name="Normal 425 3" xfId="19832"/>
    <cellStyle name="Normal 425 3 2" xfId="19833"/>
    <cellStyle name="Normal 425 3 2 2" xfId="45715"/>
    <cellStyle name="Normal 425 3 2 3" xfId="45716"/>
    <cellStyle name="Normal 425 3 3" xfId="19834"/>
    <cellStyle name="Normal 425 3 3 2" xfId="45717"/>
    <cellStyle name="Normal 425 3 3 3" xfId="45718"/>
    <cellStyle name="Normal 425 3 4" xfId="45719"/>
    <cellStyle name="Normal 425 3 5" xfId="45720"/>
    <cellStyle name="Normal 425 4" xfId="19835"/>
    <cellStyle name="Normal 425 4 2" xfId="45721"/>
    <cellStyle name="Normal 425 4 3" xfId="45722"/>
    <cellStyle name="Normal 425 5" xfId="19836"/>
    <cellStyle name="Normal 425 5 2" xfId="45723"/>
    <cellStyle name="Normal 425 5 3" xfId="45724"/>
    <cellStyle name="Normal 425 6" xfId="19837"/>
    <cellStyle name="Normal 425 7" xfId="45725"/>
    <cellStyle name="Normal 425 8" xfId="45726"/>
    <cellStyle name="Normal 425 9" xfId="45727"/>
    <cellStyle name="Normal 4250" xfId="19838"/>
    <cellStyle name="Normal 4250 2" xfId="19839"/>
    <cellStyle name="Normal 4250 2 2" xfId="45728"/>
    <cellStyle name="Normal 4250 2 3" xfId="45729"/>
    <cellStyle name="Normal 4250 3" xfId="45730"/>
    <cellStyle name="Normal 4250 4" xfId="45731"/>
    <cellStyle name="Normal 4251" xfId="19840"/>
    <cellStyle name="Normal 4251 2" xfId="19841"/>
    <cellStyle name="Normal 4251 2 2" xfId="45732"/>
    <cellStyle name="Normal 4251 2 3" xfId="45733"/>
    <cellStyle name="Normal 4251 3" xfId="45734"/>
    <cellStyle name="Normal 4251 4" xfId="45735"/>
    <cellStyle name="Normal 4252" xfId="19842"/>
    <cellStyle name="Normal 4252 2" xfId="19843"/>
    <cellStyle name="Normal 4252 2 2" xfId="45736"/>
    <cellStyle name="Normal 4252 2 3" xfId="45737"/>
    <cellStyle name="Normal 4252 3" xfId="45738"/>
    <cellStyle name="Normal 4252 4" xfId="45739"/>
    <cellStyle name="Normal 4253" xfId="19844"/>
    <cellStyle name="Normal 4253 2" xfId="19845"/>
    <cellStyle name="Normal 4253 2 2" xfId="45740"/>
    <cellStyle name="Normal 4253 2 3" xfId="45741"/>
    <cellStyle name="Normal 4253 3" xfId="45742"/>
    <cellStyle name="Normal 4253 4" xfId="45743"/>
    <cellStyle name="Normal 4254" xfId="19846"/>
    <cellStyle name="Normal 4254 2" xfId="19847"/>
    <cellStyle name="Normal 4254 2 2" xfId="45744"/>
    <cellStyle name="Normal 4254 2 3" xfId="45745"/>
    <cellStyle name="Normal 4254 3" xfId="45746"/>
    <cellStyle name="Normal 4254 4" xfId="45747"/>
    <cellStyle name="Normal 4255" xfId="19848"/>
    <cellStyle name="Normal 4255 2" xfId="19849"/>
    <cellStyle name="Normal 4255 2 2" xfId="45748"/>
    <cellStyle name="Normal 4255 2 3" xfId="45749"/>
    <cellStyle name="Normal 4255 3" xfId="45750"/>
    <cellStyle name="Normal 4255 4" xfId="45751"/>
    <cellStyle name="Normal 4256" xfId="19850"/>
    <cellStyle name="Normal 4256 2" xfId="19851"/>
    <cellStyle name="Normal 4256 2 2" xfId="45752"/>
    <cellStyle name="Normal 4256 2 3" xfId="45753"/>
    <cellStyle name="Normal 4256 3" xfId="45754"/>
    <cellStyle name="Normal 4256 4" xfId="45755"/>
    <cellStyle name="Normal 4257" xfId="19852"/>
    <cellStyle name="Normal 4257 2" xfId="19853"/>
    <cellStyle name="Normal 4257 2 2" xfId="45756"/>
    <cellStyle name="Normal 4257 2 3" xfId="45757"/>
    <cellStyle name="Normal 4257 3" xfId="45758"/>
    <cellStyle name="Normal 4257 4" xfId="45759"/>
    <cellStyle name="Normal 4258" xfId="19854"/>
    <cellStyle name="Normal 4258 2" xfId="19855"/>
    <cellStyle name="Normal 4258 2 2" xfId="45760"/>
    <cellStyle name="Normal 4258 2 3" xfId="45761"/>
    <cellStyle name="Normal 4258 3" xfId="45762"/>
    <cellStyle name="Normal 4258 4" xfId="45763"/>
    <cellStyle name="Normal 4259" xfId="19856"/>
    <cellStyle name="Normal 4259 2" xfId="19857"/>
    <cellStyle name="Normal 4259 2 2" xfId="45764"/>
    <cellStyle name="Normal 4259 2 3" xfId="45765"/>
    <cellStyle name="Normal 4259 3" xfId="45766"/>
    <cellStyle name="Normal 4259 4" xfId="45767"/>
    <cellStyle name="Normal 426" xfId="19858"/>
    <cellStyle name="Normal 426 10" xfId="45768"/>
    <cellStyle name="Normal 426 2" xfId="19859"/>
    <cellStyle name="Normal 426 2 2" xfId="19860"/>
    <cellStyle name="Normal 426 2 2 2" xfId="19861"/>
    <cellStyle name="Normal 426 2 2 3" xfId="19862"/>
    <cellStyle name="Normal 426 2 3" xfId="19863"/>
    <cellStyle name="Normal 426 2 3 2" xfId="45769"/>
    <cellStyle name="Normal 426 2 3 3" xfId="45770"/>
    <cellStyle name="Normal 426 2 4" xfId="19864"/>
    <cellStyle name="Normal 426 2 5" xfId="19865"/>
    <cellStyle name="Normal 426 2 6" xfId="45771"/>
    <cellStyle name="Normal 426 2 7" xfId="45772"/>
    <cellStyle name="Normal 426 2 8" xfId="45773"/>
    <cellStyle name="Normal 426 3" xfId="19866"/>
    <cellStyle name="Normal 426 3 2" xfId="19867"/>
    <cellStyle name="Normal 426 3 2 2" xfId="45774"/>
    <cellStyle name="Normal 426 3 2 3" xfId="45775"/>
    <cellStyle name="Normal 426 3 3" xfId="19868"/>
    <cellStyle name="Normal 426 3 3 2" xfId="45776"/>
    <cellStyle name="Normal 426 3 3 3" xfId="45777"/>
    <cellStyle name="Normal 426 3 4" xfId="45778"/>
    <cellStyle name="Normal 426 3 5" xfId="45779"/>
    <cellStyle name="Normal 426 4" xfId="19869"/>
    <cellStyle name="Normal 426 4 2" xfId="45780"/>
    <cellStyle name="Normal 426 4 3" xfId="45781"/>
    <cellStyle name="Normal 426 5" xfId="19870"/>
    <cellStyle name="Normal 426 5 2" xfId="45782"/>
    <cellStyle name="Normal 426 5 3" xfId="45783"/>
    <cellStyle name="Normal 426 6" xfId="19871"/>
    <cellStyle name="Normal 426 7" xfId="45784"/>
    <cellStyle name="Normal 426 8" xfId="45785"/>
    <cellStyle name="Normal 426 9" xfId="45786"/>
    <cellStyle name="Normal 4260" xfId="19872"/>
    <cellStyle name="Normal 4260 2" xfId="19873"/>
    <cellStyle name="Normal 4260 2 2" xfId="45787"/>
    <cellStyle name="Normal 4260 2 3" xfId="45788"/>
    <cellStyle name="Normal 4260 3" xfId="45789"/>
    <cellStyle name="Normal 4260 4" xfId="45790"/>
    <cellStyle name="Normal 4261" xfId="19874"/>
    <cellStyle name="Normal 4261 2" xfId="19875"/>
    <cellStyle name="Normal 4261 2 2" xfId="45791"/>
    <cellStyle name="Normal 4261 2 3" xfId="45792"/>
    <cellStyle name="Normal 4261 3" xfId="45793"/>
    <cellStyle name="Normal 4261 4" xfId="45794"/>
    <cellStyle name="Normal 4262" xfId="19876"/>
    <cellStyle name="Normal 4262 2" xfId="19877"/>
    <cellStyle name="Normal 4262 2 2" xfId="45795"/>
    <cellStyle name="Normal 4262 2 3" xfId="45796"/>
    <cellStyle name="Normal 4262 3" xfId="45797"/>
    <cellStyle name="Normal 4262 4" xfId="45798"/>
    <cellStyle name="Normal 4263" xfId="19878"/>
    <cellStyle name="Normal 4263 2" xfId="19879"/>
    <cellStyle name="Normal 4263 2 2" xfId="45799"/>
    <cellStyle name="Normal 4263 2 3" xfId="45800"/>
    <cellStyle name="Normal 4263 3" xfId="45801"/>
    <cellStyle name="Normal 4263 4" xfId="45802"/>
    <cellStyle name="Normal 4264" xfId="19880"/>
    <cellStyle name="Normal 4264 2" xfId="19881"/>
    <cellStyle name="Normal 4264 2 2" xfId="45803"/>
    <cellStyle name="Normal 4264 2 3" xfId="45804"/>
    <cellStyle name="Normal 4264 3" xfId="45805"/>
    <cellStyle name="Normal 4264 4" xfId="45806"/>
    <cellStyle name="Normal 4265" xfId="19882"/>
    <cellStyle name="Normal 4265 2" xfId="19883"/>
    <cellStyle name="Normal 4265 2 2" xfId="45807"/>
    <cellStyle name="Normal 4265 2 3" xfId="45808"/>
    <cellStyle name="Normal 4265 3" xfId="45809"/>
    <cellStyle name="Normal 4265 4" xfId="45810"/>
    <cellStyle name="Normal 4266" xfId="19884"/>
    <cellStyle name="Normal 4266 2" xfId="19885"/>
    <cellStyle name="Normal 4266 2 2" xfId="45811"/>
    <cellStyle name="Normal 4266 2 3" xfId="45812"/>
    <cellStyle name="Normal 4266 3" xfId="45813"/>
    <cellStyle name="Normal 4266 4" xfId="45814"/>
    <cellStyle name="Normal 4267" xfId="19886"/>
    <cellStyle name="Normal 4267 2" xfId="19887"/>
    <cellStyle name="Normal 4267 2 2" xfId="45815"/>
    <cellStyle name="Normal 4267 2 3" xfId="45816"/>
    <cellStyle name="Normal 4267 3" xfId="45817"/>
    <cellStyle name="Normal 4267 4" xfId="45818"/>
    <cellStyle name="Normal 4268" xfId="19888"/>
    <cellStyle name="Normal 4268 2" xfId="19889"/>
    <cellStyle name="Normal 4268 2 2" xfId="45819"/>
    <cellStyle name="Normal 4268 2 3" xfId="45820"/>
    <cellStyle name="Normal 4268 3" xfId="45821"/>
    <cellStyle name="Normal 4268 4" xfId="45822"/>
    <cellStyle name="Normal 4269" xfId="19890"/>
    <cellStyle name="Normal 4269 2" xfId="19891"/>
    <cellStyle name="Normal 4269 2 2" xfId="45823"/>
    <cellStyle name="Normal 4269 2 3" xfId="45824"/>
    <cellStyle name="Normal 4269 3" xfId="45825"/>
    <cellStyle name="Normal 4269 4" xfId="45826"/>
    <cellStyle name="Normal 427" xfId="19892"/>
    <cellStyle name="Normal 427 10" xfId="45827"/>
    <cellStyle name="Normal 427 2" xfId="19893"/>
    <cellStyle name="Normal 427 2 2" xfId="19894"/>
    <cellStyle name="Normal 427 2 2 2" xfId="19895"/>
    <cellStyle name="Normal 427 2 2 3" xfId="19896"/>
    <cellStyle name="Normal 427 2 3" xfId="19897"/>
    <cellStyle name="Normal 427 2 3 2" xfId="45828"/>
    <cellStyle name="Normal 427 2 3 3" xfId="45829"/>
    <cellStyle name="Normal 427 2 4" xfId="19898"/>
    <cellStyle name="Normal 427 2 5" xfId="19899"/>
    <cellStyle name="Normal 427 2 6" xfId="45830"/>
    <cellStyle name="Normal 427 2 7" xfId="45831"/>
    <cellStyle name="Normal 427 2 8" xfId="45832"/>
    <cellStyle name="Normal 427 3" xfId="19900"/>
    <cellStyle name="Normal 427 3 2" xfId="19901"/>
    <cellStyle name="Normal 427 3 2 2" xfId="45833"/>
    <cellStyle name="Normal 427 3 2 3" xfId="45834"/>
    <cellStyle name="Normal 427 3 3" xfId="19902"/>
    <cellStyle name="Normal 427 3 3 2" xfId="45835"/>
    <cellStyle name="Normal 427 3 3 3" xfId="45836"/>
    <cellStyle name="Normal 427 3 4" xfId="45837"/>
    <cellStyle name="Normal 427 3 5" xfId="45838"/>
    <cellStyle name="Normal 427 4" xfId="19903"/>
    <cellStyle name="Normal 427 4 2" xfId="45839"/>
    <cellStyle name="Normal 427 4 3" xfId="45840"/>
    <cellStyle name="Normal 427 5" xfId="19904"/>
    <cellStyle name="Normal 427 5 2" xfId="45841"/>
    <cellStyle name="Normal 427 5 3" xfId="45842"/>
    <cellStyle name="Normal 427 6" xfId="19905"/>
    <cellStyle name="Normal 427 7" xfId="45843"/>
    <cellStyle name="Normal 427 8" xfId="45844"/>
    <cellStyle name="Normal 427 9" xfId="45845"/>
    <cellStyle name="Normal 4270" xfId="19906"/>
    <cellStyle name="Normal 4270 2" xfId="19907"/>
    <cellStyle name="Normal 4270 2 2" xfId="45846"/>
    <cellStyle name="Normal 4270 2 3" xfId="45847"/>
    <cellStyle name="Normal 4270 3" xfId="45848"/>
    <cellStyle name="Normal 4270 4" xfId="45849"/>
    <cellStyle name="Normal 4271" xfId="19908"/>
    <cellStyle name="Normal 4271 2" xfId="19909"/>
    <cellStyle name="Normal 4271 2 2" xfId="45850"/>
    <cellStyle name="Normal 4271 2 3" xfId="45851"/>
    <cellStyle name="Normal 4271 3" xfId="45852"/>
    <cellStyle name="Normal 4271 4" xfId="45853"/>
    <cellStyle name="Normal 4272" xfId="19910"/>
    <cellStyle name="Normal 4272 2" xfId="19911"/>
    <cellStyle name="Normal 4272 2 2" xfId="45854"/>
    <cellStyle name="Normal 4272 2 3" xfId="45855"/>
    <cellStyle name="Normal 4272 3" xfId="45856"/>
    <cellStyle name="Normal 4272 4" xfId="45857"/>
    <cellStyle name="Normal 4273" xfId="19912"/>
    <cellStyle name="Normal 4273 2" xfId="19913"/>
    <cellStyle name="Normal 4273 2 2" xfId="45858"/>
    <cellStyle name="Normal 4273 2 3" xfId="45859"/>
    <cellStyle name="Normal 4273 3" xfId="45860"/>
    <cellStyle name="Normal 4273 4" xfId="45861"/>
    <cellStyle name="Normal 4274" xfId="19914"/>
    <cellStyle name="Normal 4274 2" xfId="19915"/>
    <cellStyle name="Normal 4274 2 2" xfId="45862"/>
    <cellStyle name="Normal 4274 2 3" xfId="45863"/>
    <cellStyle name="Normal 4274 3" xfId="45864"/>
    <cellStyle name="Normal 4274 4" xfId="45865"/>
    <cellStyle name="Normal 4275" xfId="19916"/>
    <cellStyle name="Normal 4275 2" xfId="19917"/>
    <cellStyle name="Normal 4275 2 2" xfId="45866"/>
    <cellStyle name="Normal 4275 2 3" xfId="45867"/>
    <cellStyle name="Normal 4275 3" xfId="45868"/>
    <cellStyle name="Normal 4275 4" xfId="45869"/>
    <cellStyle name="Normal 4276" xfId="19918"/>
    <cellStyle name="Normal 4276 2" xfId="19919"/>
    <cellStyle name="Normal 4276 2 2" xfId="45870"/>
    <cellStyle name="Normal 4276 2 2 2" xfId="45871"/>
    <cellStyle name="Normal 4276 2 2 3" xfId="45872"/>
    <cellStyle name="Normal 4276 2 3" xfId="45873"/>
    <cellStyle name="Normal 4276 2 4" xfId="45874"/>
    <cellStyle name="Normal 4276 3" xfId="45875"/>
    <cellStyle name="Normal 4276 3 2" xfId="45876"/>
    <cellStyle name="Normal 4276 3 3" xfId="45877"/>
    <cellStyle name="Normal 4276 4" xfId="45878"/>
    <cellStyle name="Normal 4276 5" xfId="45879"/>
    <cellStyle name="Normal 4277" xfId="19920"/>
    <cellStyle name="Normal 4277 2" xfId="19921"/>
    <cellStyle name="Normal 4277 2 2" xfId="45880"/>
    <cellStyle name="Normal 4277 2 2 2" xfId="45881"/>
    <cellStyle name="Normal 4277 2 2 3" xfId="45882"/>
    <cellStyle name="Normal 4277 2 3" xfId="45883"/>
    <cellStyle name="Normal 4277 2 4" xfId="45884"/>
    <cellStyle name="Normal 4277 3" xfId="45885"/>
    <cellStyle name="Normal 4277 3 2" xfId="45886"/>
    <cellStyle name="Normal 4277 3 3" xfId="45887"/>
    <cellStyle name="Normal 4277 4" xfId="45888"/>
    <cellStyle name="Normal 4277 5" xfId="45889"/>
    <cellStyle name="Normal 4278" xfId="19922"/>
    <cellStyle name="Normal 4278 2" xfId="19923"/>
    <cellStyle name="Normal 4278 3" xfId="45890"/>
    <cellStyle name="Normal 4279" xfId="19924"/>
    <cellStyle name="Normal 4279 2" xfId="19925"/>
    <cellStyle name="Normal 4279 2 2" xfId="45891"/>
    <cellStyle name="Normal 4279 2 3" xfId="45892"/>
    <cellStyle name="Normal 4279 3" xfId="45893"/>
    <cellStyle name="Normal 4279 4" xfId="45894"/>
    <cellStyle name="Normal 428" xfId="19926"/>
    <cellStyle name="Normal 428 10" xfId="45895"/>
    <cellStyle name="Normal 428 2" xfId="19927"/>
    <cellStyle name="Normal 428 2 2" xfId="19928"/>
    <cellStyle name="Normal 428 2 2 2" xfId="19929"/>
    <cellStyle name="Normal 428 2 2 3" xfId="19930"/>
    <cellStyle name="Normal 428 2 3" xfId="19931"/>
    <cellStyle name="Normal 428 2 3 2" xfId="45896"/>
    <cellStyle name="Normal 428 2 3 3" xfId="45897"/>
    <cellStyle name="Normal 428 2 4" xfId="19932"/>
    <cellStyle name="Normal 428 2 5" xfId="19933"/>
    <cellStyle name="Normal 428 2 6" xfId="45898"/>
    <cellStyle name="Normal 428 2 7" xfId="45899"/>
    <cellStyle name="Normal 428 2 8" xfId="45900"/>
    <cellStyle name="Normal 428 3" xfId="19934"/>
    <cellStyle name="Normal 428 3 2" xfId="19935"/>
    <cellStyle name="Normal 428 3 2 2" xfId="45901"/>
    <cellStyle name="Normal 428 3 2 3" xfId="45902"/>
    <cellStyle name="Normal 428 3 3" xfId="19936"/>
    <cellStyle name="Normal 428 3 3 2" xfId="45903"/>
    <cellStyle name="Normal 428 3 3 3" xfId="45904"/>
    <cellStyle name="Normal 428 3 4" xfId="45905"/>
    <cellStyle name="Normal 428 3 5" xfId="45906"/>
    <cellStyle name="Normal 428 4" xfId="19937"/>
    <cellStyle name="Normal 428 4 2" xfId="45907"/>
    <cellStyle name="Normal 428 4 3" xfId="45908"/>
    <cellStyle name="Normal 428 5" xfId="19938"/>
    <cellStyle name="Normal 428 5 2" xfId="45909"/>
    <cellStyle name="Normal 428 5 3" xfId="45910"/>
    <cellStyle name="Normal 428 6" xfId="19939"/>
    <cellStyle name="Normal 428 7" xfId="45911"/>
    <cellStyle name="Normal 428 8" xfId="45912"/>
    <cellStyle name="Normal 428 9" xfId="45913"/>
    <cellStyle name="Normal 4280" xfId="19940"/>
    <cellStyle name="Normal 4280 2" xfId="19941"/>
    <cellStyle name="Normal 4280 2 2" xfId="45914"/>
    <cellStyle name="Normal 4280 2 3" xfId="45915"/>
    <cellStyle name="Normal 4280 3" xfId="45916"/>
    <cellStyle name="Normal 4280 4" xfId="45917"/>
    <cellStyle name="Normal 4281" xfId="19942"/>
    <cellStyle name="Normal 4281 2" xfId="19943"/>
    <cellStyle name="Normal 4281 2 2" xfId="45918"/>
    <cellStyle name="Normal 4281 2 3" xfId="45919"/>
    <cellStyle name="Normal 4281 3" xfId="45920"/>
    <cellStyle name="Normal 4281 4" xfId="45921"/>
    <cellStyle name="Normal 4281 5" xfId="45922"/>
    <cellStyle name="Normal 4282" xfId="19944"/>
    <cellStyle name="Normal 4282 2" xfId="19945"/>
    <cellStyle name="Normal 4282 2 2" xfId="45923"/>
    <cellStyle name="Normal 4282 2 3" xfId="45924"/>
    <cellStyle name="Normal 4282 3" xfId="45925"/>
    <cellStyle name="Normal 4282 4" xfId="45926"/>
    <cellStyle name="Normal 4282 5" xfId="45927"/>
    <cellStyle name="Normal 4283" xfId="19946"/>
    <cellStyle name="Normal 4283 2" xfId="19947"/>
    <cellStyle name="Normal 4283 2 2" xfId="45928"/>
    <cellStyle name="Normal 4283 2 3" xfId="45929"/>
    <cellStyle name="Normal 4283 3" xfId="45930"/>
    <cellStyle name="Normal 4283 4" xfId="45931"/>
    <cellStyle name="Normal 4284" xfId="19948"/>
    <cellStyle name="Normal 4284 2" xfId="19949"/>
    <cellStyle name="Normal 4284 2 2" xfId="45932"/>
    <cellStyle name="Normal 4284 2 3" xfId="45933"/>
    <cellStyle name="Normal 4284 3" xfId="45934"/>
    <cellStyle name="Normal 4284 4" xfId="45935"/>
    <cellStyle name="Normal 4285" xfId="19950"/>
    <cellStyle name="Normal 4285 2" xfId="19951"/>
    <cellStyle name="Normal 4286" xfId="19952"/>
    <cellStyle name="Normal 4286 2" xfId="19953"/>
    <cellStyle name="Normal 4287" xfId="19954"/>
    <cellStyle name="Normal 4287 2" xfId="19955"/>
    <cellStyle name="Normal 4288" xfId="19956"/>
    <cellStyle name="Normal 4288 2" xfId="19957"/>
    <cellStyle name="Normal 4289" xfId="19958"/>
    <cellStyle name="Normal 4289 2" xfId="19959"/>
    <cellStyle name="Normal 429" xfId="19960"/>
    <cellStyle name="Normal 429 10" xfId="45936"/>
    <cellStyle name="Normal 429 2" xfId="19961"/>
    <cellStyle name="Normal 429 2 2" xfId="19962"/>
    <cellStyle name="Normal 429 2 2 2" xfId="19963"/>
    <cellStyle name="Normal 429 2 2 3" xfId="19964"/>
    <cellStyle name="Normal 429 2 3" xfId="19965"/>
    <cellStyle name="Normal 429 2 3 2" xfId="45937"/>
    <cellStyle name="Normal 429 2 3 3" xfId="45938"/>
    <cellStyle name="Normal 429 2 4" xfId="19966"/>
    <cellStyle name="Normal 429 2 5" xfId="19967"/>
    <cellStyle name="Normal 429 2 6" xfId="45939"/>
    <cellStyle name="Normal 429 2 7" xfId="45940"/>
    <cellStyle name="Normal 429 2 8" xfId="45941"/>
    <cellStyle name="Normal 429 3" xfId="19968"/>
    <cellStyle name="Normal 429 3 2" xfId="19969"/>
    <cellStyle name="Normal 429 3 2 2" xfId="45942"/>
    <cellStyle name="Normal 429 3 2 3" xfId="45943"/>
    <cellStyle name="Normal 429 3 3" xfId="19970"/>
    <cellStyle name="Normal 429 3 3 2" xfId="45944"/>
    <cellStyle name="Normal 429 3 3 3" xfId="45945"/>
    <cellStyle name="Normal 429 3 4" xfId="45946"/>
    <cellStyle name="Normal 429 3 5" xfId="45947"/>
    <cellStyle name="Normal 429 4" xfId="19971"/>
    <cellStyle name="Normal 429 4 2" xfId="45948"/>
    <cellStyle name="Normal 429 4 3" xfId="45949"/>
    <cellStyle name="Normal 429 5" xfId="19972"/>
    <cellStyle name="Normal 429 5 2" xfId="45950"/>
    <cellStyle name="Normal 429 5 3" xfId="45951"/>
    <cellStyle name="Normal 429 6" xfId="19973"/>
    <cellStyle name="Normal 429 7" xfId="45952"/>
    <cellStyle name="Normal 429 8" xfId="45953"/>
    <cellStyle name="Normal 429 9" xfId="45954"/>
    <cellStyle name="Normal 4290" xfId="19974"/>
    <cellStyle name="Normal 4290 2" xfId="19975"/>
    <cellStyle name="Normal 4291" xfId="19976"/>
    <cellStyle name="Normal 4291 2" xfId="19977"/>
    <cellStyle name="Normal 4292" xfId="19978"/>
    <cellStyle name="Normal 4292 2" xfId="19979"/>
    <cellStyle name="Normal 4293" xfId="19980"/>
    <cellStyle name="Normal 4293 2" xfId="19981"/>
    <cellStyle name="Normal 4294" xfId="19982"/>
    <cellStyle name="Normal 4294 2" xfId="19983"/>
    <cellStyle name="Normal 4295" xfId="19984"/>
    <cellStyle name="Normal 4295 2" xfId="19985"/>
    <cellStyle name="Normal 4296" xfId="19986"/>
    <cellStyle name="Normal 4296 2" xfId="19987"/>
    <cellStyle name="Normal 4297" xfId="19988"/>
    <cellStyle name="Normal 4297 2" xfId="19989"/>
    <cellStyle name="Normal 4298" xfId="19990"/>
    <cellStyle name="Normal 4298 2" xfId="19991"/>
    <cellStyle name="Normal 4299" xfId="19992"/>
    <cellStyle name="Normal 4299 2" xfId="19993"/>
    <cellStyle name="Normal 43" xfId="19994"/>
    <cellStyle name="Normal 43 10" xfId="45955"/>
    <cellStyle name="Normal 43 2" xfId="19995"/>
    <cellStyle name="Normal 43 2 2" xfId="19996"/>
    <cellStyle name="Normal 43 2 2 2" xfId="19997"/>
    <cellStyle name="Normal 43 2 2 3" xfId="19998"/>
    <cellStyle name="Normal 43 2 3" xfId="19999"/>
    <cellStyle name="Normal 43 2 3 2" xfId="45956"/>
    <cellStyle name="Normal 43 2 3 3" xfId="45957"/>
    <cellStyle name="Normal 43 2 4" xfId="20000"/>
    <cellStyle name="Normal 43 2 5" xfId="20001"/>
    <cellStyle name="Normal 43 2 6" xfId="45958"/>
    <cellStyle name="Normal 43 2 7" xfId="45959"/>
    <cellStyle name="Normal 43 2 8" xfId="45960"/>
    <cellStyle name="Normal 43 3" xfId="20002"/>
    <cellStyle name="Normal 43 3 2" xfId="20003"/>
    <cellStyle name="Normal 43 3 2 2" xfId="45961"/>
    <cellStyle name="Normal 43 3 2 3" xfId="45962"/>
    <cellStyle name="Normal 43 3 3" xfId="20004"/>
    <cellStyle name="Normal 43 3 3 2" xfId="45963"/>
    <cellStyle name="Normal 43 3 3 3" xfId="45964"/>
    <cellStyle name="Normal 43 3 4" xfId="20005"/>
    <cellStyle name="Normal 43 3 5" xfId="45965"/>
    <cellStyle name="Normal 43 4" xfId="20006"/>
    <cellStyle name="Normal 43 4 2" xfId="45966"/>
    <cellStyle name="Normal 43 4 3" xfId="45967"/>
    <cellStyle name="Normal 43 5" xfId="20007"/>
    <cellStyle name="Normal 43 5 2" xfId="45968"/>
    <cellStyle name="Normal 43 5 3" xfId="45969"/>
    <cellStyle name="Normal 43 6" xfId="20008"/>
    <cellStyle name="Normal 43 7" xfId="45970"/>
    <cellStyle name="Normal 43 8" xfId="45971"/>
    <cellStyle name="Normal 43 9" xfId="45972"/>
    <cellStyle name="Normal 430" xfId="20009"/>
    <cellStyle name="Normal 430 10" xfId="45973"/>
    <cellStyle name="Normal 430 2" xfId="20010"/>
    <cellStyle name="Normal 430 2 2" xfId="20011"/>
    <cellStyle name="Normal 430 2 2 2" xfId="20012"/>
    <cellStyle name="Normal 430 2 2 3" xfId="20013"/>
    <cellStyle name="Normal 430 2 3" xfId="20014"/>
    <cellStyle name="Normal 430 2 3 2" xfId="45974"/>
    <cellStyle name="Normal 430 2 3 3" xfId="45975"/>
    <cellStyle name="Normal 430 2 4" xfId="20015"/>
    <cellStyle name="Normal 430 2 5" xfId="20016"/>
    <cellStyle name="Normal 430 2 6" xfId="45976"/>
    <cellStyle name="Normal 430 2 7" xfId="45977"/>
    <cellStyle name="Normal 430 2 8" xfId="45978"/>
    <cellStyle name="Normal 430 3" xfId="20017"/>
    <cellStyle name="Normal 430 3 2" xfId="20018"/>
    <cellStyle name="Normal 430 3 2 2" xfId="45979"/>
    <cellStyle name="Normal 430 3 2 3" xfId="45980"/>
    <cellStyle name="Normal 430 3 3" xfId="20019"/>
    <cellStyle name="Normal 430 3 3 2" xfId="45981"/>
    <cellStyle name="Normal 430 3 3 3" xfId="45982"/>
    <cellStyle name="Normal 430 3 4" xfId="45983"/>
    <cellStyle name="Normal 430 3 5" xfId="45984"/>
    <cellStyle name="Normal 430 4" xfId="20020"/>
    <cellStyle name="Normal 430 4 2" xfId="45985"/>
    <cellStyle name="Normal 430 4 3" xfId="45986"/>
    <cellStyle name="Normal 430 5" xfId="20021"/>
    <cellStyle name="Normal 430 5 2" xfId="45987"/>
    <cellStyle name="Normal 430 5 3" xfId="45988"/>
    <cellStyle name="Normal 430 6" xfId="20022"/>
    <cellStyle name="Normal 430 7" xfId="45989"/>
    <cellStyle name="Normal 430 8" xfId="45990"/>
    <cellStyle name="Normal 430 9" xfId="45991"/>
    <cellStyle name="Normal 4300" xfId="20023"/>
    <cellStyle name="Normal 4300 2" xfId="20024"/>
    <cellStyle name="Normal 4301" xfId="20025"/>
    <cellStyle name="Normal 4301 2" xfId="20026"/>
    <cellStyle name="Normal 4302" xfId="20027"/>
    <cellStyle name="Normal 4302 2" xfId="20028"/>
    <cellStyle name="Normal 4303" xfId="20029"/>
    <cellStyle name="Normal 4303 2" xfId="20030"/>
    <cellStyle name="Normal 4304" xfId="20031"/>
    <cellStyle name="Normal 4304 2" xfId="20032"/>
    <cellStyle name="Normal 4305" xfId="20033"/>
    <cellStyle name="Normal 4305 2" xfId="20034"/>
    <cellStyle name="Normal 4306" xfId="20035"/>
    <cellStyle name="Normal 4306 2" xfId="20036"/>
    <cellStyle name="Normal 4307" xfId="20037"/>
    <cellStyle name="Normal 4307 2" xfId="20038"/>
    <cellStyle name="Normal 4308" xfId="20039"/>
    <cellStyle name="Normal 4308 2" xfId="20040"/>
    <cellStyle name="Normal 4309" xfId="20041"/>
    <cellStyle name="Normal 4309 2" xfId="20042"/>
    <cellStyle name="Normal 431" xfId="20043"/>
    <cellStyle name="Normal 431 10" xfId="45992"/>
    <cellStyle name="Normal 431 2" xfId="20044"/>
    <cellStyle name="Normal 431 2 2" xfId="20045"/>
    <cellStyle name="Normal 431 2 2 2" xfId="20046"/>
    <cellStyle name="Normal 431 2 2 3" xfId="20047"/>
    <cellStyle name="Normal 431 2 3" xfId="20048"/>
    <cellStyle name="Normal 431 2 3 2" xfId="45993"/>
    <cellStyle name="Normal 431 2 3 3" xfId="45994"/>
    <cellStyle name="Normal 431 2 4" xfId="20049"/>
    <cellStyle name="Normal 431 2 5" xfId="20050"/>
    <cellStyle name="Normal 431 2 6" xfId="45995"/>
    <cellStyle name="Normal 431 2 7" xfId="45996"/>
    <cellStyle name="Normal 431 2 8" xfId="45997"/>
    <cellStyle name="Normal 431 3" xfId="20051"/>
    <cellStyle name="Normal 431 3 2" xfId="20052"/>
    <cellStyle name="Normal 431 3 2 2" xfId="45998"/>
    <cellStyle name="Normal 431 3 2 3" xfId="45999"/>
    <cellStyle name="Normal 431 3 3" xfId="20053"/>
    <cellStyle name="Normal 431 3 3 2" xfId="46000"/>
    <cellStyle name="Normal 431 3 3 3" xfId="46001"/>
    <cellStyle name="Normal 431 3 4" xfId="46002"/>
    <cellStyle name="Normal 431 3 5" xfId="46003"/>
    <cellStyle name="Normal 431 4" xfId="20054"/>
    <cellStyle name="Normal 431 4 2" xfId="46004"/>
    <cellStyle name="Normal 431 4 3" xfId="46005"/>
    <cellStyle name="Normal 431 5" xfId="20055"/>
    <cellStyle name="Normal 431 5 2" xfId="46006"/>
    <cellStyle name="Normal 431 5 3" xfId="46007"/>
    <cellStyle name="Normal 431 6" xfId="20056"/>
    <cellStyle name="Normal 431 7" xfId="46008"/>
    <cellStyle name="Normal 431 8" xfId="46009"/>
    <cellStyle name="Normal 431 9" xfId="46010"/>
    <cellStyle name="Normal 4310" xfId="20057"/>
    <cellStyle name="Normal 4310 2" xfId="20058"/>
    <cellStyle name="Normal 4311" xfId="20059"/>
    <cellStyle name="Normal 4311 2" xfId="20060"/>
    <cellStyle name="Normal 4312" xfId="20061"/>
    <cellStyle name="Normal 4312 2" xfId="20062"/>
    <cellStyle name="Normal 4313" xfId="20063"/>
    <cellStyle name="Normal 4313 2" xfId="20064"/>
    <cellStyle name="Normal 4314" xfId="20065"/>
    <cellStyle name="Normal 4314 2" xfId="20066"/>
    <cellStyle name="Normal 4315" xfId="20067"/>
    <cellStyle name="Normal 4315 2" xfId="20068"/>
    <cellStyle name="Normal 4316" xfId="20069"/>
    <cellStyle name="Normal 4316 2" xfId="20070"/>
    <cellStyle name="Normal 4317" xfId="20071"/>
    <cellStyle name="Normal 4317 2" xfId="20072"/>
    <cellStyle name="Normal 4318" xfId="20073"/>
    <cellStyle name="Normal 4318 2" xfId="20074"/>
    <cellStyle name="Normal 4319" xfId="20075"/>
    <cellStyle name="Normal 4319 2" xfId="20076"/>
    <cellStyle name="Normal 432" xfId="20077"/>
    <cellStyle name="Normal 432 10" xfId="46011"/>
    <cellStyle name="Normal 432 2" xfId="20078"/>
    <cellStyle name="Normal 432 2 2" xfId="20079"/>
    <cellStyle name="Normal 432 2 2 2" xfId="20080"/>
    <cellStyle name="Normal 432 2 2 3" xfId="20081"/>
    <cellStyle name="Normal 432 2 3" xfId="20082"/>
    <cellStyle name="Normal 432 2 3 2" xfId="46012"/>
    <cellStyle name="Normal 432 2 3 3" xfId="46013"/>
    <cellStyle name="Normal 432 2 4" xfId="20083"/>
    <cellStyle name="Normal 432 2 5" xfId="20084"/>
    <cellStyle name="Normal 432 2 6" xfId="46014"/>
    <cellStyle name="Normal 432 2 7" xfId="46015"/>
    <cellStyle name="Normal 432 2 8" xfId="46016"/>
    <cellStyle name="Normal 432 3" xfId="20085"/>
    <cellStyle name="Normal 432 3 2" xfId="20086"/>
    <cellStyle name="Normal 432 3 2 2" xfId="46017"/>
    <cellStyle name="Normal 432 3 2 3" xfId="46018"/>
    <cellStyle name="Normal 432 3 3" xfId="20087"/>
    <cellStyle name="Normal 432 3 3 2" xfId="46019"/>
    <cellStyle name="Normal 432 3 3 3" xfId="46020"/>
    <cellStyle name="Normal 432 3 4" xfId="46021"/>
    <cellStyle name="Normal 432 3 5" xfId="46022"/>
    <cellStyle name="Normal 432 4" xfId="20088"/>
    <cellStyle name="Normal 432 4 2" xfId="46023"/>
    <cellStyle name="Normal 432 4 3" xfId="46024"/>
    <cellStyle name="Normal 432 5" xfId="20089"/>
    <cellStyle name="Normal 432 5 2" xfId="46025"/>
    <cellStyle name="Normal 432 5 3" xfId="46026"/>
    <cellStyle name="Normal 432 6" xfId="20090"/>
    <cellStyle name="Normal 432 7" xfId="46027"/>
    <cellStyle name="Normal 432 8" xfId="46028"/>
    <cellStyle name="Normal 432 9" xfId="46029"/>
    <cellStyle name="Normal 4320" xfId="20091"/>
    <cellStyle name="Normal 4320 2" xfId="20092"/>
    <cellStyle name="Normal 4321" xfId="20093"/>
    <cellStyle name="Normal 4321 2" xfId="20094"/>
    <cellStyle name="Normal 4322" xfId="20095"/>
    <cellStyle name="Normal 4322 2" xfId="20096"/>
    <cellStyle name="Normal 4323" xfId="20097"/>
    <cellStyle name="Normal 4323 2" xfId="20098"/>
    <cellStyle name="Normal 4324" xfId="20099"/>
    <cellStyle name="Normal 4324 2" xfId="20100"/>
    <cellStyle name="Normal 4325" xfId="20101"/>
    <cellStyle name="Normal 4325 2" xfId="20102"/>
    <cellStyle name="Normal 4326" xfId="20103"/>
    <cellStyle name="Normal 4326 2" xfId="20104"/>
    <cellStyle name="Normal 4327" xfId="20105"/>
    <cellStyle name="Normal 4327 2" xfId="20106"/>
    <cellStyle name="Normal 4328" xfId="20107"/>
    <cellStyle name="Normal 4328 2" xfId="20108"/>
    <cellStyle name="Normal 4329" xfId="20109"/>
    <cellStyle name="Normal 4329 2" xfId="20110"/>
    <cellStyle name="Normal 433" xfId="20111"/>
    <cellStyle name="Normal 433 10" xfId="46030"/>
    <cellStyle name="Normal 433 2" xfId="20112"/>
    <cellStyle name="Normal 433 2 2" xfId="20113"/>
    <cellStyle name="Normal 433 2 2 2" xfId="20114"/>
    <cellStyle name="Normal 433 2 2 3" xfId="20115"/>
    <cellStyle name="Normal 433 2 3" xfId="20116"/>
    <cellStyle name="Normal 433 2 3 2" xfId="46031"/>
    <cellStyle name="Normal 433 2 3 3" xfId="46032"/>
    <cellStyle name="Normal 433 2 4" xfId="20117"/>
    <cellStyle name="Normal 433 2 5" xfId="20118"/>
    <cellStyle name="Normal 433 2 6" xfId="46033"/>
    <cellStyle name="Normal 433 2 7" xfId="46034"/>
    <cellStyle name="Normal 433 2 8" xfId="46035"/>
    <cellStyle name="Normal 433 3" xfId="20119"/>
    <cellStyle name="Normal 433 3 2" xfId="20120"/>
    <cellStyle name="Normal 433 3 2 2" xfId="46036"/>
    <cellStyle name="Normal 433 3 2 3" xfId="46037"/>
    <cellStyle name="Normal 433 3 3" xfId="20121"/>
    <cellStyle name="Normal 433 3 3 2" xfId="46038"/>
    <cellStyle name="Normal 433 3 3 3" xfId="46039"/>
    <cellStyle name="Normal 433 3 4" xfId="46040"/>
    <cellStyle name="Normal 433 3 5" xfId="46041"/>
    <cellStyle name="Normal 433 4" xfId="20122"/>
    <cellStyle name="Normal 433 4 2" xfId="46042"/>
    <cellStyle name="Normal 433 4 3" xfId="46043"/>
    <cellStyle name="Normal 433 5" xfId="20123"/>
    <cellStyle name="Normal 433 5 2" xfId="46044"/>
    <cellStyle name="Normal 433 5 3" xfId="46045"/>
    <cellStyle name="Normal 433 6" xfId="20124"/>
    <cellStyle name="Normal 433 7" xfId="46046"/>
    <cellStyle name="Normal 433 8" xfId="46047"/>
    <cellStyle name="Normal 433 9" xfId="46048"/>
    <cellStyle name="Normal 4330" xfId="20125"/>
    <cellStyle name="Normal 4330 2" xfId="20126"/>
    <cellStyle name="Normal 4331" xfId="20127"/>
    <cellStyle name="Normal 4331 2" xfId="20128"/>
    <cellStyle name="Normal 4332" xfId="20129"/>
    <cellStyle name="Normal 4332 2" xfId="20130"/>
    <cellStyle name="Normal 4333" xfId="20131"/>
    <cellStyle name="Normal 4333 2" xfId="20132"/>
    <cellStyle name="Normal 4334" xfId="20133"/>
    <cellStyle name="Normal 4334 2" xfId="20134"/>
    <cellStyle name="Normal 4335" xfId="20135"/>
    <cellStyle name="Normal 4335 2" xfId="20136"/>
    <cellStyle name="Normal 4336" xfId="20137"/>
    <cellStyle name="Normal 4336 2" xfId="20138"/>
    <cellStyle name="Normal 4337" xfId="20139"/>
    <cellStyle name="Normal 4337 2" xfId="20140"/>
    <cellStyle name="Normal 4338" xfId="20141"/>
    <cellStyle name="Normal 4338 2" xfId="20142"/>
    <cellStyle name="Normal 4339" xfId="20143"/>
    <cellStyle name="Normal 4339 2" xfId="20144"/>
    <cellStyle name="Normal 434" xfId="20145"/>
    <cellStyle name="Normal 434 10" xfId="46049"/>
    <cellStyle name="Normal 434 2" xfId="20146"/>
    <cellStyle name="Normal 434 2 2" xfId="20147"/>
    <cellStyle name="Normal 434 2 2 2" xfId="20148"/>
    <cellStyle name="Normal 434 2 2 3" xfId="20149"/>
    <cellStyle name="Normal 434 2 3" xfId="20150"/>
    <cellStyle name="Normal 434 2 3 2" xfId="46050"/>
    <cellStyle name="Normal 434 2 3 3" xfId="46051"/>
    <cellStyle name="Normal 434 2 4" xfId="20151"/>
    <cellStyle name="Normal 434 2 5" xfId="20152"/>
    <cellStyle name="Normal 434 2 6" xfId="46052"/>
    <cellStyle name="Normal 434 2 7" xfId="46053"/>
    <cellStyle name="Normal 434 2 8" xfId="46054"/>
    <cellStyle name="Normal 434 3" xfId="20153"/>
    <cellStyle name="Normal 434 3 2" xfId="20154"/>
    <cellStyle name="Normal 434 3 2 2" xfId="46055"/>
    <cellStyle name="Normal 434 3 2 3" xfId="46056"/>
    <cellStyle name="Normal 434 3 3" xfId="20155"/>
    <cellStyle name="Normal 434 3 3 2" xfId="46057"/>
    <cellStyle name="Normal 434 3 3 3" xfId="46058"/>
    <cellStyle name="Normal 434 3 4" xfId="46059"/>
    <cellStyle name="Normal 434 3 5" xfId="46060"/>
    <cellStyle name="Normal 434 4" xfId="20156"/>
    <cellStyle name="Normal 434 4 2" xfId="46061"/>
    <cellStyle name="Normal 434 4 3" xfId="46062"/>
    <cellStyle name="Normal 434 5" xfId="20157"/>
    <cellStyle name="Normal 434 5 2" xfId="46063"/>
    <cellStyle name="Normal 434 5 3" xfId="46064"/>
    <cellStyle name="Normal 434 6" xfId="20158"/>
    <cellStyle name="Normal 434 7" xfId="46065"/>
    <cellStyle name="Normal 434 8" xfId="46066"/>
    <cellStyle name="Normal 434 9" xfId="46067"/>
    <cellStyle name="Normal 4340" xfId="20159"/>
    <cellStyle name="Normal 4340 2" xfId="20160"/>
    <cellStyle name="Normal 4341" xfId="20161"/>
    <cellStyle name="Normal 4341 2" xfId="20162"/>
    <cellStyle name="Normal 4342" xfId="20163"/>
    <cellStyle name="Normal 4342 2" xfId="20164"/>
    <cellStyle name="Normal 4343" xfId="20165"/>
    <cellStyle name="Normal 4343 2" xfId="20166"/>
    <cellStyle name="Normal 4344" xfId="20167"/>
    <cellStyle name="Normal 4344 2" xfId="20168"/>
    <cellStyle name="Normal 4345" xfId="20169"/>
    <cellStyle name="Normal 4345 2" xfId="20170"/>
    <cellStyle name="Normal 4346" xfId="20171"/>
    <cellStyle name="Normal 4346 2" xfId="20172"/>
    <cellStyle name="Normal 4347" xfId="20173"/>
    <cellStyle name="Normal 4347 2" xfId="20174"/>
    <cellStyle name="Normal 4348" xfId="20175"/>
    <cellStyle name="Normal 4348 2" xfId="20176"/>
    <cellStyle name="Normal 4349" xfId="20177"/>
    <cellStyle name="Normal 4349 2" xfId="20178"/>
    <cellStyle name="Normal 435" xfId="20179"/>
    <cellStyle name="Normal 435 10" xfId="46068"/>
    <cellStyle name="Normal 435 2" xfId="20180"/>
    <cellStyle name="Normal 435 2 2" xfId="20181"/>
    <cellStyle name="Normal 435 2 2 2" xfId="20182"/>
    <cellStyle name="Normal 435 2 2 3" xfId="20183"/>
    <cellStyle name="Normal 435 2 3" xfId="20184"/>
    <cellStyle name="Normal 435 2 3 2" xfId="46069"/>
    <cellStyle name="Normal 435 2 3 3" xfId="46070"/>
    <cellStyle name="Normal 435 2 4" xfId="20185"/>
    <cellStyle name="Normal 435 2 5" xfId="20186"/>
    <cellStyle name="Normal 435 2 6" xfId="46071"/>
    <cellStyle name="Normal 435 2 7" xfId="46072"/>
    <cellStyle name="Normal 435 2 8" xfId="46073"/>
    <cellStyle name="Normal 435 3" xfId="20187"/>
    <cellStyle name="Normal 435 3 2" xfId="20188"/>
    <cellStyle name="Normal 435 3 2 2" xfId="46074"/>
    <cellStyle name="Normal 435 3 2 3" xfId="46075"/>
    <cellStyle name="Normal 435 3 3" xfId="20189"/>
    <cellStyle name="Normal 435 3 3 2" xfId="46076"/>
    <cellStyle name="Normal 435 3 3 3" xfId="46077"/>
    <cellStyle name="Normal 435 3 4" xfId="46078"/>
    <cellStyle name="Normal 435 3 5" xfId="46079"/>
    <cellStyle name="Normal 435 4" xfId="20190"/>
    <cellStyle name="Normal 435 4 2" xfId="46080"/>
    <cellStyle name="Normal 435 4 3" xfId="46081"/>
    <cellStyle name="Normal 435 5" xfId="20191"/>
    <cellStyle name="Normal 435 5 2" xfId="46082"/>
    <cellStyle name="Normal 435 5 3" xfId="46083"/>
    <cellStyle name="Normal 435 6" xfId="20192"/>
    <cellStyle name="Normal 435 7" xfId="46084"/>
    <cellStyle name="Normal 435 8" xfId="46085"/>
    <cellStyle name="Normal 435 9" xfId="46086"/>
    <cellStyle name="Normal 4350" xfId="20193"/>
    <cellStyle name="Normal 4350 2" xfId="20194"/>
    <cellStyle name="Normal 4351" xfId="20195"/>
    <cellStyle name="Normal 4351 2" xfId="20196"/>
    <cellStyle name="Normal 4352" xfId="20197"/>
    <cellStyle name="Normal 4352 2" xfId="20198"/>
    <cellStyle name="Normal 4353" xfId="20199"/>
    <cellStyle name="Normal 4353 2" xfId="20200"/>
    <cellStyle name="Normal 4354" xfId="20201"/>
    <cellStyle name="Normal 4354 2" xfId="20202"/>
    <cellStyle name="Normal 4355" xfId="20203"/>
    <cellStyle name="Normal 4355 2" xfId="20204"/>
    <cellStyle name="Normal 4356" xfId="20205"/>
    <cellStyle name="Normal 4356 2" xfId="20206"/>
    <cellStyle name="Normal 4357" xfId="20207"/>
    <cellStyle name="Normal 4357 2" xfId="20208"/>
    <cellStyle name="Normal 4358" xfId="20209"/>
    <cellStyle name="Normal 4358 2" xfId="20210"/>
    <cellStyle name="Normal 4359" xfId="20211"/>
    <cellStyle name="Normal 4359 2" xfId="20212"/>
    <cellStyle name="Normal 436" xfId="20213"/>
    <cellStyle name="Normal 436 10" xfId="46087"/>
    <cellStyle name="Normal 436 2" xfId="20214"/>
    <cellStyle name="Normal 436 2 2" xfId="20215"/>
    <cellStyle name="Normal 436 2 2 2" xfId="20216"/>
    <cellStyle name="Normal 436 2 2 3" xfId="20217"/>
    <cellStyle name="Normal 436 2 3" xfId="20218"/>
    <cellStyle name="Normal 436 2 3 2" xfId="46088"/>
    <cellStyle name="Normal 436 2 3 3" xfId="46089"/>
    <cellStyle name="Normal 436 2 4" xfId="20219"/>
    <cellStyle name="Normal 436 2 5" xfId="20220"/>
    <cellStyle name="Normal 436 2 6" xfId="46090"/>
    <cellStyle name="Normal 436 2 7" xfId="46091"/>
    <cellStyle name="Normal 436 2 8" xfId="46092"/>
    <cellStyle name="Normal 436 3" xfId="20221"/>
    <cellStyle name="Normal 436 3 2" xfId="20222"/>
    <cellStyle name="Normal 436 3 2 2" xfId="46093"/>
    <cellStyle name="Normal 436 3 2 3" xfId="46094"/>
    <cellStyle name="Normal 436 3 3" xfId="20223"/>
    <cellStyle name="Normal 436 3 3 2" xfId="46095"/>
    <cellStyle name="Normal 436 3 3 3" xfId="46096"/>
    <cellStyle name="Normal 436 3 4" xfId="46097"/>
    <cellStyle name="Normal 436 3 5" xfId="46098"/>
    <cellStyle name="Normal 436 4" xfId="20224"/>
    <cellStyle name="Normal 436 4 2" xfId="46099"/>
    <cellStyle name="Normal 436 4 3" xfId="46100"/>
    <cellStyle name="Normal 436 5" xfId="20225"/>
    <cellStyle name="Normal 436 5 2" xfId="46101"/>
    <cellStyle name="Normal 436 5 3" xfId="46102"/>
    <cellStyle name="Normal 436 6" xfId="20226"/>
    <cellStyle name="Normal 436 7" xfId="46103"/>
    <cellStyle name="Normal 436 8" xfId="46104"/>
    <cellStyle name="Normal 436 9" xfId="46105"/>
    <cellStyle name="Normal 4360" xfId="20227"/>
    <cellStyle name="Normal 4360 2" xfId="20228"/>
    <cellStyle name="Normal 4361" xfId="20229"/>
    <cellStyle name="Normal 4361 2" xfId="20230"/>
    <cellStyle name="Normal 4362" xfId="20231"/>
    <cellStyle name="Normal 4362 2" xfId="20232"/>
    <cellStyle name="Normal 4363" xfId="20233"/>
    <cellStyle name="Normal 4363 2" xfId="20234"/>
    <cellStyle name="Normal 4364" xfId="20235"/>
    <cellStyle name="Normal 4364 2" xfId="20236"/>
    <cellStyle name="Normal 4365" xfId="20237"/>
    <cellStyle name="Normal 4365 2" xfId="20238"/>
    <cellStyle name="Normal 4366" xfId="20239"/>
    <cellStyle name="Normal 4366 2" xfId="20240"/>
    <cellStyle name="Normal 4367" xfId="20241"/>
    <cellStyle name="Normal 4367 2" xfId="20242"/>
    <cellStyle name="Normal 4368" xfId="20243"/>
    <cellStyle name="Normal 4368 2" xfId="20244"/>
    <cellStyle name="Normal 4369" xfId="20245"/>
    <cellStyle name="Normal 4369 2" xfId="20246"/>
    <cellStyle name="Normal 437" xfId="20247"/>
    <cellStyle name="Normal 437 10" xfId="46106"/>
    <cellStyle name="Normal 437 2" xfId="20248"/>
    <cellStyle name="Normal 437 2 2" xfId="20249"/>
    <cellStyle name="Normal 437 2 2 2" xfId="20250"/>
    <cellStyle name="Normal 437 2 2 3" xfId="20251"/>
    <cellStyle name="Normal 437 2 3" xfId="20252"/>
    <cellStyle name="Normal 437 2 3 2" xfId="46107"/>
    <cellStyle name="Normal 437 2 3 3" xfId="46108"/>
    <cellStyle name="Normal 437 2 4" xfId="20253"/>
    <cellStyle name="Normal 437 2 5" xfId="20254"/>
    <cellStyle name="Normal 437 2 6" xfId="46109"/>
    <cellStyle name="Normal 437 2 7" xfId="46110"/>
    <cellStyle name="Normal 437 2 8" xfId="46111"/>
    <cellStyle name="Normal 437 3" xfId="20255"/>
    <cellStyle name="Normal 437 3 2" xfId="20256"/>
    <cellStyle name="Normal 437 3 2 2" xfId="46112"/>
    <cellStyle name="Normal 437 3 2 3" xfId="46113"/>
    <cellStyle name="Normal 437 3 3" xfId="20257"/>
    <cellStyle name="Normal 437 3 3 2" xfId="46114"/>
    <cellStyle name="Normal 437 3 3 3" xfId="46115"/>
    <cellStyle name="Normal 437 3 4" xfId="46116"/>
    <cellStyle name="Normal 437 3 5" xfId="46117"/>
    <cellStyle name="Normal 437 4" xfId="20258"/>
    <cellStyle name="Normal 437 4 2" xfId="46118"/>
    <cellStyle name="Normal 437 4 3" xfId="46119"/>
    <cellStyle name="Normal 437 5" xfId="20259"/>
    <cellStyle name="Normal 437 5 2" xfId="46120"/>
    <cellStyle name="Normal 437 5 3" xfId="46121"/>
    <cellStyle name="Normal 437 6" xfId="20260"/>
    <cellStyle name="Normal 437 7" xfId="46122"/>
    <cellStyle name="Normal 437 8" xfId="46123"/>
    <cellStyle name="Normal 437 9" xfId="46124"/>
    <cellStyle name="Normal 4370" xfId="20261"/>
    <cellStyle name="Normal 4370 2" xfId="20262"/>
    <cellStyle name="Normal 4371" xfId="20263"/>
    <cellStyle name="Normal 4371 2" xfId="20264"/>
    <cellStyle name="Normal 4372" xfId="20265"/>
    <cellStyle name="Normal 4372 2" xfId="20266"/>
    <cellStyle name="Normal 4373" xfId="20267"/>
    <cellStyle name="Normal 4373 2" xfId="20268"/>
    <cellStyle name="Normal 4374" xfId="20269"/>
    <cellStyle name="Normal 4374 2" xfId="20270"/>
    <cellStyle name="Normal 4375" xfId="20271"/>
    <cellStyle name="Normal 4375 2" xfId="20272"/>
    <cellStyle name="Normal 4376" xfId="20273"/>
    <cellStyle name="Normal 4376 2" xfId="20274"/>
    <cellStyle name="Normal 4377" xfId="20275"/>
    <cellStyle name="Normal 4377 2" xfId="20276"/>
    <cellStyle name="Normal 4378" xfId="20277"/>
    <cellStyle name="Normal 4378 2" xfId="20278"/>
    <cellStyle name="Normal 4379" xfId="20279"/>
    <cellStyle name="Normal 4379 2" xfId="20280"/>
    <cellStyle name="Normal 438" xfId="20281"/>
    <cellStyle name="Normal 438 10" xfId="46125"/>
    <cellStyle name="Normal 438 2" xfId="20282"/>
    <cellStyle name="Normal 438 2 2" xfId="20283"/>
    <cellStyle name="Normal 438 2 2 2" xfId="20284"/>
    <cellStyle name="Normal 438 2 2 3" xfId="20285"/>
    <cellStyle name="Normal 438 2 3" xfId="20286"/>
    <cellStyle name="Normal 438 2 3 2" xfId="46126"/>
    <cellStyle name="Normal 438 2 3 3" xfId="46127"/>
    <cellStyle name="Normal 438 2 4" xfId="20287"/>
    <cellStyle name="Normal 438 2 5" xfId="20288"/>
    <cellStyle name="Normal 438 2 6" xfId="46128"/>
    <cellStyle name="Normal 438 2 7" xfId="46129"/>
    <cellStyle name="Normal 438 2 8" xfId="46130"/>
    <cellStyle name="Normal 438 3" xfId="20289"/>
    <cellStyle name="Normal 438 3 2" xfId="20290"/>
    <cellStyle name="Normal 438 3 2 2" xfId="46131"/>
    <cellStyle name="Normal 438 3 2 3" xfId="46132"/>
    <cellStyle name="Normal 438 3 3" xfId="20291"/>
    <cellStyle name="Normal 438 3 3 2" xfId="46133"/>
    <cellStyle name="Normal 438 3 3 3" xfId="46134"/>
    <cellStyle name="Normal 438 3 4" xfId="46135"/>
    <cellStyle name="Normal 438 3 5" xfId="46136"/>
    <cellStyle name="Normal 438 4" xfId="20292"/>
    <cellStyle name="Normal 438 4 2" xfId="46137"/>
    <cellStyle name="Normal 438 4 3" xfId="46138"/>
    <cellStyle name="Normal 438 5" xfId="20293"/>
    <cellStyle name="Normal 438 5 2" xfId="46139"/>
    <cellStyle name="Normal 438 5 3" xfId="46140"/>
    <cellStyle name="Normal 438 6" xfId="20294"/>
    <cellStyle name="Normal 438 7" xfId="46141"/>
    <cellStyle name="Normal 438 8" xfId="46142"/>
    <cellStyle name="Normal 438 9" xfId="46143"/>
    <cellStyle name="Normal 4380" xfId="20295"/>
    <cellStyle name="Normal 4380 2" xfId="20296"/>
    <cellStyle name="Normal 4381" xfId="20297"/>
    <cellStyle name="Normal 4381 2" xfId="20298"/>
    <cellStyle name="Normal 4382" xfId="20299"/>
    <cellStyle name="Normal 4382 2" xfId="20300"/>
    <cellStyle name="Normal 4383" xfId="20301"/>
    <cellStyle name="Normal 4383 2" xfId="20302"/>
    <cellStyle name="Normal 4384" xfId="20303"/>
    <cellStyle name="Normal 4384 2" xfId="20304"/>
    <cellStyle name="Normal 4385" xfId="20305"/>
    <cellStyle name="Normal 4385 2" xfId="20306"/>
    <cellStyle name="Normal 4386" xfId="20307"/>
    <cellStyle name="Normal 4386 2" xfId="20308"/>
    <cellStyle name="Normal 4387" xfId="20309"/>
    <cellStyle name="Normal 4387 2" xfId="20310"/>
    <cellStyle name="Normal 4388" xfId="20311"/>
    <cellStyle name="Normal 4388 2" xfId="20312"/>
    <cellStyle name="Normal 4389" xfId="20313"/>
    <cellStyle name="Normal 4389 2" xfId="20314"/>
    <cellStyle name="Normal 439" xfId="20315"/>
    <cellStyle name="Normal 439 10" xfId="46144"/>
    <cellStyle name="Normal 439 2" xfId="20316"/>
    <cellStyle name="Normal 439 2 2" xfId="20317"/>
    <cellStyle name="Normal 439 2 2 2" xfId="20318"/>
    <cellStyle name="Normal 439 2 2 3" xfId="20319"/>
    <cellStyle name="Normal 439 2 3" xfId="20320"/>
    <cellStyle name="Normal 439 2 3 2" xfId="46145"/>
    <cellStyle name="Normal 439 2 3 3" xfId="46146"/>
    <cellStyle name="Normal 439 2 4" xfId="20321"/>
    <cellStyle name="Normal 439 2 5" xfId="20322"/>
    <cellStyle name="Normal 439 2 6" xfId="46147"/>
    <cellStyle name="Normal 439 2 7" xfId="46148"/>
    <cellStyle name="Normal 439 2 8" xfId="46149"/>
    <cellStyle name="Normal 439 3" xfId="20323"/>
    <cellStyle name="Normal 439 3 2" xfId="20324"/>
    <cellStyle name="Normal 439 3 2 2" xfId="46150"/>
    <cellStyle name="Normal 439 3 2 3" xfId="46151"/>
    <cellStyle name="Normal 439 3 3" xfId="20325"/>
    <cellStyle name="Normal 439 3 3 2" xfId="46152"/>
    <cellStyle name="Normal 439 3 3 3" xfId="46153"/>
    <cellStyle name="Normal 439 3 4" xfId="46154"/>
    <cellStyle name="Normal 439 3 5" xfId="46155"/>
    <cellStyle name="Normal 439 4" xfId="20326"/>
    <cellStyle name="Normal 439 4 2" xfId="46156"/>
    <cellStyle name="Normal 439 4 3" xfId="46157"/>
    <cellStyle name="Normal 439 5" xfId="20327"/>
    <cellStyle name="Normal 439 5 2" xfId="46158"/>
    <cellStyle name="Normal 439 5 3" xfId="46159"/>
    <cellStyle name="Normal 439 6" xfId="20328"/>
    <cellStyle name="Normal 439 7" xfId="46160"/>
    <cellStyle name="Normal 439 8" xfId="46161"/>
    <cellStyle name="Normal 439 9" xfId="46162"/>
    <cellStyle name="Normal 4390" xfId="20329"/>
    <cellStyle name="Normal 4390 2" xfId="20330"/>
    <cellStyle name="Normal 4391" xfId="20331"/>
    <cellStyle name="Normal 4391 2" xfId="20332"/>
    <cellStyle name="Normal 4392" xfId="20333"/>
    <cellStyle name="Normal 4392 2" xfId="20334"/>
    <cellStyle name="Normal 4393" xfId="20335"/>
    <cellStyle name="Normal 4393 2" xfId="20336"/>
    <cellStyle name="Normal 4394" xfId="20337"/>
    <cellStyle name="Normal 4394 2" xfId="20338"/>
    <cellStyle name="Normal 4395" xfId="20339"/>
    <cellStyle name="Normal 4395 2" xfId="20340"/>
    <cellStyle name="Normal 4396" xfId="20341"/>
    <cellStyle name="Normal 4396 2" xfId="20342"/>
    <cellStyle name="Normal 4397" xfId="20343"/>
    <cellStyle name="Normal 4397 2" xfId="20344"/>
    <cellStyle name="Normal 4397 2 2" xfId="20345"/>
    <cellStyle name="Normal 4397 2 2 2" xfId="20346"/>
    <cellStyle name="Normal 4397 2 2 3" xfId="20347"/>
    <cellStyle name="Normal 4397 2 3" xfId="20348"/>
    <cellStyle name="Normal 4397 2 4" xfId="20349"/>
    <cellStyle name="Normal 4397 3" xfId="20350"/>
    <cellStyle name="Normal 4397 3 2" xfId="20351"/>
    <cellStyle name="Normal 4397 3 3" xfId="20352"/>
    <cellStyle name="Normal 4397 4" xfId="20353"/>
    <cellStyle name="Normal 4397 5" xfId="20354"/>
    <cellStyle name="Normal 4398" xfId="20355"/>
    <cellStyle name="Normal 4398 2" xfId="20356"/>
    <cellStyle name="Normal 4399" xfId="20357"/>
    <cellStyle name="Normal 4399 2" xfId="20358"/>
    <cellStyle name="Normal 44" xfId="20359"/>
    <cellStyle name="Normal 44 10" xfId="46163"/>
    <cellStyle name="Normal 44 2" xfId="20360"/>
    <cellStyle name="Normal 44 2 2" xfId="20361"/>
    <cellStyle name="Normal 44 2 2 2" xfId="20362"/>
    <cellStyle name="Normal 44 2 2 3" xfId="20363"/>
    <cellStyle name="Normal 44 2 3" xfId="20364"/>
    <cellStyle name="Normal 44 2 3 2" xfId="46164"/>
    <cellStyle name="Normal 44 2 3 3" xfId="46165"/>
    <cellStyle name="Normal 44 2 4" xfId="20365"/>
    <cellStyle name="Normal 44 2 5" xfId="20366"/>
    <cellStyle name="Normal 44 2 6" xfId="46166"/>
    <cellStyle name="Normal 44 2 7" xfId="46167"/>
    <cellStyle name="Normal 44 2 8" xfId="46168"/>
    <cellStyle name="Normal 44 3" xfId="20367"/>
    <cellStyle name="Normal 44 3 2" xfId="20368"/>
    <cellStyle name="Normal 44 3 2 2" xfId="46169"/>
    <cellStyle name="Normal 44 3 2 3" xfId="46170"/>
    <cellStyle name="Normal 44 3 3" xfId="20369"/>
    <cellStyle name="Normal 44 3 3 2" xfId="46171"/>
    <cellStyle name="Normal 44 3 3 3" xfId="46172"/>
    <cellStyle name="Normal 44 3 4" xfId="46173"/>
    <cellStyle name="Normal 44 3 5" xfId="46174"/>
    <cellStyle name="Normal 44 4" xfId="20370"/>
    <cellStyle name="Normal 44 4 2" xfId="46175"/>
    <cellStyle name="Normal 44 4 3" xfId="46176"/>
    <cellStyle name="Normal 44 5" xfId="20371"/>
    <cellStyle name="Normal 44 5 2" xfId="46177"/>
    <cellStyle name="Normal 44 5 3" xfId="46178"/>
    <cellStyle name="Normal 44 6" xfId="20372"/>
    <cellStyle name="Normal 44 7" xfId="46179"/>
    <cellStyle name="Normal 44 8" xfId="46180"/>
    <cellStyle name="Normal 44 9" xfId="46181"/>
    <cellStyle name="Normal 440" xfId="20373"/>
    <cellStyle name="Normal 440 10" xfId="46182"/>
    <cellStyle name="Normal 440 2" xfId="20374"/>
    <cellStyle name="Normal 440 2 2" xfId="20375"/>
    <cellStyle name="Normal 440 2 2 2" xfId="20376"/>
    <cellStyle name="Normal 440 2 2 3" xfId="20377"/>
    <cellStyle name="Normal 440 2 3" xfId="20378"/>
    <cellStyle name="Normal 440 2 3 2" xfId="46183"/>
    <cellStyle name="Normal 440 2 3 3" xfId="46184"/>
    <cellStyle name="Normal 440 2 4" xfId="20379"/>
    <cellStyle name="Normal 440 2 5" xfId="20380"/>
    <cellStyle name="Normal 440 2 6" xfId="46185"/>
    <cellStyle name="Normal 440 2 7" xfId="46186"/>
    <cellStyle name="Normal 440 2 8" xfId="46187"/>
    <cellStyle name="Normal 440 3" xfId="20381"/>
    <cellStyle name="Normal 440 3 2" xfId="20382"/>
    <cellStyle name="Normal 440 3 2 2" xfId="46188"/>
    <cellStyle name="Normal 440 3 2 3" xfId="46189"/>
    <cellStyle name="Normal 440 3 3" xfId="20383"/>
    <cellStyle name="Normal 440 3 3 2" xfId="46190"/>
    <cellStyle name="Normal 440 3 3 3" xfId="46191"/>
    <cellStyle name="Normal 440 3 4" xfId="46192"/>
    <cellStyle name="Normal 440 3 5" xfId="46193"/>
    <cellStyle name="Normal 440 4" xfId="20384"/>
    <cellStyle name="Normal 440 4 2" xfId="46194"/>
    <cellStyle name="Normal 440 4 3" xfId="46195"/>
    <cellStyle name="Normal 440 5" xfId="20385"/>
    <cellStyle name="Normal 440 5 2" xfId="46196"/>
    <cellStyle name="Normal 440 5 3" xfId="46197"/>
    <cellStyle name="Normal 440 6" xfId="20386"/>
    <cellStyle name="Normal 440 7" xfId="46198"/>
    <cellStyle name="Normal 440 8" xfId="46199"/>
    <cellStyle name="Normal 440 9" xfId="46200"/>
    <cellStyle name="Normal 4400" xfId="20387"/>
    <cellStyle name="Normal 4400 2" xfId="20388"/>
    <cellStyle name="Normal 4401" xfId="20389"/>
    <cellStyle name="Normal 4401 2" xfId="20390"/>
    <cellStyle name="Normal 4402" xfId="20391"/>
    <cellStyle name="Normal 4402 2" xfId="20392"/>
    <cellStyle name="Normal 4403" xfId="20393"/>
    <cellStyle name="Normal 4403 2" xfId="20394"/>
    <cellStyle name="Normal 4404" xfId="20395"/>
    <cellStyle name="Normal 4404 2" xfId="20396"/>
    <cellStyle name="Normal 4405" xfId="20397"/>
    <cellStyle name="Normal 4405 2" xfId="20398"/>
    <cellStyle name="Normal 4406" xfId="20399"/>
    <cellStyle name="Normal 4406 2" xfId="20400"/>
    <cellStyle name="Normal 4407" xfId="20401"/>
    <cellStyle name="Normal 4407 2" xfId="20402"/>
    <cellStyle name="Normal 4408" xfId="20403"/>
    <cellStyle name="Normal 4408 2" xfId="20404"/>
    <cellStyle name="Normal 4409" xfId="20405"/>
    <cellStyle name="Normal 4409 2" xfId="20406"/>
    <cellStyle name="Normal 441" xfId="20407"/>
    <cellStyle name="Normal 441 10" xfId="46201"/>
    <cellStyle name="Normal 441 2" xfId="20408"/>
    <cellStyle name="Normal 441 2 2" xfId="20409"/>
    <cellStyle name="Normal 441 2 2 2" xfId="20410"/>
    <cellStyle name="Normal 441 2 2 3" xfId="20411"/>
    <cellStyle name="Normal 441 2 3" xfId="20412"/>
    <cellStyle name="Normal 441 2 3 2" xfId="46202"/>
    <cellStyle name="Normal 441 2 3 3" xfId="46203"/>
    <cellStyle name="Normal 441 2 4" xfId="20413"/>
    <cellStyle name="Normal 441 2 5" xfId="20414"/>
    <cellStyle name="Normal 441 2 6" xfId="46204"/>
    <cellStyle name="Normal 441 2 7" xfId="46205"/>
    <cellStyle name="Normal 441 2 8" xfId="46206"/>
    <cellStyle name="Normal 441 3" xfId="20415"/>
    <cellStyle name="Normal 441 3 2" xfId="20416"/>
    <cellStyle name="Normal 441 3 2 2" xfId="46207"/>
    <cellStyle name="Normal 441 3 2 3" xfId="46208"/>
    <cellStyle name="Normal 441 3 3" xfId="20417"/>
    <cellStyle name="Normal 441 3 3 2" xfId="46209"/>
    <cellStyle name="Normal 441 3 3 3" xfId="46210"/>
    <cellStyle name="Normal 441 3 4" xfId="46211"/>
    <cellStyle name="Normal 441 3 5" xfId="46212"/>
    <cellStyle name="Normal 441 4" xfId="20418"/>
    <cellStyle name="Normal 441 4 2" xfId="46213"/>
    <cellStyle name="Normal 441 4 3" xfId="46214"/>
    <cellStyle name="Normal 441 5" xfId="20419"/>
    <cellStyle name="Normal 441 5 2" xfId="46215"/>
    <cellStyle name="Normal 441 5 3" xfId="46216"/>
    <cellStyle name="Normal 441 6" xfId="20420"/>
    <cellStyle name="Normal 441 7" xfId="46217"/>
    <cellStyle name="Normal 441 8" xfId="46218"/>
    <cellStyle name="Normal 441 9" xfId="46219"/>
    <cellStyle name="Normal 4410" xfId="20421"/>
    <cellStyle name="Normal 4410 2" xfId="20422"/>
    <cellStyle name="Normal 4411" xfId="20423"/>
    <cellStyle name="Normal 4411 2" xfId="20424"/>
    <cellStyle name="Normal 4412" xfId="20425"/>
    <cellStyle name="Normal 4412 2" xfId="20426"/>
    <cellStyle name="Normal 4413" xfId="20427"/>
    <cellStyle name="Normal 4413 2" xfId="20428"/>
    <cellStyle name="Normal 4414" xfId="20429"/>
    <cellStyle name="Normal 4414 2" xfId="20430"/>
    <cellStyle name="Normal 4415" xfId="20431"/>
    <cellStyle name="Normal 4415 2" xfId="20432"/>
    <cellStyle name="Normal 4416" xfId="20433"/>
    <cellStyle name="Normal 4416 2" xfId="20434"/>
    <cellStyle name="Normal 4417" xfId="20435"/>
    <cellStyle name="Normal 4417 2" xfId="20436"/>
    <cellStyle name="Normal 4418" xfId="20437"/>
    <cellStyle name="Normal 4418 2" xfId="20438"/>
    <cellStyle name="Normal 4419" xfId="20439"/>
    <cellStyle name="Normal 4419 2" xfId="20440"/>
    <cellStyle name="Normal 442" xfId="20441"/>
    <cellStyle name="Normal 442 10" xfId="46220"/>
    <cellStyle name="Normal 442 2" xfId="20442"/>
    <cellStyle name="Normal 442 2 2" xfId="20443"/>
    <cellStyle name="Normal 442 2 2 2" xfId="46221"/>
    <cellStyle name="Normal 442 2 2 3" xfId="46222"/>
    <cellStyle name="Normal 442 2 3" xfId="20444"/>
    <cellStyle name="Normal 442 2 3 2" xfId="46223"/>
    <cellStyle name="Normal 442 2 3 3" xfId="46224"/>
    <cellStyle name="Normal 442 2 4" xfId="46225"/>
    <cellStyle name="Normal 442 2 5" xfId="46226"/>
    <cellStyle name="Normal 442 2 6" xfId="46227"/>
    <cellStyle name="Normal 442 2 7" xfId="46228"/>
    <cellStyle name="Normal 442 2 8" xfId="46229"/>
    <cellStyle name="Normal 442 3" xfId="20445"/>
    <cellStyle name="Normal 442 3 2" xfId="46230"/>
    <cellStyle name="Normal 442 3 2 2" xfId="46231"/>
    <cellStyle name="Normal 442 3 2 3" xfId="46232"/>
    <cellStyle name="Normal 442 3 3" xfId="46233"/>
    <cellStyle name="Normal 442 3 3 2" xfId="46234"/>
    <cellStyle name="Normal 442 3 3 3" xfId="46235"/>
    <cellStyle name="Normal 442 3 4" xfId="46236"/>
    <cellStyle name="Normal 442 3 5" xfId="46237"/>
    <cellStyle name="Normal 442 4" xfId="20446"/>
    <cellStyle name="Normal 442 4 2" xfId="46238"/>
    <cellStyle name="Normal 442 4 3" xfId="46239"/>
    <cellStyle name="Normal 442 5" xfId="20447"/>
    <cellStyle name="Normal 442 5 2" xfId="46240"/>
    <cellStyle name="Normal 442 5 3" xfId="46241"/>
    <cellStyle name="Normal 442 6" xfId="46242"/>
    <cellStyle name="Normal 442 7" xfId="46243"/>
    <cellStyle name="Normal 442 8" xfId="46244"/>
    <cellStyle name="Normal 442 9" xfId="46245"/>
    <cellStyle name="Normal 4420" xfId="20448"/>
    <cellStyle name="Normal 4420 2" xfId="20449"/>
    <cellStyle name="Normal 4420 3" xfId="20450"/>
    <cellStyle name="Normal 4421" xfId="20451"/>
    <cellStyle name="Normal 4421 2" xfId="20452"/>
    <cellStyle name="Normal 4421 3" xfId="20453"/>
    <cellStyle name="Normal 4422" xfId="20454"/>
    <cellStyle name="Normal 4422 2" xfId="20455"/>
    <cellStyle name="Normal 4422 3" xfId="20456"/>
    <cellStyle name="Normal 4423" xfId="20457"/>
    <cellStyle name="Normal 4423 2" xfId="20458"/>
    <cellStyle name="Normal 4423 3" xfId="20459"/>
    <cellStyle name="Normal 4424" xfId="20460"/>
    <cellStyle name="Normal 4424 2" xfId="20461"/>
    <cellStyle name="Normal 4424 3" xfId="20462"/>
    <cellStyle name="Normal 4425" xfId="20463"/>
    <cellStyle name="Normal 4425 2" xfId="20464"/>
    <cellStyle name="Normal 4425 3" xfId="20465"/>
    <cellStyle name="Normal 4426" xfId="20466"/>
    <cellStyle name="Normal 4426 2" xfId="20467"/>
    <cellStyle name="Normal 4426 3" xfId="20468"/>
    <cellStyle name="Normal 4427" xfId="20469"/>
    <cellStyle name="Normal 4427 2" xfId="20470"/>
    <cellStyle name="Normal 4427 3" xfId="20471"/>
    <cellStyle name="Normal 4428" xfId="20472"/>
    <cellStyle name="Normal 4428 2" xfId="20473"/>
    <cellStyle name="Normal 4428 3" xfId="20474"/>
    <cellStyle name="Normal 4429" xfId="20475"/>
    <cellStyle name="Normal 4429 2" xfId="20476"/>
    <cellStyle name="Normal 4429 3" xfId="20477"/>
    <cellStyle name="Normal 443" xfId="20478"/>
    <cellStyle name="Normal 443 10" xfId="46246"/>
    <cellStyle name="Normal 443 2" xfId="20479"/>
    <cellStyle name="Normal 443 2 2" xfId="20480"/>
    <cellStyle name="Normal 443 2 2 2" xfId="46247"/>
    <cellStyle name="Normal 443 2 2 3" xfId="46248"/>
    <cellStyle name="Normal 443 2 3" xfId="20481"/>
    <cellStyle name="Normal 443 2 3 2" xfId="46249"/>
    <cellStyle name="Normal 443 2 3 3" xfId="46250"/>
    <cellStyle name="Normal 443 2 4" xfId="46251"/>
    <cellStyle name="Normal 443 2 5" xfId="46252"/>
    <cellStyle name="Normal 443 2 6" xfId="46253"/>
    <cellStyle name="Normal 443 2 7" xfId="46254"/>
    <cellStyle name="Normal 443 2 8" xfId="46255"/>
    <cellStyle name="Normal 443 3" xfId="20482"/>
    <cellStyle name="Normal 443 3 2" xfId="46256"/>
    <cellStyle name="Normal 443 3 2 2" xfId="46257"/>
    <cellStyle name="Normal 443 3 2 3" xfId="46258"/>
    <cellStyle name="Normal 443 3 3" xfId="46259"/>
    <cellStyle name="Normal 443 3 3 2" xfId="46260"/>
    <cellStyle name="Normal 443 3 3 3" xfId="46261"/>
    <cellStyle name="Normal 443 3 4" xfId="46262"/>
    <cellStyle name="Normal 443 3 5" xfId="46263"/>
    <cellStyle name="Normal 443 4" xfId="20483"/>
    <cellStyle name="Normal 443 4 2" xfId="46264"/>
    <cellStyle name="Normal 443 4 3" xfId="46265"/>
    <cellStyle name="Normal 443 5" xfId="20484"/>
    <cellStyle name="Normal 443 5 2" xfId="46266"/>
    <cellStyle name="Normal 443 5 3" xfId="46267"/>
    <cellStyle name="Normal 443 6" xfId="46268"/>
    <cellStyle name="Normal 443 7" xfId="46269"/>
    <cellStyle name="Normal 443 8" xfId="46270"/>
    <cellStyle name="Normal 443 9" xfId="46271"/>
    <cellStyle name="Normal 4430" xfId="20485"/>
    <cellStyle name="Normal 4430 2" xfId="20486"/>
    <cellStyle name="Normal 4430 3" xfId="20487"/>
    <cellStyle name="Normal 4431" xfId="20488"/>
    <cellStyle name="Normal 4431 2" xfId="20489"/>
    <cellStyle name="Normal 4431 3" xfId="20490"/>
    <cellStyle name="Normal 4432" xfId="20491"/>
    <cellStyle name="Normal 4432 2" xfId="20492"/>
    <cellStyle name="Normal 4432 3" xfId="20493"/>
    <cellStyle name="Normal 4433" xfId="20494"/>
    <cellStyle name="Normal 4433 2" xfId="20495"/>
    <cellStyle name="Normal 4433 3" xfId="20496"/>
    <cellStyle name="Normal 4434" xfId="20497"/>
    <cellStyle name="Normal 4434 2" xfId="20498"/>
    <cellStyle name="Normal 4434 3" xfId="20499"/>
    <cellStyle name="Normal 4435" xfId="20500"/>
    <cellStyle name="Normal 4435 2" xfId="20501"/>
    <cellStyle name="Normal 4435 3" xfId="20502"/>
    <cellStyle name="Normal 4435 4" xfId="20503"/>
    <cellStyle name="Normal 4436" xfId="20504"/>
    <cellStyle name="Normal 4436 2" xfId="20505"/>
    <cellStyle name="Normal 4436 3" xfId="20506"/>
    <cellStyle name="Normal 4437" xfId="20507"/>
    <cellStyle name="Normal 4437 2" xfId="20508"/>
    <cellStyle name="Normal 4437 3" xfId="20509"/>
    <cellStyle name="Normal 4438" xfId="20510"/>
    <cellStyle name="Normal 4438 2" xfId="20511"/>
    <cellStyle name="Normal 4438 3" xfId="20512"/>
    <cellStyle name="Normal 4439" xfId="20513"/>
    <cellStyle name="Normal 4439 2" xfId="20514"/>
    <cellStyle name="Normal 4439 3" xfId="20515"/>
    <cellStyle name="Normal 444" xfId="20516"/>
    <cellStyle name="Normal 444 10" xfId="46272"/>
    <cellStyle name="Normal 444 2" xfId="20517"/>
    <cellStyle name="Normal 444 2 2" xfId="20518"/>
    <cellStyle name="Normal 444 2 2 2" xfId="46273"/>
    <cellStyle name="Normal 444 2 2 3" xfId="46274"/>
    <cellStyle name="Normal 444 2 3" xfId="20519"/>
    <cellStyle name="Normal 444 2 3 2" xfId="46275"/>
    <cellStyle name="Normal 444 2 3 3" xfId="46276"/>
    <cellStyle name="Normal 444 2 4" xfId="46277"/>
    <cellStyle name="Normal 444 2 5" xfId="46278"/>
    <cellStyle name="Normal 444 2 6" xfId="46279"/>
    <cellStyle name="Normal 444 2 7" xfId="46280"/>
    <cellStyle name="Normal 444 2 8" xfId="46281"/>
    <cellStyle name="Normal 444 3" xfId="20520"/>
    <cellStyle name="Normal 444 3 2" xfId="46282"/>
    <cellStyle name="Normal 444 3 2 2" xfId="46283"/>
    <cellStyle name="Normal 444 3 2 3" xfId="46284"/>
    <cellStyle name="Normal 444 3 3" xfId="46285"/>
    <cellStyle name="Normal 444 3 3 2" xfId="46286"/>
    <cellStyle name="Normal 444 3 3 3" xfId="46287"/>
    <cellStyle name="Normal 444 3 4" xfId="46288"/>
    <cellStyle name="Normal 444 3 5" xfId="46289"/>
    <cellStyle name="Normal 444 4" xfId="20521"/>
    <cellStyle name="Normal 444 4 2" xfId="46290"/>
    <cellStyle name="Normal 444 4 3" xfId="46291"/>
    <cellStyle name="Normal 444 5" xfId="20522"/>
    <cellStyle name="Normal 444 5 2" xfId="46292"/>
    <cellStyle name="Normal 444 5 3" xfId="46293"/>
    <cellStyle name="Normal 444 6" xfId="46294"/>
    <cellStyle name="Normal 444 7" xfId="46295"/>
    <cellStyle name="Normal 444 8" xfId="46296"/>
    <cellStyle name="Normal 444 9" xfId="46297"/>
    <cellStyle name="Normal 4440" xfId="20523"/>
    <cellStyle name="Normal 4440 2" xfId="20524"/>
    <cellStyle name="Normal 4440 3" xfId="20525"/>
    <cellStyle name="Normal 4441" xfId="20526"/>
    <cellStyle name="Normal 4441 2" xfId="20527"/>
    <cellStyle name="Normal 4441 3" xfId="20528"/>
    <cellStyle name="Normal 4442" xfId="20529"/>
    <cellStyle name="Normal 4442 2" xfId="20530"/>
    <cellStyle name="Normal 4443" xfId="20531"/>
    <cellStyle name="Normal 4443 2" xfId="20532"/>
    <cellStyle name="Normal 4444" xfId="20533"/>
    <cellStyle name="Normal 4444 2" xfId="20534"/>
    <cellStyle name="Normal 4445" xfId="20535"/>
    <cellStyle name="Normal 4445 2" xfId="20536"/>
    <cellStyle name="Normal 4446" xfId="20537"/>
    <cellStyle name="Normal 4446 2" xfId="20538"/>
    <cellStyle name="Normal 4447" xfId="20539"/>
    <cellStyle name="Normal 4447 2" xfId="20540"/>
    <cellStyle name="Normal 4448" xfId="20541"/>
    <cellStyle name="Normal 4448 2" xfId="20542"/>
    <cellStyle name="Normal 4449" xfId="20543"/>
    <cellStyle name="Normal 4449 2" xfId="20544"/>
    <cellStyle name="Normal 445" xfId="20545"/>
    <cellStyle name="Normal 445 10" xfId="46298"/>
    <cellStyle name="Normal 445 2" xfId="20546"/>
    <cellStyle name="Normal 445 2 2" xfId="20547"/>
    <cellStyle name="Normal 445 2 2 2" xfId="46299"/>
    <cellStyle name="Normal 445 2 2 3" xfId="46300"/>
    <cellStyle name="Normal 445 2 3" xfId="20548"/>
    <cellStyle name="Normal 445 2 3 2" xfId="46301"/>
    <cellStyle name="Normal 445 2 3 3" xfId="46302"/>
    <cellStyle name="Normal 445 2 4" xfId="46303"/>
    <cellStyle name="Normal 445 2 5" xfId="46304"/>
    <cellStyle name="Normal 445 2 6" xfId="46305"/>
    <cellStyle name="Normal 445 2 7" xfId="46306"/>
    <cellStyle name="Normal 445 2 8" xfId="46307"/>
    <cellStyle name="Normal 445 3" xfId="20549"/>
    <cellStyle name="Normal 445 3 2" xfId="46308"/>
    <cellStyle name="Normal 445 3 2 2" xfId="46309"/>
    <cellStyle name="Normal 445 3 2 3" xfId="46310"/>
    <cellStyle name="Normal 445 3 3" xfId="46311"/>
    <cellStyle name="Normal 445 3 3 2" xfId="46312"/>
    <cellStyle name="Normal 445 3 3 3" xfId="46313"/>
    <cellStyle name="Normal 445 3 4" xfId="46314"/>
    <cellStyle name="Normal 445 3 5" xfId="46315"/>
    <cellStyle name="Normal 445 4" xfId="20550"/>
    <cellStyle name="Normal 445 4 2" xfId="46316"/>
    <cellStyle name="Normal 445 4 3" xfId="46317"/>
    <cellStyle name="Normal 445 5" xfId="20551"/>
    <cellStyle name="Normal 445 5 2" xfId="46318"/>
    <cellStyle name="Normal 445 5 3" xfId="46319"/>
    <cellStyle name="Normal 445 6" xfId="46320"/>
    <cellStyle name="Normal 445 7" xfId="46321"/>
    <cellStyle name="Normal 445 8" xfId="46322"/>
    <cellStyle name="Normal 445 9" xfId="46323"/>
    <cellStyle name="Normal 4450" xfId="20552"/>
    <cellStyle name="Normal 4450 2" xfId="20553"/>
    <cellStyle name="Normal 4451" xfId="20554"/>
    <cellStyle name="Normal 4451 2" xfId="20555"/>
    <cellStyle name="Normal 4452" xfId="20556"/>
    <cellStyle name="Normal 4452 2" xfId="20557"/>
    <cellStyle name="Normal 4453" xfId="20558"/>
    <cellStyle name="Normal 4453 2" xfId="20559"/>
    <cellStyle name="Normal 4454" xfId="20560"/>
    <cellStyle name="Normal 4454 2" xfId="20561"/>
    <cellStyle name="Normal 4455" xfId="20562"/>
    <cellStyle name="Normal 4455 2" xfId="20563"/>
    <cellStyle name="Normal 4456" xfId="20564"/>
    <cellStyle name="Normal 4456 2" xfId="20565"/>
    <cellStyle name="Normal 4457" xfId="20566"/>
    <cellStyle name="Normal 4457 2" xfId="20567"/>
    <cellStyle name="Normal 4458" xfId="20568"/>
    <cellStyle name="Normal 4458 2" xfId="20569"/>
    <cellStyle name="Normal 4459" xfId="20570"/>
    <cellStyle name="Normal 4459 2" xfId="20571"/>
    <cellStyle name="Normal 446" xfId="20572"/>
    <cellStyle name="Normal 446 10" xfId="46324"/>
    <cellStyle name="Normal 446 2" xfId="20573"/>
    <cellStyle name="Normal 446 2 2" xfId="46325"/>
    <cellStyle name="Normal 446 2 2 2" xfId="46326"/>
    <cellStyle name="Normal 446 2 2 3" xfId="46327"/>
    <cellStyle name="Normal 446 2 3" xfId="46328"/>
    <cellStyle name="Normal 446 2 3 2" xfId="46329"/>
    <cellStyle name="Normal 446 2 3 3" xfId="46330"/>
    <cellStyle name="Normal 446 2 4" xfId="46331"/>
    <cellStyle name="Normal 446 2 5" xfId="46332"/>
    <cellStyle name="Normal 446 2 6" xfId="46333"/>
    <cellStyle name="Normal 446 2 7" xfId="46334"/>
    <cellStyle name="Normal 446 2 8" xfId="46335"/>
    <cellStyle name="Normal 446 3" xfId="46336"/>
    <cellStyle name="Normal 446 3 2" xfId="46337"/>
    <cellStyle name="Normal 446 3 2 2" xfId="46338"/>
    <cellStyle name="Normal 446 3 2 3" xfId="46339"/>
    <cellStyle name="Normal 446 3 3" xfId="46340"/>
    <cellStyle name="Normal 446 3 3 2" xfId="46341"/>
    <cellStyle name="Normal 446 3 3 3" xfId="46342"/>
    <cellStyle name="Normal 446 3 4" xfId="46343"/>
    <cellStyle name="Normal 446 3 5" xfId="46344"/>
    <cellStyle name="Normal 446 4" xfId="46345"/>
    <cellStyle name="Normal 446 4 2" xfId="46346"/>
    <cellStyle name="Normal 446 4 3" xfId="46347"/>
    <cellStyle name="Normal 446 5" xfId="46348"/>
    <cellStyle name="Normal 446 5 2" xfId="46349"/>
    <cellStyle name="Normal 446 5 3" xfId="46350"/>
    <cellStyle name="Normal 446 6" xfId="46351"/>
    <cellStyle name="Normal 446 7" xfId="46352"/>
    <cellStyle name="Normal 446 8" xfId="46353"/>
    <cellStyle name="Normal 446 9" xfId="46354"/>
    <cellStyle name="Normal 4460" xfId="20574"/>
    <cellStyle name="Normal 4460 2" xfId="20575"/>
    <cellStyle name="Normal 4461" xfId="20576"/>
    <cellStyle name="Normal 4461 2" xfId="20577"/>
    <cellStyle name="Normal 4462" xfId="20578"/>
    <cellStyle name="Normal 4462 2" xfId="20579"/>
    <cellStyle name="Normal 4463" xfId="20580"/>
    <cellStyle name="Normal 4463 2" xfId="20581"/>
    <cellStyle name="Normal 4464" xfId="20582"/>
    <cellStyle name="Normal 4464 2" xfId="20583"/>
    <cellStyle name="Normal 4465" xfId="20584"/>
    <cellStyle name="Normal 4465 2" xfId="20585"/>
    <cellStyle name="Normal 4466" xfId="20586"/>
    <cellStyle name="Normal 4466 2" xfId="20587"/>
    <cellStyle name="Normal 4467" xfId="20588"/>
    <cellStyle name="Normal 4467 2" xfId="20589"/>
    <cellStyle name="Normal 4468" xfId="20590"/>
    <cellStyle name="Normal 4468 2" xfId="20591"/>
    <cellStyle name="Normal 4469" xfId="20592"/>
    <cellStyle name="Normal 4469 2" xfId="20593"/>
    <cellStyle name="Normal 447" xfId="20594"/>
    <cellStyle name="Normal 447 10" xfId="46355"/>
    <cellStyle name="Normal 447 2" xfId="20595"/>
    <cellStyle name="Normal 447 2 2" xfId="20596"/>
    <cellStyle name="Normal 447 2 2 2" xfId="46356"/>
    <cellStyle name="Normal 447 2 2 3" xfId="46357"/>
    <cellStyle name="Normal 447 2 3" xfId="20597"/>
    <cellStyle name="Normal 447 2 3 2" xfId="46358"/>
    <cellStyle name="Normal 447 2 3 3" xfId="46359"/>
    <cellStyle name="Normal 447 2 4" xfId="46360"/>
    <cellStyle name="Normal 447 2 5" xfId="46361"/>
    <cellStyle name="Normal 447 2 6" xfId="46362"/>
    <cellStyle name="Normal 447 2 7" xfId="46363"/>
    <cellStyle name="Normal 447 2 8" xfId="46364"/>
    <cellStyle name="Normal 447 3" xfId="20598"/>
    <cellStyle name="Normal 447 3 2" xfId="46365"/>
    <cellStyle name="Normal 447 3 2 2" xfId="46366"/>
    <cellStyle name="Normal 447 3 2 3" xfId="46367"/>
    <cellStyle name="Normal 447 3 3" xfId="46368"/>
    <cellStyle name="Normal 447 3 3 2" xfId="46369"/>
    <cellStyle name="Normal 447 3 3 3" xfId="46370"/>
    <cellStyle name="Normal 447 3 4" xfId="46371"/>
    <cellStyle name="Normal 447 3 5" xfId="46372"/>
    <cellStyle name="Normal 447 4" xfId="20599"/>
    <cellStyle name="Normal 447 4 2" xfId="46373"/>
    <cellStyle name="Normal 447 4 3" xfId="46374"/>
    <cellStyle name="Normal 447 5" xfId="20600"/>
    <cellStyle name="Normal 447 5 2" xfId="46375"/>
    <cellStyle name="Normal 447 5 3" xfId="46376"/>
    <cellStyle name="Normal 447 6" xfId="46377"/>
    <cellStyle name="Normal 447 7" xfId="46378"/>
    <cellStyle name="Normal 447 8" xfId="46379"/>
    <cellStyle name="Normal 447 9" xfId="46380"/>
    <cellStyle name="Normal 4470" xfId="20601"/>
    <cellStyle name="Normal 4470 2" xfId="20602"/>
    <cellStyle name="Normal 4471" xfId="20603"/>
    <cellStyle name="Normal 4471 2" xfId="20604"/>
    <cellStyle name="Normal 4472" xfId="20605"/>
    <cellStyle name="Normal 4472 2" xfId="20606"/>
    <cellStyle name="Normal 4473" xfId="20607"/>
    <cellStyle name="Normal 4473 2" xfId="20608"/>
    <cellStyle name="Normal 4474" xfId="20609"/>
    <cellStyle name="Normal 4474 2" xfId="20610"/>
    <cellStyle name="Normal 4475" xfId="20611"/>
    <cellStyle name="Normal 4475 2" xfId="20612"/>
    <cellStyle name="Normal 4476" xfId="20613"/>
    <cellStyle name="Normal 4476 2" xfId="20614"/>
    <cellStyle name="Normal 4477" xfId="20615"/>
    <cellStyle name="Normal 4477 2" xfId="20616"/>
    <cellStyle name="Normal 4478" xfId="20617"/>
    <cellStyle name="Normal 4478 2" xfId="20618"/>
    <cellStyle name="Normal 4479" xfId="20619"/>
    <cellStyle name="Normal 4479 2" xfId="20620"/>
    <cellStyle name="Normal 448" xfId="20621"/>
    <cellStyle name="Normal 448 10" xfId="46381"/>
    <cellStyle name="Normal 448 2" xfId="20622"/>
    <cellStyle name="Normal 448 2 2" xfId="20623"/>
    <cellStyle name="Normal 448 2 2 2" xfId="46382"/>
    <cellStyle name="Normal 448 2 2 3" xfId="46383"/>
    <cellStyle name="Normal 448 2 3" xfId="20624"/>
    <cellStyle name="Normal 448 2 3 2" xfId="46384"/>
    <cellStyle name="Normal 448 2 3 3" xfId="46385"/>
    <cellStyle name="Normal 448 2 4" xfId="46386"/>
    <cellStyle name="Normal 448 2 5" xfId="46387"/>
    <cellStyle name="Normal 448 2 6" xfId="46388"/>
    <cellStyle name="Normal 448 2 7" xfId="46389"/>
    <cellStyle name="Normal 448 2 8" xfId="46390"/>
    <cellStyle name="Normal 448 3" xfId="20625"/>
    <cellStyle name="Normal 448 3 2" xfId="46391"/>
    <cellStyle name="Normal 448 3 2 2" xfId="46392"/>
    <cellStyle name="Normal 448 3 2 3" xfId="46393"/>
    <cellStyle name="Normal 448 3 3" xfId="46394"/>
    <cellStyle name="Normal 448 3 3 2" xfId="46395"/>
    <cellStyle name="Normal 448 3 3 3" xfId="46396"/>
    <cellStyle name="Normal 448 3 4" xfId="46397"/>
    <cellStyle name="Normal 448 3 5" xfId="46398"/>
    <cellStyle name="Normal 448 4" xfId="20626"/>
    <cellStyle name="Normal 448 4 2" xfId="46399"/>
    <cellStyle name="Normal 448 4 3" xfId="46400"/>
    <cellStyle name="Normal 448 5" xfId="20627"/>
    <cellStyle name="Normal 448 5 2" xfId="46401"/>
    <cellStyle name="Normal 448 5 3" xfId="46402"/>
    <cellStyle name="Normal 448 6" xfId="46403"/>
    <cellStyle name="Normal 448 7" xfId="46404"/>
    <cellStyle name="Normal 448 8" xfId="46405"/>
    <cellStyle name="Normal 448 9" xfId="46406"/>
    <cellStyle name="Normal 4480" xfId="20628"/>
    <cellStyle name="Normal 4480 2" xfId="20629"/>
    <cellStyle name="Normal 4481" xfId="20630"/>
    <cellStyle name="Normal 4481 2" xfId="20631"/>
    <cellStyle name="Normal 4482" xfId="20632"/>
    <cellStyle name="Normal 4482 2" xfId="20633"/>
    <cellStyle name="Normal 4483" xfId="20634"/>
    <cellStyle name="Normal 4483 2" xfId="20635"/>
    <cellStyle name="Normal 4484" xfId="20636"/>
    <cellStyle name="Normal 4484 2" xfId="20637"/>
    <cellStyle name="Normal 4485" xfId="20638"/>
    <cellStyle name="Normal 4485 2" xfId="20639"/>
    <cellStyle name="Normal 4486" xfId="20640"/>
    <cellStyle name="Normal 4486 2" xfId="20641"/>
    <cellStyle name="Normal 4487" xfId="20642"/>
    <cellStyle name="Normal 4487 2" xfId="20643"/>
    <cellStyle name="Normal 4488" xfId="20644"/>
    <cellStyle name="Normal 4488 2" xfId="20645"/>
    <cellStyle name="Normal 4489" xfId="20646"/>
    <cellStyle name="Normal 4489 2" xfId="20647"/>
    <cellStyle name="Normal 449" xfId="20648"/>
    <cellStyle name="Normal 449 10" xfId="46407"/>
    <cellStyle name="Normal 449 2" xfId="20649"/>
    <cellStyle name="Normal 449 2 2" xfId="20650"/>
    <cellStyle name="Normal 449 2 2 2" xfId="46408"/>
    <cellStyle name="Normal 449 2 2 3" xfId="46409"/>
    <cellStyle name="Normal 449 2 3" xfId="20651"/>
    <cellStyle name="Normal 449 2 3 2" xfId="46410"/>
    <cellStyle name="Normal 449 2 3 3" xfId="46411"/>
    <cellStyle name="Normal 449 2 4" xfId="46412"/>
    <cellStyle name="Normal 449 2 5" xfId="46413"/>
    <cellStyle name="Normal 449 2 6" xfId="46414"/>
    <cellStyle name="Normal 449 2 7" xfId="46415"/>
    <cellStyle name="Normal 449 2 8" xfId="46416"/>
    <cellStyle name="Normal 449 3" xfId="20652"/>
    <cellStyle name="Normal 449 3 2" xfId="46417"/>
    <cellStyle name="Normal 449 3 2 2" xfId="46418"/>
    <cellStyle name="Normal 449 3 2 3" xfId="46419"/>
    <cellStyle name="Normal 449 3 3" xfId="46420"/>
    <cellStyle name="Normal 449 3 3 2" xfId="46421"/>
    <cellStyle name="Normal 449 3 3 3" xfId="46422"/>
    <cellStyle name="Normal 449 3 4" xfId="46423"/>
    <cellStyle name="Normal 449 3 5" xfId="46424"/>
    <cellStyle name="Normal 449 4" xfId="20653"/>
    <cellStyle name="Normal 449 4 2" xfId="46425"/>
    <cellStyle name="Normal 449 4 3" xfId="46426"/>
    <cellStyle name="Normal 449 5" xfId="20654"/>
    <cellStyle name="Normal 449 5 2" xfId="46427"/>
    <cellStyle name="Normal 449 5 3" xfId="46428"/>
    <cellStyle name="Normal 449 6" xfId="46429"/>
    <cellStyle name="Normal 449 7" xfId="46430"/>
    <cellStyle name="Normal 449 8" xfId="46431"/>
    <cellStyle name="Normal 449 9" xfId="46432"/>
    <cellStyle name="Normal 4490" xfId="20655"/>
    <cellStyle name="Normal 4490 2" xfId="20656"/>
    <cellStyle name="Normal 4491" xfId="20657"/>
    <cellStyle name="Normal 4491 2" xfId="20658"/>
    <cellStyle name="Normal 4492" xfId="20659"/>
    <cellStyle name="Normal 4492 2" xfId="20660"/>
    <cellStyle name="Normal 4493" xfId="20661"/>
    <cellStyle name="Normal 4493 2" xfId="20662"/>
    <cellStyle name="Normal 4494" xfId="20663"/>
    <cellStyle name="Normal 4494 2" xfId="20664"/>
    <cellStyle name="Normal 4495" xfId="20665"/>
    <cellStyle name="Normal 4495 2" xfId="20666"/>
    <cellStyle name="Normal 4496" xfId="20667"/>
    <cellStyle name="Normal 4496 2" xfId="20668"/>
    <cellStyle name="Normal 4497" xfId="20669"/>
    <cellStyle name="Normal 4497 2" xfId="20670"/>
    <cellStyle name="Normal 4498" xfId="20671"/>
    <cellStyle name="Normal 4498 2" xfId="20672"/>
    <cellStyle name="Normal 4499" xfId="20673"/>
    <cellStyle name="Normal 4499 2" xfId="20674"/>
    <cellStyle name="Normal 45" xfId="20675"/>
    <cellStyle name="Normal 45 2" xfId="20676"/>
    <cellStyle name="Normal 45 2 2" xfId="20677"/>
    <cellStyle name="Normal 45 2 2 2" xfId="20678"/>
    <cellStyle name="Normal 45 2 2 3" xfId="20679"/>
    <cellStyle name="Normal 45 2 3" xfId="20680"/>
    <cellStyle name="Normal 45 2 4" xfId="20681"/>
    <cellStyle name="Normal 45 2 5" xfId="20682"/>
    <cellStyle name="Normal 45 3" xfId="20683"/>
    <cellStyle name="Normal 45 3 2" xfId="20684"/>
    <cellStyle name="Normal 45 3 3" xfId="20685"/>
    <cellStyle name="Normal 45 4" xfId="20686"/>
    <cellStyle name="Normal 45 5" xfId="20687"/>
    <cellStyle name="Normal 45 6" xfId="20688"/>
    <cellStyle name="Normal 450" xfId="20689"/>
    <cellStyle name="Normal 450 10" xfId="46433"/>
    <cellStyle name="Normal 450 2" xfId="20690"/>
    <cellStyle name="Normal 450 2 2" xfId="20691"/>
    <cellStyle name="Normal 450 2 2 2" xfId="46434"/>
    <cellStyle name="Normal 450 2 2 3" xfId="46435"/>
    <cellStyle name="Normal 450 2 3" xfId="20692"/>
    <cellStyle name="Normal 450 2 3 2" xfId="46436"/>
    <cellStyle name="Normal 450 2 3 3" xfId="46437"/>
    <cellStyle name="Normal 450 2 4" xfId="46438"/>
    <cellStyle name="Normal 450 2 5" xfId="46439"/>
    <cellStyle name="Normal 450 2 6" xfId="46440"/>
    <cellStyle name="Normal 450 2 7" xfId="46441"/>
    <cellStyle name="Normal 450 2 8" xfId="46442"/>
    <cellStyle name="Normal 450 3" xfId="20693"/>
    <cellStyle name="Normal 450 3 2" xfId="46443"/>
    <cellStyle name="Normal 450 3 2 2" xfId="46444"/>
    <cellStyle name="Normal 450 3 2 3" xfId="46445"/>
    <cellStyle name="Normal 450 3 3" xfId="46446"/>
    <cellStyle name="Normal 450 3 3 2" xfId="46447"/>
    <cellStyle name="Normal 450 3 3 3" xfId="46448"/>
    <cellStyle name="Normal 450 3 4" xfId="46449"/>
    <cellStyle name="Normal 450 3 5" xfId="46450"/>
    <cellStyle name="Normal 450 4" xfId="20694"/>
    <cellStyle name="Normal 450 4 2" xfId="46451"/>
    <cellStyle name="Normal 450 4 3" xfId="46452"/>
    <cellStyle name="Normal 450 5" xfId="20695"/>
    <cellStyle name="Normal 450 5 2" xfId="46453"/>
    <cellStyle name="Normal 450 5 3" xfId="46454"/>
    <cellStyle name="Normal 450 6" xfId="46455"/>
    <cellStyle name="Normal 450 7" xfId="46456"/>
    <cellStyle name="Normal 450 8" xfId="46457"/>
    <cellStyle name="Normal 450 9" xfId="46458"/>
    <cellStyle name="Normal 4500" xfId="20696"/>
    <cellStyle name="Normal 4500 2" xfId="20697"/>
    <cellStyle name="Normal 4501" xfId="20698"/>
    <cellStyle name="Normal 4501 2" xfId="20699"/>
    <cellStyle name="Normal 4502" xfId="20700"/>
    <cellStyle name="Normal 4502 2" xfId="20701"/>
    <cellStyle name="Normal 4503" xfId="20702"/>
    <cellStyle name="Normal 4503 2" xfId="20703"/>
    <cellStyle name="Normal 4504" xfId="20704"/>
    <cellStyle name="Normal 4504 2" xfId="20705"/>
    <cellStyle name="Normal 4505" xfId="20706"/>
    <cellStyle name="Normal 4505 2" xfId="20707"/>
    <cellStyle name="Normal 4506" xfId="20708"/>
    <cellStyle name="Normal 4506 2" xfId="20709"/>
    <cellStyle name="Normal 4507" xfId="20710"/>
    <cellStyle name="Normal 4507 2" xfId="20711"/>
    <cellStyle name="Normal 4508" xfId="20712"/>
    <cellStyle name="Normal 4508 2" xfId="20713"/>
    <cellStyle name="Normal 4509" xfId="20714"/>
    <cellStyle name="Normal 4509 2" xfId="20715"/>
    <cellStyle name="Normal 451" xfId="20716"/>
    <cellStyle name="Normal 451 10" xfId="46459"/>
    <cellStyle name="Normal 451 2" xfId="20717"/>
    <cellStyle name="Normal 451 2 2" xfId="20718"/>
    <cellStyle name="Normal 451 2 2 2" xfId="46460"/>
    <cellStyle name="Normal 451 2 2 3" xfId="46461"/>
    <cellStyle name="Normal 451 2 3" xfId="20719"/>
    <cellStyle name="Normal 451 2 3 2" xfId="46462"/>
    <cellStyle name="Normal 451 2 3 3" xfId="46463"/>
    <cellStyle name="Normal 451 2 4" xfId="46464"/>
    <cellStyle name="Normal 451 2 5" xfId="46465"/>
    <cellStyle name="Normal 451 2 6" xfId="46466"/>
    <cellStyle name="Normal 451 2 7" xfId="46467"/>
    <cellStyle name="Normal 451 2 8" xfId="46468"/>
    <cellStyle name="Normal 451 3" xfId="20720"/>
    <cellStyle name="Normal 451 3 2" xfId="46469"/>
    <cellStyle name="Normal 451 3 2 2" xfId="46470"/>
    <cellStyle name="Normal 451 3 2 3" xfId="46471"/>
    <cellStyle name="Normal 451 3 3" xfId="46472"/>
    <cellStyle name="Normal 451 3 3 2" xfId="46473"/>
    <cellStyle name="Normal 451 3 3 3" xfId="46474"/>
    <cellStyle name="Normal 451 3 4" xfId="46475"/>
    <cellStyle name="Normal 451 3 5" xfId="46476"/>
    <cellStyle name="Normal 451 4" xfId="20721"/>
    <cellStyle name="Normal 451 4 2" xfId="46477"/>
    <cellStyle name="Normal 451 4 3" xfId="46478"/>
    <cellStyle name="Normal 451 5" xfId="20722"/>
    <cellStyle name="Normal 451 5 2" xfId="46479"/>
    <cellStyle name="Normal 451 5 3" xfId="46480"/>
    <cellStyle name="Normal 451 6" xfId="46481"/>
    <cellStyle name="Normal 451 7" xfId="46482"/>
    <cellStyle name="Normal 451 8" xfId="46483"/>
    <cellStyle name="Normal 451 9" xfId="46484"/>
    <cellStyle name="Normal 4510" xfId="20723"/>
    <cellStyle name="Normal 4510 2" xfId="20724"/>
    <cellStyle name="Normal 4511" xfId="20725"/>
    <cellStyle name="Normal 4511 2" xfId="20726"/>
    <cellStyle name="Normal 4512" xfId="20727"/>
    <cellStyle name="Normal 4512 2" xfId="20728"/>
    <cellStyle name="Normal 4513" xfId="20729"/>
    <cellStyle name="Normal 4513 2" xfId="20730"/>
    <cellStyle name="Normal 4514" xfId="20731"/>
    <cellStyle name="Normal 4514 2" xfId="20732"/>
    <cellStyle name="Normal 4515" xfId="20733"/>
    <cellStyle name="Normal 4515 2" xfId="20734"/>
    <cellStyle name="Normal 4516" xfId="20735"/>
    <cellStyle name="Normal 4516 2" xfId="20736"/>
    <cellStyle name="Normal 4517" xfId="20737"/>
    <cellStyle name="Normal 4517 2" xfId="20738"/>
    <cellStyle name="Normal 4518" xfId="20739"/>
    <cellStyle name="Normal 4518 2" xfId="20740"/>
    <cellStyle name="Normal 4519" xfId="20741"/>
    <cellStyle name="Normal 4519 2" xfId="20742"/>
    <cellStyle name="Normal 452" xfId="20743"/>
    <cellStyle name="Normal 452 10" xfId="46485"/>
    <cellStyle name="Normal 452 2" xfId="20744"/>
    <cellStyle name="Normal 452 2 2" xfId="20745"/>
    <cellStyle name="Normal 452 2 2 2" xfId="46486"/>
    <cellStyle name="Normal 452 2 2 3" xfId="46487"/>
    <cellStyle name="Normal 452 2 3" xfId="20746"/>
    <cellStyle name="Normal 452 2 3 2" xfId="46488"/>
    <cellStyle name="Normal 452 2 3 3" xfId="46489"/>
    <cellStyle name="Normal 452 2 4" xfId="46490"/>
    <cellStyle name="Normal 452 2 5" xfId="46491"/>
    <cellStyle name="Normal 452 2 6" xfId="46492"/>
    <cellStyle name="Normal 452 2 7" xfId="46493"/>
    <cellStyle name="Normal 452 2 8" xfId="46494"/>
    <cellStyle name="Normal 452 3" xfId="20747"/>
    <cellStyle name="Normal 452 3 2" xfId="46495"/>
    <cellStyle name="Normal 452 3 2 2" xfId="46496"/>
    <cellStyle name="Normal 452 3 2 3" xfId="46497"/>
    <cellStyle name="Normal 452 3 3" xfId="46498"/>
    <cellStyle name="Normal 452 3 3 2" xfId="46499"/>
    <cellStyle name="Normal 452 3 3 3" xfId="46500"/>
    <cellStyle name="Normal 452 3 4" xfId="46501"/>
    <cellStyle name="Normal 452 3 5" xfId="46502"/>
    <cellStyle name="Normal 452 4" xfId="20748"/>
    <cellStyle name="Normal 452 4 2" xfId="46503"/>
    <cellStyle name="Normal 452 4 3" xfId="46504"/>
    <cellStyle name="Normal 452 5" xfId="20749"/>
    <cellStyle name="Normal 452 5 2" xfId="46505"/>
    <cellStyle name="Normal 452 5 3" xfId="46506"/>
    <cellStyle name="Normal 452 6" xfId="46507"/>
    <cellStyle name="Normal 452 7" xfId="46508"/>
    <cellStyle name="Normal 452 8" xfId="46509"/>
    <cellStyle name="Normal 452 9" xfId="46510"/>
    <cellStyle name="Normal 4520" xfId="20750"/>
    <cellStyle name="Normal 4520 2" xfId="20751"/>
    <cellStyle name="Normal 4520 3" xfId="20752"/>
    <cellStyle name="Normal 4521" xfId="20753"/>
    <cellStyle name="Normal 4521 2" xfId="20754"/>
    <cellStyle name="Normal 4521 3" xfId="20755"/>
    <cellStyle name="Normal 4522" xfId="20756"/>
    <cellStyle name="Normal 4522 2" xfId="20757"/>
    <cellStyle name="Normal 4522 3" xfId="20758"/>
    <cellStyle name="Normal 4523" xfId="20759"/>
    <cellStyle name="Normal 4523 2" xfId="20760"/>
    <cellStyle name="Normal 4523 3" xfId="20761"/>
    <cellStyle name="Normal 4524" xfId="20762"/>
    <cellStyle name="Normal 4524 2" xfId="20763"/>
    <cellStyle name="Normal 4524 3" xfId="20764"/>
    <cellStyle name="Normal 4525" xfId="20765"/>
    <cellStyle name="Normal 4525 2" xfId="20766"/>
    <cellStyle name="Normal 4525 3" xfId="20767"/>
    <cellStyle name="Normal 4526" xfId="20768"/>
    <cellStyle name="Normal 4526 2" xfId="20769"/>
    <cellStyle name="Normal 4526 3" xfId="20770"/>
    <cellStyle name="Normal 4527" xfId="20771"/>
    <cellStyle name="Normal 4527 2" xfId="20772"/>
    <cellStyle name="Normal 4528" xfId="20773"/>
    <cellStyle name="Normal 4528 2" xfId="20774"/>
    <cellStyle name="Normal 4529" xfId="20775"/>
    <cellStyle name="Normal 4529 2" xfId="20776"/>
    <cellStyle name="Normal 453" xfId="20777"/>
    <cellStyle name="Normal 453 10" xfId="46511"/>
    <cellStyle name="Normal 453 2" xfId="20778"/>
    <cellStyle name="Normal 453 2 2" xfId="20779"/>
    <cellStyle name="Normal 453 2 2 2" xfId="46512"/>
    <cellStyle name="Normal 453 2 2 3" xfId="46513"/>
    <cellStyle name="Normal 453 2 3" xfId="20780"/>
    <cellStyle name="Normal 453 2 3 2" xfId="46514"/>
    <cellStyle name="Normal 453 2 3 3" xfId="46515"/>
    <cellStyle name="Normal 453 2 4" xfId="46516"/>
    <cellStyle name="Normal 453 2 5" xfId="46517"/>
    <cellStyle name="Normal 453 2 6" xfId="46518"/>
    <cellStyle name="Normal 453 2 7" xfId="46519"/>
    <cellStyle name="Normal 453 2 8" xfId="46520"/>
    <cellStyle name="Normal 453 3" xfId="20781"/>
    <cellStyle name="Normal 453 3 2" xfId="46521"/>
    <cellStyle name="Normal 453 3 2 2" xfId="46522"/>
    <cellStyle name="Normal 453 3 2 3" xfId="46523"/>
    <cellStyle name="Normal 453 3 3" xfId="46524"/>
    <cellStyle name="Normal 453 3 3 2" xfId="46525"/>
    <cellStyle name="Normal 453 3 3 3" xfId="46526"/>
    <cellStyle name="Normal 453 3 4" xfId="46527"/>
    <cellStyle name="Normal 453 3 5" xfId="46528"/>
    <cellStyle name="Normal 453 4" xfId="20782"/>
    <cellStyle name="Normal 453 4 2" xfId="46529"/>
    <cellStyle name="Normal 453 4 3" xfId="46530"/>
    <cellStyle name="Normal 453 5" xfId="20783"/>
    <cellStyle name="Normal 453 5 2" xfId="46531"/>
    <cellStyle name="Normal 453 5 3" xfId="46532"/>
    <cellStyle name="Normal 453 6" xfId="46533"/>
    <cellStyle name="Normal 453 7" xfId="46534"/>
    <cellStyle name="Normal 453 8" xfId="46535"/>
    <cellStyle name="Normal 453 9" xfId="46536"/>
    <cellStyle name="Normal 4530" xfId="20784"/>
    <cellStyle name="Normal 4530 2" xfId="20785"/>
    <cellStyle name="Normal 4531" xfId="20786"/>
    <cellStyle name="Normal 4531 2" xfId="20787"/>
    <cellStyle name="Normal 4532" xfId="20788"/>
    <cellStyle name="Normal 4532 2" xfId="20789"/>
    <cellStyle name="Normal 4533" xfId="20790"/>
    <cellStyle name="Normal 4533 2" xfId="20791"/>
    <cellStyle name="Normal 4534" xfId="20792"/>
    <cellStyle name="Normal 4534 2" xfId="20793"/>
    <cellStyle name="Normal 4535" xfId="20794"/>
    <cellStyle name="Normal 4535 2" xfId="20795"/>
    <cellStyle name="Normal 4536" xfId="20796"/>
    <cellStyle name="Normal 4536 2" xfId="20797"/>
    <cellStyle name="Normal 4537" xfId="20798"/>
    <cellStyle name="Normal 4537 2" xfId="20799"/>
    <cellStyle name="Normal 4538" xfId="20800"/>
    <cellStyle name="Normal 4538 2" xfId="20801"/>
    <cellStyle name="Normal 4539" xfId="20802"/>
    <cellStyle name="Normal 4539 2" xfId="20803"/>
    <cellStyle name="Normal 454" xfId="20804"/>
    <cellStyle name="Normal 454 10" xfId="46537"/>
    <cellStyle name="Normal 454 2" xfId="20805"/>
    <cellStyle name="Normal 454 2 2" xfId="20806"/>
    <cellStyle name="Normal 454 2 2 2" xfId="46538"/>
    <cellStyle name="Normal 454 2 2 3" xfId="46539"/>
    <cellStyle name="Normal 454 2 3" xfId="20807"/>
    <cellStyle name="Normal 454 2 3 2" xfId="46540"/>
    <cellStyle name="Normal 454 2 3 3" xfId="46541"/>
    <cellStyle name="Normal 454 2 4" xfId="46542"/>
    <cellStyle name="Normal 454 2 5" xfId="46543"/>
    <cellStyle name="Normal 454 2 6" xfId="46544"/>
    <cellStyle name="Normal 454 2 7" xfId="46545"/>
    <cellStyle name="Normal 454 2 8" xfId="46546"/>
    <cellStyle name="Normal 454 3" xfId="20808"/>
    <cellStyle name="Normal 454 3 2" xfId="46547"/>
    <cellStyle name="Normal 454 3 2 2" xfId="46548"/>
    <cellStyle name="Normal 454 3 2 3" xfId="46549"/>
    <cellStyle name="Normal 454 3 3" xfId="46550"/>
    <cellStyle name="Normal 454 3 3 2" xfId="46551"/>
    <cellStyle name="Normal 454 3 3 3" xfId="46552"/>
    <cellStyle name="Normal 454 3 4" xfId="46553"/>
    <cellStyle name="Normal 454 3 5" xfId="46554"/>
    <cellStyle name="Normal 454 4" xfId="20809"/>
    <cellStyle name="Normal 454 4 2" xfId="46555"/>
    <cellStyle name="Normal 454 4 3" xfId="46556"/>
    <cellStyle name="Normal 454 5" xfId="20810"/>
    <cellStyle name="Normal 454 5 2" xfId="46557"/>
    <cellStyle name="Normal 454 5 3" xfId="46558"/>
    <cellStyle name="Normal 454 6" xfId="46559"/>
    <cellStyle name="Normal 454 7" xfId="46560"/>
    <cellStyle name="Normal 454 8" xfId="46561"/>
    <cellStyle name="Normal 454 9" xfId="46562"/>
    <cellStyle name="Normal 4540" xfId="20811"/>
    <cellStyle name="Normal 4540 2" xfId="20812"/>
    <cellStyle name="Normal 4541" xfId="20813"/>
    <cellStyle name="Normal 4542" xfId="20814"/>
    <cellStyle name="Normal 4543" xfId="20815"/>
    <cellStyle name="Normal 4544" xfId="20816"/>
    <cellStyle name="Normal 4545" xfId="20817"/>
    <cellStyle name="Normal 4546" xfId="20818"/>
    <cellStyle name="Normal 4547" xfId="20819"/>
    <cellStyle name="Normal 4548" xfId="20820"/>
    <cellStyle name="Normal 4549" xfId="20821"/>
    <cellStyle name="Normal 455" xfId="20822"/>
    <cellStyle name="Normal 455 10" xfId="46563"/>
    <cellStyle name="Normal 455 2" xfId="20823"/>
    <cellStyle name="Normal 455 2 2" xfId="20824"/>
    <cellStyle name="Normal 455 2 2 2" xfId="46564"/>
    <cellStyle name="Normal 455 2 2 3" xfId="46565"/>
    <cellStyle name="Normal 455 2 3" xfId="20825"/>
    <cellStyle name="Normal 455 2 3 2" xfId="46566"/>
    <cellStyle name="Normal 455 2 3 3" xfId="46567"/>
    <cellStyle name="Normal 455 2 4" xfId="46568"/>
    <cellStyle name="Normal 455 2 5" xfId="46569"/>
    <cellStyle name="Normal 455 2 6" xfId="46570"/>
    <cellStyle name="Normal 455 2 7" xfId="46571"/>
    <cellStyle name="Normal 455 2 8" xfId="46572"/>
    <cellStyle name="Normal 455 3" xfId="20826"/>
    <cellStyle name="Normal 455 3 2" xfId="46573"/>
    <cellStyle name="Normal 455 3 2 2" xfId="46574"/>
    <cellStyle name="Normal 455 3 2 3" xfId="46575"/>
    <cellStyle name="Normal 455 3 3" xfId="46576"/>
    <cellStyle name="Normal 455 3 3 2" xfId="46577"/>
    <cellStyle name="Normal 455 3 3 3" xfId="46578"/>
    <cellStyle name="Normal 455 3 4" xfId="46579"/>
    <cellStyle name="Normal 455 3 5" xfId="46580"/>
    <cellStyle name="Normal 455 4" xfId="20827"/>
    <cellStyle name="Normal 455 4 2" xfId="46581"/>
    <cellStyle name="Normal 455 4 3" xfId="46582"/>
    <cellStyle name="Normal 455 5" xfId="20828"/>
    <cellStyle name="Normal 455 5 2" xfId="46583"/>
    <cellStyle name="Normal 455 5 3" xfId="46584"/>
    <cellStyle name="Normal 455 6" xfId="46585"/>
    <cellStyle name="Normal 455 7" xfId="46586"/>
    <cellStyle name="Normal 455 8" xfId="46587"/>
    <cellStyle name="Normal 455 9" xfId="46588"/>
    <cellStyle name="Normal 4550" xfId="20829"/>
    <cellStyle name="Normal 4551" xfId="20830"/>
    <cellStyle name="Normal 4552" xfId="20831"/>
    <cellStyle name="Normal 4553" xfId="20832"/>
    <cellStyle name="Normal 4554" xfId="20833"/>
    <cellStyle name="Normal 4555" xfId="20834"/>
    <cellStyle name="Normal 4556" xfId="20835"/>
    <cellStyle name="Normal 4557" xfId="20836"/>
    <cellStyle name="Normal 4558" xfId="20837"/>
    <cellStyle name="Normal 4559" xfId="20838"/>
    <cellStyle name="Normal 456" xfId="20839"/>
    <cellStyle name="Normal 456 10" xfId="46589"/>
    <cellStyle name="Normal 456 2" xfId="20840"/>
    <cellStyle name="Normal 456 2 2" xfId="20841"/>
    <cellStyle name="Normal 456 2 2 2" xfId="46590"/>
    <cellStyle name="Normal 456 2 2 3" xfId="46591"/>
    <cellStyle name="Normal 456 2 3" xfId="20842"/>
    <cellStyle name="Normal 456 2 3 2" xfId="46592"/>
    <cellStyle name="Normal 456 2 3 3" xfId="46593"/>
    <cellStyle name="Normal 456 2 4" xfId="46594"/>
    <cellStyle name="Normal 456 2 5" xfId="46595"/>
    <cellStyle name="Normal 456 2 6" xfId="46596"/>
    <cellStyle name="Normal 456 2 7" xfId="46597"/>
    <cellStyle name="Normal 456 2 8" xfId="46598"/>
    <cellStyle name="Normal 456 3" xfId="20843"/>
    <cellStyle name="Normal 456 3 2" xfId="46599"/>
    <cellStyle name="Normal 456 3 2 2" xfId="46600"/>
    <cellStyle name="Normal 456 3 2 3" xfId="46601"/>
    <cellStyle name="Normal 456 3 3" xfId="46602"/>
    <cellStyle name="Normal 456 3 3 2" xfId="46603"/>
    <cellStyle name="Normal 456 3 3 3" xfId="46604"/>
    <cellStyle name="Normal 456 3 4" xfId="46605"/>
    <cellStyle name="Normal 456 3 5" xfId="46606"/>
    <cellStyle name="Normal 456 4" xfId="20844"/>
    <cellStyle name="Normal 456 4 2" xfId="46607"/>
    <cellStyle name="Normal 456 4 3" xfId="46608"/>
    <cellStyle name="Normal 456 5" xfId="20845"/>
    <cellStyle name="Normal 456 5 2" xfId="46609"/>
    <cellStyle name="Normal 456 5 3" xfId="46610"/>
    <cellStyle name="Normal 456 6" xfId="46611"/>
    <cellStyle name="Normal 456 7" xfId="46612"/>
    <cellStyle name="Normal 456 8" xfId="46613"/>
    <cellStyle name="Normal 456 9" xfId="46614"/>
    <cellStyle name="Normal 4560" xfId="20846"/>
    <cellStyle name="Normal 4561" xfId="20847"/>
    <cellStyle name="Normal 4561 2" xfId="46615"/>
    <cellStyle name="Normal 4561 3" xfId="46616"/>
    <cellStyle name="Normal 4562" xfId="20848"/>
    <cellStyle name="Normal 4562 2" xfId="46617"/>
    <cellStyle name="Normal 4562 3" xfId="46618"/>
    <cellStyle name="Normal 4563" xfId="20849"/>
    <cellStyle name="Normal 4564" xfId="20850"/>
    <cellStyle name="Normal 4565" xfId="20851"/>
    <cellStyle name="Normal 4566" xfId="20852"/>
    <cellStyle name="Normal 4566 2" xfId="20853"/>
    <cellStyle name="Normal 4567" xfId="20854"/>
    <cellStyle name="Normal 4567 2" xfId="20855"/>
    <cellStyle name="Normal 4568" xfId="20856"/>
    <cellStyle name="Normal 4568 2" xfId="20857"/>
    <cellStyle name="Normal 4569" xfId="20858"/>
    <cellStyle name="Normal 4569 2" xfId="20859"/>
    <cellStyle name="Normal 457" xfId="20860"/>
    <cellStyle name="Normal 457 10" xfId="46619"/>
    <cellStyle name="Normal 457 2" xfId="20861"/>
    <cellStyle name="Normal 457 2 2" xfId="20862"/>
    <cellStyle name="Normal 457 2 2 2" xfId="46620"/>
    <cellStyle name="Normal 457 2 2 3" xfId="46621"/>
    <cellStyle name="Normal 457 2 3" xfId="20863"/>
    <cellStyle name="Normal 457 2 3 2" xfId="46622"/>
    <cellStyle name="Normal 457 2 3 3" xfId="46623"/>
    <cellStyle name="Normal 457 2 4" xfId="46624"/>
    <cellStyle name="Normal 457 2 5" xfId="46625"/>
    <cellStyle name="Normal 457 2 6" xfId="46626"/>
    <cellStyle name="Normal 457 2 7" xfId="46627"/>
    <cellStyle name="Normal 457 2 8" xfId="46628"/>
    <cellStyle name="Normal 457 3" xfId="20864"/>
    <cellStyle name="Normal 457 3 2" xfId="46629"/>
    <cellStyle name="Normal 457 3 2 2" xfId="46630"/>
    <cellStyle name="Normal 457 3 2 3" xfId="46631"/>
    <cellStyle name="Normal 457 3 3" xfId="46632"/>
    <cellStyle name="Normal 457 3 3 2" xfId="46633"/>
    <cellStyle name="Normal 457 3 3 3" xfId="46634"/>
    <cellStyle name="Normal 457 3 4" xfId="46635"/>
    <cellStyle name="Normal 457 3 5" xfId="46636"/>
    <cellStyle name="Normal 457 4" xfId="20865"/>
    <cellStyle name="Normal 457 4 2" xfId="46637"/>
    <cellStyle name="Normal 457 4 3" xfId="46638"/>
    <cellStyle name="Normal 457 5" xfId="20866"/>
    <cellStyle name="Normal 457 5 2" xfId="46639"/>
    <cellStyle name="Normal 457 5 3" xfId="46640"/>
    <cellStyle name="Normal 457 6" xfId="46641"/>
    <cellStyle name="Normal 457 7" xfId="46642"/>
    <cellStyle name="Normal 457 8" xfId="46643"/>
    <cellStyle name="Normal 457 9" xfId="46644"/>
    <cellStyle name="Normal 4570" xfId="20867"/>
    <cellStyle name="Normal 4570 2" xfId="20868"/>
    <cellStyle name="Normal 4571" xfId="20869"/>
    <cellStyle name="Normal 4571 2" xfId="20870"/>
    <cellStyle name="Normal 4572" xfId="20871"/>
    <cellStyle name="Normal 4572 2" xfId="20872"/>
    <cellStyle name="Normal 4573" xfId="20873"/>
    <cellStyle name="Normal 4573 2" xfId="20874"/>
    <cellStyle name="Normal 4574" xfId="20875"/>
    <cellStyle name="Normal 4574 2" xfId="20876"/>
    <cellStyle name="Normal 4575" xfId="20877"/>
    <cellStyle name="Normal 4575 2" xfId="20878"/>
    <cellStyle name="Normal 4576" xfId="20879"/>
    <cellStyle name="Normal 4576 2" xfId="20880"/>
    <cellStyle name="Normal 4577" xfId="20881"/>
    <cellStyle name="Normal 4577 2" xfId="20882"/>
    <cellStyle name="Normal 4578" xfId="20883"/>
    <cellStyle name="Normal 4578 2" xfId="20884"/>
    <cellStyle name="Normal 4579" xfId="20885"/>
    <cellStyle name="Normal 4579 2" xfId="20886"/>
    <cellStyle name="Normal 458" xfId="20887"/>
    <cellStyle name="Normal 458 10" xfId="46645"/>
    <cellStyle name="Normal 458 2" xfId="20888"/>
    <cellStyle name="Normal 458 2 2" xfId="20889"/>
    <cellStyle name="Normal 458 2 2 2" xfId="46646"/>
    <cellStyle name="Normal 458 2 2 3" xfId="46647"/>
    <cellStyle name="Normal 458 2 3" xfId="20890"/>
    <cellStyle name="Normal 458 2 3 2" xfId="46648"/>
    <cellStyle name="Normal 458 2 3 3" xfId="46649"/>
    <cellStyle name="Normal 458 2 4" xfId="46650"/>
    <cellStyle name="Normal 458 2 5" xfId="46651"/>
    <cellStyle name="Normal 458 2 6" xfId="46652"/>
    <cellStyle name="Normal 458 2 7" xfId="46653"/>
    <cellStyle name="Normal 458 2 8" xfId="46654"/>
    <cellStyle name="Normal 458 3" xfId="20891"/>
    <cellStyle name="Normal 458 3 2" xfId="46655"/>
    <cellStyle name="Normal 458 3 2 2" xfId="46656"/>
    <cellStyle name="Normal 458 3 2 3" xfId="46657"/>
    <cellStyle name="Normal 458 3 3" xfId="46658"/>
    <cellStyle name="Normal 458 3 3 2" xfId="46659"/>
    <cellStyle name="Normal 458 3 3 3" xfId="46660"/>
    <cellStyle name="Normal 458 3 4" xfId="46661"/>
    <cellStyle name="Normal 458 3 5" xfId="46662"/>
    <cellStyle name="Normal 458 4" xfId="20892"/>
    <cellStyle name="Normal 458 4 2" xfId="46663"/>
    <cellStyle name="Normal 458 4 3" xfId="46664"/>
    <cellStyle name="Normal 458 5" xfId="20893"/>
    <cellStyle name="Normal 458 5 2" xfId="46665"/>
    <cellStyle name="Normal 458 5 3" xfId="46666"/>
    <cellStyle name="Normal 458 6" xfId="46667"/>
    <cellStyle name="Normal 458 7" xfId="46668"/>
    <cellStyle name="Normal 458 8" xfId="46669"/>
    <cellStyle name="Normal 458 9" xfId="46670"/>
    <cellStyle name="Normal 4580" xfId="20894"/>
    <cellStyle name="Normal 4580 2" xfId="20895"/>
    <cellStyle name="Normal 4581" xfId="20896"/>
    <cellStyle name="Normal 4581 2" xfId="20897"/>
    <cellStyle name="Normal 4582" xfId="20898"/>
    <cellStyle name="Normal 4582 2" xfId="20899"/>
    <cellStyle name="Normal 4583" xfId="20900"/>
    <cellStyle name="Normal 4583 2" xfId="20901"/>
    <cellStyle name="Normal 4584" xfId="20902"/>
    <cellStyle name="Normal 4584 2" xfId="20903"/>
    <cellStyle name="Normal 4585" xfId="20904"/>
    <cellStyle name="Normal 4585 2" xfId="20905"/>
    <cellStyle name="Normal 4586" xfId="20906"/>
    <cellStyle name="Normal 4586 2" xfId="20907"/>
    <cellStyle name="Normal 4587" xfId="20908"/>
    <cellStyle name="Normal 4587 2" xfId="20909"/>
    <cellStyle name="Normal 4588" xfId="20910"/>
    <cellStyle name="Normal 4588 2" xfId="20911"/>
    <cellStyle name="Normal 4589" xfId="20912"/>
    <cellStyle name="Normal 4589 2" xfId="20913"/>
    <cellStyle name="Normal 459" xfId="20914"/>
    <cellStyle name="Normal 459 10" xfId="46671"/>
    <cellStyle name="Normal 459 2" xfId="20915"/>
    <cellStyle name="Normal 459 2 2" xfId="20916"/>
    <cellStyle name="Normal 459 2 2 2" xfId="46672"/>
    <cellStyle name="Normal 459 2 2 3" xfId="46673"/>
    <cellStyle name="Normal 459 2 3" xfId="20917"/>
    <cellStyle name="Normal 459 2 3 2" xfId="46674"/>
    <cellStyle name="Normal 459 2 3 3" xfId="46675"/>
    <cellStyle name="Normal 459 2 4" xfId="46676"/>
    <cellStyle name="Normal 459 2 5" xfId="46677"/>
    <cellStyle name="Normal 459 2 6" xfId="46678"/>
    <cellStyle name="Normal 459 2 7" xfId="46679"/>
    <cellStyle name="Normal 459 2 8" xfId="46680"/>
    <cellStyle name="Normal 459 3" xfId="20918"/>
    <cellStyle name="Normal 459 3 2" xfId="46681"/>
    <cellStyle name="Normal 459 3 2 2" xfId="46682"/>
    <cellStyle name="Normal 459 3 2 3" xfId="46683"/>
    <cellStyle name="Normal 459 3 3" xfId="46684"/>
    <cellStyle name="Normal 459 3 3 2" xfId="46685"/>
    <cellStyle name="Normal 459 3 3 3" xfId="46686"/>
    <cellStyle name="Normal 459 3 4" xfId="46687"/>
    <cellStyle name="Normal 459 3 5" xfId="46688"/>
    <cellStyle name="Normal 459 4" xfId="20919"/>
    <cellStyle name="Normal 459 4 2" xfId="46689"/>
    <cellStyle name="Normal 459 4 3" xfId="46690"/>
    <cellStyle name="Normal 459 5" xfId="20920"/>
    <cellStyle name="Normal 459 5 2" xfId="46691"/>
    <cellStyle name="Normal 459 5 3" xfId="46692"/>
    <cellStyle name="Normal 459 6" xfId="46693"/>
    <cellStyle name="Normal 459 7" xfId="46694"/>
    <cellStyle name="Normal 459 8" xfId="46695"/>
    <cellStyle name="Normal 459 9" xfId="46696"/>
    <cellStyle name="Normal 4590" xfId="20921"/>
    <cellStyle name="Normal 4590 2" xfId="20922"/>
    <cellStyle name="Normal 4591" xfId="20923"/>
    <cellStyle name="Normal 4591 2" xfId="20924"/>
    <cellStyle name="Normal 4592" xfId="20925"/>
    <cellStyle name="Normal 4592 2" xfId="20926"/>
    <cellStyle name="Normal 4593" xfId="20927"/>
    <cellStyle name="Normal 4593 2" xfId="20928"/>
    <cellStyle name="Normal 4594" xfId="20929"/>
    <cellStyle name="Normal 4594 2" xfId="20930"/>
    <cellStyle name="Normal 4595" xfId="20931"/>
    <cellStyle name="Normal 4595 2" xfId="20932"/>
    <cellStyle name="Normal 4596" xfId="20933"/>
    <cellStyle name="Normal 4596 2" xfId="20934"/>
    <cellStyle name="Normal 4597" xfId="20935"/>
    <cellStyle name="Normal 4597 2" xfId="20936"/>
    <cellStyle name="Normal 4598" xfId="20937"/>
    <cellStyle name="Normal 4598 2" xfId="20938"/>
    <cellStyle name="Normal 4599" xfId="20939"/>
    <cellStyle name="Normal 4599 2" xfId="20940"/>
    <cellStyle name="Normal 46" xfId="20941"/>
    <cellStyle name="Normal 46 10" xfId="46697"/>
    <cellStyle name="Normal 46 2" xfId="20942"/>
    <cellStyle name="Normal 46 2 2" xfId="20943"/>
    <cellStyle name="Normal 46 2 2 2" xfId="20944"/>
    <cellStyle name="Normal 46 2 2 3" xfId="20945"/>
    <cellStyle name="Normal 46 2 3" xfId="20946"/>
    <cellStyle name="Normal 46 2 3 2" xfId="46698"/>
    <cellStyle name="Normal 46 2 3 3" xfId="46699"/>
    <cellStyle name="Normal 46 2 4" xfId="20947"/>
    <cellStyle name="Normal 46 2 5" xfId="20948"/>
    <cellStyle name="Normal 46 2 6" xfId="46700"/>
    <cellStyle name="Normal 46 2 7" xfId="46701"/>
    <cellStyle name="Normal 46 2 8" xfId="46702"/>
    <cellStyle name="Normal 46 3" xfId="20949"/>
    <cellStyle name="Normal 46 3 2" xfId="20950"/>
    <cellStyle name="Normal 46 3 2 2" xfId="46703"/>
    <cellStyle name="Normal 46 3 2 3" xfId="46704"/>
    <cellStyle name="Normal 46 3 3" xfId="20951"/>
    <cellStyle name="Normal 46 3 3 2" xfId="46705"/>
    <cellStyle name="Normal 46 3 3 3" xfId="46706"/>
    <cellStyle name="Normal 46 3 4" xfId="46707"/>
    <cellStyle name="Normal 46 3 5" xfId="46708"/>
    <cellStyle name="Normal 46 4" xfId="20952"/>
    <cellStyle name="Normal 46 4 2" xfId="46709"/>
    <cellStyle name="Normal 46 4 3" xfId="46710"/>
    <cellStyle name="Normal 46 5" xfId="20953"/>
    <cellStyle name="Normal 46 5 2" xfId="46711"/>
    <cellStyle name="Normal 46 5 3" xfId="46712"/>
    <cellStyle name="Normal 46 6" xfId="20954"/>
    <cellStyle name="Normal 46 7" xfId="46713"/>
    <cellStyle name="Normal 46 8" xfId="46714"/>
    <cellStyle name="Normal 46 9" xfId="46715"/>
    <cellStyle name="Normal 460" xfId="20955"/>
    <cellStyle name="Normal 460 10" xfId="46716"/>
    <cellStyle name="Normal 460 2" xfId="20956"/>
    <cellStyle name="Normal 460 2 2" xfId="20957"/>
    <cellStyle name="Normal 460 2 2 2" xfId="46717"/>
    <cellStyle name="Normal 460 2 2 3" xfId="46718"/>
    <cellStyle name="Normal 460 2 3" xfId="20958"/>
    <cellStyle name="Normal 460 2 3 2" xfId="46719"/>
    <cellStyle name="Normal 460 2 3 3" xfId="46720"/>
    <cellStyle name="Normal 460 2 4" xfId="46721"/>
    <cellStyle name="Normal 460 2 5" xfId="46722"/>
    <cellStyle name="Normal 460 2 6" xfId="46723"/>
    <cellStyle name="Normal 460 2 7" xfId="46724"/>
    <cellStyle name="Normal 460 2 8" xfId="46725"/>
    <cellStyle name="Normal 460 3" xfId="20959"/>
    <cellStyle name="Normal 460 3 2" xfId="46726"/>
    <cellStyle name="Normal 460 3 2 2" xfId="46727"/>
    <cellStyle name="Normal 460 3 2 3" xfId="46728"/>
    <cellStyle name="Normal 460 3 3" xfId="46729"/>
    <cellStyle name="Normal 460 3 3 2" xfId="46730"/>
    <cellStyle name="Normal 460 3 3 3" xfId="46731"/>
    <cellStyle name="Normal 460 3 4" xfId="46732"/>
    <cellStyle name="Normal 460 3 5" xfId="46733"/>
    <cellStyle name="Normal 460 4" xfId="20960"/>
    <cellStyle name="Normal 460 4 2" xfId="46734"/>
    <cellStyle name="Normal 460 4 3" xfId="46735"/>
    <cellStyle name="Normal 460 5" xfId="20961"/>
    <cellStyle name="Normal 460 5 2" xfId="46736"/>
    <cellStyle name="Normal 460 5 3" xfId="46737"/>
    <cellStyle name="Normal 460 6" xfId="46738"/>
    <cellStyle name="Normal 460 7" xfId="46739"/>
    <cellStyle name="Normal 460 8" xfId="46740"/>
    <cellStyle name="Normal 460 9" xfId="46741"/>
    <cellStyle name="Normal 4600" xfId="20962"/>
    <cellStyle name="Normal 4600 2" xfId="20963"/>
    <cellStyle name="Normal 4601" xfId="20964"/>
    <cellStyle name="Normal 4601 2" xfId="20965"/>
    <cellStyle name="Normal 4602" xfId="20966"/>
    <cellStyle name="Normal 4602 2" xfId="20967"/>
    <cellStyle name="Normal 4603" xfId="20968"/>
    <cellStyle name="Normal 4603 2" xfId="20969"/>
    <cellStyle name="Normal 4604" xfId="20970"/>
    <cellStyle name="Normal 4604 2" xfId="20971"/>
    <cellStyle name="Normal 4605" xfId="20972"/>
    <cellStyle name="Normal 4605 2" xfId="20973"/>
    <cellStyle name="Normal 4606" xfId="20974"/>
    <cellStyle name="Normal 4606 2" xfId="20975"/>
    <cellStyle name="Normal 4607" xfId="20976"/>
    <cellStyle name="Normal 4607 2" xfId="20977"/>
    <cellStyle name="Normal 4608" xfId="20978"/>
    <cellStyle name="Normal 4608 2" xfId="20979"/>
    <cellStyle name="Normal 4609" xfId="20980"/>
    <cellStyle name="Normal 4609 2" xfId="20981"/>
    <cellStyle name="Normal 461" xfId="20982"/>
    <cellStyle name="Normal 461 10" xfId="46742"/>
    <cellStyle name="Normal 461 2" xfId="20983"/>
    <cellStyle name="Normal 461 2 2" xfId="20984"/>
    <cellStyle name="Normal 461 2 2 2" xfId="46743"/>
    <cellStyle name="Normal 461 2 2 3" xfId="46744"/>
    <cellStyle name="Normal 461 2 3" xfId="20985"/>
    <cellStyle name="Normal 461 2 3 2" xfId="46745"/>
    <cellStyle name="Normal 461 2 3 3" xfId="46746"/>
    <cellStyle name="Normal 461 2 4" xfId="46747"/>
    <cellStyle name="Normal 461 2 5" xfId="46748"/>
    <cellStyle name="Normal 461 2 6" xfId="46749"/>
    <cellStyle name="Normal 461 2 7" xfId="46750"/>
    <cellStyle name="Normal 461 2 8" xfId="46751"/>
    <cellStyle name="Normal 461 3" xfId="20986"/>
    <cellStyle name="Normal 461 3 2" xfId="46752"/>
    <cellStyle name="Normal 461 3 2 2" xfId="46753"/>
    <cellStyle name="Normal 461 3 2 3" xfId="46754"/>
    <cellStyle name="Normal 461 3 3" xfId="46755"/>
    <cellStyle name="Normal 461 3 3 2" xfId="46756"/>
    <cellStyle name="Normal 461 3 3 3" xfId="46757"/>
    <cellStyle name="Normal 461 3 4" xfId="46758"/>
    <cellStyle name="Normal 461 3 5" xfId="46759"/>
    <cellStyle name="Normal 461 4" xfId="20987"/>
    <cellStyle name="Normal 461 4 2" xfId="46760"/>
    <cellStyle name="Normal 461 4 3" xfId="46761"/>
    <cellStyle name="Normal 461 5" xfId="20988"/>
    <cellStyle name="Normal 461 5 2" xfId="46762"/>
    <cellStyle name="Normal 461 5 3" xfId="46763"/>
    <cellStyle name="Normal 461 6" xfId="46764"/>
    <cellStyle name="Normal 461 7" xfId="46765"/>
    <cellStyle name="Normal 461 8" xfId="46766"/>
    <cellStyle name="Normal 461 9" xfId="46767"/>
    <cellStyle name="Normal 4610" xfId="20989"/>
    <cellStyle name="Normal 4610 2" xfId="20990"/>
    <cellStyle name="Normal 4611" xfId="20991"/>
    <cellStyle name="Normal 4611 2" xfId="20992"/>
    <cellStyle name="Normal 4612" xfId="20993"/>
    <cellStyle name="Normal 4612 2" xfId="20994"/>
    <cellStyle name="Normal 4613" xfId="20995"/>
    <cellStyle name="Normal 4613 2" xfId="20996"/>
    <cellStyle name="Normal 4614" xfId="20997"/>
    <cellStyle name="Normal 4614 2" xfId="20998"/>
    <cellStyle name="Normal 4615" xfId="20999"/>
    <cellStyle name="Normal 4615 2" xfId="21000"/>
    <cellStyle name="Normal 4616" xfId="21001"/>
    <cellStyle name="Normal 4616 2" xfId="21002"/>
    <cellStyle name="Normal 4617" xfId="21003"/>
    <cellStyle name="Normal 4617 2" xfId="21004"/>
    <cellStyle name="Normal 4618" xfId="21005"/>
    <cellStyle name="Normal 4618 2" xfId="21006"/>
    <cellStyle name="Normal 4619" xfId="21007"/>
    <cellStyle name="Normal 4619 2" xfId="21008"/>
    <cellStyle name="Normal 462" xfId="21009"/>
    <cellStyle name="Normal 462 10" xfId="46768"/>
    <cellStyle name="Normal 462 2" xfId="21010"/>
    <cellStyle name="Normal 462 2 2" xfId="21011"/>
    <cellStyle name="Normal 462 2 2 2" xfId="46769"/>
    <cellStyle name="Normal 462 2 2 3" xfId="46770"/>
    <cellStyle name="Normal 462 2 3" xfId="21012"/>
    <cellStyle name="Normal 462 2 3 2" xfId="46771"/>
    <cellStyle name="Normal 462 2 3 3" xfId="46772"/>
    <cellStyle name="Normal 462 2 4" xfId="46773"/>
    <cellStyle name="Normal 462 2 5" xfId="46774"/>
    <cellStyle name="Normal 462 2 6" xfId="46775"/>
    <cellStyle name="Normal 462 2 7" xfId="46776"/>
    <cellStyle name="Normal 462 2 8" xfId="46777"/>
    <cellStyle name="Normal 462 3" xfId="21013"/>
    <cellStyle name="Normal 462 3 2" xfId="46778"/>
    <cellStyle name="Normal 462 3 2 2" xfId="46779"/>
    <cellStyle name="Normal 462 3 2 3" xfId="46780"/>
    <cellStyle name="Normal 462 3 3" xfId="46781"/>
    <cellStyle name="Normal 462 3 3 2" xfId="46782"/>
    <cellStyle name="Normal 462 3 3 3" xfId="46783"/>
    <cellStyle name="Normal 462 3 4" xfId="46784"/>
    <cellStyle name="Normal 462 3 5" xfId="46785"/>
    <cellStyle name="Normal 462 4" xfId="21014"/>
    <cellStyle name="Normal 462 4 2" xfId="46786"/>
    <cellStyle name="Normal 462 4 3" xfId="46787"/>
    <cellStyle name="Normal 462 5" xfId="21015"/>
    <cellStyle name="Normal 462 5 2" xfId="46788"/>
    <cellStyle name="Normal 462 5 3" xfId="46789"/>
    <cellStyle name="Normal 462 6" xfId="46790"/>
    <cellStyle name="Normal 462 7" xfId="46791"/>
    <cellStyle name="Normal 462 8" xfId="46792"/>
    <cellStyle name="Normal 462 9" xfId="46793"/>
    <cellStyle name="Normal 4620" xfId="21016"/>
    <cellStyle name="Normal 4620 2" xfId="21017"/>
    <cellStyle name="Normal 4621" xfId="21018"/>
    <cellStyle name="Normal 4621 2" xfId="21019"/>
    <cellStyle name="Normal 4622" xfId="21020"/>
    <cellStyle name="Normal 4622 2" xfId="21021"/>
    <cellStyle name="Normal 4623" xfId="21022"/>
    <cellStyle name="Normal 4623 2" xfId="21023"/>
    <cellStyle name="Normal 4624" xfId="21024"/>
    <cellStyle name="Normal 4624 2" xfId="21025"/>
    <cellStyle name="Normal 4625" xfId="21026"/>
    <cellStyle name="Normal 4625 2" xfId="21027"/>
    <cellStyle name="Normal 4626" xfId="21028"/>
    <cellStyle name="Normal 4626 2" xfId="21029"/>
    <cellStyle name="Normal 4627" xfId="21030"/>
    <cellStyle name="Normal 4627 2" xfId="21031"/>
    <cellStyle name="Normal 4628" xfId="21032"/>
    <cellStyle name="Normal 4628 2" xfId="21033"/>
    <cellStyle name="Normal 4629" xfId="21034"/>
    <cellStyle name="Normal 4629 2" xfId="21035"/>
    <cellStyle name="Normal 463" xfId="21036"/>
    <cellStyle name="Normal 463 10" xfId="46794"/>
    <cellStyle name="Normal 463 2" xfId="21037"/>
    <cellStyle name="Normal 463 2 2" xfId="21038"/>
    <cellStyle name="Normal 463 2 2 2" xfId="46795"/>
    <cellStyle name="Normal 463 2 2 3" xfId="46796"/>
    <cellStyle name="Normal 463 2 3" xfId="21039"/>
    <cellStyle name="Normal 463 2 3 2" xfId="46797"/>
    <cellStyle name="Normal 463 2 3 3" xfId="46798"/>
    <cellStyle name="Normal 463 2 4" xfId="46799"/>
    <cellStyle name="Normal 463 2 5" xfId="46800"/>
    <cellStyle name="Normal 463 2 6" xfId="46801"/>
    <cellStyle name="Normal 463 2 7" xfId="46802"/>
    <cellStyle name="Normal 463 2 8" xfId="46803"/>
    <cellStyle name="Normal 463 3" xfId="21040"/>
    <cellStyle name="Normal 463 3 2" xfId="46804"/>
    <cellStyle name="Normal 463 3 2 2" xfId="46805"/>
    <cellStyle name="Normal 463 3 2 3" xfId="46806"/>
    <cellStyle name="Normal 463 3 3" xfId="46807"/>
    <cellStyle name="Normal 463 3 3 2" xfId="46808"/>
    <cellStyle name="Normal 463 3 3 3" xfId="46809"/>
    <cellStyle name="Normal 463 3 4" xfId="46810"/>
    <cellStyle name="Normal 463 3 5" xfId="46811"/>
    <cellStyle name="Normal 463 4" xfId="21041"/>
    <cellStyle name="Normal 463 4 2" xfId="46812"/>
    <cellStyle name="Normal 463 4 3" xfId="46813"/>
    <cellStyle name="Normal 463 5" xfId="21042"/>
    <cellStyle name="Normal 463 5 2" xfId="46814"/>
    <cellStyle name="Normal 463 5 3" xfId="46815"/>
    <cellStyle name="Normal 463 6" xfId="46816"/>
    <cellStyle name="Normal 463 7" xfId="46817"/>
    <cellStyle name="Normal 463 8" xfId="46818"/>
    <cellStyle name="Normal 463 9" xfId="46819"/>
    <cellStyle name="Normal 4630" xfId="21043"/>
    <cellStyle name="Normal 4630 2" xfId="21044"/>
    <cellStyle name="Normal 4631" xfId="21045"/>
    <cellStyle name="Normal 4631 2" xfId="21046"/>
    <cellStyle name="Normal 4632" xfId="21047"/>
    <cellStyle name="Normal 4632 2" xfId="21048"/>
    <cellStyle name="Normal 4632 2 2" xfId="46820"/>
    <cellStyle name="Normal 4632 2 3" xfId="46821"/>
    <cellStyle name="Normal 4632 3" xfId="46822"/>
    <cellStyle name="Normal 4632 4" xfId="46823"/>
    <cellStyle name="Normal 4633" xfId="21049"/>
    <cellStyle name="Normal 4633 2" xfId="21050"/>
    <cellStyle name="Normal 4634" xfId="21051"/>
    <cellStyle name="Normal 4634 2" xfId="21052"/>
    <cellStyle name="Normal 4635" xfId="21053"/>
    <cellStyle name="Normal 4635 2" xfId="21054"/>
    <cellStyle name="Normal 4636" xfId="21055"/>
    <cellStyle name="Normal 4636 2" xfId="21056"/>
    <cellStyle name="Normal 4637" xfId="21057"/>
    <cellStyle name="Normal 4637 2" xfId="21058"/>
    <cellStyle name="Normal 4638" xfId="21059"/>
    <cellStyle name="Normal 4638 2" xfId="21060"/>
    <cellStyle name="Normal 4639" xfId="21061"/>
    <cellStyle name="Normal 4639 2" xfId="21062"/>
    <cellStyle name="Normal 464" xfId="21063"/>
    <cellStyle name="Normal 464 10" xfId="46824"/>
    <cellStyle name="Normal 464 2" xfId="21064"/>
    <cellStyle name="Normal 464 2 2" xfId="21065"/>
    <cellStyle name="Normal 464 2 2 2" xfId="46825"/>
    <cellStyle name="Normal 464 2 2 3" xfId="46826"/>
    <cellStyle name="Normal 464 2 3" xfId="21066"/>
    <cellStyle name="Normal 464 2 3 2" xfId="46827"/>
    <cellStyle name="Normal 464 2 3 3" xfId="46828"/>
    <cellStyle name="Normal 464 2 4" xfId="46829"/>
    <cellStyle name="Normal 464 2 5" xfId="46830"/>
    <cellStyle name="Normal 464 2 6" xfId="46831"/>
    <cellStyle name="Normal 464 2 7" xfId="46832"/>
    <cellStyle name="Normal 464 2 8" xfId="46833"/>
    <cellStyle name="Normal 464 3" xfId="21067"/>
    <cellStyle name="Normal 464 3 2" xfId="46834"/>
    <cellStyle name="Normal 464 3 2 2" xfId="46835"/>
    <cellStyle name="Normal 464 3 2 3" xfId="46836"/>
    <cellStyle name="Normal 464 3 3" xfId="46837"/>
    <cellStyle name="Normal 464 3 3 2" xfId="46838"/>
    <cellStyle name="Normal 464 3 3 3" xfId="46839"/>
    <cellStyle name="Normal 464 3 4" xfId="46840"/>
    <cellStyle name="Normal 464 3 5" xfId="46841"/>
    <cellStyle name="Normal 464 4" xfId="21068"/>
    <cellStyle name="Normal 464 4 2" xfId="46842"/>
    <cellStyle name="Normal 464 4 3" xfId="46843"/>
    <cellStyle name="Normal 464 5" xfId="21069"/>
    <cellStyle name="Normal 464 5 2" xfId="46844"/>
    <cellStyle name="Normal 464 5 3" xfId="46845"/>
    <cellStyle name="Normal 464 6" xfId="46846"/>
    <cellStyle name="Normal 464 7" xfId="46847"/>
    <cellStyle name="Normal 464 8" xfId="46848"/>
    <cellStyle name="Normal 464 9" xfId="46849"/>
    <cellStyle name="Normal 4640" xfId="21070"/>
    <cellStyle name="Normal 4640 2" xfId="21071"/>
    <cellStyle name="Normal 4641" xfId="21072"/>
    <cellStyle name="Normal 4641 2" xfId="21073"/>
    <cellStyle name="Normal 4642" xfId="21074"/>
    <cellStyle name="Normal 4642 2" xfId="21075"/>
    <cellStyle name="Normal 4643" xfId="21076"/>
    <cellStyle name="Normal 4643 2" xfId="21077"/>
    <cellStyle name="Normal 4644" xfId="21078"/>
    <cellStyle name="Normal 4644 2" xfId="21079"/>
    <cellStyle name="Normal 4645" xfId="21080"/>
    <cellStyle name="Normal 4645 2" xfId="21081"/>
    <cellStyle name="Normal 4646" xfId="21082"/>
    <cellStyle name="Normal 4646 2" xfId="21083"/>
    <cellStyle name="Normal 4647" xfId="21084"/>
    <cellStyle name="Normal 4647 2" xfId="21085"/>
    <cellStyle name="Normal 4648" xfId="21086"/>
    <cellStyle name="Normal 4648 2" xfId="21087"/>
    <cellStyle name="Normal 4648 3" xfId="21088"/>
    <cellStyle name="Normal 4649" xfId="21089"/>
    <cellStyle name="Normal 4649 2" xfId="21090"/>
    <cellStyle name="Normal 465" xfId="21091"/>
    <cellStyle name="Normal 465 10" xfId="46850"/>
    <cellStyle name="Normal 465 2" xfId="21092"/>
    <cellStyle name="Normal 465 2 2" xfId="21093"/>
    <cellStyle name="Normal 465 2 2 2" xfId="46851"/>
    <cellStyle name="Normal 465 2 2 3" xfId="46852"/>
    <cellStyle name="Normal 465 2 3" xfId="21094"/>
    <cellStyle name="Normal 465 2 3 2" xfId="46853"/>
    <cellStyle name="Normal 465 2 3 3" xfId="46854"/>
    <cellStyle name="Normal 465 2 4" xfId="46855"/>
    <cellStyle name="Normal 465 2 5" xfId="46856"/>
    <cellStyle name="Normal 465 2 6" xfId="46857"/>
    <cellStyle name="Normal 465 2 7" xfId="46858"/>
    <cellStyle name="Normal 465 2 8" xfId="46859"/>
    <cellStyle name="Normal 465 3" xfId="21095"/>
    <cellStyle name="Normal 465 3 2" xfId="46860"/>
    <cellStyle name="Normal 465 3 2 2" xfId="46861"/>
    <cellStyle name="Normal 465 3 2 3" xfId="46862"/>
    <cellStyle name="Normal 465 3 3" xfId="46863"/>
    <cellStyle name="Normal 465 3 3 2" xfId="46864"/>
    <cellStyle name="Normal 465 3 3 3" xfId="46865"/>
    <cellStyle name="Normal 465 3 4" xfId="46866"/>
    <cellStyle name="Normal 465 3 5" xfId="46867"/>
    <cellStyle name="Normal 465 4" xfId="21096"/>
    <cellStyle name="Normal 465 4 2" xfId="46868"/>
    <cellStyle name="Normal 465 4 3" xfId="46869"/>
    <cellStyle name="Normal 465 5" xfId="21097"/>
    <cellStyle name="Normal 465 5 2" xfId="46870"/>
    <cellStyle name="Normal 465 5 3" xfId="46871"/>
    <cellStyle name="Normal 465 6" xfId="46872"/>
    <cellStyle name="Normal 465 7" xfId="46873"/>
    <cellStyle name="Normal 465 8" xfId="46874"/>
    <cellStyle name="Normal 465 9" xfId="46875"/>
    <cellStyle name="Normal 4650" xfId="21098"/>
    <cellStyle name="Normal 4650 2" xfId="21099"/>
    <cellStyle name="Normal 4651" xfId="21100"/>
    <cellStyle name="Normal 4651 2" xfId="21101"/>
    <cellStyle name="Normal 4652" xfId="21102"/>
    <cellStyle name="Normal 4652 2" xfId="21103"/>
    <cellStyle name="Normal 4653" xfId="21104"/>
    <cellStyle name="Normal 4653 2" xfId="21105"/>
    <cellStyle name="Normal 4654" xfId="21106"/>
    <cellStyle name="Normal 4654 2" xfId="21107"/>
    <cellStyle name="Normal 4655" xfId="21108"/>
    <cellStyle name="Normal 4655 2" xfId="21109"/>
    <cellStyle name="Normal 4656" xfId="21110"/>
    <cellStyle name="Normal 4656 2" xfId="21111"/>
    <cellStyle name="Normal 4657" xfId="21112"/>
    <cellStyle name="Normal 4657 2" xfId="21113"/>
    <cellStyle name="Normal 4658" xfId="21114"/>
    <cellStyle name="Normal 4658 2" xfId="21115"/>
    <cellStyle name="Normal 4659" xfId="21116"/>
    <cellStyle name="Normal 4659 2" xfId="21117"/>
    <cellStyle name="Normal 466" xfId="21118"/>
    <cellStyle name="Normal 466 10" xfId="46876"/>
    <cellStyle name="Normal 466 2" xfId="21119"/>
    <cellStyle name="Normal 466 2 2" xfId="21120"/>
    <cellStyle name="Normal 466 2 2 2" xfId="46877"/>
    <cellStyle name="Normal 466 2 2 3" xfId="46878"/>
    <cellStyle name="Normal 466 2 3" xfId="21121"/>
    <cellStyle name="Normal 466 2 3 2" xfId="46879"/>
    <cellStyle name="Normal 466 2 3 3" xfId="46880"/>
    <cellStyle name="Normal 466 2 4" xfId="46881"/>
    <cellStyle name="Normal 466 2 5" xfId="46882"/>
    <cellStyle name="Normal 466 2 6" xfId="46883"/>
    <cellStyle name="Normal 466 2 7" xfId="46884"/>
    <cellStyle name="Normal 466 2 8" xfId="46885"/>
    <cellStyle name="Normal 466 3" xfId="21122"/>
    <cellStyle name="Normal 466 3 2" xfId="46886"/>
    <cellStyle name="Normal 466 3 2 2" xfId="46887"/>
    <cellStyle name="Normal 466 3 2 3" xfId="46888"/>
    <cellStyle name="Normal 466 3 3" xfId="46889"/>
    <cellStyle name="Normal 466 3 3 2" xfId="46890"/>
    <cellStyle name="Normal 466 3 3 3" xfId="46891"/>
    <cellStyle name="Normal 466 3 4" xfId="46892"/>
    <cellStyle name="Normal 466 3 5" xfId="46893"/>
    <cellStyle name="Normal 466 4" xfId="21123"/>
    <cellStyle name="Normal 466 4 2" xfId="46894"/>
    <cellStyle name="Normal 466 4 3" xfId="46895"/>
    <cellStyle name="Normal 466 5" xfId="21124"/>
    <cellStyle name="Normal 466 5 2" xfId="46896"/>
    <cellStyle name="Normal 466 5 3" xfId="46897"/>
    <cellStyle name="Normal 466 6" xfId="46898"/>
    <cellStyle name="Normal 466 7" xfId="46899"/>
    <cellStyle name="Normal 466 8" xfId="46900"/>
    <cellStyle name="Normal 466 9" xfId="46901"/>
    <cellStyle name="Normal 4660" xfId="21125"/>
    <cellStyle name="Normal 4660 2" xfId="21126"/>
    <cellStyle name="Normal 4661" xfId="21127"/>
    <cellStyle name="Normal 4661 2" xfId="21128"/>
    <cellStyle name="Normal 4662" xfId="21129"/>
    <cellStyle name="Normal 4662 2" xfId="21130"/>
    <cellStyle name="Normal 4663" xfId="21131"/>
    <cellStyle name="Normal 4663 2" xfId="21132"/>
    <cellStyle name="Normal 4664" xfId="21133"/>
    <cellStyle name="Normal 4664 2" xfId="21134"/>
    <cellStyle name="Normal 4665" xfId="21135"/>
    <cellStyle name="Normal 4665 2" xfId="21136"/>
    <cellStyle name="Normal 4666" xfId="21137"/>
    <cellStyle name="Normal 4666 2" xfId="21138"/>
    <cellStyle name="Normal 4667" xfId="21139"/>
    <cellStyle name="Normal 4667 2" xfId="21140"/>
    <cellStyle name="Normal 4668" xfId="21141"/>
    <cellStyle name="Normal 4668 2" xfId="21142"/>
    <cellStyle name="Normal 4669" xfId="21143"/>
    <cellStyle name="Normal 4669 2" xfId="21144"/>
    <cellStyle name="Normal 467" xfId="21145"/>
    <cellStyle name="Normal 467 10" xfId="46902"/>
    <cellStyle name="Normal 467 2" xfId="21146"/>
    <cellStyle name="Normal 467 2 2" xfId="21147"/>
    <cellStyle name="Normal 467 2 2 2" xfId="46903"/>
    <cellStyle name="Normal 467 2 2 3" xfId="46904"/>
    <cellStyle name="Normal 467 2 3" xfId="21148"/>
    <cellStyle name="Normal 467 2 3 2" xfId="46905"/>
    <cellStyle name="Normal 467 2 3 3" xfId="46906"/>
    <cellStyle name="Normal 467 2 4" xfId="46907"/>
    <cellStyle name="Normal 467 2 5" xfId="46908"/>
    <cellStyle name="Normal 467 2 6" xfId="46909"/>
    <cellStyle name="Normal 467 2 7" xfId="46910"/>
    <cellStyle name="Normal 467 2 8" xfId="46911"/>
    <cellStyle name="Normal 467 3" xfId="21149"/>
    <cellStyle name="Normal 467 3 2" xfId="46912"/>
    <cellStyle name="Normal 467 3 2 2" xfId="46913"/>
    <cellStyle name="Normal 467 3 2 3" xfId="46914"/>
    <cellStyle name="Normal 467 3 3" xfId="46915"/>
    <cellStyle name="Normal 467 3 3 2" xfId="46916"/>
    <cellStyle name="Normal 467 3 3 3" xfId="46917"/>
    <cellStyle name="Normal 467 3 4" xfId="46918"/>
    <cellStyle name="Normal 467 3 5" xfId="46919"/>
    <cellStyle name="Normal 467 4" xfId="21150"/>
    <cellStyle name="Normal 467 4 2" xfId="46920"/>
    <cellStyle name="Normal 467 4 3" xfId="46921"/>
    <cellStyle name="Normal 467 5" xfId="21151"/>
    <cellStyle name="Normal 467 5 2" xfId="46922"/>
    <cellStyle name="Normal 467 5 3" xfId="46923"/>
    <cellStyle name="Normal 467 6" xfId="46924"/>
    <cellStyle name="Normal 467 7" xfId="46925"/>
    <cellStyle name="Normal 467 8" xfId="46926"/>
    <cellStyle name="Normal 467 9" xfId="46927"/>
    <cellStyle name="Normal 4670" xfId="21152"/>
    <cellStyle name="Normal 4670 2" xfId="21153"/>
    <cellStyle name="Normal 4671" xfId="21154"/>
    <cellStyle name="Normal 4671 2" xfId="21155"/>
    <cellStyle name="Normal 4672" xfId="21156"/>
    <cellStyle name="Normal 4672 2" xfId="21157"/>
    <cellStyle name="Normal 4673" xfId="21158"/>
    <cellStyle name="Normal 4673 2" xfId="21159"/>
    <cellStyle name="Normal 4674" xfId="21160"/>
    <cellStyle name="Normal 4674 2" xfId="21161"/>
    <cellStyle name="Normal 4675" xfId="21162"/>
    <cellStyle name="Normal 4675 2" xfId="21163"/>
    <cellStyle name="Normal 4676" xfId="21164"/>
    <cellStyle name="Normal 4676 2" xfId="21165"/>
    <cellStyle name="Normal 4677" xfId="21166"/>
    <cellStyle name="Normal 4677 2" xfId="21167"/>
    <cellStyle name="Normal 4677 3" xfId="21168"/>
    <cellStyle name="Normal 4678" xfId="21169"/>
    <cellStyle name="Normal 4678 2" xfId="21170"/>
    <cellStyle name="Normal 4679" xfId="21171"/>
    <cellStyle name="Normal 4679 2" xfId="21172"/>
    <cellStyle name="Normal 468" xfId="21173"/>
    <cellStyle name="Normal 468 10" xfId="46928"/>
    <cellStyle name="Normal 468 2" xfId="21174"/>
    <cellStyle name="Normal 468 2 2" xfId="21175"/>
    <cellStyle name="Normal 468 2 2 2" xfId="46929"/>
    <cellStyle name="Normal 468 2 2 3" xfId="46930"/>
    <cellStyle name="Normal 468 2 3" xfId="21176"/>
    <cellStyle name="Normal 468 2 3 2" xfId="46931"/>
    <cellStyle name="Normal 468 2 3 3" xfId="46932"/>
    <cellStyle name="Normal 468 2 4" xfId="46933"/>
    <cellStyle name="Normal 468 2 5" xfId="46934"/>
    <cellStyle name="Normal 468 2 6" xfId="46935"/>
    <cellStyle name="Normal 468 2 7" xfId="46936"/>
    <cellStyle name="Normal 468 2 8" xfId="46937"/>
    <cellStyle name="Normal 468 3" xfId="21177"/>
    <cellStyle name="Normal 468 3 2" xfId="46938"/>
    <cellStyle name="Normal 468 3 2 2" xfId="46939"/>
    <cellStyle name="Normal 468 3 2 3" xfId="46940"/>
    <cellStyle name="Normal 468 3 3" xfId="46941"/>
    <cellStyle name="Normal 468 3 3 2" xfId="46942"/>
    <cellStyle name="Normal 468 3 3 3" xfId="46943"/>
    <cellStyle name="Normal 468 3 4" xfId="46944"/>
    <cellStyle name="Normal 468 3 5" xfId="46945"/>
    <cellStyle name="Normal 468 4" xfId="21178"/>
    <cellStyle name="Normal 468 4 2" xfId="46946"/>
    <cellStyle name="Normal 468 4 3" xfId="46947"/>
    <cellStyle name="Normal 468 5" xfId="21179"/>
    <cellStyle name="Normal 468 5 2" xfId="46948"/>
    <cellStyle name="Normal 468 5 3" xfId="46949"/>
    <cellStyle name="Normal 468 6" xfId="46950"/>
    <cellStyle name="Normal 468 7" xfId="46951"/>
    <cellStyle name="Normal 468 8" xfId="46952"/>
    <cellStyle name="Normal 468 9" xfId="46953"/>
    <cellStyle name="Normal 4680" xfId="21180"/>
    <cellStyle name="Normal 4680 2" xfId="21181"/>
    <cellStyle name="Normal 4681" xfId="21182"/>
    <cellStyle name="Normal 4681 2" xfId="21183"/>
    <cellStyle name="Normal 4682" xfId="21184"/>
    <cellStyle name="Normal 4682 2" xfId="21185"/>
    <cellStyle name="Normal 4683" xfId="21186"/>
    <cellStyle name="Normal 4683 2" xfId="21187"/>
    <cellStyle name="Normal 4684" xfId="21188"/>
    <cellStyle name="Normal 4684 2" xfId="21189"/>
    <cellStyle name="Normal 4685" xfId="21190"/>
    <cellStyle name="Normal 4685 2" xfId="21191"/>
    <cellStyle name="Normal 4686" xfId="21192"/>
    <cellStyle name="Normal 4686 2" xfId="21193"/>
    <cellStyle name="Normal 4686 3" xfId="21194"/>
    <cellStyle name="Normal 4687" xfId="21195"/>
    <cellStyle name="Normal 4687 2" xfId="21196"/>
    <cellStyle name="Normal 4688" xfId="21197"/>
    <cellStyle name="Normal 4688 2" xfId="21198"/>
    <cellStyle name="Normal 4689" xfId="21199"/>
    <cellStyle name="Normal 4689 2" xfId="21200"/>
    <cellStyle name="Normal 469" xfId="21201"/>
    <cellStyle name="Normal 469 10" xfId="46954"/>
    <cellStyle name="Normal 469 2" xfId="21202"/>
    <cellStyle name="Normal 469 2 2" xfId="21203"/>
    <cellStyle name="Normal 469 2 2 2" xfId="46955"/>
    <cellStyle name="Normal 469 2 2 3" xfId="46956"/>
    <cellStyle name="Normal 469 2 3" xfId="21204"/>
    <cellStyle name="Normal 469 2 3 2" xfId="46957"/>
    <cellStyle name="Normal 469 2 3 3" xfId="46958"/>
    <cellStyle name="Normal 469 2 4" xfId="46959"/>
    <cellStyle name="Normal 469 2 5" xfId="46960"/>
    <cellStyle name="Normal 469 2 6" xfId="46961"/>
    <cellStyle name="Normal 469 2 7" xfId="46962"/>
    <cellStyle name="Normal 469 2 8" xfId="46963"/>
    <cellStyle name="Normal 469 3" xfId="21205"/>
    <cellStyle name="Normal 469 3 2" xfId="46964"/>
    <cellStyle name="Normal 469 3 2 2" xfId="46965"/>
    <cellStyle name="Normal 469 3 2 3" xfId="46966"/>
    <cellStyle name="Normal 469 3 3" xfId="46967"/>
    <cellStyle name="Normal 469 3 3 2" xfId="46968"/>
    <cellStyle name="Normal 469 3 3 3" xfId="46969"/>
    <cellStyle name="Normal 469 3 4" xfId="46970"/>
    <cellStyle name="Normal 469 3 5" xfId="46971"/>
    <cellStyle name="Normal 469 4" xfId="21206"/>
    <cellStyle name="Normal 469 4 2" xfId="46972"/>
    <cellStyle name="Normal 469 4 3" xfId="46973"/>
    <cellStyle name="Normal 469 5" xfId="21207"/>
    <cellStyle name="Normal 469 5 2" xfId="46974"/>
    <cellStyle name="Normal 469 5 3" xfId="46975"/>
    <cellStyle name="Normal 469 6" xfId="46976"/>
    <cellStyle name="Normal 469 7" xfId="46977"/>
    <cellStyle name="Normal 469 8" xfId="46978"/>
    <cellStyle name="Normal 469 9" xfId="46979"/>
    <cellStyle name="Normal 4690" xfId="21208"/>
    <cellStyle name="Normal 4690 2" xfId="21209"/>
    <cellStyle name="Normal 4691" xfId="21210"/>
    <cellStyle name="Normal 4691 2" xfId="21211"/>
    <cellStyle name="Normal 4692" xfId="21212"/>
    <cellStyle name="Normal 4692 2" xfId="21213"/>
    <cellStyle name="Normal 4693" xfId="21214"/>
    <cellStyle name="Normal 4693 2" xfId="21215"/>
    <cellStyle name="Normal 4694" xfId="21216"/>
    <cellStyle name="Normal 4694 2" xfId="21217"/>
    <cellStyle name="Normal 4695" xfId="21218"/>
    <cellStyle name="Normal 4695 2" xfId="21219"/>
    <cellStyle name="Normal 4696" xfId="21220"/>
    <cellStyle name="Normal 4696 2" xfId="21221"/>
    <cellStyle name="Normal 4697" xfId="21222"/>
    <cellStyle name="Normal 4697 2" xfId="21223"/>
    <cellStyle name="Normal 4698" xfId="21224"/>
    <cellStyle name="Normal 4698 2" xfId="21225"/>
    <cellStyle name="Normal 4699" xfId="21226"/>
    <cellStyle name="Normal 4699 2" xfId="21227"/>
    <cellStyle name="Normal 47" xfId="21228"/>
    <cellStyle name="Normal 47 10" xfId="46980"/>
    <cellStyle name="Normal 47 2" xfId="21229"/>
    <cellStyle name="Normal 47 2 2" xfId="21230"/>
    <cellStyle name="Normal 47 2 2 2" xfId="21231"/>
    <cellStyle name="Normal 47 2 2 3" xfId="21232"/>
    <cellStyle name="Normal 47 2 3" xfId="21233"/>
    <cellStyle name="Normal 47 2 3 2" xfId="46981"/>
    <cellStyle name="Normal 47 2 3 3" xfId="46982"/>
    <cellStyle name="Normal 47 2 4" xfId="21234"/>
    <cellStyle name="Normal 47 2 5" xfId="21235"/>
    <cellStyle name="Normal 47 2 6" xfId="46983"/>
    <cellStyle name="Normal 47 2 7" xfId="46984"/>
    <cellStyle name="Normal 47 2 8" xfId="46985"/>
    <cellStyle name="Normal 47 3" xfId="21236"/>
    <cellStyle name="Normal 47 3 2" xfId="21237"/>
    <cellStyle name="Normal 47 3 2 2" xfId="46986"/>
    <cellStyle name="Normal 47 3 2 3" xfId="46987"/>
    <cellStyle name="Normal 47 3 3" xfId="21238"/>
    <cellStyle name="Normal 47 3 3 2" xfId="46988"/>
    <cellStyle name="Normal 47 3 3 3" xfId="46989"/>
    <cellStyle name="Normal 47 3 4" xfId="46990"/>
    <cellStyle name="Normal 47 3 5" xfId="46991"/>
    <cellStyle name="Normal 47 4" xfId="21239"/>
    <cellStyle name="Normal 47 4 2" xfId="46992"/>
    <cellStyle name="Normal 47 4 3" xfId="46993"/>
    <cellStyle name="Normal 47 5" xfId="21240"/>
    <cellStyle name="Normal 47 5 2" xfId="46994"/>
    <cellStyle name="Normal 47 5 3" xfId="46995"/>
    <cellStyle name="Normal 47 6" xfId="21241"/>
    <cellStyle name="Normal 47 7" xfId="46996"/>
    <cellStyle name="Normal 47 8" xfId="46997"/>
    <cellStyle name="Normal 47 9" xfId="46998"/>
    <cellStyle name="Normal 470" xfId="21242"/>
    <cellStyle name="Normal 470 10" xfId="46999"/>
    <cellStyle name="Normal 470 2" xfId="21243"/>
    <cellStyle name="Normal 470 2 2" xfId="21244"/>
    <cellStyle name="Normal 470 2 2 2" xfId="47000"/>
    <cellStyle name="Normal 470 2 2 3" xfId="47001"/>
    <cellStyle name="Normal 470 2 3" xfId="21245"/>
    <cellStyle name="Normal 470 2 3 2" xfId="47002"/>
    <cellStyle name="Normal 470 2 3 3" xfId="47003"/>
    <cellStyle name="Normal 470 2 4" xfId="47004"/>
    <cellStyle name="Normal 470 2 5" xfId="47005"/>
    <cellStyle name="Normal 470 2 6" xfId="47006"/>
    <cellStyle name="Normal 470 2 7" xfId="47007"/>
    <cellStyle name="Normal 470 2 8" xfId="47008"/>
    <cellStyle name="Normal 470 3" xfId="21246"/>
    <cellStyle name="Normal 470 3 2" xfId="47009"/>
    <cellStyle name="Normal 470 3 2 2" xfId="47010"/>
    <cellStyle name="Normal 470 3 2 3" xfId="47011"/>
    <cellStyle name="Normal 470 3 3" xfId="47012"/>
    <cellStyle name="Normal 470 3 3 2" xfId="47013"/>
    <cellStyle name="Normal 470 3 3 3" xfId="47014"/>
    <cellStyle name="Normal 470 3 4" xfId="47015"/>
    <cellStyle name="Normal 470 3 5" xfId="47016"/>
    <cellStyle name="Normal 470 4" xfId="21247"/>
    <cellStyle name="Normal 470 4 2" xfId="47017"/>
    <cellStyle name="Normal 470 4 3" xfId="47018"/>
    <cellStyle name="Normal 470 5" xfId="21248"/>
    <cellStyle name="Normal 470 5 2" xfId="47019"/>
    <cellStyle name="Normal 470 5 3" xfId="47020"/>
    <cellStyle name="Normal 470 6" xfId="47021"/>
    <cellStyle name="Normal 470 7" xfId="47022"/>
    <cellStyle name="Normal 470 8" xfId="47023"/>
    <cellStyle name="Normal 470 9" xfId="47024"/>
    <cellStyle name="Normal 4700" xfId="21249"/>
    <cellStyle name="Normal 4700 2" xfId="21250"/>
    <cellStyle name="Normal 4701" xfId="21251"/>
    <cellStyle name="Normal 4701 2" xfId="21252"/>
    <cellStyle name="Normal 4702" xfId="21253"/>
    <cellStyle name="Normal 4702 2" xfId="21254"/>
    <cellStyle name="Normal 4703" xfId="21255"/>
    <cellStyle name="Normal 4703 2" xfId="21256"/>
    <cellStyle name="Normal 4704" xfId="21257"/>
    <cellStyle name="Normal 4704 2" xfId="21258"/>
    <cellStyle name="Normal 4704 3" xfId="21259"/>
    <cellStyle name="Normal 4705" xfId="21260"/>
    <cellStyle name="Normal 4705 2" xfId="21261"/>
    <cellStyle name="Normal 4705 3" xfId="21262"/>
    <cellStyle name="Normal 4706" xfId="21263"/>
    <cellStyle name="Normal 4706 2" xfId="21264"/>
    <cellStyle name="Normal 4706 3" xfId="21265"/>
    <cellStyle name="Normal 4707" xfId="21266"/>
    <cellStyle name="Normal 4707 2" xfId="21267"/>
    <cellStyle name="Normal 4707 3" xfId="21268"/>
    <cellStyle name="Normal 4708" xfId="21269"/>
    <cellStyle name="Normal 4708 2" xfId="21270"/>
    <cellStyle name="Normal 4709" xfId="21271"/>
    <cellStyle name="Normal 4709 2" xfId="21272"/>
    <cellStyle name="Normal 471" xfId="21273"/>
    <cellStyle name="Normal 471 10" xfId="47025"/>
    <cellStyle name="Normal 471 2" xfId="21274"/>
    <cellStyle name="Normal 471 2 2" xfId="21275"/>
    <cellStyle name="Normal 471 2 2 2" xfId="47026"/>
    <cellStyle name="Normal 471 2 2 3" xfId="47027"/>
    <cellStyle name="Normal 471 2 3" xfId="21276"/>
    <cellStyle name="Normal 471 2 3 2" xfId="47028"/>
    <cellStyle name="Normal 471 2 3 3" xfId="47029"/>
    <cellStyle name="Normal 471 2 4" xfId="47030"/>
    <cellStyle name="Normal 471 2 5" xfId="47031"/>
    <cellStyle name="Normal 471 2 6" xfId="47032"/>
    <cellStyle name="Normal 471 2 7" xfId="47033"/>
    <cellStyle name="Normal 471 2 8" xfId="47034"/>
    <cellStyle name="Normal 471 3" xfId="21277"/>
    <cellStyle name="Normal 471 3 2" xfId="47035"/>
    <cellStyle name="Normal 471 3 2 2" xfId="47036"/>
    <cellStyle name="Normal 471 3 2 3" xfId="47037"/>
    <cellStyle name="Normal 471 3 3" xfId="47038"/>
    <cellStyle name="Normal 471 3 3 2" xfId="47039"/>
    <cellStyle name="Normal 471 3 3 3" xfId="47040"/>
    <cellStyle name="Normal 471 3 4" xfId="47041"/>
    <cellStyle name="Normal 471 3 5" xfId="47042"/>
    <cellStyle name="Normal 471 4" xfId="21278"/>
    <cellStyle name="Normal 471 4 2" xfId="47043"/>
    <cellStyle name="Normal 471 4 3" xfId="47044"/>
    <cellStyle name="Normal 471 5" xfId="21279"/>
    <cellStyle name="Normal 471 5 2" xfId="47045"/>
    <cellStyle name="Normal 471 5 3" xfId="47046"/>
    <cellStyle name="Normal 471 6" xfId="47047"/>
    <cellStyle name="Normal 471 7" xfId="47048"/>
    <cellStyle name="Normal 471 8" xfId="47049"/>
    <cellStyle name="Normal 471 9" xfId="47050"/>
    <cellStyle name="Normal 4710" xfId="21280"/>
    <cellStyle name="Normal 4710 2" xfId="21281"/>
    <cellStyle name="Normal 4711" xfId="21282"/>
    <cellStyle name="Normal 4711 2" xfId="21283"/>
    <cellStyle name="Normal 4712" xfId="21284"/>
    <cellStyle name="Normal 4712 2" xfId="21285"/>
    <cellStyle name="Normal 4713" xfId="21286"/>
    <cellStyle name="Normal 4713 2" xfId="21287"/>
    <cellStyle name="Normal 4714" xfId="21288"/>
    <cellStyle name="Normal 4714 2" xfId="21289"/>
    <cellStyle name="Normal 4715" xfId="21290"/>
    <cellStyle name="Normal 4715 2" xfId="21291"/>
    <cellStyle name="Normal 4716" xfId="21292"/>
    <cellStyle name="Normal 4716 2" xfId="21293"/>
    <cellStyle name="Normal 4717" xfId="21294"/>
    <cellStyle name="Normal 4717 2" xfId="21295"/>
    <cellStyle name="Normal 4718" xfId="21296"/>
    <cellStyle name="Normal 4718 2" xfId="21297"/>
    <cellStyle name="Normal 4719" xfId="21298"/>
    <cellStyle name="Normal 4719 2" xfId="21299"/>
    <cellStyle name="Normal 472" xfId="21300"/>
    <cellStyle name="Normal 472 10" xfId="47051"/>
    <cellStyle name="Normal 472 2" xfId="21301"/>
    <cellStyle name="Normal 472 2 2" xfId="21302"/>
    <cellStyle name="Normal 472 2 2 2" xfId="47052"/>
    <cellStyle name="Normal 472 2 2 3" xfId="47053"/>
    <cellStyle name="Normal 472 2 3" xfId="21303"/>
    <cellStyle name="Normal 472 2 3 2" xfId="47054"/>
    <cellStyle name="Normal 472 2 3 3" xfId="47055"/>
    <cellStyle name="Normal 472 2 4" xfId="47056"/>
    <cellStyle name="Normal 472 2 5" xfId="47057"/>
    <cellStyle name="Normal 472 2 6" xfId="47058"/>
    <cellStyle name="Normal 472 2 7" xfId="47059"/>
    <cellStyle name="Normal 472 2 8" xfId="47060"/>
    <cellStyle name="Normal 472 3" xfId="21304"/>
    <cellStyle name="Normal 472 3 2" xfId="47061"/>
    <cellStyle name="Normal 472 3 2 2" xfId="47062"/>
    <cellStyle name="Normal 472 3 2 3" xfId="47063"/>
    <cellStyle name="Normal 472 3 3" xfId="47064"/>
    <cellStyle name="Normal 472 3 3 2" xfId="47065"/>
    <cellStyle name="Normal 472 3 3 3" xfId="47066"/>
    <cellStyle name="Normal 472 3 4" xfId="47067"/>
    <cellStyle name="Normal 472 3 5" xfId="47068"/>
    <cellStyle name="Normal 472 4" xfId="21305"/>
    <cellStyle name="Normal 472 4 2" xfId="47069"/>
    <cellStyle name="Normal 472 4 3" xfId="47070"/>
    <cellStyle name="Normal 472 5" xfId="21306"/>
    <cellStyle name="Normal 472 5 2" xfId="47071"/>
    <cellStyle name="Normal 472 5 3" xfId="47072"/>
    <cellStyle name="Normal 472 6" xfId="47073"/>
    <cellStyle name="Normal 472 7" xfId="47074"/>
    <cellStyle name="Normal 472 8" xfId="47075"/>
    <cellStyle name="Normal 472 9" xfId="47076"/>
    <cellStyle name="Normal 4720" xfId="21307"/>
    <cellStyle name="Normal 4720 2" xfId="21308"/>
    <cellStyle name="Normal 4721" xfId="21309"/>
    <cellStyle name="Normal 4721 2" xfId="21310"/>
    <cellStyle name="Normal 4722" xfId="21311"/>
    <cellStyle name="Normal 4722 2" xfId="21312"/>
    <cellStyle name="Normal 4723" xfId="21313"/>
    <cellStyle name="Normal 4723 2" xfId="21314"/>
    <cellStyle name="Normal 4724" xfId="21315"/>
    <cellStyle name="Normal 4724 2" xfId="21316"/>
    <cellStyle name="Normal 4725" xfId="21317"/>
    <cellStyle name="Normal 4725 2" xfId="21318"/>
    <cellStyle name="Normal 4726" xfId="21319"/>
    <cellStyle name="Normal 4726 2" xfId="21320"/>
    <cellStyle name="Normal 4727" xfId="21321"/>
    <cellStyle name="Normal 4727 2" xfId="21322"/>
    <cellStyle name="Normal 4728" xfId="21323"/>
    <cellStyle name="Normal 4728 2" xfId="21324"/>
    <cellStyle name="Normal 4729" xfId="21325"/>
    <cellStyle name="Normal 4729 2" xfId="21326"/>
    <cellStyle name="Normal 473" xfId="21327"/>
    <cellStyle name="Normal 473 10" xfId="47077"/>
    <cellStyle name="Normal 473 2" xfId="21328"/>
    <cellStyle name="Normal 473 2 2" xfId="21329"/>
    <cellStyle name="Normal 473 2 2 2" xfId="47078"/>
    <cellStyle name="Normal 473 2 2 3" xfId="47079"/>
    <cellStyle name="Normal 473 2 3" xfId="21330"/>
    <cellStyle name="Normal 473 2 3 2" xfId="47080"/>
    <cellStyle name="Normal 473 2 3 3" xfId="47081"/>
    <cellStyle name="Normal 473 2 4" xfId="47082"/>
    <cellStyle name="Normal 473 2 5" xfId="47083"/>
    <cellStyle name="Normal 473 2 6" xfId="47084"/>
    <cellStyle name="Normal 473 2 7" xfId="47085"/>
    <cellStyle name="Normal 473 2 8" xfId="47086"/>
    <cellStyle name="Normal 473 3" xfId="21331"/>
    <cellStyle name="Normal 473 3 2" xfId="47087"/>
    <cellStyle name="Normal 473 3 2 2" xfId="47088"/>
    <cellStyle name="Normal 473 3 2 3" xfId="47089"/>
    <cellStyle name="Normal 473 3 3" xfId="47090"/>
    <cellStyle name="Normal 473 3 3 2" xfId="47091"/>
    <cellStyle name="Normal 473 3 3 3" xfId="47092"/>
    <cellStyle name="Normal 473 3 4" xfId="47093"/>
    <cellStyle name="Normal 473 3 5" xfId="47094"/>
    <cellStyle name="Normal 473 4" xfId="21332"/>
    <cellStyle name="Normal 473 4 2" xfId="47095"/>
    <cellStyle name="Normal 473 4 3" xfId="47096"/>
    <cellStyle name="Normal 473 5" xfId="21333"/>
    <cellStyle name="Normal 473 5 2" xfId="47097"/>
    <cellStyle name="Normal 473 5 3" xfId="47098"/>
    <cellStyle name="Normal 473 6" xfId="47099"/>
    <cellStyle name="Normal 473 7" xfId="47100"/>
    <cellStyle name="Normal 473 8" xfId="47101"/>
    <cellStyle name="Normal 473 9" xfId="47102"/>
    <cellStyle name="Normal 4730" xfId="21334"/>
    <cellStyle name="Normal 4730 2" xfId="21335"/>
    <cellStyle name="Normal 4731" xfId="21336"/>
    <cellStyle name="Normal 4731 2" xfId="21337"/>
    <cellStyle name="Normal 4732" xfId="21338"/>
    <cellStyle name="Normal 4732 2" xfId="21339"/>
    <cellStyle name="Normal 4732 3" xfId="21340"/>
    <cellStyle name="Normal 4733" xfId="21341"/>
    <cellStyle name="Normal 4733 2" xfId="21342"/>
    <cellStyle name="Normal 4733 3" xfId="21343"/>
    <cellStyle name="Normal 4734" xfId="21344"/>
    <cellStyle name="Normal 4734 2" xfId="21345"/>
    <cellStyle name="Normal 4735" xfId="21346"/>
    <cellStyle name="Normal 4735 2" xfId="21347"/>
    <cellStyle name="Normal 4736" xfId="21348"/>
    <cellStyle name="Normal 4736 2" xfId="21349"/>
    <cellStyle name="Normal 4737" xfId="21350"/>
    <cellStyle name="Normal 4737 2" xfId="21351"/>
    <cellStyle name="Normal 4738" xfId="21352"/>
    <cellStyle name="Normal 4738 2" xfId="21353"/>
    <cellStyle name="Normal 4739" xfId="21354"/>
    <cellStyle name="Normal 4739 2" xfId="21355"/>
    <cellStyle name="Normal 474" xfId="21356"/>
    <cellStyle name="Normal 474 10" xfId="47103"/>
    <cellStyle name="Normal 474 2" xfId="21357"/>
    <cellStyle name="Normal 474 2 2" xfId="21358"/>
    <cellStyle name="Normal 474 2 2 2" xfId="47104"/>
    <cellStyle name="Normal 474 2 2 3" xfId="47105"/>
    <cellStyle name="Normal 474 2 3" xfId="21359"/>
    <cellStyle name="Normal 474 2 3 2" xfId="47106"/>
    <cellStyle name="Normal 474 2 3 3" xfId="47107"/>
    <cellStyle name="Normal 474 2 4" xfId="47108"/>
    <cellStyle name="Normal 474 2 5" xfId="47109"/>
    <cellStyle name="Normal 474 2 6" xfId="47110"/>
    <cellStyle name="Normal 474 2 7" xfId="47111"/>
    <cellStyle name="Normal 474 2 8" xfId="47112"/>
    <cellStyle name="Normal 474 3" xfId="21360"/>
    <cellStyle name="Normal 474 3 2" xfId="47113"/>
    <cellStyle name="Normal 474 3 2 2" xfId="47114"/>
    <cellStyle name="Normal 474 3 2 3" xfId="47115"/>
    <cellStyle name="Normal 474 3 3" xfId="47116"/>
    <cellStyle name="Normal 474 3 3 2" xfId="47117"/>
    <cellStyle name="Normal 474 3 3 3" xfId="47118"/>
    <cellStyle name="Normal 474 3 4" xfId="47119"/>
    <cellStyle name="Normal 474 3 5" xfId="47120"/>
    <cellStyle name="Normal 474 4" xfId="21361"/>
    <cellStyle name="Normal 474 4 2" xfId="47121"/>
    <cellStyle name="Normal 474 4 3" xfId="47122"/>
    <cellStyle name="Normal 474 5" xfId="21362"/>
    <cellStyle name="Normal 474 5 2" xfId="47123"/>
    <cellStyle name="Normal 474 5 3" xfId="47124"/>
    <cellStyle name="Normal 474 6" xfId="47125"/>
    <cellStyle name="Normal 474 7" xfId="47126"/>
    <cellStyle name="Normal 474 8" xfId="47127"/>
    <cellStyle name="Normal 474 9" xfId="47128"/>
    <cellStyle name="Normal 4740" xfId="21363"/>
    <cellStyle name="Normal 4740 2" xfId="21364"/>
    <cellStyle name="Normal 4741" xfId="21365"/>
    <cellStyle name="Normal 4741 2" xfId="21366"/>
    <cellStyle name="Normal 4742" xfId="21367"/>
    <cellStyle name="Normal 4742 2" xfId="21368"/>
    <cellStyle name="Normal 4743" xfId="21369"/>
    <cellStyle name="Normal 4743 2" xfId="21370"/>
    <cellStyle name="Normal 4744" xfId="21371"/>
    <cellStyle name="Normal 4744 2" xfId="21372"/>
    <cellStyle name="Normal 4745" xfId="21373"/>
    <cellStyle name="Normal 4745 2" xfId="21374"/>
    <cellStyle name="Normal 4746" xfId="21375"/>
    <cellStyle name="Normal 4746 2" xfId="21376"/>
    <cellStyle name="Normal 4747" xfId="21377"/>
    <cellStyle name="Normal 4747 2" xfId="21378"/>
    <cellStyle name="Normal 4748" xfId="21379"/>
    <cellStyle name="Normal 4748 2" xfId="21380"/>
    <cellStyle name="Normal 4749" xfId="21381"/>
    <cellStyle name="Normal 4749 2" xfId="21382"/>
    <cellStyle name="Normal 475" xfId="21383"/>
    <cellStyle name="Normal 475 10" xfId="47129"/>
    <cellStyle name="Normal 475 2" xfId="21384"/>
    <cellStyle name="Normal 475 2 2" xfId="21385"/>
    <cellStyle name="Normal 475 2 2 2" xfId="47130"/>
    <cellStyle name="Normal 475 2 2 3" xfId="47131"/>
    <cellStyle name="Normal 475 2 3" xfId="21386"/>
    <cellStyle name="Normal 475 2 3 2" xfId="47132"/>
    <cellStyle name="Normal 475 2 3 3" xfId="47133"/>
    <cellStyle name="Normal 475 2 4" xfId="47134"/>
    <cellStyle name="Normal 475 2 5" xfId="47135"/>
    <cellStyle name="Normal 475 2 6" xfId="47136"/>
    <cellStyle name="Normal 475 2 7" xfId="47137"/>
    <cellStyle name="Normal 475 2 8" xfId="47138"/>
    <cellStyle name="Normal 475 3" xfId="21387"/>
    <cellStyle name="Normal 475 3 2" xfId="47139"/>
    <cellStyle name="Normal 475 3 2 2" xfId="47140"/>
    <cellStyle name="Normal 475 3 2 3" xfId="47141"/>
    <cellStyle name="Normal 475 3 3" xfId="47142"/>
    <cellStyle name="Normal 475 3 3 2" xfId="47143"/>
    <cellStyle name="Normal 475 3 3 3" xfId="47144"/>
    <cellStyle name="Normal 475 3 4" xfId="47145"/>
    <cellStyle name="Normal 475 3 5" xfId="47146"/>
    <cellStyle name="Normal 475 4" xfId="21388"/>
    <cellStyle name="Normal 475 4 2" xfId="47147"/>
    <cellStyle name="Normal 475 4 3" xfId="47148"/>
    <cellStyle name="Normal 475 5" xfId="21389"/>
    <cellStyle name="Normal 475 5 2" xfId="47149"/>
    <cellStyle name="Normal 475 5 3" xfId="47150"/>
    <cellStyle name="Normal 475 6" xfId="47151"/>
    <cellStyle name="Normal 475 7" xfId="47152"/>
    <cellStyle name="Normal 475 8" xfId="47153"/>
    <cellStyle name="Normal 475 9" xfId="47154"/>
    <cellStyle name="Normal 4750" xfId="21390"/>
    <cellStyle name="Normal 4750 2" xfId="21391"/>
    <cellStyle name="Normal 4751" xfId="21392"/>
    <cellStyle name="Normal 4751 2" xfId="21393"/>
    <cellStyle name="Normal 4752" xfId="21394"/>
    <cellStyle name="Normal 4752 2" xfId="21395"/>
    <cellStyle name="Normal 4753" xfId="21396"/>
    <cellStyle name="Normal 4753 2" xfId="21397"/>
    <cellStyle name="Normal 4754" xfId="21398"/>
    <cellStyle name="Normal 4754 2" xfId="21399"/>
    <cellStyle name="Normal 4755" xfId="21400"/>
    <cellStyle name="Normal 4755 2" xfId="21401"/>
    <cellStyle name="Normal 4756" xfId="21402"/>
    <cellStyle name="Normal 4756 2" xfId="21403"/>
    <cellStyle name="Normal 4757" xfId="21404"/>
    <cellStyle name="Normal 4757 2" xfId="21405"/>
    <cellStyle name="Normal 4758" xfId="21406"/>
    <cellStyle name="Normal 4758 2" xfId="21407"/>
    <cellStyle name="Normal 4759" xfId="21408"/>
    <cellStyle name="Normal 4759 2" xfId="21409"/>
    <cellStyle name="Normal 476" xfId="21410"/>
    <cellStyle name="Normal 476 10" xfId="47155"/>
    <cellStyle name="Normal 476 2" xfId="21411"/>
    <cellStyle name="Normal 476 2 2" xfId="21412"/>
    <cellStyle name="Normal 476 2 2 2" xfId="47156"/>
    <cellStyle name="Normal 476 2 2 3" xfId="47157"/>
    <cellStyle name="Normal 476 2 3" xfId="21413"/>
    <cellStyle name="Normal 476 2 3 2" xfId="47158"/>
    <cellStyle name="Normal 476 2 3 3" xfId="47159"/>
    <cellStyle name="Normal 476 2 4" xfId="47160"/>
    <cellStyle name="Normal 476 2 5" xfId="47161"/>
    <cellStyle name="Normal 476 2 6" xfId="47162"/>
    <cellStyle name="Normal 476 2 7" xfId="47163"/>
    <cellStyle name="Normal 476 2 8" xfId="47164"/>
    <cellStyle name="Normal 476 3" xfId="21414"/>
    <cellStyle name="Normal 476 3 2" xfId="47165"/>
    <cellStyle name="Normal 476 3 2 2" xfId="47166"/>
    <cellStyle name="Normal 476 3 2 3" xfId="47167"/>
    <cellStyle name="Normal 476 3 3" xfId="47168"/>
    <cellStyle name="Normal 476 3 3 2" xfId="47169"/>
    <cellStyle name="Normal 476 3 3 3" xfId="47170"/>
    <cellStyle name="Normal 476 3 4" xfId="47171"/>
    <cellStyle name="Normal 476 3 5" xfId="47172"/>
    <cellStyle name="Normal 476 4" xfId="21415"/>
    <cellStyle name="Normal 476 4 2" xfId="47173"/>
    <cellStyle name="Normal 476 4 3" xfId="47174"/>
    <cellStyle name="Normal 476 5" xfId="21416"/>
    <cellStyle name="Normal 476 5 2" xfId="47175"/>
    <cellStyle name="Normal 476 5 3" xfId="47176"/>
    <cellStyle name="Normal 476 6" xfId="47177"/>
    <cellStyle name="Normal 476 7" xfId="47178"/>
    <cellStyle name="Normal 476 8" xfId="47179"/>
    <cellStyle name="Normal 476 9" xfId="47180"/>
    <cellStyle name="Normal 4760" xfId="21417"/>
    <cellStyle name="Normal 4760 2" xfId="21418"/>
    <cellStyle name="Normal 4760 3" xfId="21419"/>
    <cellStyle name="Normal 4761" xfId="21420"/>
    <cellStyle name="Normal 4761 2" xfId="21421"/>
    <cellStyle name="Normal 4761 3" xfId="21422"/>
    <cellStyle name="Normal 4762" xfId="21423"/>
    <cellStyle name="Normal 4762 2" xfId="21424"/>
    <cellStyle name="Normal 4762 3" xfId="21425"/>
    <cellStyle name="Normal 4763" xfId="21426"/>
    <cellStyle name="Normal 4763 2" xfId="21427"/>
    <cellStyle name="Normal 4763 3" xfId="21428"/>
    <cellStyle name="Normal 4764" xfId="21429"/>
    <cellStyle name="Normal 4764 2" xfId="21430"/>
    <cellStyle name="Normal 4764 3" xfId="21431"/>
    <cellStyle name="Normal 4765" xfId="21432"/>
    <cellStyle name="Normal 4765 2" xfId="21433"/>
    <cellStyle name="Normal 4765 3" xfId="21434"/>
    <cellStyle name="Normal 4766" xfId="21435"/>
    <cellStyle name="Normal 4766 2" xfId="21436"/>
    <cellStyle name="Normal 4766 3" xfId="21437"/>
    <cellStyle name="Normal 4767" xfId="21438"/>
    <cellStyle name="Normal 4767 2" xfId="21439"/>
    <cellStyle name="Normal 4767 3" xfId="21440"/>
    <cellStyle name="Normal 4768" xfId="21441"/>
    <cellStyle name="Normal 4768 2" xfId="21442"/>
    <cellStyle name="Normal 4769" xfId="21443"/>
    <cellStyle name="Normal 4769 2" xfId="21444"/>
    <cellStyle name="Normal 477" xfId="21445"/>
    <cellStyle name="Normal 477 10" xfId="47181"/>
    <cellStyle name="Normal 477 2" xfId="21446"/>
    <cellStyle name="Normal 477 2 2" xfId="21447"/>
    <cellStyle name="Normal 477 2 2 2" xfId="47182"/>
    <cellStyle name="Normal 477 2 2 3" xfId="47183"/>
    <cellStyle name="Normal 477 2 3" xfId="21448"/>
    <cellStyle name="Normal 477 2 3 2" xfId="47184"/>
    <cellStyle name="Normal 477 2 3 3" xfId="47185"/>
    <cellStyle name="Normal 477 2 4" xfId="47186"/>
    <cellStyle name="Normal 477 2 5" xfId="47187"/>
    <cellStyle name="Normal 477 2 6" xfId="47188"/>
    <cellStyle name="Normal 477 2 7" xfId="47189"/>
    <cellStyle name="Normal 477 2 8" xfId="47190"/>
    <cellStyle name="Normal 477 3" xfId="21449"/>
    <cellStyle name="Normal 477 3 2" xfId="47191"/>
    <cellStyle name="Normal 477 3 2 2" xfId="47192"/>
    <cellStyle name="Normal 477 3 2 3" xfId="47193"/>
    <cellStyle name="Normal 477 3 3" xfId="47194"/>
    <cellStyle name="Normal 477 3 3 2" xfId="47195"/>
    <cellStyle name="Normal 477 3 3 3" xfId="47196"/>
    <cellStyle name="Normal 477 3 4" xfId="47197"/>
    <cellStyle name="Normal 477 3 5" xfId="47198"/>
    <cellStyle name="Normal 477 4" xfId="21450"/>
    <cellStyle name="Normal 477 4 2" xfId="47199"/>
    <cellStyle name="Normal 477 4 3" xfId="47200"/>
    <cellStyle name="Normal 477 5" xfId="21451"/>
    <cellStyle name="Normal 477 5 2" xfId="47201"/>
    <cellStyle name="Normal 477 5 3" xfId="47202"/>
    <cellStyle name="Normal 477 6" xfId="47203"/>
    <cellStyle name="Normal 477 7" xfId="47204"/>
    <cellStyle name="Normal 477 8" xfId="47205"/>
    <cellStyle name="Normal 477 9" xfId="47206"/>
    <cellStyle name="Normal 4770" xfId="21452"/>
    <cellStyle name="Normal 4770 2" xfId="21453"/>
    <cellStyle name="Normal 4771" xfId="21454"/>
    <cellStyle name="Normal 4771 2" xfId="21455"/>
    <cellStyle name="Normal 4772" xfId="21456"/>
    <cellStyle name="Normal 4772 2" xfId="21457"/>
    <cellStyle name="Normal 4773" xfId="21458"/>
    <cellStyle name="Normal 4773 2" xfId="21459"/>
    <cellStyle name="Normal 4774" xfId="21460"/>
    <cellStyle name="Normal 4774 2" xfId="21461"/>
    <cellStyle name="Normal 4775" xfId="21462"/>
    <cellStyle name="Normal 4775 2" xfId="21463"/>
    <cellStyle name="Normal 4776" xfId="21464"/>
    <cellStyle name="Normal 4776 2" xfId="21465"/>
    <cellStyle name="Normal 4777" xfId="21466"/>
    <cellStyle name="Normal 4777 2" xfId="21467"/>
    <cellStyle name="Normal 4778" xfId="21468"/>
    <cellStyle name="Normal 4778 2" xfId="21469"/>
    <cellStyle name="Normal 4779" xfId="21470"/>
    <cellStyle name="Normal 4779 2" xfId="21471"/>
    <cellStyle name="Normal 478" xfId="21472"/>
    <cellStyle name="Normal 478 10" xfId="47207"/>
    <cellStyle name="Normal 478 2" xfId="21473"/>
    <cellStyle name="Normal 478 2 2" xfId="21474"/>
    <cellStyle name="Normal 478 2 2 2" xfId="47208"/>
    <cellStyle name="Normal 478 2 2 3" xfId="47209"/>
    <cellStyle name="Normal 478 2 3" xfId="21475"/>
    <cellStyle name="Normal 478 2 3 2" xfId="47210"/>
    <cellStyle name="Normal 478 2 3 3" xfId="47211"/>
    <cellStyle name="Normal 478 2 4" xfId="47212"/>
    <cellStyle name="Normal 478 2 5" xfId="47213"/>
    <cellStyle name="Normal 478 2 6" xfId="47214"/>
    <cellStyle name="Normal 478 2 7" xfId="47215"/>
    <cellStyle name="Normal 478 2 8" xfId="47216"/>
    <cellStyle name="Normal 478 3" xfId="21476"/>
    <cellStyle name="Normal 478 3 2" xfId="47217"/>
    <cellStyle name="Normal 478 3 2 2" xfId="47218"/>
    <cellStyle name="Normal 478 3 2 3" xfId="47219"/>
    <cellStyle name="Normal 478 3 3" xfId="47220"/>
    <cellStyle name="Normal 478 3 3 2" xfId="47221"/>
    <cellStyle name="Normal 478 3 3 3" xfId="47222"/>
    <cellStyle name="Normal 478 3 4" xfId="47223"/>
    <cellStyle name="Normal 478 3 5" xfId="47224"/>
    <cellStyle name="Normal 478 4" xfId="21477"/>
    <cellStyle name="Normal 478 4 2" xfId="47225"/>
    <cellStyle name="Normal 478 4 3" xfId="47226"/>
    <cellStyle name="Normal 478 5" xfId="21478"/>
    <cellStyle name="Normal 478 5 2" xfId="47227"/>
    <cellStyle name="Normal 478 5 3" xfId="47228"/>
    <cellStyle name="Normal 478 6" xfId="47229"/>
    <cellStyle name="Normal 478 7" xfId="47230"/>
    <cellStyle name="Normal 478 8" xfId="47231"/>
    <cellStyle name="Normal 478 9" xfId="47232"/>
    <cellStyle name="Normal 4780" xfId="21479"/>
    <cellStyle name="Normal 4780 2" xfId="21480"/>
    <cellStyle name="Normal 4781" xfId="21481"/>
    <cellStyle name="Normal 4781 2" xfId="21482"/>
    <cellStyle name="Normal 4782" xfId="21483"/>
    <cellStyle name="Normal 4782 2" xfId="21484"/>
    <cellStyle name="Normal 4783" xfId="21485"/>
    <cellStyle name="Normal 4783 2" xfId="21486"/>
    <cellStyle name="Normal 4784" xfId="21487"/>
    <cellStyle name="Normal 4784 2" xfId="21488"/>
    <cellStyle name="Normal 4785" xfId="21489"/>
    <cellStyle name="Normal 4785 2" xfId="21490"/>
    <cellStyle name="Normal 4786" xfId="21491"/>
    <cellStyle name="Normal 4786 2" xfId="21492"/>
    <cellStyle name="Normal 4787" xfId="21493"/>
    <cellStyle name="Normal 4787 2" xfId="21494"/>
    <cellStyle name="Normal 4788" xfId="21495"/>
    <cellStyle name="Normal 4788 2" xfId="21496"/>
    <cellStyle name="Normal 4789" xfId="21497"/>
    <cellStyle name="Normal 4789 2" xfId="21498"/>
    <cellStyle name="Normal 479" xfId="21499"/>
    <cellStyle name="Normal 479 10" xfId="47233"/>
    <cellStyle name="Normal 479 2" xfId="21500"/>
    <cellStyle name="Normal 479 2 2" xfId="21501"/>
    <cellStyle name="Normal 479 2 2 2" xfId="47234"/>
    <cellStyle name="Normal 479 2 2 3" xfId="47235"/>
    <cellStyle name="Normal 479 2 3" xfId="21502"/>
    <cellStyle name="Normal 479 2 3 2" xfId="47236"/>
    <cellStyle name="Normal 479 2 3 3" xfId="47237"/>
    <cellStyle name="Normal 479 2 4" xfId="47238"/>
    <cellStyle name="Normal 479 2 5" xfId="47239"/>
    <cellStyle name="Normal 479 2 6" xfId="47240"/>
    <cellStyle name="Normal 479 2 7" xfId="47241"/>
    <cellStyle name="Normal 479 2 8" xfId="47242"/>
    <cellStyle name="Normal 479 3" xfId="21503"/>
    <cellStyle name="Normal 479 3 2" xfId="47243"/>
    <cellStyle name="Normal 479 3 2 2" xfId="47244"/>
    <cellStyle name="Normal 479 3 2 3" xfId="47245"/>
    <cellStyle name="Normal 479 3 3" xfId="47246"/>
    <cellStyle name="Normal 479 3 3 2" xfId="47247"/>
    <cellStyle name="Normal 479 3 3 3" xfId="47248"/>
    <cellStyle name="Normal 479 3 4" xfId="47249"/>
    <cellStyle name="Normal 479 3 5" xfId="47250"/>
    <cellStyle name="Normal 479 4" xfId="21504"/>
    <cellStyle name="Normal 479 4 2" xfId="47251"/>
    <cellStyle name="Normal 479 4 3" xfId="47252"/>
    <cellStyle name="Normal 479 5" xfId="21505"/>
    <cellStyle name="Normal 479 5 2" xfId="47253"/>
    <cellStyle name="Normal 479 5 3" xfId="47254"/>
    <cellStyle name="Normal 479 6" xfId="47255"/>
    <cellStyle name="Normal 479 7" xfId="47256"/>
    <cellStyle name="Normal 479 8" xfId="47257"/>
    <cellStyle name="Normal 479 9" xfId="47258"/>
    <cellStyle name="Normal 4790" xfId="21506"/>
    <cellStyle name="Normal 4790 2" xfId="21507"/>
    <cellStyle name="Normal 4791" xfId="21508"/>
    <cellStyle name="Normal 4791 2" xfId="21509"/>
    <cellStyle name="Normal 4792" xfId="21510"/>
    <cellStyle name="Normal 4792 2" xfId="21511"/>
    <cellStyle name="Normal 4793" xfId="21512"/>
    <cellStyle name="Normal 4793 2" xfId="21513"/>
    <cellStyle name="Normal 4794" xfId="21514"/>
    <cellStyle name="Normal 4794 2" xfId="21515"/>
    <cellStyle name="Normal 4795" xfId="21516"/>
    <cellStyle name="Normal 4795 2" xfId="21517"/>
    <cellStyle name="Normal 4796" xfId="21518"/>
    <cellStyle name="Normal 4796 2" xfId="21519"/>
    <cellStyle name="Normal 4797" xfId="21520"/>
    <cellStyle name="Normal 4797 2" xfId="21521"/>
    <cellStyle name="Normal 4798" xfId="21522"/>
    <cellStyle name="Normal 4798 2" xfId="21523"/>
    <cellStyle name="Normal 4799" xfId="21524"/>
    <cellStyle name="Normal 4799 2" xfId="21525"/>
    <cellStyle name="Normal 48" xfId="21526"/>
    <cellStyle name="Normal 48 10" xfId="47259"/>
    <cellStyle name="Normal 48 2" xfId="21527"/>
    <cellStyle name="Normal 48 2 2" xfId="21528"/>
    <cellStyle name="Normal 48 2 2 2" xfId="21529"/>
    <cellStyle name="Normal 48 2 2 3" xfId="21530"/>
    <cellStyle name="Normal 48 2 3" xfId="21531"/>
    <cellStyle name="Normal 48 2 3 2" xfId="47260"/>
    <cellStyle name="Normal 48 2 3 3" xfId="47261"/>
    <cellStyle name="Normal 48 2 4" xfId="21532"/>
    <cellStyle name="Normal 48 2 5" xfId="21533"/>
    <cellStyle name="Normal 48 2 6" xfId="47262"/>
    <cellStyle name="Normal 48 2 7" xfId="47263"/>
    <cellStyle name="Normal 48 2 8" xfId="47264"/>
    <cellStyle name="Normal 48 3" xfId="21534"/>
    <cellStyle name="Normal 48 3 2" xfId="21535"/>
    <cellStyle name="Normal 48 3 2 2" xfId="47265"/>
    <cellStyle name="Normal 48 3 2 3" xfId="47266"/>
    <cellStyle name="Normal 48 3 3" xfId="21536"/>
    <cellStyle name="Normal 48 3 3 2" xfId="47267"/>
    <cellStyle name="Normal 48 3 3 3" xfId="47268"/>
    <cellStyle name="Normal 48 3 4" xfId="47269"/>
    <cellStyle name="Normal 48 3 5" xfId="47270"/>
    <cellStyle name="Normal 48 4" xfId="21537"/>
    <cellStyle name="Normal 48 4 2" xfId="47271"/>
    <cellStyle name="Normal 48 4 3" xfId="47272"/>
    <cellStyle name="Normal 48 5" xfId="21538"/>
    <cellStyle name="Normal 48 5 2" xfId="47273"/>
    <cellStyle name="Normal 48 5 3" xfId="47274"/>
    <cellStyle name="Normal 48 6" xfId="21539"/>
    <cellStyle name="Normal 48 7" xfId="47275"/>
    <cellStyle name="Normal 48 8" xfId="47276"/>
    <cellStyle name="Normal 48 9" xfId="47277"/>
    <cellStyle name="Normal 480" xfId="21540"/>
    <cellStyle name="Normal 480 10" xfId="47278"/>
    <cellStyle name="Normal 480 2" xfId="21541"/>
    <cellStyle name="Normal 480 2 2" xfId="21542"/>
    <cellStyle name="Normal 480 2 2 2" xfId="47279"/>
    <cellStyle name="Normal 480 2 2 3" xfId="47280"/>
    <cellStyle name="Normal 480 2 3" xfId="21543"/>
    <cellStyle name="Normal 480 2 3 2" xfId="47281"/>
    <cellStyle name="Normal 480 2 3 3" xfId="47282"/>
    <cellStyle name="Normal 480 2 4" xfId="47283"/>
    <cellStyle name="Normal 480 2 5" xfId="47284"/>
    <cellStyle name="Normal 480 2 6" xfId="47285"/>
    <cellStyle name="Normal 480 2 7" xfId="47286"/>
    <cellStyle name="Normal 480 2 8" xfId="47287"/>
    <cellStyle name="Normal 480 3" xfId="21544"/>
    <cellStyle name="Normal 480 3 2" xfId="47288"/>
    <cellStyle name="Normal 480 3 2 2" xfId="47289"/>
    <cellStyle name="Normal 480 3 2 3" xfId="47290"/>
    <cellStyle name="Normal 480 3 3" xfId="47291"/>
    <cellStyle name="Normal 480 3 3 2" xfId="47292"/>
    <cellStyle name="Normal 480 3 3 3" xfId="47293"/>
    <cellStyle name="Normal 480 3 4" xfId="47294"/>
    <cellStyle name="Normal 480 3 5" xfId="47295"/>
    <cellStyle name="Normal 480 4" xfId="21545"/>
    <cellStyle name="Normal 480 4 2" xfId="47296"/>
    <cellStyle name="Normal 480 4 3" xfId="47297"/>
    <cellStyle name="Normal 480 5" xfId="21546"/>
    <cellStyle name="Normal 480 5 2" xfId="47298"/>
    <cellStyle name="Normal 480 5 3" xfId="47299"/>
    <cellStyle name="Normal 480 6" xfId="47300"/>
    <cellStyle name="Normal 480 7" xfId="47301"/>
    <cellStyle name="Normal 480 8" xfId="47302"/>
    <cellStyle name="Normal 480 9" xfId="47303"/>
    <cellStyle name="Normal 4800" xfId="21547"/>
    <cellStyle name="Normal 4800 2" xfId="21548"/>
    <cellStyle name="Normal 4801" xfId="21549"/>
    <cellStyle name="Normal 4801 2" xfId="21550"/>
    <cellStyle name="Normal 4802" xfId="21551"/>
    <cellStyle name="Normal 4802 2" xfId="21552"/>
    <cellStyle name="Normal 4803" xfId="21553"/>
    <cellStyle name="Normal 4803 2" xfId="21554"/>
    <cellStyle name="Normal 4804" xfId="21555"/>
    <cellStyle name="Normal 4804 2" xfId="21556"/>
    <cellStyle name="Normal 4805" xfId="21557"/>
    <cellStyle name="Normal 4805 2" xfId="21558"/>
    <cellStyle name="Normal 4806" xfId="21559"/>
    <cellStyle name="Normal 4806 2" xfId="21560"/>
    <cellStyle name="Normal 4807" xfId="21561"/>
    <cellStyle name="Normal 4807 2" xfId="21562"/>
    <cellStyle name="Normal 4808" xfId="21563"/>
    <cellStyle name="Normal 4808 2" xfId="21564"/>
    <cellStyle name="Normal 4809" xfId="21565"/>
    <cellStyle name="Normal 4809 2" xfId="21566"/>
    <cellStyle name="Normal 481" xfId="21567"/>
    <cellStyle name="Normal 481 10" xfId="47304"/>
    <cellStyle name="Normal 481 2" xfId="21568"/>
    <cellStyle name="Normal 481 2 2" xfId="21569"/>
    <cellStyle name="Normal 481 2 2 2" xfId="47305"/>
    <cellStyle name="Normal 481 2 2 3" xfId="47306"/>
    <cellStyle name="Normal 481 2 3" xfId="21570"/>
    <cellStyle name="Normal 481 2 3 2" xfId="47307"/>
    <cellStyle name="Normal 481 2 3 3" xfId="47308"/>
    <cellStyle name="Normal 481 2 4" xfId="47309"/>
    <cellStyle name="Normal 481 2 5" xfId="47310"/>
    <cellStyle name="Normal 481 2 6" xfId="47311"/>
    <cellStyle name="Normal 481 2 7" xfId="47312"/>
    <cellStyle name="Normal 481 2 8" xfId="47313"/>
    <cellStyle name="Normal 481 3" xfId="21571"/>
    <cellStyle name="Normal 481 3 2" xfId="47314"/>
    <cellStyle name="Normal 481 3 2 2" xfId="47315"/>
    <cellStyle name="Normal 481 3 2 3" xfId="47316"/>
    <cellStyle name="Normal 481 3 3" xfId="47317"/>
    <cellStyle name="Normal 481 3 3 2" xfId="47318"/>
    <cellStyle name="Normal 481 3 3 3" xfId="47319"/>
    <cellStyle name="Normal 481 3 4" xfId="47320"/>
    <cellStyle name="Normal 481 3 5" xfId="47321"/>
    <cellStyle name="Normal 481 4" xfId="21572"/>
    <cellStyle name="Normal 481 4 2" xfId="47322"/>
    <cellStyle name="Normal 481 4 3" xfId="47323"/>
    <cellStyle name="Normal 481 5" xfId="21573"/>
    <cellStyle name="Normal 481 5 2" xfId="47324"/>
    <cellStyle name="Normal 481 5 3" xfId="47325"/>
    <cellStyle name="Normal 481 6" xfId="47326"/>
    <cellStyle name="Normal 481 7" xfId="47327"/>
    <cellStyle name="Normal 481 8" xfId="47328"/>
    <cellStyle name="Normal 481 9" xfId="47329"/>
    <cellStyle name="Normal 4810" xfId="21574"/>
    <cellStyle name="Normal 4810 2" xfId="21575"/>
    <cellStyle name="Normal 4811" xfId="21576"/>
    <cellStyle name="Normal 4811 2" xfId="21577"/>
    <cellStyle name="Normal 4812" xfId="21578"/>
    <cellStyle name="Normal 4812 2" xfId="21579"/>
    <cellStyle name="Normal 4813" xfId="21580"/>
    <cellStyle name="Normal 4813 2" xfId="21581"/>
    <cellStyle name="Normal 4814" xfId="21582"/>
    <cellStyle name="Normal 4814 2" xfId="21583"/>
    <cellStyle name="Normal 4815" xfId="21584"/>
    <cellStyle name="Normal 4815 2" xfId="21585"/>
    <cellStyle name="Normal 4816" xfId="21586"/>
    <cellStyle name="Normal 4816 2" xfId="21587"/>
    <cellStyle name="Normal 4817" xfId="21588"/>
    <cellStyle name="Normal 4817 2" xfId="21589"/>
    <cellStyle name="Normal 4818" xfId="21590"/>
    <cellStyle name="Normal 4818 2" xfId="21591"/>
    <cellStyle name="Normal 4819" xfId="21592"/>
    <cellStyle name="Normal 4819 2" xfId="21593"/>
    <cellStyle name="Normal 482" xfId="21594"/>
    <cellStyle name="Normal 482 10" xfId="47330"/>
    <cellStyle name="Normal 482 2" xfId="21595"/>
    <cellStyle name="Normal 482 2 2" xfId="21596"/>
    <cellStyle name="Normal 482 2 2 2" xfId="47331"/>
    <cellStyle name="Normal 482 2 2 3" xfId="47332"/>
    <cellStyle name="Normal 482 2 3" xfId="21597"/>
    <cellStyle name="Normal 482 2 3 2" xfId="47333"/>
    <cellStyle name="Normal 482 2 3 3" xfId="47334"/>
    <cellStyle name="Normal 482 2 4" xfId="47335"/>
    <cellStyle name="Normal 482 2 5" xfId="47336"/>
    <cellStyle name="Normal 482 2 6" xfId="47337"/>
    <cellStyle name="Normal 482 2 7" xfId="47338"/>
    <cellStyle name="Normal 482 2 8" xfId="47339"/>
    <cellStyle name="Normal 482 3" xfId="21598"/>
    <cellStyle name="Normal 482 3 2" xfId="47340"/>
    <cellStyle name="Normal 482 3 2 2" xfId="47341"/>
    <cellStyle name="Normal 482 3 2 3" xfId="47342"/>
    <cellStyle name="Normal 482 3 3" xfId="47343"/>
    <cellStyle name="Normal 482 3 3 2" xfId="47344"/>
    <cellStyle name="Normal 482 3 3 3" xfId="47345"/>
    <cellStyle name="Normal 482 3 4" xfId="47346"/>
    <cellStyle name="Normal 482 3 5" xfId="47347"/>
    <cellStyle name="Normal 482 4" xfId="21599"/>
    <cellStyle name="Normal 482 4 2" xfId="47348"/>
    <cellStyle name="Normal 482 4 3" xfId="47349"/>
    <cellStyle name="Normal 482 5" xfId="21600"/>
    <cellStyle name="Normal 482 5 2" xfId="47350"/>
    <cellStyle name="Normal 482 5 3" xfId="47351"/>
    <cellStyle name="Normal 482 6" xfId="47352"/>
    <cellStyle name="Normal 482 7" xfId="47353"/>
    <cellStyle name="Normal 482 8" xfId="47354"/>
    <cellStyle name="Normal 482 9" xfId="47355"/>
    <cellStyle name="Normal 4820" xfId="21601"/>
    <cellStyle name="Normal 4820 2" xfId="21602"/>
    <cellStyle name="Normal 4821" xfId="21603"/>
    <cellStyle name="Normal 4821 2" xfId="21604"/>
    <cellStyle name="Normal 4822" xfId="21605"/>
    <cellStyle name="Normal 4822 2" xfId="21606"/>
    <cellStyle name="Normal 4823" xfId="21607"/>
    <cellStyle name="Normal 4823 2" xfId="21608"/>
    <cellStyle name="Normal 4824" xfId="21609"/>
    <cellStyle name="Normal 4824 2" xfId="21610"/>
    <cellStyle name="Normal 4825" xfId="21611"/>
    <cellStyle name="Normal 4825 2" xfId="21612"/>
    <cellStyle name="Normal 4826" xfId="21613"/>
    <cellStyle name="Normal 4826 2" xfId="21614"/>
    <cellStyle name="Normal 4827" xfId="21615"/>
    <cellStyle name="Normal 4827 2" xfId="21616"/>
    <cellStyle name="Normal 4828" xfId="21617"/>
    <cellStyle name="Normal 4828 2" xfId="21618"/>
    <cellStyle name="Normal 4829" xfId="21619"/>
    <cellStyle name="Normal 4829 2" xfId="21620"/>
    <cellStyle name="Normal 483" xfId="21621"/>
    <cellStyle name="Normal 483 10" xfId="47356"/>
    <cellStyle name="Normal 483 2" xfId="21622"/>
    <cellStyle name="Normal 483 2 2" xfId="21623"/>
    <cellStyle name="Normal 483 2 2 2" xfId="47357"/>
    <cellStyle name="Normal 483 2 2 3" xfId="47358"/>
    <cellStyle name="Normal 483 2 3" xfId="21624"/>
    <cellStyle name="Normal 483 2 3 2" xfId="47359"/>
    <cellStyle name="Normal 483 2 3 3" xfId="47360"/>
    <cellStyle name="Normal 483 2 4" xfId="47361"/>
    <cellStyle name="Normal 483 2 5" xfId="47362"/>
    <cellStyle name="Normal 483 2 6" xfId="47363"/>
    <cellStyle name="Normal 483 2 7" xfId="47364"/>
    <cellStyle name="Normal 483 2 8" xfId="47365"/>
    <cellStyle name="Normal 483 3" xfId="21625"/>
    <cellStyle name="Normal 483 3 2" xfId="47366"/>
    <cellStyle name="Normal 483 3 2 2" xfId="47367"/>
    <cellStyle name="Normal 483 3 2 3" xfId="47368"/>
    <cellStyle name="Normal 483 3 3" xfId="47369"/>
    <cellStyle name="Normal 483 3 3 2" xfId="47370"/>
    <cellStyle name="Normal 483 3 3 3" xfId="47371"/>
    <cellStyle name="Normal 483 3 4" xfId="47372"/>
    <cellStyle name="Normal 483 3 5" xfId="47373"/>
    <cellStyle name="Normal 483 4" xfId="21626"/>
    <cellStyle name="Normal 483 4 2" xfId="47374"/>
    <cellStyle name="Normal 483 4 3" xfId="47375"/>
    <cellStyle name="Normal 483 5" xfId="21627"/>
    <cellStyle name="Normal 483 5 2" xfId="47376"/>
    <cellStyle name="Normal 483 5 3" xfId="47377"/>
    <cellStyle name="Normal 483 6" xfId="47378"/>
    <cellStyle name="Normal 483 7" xfId="47379"/>
    <cellStyle name="Normal 483 8" xfId="47380"/>
    <cellStyle name="Normal 483 9" xfId="47381"/>
    <cellStyle name="Normal 4830" xfId="21628"/>
    <cellStyle name="Normal 4830 2" xfId="21629"/>
    <cellStyle name="Normal 4831" xfId="21630"/>
    <cellStyle name="Normal 4831 2" xfId="21631"/>
    <cellStyle name="Normal 4832" xfId="21632"/>
    <cellStyle name="Normal 4832 2" xfId="21633"/>
    <cellStyle name="Normal 4833" xfId="21634"/>
    <cellStyle name="Normal 4833 2" xfId="21635"/>
    <cellStyle name="Normal 4834" xfId="21636"/>
    <cellStyle name="Normal 4834 2" xfId="21637"/>
    <cellStyle name="Normal 4835" xfId="21638"/>
    <cellStyle name="Normal 4835 2" xfId="21639"/>
    <cellStyle name="Normal 4836" xfId="21640"/>
    <cellStyle name="Normal 4836 2" xfId="21641"/>
    <cellStyle name="Normal 4837" xfId="21642"/>
    <cellStyle name="Normal 4837 2" xfId="21643"/>
    <cellStyle name="Normal 4838" xfId="21644"/>
    <cellStyle name="Normal 4838 2" xfId="21645"/>
    <cellStyle name="Normal 4839" xfId="21646"/>
    <cellStyle name="Normal 4839 2" xfId="21647"/>
    <cellStyle name="Normal 484" xfId="21648"/>
    <cellStyle name="Normal 484 10" xfId="47382"/>
    <cellStyle name="Normal 484 2" xfId="21649"/>
    <cellStyle name="Normal 484 2 2" xfId="21650"/>
    <cellStyle name="Normal 484 2 2 2" xfId="47383"/>
    <cellStyle name="Normal 484 2 2 3" xfId="47384"/>
    <cellStyle name="Normal 484 2 3" xfId="21651"/>
    <cellStyle name="Normal 484 2 3 2" xfId="47385"/>
    <cellStyle name="Normal 484 2 3 3" xfId="47386"/>
    <cellStyle name="Normal 484 2 4" xfId="47387"/>
    <cellStyle name="Normal 484 2 5" xfId="47388"/>
    <cellStyle name="Normal 484 2 6" xfId="47389"/>
    <cellStyle name="Normal 484 2 7" xfId="47390"/>
    <cellStyle name="Normal 484 2 8" xfId="47391"/>
    <cellStyle name="Normal 484 3" xfId="21652"/>
    <cellStyle name="Normal 484 3 2" xfId="47392"/>
    <cellStyle name="Normal 484 3 2 2" xfId="47393"/>
    <cellStyle name="Normal 484 3 2 3" xfId="47394"/>
    <cellStyle name="Normal 484 3 3" xfId="47395"/>
    <cellStyle name="Normal 484 3 3 2" xfId="47396"/>
    <cellStyle name="Normal 484 3 3 3" xfId="47397"/>
    <cellStyle name="Normal 484 3 4" xfId="47398"/>
    <cellStyle name="Normal 484 3 5" xfId="47399"/>
    <cellStyle name="Normal 484 4" xfId="21653"/>
    <cellStyle name="Normal 484 4 2" xfId="47400"/>
    <cellStyle name="Normal 484 4 3" xfId="47401"/>
    <cellStyle name="Normal 484 5" xfId="21654"/>
    <cellStyle name="Normal 484 5 2" xfId="47402"/>
    <cellStyle name="Normal 484 5 3" xfId="47403"/>
    <cellStyle name="Normal 484 6" xfId="47404"/>
    <cellStyle name="Normal 484 7" xfId="47405"/>
    <cellStyle name="Normal 484 8" xfId="47406"/>
    <cellStyle name="Normal 484 9" xfId="47407"/>
    <cellStyle name="Normal 4840" xfId="21655"/>
    <cellStyle name="Normal 4840 2" xfId="21656"/>
    <cellStyle name="Normal 4841" xfId="21657"/>
    <cellStyle name="Normal 4841 2" xfId="21658"/>
    <cellStyle name="Normal 4842" xfId="21659"/>
    <cellStyle name="Normal 4842 2" xfId="21660"/>
    <cellStyle name="Normal 4842 3" xfId="21661"/>
    <cellStyle name="Normal 4843" xfId="21662"/>
    <cellStyle name="Normal 4843 2" xfId="21663"/>
    <cellStyle name="Normal 4843 3" xfId="21664"/>
    <cellStyle name="Normal 4844" xfId="21665"/>
    <cellStyle name="Normal 4844 2" xfId="21666"/>
    <cellStyle name="Normal 4845" xfId="21667"/>
    <cellStyle name="Normal 4845 2" xfId="21668"/>
    <cellStyle name="Normal 4846" xfId="21669"/>
    <cellStyle name="Normal 4846 2" xfId="21670"/>
    <cellStyle name="Normal 4847" xfId="21671"/>
    <cellStyle name="Normal 4847 2" xfId="21672"/>
    <cellStyle name="Normal 4848" xfId="21673"/>
    <cellStyle name="Normal 4848 2" xfId="21674"/>
    <cellStyle name="Normal 4849" xfId="21675"/>
    <cellStyle name="Normal 4849 2" xfId="21676"/>
    <cellStyle name="Normal 485" xfId="21677"/>
    <cellStyle name="Normal 485 10" xfId="47408"/>
    <cellStyle name="Normal 485 2" xfId="21678"/>
    <cellStyle name="Normal 485 2 2" xfId="21679"/>
    <cellStyle name="Normal 485 2 2 2" xfId="47409"/>
    <cellStyle name="Normal 485 2 2 3" xfId="47410"/>
    <cellStyle name="Normal 485 2 3" xfId="21680"/>
    <cellStyle name="Normal 485 2 3 2" xfId="47411"/>
    <cellStyle name="Normal 485 2 3 3" xfId="47412"/>
    <cellStyle name="Normal 485 2 4" xfId="47413"/>
    <cellStyle name="Normal 485 2 5" xfId="47414"/>
    <cellStyle name="Normal 485 2 6" xfId="47415"/>
    <cellStyle name="Normal 485 2 7" xfId="47416"/>
    <cellStyle name="Normal 485 2 8" xfId="47417"/>
    <cellStyle name="Normal 485 3" xfId="21681"/>
    <cellStyle name="Normal 485 3 2" xfId="47418"/>
    <cellStyle name="Normal 485 3 2 2" xfId="47419"/>
    <cellStyle name="Normal 485 3 2 3" xfId="47420"/>
    <cellStyle name="Normal 485 3 3" xfId="47421"/>
    <cellStyle name="Normal 485 3 3 2" xfId="47422"/>
    <cellStyle name="Normal 485 3 3 3" xfId="47423"/>
    <cellStyle name="Normal 485 3 4" xfId="47424"/>
    <cellStyle name="Normal 485 3 5" xfId="47425"/>
    <cellStyle name="Normal 485 4" xfId="21682"/>
    <cellStyle name="Normal 485 4 2" xfId="47426"/>
    <cellStyle name="Normal 485 4 3" xfId="47427"/>
    <cellStyle name="Normal 485 5" xfId="21683"/>
    <cellStyle name="Normal 485 5 2" xfId="47428"/>
    <cellStyle name="Normal 485 5 3" xfId="47429"/>
    <cellStyle name="Normal 485 6" xfId="47430"/>
    <cellStyle name="Normal 485 7" xfId="47431"/>
    <cellStyle name="Normal 485 8" xfId="47432"/>
    <cellStyle name="Normal 485 9" xfId="47433"/>
    <cellStyle name="Normal 4850" xfId="21684"/>
    <cellStyle name="Normal 4850 2" xfId="21685"/>
    <cellStyle name="Normal 4851" xfId="21686"/>
    <cellStyle name="Normal 4851 2" xfId="21687"/>
    <cellStyle name="Normal 4852" xfId="21688"/>
    <cellStyle name="Normal 4852 2" xfId="21689"/>
    <cellStyle name="Normal 4853" xfId="21690"/>
    <cellStyle name="Normal 4853 2" xfId="21691"/>
    <cellStyle name="Normal 4854" xfId="21692"/>
    <cellStyle name="Normal 4854 2" xfId="21693"/>
    <cellStyle name="Normal 4855" xfId="21694"/>
    <cellStyle name="Normal 4855 2" xfId="21695"/>
    <cellStyle name="Normal 4856" xfId="21696"/>
    <cellStyle name="Normal 4856 2" xfId="21697"/>
    <cellStyle name="Normal 4857" xfId="21698"/>
    <cellStyle name="Normal 4857 2" xfId="21699"/>
    <cellStyle name="Normal 4858" xfId="21700"/>
    <cellStyle name="Normal 4858 2" xfId="21701"/>
    <cellStyle name="Normal 4859" xfId="21702"/>
    <cellStyle name="Normal 4859 2" xfId="21703"/>
    <cellStyle name="Normal 486" xfId="21704"/>
    <cellStyle name="Normal 486 10" xfId="47434"/>
    <cellStyle name="Normal 486 2" xfId="21705"/>
    <cellStyle name="Normal 486 2 2" xfId="21706"/>
    <cellStyle name="Normal 486 2 2 2" xfId="47435"/>
    <cellStyle name="Normal 486 2 2 3" xfId="47436"/>
    <cellStyle name="Normal 486 2 3" xfId="21707"/>
    <cellStyle name="Normal 486 2 3 2" xfId="47437"/>
    <cellStyle name="Normal 486 2 3 3" xfId="47438"/>
    <cellStyle name="Normal 486 2 4" xfId="47439"/>
    <cellStyle name="Normal 486 2 5" xfId="47440"/>
    <cellStyle name="Normal 486 2 6" xfId="47441"/>
    <cellStyle name="Normal 486 2 7" xfId="47442"/>
    <cellStyle name="Normal 486 2 8" xfId="47443"/>
    <cellStyle name="Normal 486 3" xfId="21708"/>
    <cellStyle name="Normal 486 3 2" xfId="47444"/>
    <cellStyle name="Normal 486 3 2 2" xfId="47445"/>
    <cellStyle name="Normal 486 3 2 3" xfId="47446"/>
    <cellStyle name="Normal 486 3 3" xfId="47447"/>
    <cellStyle name="Normal 486 3 3 2" xfId="47448"/>
    <cellStyle name="Normal 486 3 3 3" xfId="47449"/>
    <cellStyle name="Normal 486 3 4" xfId="47450"/>
    <cellStyle name="Normal 486 3 5" xfId="47451"/>
    <cellStyle name="Normal 486 4" xfId="21709"/>
    <cellStyle name="Normal 486 4 2" xfId="47452"/>
    <cellStyle name="Normal 486 4 3" xfId="47453"/>
    <cellStyle name="Normal 486 5" xfId="21710"/>
    <cellStyle name="Normal 486 5 2" xfId="47454"/>
    <cellStyle name="Normal 486 5 3" xfId="47455"/>
    <cellStyle name="Normal 486 6" xfId="47456"/>
    <cellStyle name="Normal 486 7" xfId="47457"/>
    <cellStyle name="Normal 486 8" xfId="47458"/>
    <cellStyle name="Normal 486 9" xfId="47459"/>
    <cellStyle name="Normal 4860" xfId="21711"/>
    <cellStyle name="Normal 4860 2" xfId="21712"/>
    <cellStyle name="Normal 4861" xfId="21713"/>
    <cellStyle name="Normal 4861 2" xfId="21714"/>
    <cellStyle name="Normal 4862" xfId="21715"/>
    <cellStyle name="Normal 4862 2" xfId="21716"/>
    <cellStyle name="Normal 4863" xfId="21717"/>
    <cellStyle name="Normal 4863 2" xfId="21718"/>
    <cellStyle name="Normal 4864" xfId="21719"/>
    <cellStyle name="Normal 4864 2" xfId="21720"/>
    <cellStyle name="Normal 4865" xfId="21721"/>
    <cellStyle name="Normal 4865 2" xfId="21722"/>
    <cellStyle name="Normal 4866" xfId="21723"/>
    <cellStyle name="Normal 4866 2" xfId="21724"/>
    <cellStyle name="Normal 4867" xfId="21725"/>
    <cellStyle name="Normal 4867 2" xfId="21726"/>
    <cellStyle name="Normal 4868" xfId="21727"/>
    <cellStyle name="Normal 4868 2" xfId="21728"/>
    <cellStyle name="Normal 4869" xfId="21729"/>
    <cellStyle name="Normal 4869 2" xfId="21730"/>
    <cellStyle name="Normal 487" xfId="21731"/>
    <cellStyle name="Normal 487 10" xfId="47460"/>
    <cellStyle name="Normal 487 2" xfId="21732"/>
    <cellStyle name="Normal 487 2 2" xfId="21733"/>
    <cellStyle name="Normal 487 2 2 2" xfId="47461"/>
    <cellStyle name="Normal 487 2 2 3" xfId="47462"/>
    <cellStyle name="Normal 487 2 3" xfId="21734"/>
    <cellStyle name="Normal 487 2 3 2" xfId="47463"/>
    <cellStyle name="Normal 487 2 3 3" xfId="47464"/>
    <cellStyle name="Normal 487 2 4" xfId="47465"/>
    <cellStyle name="Normal 487 2 5" xfId="47466"/>
    <cellStyle name="Normal 487 2 6" xfId="47467"/>
    <cellStyle name="Normal 487 2 7" xfId="47468"/>
    <cellStyle name="Normal 487 2 8" xfId="47469"/>
    <cellStyle name="Normal 487 3" xfId="21735"/>
    <cellStyle name="Normal 487 3 2" xfId="47470"/>
    <cellStyle name="Normal 487 3 2 2" xfId="47471"/>
    <cellStyle name="Normal 487 3 2 3" xfId="47472"/>
    <cellStyle name="Normal 487 3 3" xfId="47473"/>
    <cellStyle name="Normal 487 3 3 2" xfId="47474"/>
    <cellStyle name="Normal 487 3 3 3" xfId="47475"/>
    <cellStyle name="Normal 487 3 4" xfId="47476"/>
    <cellStyle name="Normal 487 3 5" xfId="47477"/>
    <cellStyle name="Normal 487 4" xfId="21736"/>
    <cellStyle name="Normal 487 4 2" xfId="47478"/>
    <cellStyle name="Normal 487 4 3" xfId="47479"/>
    <cellStyle name="Normal 487 5" xfId="21737"/>
    <cellStyle name="Normal 487 5 2" xfId="47480"/>
    <cellStyle name="Normal 487 5 3" xfId="47481"/>
    <cellStyle name="Normal 487 6" xfId="47482"/>
    <cellStyle name="Normal 487 7" xfId="47483"/>
    <cellStyle name="Normal 487 8" xfId="47484"/>
    <cellStyle name="Normal 487 9" xfId="47485"/>
    <cellStyle name="Normal 4870" xfId="21738"/>
    <cellStyle name="Normal 4870 2" xfId="21739"/>
    <cellStyle name="Normal 4871" xfId="21740"/>
    <cellStyle name="Normal 4871 2" xfId="21741"/>
    <cellStyle name="Normal 4872" xfId="21742"/>
    <cellStyle name="Normal 4872 2" xfId="21743"/>
    <cellStyle name="Normal 4873" xfId="21744"/>
    <cellStyle name="Normal 4873 2" xfId="21745"/>
    <cellStyle name="Normal 4874" xfId="21746"/>
    <cellStyle name="Normal 4874 2" xfId="21747"/>
    <cellStyle name="Normal 4875" xfId="21748"/>
    <cellStyle name="Normal 4875 2" xfId="21749"/>
    <cellStyle name="Normal 4876" xfId="21750"/>
    <cellStyle name="Normal 4876 2" xfId="21751"/>
    <cellStyle name="Normal 4877" xfId="21752"/>
    <cellStyle name="Normal 4877 2" xfId="21753"/>
    <cellStyle name="Normal 4878" xfId="21754"/>
    <cellStyle name="Normal 4878 2" xfId="21755"/>
    <cellStyle name="Normal 4879" xfId="21756"/>
    <cellStyle name="Normal 4879 2" xfId="21757"/>
    <cellStyle name="Normal 488" xfId="21758"/>
    <cellStyle name="Normal 488 10" xfId="47486"/>
    <cellStyle name="Normal 488 2" xfId="21759"/>
    <cellStyle name="Normal 488 2 2" xfId="21760"/>
    <cellStyle name="Normal 488 2 2 2" xfId="47487"/>
    <cellStyle name="Normal 488 2 2 3" xfId="47488"/>
    <cellStyle name="Normal 488 2 3" xfId="21761"/>
    <cellStyle name="Normal 488 2 3 2" xfId="47489"/>
    <cellStyle name="Normal 488 2 3 3" xfId="47490"/>
    <cellStyle name="Normal 488 2 4" xfId="47491"/>
    <cellStyle name="Normal 488 2 5" xfId="47492"/>
    <cellStyle name="Normal 488 2 6" xfId="47493"/>
    <cellStyle name="Normal 488 2 7" xfId="47494"/>
    <cellStyle name="Normal 488 2 8" xfId="47495"/>
    <cellStyle name="Normal 488 3" xfId="21762"/>
    <cellStyle name="Normal 488 3 2" xfId="47496"/>
    <cellStyle name="Normal 488 3 2 2" xfId="47497"/>
    <cellStyle name="Normal 488 3 2 3" xfId="47498"/>
    <cellStyle name="Normal 488 3 3" xfId="47499"/>
    <cellStyle name="Normal 488 3 3 2" xfId="47500"/>
    <cellStyle name="Normal 488 3 3 3" xfId="47501"/>
    <cellStyle name="Normal 488 3 4" xfId="47502"/>
    <cellStyle name="Normal 488 3 5" xfId="47503"/>
    <cellStyle name="Normal 488 4" xfId="21763"/>
    <cellStyle name="Normal 488 4 2" xfId="47504"/>
    <cellStyle name="Normal 488 4 3" xfId="47505"/>
    <cellStyle name="Normal 488 5" xfId="21764"/>
    <cellStyle name="Normal 488 5 2" xfId="47506"/>
    <cellStyle name="Normal 488 5 3" xfId="47507"/>
    <cellStyle name="Normal 488 6" xfId="47508"/>
    <cellStyle name="Normal 488 7" xfId="47509"/>
    <cellStyle name="Normal 488 8" xfId="47510"/>
    <cellStyle name="Normal 488 9" xfId="47511"/>
    <cellStyle name="Normal 4880" xfId="21765"/>
    <cellStyle name="Normal 4880 2" xfId="21766"/>
    <cellStyle name="Normal 4881" xfId="21767"/>
    <cellStyle name="Normal 4881 2" xfId="21768"/>
    <cellStyle name="Normal 4882" xfId="21769"/>
    <cellStyle name="Normal 4883" xfId="21770"/>
    <cellStyle name="Normal 4884" xfId="21771"/>
    <cellStyle name="Normal 4885" xfId="21772"/>
    <cellStyle name="Normal 4886" xfId="21773"/>
    <cellStyle name="Normal 4887" xfId="21774"/>
    <cellStyle name="Normal 4888" xfId="21775"/>
    <cellStyle name="Normal 4889" xfId="21776"/>
    <cellStyle name="Normal 489" xfId="21777"/>
    <cellStyle name="Normal 489 10" xfId="47512"/>
    <cellStyle name="Normal 489 2" xfId="21778"/>
    <cellStyle name="Normal 489 2 2" xfId="21779"/>
    <cellStyle name="Normal 489 2 2 2" xfId="47513"/>
    <cellStyle name="Normal 489 2 2 3" xfId="47514"/>
    <cellStyle name="Normal 489 2 3" xfId="21780"/>
    <cellStyle name="Normal 489 2 3 2" xfId="47515"/>
    <cellStyle name="Normal 489 2 3 3" xfId="47516"/>
    <cellStyle name="Normal 489 2 4" xfId="47517"/>
    <cellStyle name="Normal 489 2 5" xfId="47518"/>
    <cellStyle name="Normal 489 2 6" xfId="47519"/>
    <cellStyle name="Normal 489 2 7" xfId="47520"/>
    <cellStyle name="Normal 489 2 8" xfId="47521"/>
    <cellStyle name="Normal 489 3" xfId="21781"/>
    <cellStyle name="Normal 489 3 2" xfId="47522"/>
    <cellStyle name="Normal 489 3 2 2" xfId="47523"/>
    <cellStyle name="Normal 489 3 2 3" xfId="47524"/>
    <cellStyle name="Normal 489 3 3" xfId="47525"/>
    <cellStyle name="Normal 489 3 3 2" xfId="47526"/>
    <cellStyle name="Normal 489 3 3 3" xfId="47527"/>
    <cellStyle name="Normal 489 3 4" xfId="47528"/>
    <cellStyle name="Normal 489 3 5" xfId="47529"/>
    <cellStyle name="Normal 489 4" xfId="21782"/>
    <cellStyle name="Normal 489 4 2" xfId="47530"/>
    <cellStyle name="Normal 489 4 3" xfId="47531"/>
    <cellStyle name="Normal 489 5" xfId="21783"/>
    <cellStyle name="Normal 489 5 2" xfId="47532"/>
    <cellStyle name="Normal 489 5 3" xfId="47533"/>
    <cellStyle name="Normal 489 6" xfId="47534"/>
    <cellStyle name="Normal 489 7" xfId="47535"/>
    <cellStyle name="Normal 489 8" xfId="47536"/>
    <cellStyle name="Normal 489 9" xfId="47537"/>
    <cellStyle name="Normal 4890" xfId="21784"/>
    <cellStyle name="Normal 4891" xfId="21785"/>
    <cellStyle name="Normal 4892" xfId="21786"/>
    <cellStyle name="Normal 4893" xfId="21787"/>
    <cellStyle name="Normal 4894" xfId="21788"/>
    <cellStyle name="Normal 4895" xfId="21789"/>
    <cellStyle name="Normal 4896" xfId="21790"/>
    <cellStyle name="Normal 4897" xfId="21791"/>
    <cellStyle name="Normal 4898" xfId="21792"/>
    <cellStyle name="Normal 4899" xfId="21793"/>
    <cellStyle name="Normal 49" xfId="21794"/>
    <cellStyle name="Normal 49 10" xfId="47538"/>
    <cellStyle name="Normal 49 2" xfId="21795"/>
    <cellStyle name="Normal 49 2 2" xfId="21796"/>
    <cellStyle name="Normal 49 2 2 2" xfId="21797"/>
    <cellStyle name="Normal 49 2 2 3" xfId="21798"/>
    <cellStyle name="Normal 49 2 3" xfId="21799"/>
    <cellStyle name="Normal 49 2 3 2" xfId="47539"/>
    <cellStyle name="Normal 49 2 3 3" xfId="47540"/>
    <cellStyle name="Normal 49 2 4" xfId="21800"/>
    <cellStyle name="Normal 49 2 5" xfId="21801"/>
    <cellStyle name="Normal 49 2 6" xfId="47541"/>
    <cellStyle name="Normal 49 2 7" xfId="47542"/>
    <cellStyle name="Normal 49 2 8" xfId="47543"/>
    <cellStyle name="Normal 49 3" xfId="21802"/>
    <cellStyle name="Normal 49 3 2" xfId="21803"/>
    <cellStyle name="Normal 49 3 2 2" xfId="47544"/>
    <cellStyle name="Normal 49 3 2 3" xfId="47545"/>
    <cellStyle name="Normal 49 3 3" xfId="21804"/>
    <cellStyle name="Normal 49 3 3 2" xfId="47546"/>
    <cellStyle name="Normal 49 3 3 3" xfId="47547"/>
    <cellStyle name="Normal 49 3 4" xfId="47548"/>
    <cellStyle name="Normal 49 3 5" xfId="47549"/>
    <cellStyle name="Normal 49 4" xfId="21805"/>
    <cellStyle name="Normal 49 4 2" xfId="47550"/>
    <cellStyle name="Normal 49 4 3" xfId="47551"/>
    <cellStyle name="Normal 49 5" xfId="21806"/>
    <cellStyle name="Normal 49 5 2" xfId="47552"/>
    <cellStyle name="Normal 49 5 3" xfId="47553"/>
    <cellStyle name="Normal 49 6" xfId="21807"/>
    <cellStyle name="Normal 49 7" xfId="47554"/>
    <cellStyle name="Normal 49 8" xfId="47555"/>
    <cellStyle name="Normal 49 9" xfId="47556"/>
    <cellStyle name="Normal 490" xfId="21808"/>
    <cellStyle name="Normal 490 10" xfId="47557"/>
    <cellStyle name="Normal 490 2" xfId="21809"/>
    <cellStyle name="Normal 490 2 2" xfId="21810"/>
    <cellStyle name="Normal 490 2 2 2" xfId="47558"/>
    <cellStyle name="Normal 490 2 2 3" xfId="47559"/>
    <cellStyle name="Normal 490 2 3" xfId="21811"/>
    <cellStyle name="Normal 490 2 3 2" xfId="47560"/>
    <cellStyle name="Normal 490 2 3 3" xfId="47561"/>
    <cellStyle name="Normal 490 2 4" xfId="47562"/>
    <cellStyle name="Normal 490 2 5" xfId="47563"/>
    <cellStyle name="Normal 490 2 6" xfId="47564"/>
    <cellStyle name="Normal 490 2 7" xfId="47565"/>
    <cellStyle name="Normal 490 2 8" xfId="47566"/>
    <cellStyle name="Normal 490 3" xfId="21812"/>
    <cellStyle name="Normal 490 3 2" xfId="47567"/>
    <cellStyle name="Normal 490 3 2 2" xfId="47568"/>
    <cellStyle name="Normal 490 3 2 3" xfId="47569"/>
    <cellStyle name="Normal 490 3 3" xfId="47570"/>
    <cellStyle name="Normal 490 3 3 2" xfId="47571"/>
    <cellStyle name="Normal 490 3 3 3" xfId="47572"/>
    <cellStyle name="Normal 490 3 4" xfId="47573"/>
    <cellStyle name="Normal 490 3 5" xfId="47574"/>
    <cellStyle name="Normal 490 4" xfId="21813"/>
    <cellStyle name="Normal 490 4 2" xfId="47575"/>
    <cellStyle name="Normal 490 4 3" xfId="47576"/>
    <cellStyle name="Normal 490 5" xfId="21814"/>
    <cellStyle name="Normal 490 5 2" xfId="47577"/>
    <cellStyle name="Normal 490 5 3" xfId="47578"/>
    <cellStyle name="Normal 490 6" xfId="47579"/>
    <cellStyle name="Normal 490 7" xfId="47580"/>
    <cellStyle name="Normal 490 8" xfId="47581"/>
    <cellStyle name="Normal 490 9" xfId="47582"/>
    <cellStyle name="Normal 4900" xfId="21815"/>
    <cellStyle name="Normal 4901" xfId="21816"/>
    <cellStyle name="Normal 4902" xfId="21817"/>
    <cellStyle name="Normal 4903" xfId="21818"/>
    <cellStyle name="Normal 4904" xfId="21819"/>
    <cellStyle name="Normal 4905" xfId="21820"/>
    <cellStyle name="Normal 4906" xfId="21821"/>
    <cellStyle name="Normal 4907" xfId="21822"/>
    <cellStyle name="Normal 4908" xfId="21823"/>
    <cellStyle name="Normal 4909" xfId="21824"/>
    <cellStyle name="Normal 491" xfId="21825"/>
    <cellStyle name="Normal 491 10" xfId="47583"/>
    <cellStyle name="Normal 491 2" xfId="21826"/>
    <cellStyle name="Normal 491 2 2" xfId="21827"/>
    <cellStyle name="Normal 491 2 2 2" xfId="47584"/>
    <cellStyle name="Normal 491 2 2 3" xfId="47585"/>
    <cellStyle name="Normal 491 2 3" xfId="21828"/>
    <cellStyle name="Normal 491 2 3 2" xfId="47586"/>
    <cellStyle name="Normal 491 2 3 3" xfId="47587"/>
    <cellStyle name="Normal 491 2 4" xfId="47588"/>
    <cellStyle name="Normal 491 2 5" xfId="47589"/>
    <cellStyle name="Normal 491 2 6" xfId="47590"/>
    <cellStyle name="Normal 491 2 7" xfId="47591"/>
    <cellStyle name="Normal 491 2 8" xfId="47592"/>
    <cellStyle name="Normal 491 3" xfId="21829"/>
    <cellStyle name="Normal 491 3 2" xfId="47593"/>
    <cellStyle name="Normal 491 3 2 2" xfId="47594"/>
    <cellStyle name="Normal 491 3 2 3" xfId="47595"/>
    <cellStyle name="Normal 491 3 3" xfId="47596"/>
    <cellStyle name="Normal 491 3 3 2" xfId="47597"/>
    <cellStyle name="Normal 491 3 3 3" xfId="47598"/>
    <cellStyle name="Normal 491 3 4" xfId="47599"/>
    <cellStyle name="Normal 491 3 5" xfId="47600"/>
    <cellStyle name="Normal 491 4" xfId="21830"/>
    <cellStyle name="Normal 491 4 2" xfId="47601"/>
    <cellStyle name="Normal 491 4 3" xfId="47602"/>
    <cellStyle name="Normal 491 5" xfId="21831"/>
    <cellStyle name="Normal 491 5 2" xfId="47603"/>
    <cellStyle name="Normal 491 5 3" xfId="47604"/>
    <cellStyle name="Normal 491 6" xfId="47605"/>
    <cellStyle name="Normal 491 7" xfId="47606"/>
    <cellStyle name="Normal 491 8" xfId="47607"/>
    <cellStyle name="Normal 491 9" xfId="47608"/>
    <cellStyle name="Normal 4910" xfId="21832"/>
    <cellStyle name="Normal 4911" xfId="21833"/>
    <cellStyle name="Normal 4912" xfId="21834"/>
    <cellStyle name="Normal 4913" xfId="21835"/>
    <cellStyle name="Normal 4914" xfId="21836"/>
    <cellStyle name="Normal 4915" xfId="21837"/>
    <cellStyle name="Normal 4916" xfId="21838"/>
    <cellStyle name="Normal 4917" xfId="21839"/>
    <cellStyle name="Normal 4918" xfId="21840"/>
    <cellStyle name="Normal 4919" xfId="21841"/>
    <cellStyle name="Normal 492" xfId="21842"/>
    <cellStyle name="Normal 492 10" xfId="47609"/>
    <cellStyle name="Normal 492 2" xfId="21843"/>
    <cellStyle name="Normal 492 2 2" xfId="21844"/>
    <cellStyle name="Normal 492 2 2 2" xfId="47610"/>
    <cellStyle name="Normal 492 2 2 3" xfId="47611"/>
    <cellStyle name="Normal 492 2 3" xfId="21845"/>
    <cellStyle name="Normal 492 2 3 2" xfId="47612"/>
    <cellStyle name="Normal 492 2 3 3" xfId="47613"/>
    <cellStyle name="Normal 492 2 4" xfId="47614"/>
    <cellStyle name="Normal 492 2 5" xfId="47615"/>
    <cellStyle name="Normal 492 2 6" xfId="47616"/>
    <cellStyle name="Normal 492 2 7" xfId="47617"/>
    <cellStyle name="Normal 492 2 8" xfId="47618"/>
    <cellStyle name="Normal 492 3" xfId="21846"/>
    <cellStyle name="Normal 492 3 2" xfId="47619"/>
    <cellStyle name="Normal 492 3 2 2" xfId="47620"/>
    <cellStyle name="Normal 492 3 2 3" xfId="47621"/>
    <cellStyle name="Normal 492 3 3" xfId="47622"/>
    <cellStyle name="Normal 492 3 3 2" xfId="47623"/>
    <cellStyle name="Normal 492 3 3 3" xfId="47624"/>
    <cellStyle name="Normal 492 3 4" xfId="47625"/>
    <cellStyle name="Normal 492 3 5" xfId="47626"/>
    <cellStyle name="Normal 492 4" xfId="21847"/>
    <cellStyle name="Normal 492 4 2" xfId="47627"/>
    <cellStyle name="Normal 492 4 3" xfId="47628"/>
    <cellStyle name="Normal 492 5" xfId="21848"/>
    <cellStyle name="Normal 492 5 2" xfId="47629"/>
    <cellStyle name="Normal 492 5 3" xfId="47630"/>
    <cellStyle name="Normal 492 6" xfId="47631"/>
    <cellStyle name="Normal 492 7" xfId="47632"/>
    <cellStyle name="Normal 492 8" xfId="47633"/>
    <cellStyle name="Normal 492 9" xfId="47634"/>
    <cellStyle name="Normal 4920" xfId="21849"/>
    <cellStyle name="Normal 4921" xfId="21850"/>
    <cellStyle name="Normal 4922" xfId="21851"/>
    <cellStyle name="Normal 4923" xfId="21852"/>
    <cellStyle name="Normal 4924" xfId="21853"/>
    <cellStyle name="Normal 4925" xfId="21854"/>
    <cellStyle name="Normal 4926" xfId="21855"/>
    <cellStyle name="Normal 4927" xfId="21856"/>
    <cellStyle name="Normal 4928" xfId="21857"/>
    <cellStyle name="Normal 4929" xfId="21858"/>
    <cellStyle name="Normal 493" xfId="21859"/>
    <cellStyle name="Normal 493 10" xfId="47635"/>
    <cellStyle name="Normal 493 2" xfId="21860"/>
    <cellStyle name="Normal 493 2 2" xfId="21861"/>
    <cellStyle name="Normal 493 2 2 2" xfId="47636"/>
    <cellStyle name="Normal 493 2 2 3" xfId="47637"/>
    <cellStyle name="Normal 493 2 3" xfId="21862"/>
    <cellStyle name="Normal 493 2 3 2" xfId="47638"/>
    <cellStyle name="Normal 493 2 3 3" xfId="47639"/>
    <cellStyle name="Normal 493 2 4" xfId="47640"/>
    <cellStyle name="Normal 493 2 5" xfId="47641"/>
    <cellStyle name="Normal 493 2 6" xfId="47642"/>
    <cellStyle name="Normal 493 2 7" xfId="47643"/>
    <cellStyle name="Normal 493 2 8" xfId="47644"/>
    <cellStyle name="Normal 493 3" xfId="21863"/>
    <cellStyle name="Normal 493 3 2" xfId="47645"/>
    <cellStyle name="Normal 493 3 2 2" xfId="47646"/>
    <cellStyle name="Normal 493 3 2 3" xfId="47647"/>
    <cellStyle name="Normal 493 3 3" xfId="47648"/>
    <cellStyle name="Normal 493 3 3 2" xfId="47649"/>
    <cellStyle name="Normal 493 3 3 3" xfId="47650"/>
    <cellStyle name="Normal 493 3 4" xfId="47651"/>
    <cellStyle name="Normal 493 3 5" xfId="47652"/>
    <cellStyle name="Normal 493 4" xfId="21864"/>
    <cellStyle name="Normal 493 4 2" xfId="47653"/>
    <cellStyle name="Normal 493 4 3" xfId="47654"/>
    <cellStyle name="Normal 493 5" xfId="21865"/>
    <cellStyle name="Normal 493 5 2" xfId="47655"/>
    <cellStyle name="Normal 493 5 3" xfId="47656"/>
    <cellStyle name="Normal 493 6" xfId="47657"/>
    <cellStyle name="Normal 493 7" xfId="47658"/>
    <cellStyle name="Normal 493 8" xfId="47659"/>
    <cellStyle name="Normal 493 9" xfId="47660"/>
    <cellStyle name="Normal 4930" xfId="21866"/>
    <cellStyle name="Normal 4931" xfId="21867"/>
    <cellStyle name="Normal 4932" xfId="21868"/>
    <cellStyle name="Normal 4933" xfId="21869"/>
    <cellStyle name="Normal 4934" xfId="21870"/>
    <cellStyle name="Normal 4935" xfId="21871"/>
    <cellStyle name="Normal 4936" xfId="21872"/>
    <cellStyle name="Normal 4937" xfId="21873"/>
    <cellStyle name="Normal 4938" xfId="21874"/>
    <cellStyle name="Normal 4939" xfId="21875"/>
    <cellStyle name="Normal 494" xfId="21876"/>
    <cellStyle name="Normal 494 10" xfId="47661"/>
    <cellStyle name="Normal 494 2" xfId="21877"/>
    <cellStyle name="Normal 494 2 2" xfId="21878"/>
    <cellStyle name="Normal 494 2 2 2" xfId="47662"/>
    <cellStyle name="Normal 494 2 2 3" xfId="47663"/>
    <cellStyle name="Normal 494 2 3" xfId="21879"/>
    <cellStyle name="Normal 494 2 3 2" xfId="47664"/>
    <cellStyle name="Normal 494 2 3 3" xfId="47665"/>
    <cellStyle name="Normal 494 2 4" xfId="47666"/>
    <cellStyle name="Normal 494 2 5" xfId="47667"/>
    <cellStyle name="Normal 494 2 6" xfId="47668"/>
    <cellStyle name="Normal 494 2 7" xfId="47669"/>
    <cellStyle name="Normal 494 2 8" xfId="47670"/>
    <cellStyle name="Normal 494 3" xfId="21880"/>
    <cellStyle name="Normal 494 3 2" xfId="47671"/>
    <cellStyle name="Normal 494 3 2 2" xfId="47672"/>
    <cellStyle name="Normal 494 3 2 3" xfId="47673"/>
    <cellStyle name="Normal 494 3 3" xfId="47674"/>
    <cellStyle name="Normal 494 3 3 2" xfId="47675"/>
    <cellStyle name="Normal 494 3 3 3" xfId="47676"/>
    <cellStyle name="Normal 494 3 4" xfId="47677"/>
    <cellStyle name="Normal 494 3 5" xfId="47678"/>
    <cellStyle name="Normal 494 4" xfId="21881"/>
    <cellStyle name="Normal 494 4 2" xfId="47679"/>
    <cellStyle name="Normal 494 4 3" xfId="47680"/>
    <cellStyle name="Normal 494 5" xfId="21882"/>
    <cellStyle name="Normal 494 5 2" xfId="47681"/>
    <cellStyle name="Normal 494 5 3" xfId="47682"/>
    <cellStyle name="Normal 494 6" xfId="47683"/>
    <cellStyle name="Normal 494 7" xfId="47684"/>
    <cellStyle name="Normal 494 8" xfId="47685"/>
    <cellStyle name="Normal 494 9" xfId="47686"/>
    <cellStyle name="Normal 4940" xfId="21883"/>
    <cellStyle name="Normal 4941" xfId="21884"/>
    <cellStyle name="Normal 4942" xfId="21885"/>
    <cellStyle name="Normal 4943" xfId="21886"/>
    <cellStyle name="Normal 4944" xfId="21887"/>
    <cellStyle name="Normal 4945" xfId="21888"/>
    <cellStyle name="Normal 4946" xfId="21889"/>
    <cellStyle name="Normal 4947" xfId="21890"/>
    <cellStyle name="Normal 4948" xfId="21891"/>
    <cellStyle name="Normal 4949" xfId="21892"/>
    <cellStyle name="Normal 495" xfId="21893"/>
    <cellStyle name="Normal 495 10" xfId="47687"/>
    <cellStyle name="Normal 495 2" xfId="21894"/>
    <cellStyle name="Normal 495 2 2" xfId="21895"/>
    <cellStyle name="Normal 495 2 2 2" xfId="47688"/>
    <cellStyle name="Normal 495 2 2 3" xfId="47689"/>
    <cellStyle name="Normal 495 2 3" xfId="21896"/>
    <cellStyle name="Normal 495 2 3 2" xfId="47690"/>
    <cellStyle name="Normal 495 2 3 3" xfId="47691"/>
    <cellStyle name="Normal 495 2 4" xfId="47692"/>
    <cellStyle name="Normal 495 2 5" xfId="47693"/>
    <cellStyle name="Normal 495 2 6" xfId="47694"/>
    <cellStyle name="Normal 495 2 7" xfId="47695"/>
    <cellStyle name="Normal 495 2 8" xfId="47696"/>
    <cellStyle name="Normal 495 3" xfId="21897"/>
    <cellStyle name="Normal 495 3 2" xfId="47697"/>
    <cellStyle name="Normal 495 3 2 2" xfId="47698"/>
    <cellStyle name="Normal 495 3 2 3" xfId="47699"/>
    <cellStyle name="Normal 495 3 3" xfId="47700"/>
    <cellStyle name="Normal 495 3 3 2" xfId="47701"/>
    <cellStyle name="Normal 495 3 3 3" xfId="47702"/>
    <cellStyle name="Normal 495 3 4" xfId="47703"/>
    <cellStyle name="Normal 495 3 5" xfId="47704"/>
    <cellStyle name="Normal 495 4" xfId="21898"/>
    <cellStyle name="Normal 495 4 2" xfId="47705"/>
    <cellStyle name="Normal 495 4 3" xfId="47706"/>
    <cellStyle name="Normal 495 5" xfId="21899"/>
    <cellStyle name="Normal 495 5 2" xfId="47707"/>
    <cellStyle name="Normal 495 5 3" xfId="47708"/>
    <cellStyle name="Normal 495 6" xfId="47709"/>
    <cellStyle name="Normal 495 7" xfId="47710"/>
    <cellStyle name="Normal 495 8" xfId="47711"/>
    <cellStyle name="Normal 495 9" xfId="47712"/>
    <cellStyle name="Normal 4950" xfId="21900"/>
    <cellStyle name="Normal 4951" xfId="21901"/>
    <cellStyle name="Normal 4952" xfId="21902"/>
    <cellStyle name="Normal 4953" xfId="21903"/>
    <cellStyle name="Normal 4954" xfId="21904"/>
    <cellStyle name="Normal 4955" xfId="21905"/>
    <cellStyle name="Normal 4956" xfId="21906"/>
    <cellStyle name="Normal 4957" xfId="21907"/>
    <cellStyle name="Normal 4958" xfId="21908"/>
    <cellStyle name="Normal 4959" xfId="21909"/>
    <cellStyle name="Normal 496" xfId="21910"/>
    <cellStyle name="Normal 496 10" xfId="47713"/>
    <cellStyle name="Normal 496 2" xfId="21911"/>
    <cellStyle name="Normal 496 2 2" xfId="21912"/>
    <cellStyle name="Normal 496 2 2 2" xfId="47714"/>
    <cellStyle name="Normal 496 2 2 3" xfId="47715"/>
    <cellStyle name="Normal 496 2 3" xfId="21913"/>
    <cellStyle name="Normal 496 2 3 2" xfId="47716"/>
    <cellStyle name="Normal 496 2 3 3" xfId="47717"/>
    <cellStyle name="Normal 496 2 4" xfId="47718"/>
    <cellStyle name="Normal 496 2 5" xfId="47719"/>
    <cellStyle name="Normal 496 2 6" xfId="47720"/>
    <cellStyle name="Normal 496 2 7" xfId="47721"/>
    <cellStyle name="Normal 496 2 8" xfId="47722"/>
    <cellStyle name="Normal 496 3" xfId="21914"/>
    <cellStyle name="Normal 496 3 2" xfId="47723"/>
    <cellStyle name="Normal 496 3 2 2" xfId="47724"/>
    <cellStyle name="Normal 496 3 2 3" xfId="47725"/>
    <cellStyle name="Normal 496 3 3" xfId="47726"/>
    <cellStyle name="Normal 496 3 3 2" xfId="47727"/>
    <cellStyle name="Normal 496 3 3 3" xfId="47728"/>
    <cellStyle name="Normal 496 3 4" xfId="47729"/>
    <cellStyle name="Normal 496 3 5" xfId="47730"/>
    <cellStyle name="Normal 496 4" xfId="21915"/>
    <cellStyle name="Normal 496 4 2" xfId="47731"/>
    <cellStyle name="Normal 496 4 3" xfId="47732"/>
    <cellStyle name="Normal 496 5" xfId="21916"/>
    <cellStyle name="Normal 496 5 2" xfId="47733"/>
    <cellStyle name="Normal 496 5 3" xfId="47734"/>
    <cellStyle name="Normal 496 6" xfId="47735"/>
    <cellStyle name="Normal 496 7" xfId="47736"/>
    <cellStyle name="Normal 496 8" xfId="47737"/>
    <cellStyle name="Normal 496 9" xfId="47738"/>
    <cellStyle name="Normal 4960" xfId="21917"/>
    <cellStyle name="Normal 4961" xfId="21918"/>
    <cellStyle name="Normal 4962" xfId="21919"/>
    <cellStyle name="Normal 4963" xfId="21920"/>
    <cellStyle name="Normal 4964" xfId="21921"/>
    <cellStyle name="Normal 4965" xfId="21922"/>
    <cellStyle name="Normal 4966" xfId="21923"/>
    <cellStyle name="Normal 4967" xfId="21924"/>
    <cellStyle name="Normal 4968" xfId="21925"/>
    <cellStyle name="Normal 4969" xfId="21926"/>
    <cellStyle name="Normal 497" xfId="21927"/>
    <cellStyle name="Normal 497 10" xfId="47739"/>
    <cellStyle name="Normal 497 2" xfId="21928"/>
    <cellStyle name="Normal 497 2 2" xfId="21929"/>
    <cellStyle name="Normal 497 2 2 2" xfId="47740"/>
    <cellStyle name="Normal 497 2 2 3" xfId="47741"/>
    <cellStyle name="Normal 497 2 3" xfId="21930"/>
    <cellStyle name="Normal 497 2 3 2" xfId="47742"/>
    <cellStyle name="Normal 497 2 3 3" xfId="47743"/>
    <cellStyle name="Normal 497 2 4" xfId="47744"/>
    <cellStyle name="Normal 497 2 5" xfId="47745"/>
    <cellStyle name="Normal 497 2 6" xfId="47746"/>
    <cellStyle name="Normal 497 2 7" xfId="47747"/>
    <cellStyle name="Normal 497 2 8" xfId="47748"/>
    <cellStyle name="Normal 497 3" xfId="21931"/>
    <cellStyle name="Normal 497 3 2" xfId="47749"/>
    <cellStyle name="Normal 497 3 2 2" xfId="47750"/>
    <cellStyle name="Normal 497 3 2 3" xfId="47751"/>
    <cellStyle name="Normal 497 3 3" xfId="47752"/>
    <cellStyle name="Normal 497 3 3 2" xfId="47753"/>
    <cellStyle name="Normal 497 3 3 3" xfId="47754"/>
    <cellStyle name="Normal 497 3 4" xfId="47755"/>
    <cellStyle name="Normal 497 3 5" xfId="47756"/>
    <cellStyle name="Normal 497 4" xfId="21932"/>
    <cellStyle name="Normal 497 4 2" xfId="47757"/>
    <cellStyle name="Normal 497 4 3" xfId="47758"/>
    <cellStyle name="Normal 497 5" xfId="21933"/>
    <cellStyle name="Normal 497 5 2" xfId="47759"/>
    <cellStyle name="Normal 497 5 3" xfId="47760"/>
    <cellStyle name="Normal 497 6" xfId="47761"/>
    <cellStyle name="Normal 497 7" xfId="47762"/>
    <cellStyle name="Normal 497 8" xfId="47763"/>
    <cellStyle name="Normal 497 9" xfId="47764"/>
    <cellStyle name="Normal 4970" xfId="21934"/>
    <cellStyle name="Normal 4971" xfId="21935"/>
    <cellStyle name="Normal 4972" xfId="21936"/>
    <cellStyle name="Normal 4973" xfId="21937"/>
    <cellStyle name="Normal 4974" xfId="21938"/>
    <cellStyle name="Normal 4975" xfId="21939"/>
    <cellStyle name="Normal 4976" xfId="21940"/>
    <cellStyle name="Normal 4977" xfId="21941"/>
    <cellStyle name="Normal 4978" xfId="21942"/>
    <cellStyle name="Normal 4979" xfId="21943"/>
    <cellStyle name="Normal 498" xfId="21944"/>
    <cellStyle name="Normal 498 10" xfId="47765"/>
    <cellStyle name="Normal 498 2" xfId="21945"/>
    <cellStyle name="Normal 498 2 2" xfId="21946"/>
    <cellStyle name="Normal 498 2 2 2" xfId="47766"/>
    <cellStyle name="Normal 498 2 2 3" xfId="47767"/>
    <cellStyle name="Normal 498 2 3" xfId="21947"/>
    <cellStyle name="Normal 498 2 3 2" xfId="47768"/>
    <cellStyle name="Normal 498 2 3 3" xfId="47769"/>
    <cellStyle name="Normal 498 2 4" xfId="47770"/>
    <cellStyle name="Normal 498 2 5" xfId="47771"/>
    <cellStyle name="Normal 498 2 6" xfId="47772"/>
    <cellStyle name="Normal 498 2 7" xfId="47773"/>
    <cellStyle name="Normal 498 2 8" xfId="47774"/>
    <cellStyle name="Normal 498 3" xfId="21948"/>
    <cellStyle name="Normal 498 3 2" xfId="47775"/>
    <cellStyle name="Normal 498 3 2 2" xfId="47776"/>
    <cellStyle name="Normal 498 3 2 3" xfId="47777"/>
    <cellStyle name="Normal 498 3 3" xfId="47778"/>
    <cellStyle name="Normal 498 3 3 2" xfId="47779"/>
    <cellStyle name="Normal 498 3 3 3" xfId="47780"/>
    <cellStyle name="Normal 498 3 4" xfId="47781"/>
    <cellStyle name="Normal 498 3 5" xfId="47782"/>
    <cellStyle name="Normal 498 4" xfId="21949"/>
    <cellStyle name="Normal 498 4 2" xfId="47783"/>
    <cellStyle name="Normal 498 4 3" xfId="47784"/>
    <cellStyle name="Normal 498 5" xfId="21950"/>
    <cellStyle name="Normal 498 5 2" xfId="47785"/>
    <cellStyle name="Normal 498 5 3" xfId="47786"/>
    <cellStyle name="Normal 498 6" xfId="47787"/>
    <cellStyle name="Normal 498 7" xfId="47788"/>
    <cellStyle name="Normal 498 8" xfId="47789"/>
    <cellStyle name="Normal 498 9" xfId="47790"/>
    <cellStyle name="Normal 4980" xfId="21951"/>
    <cellStyle name="Normal 4981" xfId="21952"/>
    <cellStyle name="Normal 4982" xfId="21953"/>
    <cellStyle name="Normal 4983" xfId="21954"/>
    <cellStyle name="Normal 4984" xfId="21955"/>
    <cellStyle name="Normal 4985" xfId="21956"/>
    <cellStyle name="Normal 4986" xfId="21957"/>
    <cellStyle name="Normal 4987" xfId="21958"/>
    <cellStyle name="Normal 4988" xfId="21959"/>
    <cellStyle name="Normal 4989" xfId="21960"/>
    <cellStyle name="Normal 499" xfId="21961"/>
    <cellStyle name="Normal 499 10" xfId="47791"/>
    <cellStyle name="Normal 499 2" xfId="21962"/>
    <cellStyle name="Normal 499 2 2" xfId="21963"/>
    <cellStyle name="Normal 499 2 2 2" xfId="47792"/>
    <cellStyle name="Normal 499 2 2 3" xfId="47793"/>
    <cellStyle name="Normal 499 2 3" xfId="21964"/>
    <cellStyle name="Normal 499 2 3 2" xfId="47794"/>
    <cellStyle name="Normal 499 2 3 3" xfId="47795"/>
    <cellStyle name="Normal 499 2 4" xfId="47796"/>
    <cellStyle name="Normal 499 2 5" xfId="47797"/>
    <cellStyle name="Normal 499 2 6" xfId="47798"/>
    <cellStyle name="Normal 499 2 7" xfId="47799"/>
    <cellStyle name="Normal 499 2 8" xfId="47800"/>
    <cellStyle name="Normal 499 3" xfId="21965"/>
    <cellStyle name="Normal 499 3 2" xfId="47801"/>
    <cellStyle name="Normal 499 3 2 2" xfId="47802"/>
    <cellStyle name="Normal 499 3 2 3" xfId="47803"/>
    <cellStyle name="Normal 499 3 3" xfId="47804"/>
    <cellStyle name="Normal 499 3 3 2" xfId="47805"/>
    <cellStyle name="Normal 499 3 3 3" xfId="47806"/>
    <cellStyle name="Normal 499 3 4" xfId="47807"/>
    <cellStyle name="Normal 499 3 5" xfId="47808"/>
    <cellStyle name="Normal 499 4" xfId="21966"/>
    <cellStyle name="Normal 499 4 2" xfId="47809"/>
    <cellStyle name="Normal 499 4 3" xfId="47810"/>
    <cellStyle name="Normal 499 5" xfId="21967"/>
    <cellStyle name="Normal 499 5 2" xfId="47811"/>
    <cellStyle name="Normal 499 5 3" xfId="47812"/>
    <cellStyle name="Normal 499 6" xfId="47813"/>
    <cellStyle name="Normal 499 7" xfId="47814"/>
    <cellStyle name="Normal 499 8" xfId="47815"/>
    <cellStyle name="Normal 499 9" xfId="47816"/>
    <cellStyle name="Normal 4990" xfId="21968"/>
    <cellStyle name="Normal 4991" xfId="21969"/>
    <cellStyle name="Normal 4992" xfId="21970"/>
    <cellStyle name="Normal 4993" xfId="21971"/>
    <cellStyle name="Normal 4994" xfId="21972"/>
    <cellStyle name="Normal 4995" xfId="21973"/>
    <cellStyle name="Normal 4996" xfId="21974"/>
    <cellStyle name="Normal 4997" xfId="21975"/>
    <cellStyle name="Normal 4998" xfId="21976"/>
    <cellStyle name="Normal 4999" xfId="21977"/>
    <cellStyle name="Normal 5" xfId="21978"/>
    <cellStyle name="Normal 5 10" xfId="47817"/>
    <cellStyle name="Normal 5 2" xfId="21979"/>
    <cellStyle name="Normal 5 2 2" xfId="21980"/>
    <cellStyle name="Normal 5 2 2 2" xfId="21981"/>
    <cellStyle name="Normal 5 2 2 3" xfId="21982"/>
    <cellStyle name="Normal 5 2 3" xfId="21983"/>
    <cellStyle name="Normal 5 2 3 2" xfId="47818"/>
    <cellStyle name="Normal 5 2 3 3" xfId="47819"/>
    <cellStyle name="Normal 5 2 4" xfId="21984"/>
    <cellStyle name="Normal 5 2 5" xfId="47820"/>
    <cellStyle name="Normal 5 2 6" xfId="47821"/>
    <cellStyle name="Normal 5 2 7" xfId="47822"/>
    <cellStyle name="Normal 5 2 8" xfId="47823"/>
    <cellStyle name="Normal 5 3" xfId="21985"/>
    <cellStyle name="Normal 5 3 2" xfId="21986"/>
    <cellStyle name="Normal 5 3 2 2" xfId="47824"/>
    <cellStyle name="Normal 5 3 2 3" xfId="47825"/>
    <cellStyle name="Normal 5 3 3" xfId="21987"/>
    <cellStyle name="Normal 5 3 3 2" xfId="47826"/>
    <cellStyle name="Normal 5 3 3 3" xfId="47827"/>
    <cellStyle name="Normal 5 3 4" xfId="47828"/>
    <cellStyle name="Normal 5 3 5" xfId="47829"/>
    <cellStyle name="Normal 5 4" xfId="21988"/>
    <cellStyle name="Normal 5 4 2" xfId="47830"/>
    <cellStyle name="Normal 5 4 3" xfId="47831"/>
    <cellStyle name="Normal 5 5" xfId="21989"/>
    <cellStyle name="Normal 5 5 2" xfId="47832"/>
    <cellStyle name="Normal 5 5 3" xfId="47833"/>
    <cellStyle name="Normal 5 6" xfId="47834"/>
    <cellStyle name="Normal 5 7" xfId="47835"/>
    <cellStyle name="Normal 5 8" xfId="47836"/>
    <cellStyle name="Normal 5 9" xfId="47837"/>
    <cellStyle name="Normal 50" xfId="21990"/>
    <cellStyle name="Normal 50 10" xfId="47838"/>
    <cellStyle name="Normal 50 2" xfId="21991"/>
    <cellStyle name="Normal 50 2 2" xfId="21992"/>
    <cellStyle name="Normal 50 2 2 2" xfId="21993"/>
    <cellStyle name="Normal 50 2 2 3" xfId="21994"/>
    <cellStyle name="Normal 50 2 3" xfId="21995"/>
    <cellStyle name="Normal 50 2 3 2" xfId="47839"/>
    <cellStyle name="Normal 50 2 3 3" xfId="47840"/>
    <cellStyle name="Normal 50 2 4" xfId="21996"/>
    <cellStyle name="Normal 50 2 5" xfId="21997"/>
    <cellStyle name="Normal 50 2 6" xfId="47841"/>
    <cellStyle name="Normal 50 2 7" xfId="47842"/>
    <cellStyle name="Normal 50 2 8" xfId="47843"/>
    <cellStyle name="Normal 50 3" xfId="21998"/>
    <cellStyle name="Normal 50 3 2" xfId="21999"/>
    <cellStyle name="Normal 50 3 2 2" xfId="47844"/>
    <cellStyle name="Normal 50 3 2 3" xfId="47845"/>
    <cellStyle name="Normal 50 3 3" xfId="22000"/>
    <cellStyle name="Normal 50 3 3 2" xfId="47846"/>
    <cellStyle name="Normal 50 3 3 3" xfId="47847"/>
    <cellStyle name="Normal 50 3 4" xfId="47848"/>
    <cellStyle name="Normal 50 3 5" xfId="47849"/>
    <cellStyle name="Normal 50 4" xfId="22001"/>
    <cellStyle name="Normal 50 4 2" xfId="47850"/>
    <cellStyle name="Normal 50 4 3" xfId="47851"/>
    <cellStyle name="Normal 50 5" xfId="22002"/>
    <cellStyle name="Normal 50 5 2" xfId="47852"/>
    <cellStyle name="Normal 50 5 3" xfId="47853"/>
    <cellStyle name="Normal 50 6" xfId="22003"/>
    <cellStyle name="Normal 50 7" xfId="47854"/>
    <cellStyle name="Normal 50 8" xfId="47855"/>
    <cellStyle name="Normal 50 9" xfId="47856"/>
    <cellStyle name="Normal 500" xfId="22004"/>
    <cellStyle name="Normal 500 10" xfId="47857"/>
    <cellStyle name="Normal 500 2" xfId="22005"/>
    <cellStyle name="Normal 500 2 2" xfId="22006"/>
    <cellStyle name="Normal 500 2 2 2" xfId="47858"/>
    <cellStyle name="Normal 500 2 2 3" xfId="47859"/>
    <cellStyle name="Normal 500 2 3" xfId="22007"/>
    <cellStyle name="Normal 500 2 3 2" xfId="47860"/>
    <cellStyle name="Normal 500 2 3 3" xfId="47861"/>
    <cellStyle name="Normal 500 2 4" xfId="47862"/>
    <cellStyle name="Normal 500 2 5" xfId="47863"/>
    <cellStyle name="Normal 500 2 6" xfId="47864"/>
    <cellStyle name="Normal 500 2 7" xfId="47865"/>
    <cellStyle name="Normal 500 2 8" xfId="47866"/>
    <cellStyle name="Normal 500 3" xfId="22008"/>
    <cellStyle name="Normal 500 3 2" xfId="47867"/>
    <cellStyle name="Normal 500 3 2 2" xfId="47868"/>
    <cellStyle name="Normal 500 3 2 3" xfId="47869"/>
    <cellStyle name="Normal 500 3 3" xfId="47870"/>
    <cellStyle name="Normal 500 3 3 2" xfId="47871"/>
    <cellStyle name="Normal 500 3 3 3" xfId="47872"/>
    <cellStyle name="Normal 500 3 4" xfId="47873"/>
    <cellStyle name="Normal 500 3 5" xfId="47874"/>
    <cellStyle name="Normal 500 4" xfId="22009"/>
    <cellStyle name="Normal 500 4 2" xfId="47875"/>
    <cellStyle name="Normal 500 4 3" xfId="47876"/>
    <cellStyle name="Normal 500 5" xfId="22010"/>
    <cellStyle name="Normal 500 5 2" xfId="47877"/>
    <cellStyle name="Normal 500 5 3" xfId="47878"/>
    <cellStyle name="Normal 500 6" xfId="47879"/>
    <cellStyle name="Normal 500 7" xfId="47880"/>
    <cellStyle name="Normal 500 8" xfId="47881"/>
    <cellStyle name="Normal 500 9" xfId="47882"/>
    <cellStyle name="Normal 5000" xfId="22011"/>
    <cellStyle name="Normal 5001" xfId="22012"/>
    <cellStyle name="Normal 5002" xfId="22013"/>
    <cellStyle name="Normal 5003" xfId="22014"/>
    <cellStyle name="Normal 5004" xfId="22015"/>
    <cellStyle name="Normal 5005" xfId="22016"/>
    <cellStyle name="Normal 5006" xfId="22017"/>
    <cellStyle name="Normal 5007" xfId="22018"/>
    <cellStyle name="Normal 5008" xfId="22019"/>
    <cellStyle name="Normal 5009" xfId="22020"/>
    <cellStyle name="Normal 501" xfId="22021"/>
    <cellStyle name="Normal 501 10" xfId="47883"/>
    <cellStyle name="Normal 501 2" xfId="22022"/>
    <cellStyle name="Normal 501 2 2" xfId="22023"/>
    <cellStyle name="Normal 501 2 2 2" xfId="47884"/>
    <cellStyle name="Normal 501 2 2 3" xfId="47885"/>
    <cellStyle name="Normal 501 2 3" xfId="22024"/>
    <cellStyle name="Normal 501 2 3 2" xfId="47886"/>
    <cellStyle name="Normal 501 2 3 3" xfId="47887"/>
    <cellStyle name="Normal 501 2 4" xfId="47888"/>
    <cellStyle name="Normal 501 2 5" xfId="47889"/>
    <cellStyle name="Normal 501 2 6" xfId="47890"/>
    <cellStyle name="Normal 501 2 7" xfId="47891"/>
    <cellStyle name="Normal 501 2 8" xfId="47892"/>
    <cellStyle name="Normal 501 3" xfId="22025"/>
    <cellStyle name="Normal 501 3 2" xfId="47893"/>
    <cellStyle name="Normal 501 3 2 2" xfId="47894"/>
    <cellStyle name="Normal 501 3 2 3" xfId="47895"/>
    <cellStyle name="Normal 501 3 3" xfId="47896"/>
    <cellStyle name="Normal 501 3 3 2" xfId="47897"/>
    <cellStyle name="Normal 501 3 3 3" xfId="47898"/>
    <cellStyle name="Normal 501 3 4" xfId="47899"/>
    <cellStyle name="Normal 501 3 5" xfId="47900"/>
    <cellStyle name="Normal 501 4" xfId="22026"/>
    <cellStyle name="Normal 501 4 2" xfId="47901"/>
    <cellStyle name="Normal 501 4 3" xfId="47902"/>
    <cellStyle name="Normal 501 5" xfId="22027"/>
    <cellStyle name="Normal 501 5 2" xfId="47903"/>
    <cellStyle name="Normal 501 5 3" xfId="47904"/>
    <cellStyle name="Normal 501 6" xfId="47905"/>
    <cellStyle name="Normal 501 7" xfId="47906"/>
    <cellStyle name="Normal 501 8" xfId="47907"/>
    <cellStyle name="Normal 501 9" xfId="47908"/>
    <cellStyle name="Normal 5010" xfId="22028"/>
    <cellStyle name="Normal 5011" xfId="22029"/>
    <cellStyle name="Normal 5012" xfId="22030"/>
    <cellStyle name="Normal 5013" xfId="22031"/>
    <cellStyle name="Normal 5014" xfId="22032"/>
    <cellStyle name="Normal 5015" xfId="22033"/>
    <cellStyle name="Normal 5016" xfId="22034"/>
    <cellStyle name="Normal 5017" xfId="22035"/>
    <cellStyle name="Normal 5018" xfId="22036"/>
    <cellStyle name="Normal 5019" xfId="22037"/>
    <cellStyle name="Normal 502" xfId="22038"/>
    <cellStyle name="Normal 502 10" xfId="47909"/>
    <cellStyle name="Normal 502 2" xfId="22039"/>
    <cellStyle name="Normal 502 2 2" xfId="22040"/>
    <cellStyle name="Normal 502 2 2 2" xfId="47910"/>
    <cellStyle name="Normal 502 2 2 3" xfId="47911"/>
    <cellStyle name="Normal 502 2 3" xfId="22041"/>
    <cellStyle name="Normal 502 2 3 2" xfId="47912"/>
    <cellStyle name="Normal 502 2 3 3" xfId="47913"/>
    <cellStyle name="Normal 502 2 4" xfId="47914"/>
    <cellStyle name="Normal 502 2 5" xfId="47915"/>
    <cellStyle name="Normal 502 2 6" xfId="47916"/>
    <cellStyle name="Normal 502 2 7" xfId="47917"/>
    <cellStyle name="Normal 502 2 8" xfId="47918"/>
    <cellStyle name="Normal 502 3" xfId="22042"/>
    <cellStyle name="Normal 502 3 2" xfId="47919"/>
    <cellStyle name="Normal 502 3 2 2" xfId="47920"/>
    <cellStyle name="Normal 502 3 2 3" xfId="47921"/>
    <cellStyle name="Normal 502 3 3" xfId="47922"/>
    <cellStyle name="Normal 502 3 3 2" xfId="47923"/>
    <cellStyle name="Normal 502 3 3 3" xfId="47924"/>
    <cellStyle name="Normal 502 3 4" xfId="47925"/>
    <cellStyle name="Normal 502 3 5" xfId="47926"/>
    <cellStyle name="Normal 502 4" xfId="22043"/>
    <cellStyle name="Normal 502 4 2" xfId="47927"/>
    <cellStyle name="Normal 502 4 3" xfId="47928"/>
    <cellStyle name="Normal 502 5" xfId="22044"/>
    <cellStyle name="Normal 502 5 2" xfId="47929"/>
    <cellStyle name="Normal 502 5 3" xfId="47930"/>
    <cellStyle name="Normal 502 6" xfId="47931"/>
    <cellStyle name="Normal 502 7" xfId="47932"/>
    <cellStyle name="Normal 502 8" xfId="47933"/>
    <cellStyle name="Normal 502 9" xfId="47934"/>
    <cellStyle name="Normal 5020" xfId="22045"/>
    <cellStyle name="Normal 5021" xfId="22046"/>
    <cellStyle name="Normal 5022" xfId="22047"/>
    <cellStyle name="Normal 5023" xfId="22048"/>
    <cellStyle name="Normal 5024" xfId="22049"/>
    <cellStyle name="Normal 5025" xfId="22050"/>
    <cellStyle name="Normal 5026" xfId="22051"/>
    <cellStyle name="Normal 5027" xfId="22052"/>
    <cellStyle name="Normal 5028" xfId="22053"/>
    <cellStyle name="Normal 5029" xfId="22054"/>
    <cellStyle name="Normal 503" xfId="22055"/>
    <cellStyle name="Normal 503 10" xfId="47935"/>
    <cellStyle name="Normal 503 2" xfId="22056"/>
    <cellStyle name="Normal 503 2 2" xfId="22057"/>
    <cellStyle name="Normal 503 2 2 2" xfId="47936"/>
    <cellStyle name="Normal 503 2 2 3" xfId="47937"/>
    <cellStyle name="Normal 503 2 3" xfId="22058"/>
    <cellStyle name="Normal 503 2 3 2" xfId="47938"/>
    <cellStyle name="Normal 503 2 3 3" xfId="47939"/>
    <cellStyle name="Normal 503 2 4" xfId="47940"/>
    <cellStyle name="Normal 503 2 5" xfId="47941"/>
    <cellStyle name="Normal 503 2 6" xfId="47942"/>
    <cellStyle name="Normal 503 2 7" xfId="47943"/>
    <cellStyle name="Normal 503 2 8" xfId="47944"/>
    <cellStyle name="Normal 503 3" xfId="22059"/>
    <cellStyle name="Normal 503 3 2" xfId="47945"/>
    <cellStyle name="Normal 503 3 2 2" xfId="47946"/>
    <cellStyle name="Normal 503 3 2 3" xfId="47947"/>
    <cellStyle name="Normal 503 3 3" xfId="47948"/>
    <cellStyle name="Normal 503 3 3 2" xfId="47949"/>
    <cellStyle name="Normal 503 3 3 3" xfId="47950"/>
    <cellStyle name="Normal 503 3 4" xfId="47951"/>
    <cellStyle name="Normal 503 3 5" xfId="47952"/>
    <cellStyle name="Normal 503 4" xfId="22060"/>
    <cellStyle name="Normal 503 4 2" xfId="47953"/>
    <cellStyle name="Normal 503 4 3" xfId="47954"/>
    <cellStyle name="Normal 503 5" xfId="22061"/>
    <cellStyle name="Normal 503 5 2" xfId="47955"/>
    <cellStyle name="Normal 503 5 3" xfId="47956"/>
    <cellStyle name="Normal 503 6" xfId="47957"/>
    <cellStyle name="Normal 503 7" xfId="47958"/>
    <cellStyle name="Normal 503 8" xfId="47959"/>
    <cellStyle name="Normal 503 9" xfId="47960"/>
    <cellStyle name="Normal 5030" xfId="22062"/>
    <cellStyle name="Normal 5031" xfId="22063"/>
    <cellStyle name="Normal 5032" xfId="22064"/>
    <cellStyle name="Normal 5033" xfId="22065"/>
    <cellStyle name="Normal 5034" xfId="22066"/>
    <cellStyle name="Normal 5035" xfId="22067"/>
    <cellStyle name="Normal 5036" xfId="22068"/>
    <cellStyle name="Normal 5037" xfId="22069"/>
    <cellStyle name="Normal 5038" xfId="22070"/>
    <cellStyle name="Normal 5039" xfId="22071"/>
    <cellStyle name="Normal 504" xfId="22072"/>
    <cellStyle name="Normal 504 10" xfId="47961"/>
    <cellStyle name="Normal 504 2" xfId="22073"/>
    <cellStyle name="Normal 504 2 2" xfId="22074"/>
    <cellStyle name="Normal 504 2 2 2" xfId="47962"/>
    <cellStyle name="Normal 504 2 2 3" xfId="47963"/>
    <cellStyle name="Normal 504 2 3" xfId="22075"/>
    <cellStyle name="Normal 504 2 3 2" xfId="47964"/>
    <cellStyle name="Normal 504 2 3 3" xfId="47965"/>
    <cellStyle name="Normal 504 2 4" xfId="47966"/>
    <cellStyle name="Normal 504 2 5" xfId="47967"/>
    <cellStyle name="Normal 504 2 6" xfId="47968"/>
    <cellStyle name="Normal 504 2 7" xfId="47969"/>
    <cellStyle name="Normal 504 2 8" xfId="47970"/>
    <cellStyle name="Normal 504 3" xfId="22076"/>
    <cellStyle name="Normal 504 3 2" xfId="47971"/>
    <cellStyle name="Normal 504 3 2 2" xfId="47972"/>
    <cellStyle name="Normal 504 3 2 3" xfId="47973"/>
    <cellStyle name="Normal 504 3 3" xfId="47974"/>
    <cellStyle name="Normal 504 3 3 2" xfId="47975"/>
    <cellStyle name="Normal 504 3 3 3" xfId="47976"/>
    <cellStyle name="Normal 504 3 4" xfId="47977"/>
    <cellStyle name="Normal 504 3 5" xfId="47978"/>
    <cellStyle name="Normal 504 4" xfId="22077"/>
    <cellStyle name="Normal 504 4 2" xfId="47979"/>
    <cellStyle name="Normal 504 4 3" xfId="47980"/>
    <cellStyle name="Normal 504 5" xfId="22078"/>
    <cellStyle name="Normal 504 5 2" xfId="47981"/>
    <cellStyle name="Normal 504 5 3" xfId="47982"/>
    <cellStyle name="Normal 504 6" xfId="47983"/>
    <cellStyle name="Normal 504 7" xfId="47984"/>
    <cellStyle name="Normal 504 8" xfId="47985"/>
    <cellStyle name="Normal 504 9" xfId="47986"/>
    <cellStyle name="Normal 5040" xfId="22079"/>
    <cellStyle name="Normal 5041" xfId="22080"/>
    <cellStyle name="Normal 5042" xfId="22081"/>
    <cellStyle name="Normal 5043" xfId="22082"/>
    <cellStyle name="Normal 5044" xfId="22083"/>
    <cellStyle name="Normal 5045" xfId="22084"/>
    <cellStyle name="Normal 5046" xfId="22085"/>
    <cellStyle name="Normal 5047" xfId="22086"/>
    <cellStyle name="Normal 5048" xfId="22087"/>
    <cellStyle name="Normal 5049" xfId="22088"/>
    <cellStyle name="Normal 505" xfId="22089"/>
    <cellStyle name="Normal 505 10" xfId="47987"/>
    <cellStyle name="Normal 505 2" xfId="22090"/>
    <cellStyle name="Normal 505 2 2" xfId="22091"/>
    <cellStyle name="Normal 505 2 2 2" xfId="47988"/>
    <cellStyle name="Normal 505 2 2 3" xfId="47989"/>
    <cellStyle name="Normal 505 2 3" xfId="22092"/>
    <cellStyle name="Normal 505 2 3 2" xfId="47990"/>
    <cellStyle name="Normal 505 2 3 3" xfId="47991"/>
    <cellStyle name="Normal 505 2 4" xfId="47992"/>
    <cellStyle name="Normal 505 2 5" xfId="47993"/>
    <cellStyle name="Normal 505 2 6" xfId="47994"/>
    <cellStyle name="Normal 505 2 7" xfId="47995"/>
    <cellStyle name="Normal 505 2 8" xfId="47996"/>
    <cellStyle name="Normal 505 3" xfId="22093"/>
    <cellStyle name="Normal 505 3 2" xfId="47997"/>
    <cellStyle name="Normal 505 3 2 2" xfId="47998"/>
    <cellStyle name="Normal 505 3 2 3" xfId="47999"/>
    <cellStyle name="Normal 505 3 3" xfId="48000"/>
    <cellStyle name="Normal 505 3 3 2" xfId="48001"/>
    <cellStyle name="Normal 505 3 3 3" xfId="48002"/>
    <cellStyle name="Normal 505 3 4" xfId="48003"/>
    <cellStyle name="Normal 505 3 5" xfId="48004"/>
    <cellStyle name="Normal 505 4" xfId="22094"/>
    <cellStyle name="Normal 505 4 2" xfId="48005"/>
    <cellStyle name="Normal 505 4 3" xfId="48006"/>
    <cellStyle name="Normal 505 5" xfId="22095"/>
    <cellStyle name="Normal 505 5 2" xfId="48007"/>
    <cellStyle name="Normal 505 5 3" xfId="48008"/>
    <cellStyle name="Normal 505 6" xfId="48009"/>
    <cellStyle name="Normal 505 7" xfId="48010"/>
    <cellStyle name="Normal 505 8" xfId="48011"/>
    <cellStyle name="Normal 505 9" xfId="48012"/>
    <cellStyle name="Normal 5050" xfId="22096"/>
    <cellStyle name="Normal 5051" xfId="22097"/>
    <cellStyle name="Normal 5052" xfId="22098"/>
    <cellStyle name="Normal 5053" xfId="22099"/>
    <cellStyle name="Normal 5054" xfId="22100"/>
    <cellStyle name="Normal 5055" xfId="22101"/>
    <cellStyle name="Normal 5056" xfId="22102"/>
    <cellStyle name="Normal 5057" xfId="22103"/>
    <cellStyle name="Normal 5058" xfId="22104"/>
    <cellStyle name="Normal 5059" xfId="22105"/>
    <cellStyle name="Normal 506" xfId="22106"/>
    <cellStyle name="Normal 506 10" xfId="48013"/>
    <cellStyle name="Normal 506 2" xfId="22107"/>
    <cellStyle name="Normal 506 2 2" xfId="22108"/>
    <cellStyle name="Normal 506 2 2 2" xfId="48014"/>
    <cellStyle name="Normal 506 2 2 3" xfId="48015"/>
    <cellStyle name="Normal 506 2 3" xfId="22109"/>
    <cellStyle name="Normal 506 2 3 2" xfId="48016"/>
    <cellStyle name="Normal 506 2 3 3" xfId="48017"/>
    <cellStyle name="Normal 506 2 4" xfId="48018"/>
    <cellStyle name="Normal 506 2 5" xfId="48019"/>
    <cellStyle name="Normal 506 2 6" xfId="48020"/>
    <cellStyle name="Normal 506 2 7" xfId="48021"/>
    <cellStyle name="Normal 506 2 8" xfId="48022"/>
    <cellStyle name="Normal 506 3" xfId="22110"/>
    <cellStyle name="Normal 506 3 2" xfId="48023"/>
    <cellStyle name="Normal 506 3 2 2" xfId="48024"/>
    <cellStyle name="Normal 506 3 2 3" xfId="48025"/>
    <cellStyle name="Normal 506 3 3" xfId="48026"/>
    <cellStyle name="Normal 506 3 3 2" xfId="48027"/>
    <cellStyle name="Normal 506 3 3 3" xfId="48028"/>
    <cellStyle name="Normal 506 3 4" xfId="48029"/>
    <cellStyle name="Normal 506 3 5" xfId="48030"/>
    <cellStyle name="Normal 506 4" xfId="22111"/>
    <cellStyle name="Normal 506 4 2" xfId="48031"/>
    <cellStyle name="Normal 506 4 3" xfId="48032"/>
    <cellStyle name="Normal 506 5" xfId="22112"/>
    <cellStyle name="Normal 506 5 2" xfId="48033"/>
    <cellStyle name="Normal 506 5 3" xfId="48034"/>
    <cellStyle name="Normal 506 6" xfId="48035"/>
    <cellStyle name="Normal 506 7" xfId="48036"/>
    <cellStyle name="Normal 506 8" xfId="48037"/>
    <cellStyle name="Normal 506 9" xfId="48038"/>
    <cellStyle name="Normal 5060" xfId="22113"/>
    <cellStyle name="Normal 5061" xfId="22114"/>
    <cellStyle name="Normal 5062" xfId="22115"/>
    <cellStyle name="Normal 5063" xfId="22116"/>
    <cellStyle name="Normal 5064" xfId="22117"/>
    <cellStyle name="Normal 5065" xfId="22118"/>
    <cellStyle name="Normal 5066" xfId="22119"/>
    <cellStyle name="Normal 5067" xfId="22120"/>
    <cellStyle name="Normal 5068" xfId="22121"/>
    <cellStyle name="Normal 5069" xfId="22122"/>
    <cellStyle name="Normal 507" xfId="22123"/>
    <cellStyle name="Normal 507 10" xfId="48039"/>
    <cellStyle name="Normal 507 2" xfId="22124"/>
    <cellStyle name="Normal 507 2 2" xfId="22125"/>
    <cellStyle name="Normal 507 2 2 2" xfId="48040"/>
    <cellStyle name="Normal 507 2 2 3" xfId="48041"/>
    <cellStyle name="Normal 507 2 3" xfId="22126"/>
    <cellStyle name="Normal 507 2 3 2" xfId="48042"/>
    <cellStyle name="Normal 507 2 3 3" xfId="48043"/>
    <cellStyle name="Normal 507 2 4" xfId="48044"/>
    <cellStyle name="Normal 507 2 5" xfId="48045"/>
    <cellStyle name="Normal 507 2 6" xfId="48046"/>
    <cellStyle name="Normal 507 2 7" xfId="48047"/>
    <cellStyle name="Normal 507 2 8" xfId="48048"/>
    <cellStyle name="Normal 507 3" xfId="22127"/>
    <cellStyle name="Normal 507 3 2" xfId="48049"/>
    <cellStyle name="Normal 507 3 2 2" xfId="48050"/>
    <cellStyle name="Normal 507 3 2 3" xfId="48051"/>
    <cellStyle name="Normal 507 3 3" xfId="48052"/>
    <cellStyle name="Normal 507 3 3 2" xfId="48053"/>
    <cellStyle name="Normal 507 3 3 3" xfId="48054"/>
    <cellStyle name="Normal 507 3 4" xfId="48055"/>
    <cellStyle name="Normal 507 3 5" xfId="48056"/>
    <cellStyle name="Normal 507 4" xfId="22128"/>
    <cellStyle name="Normal 507 4 2" xfId="48057"/>
    <cellStyle name="Normal 507 4 3" xfId="48058"/>
    <cellStyle name="Normal 507 5" xfId="22129"/>
    <cellStyle name="Normal 507 5 2" xfId="48059"/>
    <cellStyle name="Normal 507 5 3" xfId="48060"/>
    <cellStyle name="Normal 507 6" xfId="48061"/>
    <cellStyle name="Normal 507 7" xfId="48062"/>
    <cellStyle name="Normal 507 8" xfId="48063"/>
    <cellStyle name="Normal 507 9" xfId="48064"/>
    <cellStyle name="Normal 5070" xfId="22130"/>
    <cellStyle name="Normal 5071" xfId="22131"/>
    <cellStyle name="Normal 5072" xfId="22132"/>
    <cellStyle name="Normal 5073" xfId="22133"/>
    <cellStyle name="Normal 5074" xfId="22134"/>
    <cellStyle name="Normal 5075" xfId="26327"/>
    <cellStyle name="Normal 5076" xfId="10"/>
    <cellStyle name="Normal 508" xfId="22135"/>
    <cellStyle name="Normal 508 10" xfId="48065"/>
    <cellStyle name="Normal 508 2" xfId="22136"/>
    <cellStyle name="Normal 508 2 2" xfId="22137"/>
    <cellStyle name="Normal 508 2 2 2" xfId="48066"/>
    <cellStyle name="Normal 508 2 2 3" xfId="48067"/>
    <cellStyle name="Normal 508 2 3" xfId="22138"/>
    <cellStyle name="Normal 508 2 3 2" xfId="48068"/>
    <cellStyle name="Normal 508 2 3 3" xfId="48069"/>
    <cellStyle name="Normal 508 2 4" xfId="48070"/>
    <cellStyle name="Normal 508 2 5" xfId="48071"/>
    <cellStyle name="Normal 508 2 6" xfId="48072"/>
    <cellStyle name="Normal 508 2 7" xfId="48073"/>
    <cellStyle name="Normal 508 2 8" xfId="48074"/>
    <cellStyle name="Normal 508 3" xfId="22139"/>
    <cellStyle name="Normal 508 3 2" xfId="48075"/>
    <cellStyle name="Normal 508 3 2 2" xfId="48076"/>
    <cellStyle name="Normal 508 3 2 3" xfId="48077"/>
    <cellStyle name="Normal 508 3 3" xfId="48078"/>
    <cellStyle name="Normal 508 3 3 2" xfId="48079"/>
    <cellStyle name="Normal 508 3 3 3" xfId="48080"/>
    <cellStyle name="Normal 508 3 4" xfId="48081"/>
    <cellStyle name="Normal 508 3 5" xfId="48082"/>
    <cellStyle name="Normal 508 4" xfId="22140"/>
    <cellStyle name="Normal 508 4 2" xfId="48083"/>
    <cellStyle name="Normal 508 4 3" xfId="48084"/>
    <cellStyle name="Normal 508 5" xfId="22141"/>
    <cellStyle name="Normal 508 5 2" xfId="48085"/>
    <cellStyle name="Normal 508 5 3" xfId="48086"/>
    <cellStyle name="Normal 508 6" xfId="48087"/>
    <cellStyle name="Normal 508 7" xfId="48088"/>
    <cellStyle name="Normal 508 8" xfId="48089"/>
    <cellStyle name="Normal 508 9" xfId="48090"/>
    <cellStyle name="Normal 509" xfId="22142"/>
    <cellStyle name="Normal 509 10" xfId="48091"/>
    <cellStyle name="Normal 509 2" xfId="22143"/>
    <cellStyle name="Normal 509 2 2" xfId="22144"/>
    <cellStyle name="Normal 509 2 2 2" xfId="48092"/>
    <cellStyle name="Normal 509 2 2 3" xfId="48093"/>
    <cellStyle name="Normal 509 2 3" xfId="22145"/>
    <cellStyle name="Normal 509 2 3 2" xfId="48094"/>
    <cellStyle name="Normal 509 2 3 3" xfId="48095"/>
    <cellStyle name="Normal 509 2 4" xfId="48096"/>
    <cellStyle name="Normal 509 2 5" xfId="48097"/>
    <cellStyle name="Normal 509 2 6" xfId="48098"/>
    <cellStyle name="Normal 509 2 7" xfId="48099"/>
    <cellStyle name="Normal 509 2 8" xfId="48100"/>
    <cellStyle name="Normal 509 3" xfId="22146"/>
    <cellStyle name="Normal 509 3 2" xfId="48101"/>
    <cellStyle name="Normal 509 3 2 2" xfId="48102"/>
    <cellStyle name="Normal 509 3 2 3" xfId="48103"/>
    <cellStyle name="Normal 509 3 3" xfId="48104"/>
    <cellStyle name="Normal 509 3 3 2" xfId="48105"/>
    <cellStyle name="Normal 509 3 3 3" xfId="48106"/>
    <cellStyle name="Normal 509 3 4" xfId="48107"/>
    <cellStyle name="Normal 509 3 5" xfId="48108"/>
    <cellStyle name="Normal 509 4" xfId="22147"/>
    <cellStyle name="Normal 509 4 2" xfId="48109"/>
    <cellStyle name="Normal 509 4 3" xfId="48110"/>
    <cellStyle name="Normal 509 5" xfId="22148"/>
    <cellStyle name="Normal 509 5 2" xfId="48111"/>
    <cellStyle name="Normal 509 5 3" xfId="48112"/>
    <cellStyle name="Normal 509 6" xfId="48113"/>
    <cellStyle name="Normal 509 7" xfId="48114"/>
    <cellStyle name="Normal 509 8" xfId="48115"/>
    <cellStyle name="Normal 509 9" xfId="48116"/>
    <cellStyle name="Normal 51" xfId="22149"/>
    <cellStyle name="Normal 51 10" xfId="48117"/>
    <cellStyle name="Normal 51 2" xfId="22150"/>
    <cellStyle name="Normal 51 2 2" xfId="22151"/>
    <cellStyle name="Normal 51 2 2 2" xfId="22152"/>
    <cellStyle name="Normal 51 2 2 3" xfId="22153"/>
    <cellStyle name="Normal 51 2 3" xfId="22154"/>
    <cellStyle name="Normal 51 2 3 2" xfId="48118"/>
    <cellStyle name="Normal 51 2 3 3" xfId="48119"/>
    <cellStyle name="Normal 51 2 4" xfId="22155"/>
    <cellStyle name="Normal 51 2 5" xfId="22156"/>
    <cellStyle name="Normal 51 2 6" xfId="48120"/>
    <cellStyle name="Normal 51 2 7" xfId="48121"/>
    <cellStyle name="Normal 51 2 8" xfId="48122"/>
    <cellStyle name="Normal 51 3" xfId="22157"/>
    <cellStyle name="Normal 51 3 2" xfId="22158"/>
    <cellStyle name="Normal 51 3 2 2" xfId="48123"/>
    <cellStyle name="Normal 51 3 2 3" xfId="48124"/>
    <cellStyle name="Normal 51 3 3" xfId="22159"/>
    <cellStyle name="Normal 51 3 3 2" xfId="48125"/>
    <cellStyle name="Normal 51 3 3 3" xfId="48126"/>
    <cellStyle name="Normal 51 3 4" xfId="48127"/>
    <cellStyle name="Normal 51 3 5" xfId="48128"/>
    <cellStyle name="Normal 51 4" xfId="22160"/>
    <cellStyle name="Normal 51 4 2" xfId="48129"/>
    <cellStyle name="Normal 51 4 3" xfId="48130"/>
    <cellStyle name="Normal 51 5" xfId="22161"/>
    <cellStyle name="Normal 51 5 2" xfId="48131"/>
    <cellStyle name="Normal 51 5 3" xfId="48132"/>
    <cellStyle name="Normal 51 6" xfId="22162"/>
    <cellStyle name="Normal 51 7" xfId="48133"/>
    <cellStyle name="Normal 51 8" xfId="48134"/>
    <cellStyle name="Normal 51 9" xfId="48135"/>
    <cellStyle name="Normal 510" xfId="22163"/>
    <cellStyle name="Normal 510 10" xfId="48136"/>
    <cellStyle name="Normal 510 2" xfId="22164"/>
    <cellStyle name="Normal 510 2 2" xfId="22165"/>
    <cellStyle name="Normal 510 2 2 2" xfId="48137"/>
    <cellStyle name="Normal 510 2 2 3" xfId="48138"/>
    <cellStyle name="Normal 510 2 3" xfId="22166"/>
    <cellStyle name="Normal 510 2 3 2" xfId="48139"/>
    <cellStyle name="Normal 510 2 3 3" xfId="48140"/>
    <cellStyle name="Normal 510 2 4" xfId="48141"/>
    <cellStyle name="Normal 510 2 5" xfId="48142"/>
    <cellStyle name="Normal 510 2 6" xfId="48143"/>
    <cellStyle name="Normal 510 2 7" xfId="48144"/>
    <cellStyle name="Normal 510 2 8" xfId="48145"/>
    <cellStyle name="Normal 510 3" xfId="22167"/>
    <cellStyle name="Normal 510 3 2" xfId="48146"/>
    <cellStyle name="Normal 510 3 2 2" xfId="48147"/>
    <cellStyle name="Normal 510 3 2 3" xfId="48148"/>
    <cellStyle name="Normal 510 3 3" xfId="48149"/>
    <cellStyle name="Normal 510 3 3 2" xfId="48150"/>
    <cellStyle name="Normal 510 3 3 3" xfId="48151"/>
    <cellStyle name="Normal 510 3 4" xfId="48152"/>
    <cellStyle name="Normal 510 3 5" xfId="48153"/>
    <cellStyle name="Normal 510 4" xfId="22168"/>
    <cellStyle name="Normal 510 4 2" xfId="48154"/>
    <cellStyle name="Normal 510 4 3" xfId="48155"/>
    <cellStyle name="Normal 510 5" xfId="22169"/>
    <cellStyle name="Normal 510 5 2" xfId="48156"/>
    <cellStyle name="Normal 510 5 3" xfId="48157"/>
    <cellStyle name="Normal 510 6" xfId="48158"/>
    <cellStyle name="Normal 510 7" xfId="48159"/>
    <cellStyle name="Normal 510 8" xfId="48160"/>
    <cellStyle name="Normal 510 9" xfId="48161"/>
    <cellStyle name="Normal 511" xfId="22170"/>
    <cellStyle name="Normal 511 10" xfId="48162"/>
    <cellStyle name="Normal 511 2" xfId="22171"/>
    <cellStyle name="Normal 511 2 2" xfId="22172"/>
    <cellStyle name="Normal 511 2 2 2" xfId="48163"/>
    <cellStyle name="Normal 511 2 2 3" xfId="48164"/>
    <cellStyle name="Normal 511 2 3" xfId="22173"/>
    <cellStyle name="Normal 511 2 3 2" xfId="48165"/>
    <cellStyle name="Normal 511 2 3 3" xfId="48166"/>
    <cellStyle name="Normal 511 2 4" xfId="48167"/>
    <cellStyle name="Normal 511 2 5" xfId="48168"/>
    <cellStyle name="Normal 511 2 6" xfId="48169"/>
    <cellStyle name="Normal 511 2 7" xfId="48170"/>
    <cellStyle name="Normal 511 2 8" xfId="48171"/>
    <cellStyle name="Normal 511 3" xfId="22174"/>
    <cellStyle name="Normal 511 3 2" xfId="48172"/>
    <cellStyle name="Normal 511 3 2 2" xfId="48173"/>
    <cellStyle name="Normal 511 3 2 3" xfId="48174"/>
    <cellStyle name="Normal 511 3 3" xfId="48175"/>
    <cellStyle name="Normal 511 3 3 2" xfId="48176"/>
    <cellStyle name="Normal 511 3 3 3" xfId="48177"/>
    <cellStyle name="Normal 511 3 4" xfId="48178"/>
    <cellStyle name="Normal 511 3 5" xfId="48179"/>
    <cellStyle name="Normal 511 4" xfId="22175"/>
    <cellStyle name="Normal 511 4 2" xfId="48180"/>
    <cellStyle name="Normal 511 4 3" xfId="48181"/>
    <cellStyle name="Normal 511 5" xfId="22176"/>
    <cellStyle name="Normal 511 5 2" xfId="48182"/>
    <cellStyle name="Normal 511 5 3" xfId="48183"/>
    <cellStyle name="Normal 511 6" xfId="48184"/>
    <cellStyle name="Normal 511 7" xfId="48185"/>
    <cellStyle name="Normal 511 8" xfId="48186"/>
    <cellStyle name="Normal 511 9" xfId="48187"/>
    <cellStyle name="Normal 512" xfId="22177"/>
    <cellStyle name="Normal 512 10" xfId="48188"/>
    <cellStyle name="Normal 512 2" xfId="22178"/>
    <cellStyle name="Normal 512 2 2" xfId="22179"/>
    <cellStyle name="Normal 512 2 2 2" xfId="48189"/>
    <cellStyle name="Normal 512 2 2 3" xfId="48190"/>
    <cellStyle name="Normal 512 2 3" xfId="22180"/>
    <cellStyle name="Normal 512 2 3 2" xfId="48191"/>
    <cellStyle name="Normal 512 2 3 3" xfId="48192"/>
    <cellStyle name="Normal 512 2 4" xfId="48193"/>
    <cellStyle name="Normal 512 2 5" xfId="48194"/>
    <cellStyle name="Normal 512 2 6" xfId="48195"/>
    <cellStyle name="Normal 512 2 7" xfId="48196"/>
    <cellStyle name="Normal 512 2 8" xfId="48197"/>
    <cellStyle name="Normal 512 3" xfId="22181"/>
    <cellStyle name="Normal 512 3 2" xfId="48198"/>
    <cellStyle name="Normal 512 3 2 2" xfId="48199"/>
    <cellStyle name="Normal 512 3 2 3" xfId="48200"/>
    <cellStyle name="Normal 512 3 3" xfId="48201"/>
    <cellStyle name="Normal 512 3 3 2" xfId="48202"/>
    <cellStyle name="Normal 512 3 3 3" xfId="48203"/>
    <cellStyle name="Normal 512 3 4" xfId="48204"/>
    <cellStyle name="Normal 512 3 5" xfId="48205"/>
    <cellStyle name="Normal 512 4" xfId="22182"/>
    <cellStyle name="Normal 512 4 2" xfId="48206"/>
    <cellStyle name="Normal 512 4 3" xfId="48207"/>
    <cellStyle name="Normal 512 5" xfId="22183"/>
    <cellStyle name="Normal 512 5 2" xfId="48208"/>
    <cellStyle name="Normal 512 5 3" xfId="48209"/>
    <cellStyle name="Normal 512 6" xfId="48210"/>
    <cellStyle name="Normal 512 7" xfId="48211"/>
    <cellStyle name="Normal 512 8" xfId="48212"/>
    <cellStyle name="Normal 512 9" xfId="48213"/>
    <cellStyle name="Normal 513" xfId="22184"/>
    <cellStyle name="Normal 513 10" xfId="48214"/>
    <cellStyle name="Normal 513 2" xfId="22185"/>
    <cellStyle name="Normal 513 2 2" xfId="22186"/>
    <cellStyle name="Normal 513 2 2 2" xfId="48215"/>
    <cellStyle name="Normal 513 2 2 3" xfId="48216"/>
    <cellStyle name="Normal 513 2 3" xfId="22187"/>
    <cellStyle name="Normal 513 2 3 2" xfId="48217"/>
    <cellStyle name="Normal 513 2 3 3" xfId="48218"/>
    <cellStyle name="Normal 513 2 4" xfId="48219"/>
    <cellStyle name="Normal 513 2 5" xfId="48220"/>
    <cellStyle name="Normal 513 2 6" xfId="48221"/>
    <cellStyle name="Normal 513 2 7" xfId="48222"/>
    <cellStyle name="Normal 513 2 8" xfId="48223"/>
    <cellStyle name="Normal 513 3" xfId="22188"/>
    <cellStyle name="Normal 513 3 2" xfId="48224"/>
    <cellStyle name="Normal 513 3 2 2" xfId="48225"/>
    <cellStyle name="Normal 513 3 2 3" xfId="48226"/>
    <cellStyle name="Normal 513 3 3" xfId="48227"/>
    <cellStyle name="Normal 513 3 3 2" xfId="48228"/>
    <cellStyle name="Normal 513 3 3 3" xfId="48229"/>
    <cellStyle name="Normal 513 3 4" xfId="48230"/>
    <cellStyle name="Normal 513 3 5" xfId="48231"/>
    <cellStyle name="Normal 513 4" xfId="22189"/>
    <cellStyle name="Normal 513 4 2" xfId="48232"/>
    <cellStyle name="Normal 513 4 3" xfId="48233"/>
    <cellStyle name="Normal 513 5" xfId="22190"/>
    <cellStyle name="Normal 513 5 2" xfId="48234"/>
    <cellStyle name="Normal 513 5 3" xfId="48235"/>
    <cellStyle name="Normal 513 6" xfId="48236"/>
    <cellStyle name="Normal 513 7" xfId="48237"/>
    <cellStyle name="Normal 513 8" xfId="48238"/>
    <cellStyle name="Normal 513 9" xfId="48239"/>
    <cellStyle name="Normal 514" xfId="22191"/>
    <cellStyle name="Normal 514 10" xfId="48240"/>
    <cellStyle name="Normal 514 2" xfId="22192"/>
    <cellStyle name="Normal 514 2 2" xfId="22193"/>
    <cellStyle name="Normal 514 2 2 2" xfId="48241"/>
    <cellStyle name="Normal 514 2 2 3" xfId="48242"/>
    <cellStyle name="Normal 514 2 3" xfId="22194"/>
    <cellStyle name="Normal 514 2 3 2" xfId="48243"/>
    <cellStyle name="Normal 514 2 3 3" xfId="48244"/>
    <cellStyle name="Normal 514 2 4" xfId="48245"/>
    <cellStyle name="Normal 514 2 5" xfId="48246"/>
    <cellStyle name="Normal 514 2 6" xfId="48247"/>
    <cellStyle name="Normal 514 2 7" xfId="48248"/>
    <cellStyle name="Normal 514 2 8" xfId="48249"/>
    <cellStyle name="Normal 514 3" xfId="22195"/>
    <cellStyle name="Normal 514 3 2" xfId="48250"/>
    <cellStyle name="Normal 514 3 2 2" xfId="48251"/>
    <cellStyle name="Normal 514 3 2 3" xfId="48252"/>
    <cellStyle name="Normal 514 3 3" xfId="48253"/>
    <cellStyle name="Normal 514 3 3 2" xfId="48254"/>
    <cellStyle name="Normal 514 3 3 3" xfId="48255"/>
    <cellStyle name="Normal 514 3 4" xfId="48256"/>
    <cellStyle name="Normal 514 3 5" xfId="48257"/>
    <cellStyle name="Normal 514 4" xfId="22196"/>
    <cellStyle name="Normal 514 4 2" xfId="48258"/>
    <cellStyle name="Normal 514 4 3" xfId="48259"/>
    <cellStyle name="Normal 514 5" xfId="22197"/>
    <cellStyle name="Normal 514 5 2" xfId="48260"/>
    <cellStyle name="Normal 514 5 3" xfId="48261"/>
    <cellStyle name="Normal 514 6" xfId="48262"/>
    <cellStyle name="Normal 514 7" xfId="48263"/>
    <cellStyle name="Normal 514 8" xfId="48264"/>
    <cellStyle name="Normal 514 9" xfId="48265"/>
    <cellStyle name="Normal 515" xfId="22198"/>
    <cellStyle name="Normal 515 10" xfId="48266"/>
    <cellStyle name="Normal 515 2" xfId="22199"/>
    <cellStyle name="Normal 515 2 2" xfId="22200"/>
    <cellStyle name="Normal 515 2 2 2" xfId="48267"/>
    <cellStyle name="Normal 515 2 2 3" xfId="48268"/>
    <cellStyle name="Normal 515 2 3" xfId="22201"/>
    <cellStyle name="Normal 515 2 3 2" xfId="48269"/>
    <cellStyle name="Normal 515 2 3 3" xfId="48270"/>
    <cellStyle name="Normal 515 2 4" xfId="48271"/>
    <cellStyle name="Normal 515 2 5" xfId="48272"/>
    <cellStyle name="Normal 515 2 6" xfId="48273"/>
    <cellStyle name="Normal 515 2 7" xfId="48274"/>
    <cellStyle name="Normal 515 2 8" xfId="48275"/>
    <cellStyle name="Normal 515 3" xfId="22202"/>
    <cellStyle name="Normal 515 3 2" xfId="48276"/>
    <cellStyle name="Normal 515 3 2 2" xfId="48277"/>
    <cellStyle name="Normal 515 3 2 3" xfId="48278"/>
    <cellStyle name="Normal 515 3 3" xfId="48279"/>
    <cellStyle name="Normal 515 3 3 2" xfId="48280"/>
    <cellStyle name="Normal 515 3 3 3" xfId="48281"/>
    <cellStyle name="Normal 515 3 4" xfId="48282"/>
    <cellStyle name="Normal 515 3 5" xfId="48283"/>
    <cellStyle name="Normal 515 4" xfId="22203"/>
    <cellStyle name="Normal 515 4 2" xfId="48284"/>
    <cellStyle name="Normal 515 4 3" xfId="48285"/>
    <cellStyle name="Normal 515 5" xfId="22204"/>
    <cellStyle name="Normal 515 5 2" xfId="48286"/>
    <cellStyle name="Normal 515 5 3" xfId="48287"/>
    <cellStyle name="Normal 515 6" xfId="48288"/>
    <cellStyle name="Normal 515 7" xfId="48289"/>
    <cellStyle name="Normal 515 8" xfId="48290"/>
    <cellStyle name="Normal 515 9" xfId="48291"/>
    <cellStyle name="Normal 516" xfId="22205"/>
    <cellStyle name="Normal 516 10" xfId="48292"/>
    <cellStyle name="Normal 516 2" xfId="22206"/>
    <cellStyle name="Normal 516 2 2" xfId="22207"/>
    <cellStyle name="Normal 516 2 2 2" xfId="48293"/>
    <cellStyle name="Normal 516 2 2 3" xfId="48294"/>
    <cellStyle name="Normal 516 2 3" xfId="22208"/>
    <cellStyle name="Normal 516 2 3 2" xfId="48295"/>
    <cellStyle name="Normal 516 2 3 3" xfId="48296"/>
    <cellStyle name="Normal 516 2 4" xfId="48297"/>
    <cellStyle name="Normal 516 2 5" xfId="48298"/>
    <cellStyle name="Normal 516 2 6" xfId="48299"/>
    <cellStyle name="Normal 516 2 7" xfId="48300"/>
    <cellStyle name="Normal 516 2 8" xfId="48301"/>
    <cellStyle name="Normal 516 3" xfId="22209"/>
    <cellStyle name="Normal 516 3 2" xfId="48302"/>
    <cellStyle name="Normal 516 3 2 2" xfId="48303"/>
    <cellStyle name="Normal 516 3 2 3" xfId="48304"/>
    <cellStyle name="Normal 516 3 3" xfId="48305"/>
    <cellStyle name="Normal 516 3 3 2" xfId="48306"/>
    <cellStyle name="Normal 516 3 3 3" xfId="48307"/>
    <cellStyle name="Normal 516 3 4" xfId="48308"/>
    <cellStyle name="Normal 516 3 5" xfId="48309"/>
    <cellStyle name="Normal 516 4" xfId="22210"/>
    <cellStyle name="Normal 516 4 2" xfId="48310"/>
    <cellStyle name="Normal 516 4 3" xfId="48311"/>
    <cellStyle name="Normal 516 5" xfId="22211"/>
    <cellStyle name="Normal 516 5 2" xfId="48312"/>
    <cellStyle name="Normal 516 5 3" xfId="48313"/>
    <cellStyle name="Normal 516 6" xfId="48314"/>
    <cellStyle name="Normal 516 7" xfId="48315"/>
    <cellStyle name="Normal 516 8" xfId="48316"/>
    <cellStyle name="Normal 516 9" xfId="48317"/>
    <cellStyle name="Normal 517" xfId="22212"/>
    <cellStyle name="Normal 517 10" xfId="48318"/>
    <cellStyle name="Normal 517 2" xfId="22213"/>
    <cellStyle name="Normal 517 2 2" xfId="22214"/>
    <cellStyle name="Normal 517 2 2 2" xfId="48319"/>
    <cellStyle name="Normal 517 2 2 3" xfId="48320"/>
    <cellStyle name="Normal 517 2 3" xfId="22215"/>
    <cellStyle name="Normal 517 2 3 2" xfId="48321"/>
    <cellStyle name="Normal 517 2 3 3" xfId="48322"/>
    <cellStyle name="Normal 517 2 4" xfId="48323"/>
    <cellStyle name="Normal 517 2 5" xfId="48324"/>
    <cellStyle name="Normal 517 2 6" xfId="48325"/>
    <cellStyle name="Normal 517 2 7" xfId="48326"/>
    <cellStyle name="Normal 517 2 8" xfId="48327"/>
    <cellStyle name="Normal 517 3" xfId="22216"/>
    <cellStyle name="Normal 517 3 2" xfId="48328"/>
    <cellStyle name="Normal 517 3 2 2" xfId="48329"/>
    <cellStyle name="Normal 517 3 2 3" xfId="48330"/>
    <cellStyle name="Normal 517 3 3" xfId="48331"/>
    <cellStyle name="Normal 517 3 3 2" xfId="48332"/>
    <cellStyle name="Normal 517 3 3 3" xfId="48333"/>
    <cellStyle name="Normal 517 3 4" xfId="48334"/>
    <cellStyle name="Normal 517 3 5" xfId="48335"/>
    <cellStyle name="Normal 517 4" xfId="22217"/>
    <cellStyle name="Normal 517 4 2" xfId="48336"/>
    <cellStyle name="Normal 517 4 3" xfId="48337"/>
    <cellStyle name="Normal 517 5" xfId="22218"/>
    <cellStyle name="Normal 517 5 2" xfId="48338"/>
    <cellStyle name="Normal 517 5 3" xfId="48339"/>
    <cellStyle name="Normal 517 6" xfId="48340"/>
    <cellStyle name="Normal 517 7" xfId="48341"/>
    <cellStyle name="Normal 517 8" xfId="48342"/>
    <cellStyle name="Normal 517 9" xfId="48343"/>
    <cellStyle name="Normal 518" xfId="22219"/>
    <cellStyle name="Normal 518 10" xfId="48344"/>
    <cellStyle name="Normal 518 2" xfId="22220"/>
    <cellStyle name="Normal 518 2 2" xfId="22221"/>
    <cellStyle name="Normal 518 2 2 2" xfId="48345"/>
    <cellStyle name="Normal 518 2 2 3" xfId="48346"/>
    <cellStyle name="Normal 518 2 3" xfId="22222"/>
    <cellStyle name="Normal 518 2 3 2" xfId="48347"/>
    <cellStyle name="Normal 518 2 3 3" xfId="48348"/>
    <cellStyle name="Normal 518 2 4" xfId="48349"/>
    <cellStyle name="Normal 518 2 5" xfId="48350"/>
    <cellStyle name="Normal 518 2 6" xfId="48351"/>
    <cellStyle name="Normal 518 2 7" xfId="48352"/>
    <cellStyle name="Normal 518 2 8" xfId="48353"/>
    <cellStyle name="Normal 518 3" xfId="22223"/>
    <cellStyle name="Normal 518 3 2" xfId="48354"/>
    <cellStyle name="Normal 518 3 2 2" xfId="48355"/>
    <cellStyle name="Normal 518 3 2 3" xfId="48356"/>
    <cellStyle name="Normal 518 3 3" xfId="48357"/>
    <cellStyle name="Normal 518 3 3 2" xfId="48358"/>
    <cellStyle name="Normal 518 3 3 3" xfId="48359"/>
    <cellStyle name="Normal 518 3 4" xfId="48360"/>
    <cellStyle name="Normal 518 3 5" xfId="48361"/>
    <cellStyle name="Normal 518 4" xfId="22224"/>
    <cellStyle name="Normal 518 4 2" xfId="48362"/>
    <cellStyle name="Normal 518 4 3" xfId="48363"/>
    <cellStyle name="Normal 518 5" xfId="22225"/>
    <cellStyle name="Normal 518 5 2" xfId="48364"/>
    <cellStyle name="Normal 518 5 3" xfId="48365"/>
    <cellStyle name="Normal 518 6" xfId="48366"/>
    <cellStyle name="Normal 518 7" xfId="48367"/>
    <cellStyle name="Normal 518 8" xfId="48368"/>
    <cellStyle name="Normal 518 9" xfId="48369"/>
    <cellStyle name="Normal 519" xfId="22226"/>
    <cellStyle name="Normal 519 10" xfId="48370"/>
    <cellStyle name="Normal 519 2" xfId="22227"/>
    <cellStyle name="Normal 519 2 2" xfId="22228"/>
    <cellStyle name="Normal 519 2 2 2" xfId="48371"/>
    <cellStyle name="Normal 519 2 2 3" xfId="48372"/>
    <cellStyle name="Normal 519 2 3" xfId="22229"/>
    <cellStyle name="Normal 519 2 3 2" xfId="48373"/>
    <cellStyle name="Normal 519 2 3 3" xfId="48374"/>
    <cellStyle name="Normal 519 2 4" xfId="48375"/>
    <cellStyle name="Normal 519 2 5" xfId="48376"/>
    <cellStyle name="Normal 519 2 6" xfId="48377"/>
    <cellStyle name="Normal 519 2 7" xfId="48378"/>
    <cellStyle name="Normal 519 2 8" xfId="48379"/>
    <cellStyle name="Normal 519 3" xfId="22230"/>
    <cellStyle name="Normal 519 3 2" xfId="48380"/>
    <cellStyle name="Normal 519 3 2 2" xfId="48381"/>
    <cellStyle name="Normal 519 3 2 3" xfId="48382"/>
    <cellStyle name="Normal 519 3 3" xfId="48383"/>
    <cellStyle name="Normal 519 3 3 2" xfId="48384"/>
    <cellStyle name="Normal 519 3 3 3" xfId="48385"/>
    <cellStyle name="Normal 519 3 4" xfId="48386"/>
    <cellStyle name="Normal 519 3 5" xfId="48387"/>
    <cellStyle name="Normal 519 4" xfId="22231"/>
    <cellStyle name="Normal 519 4 2" xfId="48388"/>
    <cellStyle name="Normal 519 4 3" xfId="48389"/>
    <cellStyle name="Normal 519 5" xfId="22232"/>
    <cellStyle name="Normal 519 5 2" xfId="48390"/>
    <cellStyle name="Normal 519 5 3" xfId="48391"/>
    <cellStyle name="Normal 519 6" xfId="48392"/>
    <cellStyle name="Normal 519 7" xfId="48393"/>
    <cellStyle name="Normal 519 8" xfId="48394"/>
    <cellStyle name="Normal 519 9" xfId="48395"/>
    <cellStyle name="Normal 52" xfId="22233"/>
    <cellStyle name="Normal 52 10" xfId="48396"/>
    <cellStyle name="Normal 52 2" xfId="22234"/>
    <cellStyle name="Normal 52 2 2" xfId="22235"/>
    <cellStyle name="Normal 52 2 2 2" xfId="22236"/>
    <cellStyle name="Normal 52 2 2 3" xfId="22237"/>
    <cellStyle name="Normal 52 2 3" xfId="22238"/>
    <cellStyle name="Normal 52 2 3 2" xfId="48397"/>
    <cellStyle name="Normal 52 2 3 3" xfId="48398"/>
    <cellStyle name="Normal 52 2 4" xfId="22239"/>
    <cellStyle name="Normal 52 2 5" xfId="22240"/>
    <cellStyle name="Normal 52 2 6" xfId="48399"/>
    <cellStyle name="Normal 52 2 7" xfId="48400"/>
    <cellStyle name="Normal 52 2 8" xfId="48401"/>
    <cellStyle name="Normal 52 3" xfId="22241"/>
    <cellStyle name="Normal 52 3 2" xfId="22242"/>
    <cellStyle name="Normal 52 3 2 2" xfId="48402"/>
    <cellStyle name="Normal 52 3 2 3" xfId="48403"/>
    <cellStyle name="Normal 52 3 3" xfId="22243"/>
    <cellStyle name="Normal 52 3 3 2" xfId="48404"/>
    <cellStyle name="Normal 52 3 3 3" xfId="48405"/>
    <cellStyle name="Normal 52 3 4" xfId="48406"/>
    <cellStyle name="Normal 52 3 5" xfId="48407"/>
    <cellStyle name="Normal 52 4" xfId="22244"/>
    <cellStyle name="Normal 52 4 2" xfId="48408"/>
    <cellStyle name="Normal 52 4 3" xfId="48409"/>
    <cellStyle name="Normal 52 5" xfId="22245"/>
    <cellStyle name="Normal 52 5 2" xfId="48410"/>
    <cellStyle name="Normal 52 5 3" xfId="48411"/>
    <cellStyle name="Normal 52 6" xfId="22246"/>
    <cellStyle name="Normal 52 7" xfId="48412"/>
    <cellStyle name="Normal 52 8" xfId="48413"/>
    <cellStyle name="Normal 52 9" xfId="48414"/>
    <cellStyle name="Normal 520" xfId="22247"/>
    <cellStyle name="Normal 520 10" xfId="48415"/>
    <cellStyle name="Normal 520 2" xfId="22248"/>
    <cellStyle name="Normal 520 2 2" xfId="22249"/>
    <cellStyle name="Normal 520 2 2 2" xfId="48416"/>
    <cellStyle name="Normal 520 2 2 3" xfId="48417"/>
    <cellStyle name="Normal 520 2 3" xfId="22250"/>
    <cellStyle name="Normal 520 2 3 2" xfId="48418"/>
    <cellStyle name="Normal 520 2 3 3" xfId="48419"/>
    <cellStyle name="Normal 520 2 4" xfId="48420"/>
    <cellStyle name="Normal 520 2 5" xfId="48421"/>
    <cellStyle name="Normal 520 2 6" xfId="48422"/>
    <cellStyle name="Normal 520 2 7" xfId="48423"/>
    <cellStyle name="Normal 520 2 8" xfId="48424"/>
    <cellStyle name="Normal 520 3" xfId="22251"/>
    <cellStyle name="Normal 520 3 2" xfId="48425"/>
    <cellStyle name="Normal 520 3 2 2" xfId="48426"/>
    <cellStyle name="Normal 520 3 2 3" xfId="48427"/>
    <cellStyle name="Normal 520 3 3" xfId="48428"/>
    <cellStyle name="Normal 520 3 3 2" xfId="48429"/>
    <cellStyle name="Normal 520 3 3 3" xfId="48430"/>
    <cellStyle name="Normal 520 3 4" xfId="48431"/>
    <cellStyle name="Normal 520 3 5" xfId="48432"/>
    <cellStyle name="Normal 520 4" xfId="22252"/>
    <cellStyle name="Normal 520 4 2" xfId="48433"/>
    <cellStyle name="Normal 520 4 3" xfId="48434"/>
    <cellStyle name="Normal 520 5" xfId="22253"/>
    <cellStyle name="Normal 520 5 2" xfId="48435"/>
    <cellStyle name="Normal 520 5 3" xfId="48436"/>
    <cellStyle name="Normal 520 6" xfId="48437"/>
    <cellStyle name="Normal 520 7" xfId="48438"/>
    <cellStyle name="Normal 520 8" xfId="48439"/>
    <cellStyle name="Normal 520 9" xfId="48440"/>
    <cellStyle name="Normal 521" xfId="22254"/>
    <cellStyle name="Normal 521 10" xfId="48441"/>
    <cellStyle name="Normal 521 2" xfId="22255"/>
    <cellStyle name="Normal 521 2 2" xfId="22256"/>
    <cellStyle name="Normal 521 2 2 2" xfId="48442"/>
    <cellStyle name="Normal 521 2 2 3" xfId="48443"/>
    <cellStyle name="Normal 521 2 3" xfId="22257"/>
    <cellStyle name="Normal 521 2 3 2" xfId="48444"/>
    <cellStyle name="Normal 521 2 3 3" xfId="48445"/>
    <cellStyle name="Normal 521 2 4" xfId="48446"/>
    <cellStyle name="Normal 521 2 5" xfId="48447"/>
    <cellStyle name="Normal 521 2 6" xfId="48448"/>
    <cellStyle name="Normal 521 2 7" xfId="48449"/>
    <cellStyle name="Normal 521 2 8" xfId="48450"/>
    <cellStyle name="Normal 521 3" xfId="22258"/>
    <cellStyle name="Normal 521 3 2" xfId="48451"/>
    <cellStyle name="Normal 521 3 2 2" xfId="48452"/>
    <cellStyle name="Normal 521 3 2 3" xfId="48453"/>
    <cellStyle name="Normal 521 3 3" xfId="48454"/>
    <cellStyle name="Normal 521 3 3 2" xfId="48455"/>
    <cellStyle name="Normal 521 3 3 3" xfId="48456"/>
    <cellStyle name="Normal 521 3 4" xfId="48457"/>
    <cellStyle name="Normal 521 3 5" xfId="48458"/>
    <cellStyle name="Normal 521 4" xfId="22259"/>
    <cellStyle name="Normal 521 4 2" xfId="48459"/>
    <cellStyle name="Normal 521 4 3" xfId="48460"/>
    <cellStyle name="Normal 521 5" xfId="22260"/>
    <cellStyle name="Normal 521 5 2" xfId="48461"/>
    <cellStyle name="Normal 521 5 3" xfId="48462"/>
    <cellStyle name="Normal 521 6" xfId="48463"/>
    <cellStyle name="Normal 521 7" xfId="48464"/>
    <cellStyle name="Normal 521 8" xfId="48465"/>
    <cellStyle name="Normal 521 9" xfId="48466"/>
    <cellStyle name="Normal 522" xfId="22261"/>
    <cellStyle name="Normal 522 10" xfId="48467"/>
    <cellStyle name="Normal 522 2" xfId="22262"/>
    <cellStyle name="Normal 522 2 2" xfId="22263"/>
    <cellStyle name="Normal 522 2 2 2" xfId="48468"/>
    <cellStyle name="Normal 522 2 2 3" xfId="48469"/>
    <cellStyle name="Normal 522 2 3" xfId="22264"/>
    <cellStyle name="Normal 522 2 3 2" xfId="48470"/>
    <cellStyle name="Normal 522 2 3 3" xfId="48471"/>
    <cellStyle name="Normal 522 2 4" xfId="48472"/>
    <cellStyle name="Normal 522 2 5" xfId="48473"/>
    <cellStyle name="Normal 522 2 6" xfId="48474"/>
    <cellStyle name="Normal 522 2 7" xfId="48475"/>
    <cellStyle name="Normal 522 2 8" xfId="48476"/>
    <cellStyle name="Normal 522 3" xfId="22265"/>
    <cellStyle name="Normal 522 3 2" xfId="48477"/>
    <cellStyle name="Normal 522 3 2 2" xfId="48478"/>
    <cellStyle name="Normal 522 3 2 3" xfId="48479"/>
    <cellStyle name="Normal 522 3 3" xfId="48480"/>
    <cellStyle name="Normal 522 3 3 2" xfId="48481"/>
    <cellStyle name="Normal 522 3 3 3" xfId="48482"/>
    <cellStyle name="Normal 522 3 4" xfId="48483"/>
    <cellStyle name="Normal 522 3 5" xfId="48484"/>
    <cellStyle name="Normal 522 4" xfId="22266"/>
    <cellStyle name="Normal 522 4 2" xfId="48485"/>
    <cellStyle name="Normal 522 4 3" xfId="48486"/>
    <cellStyle name="Normal 522 5" xfId="22267"/>
    <cellStyle name="Normal 522 5 2" xfId="48487"/>
    <cellStyle name="Normal 522 5 3" xfId="48488"/>
    <cellStyle name="Normal 522 6" xfId="48489"/>
    <cellStyle name="Normal 522 7" xfId="48490"/>
    <cellStyle name="Normal 522 8" xfId="48491"/>
    <cellStyle name="Normal 522 9" xfId="48492"/>
    <cellStyle name="Normal 523" xfId="22268"/>
    <cellStyle name="Normal 523 10" xfId="48493"/>
    <cellStyle name="Normal 523 2" xfId="22269"/>
    <cellStyle name="Normal 523 2 2" xfId="22270"/>
    <cellStyle name="Normal 523 2 2 2" xfId="48494"/>
    <cellStyle name="Normal 523 2 2 3" xfId="48495"/>
    <cellStyle name="Normal 523 2 3" xfId="22271"/>
    <cellStyle name="Normal 523 2 3 2" xfId="48496"/>
    <cellStyle name="Normal 523 2 3 3" xfId="48497"/>
    <cellStyle name="Normal 523 2 4" xfId="48498"/>
    <cellStyle name="Normal 523 2 5" xfId="48499"/>
    <cellStyle name="Normal 523 2 6" xfId="48500"/>
    <cellStyle name="Normal 523 2 7" xfId="48501"/>
    <cellStyle name="Normal 523 2 8" xfId="48502"/>
    <cellStyle name="Normal 523 3" xfId="22272"/>
    <cellStyle name="Normal 523 3 2" xfId="48503"/>
    <cellStyle name="Normal 523 3 2 2" xfId="48504"/>
    <cellStyle name="Normal 523 3 2 3" xfId="48505"/>
    <cellStyle name="Normal 523 3 3" xfId="48506"/>
    <cellStyle name="Normal 523 3 3 2" xfId="48507"/>
    <cellStyle name="Normal 523 3 3 3" xfId="48508"/>
    <cellStyle name="Normal 523 3 4" xfId="48509"/>
    <cellStyle name="Normal 523 3 5" xfId="48510"/>
    <cellStyle name="Normal 523 4" xfId="22273"/>
    <cellStyle name="Normal 523 4 2" xfId="48511"/>
    <cellStyle name="Normal 523 4 3" xfId="48512"/>
    <cellStyle name="Normal 523 5" xfId="22274"/>
    <cellStyle name="Normal 523 5 2" xfId="48513"/>
    <cellStyle name="Normal 523 5 3" xfId="48514"/>
    <cellStyle name="Normal 523 6" xfId="48515"/>
    <cellStyle name="Normal 523 7" xfId="48516"/>
    <cellStyle name="Normal 523 8" xfId="48517"/>
    <cellStyle name="Normal 523 9" xfId="48518"/>
    <cellStyle name="Normal 524" xfId="22275"/>
    <cellStyle name="Normal 524 10" xfId="48519"/>
    <cellStyle name="Normal 524 2" xfId="22276"/>
    <cellStyle name="Normal 524 2 2" xfId="22277"/>
    <cellStyle name="Normal 524 2 2 2" xfId="48520"/>
    <cellStyle name="Normal 524 2 2 3" xfId="48521"/>
    <cellStyle name="Normal 524 2 3" xfId="22278"/>
    <cellStyle name="Normal 524 2 3 2" xfId="48522"/>
    <cellStyle name="Normal 524 2 3 3" xfId="48523"/>
    <cellStyle name="Normal 524 2 4" xfId="48524"/>
    <cellStyle name="Normal 524 2 5" xfId="48525"/>
    <cellStyle name="Normal 524 2 6" xfId="48526"/>
    <cellStyle name="Normal 524 2 7" xfId="48527"/>
    <cellStyle name="Normal 524 2 8" xfId="48528"/>
    <cellStyle name="Normal 524 3" xfId="22279"/>
    <cellStyle name="Normal 524 3 2" xfId="48529"/>
    <cellStyle name="Normal 524 3 2 2" xfId="48530"/>
    <cellStyle name="Normal 524 3 2 3" xfId="48531"/>
    <cellStyle name="Normal 524 3 3" xfId="48532"/>
    <cellStyle name="Normal 524 3 3 2" xfId="48533"/>
    <cellStyle name="Normal 524 3 3 3" xfId="48534"/>
    <cellStyle name="Normal 524 3 4" xfId="48535"/>
    <cellStyle name="Normal 524 3 5" xfId="48536"/>
    <cellStyle name="Normal 524 4" xfId="22280"/>
    <cellStyle name="Normal 524 4 2" xfId="48537"/>
    <cellStyle name="Normal 524 4 3" xfId="48538"/>
    <cellStyle name="Normal 524 5" xfId="22281"/>
    <cellStyle name="Normal 524 5 2" xfId="48539"/>
    <cellStyle name="Normal 524 5 3" xfId="48540"/>
    <cellStyle name="Normal 524 6" xfId="48541"/>
    <cellStyle name="Normal 524 7" xfId="48542"/>
    <cellStyle name="Normal 524 8" xfId="48543"/>
    <cellStyle name="Normal 524 9" xfId="48544"/>
    <cellStyle name="Normal 525" xfId="22282"/>
    <cellStyle name="Normal 525 10" xfId="48545"/>
    <cellStyle name="Normal 525 2" xfId="22283"/>
    <cellStyle name="Normal 525 2 2" xfId="22284"/>
    <cellStyle name="Normal 525 2 2 2" xfId="48546"/>
    <cellStyle name="Normal 525 2 2 3" xfId="48547"/>
    <cellStyle name="Normal 525 2 3" xfId="22285"/>
    <cellStyle name="Normal 525 2 3 2" xfId="48548"/>
    <cellStyle name="Normal 525 2 3 3" xfId="48549"/>
    <cellStyle name="Normal 525 2 4" xfId="48550"/>
    <cellStyle name="Normal 525 2 5" xfId="48551"/>
    <cellStyle name="Normal 525 2 6" xfId="48552"/>
    <cellStyle name="Normal 525 2 7" xfId="48553"/>
    <cellStyle name="Normal 525 2 8" xfId="48554"/>
    <cellStyle name="Normal 525 3" xfId="22286"/>
    <cellStyle name="Normal 525 3 2" xfId="48555"/>
    <cellStyle name="Normal 525 3 2 2" xfId="48556"/>
    <cellStyle name="Normal 525 3 2 3" xfId="48557"/>
    <cellStyle name="Normal 525 3 3" xfId="48558"/>
    <cellStyle name="Normal 525 3 3 2" xfId="48559"/>
    <cellStyle name="Normal 525 3 3 3" xfId="48560"/>
    <cellStyle name="Normal 525 3 4" xfId="48561"/>
    <cellStyle name="Normal 525 3 5" xfId="48562"/>
    <cellStyle name="Normal 525 4" xfId="22287"/>
    <cellStyle name="Normal 525 4 2" xfId="48563"/>
    <cellStyle name="Normal 525 4 3" xfId="48564"/>
    <cellStyle name="Normal 525 5" xfId="22288"/>
    <cellStyle name="Normal 525 5 2" xfId="48565"/>
    <cellStyle name="Normal 525 5 3" xfId="48566"/>
    <cellStyle name="Normal 525 6" xfId="48567"/>
    <cellStyle name="Normal 525 7" xfId="48568"/>
    <cellStyle name="Normal 525 8" xfId="48569"/>
    <cellStyle name="Normal 525 9" xfId="48570"/>
    <cellStyle name="Normal 526" xfId="22289"/>
    <cellStyle name="Normal 526 10" xfId="48571"/>
    <cellStyle name="Normal 526 2" xfId="22290"/>
    <cellStyle name="Normal 526 2 2" xfId="22291"/>
    <cellStyle name="Normal 526 2 2 2" xfId="48572"/>
    <cellStyle name="Normal 526 2 2 3" xfId="48573"/>
    <cellStyle name="Normal 526 2 3" xfId="22292"/>
    <cellStyle name="Normal 526 2 3 2" xfId="48574"/>
    <cellStyle name="Normal 526 2 3 3" xfId="48575"/>
    <cellStyle name="Normal 526 2 4" xfId="48576"/>
    <cellStyle name="Normal 526 2 5" xfId="48577"/>
    <cellStyle name="Normal 526 2 6" xfId="48578"/>
    <cellStyle name="Normal 526 2 7" xfId="48579"/>
    <cellStyle name="Normal 526 2 8" xfId="48580"/>
    <cellStyle name="Normal 526 3" xfId="22293"/>
    <cellStyle name="Normal 526 3 2" xfId="48581"/>
    <cellStyle name="Normal 526 3 2 2" xfId="48582"/>
    <cellStyle name="Normal 526 3 2 3" xfId="48583"/>
    <cellStyle name="Normal 526 3 3" xfId="48584"/>
    <cellStyle name="Normal 526 3 3 2" xfId="48585"/>
    <cellStyle name="Normal 526 3 3 3" xfId="48586"/>
    <cellStyle name="Normal 526 3 4" xfId="48587"/>
    <cellStyle name="Normal 526 3 5" xfId="48588"/>
    <cellStyle name="Normal 526 4" xfId="22294"/>
    <cellStyle name="Normal 526 4 2" xfId="48589"/>
    <cellStyle name="Normal 526 4 3" xfId="48590"/>
    <cellStyle name="Normal 526 5" xfId="22295"/>
    <cellStyle name="Normal 526 5 2" xfId="48591"/>
    <cellStyle name="Normal 526 5 3" xfId="48592"/>
    <cellStyle name="Normal 526 6" xfId="48593"/>
    <cellStyle name="Normal 526 7" xfId="48594"/>
    <cellStyle name="Normal 526 8" xfId="48595"/>
    <cellStyle name="Normal 526 9" xfId="48596"/>
    <cellStyle name="Normal 527" xfId="22296"/>
    <cellStyle name="Normal 527 10" xfId="48597"/>
    <cellStyle name="Normal 527 2" xfId="22297"/>
    <cellStyle name="Normal 527 2 2" xfId="22298"/>
    <cellStyle name="Normal 527 2 2 2" xfId="48598"/>
    <cellStyle name="Normal 527 2 2 3" xfId="48599"/>
    <cellStyle name="Normal 527 2 3" xfId="22299"/>
    <cellStyle name="Normal 527 2 3 2" xfId="48600"/>
    <cellStyle name="Normal 527 2 3 3" xfId="48601"/>
    <cellStyle name="Normal 527 2 4" xfId="48602"/>
    <cellStyle name="Normal 527 2 5" xfId="48603"/>
    <cellStyle name="Normal 527 2 6" xfId="48604"/>
    <cellStyle name="Normal 527 2 7" xfId="48605"/>
    <cellStyle name="Normal 527 2 8" xfId="48606"/>
    <cellStyle name="Normal 527 3" xfId="22300"/>
    <cellStyle name="Normal 527 3 2" xfId="48607"/>
    <cellStyle name="Normal 527 3 2 2" xfId="48608"/>
    <cellStyle name="Normal 527 3 2 3" xfId="48609"/>
    <cellStyle name="Normal 527 3 3" xfId="48610"/>
    <cellStyle name="Normal 527 3 3 2" xfId="48611"/>
    <cellStyle name="Normal 527 3 3 3" xfId="48612"/>
    <cellStyle name="Normal 527 3 4" xfId="48613"/>
    <cellStyle name="Normal 527 3 5" xfId="48614"/>
    <cellStyle name="Normal 527 4" xfId="22301"/>
    <cellStyle name="Normal 527 4 2" xfId="48615"/>
    <cellStyle name="Normal 527 4 3" xfId="48616"/>
    <cellStyle name="Normal 527 5" xfId="22302"/>
    <cellStyle name="Normal 527 5 2" xfId="48617"/>
    <cellStyle name="Normal 527 5 3" xfId="48618"/>
    <cellStyle name="Normal 527 6" xfId="48619"/>
    <cellStyle name="Normal 527 7" xfId="48620"/>
    <cellStyle name="Normal 527 8" xfId="48621"/>
    <cellStyle name="Normal 527 9" xfId="48622"/>
    <cellStyle name="Normal 528" xfId="22303"/>
    <cellStyle name="Normal 528 10" xfId="48623"/>
    <cellStyle name="Normal 528 2" xfId="22304"/>
    <cellStyle name="Normal 528 2 2" xfId="22305"/>
    <cellStyle name="Normal 528 2 2 2" xfId="48624"/>
    <cellStyle name="Normal 528 2 2 3" xfId="48625"/>
    <cellStyle name="Normal 528 2 3" xfId="22306"/>
    <cellStyle name="Normal 528 2 3 2" xfId="48626"/>
    <cellStyle name="Normal 528 2 3 3" xfId="48627"/>
    <cellStyle name="Normal 528 2 4" xfId="48628"/>
    <cellStyle name="Normal 528 2 5" xfId="48629"/>
    <cellStyle name="Normal 528 2 6" xfId="48630"/>
    <cellStyle name="Normal 528 2 7" xfId="48631"/>
    <cellStyle name="Normal 528 2 8" xfId="48632"/>
    <cellStyle name="Normal 528 3" xfId="22307"/>
    <cellStyle name="Normal 528 3 2" xfId="48633"/>
    <cellStyle name="Normal 528 3 2 2" xfId="48634"/>
    <cellStyle name="Normal 528 3 2 3" xfId="48635"/>
    <cellStyle name="Normal 528 3 3" xfId="48636"/>
    <cellStyle name="Normal 528 3 3 2" xfId="48637"/>
    <cellStyle name="Normal 528 3 3 3" xfId="48638"/>
    <cellStyle name="Normal 528 3 4" xfId="48639"/>
    <cellStyle name="Normal 528 3 5" xfId="48640"/>
    <cellStyle name="Normal 528 4" xfId="22308"/>
    <cellStyle name="Normal 528 4 2" xfId="48641"/>
    <cellStyle name="Normal 528 4 3" xfId="48642"/>
    <cellStyle name="Normal 528 5" xfId="22309"/>
    <cellStyle name="Normal 528 5 2" xfId="48643"/>
    <cellStyle name="Normal 528 5 3" xfId="48644"/>
    <cellStyle name="Normal 528 6" xfId="48645"/>
    <cellStyle name="Normal 528 7" xfId="48646"/>
    <cellStyle name="Normal 528 8" xfId="48647"/>
    <cellStyle name="Normal 528 9" xfId="48648"/>
    <cellStyle name="Normal 529" xfId="22310"/>
    <cellStyle name="Normal 529 10" xfId="48649"/>
    <cellStyle name="Normal 529 2" xfId="22311"/>
    <cellStyle name="Normal 529 2 2" xfId="22312"/>
    <cellStyle name="Normal 529 2 2 2" xfId="48650"/>
    <cellStyle name="Normal 529 2 2 3" xfId="48651"/>
    <cellStyle name="Normal 529 2 3" xfId="22313"/>
    <cellStyle name="Normal 529 2 3 2" xfId="48652"/>
    <cellStyle name="Normal 529 2 3 3" xfId="48653"/>
    <cellStyle name="Normal 529 2 4" xfId="48654"/>
    <cellStyle name="Normal 529 2 5" xfId="48655"/>
    <cellStyle name="Normal 529 2 6" xfId="48656"/>
    <cellStyle name="Normal 529 2 7" xfId="48657"/>
    <cellStyle name="Normal 529 2 8" xfId="48658"/>
    <cellStyle name="Normal 529 3" xfId="22314"/>
    <cellStyle name="Normal 529 3 2" xfId="48659"/>
    <cellStyle name="Normal 529 3 2 2" xfId="48660"/>
    <cellStyle name="Normal 529 3 2 3" xfId="48661"/>
    <cellStyle name="Normal 529 3 3" xfId="48662"/>
    <cellStyle name="Normal 529 3 3 2" xfId="48663"/>
    <cellStyle name="Normal 529 3 3 3" xfId="48664"/>
    <cellStyle name="Normal 529 3 4" xfId="48665"/>
    <cellStyle name="Normal 529 3 5" xfId="48666"/>
    <cellStyle name="Normal 529 4" xfId="22315"/>
    <cellStyle name="Normal 529 4 2" xfId="48667"/>
    <cellStyle name="Normal 529 4 3" xfId="48668"/>
    <cellStyle name="Normal 529 5" xfId="22316"/>
    <cellStyle name="Normal 529 5 2" xfId="48669"/>
    <cellStyle name="Normal 529 5 3" xfId="48670"/>
    <cellStyle name="Normal 529 6" xfId="48671"/>
    <cellStyle name="Normal 529 7" xfId="48672"/>
    <cellStyle name="Normal 529 8" xfId="48673"/>
    <cellStyle name="Normal 529 9" xfId="48674"/>
    <cellStyle name="Normal 53" xfId="22317"/>
    <cellStyle name="Normal 53 10" xfId="48675"/>
    <cellStyle name="Normal 53 2" xfId="22318"/>
    <cellStyle name="Normal 53 2 2" xfId="22319"/>
    <cellStyle name="Normal 53 2 2 2" xfId="22320"/>
    <cellStyle name="Normal 53 2 2 3" xfId="22321"/>
    <cellStyle name="Normal 53 2 3" xfId="22322"/>
    <cellStyle name="Normal 53 2 3 2" xfId="48676"/>
    <cellStyle name="Normal 53 2 3 3" xfId="48677"/>
    <cellStyle name="Normal 53 2 4" xfId="22323"/>
    <cellStyle name="Normal 53 2 5" xfId="22324"/>
    <cellStyle name="Normal 53 2 6" xfId="48678"/>
    <cellStyle name="Normal 53 2 7" xfId="48679"/>
    <cellStyle name="Normal 53 2 8" xfId="48680"/>
    <cellStyle name="Normal 53 3" xfId="22325"/>
    <cellStyle name="Normal 53 3 2" xfId="22326"/>
    <cellStyle name="Normal 53 3 2 2" xfId="48681"/>
    <cellStyle name="Normal 53 3 2 3" xfId="48682"/>
    <cellStyle name="Normal 53 3 3" xfId="22327"/>
    <cellStyle name="Normal 53 3 3 2" xfId="48683"/>
    <cellStyle name="Normal 53 3 3 3" xfId="48684"/>
    <cellStyle name="Normal 53 3 4" xfId="48685"/>
    <cellStyle name="Normal 53 3 5" xfId="48686"/>
    <cellStyle name="Normal 53 4" xfId="22328"/>
    <cellStyle name="Normal 53 4 2" xfId="48687"/>
    <cellStyle name="Normal 53 4 3" xfId="48688"/>
    <cellStyle name="Normal 53 5" xfId="22329"/>
    <cellStyle name="Normal 53 5 2" xfId="48689"/>
    <cellStyle name="Normal 53 5 3" xfId="48690"/>
    <cellStyle name="Normal 53 6" xfId="22330"/>
    <cellStyle name="Normal 53 7" xfId="48691"/>
    <cellStyle name="Normal 53 8" xfId="48692"/>
    <cellStyle name="Normal 53 9" xfId="48693"/>
    <cellStyle name="Normal 530" xfId="22331"/>
    <cellStyle name="Normal 530 10" xfId="48694"/>
    <cellStyle name="Normal 530 2" xfId="22332"/>
    <cellStyle name="Normal 530 2 2" xfId="22333"/>
    <cellStyle name="Normal 530 2 2 2" xfId="48695"/>
    <cellStyle name="Normal 530 2 2 3" xfId="48696"/>
    <cellStyle name="Normal 530 2 3" xfId="22334"/>
    <cellStyle name="Normal 530 2 3 2" xfId="48697"/>
    <cellStyle name="Normal 530 2 3 3" xfId="48698"/>
    <cellStyle name="Normal 530 2 4" xfId="48699"/>
    <cellStyle name="Normal 530 2 5" xfId="48700"/>
    <cellStyle name="Normal 530 2 6" xfId="48701"/>
    <cellStyle name="Normal 530 2 7" xfId="48702"/>
    <cellStyle name="Normal 530 2 8" xfId="48703"/>
    <cellStyle name="Normal 530 3" xfId="22335"/>
    <cellStyle name="Normal 530 3 2" xfId="48704"/>
    <cellStyle name="Normal 530 3 2 2" xfId="48705"/>
    <cellStyle name="Normal 530 3 2 3" xfId="48706"/>
    <cellStyle name="Normal 530 3 3" xfId="48707"/>
    <cellStyle name="Normal 530 3 3 2" xfId="48708"/>
    <cellStyle name="Normal 530 3 3 3" xfId="48709"/>
    <cellStyle name="Normal 530 3 4" xfId="48710"/>
    <cellStyle name="Normal 530 3 5" xfId="48711"/>
    <cellStyle name="Normal 530 4" xfId="22336"/>
    <cellStyle name="Normal 530 4 2" xfId="48712"/>
    <cellStyle name="Normal 530 4 3" xfId="48713"/>
    <cellStyle name="Normal 530 5" xfId="22337"/>
    <cellStyle name="Normal 530 5 2" xfId="48714"/>
    <cellStyle name="Normal 530 5 3" xfId="48715"/>
    <cellStyle name="Normal 530 6" xfId="48716"/>
    <cellStyle name="Normal 530 7" xfId="48717"/>
    <cellStyle name="Normal 530 8" xfId="48718"/>
    <cellStyle name="Normal 530 9" xfId="48719"/>
    <cellStyle name="Normal 531" xfId="22338"/>
    <cellStyle name="Normal 531 10" xfId="48720"/>
    <cellStyle name="Normal 531 2" xfId="22339"/>
    <cellStyle name="Normal 531 2 2" xfId="22340"/>
    <cellStyle name="Normal 531 2 2 2" xfId="48721"/>
    <cellStyle name="Normal 531 2 2 3" xfId="48722"/>
    <cellStyle name="Normal 531 2 3" xfId="22341"/>
    <cellStyle name="Normal 531 2 3 2" xfId="48723"/>
    <cellStyle name="Normal 531 2 3 3" xfId="48724"/>
    <cellStyle name="Normal 531 2 4" xfId="48725"/>
    <cellStyle name="Normal 531 2 5" xfId="48726"/>
    <cellStyle name="Normal 531 2 6" xfId="48727"/>
    <cellStyle name="Normal 531 2 7" xfId="48728"/>
    <cellStyle name="Normal 531 2 8" xfId="48729"/>
    <cellStyle name="Normal 531 3" xfId="22342"/>
    <cellStyle name="Normal 531 3 2" xfId="48730"/>
    <cellStyle name="Normal 531 3 2 2" xfId="48731"/>
    <cellStyle name="Normal 531 3 2 3" xfId="48732"/>
    <cellStyle name="Normal 531 3 3" xfId="48733"/>
    <cellStyle name="Normal 531 3 3 2" xfId="48734"/>
    <cellStyle name="Normal 531 3 3 3" xfId="48735"/>
    <cellStyle name="Normal 531 3 4" xfId="48736"/>
    <cellStyle name="Normal 531 3 5" xfId="48737"/>
    <cellStyle name="Normal 531 4" xfId="22343"/>
    <cellStyle name="Normal 531 4 2" xfId="48738"/>
    <cellStyle name="Normal 531 4 3" xfId="48739"/>
    <cellStyle name="Normal 531 5" xfId="22344"/>
    <cellStyle name="Normal 531 5 2" xfId="48740"/>
    <cellStyle name="Normal 531 5 3" xfId="48741"/>
    <cellStyle name="Normal 531 6" xfId="48742"/>
    <cellStyle name="Normal 531 7" xfId="48743"/>
    <cellStyle name="Normal 531 8" xfId="48744"/>
    <cellStyle name="Normal 531 9" xfId="48745"/>
    <cellStyle name="Normal 532" xfId="22345"/>
    <cellStyle name="Normal 532 10" xfId="48746"/>
    <cellStyle name="Normal 532 2" xfId="22346"/>
    <cellStyle name="Normal 532 2 2" xfId="22347"/>
    <cellStyle name="Normal 532 2 2 2" xfId="48747"/>
    <cellStyle name="Normal 532 2 2 3" xfId="48748"/>
    <cellStyle name="Normal 532 2 3" xfId="22348"/>
    <cellStyle name="Normal 532 2 3 2" xfId="48749"/>
    <cellStyle name="Normal 532 2 3 3" xfId="48750"/>
    <cellStyle name="Normal 532 2 4" xfId="48751"/>
    <cellStyle name="Normal 532 2 5" xfId="48752"/>
    <cellStyle name="Normal 532 2 6" xfId="48753"/>
    <cellStyle name="Normal 532 2 7" xfId="48754"/>
    <cellStyle name="Normal 532 2 8" xfId="48755"/>
    <cellStyle name="Normal 532 3" xfId="22349"/>
    <cellStyle name="Normal 532 3 2" xfId="48756"/>
    <cellStyle name="Normal 532 3 2 2" xfId="48757"/>
    <cellStyle name="Normal 532 3 2 3" xfId="48758"/>
    <cellStyle name="Normal 532 3 3" xfId="48759"/>
    <cellStyle name="Normal 532 3 3 2" xfId="48760"/>
    <cellStyle name="Normal 532 3 3 3" xfId="48761"/>
    <cellStyle name="Normal 532 3 4" xfId="48762"/>
    <cellStyle name="Normal 532 3 5" xfId="48763"/>
    <cellStyle name="Normal 532 4" xfId="22350"/>
    <cellStyle name="Normal 532 4 2" xfId="48764"/>
    <cellStyle name="Normal 532 4 3" xfId="48765"/>
    <cellStyle name="Normal 532 5" xfId="22351"/>
    <cellStyle name="Normal 532 5 2" xfId="48766"/>
    <cellStyle name="Normal 532 5 3" xfId="48767"/>
    <cellStyle name="Normal 532 6" xfId="48768"/>
    <cellStyle name="Normal 532 7" xfId="48769"/>
    <cellStyle name="Normal 532 8" xfId="48770"/>
    <cellStyle name="Normal 532 9" xfId="48771"/>
    <cellStyle name="Normal 533" xfId="22352"/>
    <cellStyle name="Normal 533 10" xfId="48772"/>
    <cellStyle name="Normal 533 2" xfId="22353"/>
    <cellStyle name="Normal 533 2 2" xfId="22354"/>
    <cellStyle name="Normal 533 2 2 2" xfId="48773"/>
    <cellStyle name="Normal 533 2 2 3" xfId="48774"/>
    <cellStyle name="Normal 533 2 3" xfId="22355"/>
    <cellStyle name="Normal 533 2 3 2" xfId="48775"/>
    <cellStyle name="Normal 533 2 3 3" xfId="48776"/>
    <cellStyle name="Normal 533 2 4" xfId="48777"/>
    <cellStyle name="Normal 533 2 5" xfId="48778"/>
    <cellStyle name="Normal 533 2 6" xfId="48779"/>
    <cellStyle name="Normal 533 2 7" xfId="48780"/>
    <cellStyle name="Normal 533 2 8" xfId="48781"/>
    <cellStyle name="Normal 533 3" xfId="22356"/>
    <cellStyle name="Normal 533 3 2" xfId="48782"/>
    <cellStyle name="Normal 533 3 2 2" xfId="48783"/>
    <cellStyle name="Normal 533 3 2 3" xfId="48784"/>
    <cellStyle name="Normal 533 3 3" xfId="48785"/>
    <cellStyle name="Normal 533 3 3 2" xfId="48786"/>
    <cellStyle name="Normal 533 3 3 3" xfId="48787"/>
    <cellStyle name="Normal 533 3 4" xfId="48788"/>
    <cellStyle name="Normal 533 3 5" xfId="48789"/>
    <cellStyle name="Normal 533 4" xfId="22357"/>
    <cellStyle name="Normal 533 4 2" xfId="48790"/>
    <cellStyle name="Normal 533 4 3" xfId="48791"/>
    <cellStyle name="Normal 533 5" xfId="22358"/>
    <cellStyle name="Normal 533 5 2" xfId="48792"/>
    <cellStyle name="Normal 533 5 3" xfId="48793"/>
    <cellStyle name="Normal 533 6" xfId="48794"/>
    <cellStyle name="Normal 533 7" xfId="48795"/>
    <cellStyle name="Normal 533 8" xfId="48796"/>
    <cellStyle name="Normal 533 9" xfId="48797"/>
    <cellStyle name="Normal 534" xfId="22359"/>
    <cellStyle name="Normal 534 10" xfId="48798"/>
    <cellStyle name="Normal 534 2" xfId="22360"/>
    <cellStyle name="Normal 534 2 2" xfId="22361"/>
    <cellStyle name="Normal 534 2 2 2" xfId="48799"/>
    <cellStyle name="Normal 534 2 2 3" xfId="48800"/>
    <cellStyle name="Normal 534 2 3" xfId="22362"/>
    <cellStyle name="Normal 534 2 3 2" xfId="48801"/>
    <cellStyle name="Normal 534 2 3 3" xfId="48802"/>
    <cellStyle name="Normal 534 2 4" xfId="48803"/>
    <cellStyle name="Normal 534 2 5" xfId="48804"/>
    <cellStyle name="Normal 534 2 6" xfId="48805"/>
    <cellStyle name="Normal 534 2 7" xfId="48806"/>
    <cellStyle name="Normal 534 2 8" xfId="48807"/>
    <cellStyle name="Normal 534 3" xfId="22363"/>
    <cellStyle name="Normal 534 3 2" xfId="48808"/>
    <cellStyle name="Normal 534 3 2 2" xfId="48809"/>
    <cellStyle name="Normal 534 3 2 3" xfId="48810"/>
    <cellStyle name="Normal 534 3 3" xfId="48811"/>
    <cellStyle name="Normal 534 3 3 2" xfId="48812"/>
    <cellStyle name="Normal 534 3 3 3" xfId="48813"/>
    <cellStyle name="Normal 534 3 4" xfId="48814"/>
    <cellStyle name="Normal 534 3 5" xfId="48815"/>
    <cellStyle name="Normal 534 4" xfId="22364"/>
    <cellStyle name="Normal 534 4 2" xfId="48816"/>
    <cellStyle name="Normal 534 4 3" xfId="48817"/>
    <cellStyle name="Normal 534 5" xfId="22365"/>
    <cellStyle name="Normal 534 5 2" xfId="48818"/>
    <cellStyle name="Normal 534 5 3" xfId="48819"/>
    <cellStyle name="Normal 534 6" xfId="48820"/>
    <cellStyle name="Normal 534 7" xfId="48821"/>
    <cellStyle name="Normal 534 8" xfId="48822"/>
    <cellStyle name="Normal 534 9" xfId="48823"/>
    <cellStyle name="Normal 535" xfId="22366"/>
    <cellStyle name="Normal 535 10" xfId="48824"/>
    <cellStyle name="Normal 535 2" xfId="22367"/>
    <cellStyle name="Normal 535 2 2" xfId="22368"/>
    <cellStyle name="Normal 535 2 2 2" xfId="48825"/>
    <cellStyle name="Normal 535 2 2 3" xfId="48826"/>
    <cellStyle name="Normal 535 2 3" xfId="22369"/>
    <cellStyle name="Normal 535 2 3 2" xfId="48827"/>
    <cellStyle name="Normal 535 2 3 3" xfId="48828"/>
    <cellStyle name="Normal 535 2 4" xfId="48829"/>
    <cellStyle name="Normal 535 2 5" xfId="48830"/>
    <cellStyle name="Normal 535 2 6" xfId="48831"/>
    <cellStyle name="Normal 535 2 7" xfId="48832"/>
    <cellStyle name="Normal 535 2 8" xfId="48833"/>
    <cellStyle name="Normal 535 3" xfId="22370"/>
    <cellStyle name="Normal 535 3 2" xfId="48834"/>
    <cellStyle name="Normal 535 3 2 2" xfId="48835"/>
    <cellStyle name="Normal 535 3 2 3" xfId="48836"/>
    <cellStyle name="Normal 535 3 3" xfId="48837"/>
    <cellStyle name="Normal 535 3 3 2" xfId="48838"/>
    <cellStyle name="Normal 535 3 3 3" xfId="48839"/>
    <cellStyle name="Normal 535 3 4" xfId="48840"/>
    <cellStyle name="Normal 535 3 5" xfId="48841"/>
    <cellStyle name="Normal 535 4" xfId="22371"/>
    <cellStyle name="Normal 535 4 2" xfId="48842"/>
    <cellStyle name="Normal 535 4 3" xfId="48843"/>
    <cellStyle name="Normal 535 5" xfId="22372"/>
    <cellStyle name="Normal 535 5 2" xfId="48844"/>
    <cellStyle name="Normal 535 5 3" xfId="48845"/>
    <cellStyle name="Normal 535 6" xfId="48846"/>
    <cellStyle name="Normal 535 7" xfId="48847"/>
    <cellStyle name="Normal 535 8" xfId="48848"/>
    <cellStyle name="Normal 535 9" xfId="48849"/>
    <cellStyle name="Normal 536" xfId="22373"/>
    <cellStyle name="Normal 536 10" xfId="48850"/>
    <cellStyle name="Normal 536 2" xfId="22374"/>
    <cellStyle name="Normal 536 2 2" xfId="22375"/>
    <cellStyle name="Normal 536 2 2 2" xfId="48851"/>
    <cellStyle name="Normal 536 2 2 3" xfId="48852"/>
    <cellStyle name="Normal 536 2 3" xfId="22376"/>
    <cellStyle name="Normal 536 2 3 2" xfId="48853"/>
    <cellStyle name="Normal 536 2 3 3" xfId="48854"/>
    <cellStyle name="Normal 536 2 4" xfId="48855"/>
    <cellStyle name="Normal 536 2 5" xfId="48856"/>
    <cellStyle name="Normal 536 2 6" xfId="48857"/>
    <cellStyle name="Normal 536 2 7" xfId="48858"/>
    <cellStyle name="Normal 536 2 8" xfId="48859"/>
    <cellStyle name="Normal 536 3" xfId="22377"/>
    <cellStyle name="Normal 536 3 2" xfId="48860"/>
    <cellStyle name="Normal 536 3 2 2" xfId="48861"/>
    <cellStyle name="Normal 536 3 2 3" xfId="48862"/>
    <cellStyle name="Normal 536 3 3" xfId="48863"/>
    <cellStyle name="Normal 536 3 3 2" xfId="48864"/>
    <cellStyle name="Normal 536 3 3 3" xfId="48865"/>
    <cellStyle name="Normal 536 3 4" xfId="48866"/>
    <cellStyle name="Normal 536 3 5" xfId="48867"/>
    <cellStyle name="Normal 536 4" xfId="22378"/>
    <cellStyle name="Normal 536 4 2" xfId="48868"/>
    <cellStyle name="Normal 536 4 3" xfId="48869"/>
    <cellStyle name="Normal 536 5" xfId="22379"/>
    <cellStyle name="Normal 536 5 2" xfId="48870"/>
    <cellStyle name="Normal 536 5 3" xfId="48871"/>
    <cellStyle name="Normal 536 6" xfId="48872"/>
    <cellStyle name="Normal 536 7" xfId="48873"/>
    <cellStyle name="Normal 536 8" xfId="48874"/>
    <cellStyle name="Normal 536 9" xfId="48875"/>
    <cellStyle name="Normal 537" xfId="22380"/>
    <cellStyle name="Normal 537 10" xfId="48876"/>
    <cellStyle name="Normal 537 2" xfId="22381"/>
    <cellStyle name="Normal 537 2 2" xfId="22382"/>
    <cellStyle name="Normal 537 2 2 2" xfId="48877"/>
    <cellStyle name="Normal 537 2 2 3" xfId="48878"/>
    <cellStyle name="Normal 537 2 3" xfId="22383"/>
    <cellStyle name="Normal 537 2 3 2" xfId="48879"/>
    <cellStyle name="Normal 537 2 3 3" xfId="48880"/>
    <cellStyle name="Normal 537 2 4" xfId="48881"/>
    <cellStyle name="Normal 537 2 5" xfId="48882"/>
    <cellStyle name="Normal 537 2 6" xfId="48883"/>
    <cellStyle name="Normal 537 2 7" xfId="48884"/>
    <cellStyle name="Normal 537 2 8" xfId="48885"/>
    <cellStyle name="Normal 537 3" xfId="22384"/>
    <cellStyle name="Normal 537 3 2" xfId="48886"/>
    <cellStyle name="Normal 537 3 2 2" xfId="48887"/>
    <cellStyle name="Normal 537 3 2 3" xfId="48888"/>
    <cellStyle name="Normal 537 3 3" xfId="48889"/>
    <cellStyle name="Normal 537 3 3 2" xfId="48890"/>
    <cellStyle name="Normal 537 3 3 3" xfId="48891"/>
    <cellStyle name="Normal 537 3 4" xfId="48892"/>
    <cellStyle name="Normal 537 3 5" xfId="48893"/>
    <cellStyle name="Normal 537 4" xfId="22385"/>
    <cellStyle name="Normal 537 4 2" xfId="48894"/>
    <cellStyle name="Normal 537 4 3" xfId="48895"/>
    <cellStyle name="Normal 537 5" xfId="22386"/>
    <cellStyle name="Normal 537 5 2" xfId="48896"/>
    <cellStyle name="Normal 537 5 3" xfId="48897"/>
    <cellStyle name="Normal 537 6" xfId="48898"/>
    <cellStyle name="Normal 537 7" xfId="48899"/>
    <cellStyle name="Normal 537 8" xfId="48900"/>
    <cellStyle name="Normal 537 9" xfId="48901"/>
    <cellStyle name="Normal 538" xfId="22387"/>
    <cellStyle name="Normal 538 10" xfId="48902"/>
    <cellStyle name="Normal 538 2" xfId="22388"/>
    <cellStyle name="Normal 538 2 2" xfId="22389"/>
    <cellStyle name="Normal 538 2 2 2" xfId="48903"/>
    <cellStyle name="Normal 538 2 2 3" xfId="48904"/>
    <cellStyle name="Normal 538 2 3" xfId="22390"/>
    <cellStyle name="Normal 538 2 3 2" xfId="48905"/>
    <cellStyle name="Normal 538 2 3 3" xfId="48906"/>
    <cellStyle name="Normal 538 2 4" xfId="48907"/>
    <cellStyle name="Normal 538 2 5" xfId="48908"/>
    <cellStyle name="Normal 538 2 6" xfId="48909"/>
    <cellStyle name="Normal 538 2 7" xfId="48910"/>
    <cellStyle name="Normal 538 2 8" xfId="48911"/>
    <cellStyle name="Normal 538 3" xfId="22391"/>
    <cellStyle name="Normal 538 3 2" xfId="48912"/>
    <cellStyle name="Normal 538 3 2 2" xfId="48913"/>
    <cellStyle name="Normal 538 3 2 3" xfId="48914"/>
    <cellStyle name="Normal 538 3 3" xfId="48915"/>
    <cellStyle name="Normal 538 3 3 2" xfId="48916"/>
    <cellStyle name="Normal 538 3 3 3" xfId="48917"/>
    <cellStyle name="Normal 538 3 4" xfId="48918"/>
    <cellStyle name="Normal 538 3 5" xfId="48919"/>
    <cellStyle name="Normal 538 4" xfId="22392"/>
    <cellStyle name="Normal 538 4 2" xfId="48920"/>
    <cellStyle name="Normal 538 4 3" xfId="48921"/>
    <cellStyle name="Normal 538 5" xfId="22393"/>
    <cellStyle name="Normal 538 5 2" xfId="48922"/>
    <cellStyle name="Normal 538 5 3" xfId="48923"/>
    <cellStyle name="Normal 538 6" xfId="48924"/>
    <cellStyle name="Normal 538 7" xfId="48925"/>
    <cellStyle name="Normal 538 8" xfId="48926"/>
    <cellStyle name="Normal 538 9" xfId="48927"/>
    <cellStyle name="Normal 539" xfId="22394"/>
    <cellStyle name="Normal 539 10" xfId="48928"/>
    <cellStyle name="Normal 539 2" xfId="22395"/>
    <cellStyle name="Normal 539 2 2" xfId="22396"/>
    <cellStyle name="Normal 539 2 2 2" xfId="48929"/>
    <cellStyle name="Normal 539 2 2 3" xfId="48930"/>
    <cellStyle name="Normal 539 2 3" xfId="22397"/>
    <cellStyle name="Normal 539 2 3 2" xfId="48931"/>
    <cellStyle name="Normal 539 2 3 3" xfId="48932"/>
    <cellStyle name="Normal 539 2 4" xfId="48933"/>
    <cellStyle name="Normal 539 2 5" xfId="48934"/>
    <cellStyle name="Normal 539 2 6" xfId="48935"/>
    <cellStyle name="Normal 539 2 7" xfId="48936"/>
    <cellStyle name="Normal 539 2 8" xfId="48937"/>
    <cellStyle name="Normal 539 3" xfId="22398"/>
    <cellStyle name="Normal 539 3 2" xfId="48938"/>
    <cellStyle name="Normal 539 3 2 2" xfId="48939"/>
    <cellStyle name="Normal 539 3 2 3" xfId="48940"/>
    <cellStyle name="Normal 539 3 3" xfId="48941"/>
    <cellStyle name="Normal 539 3 3 2" xfId="48942"/>
    <cellStyle name="Normal 539 3 3 3" xfId="48943"/>
    <cellStyle name="Normal 539 3 4" xfId="48944"/>
    <cellStyle name="Normal 539 3 5" xfId="48945"/>
    <cellStyle name="Normal 539 4" xfId="22399"/>
    <cellStyle name="Normal 539 4 2" xfId="48946"/>
    <cellStyle name="Normal 539 4 3" xfId="48947"/>
    <cellStyle name="Normal 539 5" xfId="22400"/>
    <cellStyle name="Normal 539 5 2" xfId="48948"/>
    <cellStyle name="Normal 539 5 3" xfId="48949"/>
    <cellStyle name="Normal 539 6" xfId="48950"/>
    <cellStyle name="Normal 539 7" xfId="48951"/>
    <cellStyle name="Normal 539 8" xfId="48952"/>
    <cellStyle name="Normal 539 9" xfId="48953"/>
    <cellStyle name="Normal 54" xfId="22401"/>
    <cellStyle name="Normal 54 10" xfId="48954"/>
    <cellStyle name="Normal 54 2" xfId="22402"/>
    <cellStyle name="Normal 54 2 2" xfId="22403"/>
    <cellStyle name="Normal 54 2 2 2" xfId="22404"/>
    <cellStyle name="Normal 54 2 2 3" xfId="22405"/>
    <cellStyle name="Normal 54 2 3" xfId="22406"/>
    <cellStyle name="Normal 54 2 3 2" xfId="48955"/>
    <cellStyle name="Normal 54 2 3 3" xfId="48956"/>
    <cellStyle name="Normal 54 2 4" xfId="22407"/>
    <cellStyle name="Normal 54 2 5" xfId="22408"/>
    <cellStyle name="Normal 54 2 6" xfId="48957"/>
    <cellStyle name="Normal 54 2 7" xfId="48958"/>
    <cellStyle name="Normal 54 2 8" xfId="48959"/>
    <cellStyle name="Normal 54 3" xfId="22409"/>
    <cellStyle name="Normal 54 3 2" xfId="22410"/>
    <cellStyle name="Normal 54 3 2 2" xfId="48960"/>
    <cellStyle name="Normal 54 3 2 3" xfId="48961"/>
    <cellStyle name="Normal 54 3 3" xfId="22411"/>
    <cellStyle name="Normal 54 3 3 2" xfId="48962"/>
    <cellStyle name="Normal 54 3 3 3" xfId="48963"/>
    <cellStyle name="Normal 54 3 4" xfId="48964"/>
    <cellStyle name="Normal 54 3 5" xfId="48965"/>
    <cellStyle name="Normal 54 4" xfId="22412"/>
    <cellStyle name="Normal 54 4 2" xfId="48966"/>
    <cellStyle name="Normal 54 4 3" xfId="48967"/>
    <cellStyle name="Normal 54 5" xfId="22413"/>
    <cellStyle name="Normal 54 5 2" xfId="48968"/>
    <cellStyle name="Normal 54 5 3" xfId="48969"/>
    <cellStyle name="Normal 54 6" xfId="22414"/>
    <cellStyle name="Normal 54 7" xfId="48970"/>
    <cellStyle name="Normal 54 8" xfId="48971"/>
    <cellStyle name="Normal 54 9" xfId="48972"/>
    <cellStyle name="Normal 540" xfId="22415"/>
    <cellStyle name="Normal 540 10" xfId="48973"/>
    <cellStyle name="Normal 540 2" xfId="22416"/>
    <cellStyle name="Normal 540 2 2" xfId="22417"/>
    <cellStyle name="Normal 540 2 2 2" xfId="48974"/>
    <cellStyle name="Normal 540 2 2 3" xfId="48975"/>
    <cellStyle name="Normal 540 2 3" xfId="22418"/>
    <cellStyle name="Normal 540 2 3 2" xfId="48976"/>
    <cellStyle name="Normal 540 2 3 3" xfId="48977"/>
    <cellStyle name="Normal 540 2 4" xfId="48978"/>
    <cellStyle name="Normal 540 2 5" xfId="48979"/>
    <cellStyle name="Normal 540 2 6" xfId="48980"/>
    <cellStyle name="Normal 540 2 7" xfId="48981"/>
    <cellStyle name="Normal 540 2 8" xfId="48982"/>
    <cellStyle name="Normal 540 3" xfId="22419"/>
    <cellStyle name="Normal 540 3 2" xfId="48983"/>
    <cellStyle name="Normal 540 3 2 2" xfId="48984"/>
    <cellStyle name="Normal 540 3 2 3" xfId="48985"/>
    <cellStyle name="Normal 540 3 3" xfId="48986"/>
    <cellStyle name="Normal 540 3 3 2" xfId="48987"/>
    <cellStyle name="Normal 540 3 3 3" xfId="48988"/>
    <cellStyle name="Normal 540 3 4" xfId="48989"/>
    <cellStyle name="Normal 540 3 5" xfId="48990"/>
    <cellStyle name="Normal 540 4" xfId="22420"/>
    <cellStyle name="Normal 540 4 2" xfId="48991"/>
    <cellStyle name="Normal 540 4 3" xfId="48992"/>
    <cellStyle name="Normal 540 5" xfId="22421"/>
    <cellStyle name="Normal 540 5 2" xfId="48993"/>
    <cellStyle name="Normal 540 5 3" xfId="48994"/>
    <cellStyle name="Normal 540 6" xfId="48995"/>
    <cellStyle name="Normal 540 7" xfId="48996"/>
    <cellStyle name="Normal 540 8" xfId="48997"/>
    <cellStyle name="Normal 540 9" xfId="48998"/>
    <cellStyle name="Normal 541" xfId="22422"/>
    <cellStyle name="Normal 541 10" xfId="48999"/>
    <cellStyle name="Normal 541 2" xfId="22423"/>
    <cellStyle name="Normal 541 2 2" xfId="22424"/>
    <cellStyle name="Normal 541 2 2 2" xfId="49000"/>
    <cellStyle name="Normal 541 2 2 3" xfId="49001"/>
    <cellStyle name="Normal 541 2 3" xfId="22425"/>
    <cellStyle name="Normal 541 2 3 2" xfId="49002"/>
    <cellStyle name="Normal 541 2 3 3" xfId="49003"/>
    <cellStyle name="Normal 541 2 4" xfId="49004"/>
    <cellStyle name="Normal 541 2 5" xfId="49005"/>
    <cellStyle name="Normal 541 2 6" xfId="49006"/>
    <cellStyle name="Normal 541 2 7" xfId="49007"/>
    <cellStyle name="Normal 541 2 8" xfId="49008"/>
    <cellStyle name="Normal 541 3" xfId="22426"/>
    <cellStyle name="Normal 541 3 2" xfId="49009"/>
    <cellStyle name="Normal 541 3 2 2" xfId="49010"/>
    <cellStyle name="Normal 541 3 2 3" xfId="49011"/>
    <cellStyle name="Normal 541 3 3" xfId="49012"/>
    <cellStyle name="Normal 541 3 3 2" xfId="49013"/>
    <cellStyle name="Normal 541 3 3 3" xfId="49014"/>
    <cellStyle name="Normal 541 3 4" xfId="49015"/>
    <cellStyle name="Normal 541 3 5" xfId="49016"/>
    <cellStyle name="Normal 541 4" xfId="22427"/>
    <cellStyle name="Normal 541 4 2" xfId="49017"/>
    <cellStyle name="Normal 541 4 3" xfId="49018"/>
    <cellStyle name="Normal 541 5" xfId="22428"/>
    <cellStyle name="Normal 541 5 2" xfId="49019"/>
    <cellStyle name="Normal 541 5 3" xfId="49020"/>
    <cellStyle name="Normal 541 6" xfId="49021"/>
    <cellStyle name="Normal 541 7" xfId="49022"/>
    <cellStyle name="Normal 541 8" xfId="49023"/>
    <cellStyle name="Normal 541 9" xfId="49024"/>
    <cellStyle name="Normal 542" xfId="22429"/>
    <cellStyle name="Normal 542 10" xfId="49025"/>
    <cellStyle name="Normal 542 2" xfId="22430"/>
    <cellStyle name="Normal 542 2 2" xfId="22431"/>
    <cellStyle name="Normal 542 2 2 2" xfId="49026"/>
    <cellStyle name="Normal 542 2 2 3" xfId="49027"/>
    <cellStyle name="Normal 542 2 3" xfId="22432"/>
    <cellStyle name="Normal 542 2 3 2" xfId="49028"/>
    <cellStyle name="Normal 542 2 3 3" xfId="49029"/>
    <cellStyle name="Normal 542 2 4" xfId="49030"/>
    <cellStyle name="Normal 542 2 5" xfId="49031"/>
    <cellStyle name="Normal 542 2 6" xfId="49032"/>
    <cellStyle name="Normal 542 2 7" xfId="49033"/>
    <cellStyle name="Normal 542 2 8" xfId="49034"/>
    <cellStyle name="Normal 542 3" xfId="22433"/>
    <cellStyle name="Normal 542 3 2" xfId="49035"/>
    <cellStyle name="Normal 542 3 2 2" xfId="49036"/>
    <cellStyle name="Normal 542 3 2 3" xfId="49037"/>
    <cellStyle name="Normal 542 3 3" xfId="49038"/>
    <cellStyle name="Normal 542 3 3 2" xfId="49039"/>
    <cellStyle name="Normal 542 3 3 3" xfId="49040"/>
    <cellStyle name="Normal 542 3 4" xfId="49041"/>
    <cellStyle name="Normal 542 3 5" xfId="49042"/>
    <cellStyle name="Normal 542 4" xfId="22434"/>
    <cellStyle name="Normal 542 4 2" xfId="49043"/>
    <cellStyle name="Normal 542 4 3" xfId="49044"/>
    <cellStyle name="Normal 542 5" xfId="22435"/>
    <cellStyle name="Normal 542 5 2" xfId="49045"/>
    <cellStyle name="Normal 542 5 3" xfId="49046"/>
    <cellStyle name="Normal 542 6" xfId="49047"/>
    <cellStyle name="Normal 542 7" xfId="49048"/>
    <cellStyle name="Normal 542 8" xfId="49049"/>
    <cellStyle name="Normal 542 9" xfId="49050"/>
    <cellStyle name="Normal 543" xfId="22436"/>
    <cellStyle name="Normal 543 10" xfId="49051"/>
    <cellStyle name="Normal 543 2" xfId="22437"/>
    <cellStyle name="Normal 543 2 2" xfId="22438"/>
    <cellStyle name="Normal 543 2 2 2" xfId="49052"/>
    <cellStyle name="Normal 543 2 2 3" xfId="49053"/>
    <cellStyle name="Normal 543 2 3" xfId="22439"/>
    <cellStyle name="Normal 543 2 3 2" xfId="49054"/>
    <cellStyle name="Normal 543 2 3 3" xfId="49055"/>
    <cellStyle name="Normal 543 2 4" xfId="49056"/>
    <cellStyle name="Normal 543 2 5" xfId="49057"/>
    <cellStyle name="Normal 543 2 6" xfId="49058"/>
    <cellStyle name="Normal 543 2 7" xfId="49059"/>
    <cellStyle name="Normal 543 2 8" xfId="49060"/>
    <cellStyle name="Normal 543 3" xfId="22440"/>
    <cellStyle name="Normal 543 3 2" xfId="49061"/>
    <cellStyle name="Normal 543 3 2 2" xfId="49062"/>
    <cellStyle name="Normal 543 3 2 3" xfId="49063"/>
    <cellStyle name="Normal 543 3 3" xfId="49064"/>
    <cellStyle name="Normal 543 3 3 2" xfId="49065"/>
    <cellStyle name="Normal 543 3 3 3" xfId="49066"/>
    <cellStyle name="Normal 543 3 4" xfId="49067"/>
    <cellStyle name="Normal 543 3 5" xfId="49068"/>
    <cellStyle name="Normal 543 4" xfId="22441"/>
    <cellStyle name="Normal 543 4 2" xfId="49069"/>
    <cellStyle name="Normal 543 4 3" xfId="49070"/>
    <cellStyle name="Normal 543 5" xfId="22442"/>
    <cellStyle name="Normal 543 5 2" xfId="49071"/>
    <cellStyle name="Normal 543 5 3" xfId="49072"/>
    <cellStyle name="Normal 543 6" xfId="49073"/>
    <cellStyle name="Normal 543 7" xfId="49074"/>
    <cellStyle name="Normal 543 8" xfId="49075"/>
    <cellStyle name="Normal 543 9" xfId="49076"/>
    <cellStyle name="Normal 544" xfId="22443"/>
    <cellStyle name="Normal 544 10" xfId="49077"/>
    <cellStyle name="Normal 544 2" xfId="22444"/>
    <cellStyle name="Normal 544 2 2" xfId="22445"/>
    <cellStyle name="Normal 544 2 2 2" xfId="49078"/>
    <cellStyle name="Normal 544 2 2 3" xfId="49079"/>
    <cellStyle name="Normal 544 2 3" xfId="22446"/>
    <cellStyle name="Normal 544 2 3 2" xfId="49080"/>
    <cellStyle name="Normal 544 2 3 3" xfId="49081"/>
    <cellStyle name="Normal 544 2 4" xfId="49082"/>
    <cellStyle name="Normal 544 2 5" xfId="49083"/>
    <cellStyle name="Normal 544 2 6" xfId="49084"/>
    <cellStyle name="Normal 544 2 7" xfId="49085"/>
    <cellStyle name="Normal 544 2 8" xfId="49086"/>
    <cellStyle name="Normal 544 3" xfId="22447"/>
    <cellStyle name="Normal 544 3 2" xfId="49087"/>
    <cellStyle name="Normal 544 3 2 2" xfId="49088"/>
    <cellStyle name="Normal 544 3 2 3" xfId="49089"/>
    <cellStyle name="Normal 544 3 3" xfId="49090"/>
    <cellStyle name="Normal 544 3 3 2" xfId="49091"/>
    <cellStyle name="Normal 544 3 3 3" xfId="49092"/>
    <cellStyle name="Normal 544 3 4" xfId="49093"/>
    <cellStyle name="Normal 544 3 5" xfId="49094"/>
    <cellStyle name="Normal 544 4" xfId="22448"/>
    <cellStyle name="Normal 544 4 2" xfId="49095"/>
    <cellStyle name="Normal 544 4 3" xfId="49096"/>
    <cellStyle name="Normal 544 5" xfId="22449"/>
    <cellStyle name="Normal 544 5 2" xfId="49097"/>
    <cellStyle name="Normal 544 5 3" xfId="49098"/>
    <cellStyle name="Normal 544 6" xfId="49099"/>
    <cellStyle name="Normal 544 7" xfId="49100"/>
    <cellStyle name="Normal 544 8" xfId="49101"/>
    <cellStyle name="Normal 544 9" xfId="49102"/>
    <cellStyle name="Normal 545" xfId="22450"/>
    <cellStyle name="Normal 545 10" xfId="49103"/>
    <cellStyle name="Normal 545 2" xfId="22451"/>
    <cellStyle name="Normal 545 2 2" xfId="22452"/>
    <cellStyle name="Normal 545 2 2 2" xfId="49104"/>
    <cellStyle name="Normal 545 2 2 3" xfId="49105"/>
    <cellStyle name="Normal 545 2 3" xfId="22453"/>
    <cellStyle name="Normal 545 2 3 2" xfId="49106"/>
    <cellStyle name="Normal 545 2 3 3" xfId="49107"/>
    <cellStyle name="Normal 545 2 4" xfId="49108"/>
    <cellStyle name="Normal 545 2 5" xfId="49109"/>
    <cellStyle name="Normal 545 2 6" xfId="49110"/>
    <cellStyle name="Normal 545 2 7" xfId="49111"/>
    <cellStyle name="Normal 545 2 8" xfId="49112"/>
    <cellStyle name="Normal 545 3" xfId="22454"/>
    <cellStyle name="Normal 545 3 2" xfId="49113"/>
    <cellStyle name="Normal 545 3 2 2" xfId="49114"/>
    <cellStyle name="Normal 545 3 2 3" xfId="49115"/>
    <cellStyle name="Normal 545 3 3" xfId="49116"/>
    <cellStyle name="Normal 545 3 3 2" xfId="49117"/>
    <cellStyle name="Normal 545 3 3 3" xfId="49118"/>
    <cellStyle name="Normal 545 3 4" xfId="49119"/>
    <cellStyle name="Normal 545 3 5" xfId="49120"/>
    <cellStyle name="Normal 545 4" xfId="22455"/>
    <cellStyle name="Normal 545 4 2" xfId="49121"/>
    <cellStyle name="Normal 545 4 3" xfId="49122"/>
    <cellStyle name="Normal 545 5" xfId="22456"/>
    <cellStyle name="Normal 545 5 2" xfId="49123"/>
    <cellStyle name="Normal 545 5 3" xfId="49124"/>
    <cellStyle name="Normal 545 6" xfId="49125"/>
    <cellStyle name="Normal 545 7" xfId="49126"/>
    <cellStyle name="Normal 545 8" xfId="49127"/>
    <cellStyle name="Normal 545 9" xfId="49128"/>
    <cellStyle name="Normal 546" xfId="22457"/>
    <cellStyle name="Normal 546 10" xfId="49129"/>
    <cellStyle name="Normal 546 2" xfId="22458"/>
    <cellStyle name="Normal 546 2 2" xfId="22459"/>
    <cellStyle name="Normal 546 2 2 2" xfId="49130"/>
    <cellStyle name="Normal 546 2 2 3" xfId="49131"/>
    <cellStyle name="Normal 546 2 3" xfId="22460"/>
    <cellStyle name="Normal 546 2 3 2" xfId="49132"/>
    <cellStyle name="Normal 546 2 3 3" xfId="49133"/>
    <cellStyle name="Normal 546 2 4" xfId="49134"/>
    <cellStyle name="Normal 546 2 5" xfId="49135"/>
    <cellStyle name="Normal 546 2 6" xfId="49136"/>
    <cellStyle name="Normal 546 2 7" xfId="49137"/>
    <cellStyle name="Normal 546 2 8" xfId="49138"/>
    <cellStyle name="Normal 546 3" xfId="22461"/>
    <cellStyle name="Normal 546 3 2" xfId="49139"/>
    <cellStyle name="Normal 546 3 2 2" xfId="49140"/>
    <cellStyle name="Normal 546 3 2 3" xfId="49141"/>
    <cellStyle name="Normal 546 3 3" xfId="49142"/>
    <cellStyle name="Normal 546 3 3 2" xfId="49143"/>
    <cellStyle name="Normal 546 3 3 3" xfId="49144"/>
    <cellStyle name="Normal 546 3 4" xfId="49145"/>
    <cellStyle name="Normal 546 3 5" xfId="49146"/>
    <cellStyle name="Normal 546 4" xfId="22462"/>
    <cellStyle name="Normal 546 4 2" xfId="49147"/>
    <cellStyle name="Normal 546 4 3" xfId="49148"/>
    <cellStyle name="Normal 546 5" xfId="22463"/>
    <cellStyle name="Normal 546 5 2" xfId="49149"/>
    <cellStyle name="Normal 546 5 3" xfId="49150"/>
    <cellStyle name="Normal 546 6" xfId="49151"/>
    <cellStyle name="Normal 546 7" xfId="49152"/>
    <cellStyle name="Normal 546 8" xfId="49153"/>
    <cellStyle name="Normal 546 9" xfId="49154"/>
    <cellStyle name="Normal 547" xfId="22464"/>
    <cellStyle name="Normal 547 10" xfId="49155"/>
    <cellStyle name="Normal 547 2" xfId="22465"/>
    <cellStyle name="Normal 547 2 2" xfId="22466"/>
    <cellStyle name="Normal 547 2 2 2" xfId="49156"/>
    <cellStyle name="Normal 547 2 2 3" xfId="49157"/>
    <cellStyle name="Normal 547 2 3" xfId="22467"/>
    <cellStyle name="Normal 547 2 3 2" xfId="49158"/>
    <cellStyle name="Normal 547 2 3 3" xfId="49159"/>
    <cellStyle name="Normal 547 2 4" xfId="49160"/>
    <cellStyle name="Normal 547 2 5" xfId="49161"/>
    <cellStyle name="Normal 547 2 6" xfId="49162"/>
    <cellStyle name="Normal 547 2 7" xfId="49163"/>
    <cellStyle name="Normal 547 2 8" xfId="49164"/>
    <cellStyle name="Normal 547 3" xfId="22468"/>
    <cellStyle name="Normal 547 3 2" xfId="49165"/>
    <cellStyle name="Normal 547 3 2 2" xfId="49166"/>
    <cellStyle name="Normal 547 3 2 3" xfId="49167"/>
    <cellStyle name="Normal 547 3 3" xfId="49168"/>
    <cellStyle name="Normal 547 3 3 2" xfId="49169"/>
    <cellStyle name="Normal 547 3 3 3" xfId="49170"/>
    <cellStyle name="Normal 547 3 4" xfId="49171"/>
    <cellStyle name="Normal 547 3 5" xfId="49172"/>
    <cellStyle name="Normal 547 4" xfId="22469"/>
    <cellStyle name="Normal 547 4 2" xfId="49173"/>
    <cellStyle name="Normal 547 4 3" xfId="49174"/>
    <cellStyle name="Normal 547 5" xfId="22470"/>
    <cellStyle name="Normal 547 5 2" xfId="49175"/>
    <cellStyle name="Normal 547 5 3" xfId="49176"/>
    <cellStyle name="Normal 547 6" xfId="49177"/>
    <cellStyle name="Normal 547 7" xfId="49178"/>
    <cellStyle name="Normal 547 8" xfId="49179"/>
    <cellStyle name="Normal 547 9" xfId="49180"/>
    <cellStyle name="Normal 548" xfId="22471"/>
    <cellStyle name="Normal 548 10" xfId="49181"/>
    <cellStyle name="Normal 548 2" xfId="22472"/>
    <cellStyle name="Normal 548 2 2" xfId="22473"/>
    <cellStyle name="Normal 548 2 2 2" xfId="49182"/>
    <cellStyle name="Normal 548 2 2 3" xfId="49183"/>
    <cellStyle name="Normal 548 2 3" xfId="22474"/>
    <cellStyle name="Normal 548 2 3 2" xfId="49184"/>
    <cellStyle name="Normal 548 2 3 3" xfId="49185"/>
    <cellStyle name="Normal 548 2 4" xfId="49186"/>
    <cellStyle name="Normal 548 2 5" xfId="49187"/>
    <cellStyle name="Normal 548 2 6" xfId="49188"/>
    <cellStyle name="Normal 548 2 7" xfId="49189"/>
    <cellStyle name="Normal 548 2 8" xfId="49190"/>
    <cellStyle name="Normal 548 3" xfId="22475"/>
    <cellStyle name="Normal 548 3 2" xfId="49191"/>
    <cellStyle name="Normal 548 3 2 2" xfId="49192"/>
    <cellStyle name="Normal 548 3 2 3" xfId="49193"/>
    <cellStyle name="Normal 548 3 3" xfId="49194"/>
    <cellStyle name="Normal 548 3 3 2" xfId="49195"/>
    <cellStyle name="Normal 548 3 3 3" xfId="49196"/>
    <cellStyle name="Normal 548 3 4" xfId="49197"/>
    <cellStyle name="Normal 548 3 5" xfId="49198"/>
    <cellStyle name="Normal 548 4" xfId="22476"/>
    <cellStyle name="Normal 548 4 2" xfId="49199"/>
    <cellStyle name="Normal 548 4 3" xfId="49200"/>
    <cellStyle name="Normal 548 5" xfId="22477"/>
    <cellStyle name="Normal 548 5 2" xfId="49201"/>
    <cellStyle name="Normal 548 5 3" xfId="49202"/>
    <cellStyle name="Normal 548 6" xfId="49203"/>
    <cellStyle name="Normal 548 7" xfId="49204"/>
    <cellStyle name="Normal 548 8" xfId="49205"/>
    <cellStyle name="Normal 548 9" xfId="49206"/>
    <cellStyle name="Normal 549" xfId="22478"/>
    <cellStyle name="Normal 549 10" xfId="49207"/>
    <cellStyle name="Normal 549 2" xfId="22479"/>
    <cellStyle name="Normal 549 2 2" xfId="22480"/>
    <cellStyle name="Normal 549 2 2 2" xfId="49208"/>
    <cellStyle name="Normal 549 2 2 3" xfId="49209"/>
    <cellStyle name="Normal 549 2 3" xfId="22481"/>
    <cellStyle name="Normal 549 2 3 2" xfId="49210"/>
    <cellStyle name="Normal 549 2 3 3" xfId="49211"/>
    <cellStyle name="Normal 549 2 4" xfId="49212"/>
    <cellStyle name="Normal 549 2 5" xfId="49213"/>
    <cellStyle name="Normal 549 2 6" xfId="49214"/>
    <cellStyle name="Normal 549 2 7" xfId="49215"/>
    <cellStyle name="Normal 549 2 8" xfId="49216"/>
    <cellStyle name="Normal 549 3" xfId="22482"/>
    <cellStyle name="Normal 549 3 2" xfId="49217"/>
    <cellStyle name="Normal 549 3 2 2" xfId="49218"/>
    <cellStyle name="Normal 549 3 2 3" xfId="49219"/>
    <cellStyle name="Normal 549 3 3" xfId="49220"/>
    <cellStyle name="Normal 549 3 3 2" xfId="49221"/>
    <cellStyle name="Normal 549 3 3 3" xfId="49222"/>
    <cellStyle name="Normal 549 3 4" xfId="49223"/>
    <cellStyle name="Normal 549 3 5" xfId="49224"/>
    <cellStyle name="Normal 549 4" xfId="22483"/>
    <cellStyle name="Normal 549 4 2" xfId="49225"/>
    <cellStyle name="Normal 549 4 3" xfId="49226"/>
    <cellStyle name="Normal 549 5" xfId="22484"/>
    <cellStyle name="Normal 549 5 2" xfId="49227"/>
    <cellStyle name="Normal 549 5 3" xfId="49228"/>
    <cellStyle name="Normal 549 6" xfId="49229"/>
    <cellStyle name="Normal 549 7" xfId="49230"/>
    <cellStyle name="Normal 549 8" xfId="49231"/>
    <cellStyle name="Normal 549 9" xfId="49232"/>
    <cellStyle name="Normal 55" xfId="22485"/>
    <cellStyle name="Normal 55 10" xfId="49233"/>
    <cellStyle name="Normal 55 2" xfId="22486"/>
    <cellStyle name="Normal 55 2 2" xfId="22487"/>
    <cellStyle name="Normal 55 2 2 2" xfId="22488"/>
    <cellStyle name="Normal 55 2 2 3" xfId="22489"/>
    <cellStyle name="Normal 55 2 3" xfId="22490"/>
    <cellStyle name="Normal 55 2 3 2" xfId="49234"/>
    <cellStyle name="Normal 55 2 3 3" xfId="49235"/>
    <cellStyle name="Normal 55 2 4" xfId="22491"/>
    <cellStyle name="Normal 55 2 5" xfId="22492"/>
    <cellStyle name="Normal 55 2 6" xfId="49236"/>
    <cellStyle name="Normal 55 2 7" xfId="49237"/>
    <cellStyle name="Normal 55 2 8" xfId="49238"/>
    <cellStyle name="Normal 55 3" xfId="22493"/>
    <cellStyle name="Normal 55 3 2" xfId="22494"/>
    <cellStyle name="Normal 55 3 2 2" xfId="49239"/>
    <cellStyle name="Normal 55 3 2 3" xfId="49240"/>
    <cellStyle name="Normal 55 3 3" xfId="22495"/>
    <cellStyle name="Normal 55 3 3 2" xfId="49241"/>
    <cellStyle name="Normal 55 3 3 3" xfId="49242"/>
    <cellStyle name="Normal 55 3 4" xfId="49243"/>
    <cellStyle name="Normal 55 3 5" xfId="49244"/>
    <cellStyle name="Normal 55 4" xfId="22496"/>
    <cellStyle name="Normal 55 4 2" xfId="49245"/>
    <cellStyle name="Normal 55 4 3" xfId="49246"/>
    <cellStyle name="Normal 55 5" xfId="22497"/>
    <cellStyle name="Normal 55 5 2" xfId="49247"/>
    <cellStyle name="Normal 55 5 3" xfId="49248"/>
    <cellStyle name="Normal 55 6" xfId="22498"/>
    <cellStyle name="Normal 55 7" xfId="49249"/>
    <cellStyle name="Normal 55 8" xfId="49250"/>
    <cellStyle name="Normal 55 9" xfId="49251"/>
    <cellStyle name="Normal 550" xfId="22499"/>
    <cellStyle name="Normal 550 10" xfId="49252"/>
    <cellStyle name="Normal 550 2" xfId="22500"/>
    <cellStyle name="Normal 550 2 2" xfId="22501"/>
    <cellStyle name="Normal 550 2 2 2" xfId="49253"/>
    <cellStyle name="Normal 550 2 2 3" xfId="49254"/>
    <cellStyle name="Normal 550 2 3" xfId="22502"/>
    <cellStyle name="Normal 550 2 3 2" xfId="49255"/>
    <cellStyle name="Normal 550 2 3 3" xfId="49256"/>
    <cellStyle name="Normal 550 2 4" xfId="49257"/>
    <cellStyle name="Normal 550 2 5" xfId="49258"/>
    <cellStyle name="Normal 550 2 6" xfId="49259"/>
    <cellStyle name="Normal 550 2 7" xfId="49260"/>
    <cellStyle name="Normal 550 2 8" xfId="49261"/>
    <cellStyle name="Normal 550 3" xfId="22503"/>
    <cellStyle name="Normal 550 3 2" xfId="49262"/>
    <cellStyle name="Normal 550 3 2 2" xfId="49263"/>
    <cellStyle name="Normal 550 3 2 3" xfId="49264"/>
    <cellStyle name="Normal 550 3 3" xfId="49265"/>
    <cellStyle name="Normal 550 3 3 2" xfId="49266"/>
    <cellStyle name="Normal 550 3 3 3" xfId="49267"/>
    <cellStyle name="Normal 550 3 4" xfId="49268"/>
    <cellStyle name="Normal 550 3 5" xfId="49269"/>
    <cellStyle name="Normal 550 4" xfId="22504"/>
    <cellStyle name="Normal 550 4 2" xfId="49270"/>
    <cellStyle name="Normal 550 4 3" xfId="49271"/>
    <cellStyle name="Normal 550 5" xfId="22505"/>
    <cellStyle name="Normal 550 5 2" xfId="49272"/>
    <cellStyle name="Normal 550 5 3" xfId="49273"/>
    <cellStyle name="Normal 550 6" xfId="49274"/>
    <cellStyle name="Normal 550 7" xfId="49275"/>
    <cellStyle name="Normal 550 8" xfId="49276"/>
    <cellStyle name="Normal 550 9" xfId="49277"/>
    <cellStyle name="Normal 551" xfId="22506"/>
    <cellStyle name="Normal 551 10" xfId="49278"/>
    <cellStyle name="Normal 551 2" xfId="22507"/>
    <cellStyle name="Normal 551 2 2" xfId="22508"/>
    <cellStyle name="Normal 551 2 2 2" xfId="49279"/>
    <cellStyle name="Normal 551 2 2 3" xfId="49280"/>
    <cellStyle name="Normal 551 2 3" xfId="22509"/>
    <cellStyle name="Normal 551 2 3 2" xfId="49281"/>
    <cellStyle name="Normal 551 2 3 3" xfId="49282"/>
    <cellStyle name="Normal 551 2 4" xfId="49283"/>
    <cellStyle name="Normal 551 2 5" xfId="49284"/>
    <cellStyle name="Normal 551 2 6" xfId="49285"/>
    <cellStyle name="Normal 551 2 7" xfId="49286"/>
    <cellStyle name="Normal 551 2 8" xfId="49287"/>
    <cellStyle name="Normal 551 3" xfId="22510"/>
    <cellStyle name="Normal 551 3 2" xfId="49288"/>
    <cellStyle name="Normal 551 3 2 2" xfId="49289"/>
    <cellStyle name="Normal 551 3 2 3" xfId="49290"/>
    <cellStyle name="Normal 551 3 3" xfId="49291"/>
    <cellStyle name="Normal 551 3 3 2" xfId="49292"/>
    <cellStyle name="Normal 551 3 3 3" xfId="49293"/>
    <cellStyle name="Normal 551 3 4" xfId="49294"/>
    <cellStyle name="Normal 551 3 5" xfId="49295"/>
    <cellStyle name="Normal 551 4" xfId="22511"/>
    <cellStyle name="Normal 551 4 2" xfId="49296"/>
    <cellStyle name="Normal 551 4 3" xfId="49297"/>
    <cellStyle name="Normal 551 5" xfId="22512"/>
    <cellStyle name="Normal 551 5 2" xfId="49298"/>
    <cellStyle name="Normal 551 5 3" xfId="49299"/>
    <cellStyle name="Normal 551 6" xfId="49300"/>
    <cellStyle name="Normal 551 7" xfId="49301"/>
    <cellStyle name="Normal 551 8" xfId="49302"/>
    <cellStyle name="Normal 551 9" xfId="49303"/>
    <cellStyle name="Normal 552" xfId="22513"/>
    <cellStyle name="Normal 552 10" xfId="49304"/>
    <cellStyle name="Normal 552 2" xfId="22514"/>
    <cellStyle name="Normal 552 2 2" xfId="22515"/>
    <cellStyle name="Normal 552 2 2 2" xfId="49305"/>
    <cellStyle name="Normal 552 2 2 3" xfId="49306"/>
    <cellStyle name="Normal 552 2 3" xfId="22516"/>
    <cellStyle name="Normal 552 2 3 2" xfId="49307"/>
    <cellStyle name="Normal 552 2 3 3" xfId="49308"/>
    <cellStyle name="Normal 552 2 4" xfId="49309"/>
    <cellStyle name="Normal 552 2 5" xfId="49310"/>
    <cellStyle name="Normal 552 2 6" xfId="49311"/>
    <cellStyle name="Normal 552 2 7" xfId="49312"/>
    <cellStyle name="Normal 552 2 8" xfId="49313"/>
    <cellStyle name="Normal 552 3" xfId="22517"/>
    <cellStyle name="Normal 552 3 2" xfId="49314"/>
    <cellStyle name="Normal 552 3 2 2" xfId="49315"/>
    <cellStyle name="Normal 552 3 2 3" xfId="49316"/>
    <cellStyle name="Normal 552 3 3" xfId="49317"/>
    <cellStyle name="Normal 552 3 3 2" xfId="49318"/>
    <cellStyle name="Normal 552 3 3 3" xfId="49319"/>
    <cellStyle name="Normal 552 3 4" xfId="49320"/>
    <cellStyle name="Normal 552 3 5" xfId="49321"/>
    <cellStyle name="Normal 552 4" xfId="22518"/>
    <cellStyle name="Normal 552 4 2" xfId="49322"/>
    <cellStyle name="Normal 552 4 3" xfId="49323"/>
    <cellStyle name="Normal 552 5" xfId="22519"/>
    <cellStyle name="Normal 552 5 2" xfId="49324"/>
    <cellStyle name="Normal 552 5 3" xfId="49325"/>
    <cellStyle name="Normal 552 6" xfId="49326"/>
    <cellStyle name="Normal 552 7" xfId="49327"/>
    <cellStyle name="Normal 552 8" xfId="49328"/>
    <cellStyle name="Normal 552 9" xfId="49329"/>
    <cellStyle name="Normal 553" xfId="22520"/>
    <cellStyle name="Normal 553 10" xfId="49330"/>
    <cellStyle name="Normal 553 2" xfId="22521"/>
    <cellStyle name="Normal 553 2 2" xfId="22522"/>
    <cellStyle name="Normal 553 2 2 2" xfId="49331"/>
    <cellStyle name="Normal 553 2 2 3" xfId="49332"/>
    <cellStyle name="Normal 553 2 3" xfId="22523"/>
    <cellStyle name="Normal 553 2 3 2" xfId="49333"/>
    <cellStyle name="Normal 553 2 3 3" xfId="49334"/>
    <cellStyle name="Normal 553 2 4" xfId="49335"/>
    <cellStyle name="Normal 553 2 5" xfId="49336"/>
    <cellStyle name="Normal 553 2 6" xfId="49337"/>
    <cellStyle name="Normal 553 2 7" xfId="49338"/>
    <cellStyle name="Normal 553 2 8" xfId="49339"/>
    <cellStyle name="Normal 553 3" xfId="22524"/>
    <cellStyle name="Normal 553 3 2" xfId="49340"/>
    <cellStyle name="Normal 553 3 2 2" xfId="49341"/>
    <cellStyle name="Normal 553 3 2 3" xfId="49342"/>
    <cellStyle name="Normal 553 3 3" xfId="49343"/>
    <cellStyle name="Normal 553 3 3 2" xfId="49344"/>
    <cellStyle name="Normal 553 3 3 3" xfId="49345"/>
    <cellStyle name="Normal 553 3 4" xfId="49346"/>
    <cellStyle name="Normal 553 3 5" xfId="49347"/>
    <cellStyle name="Normal 553 4" xfId="22525"/>
    <cellStyle name="Normal 553 4 2" xfId="49348"/>
    <cellStyle name="Normal 553 4 3" xfId="49349"/>
    <cellStyle name="Normal 553 5" xfId="22526"/>
    <cellStyle name="Normal 553 5 2" xfId="49350"/>
    <cellStyle name="Normal 553 5 3" xfId="49351"/>
    <cellStyle name="Normal 553 6" xfId="49352"/>
    <cellStyle name="Normal 553 7" xfId="49353"/>
    <cellStyle name="Normal 553 8" xfId="49354"/>
    <cellStyle name="Normal 553 9" xfId="49355"/>
    <cellStyle name="Normal 554" xfId="22527"/>
    <cellStyle name="Normal 554 10" xfId="49356"/>
    <cellStyle name="Normal 554 2" xfId="22528"/>
    <cellStyle name="Normal 554 2 2" xfId="22529"/>
    <cellStyle name="Normal 554 2 2 2" xfId="49357"/>
    <cellStyle name="Normal 554 2 2 3" xfId="49358"/>
    <cellStyle name="Normal 554 2 3" xfId="22530"/>
    <cellStyle name="Normal 554 2 3 2" xfId="49359"/>
    <cellStyle name="Normal 554 2 3 3" xfId="49360"/>
    <cellStyle name="Normal 554 2 4" xfId="49361"/>
    <cellStyle name="Normal 554 2 5" xfId="49362"/>
    <cellStyle name="Normal 554 2 6" xfId="49363"/>
    <cellStyle name="Normal 554 2 7" xfId="49364"/>
    <cellStyle name="Normal 554 2 8" xfId="49365"/>
    <cellStyle name="Normal 554 3" xfId="22531"/>
    <cellStyle name="Normal 554 3 2" xfId="49366"/>
    <cellStyle name="Normal 554 3 2 2" xfId="49367"/>
    <cellStyle name="Normal 554 3 2 3" xfId="49368"/>
    <cellStyle name="Normal 554 3 3" xfId="49369"/>
    <cellStyle name="Normal 554 3 3 2" xfId="49370"/>
    <cellStyle name="Normal 554 3 3 3" xfId="49371"/>
    <cellStyle name="Normal 554 3 4" xfId="49372"/>
    <cellStyle name="Normal 554 3 5" xfId="49373"/>
    <cellStyle name="Normal 554 4" xfId="22532"/>
    <cellStyle name="Normal 554 4 2" xfId="49374"/>
    <cellStyle name="Normal 554 4 3" xfId="49375"/>
    <cellStyle name="Normal 554 5" xfId="22533"/>
    <cellStyle name="Normal 554 5 2" xfId="49376"/>
    <cellStyle name="Normal 554 5 3" xfId="49377"/>
    <cellStyle name="Normal 554 6" xfId="49378"/>
    <cellStyle name="Normal 554 7" xfId="49379"/>
    <cellStyle name="Normal 554 8" xfId="49380"/>
    <cellStyle name="Normal 554 9" xfId="49381"/>
    <cellStyle name="Normal 555" xfId="22534"/>
    <cellStyle name="Normal 555 10" xfId="49382"/>
    <cellStyle name="Normal 555 2" xfId="22535"/>
    <cellStyle name="Normal 555 2 2" xfId="22536"/>
    <cellStyle name="Normal 555 2 2 2" xfId="49383"/>
    <cellStyle name="Normal 555 2 2 3" xfId="49384"/>
    <cellStyle name="Normal 555 2 3" xfId="22537"/>
    <cellStyle name="Normal 555 2 3 2" xfId="49385"/>
    <cellStyle name="Normal 555 2 3 3" xfId="49386"/>
    <cellStyle name="Normal 555 2 4" xfId="49387"/>
    <cellStyle name="Normal 555 2 5" xfId="49388"/>
    <cellStyle name="Normal 555 2 6" xfId="49389"/>
    <cellStyle name="Normal 555 2 7" xfId="49390"/>
    <cellStyle name="Normal 555 2 8" xfId="49391"/>
    <cellStyle name="Normal 555 3" xfId="22538"/>
    <cellStyle name="Normal 555 3 2" xfId="49392"/>
    <cellStyle name="Normal 555 3 2 2" xfId="49393"/>
    <cellStyle name="Normal 555 3 2 3" xfId="49394"/>
    <cellStyle name="Normal 555 3 3" xfId="49395"/>
    <cellStyle name="Normal 555 3 3 2" xfId="49396"/>
    <cellStyle name="Normal 555 3 3 3" xfId="49397"/>
    <cellStyle name="Normal 555 3 4" xfId="49398"/>
    <cellStyle name="Normal 555 3 5" xfId="49399"/>
    <cellStyle name="Normal 555 4" xfId="22539"/>
    <cellStyle name="Normal 555 4 2" xfId="49400"/>
    <cellStyle name="Normal 555 4 3" xfId="49401"/>
    <cellStyle name="Normal 555 5" xfId="22540"/>
    <cellStyle name="Normal 555 5 2" xfId="49402"/>
    <cellStyle name="Normal 555 5 3" xfId="49403"/>
    <cellStyle name="Normal 555 6" xfId="49404"/>
    <cellStyle name="Normal 555 7" xfId="49405"/>
    <cellStyle name="Normal 555 8" xfId="49406"/>
    <cellStyle name="Normal 555 9" xfId="49407"/>
    <cellStyle name="Normal 556" xfId="22541"/>
    <cellStyle name="Normal 556 10" xfId="49408"/>
    <cellStyle name="Normal 556 2" xfId="22542"/>
    <cellStyle name="Normal 556 2 2" xfId="22543"/>
    <cellStyle name="Normal 556 2 2 2" xfId="49409"/>
    <cellStyle name="Normal 556 2 2 3" xfId="49410"/>
    <cellStyle name="Normal 556 2 3" xfId="22544"/>
    <cellStyle name="Normal 556 2 3 2" xfId="49411"/>
    <cellStyle name="Normal 556 2 3 3" xfId="49412"/>
    <cellStyle name="Normal 556 2 4" xfId="49413"/>
    <cellStyle name="Normal 556 2 5" xfId="49414"/>
    <cellStyle name="Normal 556 2 6" xfId="49415"/>
    <cellStyle name="Normal 556 2 7" xfId="49416"/>
    <cellStyle name="Normal 556 2 8" xfId="49417"/>
    <cellStyle name="Normal 556 3" xfId="22545"/>
    <cellStyle name="Normal 556 3 2" xfId="49418"/>
    <cellStyle name="Normal 556 3 2 2" xfId="49419"/>
    <cellStyle name="Normal 556 3 2 3" xfId="49420"/>
    <cellStyle name="Normal 556 3 3" xfId="49421"/>
    <cellStyle name="Normal 556 3 3 2" xfId="49422"/>
    <cellStyle name="Normal 556 3 3 3" xfId="49423"/>
    <cellStyle name="Normal 556 3 4" xfId="49424"/>
    <cellStyle name="Normal 556 3 5" xfId="49425"/>
    <cellStyle name="Normal 556 4" xfId="22546"/>
    <cellStyle name="Normal 556 4 2" xfId="49426"/>
    <cellStyle name="Normal 556 4 3" xfId="49427"/>
    <cellStyle name="Normal 556 5" xfId="22547"/>
    <cellStyle name="Normal 556 5 2" xfId="49428"/>
    <cellStyle name="Normal 556 5 3" xfId="49429"/>
    <cellStyle name="Normal 556 6" xfId="49430"/>
    <cellStyle name="Normal 556 7" xfId="49431"/>
    <cellStyle name="Normal 556 8" xfId="49432"/>
    <cellStyle name="Normal 556 9" xfId="49433"/>
    <cellStyle name="Normal 557" xfId="22548"/>
    <cellStyle name="Normal 557 10" xfId="49434"/>
    <cellStyle name="Normal 557 2" xfId="22549"/>
    <cellStyle name="Normal 557 2 2" xfId="22550"/>
    <cellStyle name="Normal 557 2 2 2" xfId="49435"/>
    <cellStyle name="Normal 557 2 2 3" xfId="49436"/>
    <cellStyle name="Normal 557 2 3" xfId="22551"/>
    <cellStyle name="Normal 557 2 3 2" xfId="49437"/>
    <cellStyle name="Normal 557 2 3 3" xfId="49438"/>
    <cellStyle name="Normal 557 2 4" xfId="49439"/>
    <cellStyle name="Normal 557 2 5" xfId="49440"/>
    <cellStyle name="Normal 557 2 6" xfId="49441"/>
    <cellStyle name="Normal 557 2 7" xfId="49442"/>
    <cellStyle name="Normal 557 2 8" xfId="49443"/>
    <cellStyle name="Normal 557 3" xfId="22552"/>
    <cellStyle name="Normal 557 3 2" xfId="49444"/>
    <cellStyle name="Normal 557 3 2 2" xfId="49445"/>
    <cellStyle name="Normal 557 3 2 3" xfId="49446"/>
    <cellStyle name="Normal 557 3 3" xfId="49447"/>
    <cellStyle name="Normal 557 3 3 2" xfId="49448"/>
    <cellStyle name="Normal 557 3 3 3" xfId="49449"/>
    <cellStyle name="Normal 557 3 4" xfId="49450"/>
    <cellStyle name="Normal 557 3 5" xfId="49451"/>
    <cellStyle name="Normal 557 4" xfId="22553"/>
    <cellStyle name="Normal 557 4 2" xfId="49452"/>
    <cellStyle name="Normal 557 4 3" xfId="49453"/>
    <cellStyle name="Normal 557 5" xfId="22554"/>
    <cellStyle name="Normal 557 5 2" xfId="49454"/>
    <cellStyle name="Normal 557 5 3" xfId="49455"/>
    <cellStyle name="Normal 557 6" xfId="49456"/>
    <cellStyle name="Normal 557 7" xfId="49457"/>
    <cellStyle name="Normal 557 8" xfId="49458"/>
    <cellStyle name="Normal 557 9" xfId="49459"/>
    <cellStyle name="Normal 558" xfId="22555"/>
    <cellStyle name="Normal 558 10" xfId="49460"/>
    <cellStyle name="Normal 558 2" xfId="22556"/>
    <cellStyle name="Normal 558 2 2" xfId="22557"/>
    <cellStyle name="Normal 558 2 2 2" xfId="49461"/>
    <cellStyle name="Normal 558 2 2 3" xfId="49462"/>
    <cellStyle name="Normal 558 2 3" xfId="22558"/>
    <cellStyle name="Normal 558 2 3 2" xfId="49463"/>
    <cellStyle name="Normal 558 2 3 3" xfId="49464"/>
    <cellStyle name="Normal 558 2 4" xfId="49465"/>
    <cellStyle name="Normal 558 2 5" xfId="49466"/>
    <cellStyle name="Normal 558 2 6" xfId="49467"/>
    <cellStyle name="Normal 558 2 7" xfId="49468"/>
    <cellStyle name="Normal 558 2 8" xfId="49469"/>
    <cellStyle name="Normal 558 3" xfId="22559"/>
    <cellStyle name="Normal 558 3 2" xfId="49470"/>
    <cellStyle name="Normal 558 3 2 2" xfId="49471"/>
    <cellStyle name="Normal 558 3 2 3" xfId="49472"/>
    <cellStyle name="Normal 558 3 3" xfId="49473"/>
    <cellStyle name="Normal 558 3 3 2" xfId="49474"/>
    <cellStyle name="Normal 558 3 3 3" xfId="49475"/>
    <cellStyle name="Normal 558 3 4" xfId="49476"/>
    <cellStyle name="Normal 558 3 5" xfId="49477"/>
    <cellStyle name="Normal 558 4" xfId="22560"/>
    <cellStyle name="Normal 558 4 2" xfId="49478"/>
    <cellStyle name="Normal 558 4 3" xfId="49479"/>
    <cellStyle name="Normal 558 5" xfId="22561"/>
    <cellStyle name="Normal 558 5 2" xfId="49480"/>
    <cellStyle name="Normal 558 5 3" xfId="49481"/>
    <cellStyle name="Normal 558 6" xfId="49482"/>
    <cellStyle name="Normal 558 7" xfId="49483"/>
    <cellStyle name="Normal 558 8" xfId="49484"/>
    <cellStyle name="Normal 558 9" xfId="49485"/>
    <cellStyle name="Normal 559" xfId="22562"/>
    <cellStyle name="Normal 559 10" xfId="49486"/>
    <cellStyle name="Normal 559 2" xfId="22563"/>
    <cellStyle name="Normal 559 2 2" xfId="22564"/>
    <cellStyle name="Normal 559 2 2 2" xfId="49487"/>
    <cellStyle name="Normal 559 2 2 3" xfId="49488"/>
    <cellStyle name="Normal 559 2 3" xfId="22565"/>
    <cellStyle name="Normal 559 2 3 2" xfId="49489"/>
    <cellStyle name="Normal 559 2 3 3" xfId="49490"/>
    <cellStyle name="Normal 559 2 4" xfId="49491"/>
    <cellStyle name="Normal 559 2 5" xfId="49492"/>
    <cellStyle name="Normal 559 2 6" xfId="49493"/>
    <cellStyle name="Normal 559 2 7" xfId="49494"/>
    <cellStyle name="Normal 559 2 8" xfId="49495"/>
    <cellStyle name="Normal 559 3" xfId="22566"/>
    <cellStyle name="Normal 559 3 2" xfId="49496"/>
    <cellStyle name="Normal 559 3 2 2" xfId="49497"/>
    <cellStyle name="Normal 559 3 2 3" xfId="49498"/>
    <cellStyle name="Normal 559 3 3" xfId="49499"/>
    <cellStyle name="Normal 559 3 3 2" xfId="49500"/>
    <cellStyle name="Normal 559 3 3 3" xfId="49501"/>
    <cellStyle name="Normal 559 3 4" xfId="49502"/>
    <cellStyle name="Normal 559 3 5" xfId="49503"/>
    <cellStyle name="Normal 559 4" xfId="22567"/>
    <cellStyle name="Normal 559 4 2" xfId="49504"/>
    <cellStyle name="Normal 559 4 3" xfId="49505"/>
    <cellStyle name="Normal 559 5" xfId="22568"/>
    <cellStyle name="Normal 559 5 2" xfId="49506"/>
    <cellStyle name="Normal 559 5 3" xfId="49507"/>
    <cellStyle name="Normal 559 6" xfId="49508"/>
    <cellStyle name="Normal 559 7" xfId="49509"/>
    <cellStyle name="Normal 559 8" xfId="49510"/>
    <cellStyle name="Normal 559 9" xfId="49511"/>
    <cellStyle name="Normal 56" xfId="22569"/>
    <cellStyle name="Normal 56 10" xfId="49512"/>
    <cellStyle name="Normal 56 2" xfId="22570"/>
    <cellStyle name="Normal 56 2 2" xfId="22571"/>
    <cellStyle name="Normal 56 2 2 2" xfId="22572"/>
    <cellStyle name="Normal 56 2 2 3" xfId="22573"/>
    <cellStyle name="Normal 56 2 3" xfId="22574"/>
    <cellStyle name="Normal 56 2 3 2" xfId="49513"/>
    <cellStyle name="Normal 56 2 3 3" xfId="49514"/>
    <cellStyle name="Normal 56 2 4" xfId="22575"/>
    <cellStyle name="Normal 56 2 5" xfId="22576"/>
    <cellStyle name="Normal 56 2 6" xfId="49515"/>
    <cellStyle name="Normal 56 2 7" xfId="49516"/>
    <cellStyle name="Normal 56 2 8" xfId="49517"/>
    <cellStyle name="Normal 56 3" xfId="22577"/>
    <cellStyle name="Normal 56 3 2" xfId="22578"/>
    <cellStyle name="Normal 56 3 2 2" xfId="49518"/>
    <cellStyle name="Normal 56 3 2 3" xfId="49519"/>
    <cellStyle name="Normal 56 3 3" xfId="22579"/>
    <cellStyle name="Normal 56 3 3 2" xfId="49520"/>
    <cellStyle name="Normal 56 3 3 3" xfId="49521"/>
    <cellStyle name="Normal 56 3 4" xfId="49522"/>
    <cellStyle name="Normal 56 3 5" xfId="49523"/>
    <cellStyle name="Normal 56 4" xfId="22580"/>
    <cellStyle name="Normal 56 4 2" xfId="49524"/>
    <cellStyle name="Normal 56 4 3" xfId="49525"/>
    <cellStyle name="Normal 56 5" xfId="22581"/>
    <cellStyle name="Normal 56 5 2" xfId="49526"/>
    <cellStyle name="Normal 56 5 3" xfId="49527"/>
    <cellStyle name="Normal 56 6" xfId="22582"/>
    <cellStyle name="Normal 56 7" xfId="49528"/>
    <cellStyle name="Normal 56 8" xfId="49529"/>
    <cellStyle name="Normal 56 9" xfId="49530"/>
    <cellStyle name="Normal 560" xfId="22583"/>
    <cellStyle name="Normal 560 10" xfId="49531"/>
    <cellStyle name="Normal 560 2" xfId="22584"/>
    <cellStyle name="Normal 560 2 2" xfId="22585"/>
    <cellStyle name="Normal 560 2 2 2" xfId="49532"/>
    <cellStyle name="Normal 560 2 2 3" xfId="49533"/>
    <cellStyle name="Normal 560 2 3" xfId="22586"/>
    <cellStyle name="Normal 560 2 3 2" xfId="49534"/>
    <cellStyle name="Normal 560 2 3 3" xfId="49535"/>
    <cellStyle name="Normal 560 2 4" xfId="49536"/>
    <cellStyle name="Normal 560 2 5" xfId="49537"/>
    <cellStyle name="Normal 560 2 6" xfId="49538"/>
    <cellStyle name="Normal 560 2 7" xfId="49539"/>
    <cellStyle name="Normal 560 2 8" xfId="49540"/>
    <cellStyle name="Normal 560 3" xfId="22587"/>
    <cellStyle name="Normal 560 3 2" xfId="49541"/>
    <cellStyle name="Normal 560 3 2 2" xfId="49542"/>
    <cellStyle name="Normal 560 3 2 3" xfId="49543"/>
    <cellStyle name="Normal 560 3 3" xfId="49544"/>
    <cellStyle name="Normal 560 3 3 2" xfId="49545"/>
    <cellStyle name="Normal 560 3 3 3" xfId="49546"/>
    <cellStyle name="Normal 560 3 4" xfId="49547"/>
    <cellStyle name="Normal 560 3 5" xfId="49548"/>
    <cellStyle name="Normal 560 4" xfId="22588"/>
    <cellStyle name="Normal 560 4 2" xfId="49549"/>
    <cellStyle name="Normal 560 4 3" xfId="49550"/>
    <cellStyle name="Normal 560 5" xfId="22589"/>
    <cellStyle name="Normal 560 5 2" xfId="49551"/>
    <cellStyle name="Normal 560 5 3" xfId="49552"/>
    <cellStyle name="Normal 560 6" xfId="49553"/>
    <cellStyle name="Normal 560 7" xfId="49554"/>
    <cellStyle name="Normal 560 8" xfId="49555"/>
    <cellStyle name="Normal 560 9" xfId="49556"/>
    <cellStyle name="Normal 561" xfId="22590"/>
    <cellStyle name="Normal 561 10" xfId="49557"/>
    <cellStyle name="Normal 561 2" xfId="22591"/>
    <cellStyle name="Normal 561 2 2" xfId="22592"/>
    <cellStyle name="Normal 561 2 2 2" xfId="49558"/>
    <cellStyle name="Normal 561 2 2 3" xfId="49559"/>
    <cellStyle name="Normal 561 2 3" xfId="22593"/>
    <cellStyle name="Normal 561 2 3 2" xfId="49560"/>
    <cellStyle name="Normal 561 2 3 3" xfId="49561"/>
    <cellStyle name="Normal 561 2 4" xfId="49562"/>
    <cellStyle name="Normal 561 2 5" xfId="49563"/>
    <cellStyle name="Normal 561 2 6" xfId="49564"/>
    <cellStyle name="Normal 561 2 7" xfId="49565"/>
    <cellStyle name="Normal 561 2 8" xfId="49566"/>
    <cellStyle name="Normal 561 3" xfId="22594"/>
    <cellStyle name="Normal 561 3 2" xfId="49567"/>
    <cellStyle name="Normal 561 3 2 2" xfId="49568"/>
    <cellStyle name="Normal 561 3 2 3" xfId="49569"/>
    <cellStyle name="Normal 561 3 3" xfId="49570"/>
    <cellStyle name="Normal 561 3 3 2" xfId="49571"/>
    <cellStyle name="Normal 561 3 3 3" xfId="49572"/>
    <cellStyle name="Normal 561 3 4" xfId="49573"/>
    <cellStyle name="Normal 561 3 5" xfId="49574"/>
    <cellStyle name="Normal 561 4" xfId="22595"/>
    <cellStyle name="Normal 561 4 2" xfId="49575"/>
    <cellStyle name="Normal 561 4 3" xfId="49576"/>
    <cellStyle name="Normal 561 5" xfId="22596"/>
    <cellStyle name="Normal 561 5 2" xfId="49577"/>
    <cellStyle name="Normal 561 5 3" xfId="49578"/>
    <cellStyle name="Normal 561 6" xfId="49579"/>
    <cellStyle name="Normal 561 7" xfId="49580"/>
    <cellStyle name="Normal 561 8" xfId="49581"/>
    <cellStyle name="Normal 561 9" xfId="49582"/>
    <cellStyle name="Normal 562" xfId="22597"/>
    <cellStyle name="Normal 562 10" xfId="49583"/>
    <cellStyle name="Normal 562 2" xfId="22598"/>
    <cellStyle name="Normal 562 2 2" xfId="22599"/>
    <cellStyle name="Normal 562 2 2 2" xfId="49584"/>
    <cellStyle name="Normal 562 2 2 3" xfId="49585"/>
    <cellStyle name="Normal 562 2 3" xfId="22600"/>
    <cellStyle name="Normal 562 2 3 2" xfId="49586"/>
    <cellStyle name="Normal 562 2 3 3" xfId="49587"/>
    <cellStyle name="Normal 562 2 4" xfId="49588"/>
    <cellStyle name="Normal 562 2 5" xfId="49589"/>
    <cellStyle name="Normal 562 2 6" xfId="49590"/>
    <cellStyle name="Normal 562 2 7" xfId="49591"/>
    <cellStyle name="Normal 562 2 8" xfId="49592"/>
    <cellStyle name="Normal 562 3" xfId="22601"/>
    <cellStyle name="Normal 562 3 2" xfId="49593"/>
    <cellStyle name="Normal 562 3 2 2" xfId="49594"/>
    <cellStyle name="Normal 562 3 2 3" xfId="49595"/>
    <cellStyle name="Normal 562 3 3" xfId="49596"/>
    <cellStyle name="Normal 562 3 3 2" xfId="49597"/>
    <cellStyle name="Normal 562 3 3 3" xfId="49598"/>
    <cellStyle name="Normal 562 3 4" xfId="49599"/>
    <cellStyle name="Normal 562 3 5" xfId="49600"/>
    <cellStyle name="Normal 562 4" xfId="22602"/>
    <cellStyle name="Normal 562 4 2" xfId="49601"/>
    <cellStyle name="Normal 562 4 3" xfId="49602"/>
    <cellStyle name="Normal 562 5" xfId="22603"/>
    <cellStyle name="Normal 562 5 2" xfId="49603"/>
    <cellStyle name="Normal 562 5 3" xfId="49604"/>
    <cellStyle name="Normal 562 6" xfId="49605"/>
    <cellStyle name="Normal 562 7" xfId="49606"/>
    <cellStyle name="Normal 562 8" xfId="49607"/>
    <cellStyle name="Normal 562 9" xfId="49608"/>
    <cellStyle name="Normal 563" xfId="22604"/>
    <cellStyle name="Normal 563 10" xfId="49609"/>
    <cellStyle name="Normal 563 2" xfId="22605"/>
    <cellStyle name="Normal 563 2 2" xfId="22606"/>
    <cellStyle name="Normal 563 2 2 2" xfId="49610"/>
    <cellStyle name="Normal 563 2 2 3" xfId="49611"/>
    <cellStyle name="Normal 563 2 3" xfId="22607"/>
    <cellStyle name="Normal 563 2 3 2" xfId="49612"/>
    <cellStyle name="Normal 563 2 3 3" xfId="49613"/>
    <cellStyle name="Normal 563 2 4" xfId="49614"/>
    <cellStyle name="Normal 563 2 5" xfId="49615"/>
    <cellStyle name="Normal 563 2 6" xfId="49616"/>
    <cellStyle name="Normal 563 2 7" xfId="49617"/>
    <cellStyle name="Normal 563 2 8" xfId="49618"/>
    <cellStyle name="Normal 563 3" xfId="22608"/>
    <cellStyle name="Normal 563 3 2" xfId="49619"/>
    <cellStyle name="Normal 563 3 2 2" xfId="49620"/>
    <cellStyle name="Normal 563 3 2 3" xfId="49621"/>
    <cellStyle name="Normal 563 3 3" xfId="49622"/>
    <cellStyle name="Normal 563 3 3 2" xfId="49623"/>
    <cellStyle name="Normal 563 3 3 3" xfId="49624"/>
    <cellStyle name="Normal 563 3 4" xfId="49625"/>
    <cellStyle name="Normal 563 3 5" xfId="49626"/>
    <cellStyle name="Normal 563 4" xfId="22609"/>
    <cellStyle name="Normal 563 4 2" xfId="49627"/>
    <cellStyle name="Normal 563 4 3" xfId="49628"/>
    <cellStyle name="Normal 563 5" xfId="22610"/>
    <cellStyle name="Normal 563 5 2" xfId="49629"/>
    <cellStyle name="Normal 563 5 3" xfId="49630"/>
    <cellStyle name="Normal 563 6" xfId="49631"/>
    <cellStyle name="Normal 563 7" xfId="49632"/>
    <cellStyle name="Normal 563 8" xfId="49633"/>
    <cellStyle name="Normal 563 9" xfId="49634"/>
    <cellStyle name="Normal 564" xfId="22611"/>
    <cellStyle name="Normal 564 10" xfId="49635"/>
    <cellStyle name="Normal 564 2" xfId="22612"/>
    <cellStyle name="Normal 564 2 2" xfId="22613"/>
    <cellStyle name="Normal 564 2 2 2" xfId="49636"/>
    <cellStyle name="Normal 564 2 2 3" xfId="49637"/>
    <cellStyle name="Normal 564 2 3" xfId="22614"/>
    <cellStyle name="Normal 564 2 3 2" xfId="49638"/>
    <cellStyle name="Normal 564 2 3 3" xfId="49639"/>
    <cellStyle name="Normal 564 2 4" xfId="49640"/>
    <cellStyle name="Normal 564 2 5" xfId="49641"/>
    <cellStyle name="Normal 564 2 6" xfId="49642"/>
    <cellStyle name="Normal 564 2 7" xfId="49643"/>
    <cellStyle name="Normal 564 2 8" xfId="49644"/>
    <cellStyle name="Normal 564 3" xfId="22615"/>
    <cellStyle name="Normal 564 3 2" xfId="49645"/>
    <cellStyle name="Normal 564 3 2 2" xfId="49646"/>
    <cellStyle name="Normal 564 3 2 3" xfId="49647"/>
    <cellStyle name="Normal 564 3 3" xfId="49648"/>
    <cellStyle name="Normal 564 3 3 2" xfId="49649"/>
    <cellStyle name="Normal 564 3 3 3" xfId="49650"/>
    <cellStyle name="Normal 564 3 4" xfId="49651"/>
    <cellStyle name="Normal 564 3 5" xfId="49652"/>
    <cellStyle name="Normal 564 4" xfId="22616"/>
    <cellStyle name="Normal 564 4 2" xfId="49653"/>
    <cellStyle name="Normal 564 4 3" xfId="49654"/>
    <cellStyle name="Normal 564 5" xfId="22617"/>
    <cellStyle name="Normal 564 5 2" xfId="49655"/>
    <cellStyle name="Normal 564 5 3" xfId="49656"/>
    <cellStyle name="Normal 564 6" xfId="49657"/>
    <cellStyle name="Normal 564 7" xfId="49658"/>
    <cellStyle name="Normal 564 8" xfId="49659"/>
    <cellStyle name="Normal 564 9" xfId="49660"/>
    <cellStyle name="Normal 565" xfId="22618"/>
    <cellStyle name="Normal 565 10" xfId="49661"/>
    <cellStyle name="Normal 565 2" xfId="22619"/>
    <cellStyle name="Normal 565 2 2" xfId="22620"/>
    <cellStyle name="Normal 565 2 2 2" xfId="49662"/>
    <cellStyle name="Normal 565 2 2 3" xfId="49663"/>
    <cellStyle name="Normal 565 2 3" xfId="22621"/>
    <cellStyle name="Normal 565 2 3 2" xfId="49664"/>
    <cellStyle name="Normal 565 2 3 3" xfId="49665"/>
    <cellStyle name="Normal 565 2 4" xfId="49666"/>
    <cellStyle name="Normal 565 2 5" xfId="49667"/>
    <cellStyle name="Normal 565 2 6" xfId="49668"/>
    <cellStyle name="Normal 565 2 7" xfId="49669"/>
    <cellStyle name="Normal 565 2 8" xfId="49670"/>
    <cellStyle name="Normal 565 3" xfId="22622"/>
    <cellStyle name="Normal 565 3 2" xfId="49671"/>
    <cellStyle name="Normal 565 3 2 2" xfId="49672"/>
    <cellStyle name="Normal 565 3 2 3" xfId="49673"/>
    <cellStyle name="Normal 565 3 3" xfId="49674"/>
    <cellStyle name="Normal 565 3 3 2" xfId="49675"/>
    <cellStyle name="Normal 565 3 3 3" xfId="49676"/>
    <cellStyle name="Normal 565 3 4" xfId="49677"/>
    <cellStyle name="Normal 565 3 5" xfId="49678"/>
    <cellStyle name="Normal 565 4" xfId="22623"/>
    <cellStyle name="Normal 565 4 2" xfId="49679"/>
    <cellStyle name="Normal 565 4 3" xfId="49680"/>
    <cellStyle name="Normal 565 5" xfId="22624"/>
    <cellStyle name="Normal 565 5 2" xfId="49681"/>
    <cellStyle name="Normal 565 5 3" xfId="49682"/>
    <cellStyle name="Normal 565 6" xfId="49683"/>
    <cellStyle name="Normal 565 7" xfId="49684"/>
    <cellStyle name="Normal 565 8" xfId="49685"/>
    <cellStyle name="Normal 565 9" xfId="49686"/>
    <cellStyle name="Normal 566" xfId="22625"/>
    <cellStyle name="Normal 566 10" xfId="49687"/>
    <cellStyle name="Normal 566 2" xfId="22626"/>
    <cellStyle name="Normal 566 2 2" xfId="22627"/>
    <cellStyle name="Normal 566 2 2 2" xfId="49688"/>
    <cellStyle name="Normal 566 2 2 3" xfId="49689"/>
    <cellStyle name="Normal 566 2 3" xfId="22628"/>
    <cellStyle name="Normal 566 2 3 2" xfId="49690"/>
    <cellStyle name="Normal 566 2 3 3" xfId="49691"/>
    <cellStyle name="Normal 566 2 4" xfId="49692"/>
    <cellStyle name="Normal 566 2 5" xfId="49693"/>
    <cellStyle name="Normal 566 2 6" xfId="49694"/>
    <cellStyle name="Normal 566 2 7" xfId="49695"/>
    <cellStyle name="Normal 566 2 8" xfId="49696"/>
    <cellStyle name="Normal 566 3" xfId="22629"/>
    <cellStyle name="Normal 566 3 2" xfId="49697"/>
    <cellStyle name="Normal 566 3 2 2" xfId="49698"/>
    <cellStyle name="Normal 566 3 2 3" xfId="49699"/>
    <cellStyle name="Normal 566 3 3" xfId="49700"/>
    <cellStyle name="Normal 566 3 3 2" xfId="49701"/>
    <cellStyle name="Normal 566 3 3 3" xfId="49702"/>
    <cellStyle name="Normal 566 3 4" xfId="49703"/>
    <cellStyle name="Normal 566 3 5" xfId="49704"/>
    <cellStyle name="Normal 566 4" xfId="22630"/>
    <cellStyle name="Normal 566 4 2" xfId="49705"/>
    <cellStyle name="Normal 566 4 3" xfId="49706"/>
    <cellStyle name="Normal 566 5" xfId="22631"/>
    <cellStyle name="Normal 566 5 2" xfId="49707"/>
    <cellStyle name="Normal 566 5 3" xfId="49708"/>
    <cellStyle name="Normal 566 6" xfId="49709"/>
    <cellStyle name="Normal 566 7" xfId="49710"/>
    <cellStyle name="Normal 566 8" xfId="49711"/>
    <cellStyle name="Normal 566 9" xfId="49712"/>
    <cellStyle name="Normal 567" xfId="22632"/>
    <cellStyle name="Normal 567 10" xfId="49713"/>
    <cellStyle name="Normal 567 2" xfId="22633"/>
    <cellStyle name="Normal 567 2 2" xfId="22634"/>
    <cellStyle name="Normal 567 2 2 2" xfId="49714"/>
    <cellStyle name="Normal 567 2 2 3" xfId="49715"/>
    <cellStyle name="Normal 567 2 3" xfId="22635"/>
    <cellStyle name="Normal 567 2 3 2" xfId="49716"/>
    <cellStyle name="Normal 567 2 3 3" xfId="49717"/>
    <cellStyle name="Normal 567 2 4" xfId="49718"/>
    <cellStyle name="Normal 567 2 5" xfId="49719"/>
    <cellStyle name="Normal 567 2 6" xfId="49720"/>
    <cellStyle name="Normal 567 2 7" xfId="49721"/>
    <cellStyle name="Normal 567 2 8" xfId="49722"/>
    <cellStyle name="Normal 567 3" xfId="22636"/>
    <cellStyle name="Normal 567 3 2" xfId="49723"/>
    <cellStyle name="Normal 567 3 2 2" xfId="49724"/>
    <cellStyle name="Normal 567 3 2 3" xfId="49725"/>
    <cellStyle name="Normal 567 3 3" xfId="49726"/>
    <cellStyle name="Normal 567 3 3 2" xfId="49727"/>
    <cellStyle name="Normal 567 3 3 3" xfId="49728"/>
    <cellStyle name="Normal 567 3 4" xfId="49729"/>
    <cellStyle name="Normal 567 3 5" xfId="49730"/>
    <cellStyle name="Normal 567 4" xfId="22637"/>
    <cellStyle name="Normal 567 4 2" xfId="49731"/>
    <cellStyle name="Normal 567 4 3" xfId="49732"/>
    <cellStyle name="Normal 567 5" xfId="22638"/>
    <cellStyle name="Normal 567 5 2" xfId="49733"/>
    <cellStyle name="Normal 567 5 3" xfId="49734"/>
    <cellStyle name="Normal 567 6" xfId="49735"/>
    <cellStyle name="Normal 567 7" xfId="49736"/>
    <cellStyle name="Normal 567 8" xfId="49737"/>
    <cellStyle name="Normal 567 9" xfId="49738"/>
    <cellStyle name="Normal 568" xfId="22639"/>
    <cellStyle name="Normal 568 10" xfId="49739"/>
    <cellStyle name="Normal 568 2" xfId="22640"/>
    <cellStyle name="Normal 568 2 2" xfId="22641"/>
    <cellStyle name="Normal 568 2 2 2" xfId="49740"/>
    <cellStyle name="Normal 568 2 2 3" xfId="49741"/>
    <cellStyle name="Normal 568 2 3" xfId="22642"/>
    <cellStyle name="Normal 568 2 3 2" xfId="49742"/>
    <cellStyle name="Normal 568 2 3 3" xfId="49743"/>
    <cellStyle name="Normal 568 2 4" xfId="49744"/>
    <cellStyle name="Normal 568 2 5" xfId="49745"/>
    <cellStyle name="Normal 568 2 6" xfId="49746"/>
    <cellStyle name="Normal 568 2 7" xfId="49747"/>
    <cellStyle name="Normal 568 2 8" xfId="49748"/>
    <cellStyle name="Normal 568 3" xfId="22643"/>
    <cellStyle name="Normal 568 3 2" xfId="49749"/>
    <cellStyle name="Normal 568 3 2 2" xfId="49750"/>
    <cellStyle name="Normal 568 3 2 3" xfId="49751"/>
    <cellStyle name="Normal 568 3 3" xfId="49752"/>
    <cellStyle name="Normal 568 3 3 2" xfId="49753"/>
    <cellStyle name="Normal 568 3 3 3" xfId="49754"/>
    <cellStyle name="Normal 568 3 4" xfId="49755"/>
    <cellStyle name="Normal 568 3 5" xfId="49756"/>
    <cellStyle name="Normal 568 4" xfId="22644"/>
    <cellStyle name="Normal 568 4 2" xfId="49757"/>
    <cellStyle name="Normal 568 4 3" xfId="49758"/>
    <cellStyle name="Normal 568 5" xfId="22645"/>
    <cellStyle name="Normal 568 5 2" xfId="49759"/>
    <cellStyle name="Normal 568 5 3" xfId="49760"/>
    <cellStyle name="Normal 568 6" xfId="49761"/>
    <cellStyle name="Normal 568 7" xfId="49762"/>
    <cellStyle name="Normal 568 8" xfId="49763"/>
    <cellStyle name="Normal 568 9" xfId="49764"/>
    <cellStyle name="Normal 569" xfId="22646"/>
    <cellStyle name="Normal 569 10" xfId="49765"/>
    <cellStyle name="Normal 569 2" xfId="22647"/>
    <cellStyle name="Normal 569 2 2" xfId="22648"/>
    <cellStyle name="Normal 569 2 2 2" xfId="49766"/>
    <cellStyle name="Normal 569 2 2 3" xfId="49767"/>
    <cellStyle name="Normal 569 2 3" xfId="22649"/>
    <cellStyle name="Normal 569 2 3 2" xfId="49768"/>
    <cellStyle name="Normal 569 2 3 3" xfId="49769"/>
    <cellStyle name="Normal 569 2 4" xfId="49770"/>
    <cellStyle name="Normal 569 2 5" xfId="49771"/>
    <cellStyle name="Normal 569 2 6" xfId="49772"/>
    <cellStyle name="Normal 569 2 7" xfId="49773"/>
    <cellStyle name="Normal 569 2 8" xfId="49774"/>
    <cellStyle name="Normal 569 3" xfId="22650"/>
    <cellStyle name="Normal 569 3 2" xfId="49775"/>
    <cellStyle name="Normal 569 3 2 2" xfId="49776"/>
    <cellStyle name="Normal 569 3 2 3" xfId="49777"/>
    <cellStyle name="Normal 569 3 3" xfId="49778"/>
    <cellStyle name="Normal 569 3 3 2" xfId="49779"/>
    <cellStyle name="Normal 569 3 3 3" xfId="49780"/>
    <cellStyle name="Normal 569 3 4" xfId="49781"/>
    <cellStyle name="Normal 569 3 5" xfId="49782"/>
    <cellStyle name="Normal 569 4" xfId="22651"/>
    <cellStyle name="Normal 569 4 2" xfId="49783"/>
    <cellStyle name="Normal 569 4 3" xfId="49784"/>
    <cellStyle name="Normal 569 5" xfId="22652"/>
    <cellStyle name="Normal 569 5 2" xfId="49785"/>
    <cellStyle name="Normal 569 5 3" xfId="49786"/>
    <cellStyle name="Normal 569 6" xfId="49787"/>
    <cellStyle name="Normal 569 7" xfId="49788"/>
    <cellStyle name="Normal 569 8" xfId="49789"/>
    <cellStyle name="Normal 569 9" xfId="49790"/>
    <cellStyle name="Normal 57" xfId="22653"/>
    <cellStyle name="Normal 57 10" xfId="49791"/>
    <cellStyle name="Normal 57 2" xfId="22654"/>
    <cellStyle name="Normal 57 2 2" xfId="22655"/>
    <cellStyle name="Normal 57 2 2 2" xfId="22656"/>
    <cellStyle name="Normal 57 2 2 3" xfId="22657"/>
    <cellStyle name="Normal 57 2 3" xfId="22658"/>
    <cellStyle name="Normal 57 2 3 2" xfId="49792"/>
    <cellStyle name="Normal 57 2 3 3" xfId="49793"/>
    <cellStyle name="Normal 57 2 4" xfId="22659"/>
    <cellStyle name="Normal 57 2 5" xfId="22660"/>
    <cellStyle name="Normal 57 2 6" xfId="49794"/>
    <cellStyle name="Normal 57 2 7" xfId="49795"/>
    <cellStyle name="Normal 57 2 8" xfId="49796"/>
    <cellStyle name="Normal 57 3" xfId="22661"/>
    <cellStyle name="Normal 57 3 2" xfId="22662"/>
    <cellStyle name="Normal 57 3 2 2" xfId="49797"/>
    <cellStyle name="Normal 57 3 2 3" xfId="49798"/>
    <cellStyle name="Normal 57 3 3" xfId="22663"/>
    <cellStyle name="Normal 57 3 3 2" xfId="49799"/>
    <cellStyle name="Normal 57 3 3 3" xfId="49800"/>
    <cellStyle name="Normal 57 3 4" xfId="49801"/>
    <cellStyle name="Normal 57 3 5" xfId="49802"/>
    <cellStyle name="Normal 57 4" xfId="22664"/>
    <cellStyle name="Normal 57 4 2" xfId="49803"/>
    <cellStyle name="Normal 57 4 3" xfId="49804"/>
    <cellStyle name="Normal 57 5" xfId="22665"/>
    <cellStyle name="Normal 57 5 2" xfId="49805"/>
    <cellStyle name="Normal 57 5 3" xfId="49806"/>
    <cellStyle name="Normal 57 6" xfId="22666"/>
    <cellStyle name="Normal 57 7" xfId="49807"/>
    <cellStyle name="Normal 57 8" xfId="49808"/>
    <cellStyle name="Normal 57 9" xfId="49809"/>
    <cellStyle name="Normal 570" xfId="22667"/>
    <cellStyle name="Normal 570 10" xfId="49810"/>
    <cellStyle name="Normal 570 2" xfId="22668"/>
    <cellStyle name="Normal 570 2 2" xfId="22669"/>
    <cellStyle name="Normal 570 2 2 2" xfId="49811"/>
    <cellStyle name="Normal 570 2 2 3" xfId="49812"/>
    <cellStyle name="Normal 570 2 3" xfId="22670"/>
    <cellStyle name="Normal 570 2 3 2" xfId="49813"/>
    <cellStyle name="Normal 570 2 3 3" xfId="49814"/>
    <cellStyle name="Normal 570 2 4" xfId="49815"/>
    <cellStyle name="Normal 570 2 5" xfId="49816"/>
    <cellStyle name="Normal 570 2 6" xfId="49817"/>
    <cellStyle name="Normal 570 2 7" xfId="49818"/>
    <cellStyle name="Normal 570 2 8" xfId="49819"/>
    <cellStyle name="Normal 570 3" xfId="22671"/>
    <cellStyle name="Normal 570 3 2" xfId="49820"/>
    <cellStyle name="Normal 570 3 2 2" xfId="49821"/>
    <cellStyle name="Normal 570 3 2 3" xfId="49822"/>
    <cellStyle name="Normal 570 3 3" xfId="49823"/>
    <cellStyle name="Normal 570 3 3 2" xfId="49824"/>
    <cellStyle name="Normal 570 3 3 3" xfId="49825"/>
    <cellStyle name="Normal 570 3 4" xfId="49826"/>
    <cellStyle name="Normal 570 3 5" xfId="49827"/>
    <cellStyle name="Normal 570 4" xfId="22672"/>
    <cellStyle name="Normal 570 4 2" xfId="49828"/>
    <cellStyle name="Normal 570 4 3" xfId="49829"/>
    <cellStyle name="Normal 570 5" xfId="22673"/>
    <cellStyle name="Normal 570 5 2" xfId="49830"/>
    <cellStyle name="Normal 570 5 3" xfId="49831"/>
    <cellStyle name="Normal 570 6" xfId="49832"/>
    <cellStyle name="Normal 570 7" xfId="49833"/>
    <cellStyle name="Normal 570 8" xfId="49834"/>
    <cellStyle name="Normal 570 9" xfId="49835"/>
    <cellStyle name="Normal 571" xfId="22674"/>
    <cellStyle name="Normal 571 10" xfId="49836"/>
    <cellStyle name="Normal 571 2" xfId="22675"/>
    <cellStyle name="Normal 571 2 2" xfId="22676"/>
    <cellStyle name="Normal 571 2 2 2" xfId="49837"/>
    <cellStyle name="Normal 571 2 2 3" xfId="49838"/>
    <cellStyle name="Normal 571 2 3" xfId="22677"/>
    <cellStyle name="Normal 571 2 3 2" xfId="49839"/>
    <cellStyle name="Normal 571 2 3 3" xfId="49840"/>
    <cellStyle name="Normal 571 2 4" xfId="49841"/>
    <cellStyle name="Normal 571 2 5" xfId="49842"/>
    <cellStyle name="Normal 571 2 6" xfId="49843"/>
    <cellStyle name="Normal 571 2 7" xfId="49844"/>
    <cellStyle name="Normal 571 2 8" xfId="49845"/>
    <cellStyle name="Normal 571 3" xfId="22678"/>
    <cellStyle name="Normal 571 3 2" xfId="49846"/>
    <cellStyle name="Normal 571 3 2 2" xfId="49847"/>
    <cellStyle name="Normal 571 3 2 3" xfId="49848"/>
    <cellStyle name="Normal 571 3 3" xfId="49849"/>
    <cellStyle name="Normal 571 3 3 2" xfId="49850"/>
    <cellStyle name="Normal 571 3 3 3" xfId="49851"/>
    <cellStyle name="Normal 571 3 4" xfId="49852"/>
    <cellStyle name="Normal 571 3 5" xfId="49853"/>
    <cellStyle name="Normal 571 4" xfId="22679"/>
    <cellStyle name="Normal 571 4 2" xfId="49854"/>
    <cellStyle name="Normal 571 4 3" xfId="49855"/>
    <cellStyle name="Normal 571 5" xfId="22680"/>
    <cellStyle name="Normal 571 5 2" xfId="49856"/>
    <cellStyle name="Normal 571 5 3" xfId="49857"/>
    <cellStyle name="Normal 571 6" xfId="49858"/>
    <cellStyle name="Normal 571 7" xfId="49859"/>
    <cellStyle name="Normal 571 8" xfId="49860"/>
    <cellStyle name="Normal 571 9" xfId="49861"/>
    <cellStyle name="Normal 572" xfId="22681"/>
    <cellStyle name="Normal 572 10" xfId="49862"/>
    <cellStyle name="Normal 572 2" xfId="22682"/>
    <cellStyle name="Normal 572 2 2" xfId="22683"/>
    <cellStyle name="Normal 572 2 2 2" xfId="49863"/>
    <cellStyle name="Normal 572 2 2 3" xfId="49864"/>
    <cellStyle name="Normal 572 2 3" xfId="22684"/>
    <cellStyle name="Normal 572 2 3 2" xfId="49865"/>
    <cellStyle name="Normal 572 2 3 3" xfId="49866"/>
    <cellStyle name="Normal 572 2 4" xfId="49867"/>
    <cellStyle name="Normal 572 2 5" xfId="49868"/>
    <cellStyle name="Normal 572 2 6" xfId="49869"/>
    <cellStyle name="Normal 572 2 7" xfId="49870"/>
    <cellStyle name="Normal 572 2 8" xfId="49871"/>
    <cellStyle name="Normal 572 3" xfId="22685"/>
    <cellStyle name="Normal 572 3 2" xfId="49872"/>
    <cellStyle name="Normal 572 3 2 2" xfId="49873"/>
    <cellStyle name="Normal 572 3 2 3" xfId="49874"/>
    <cellStyle name="Normal 572 3 3" xfId="49875"/>
    <cellStyle name="Normal 572 3 3 2" xfId="49876"/>
    <cellStyle name="Normal 572 3 3 3" xfId="49877"/>
    <cellStyle name="Normal 572 3 4" xfId="49878"/>
    <cellStyle name="Normal 572 3 5" xfId="49879"/>
    <cellStyle name="Normal 572 4" xfId="22686"/>
    <cellStyle name="Normal 572 4 2" xfId="49880"/>
    <cellStyle name="Normal 572 4 3" xfId="49881"/>
    <cellStyle name="Normal 572 5" xfId="22687"/>
    <cellStyle name="Normal 572 5 2" xfId="49882"/>
    <cellStyle name="Normal 572 5 3" xfId="49883"/>
    <cellStyle name="Normal 572 6" xfId="49884"/>
    <cellStyle name="Normal 572 7" xfId="49885"/>
    <cellStyle name="Normal 572 8" xfId="49886"/>
    <cellStyle name="Normal 572 9" xfId="49887"/>
    <cellStyle name="Normal 573" xfId="22688"/>
    <cellStyle name="Normal 573 10" xfId="49888"/>
    <cellStyle name="Normal 573 2" xfId="22689"/>
    <cellStyle name="Normal 573 2 2" xfId="22690"/>
    <cellStyle name="Normal 573 2 2 2" xfId="49889"/>
    <cellStyle name="Normal 573 2 2 3" xfId="49890"/>
    <cellStyle name="Normal 573 2 3" xfId="22691"/>
    <cellStyle name="Normal 573 2 3 2" xfId="49891"/>
    <cellStyle name="Normal 573 2 3 3" xfId="49892"/>
    <cellStyle name="Normal 573 2 4" xfId="49893"/>
    <cellStyle name="Normal 573 2 5" xfId="49894"/>
    <cellStyle name="Normal 573 2 6" xfId="49895"/>
    <cellStyle name="Normal 573 2 7" xfId="49896"/>
    <cellStyle name="Normal 573 2 8" xfId="49897"/>
    <cellStyle name="Normal 573 3" xfId="22692"/>
    <cellStyle name="Normal 573 3 2" xfId="49898"/>
    <cellStyle name="Normal 573 3 2 2" xfId="49899"/>
    <cellStyle name="Normal 573 3 2 3" xfId="49900"/>
    <cellStyle name="Normal 573 3 3" xfId="49901"/>
    <cellStyle name="Normal 573 3 3 2" xfId="49902"/>
    <cellStyle name="Normal 573 3 3 3" xfId="49903"/>
    <cellStyle name="Normal 573 3 4" xfId="49904"/>
    <cellStyle name="Normal 573 3 5" xfId="49905"/>
    <cellStyle name="Normal 573 4" xfId="22693"/>
    <cellStyle name="Normal 573 4 2" xfId="49906"/>
    <cellStyle name="Normal 573 4 3" xfId="49907"/>
    <cellStyle name="Normal 573 5" xfId="22694"/>
    <cellStyle name="Normal 573 5 2" xfId="49908"/>
    <cellStyle name="Normal 573 5 3" xfId="49909"/>
    <cellStyle name="Normal 573 6" xfId="49910"/>
    <cellStyle name="Normal 573 7" xfId="49911"/>
    <cellStyle name="Normal 573 8" xfId="49912"/>
    <cellStyle name="Normal 573 9" xfId="49913"/>
    <cellStyle name="Normal 574" xfId="22695"/>
    <cellStyle name="Normal 574 10" xfId="49914"/>
    <cellStyle name="Normal 574 2" xfId="22696"/>
    <cellStyle name="Normal 574 2 2" xfId="22697"/>
    <cellStyle name="Normal 574 2 2 2" xfId="49915"/>
    <cellStyle name="Normal 574 2 2 3" xfId="49916"/>
    <cellStyle name="Normal 574 2 3" xfId="22698"/>
    <cellStyle name="Normal 574 2 3 2" xfId="49917"/>
    <cellStyle name="Normal 574 2 3 3" xfId="49918"/>
    <cellStyle name="Normal 574 2 4" xfId="49919"/>
    <cellStyle name="Normal 574 2 5" xfId="49920"/>
    <cellStyle name="Normal 574 2 6" xfId="49921"/>
    <cellStyle name="Normal 574 2 7" xfId="49922"/>
    <cellStyle name="Normal 574 2 8" xfId="49923"/>
    <cellStyle name="Normal 574 3" xfId="22699"/>
    <cellStyle name="Normal 574 3 2" xfId="49924"/>
    <cellStyle name="Normal 574 3 2 2" xfId="49925"/>
    <cellStyle name="Normal 574 3 2 3" xfId="49926"/>
    <cellStyle name="Normal 574 3 3" xfId="49927"/>
    <cellStyle name="Normal 574 3 3 2" xfId="49928"/>
    <cellStyle name="Normal 574 3 3 3" xfId="49929"/>
    <cellStyle name="Normal 574 3 4" xfId="49930"/>
    <cellStyle name="Normal 574 3 5" xfId="49931"/>
    <cellStyle name="Normal 574 4" xfId="22700"/>
    <cellStyle name="Normal 574 4 2" xfId="49932"/>
    <cellStyle name="Normal 574 4 3" xfId="49933"/>
    <cellStyle name="Normal 574 5" xfId="22701"/>
    <cellStyle name="Normal 574 5 2" xfId="49934"/>
    <cellStyle name="Normal 574 5 3" xfId="49935"/>
    <cellStyle name="Normal 574 6" xfId="49936"/>
    <cellStyle name="Normal 574 7" xfId="49937"/>
    <cellStyle name="Normal 574 8" xfId="49938"/>
    <cellStyle name="Normal 574 9" xfId="49939"/>
    <cellStyle name="Normal 575" xfId="22702"/>
    <cellStyle name="Normal 575 10" xfId="49940"/>
    <cellStyle name="Normal 575 2" xfId="22703"/>
    <cellStyle name="Normal 575 2 2" xfId="22704"/>
    <cellStyle name="Normal 575 2 2 2" xfId="49941"/>
    <cellStyle name="Normal 575 2 2 3" xfId="49942"/>
    <cellStyle name="Normal 575 2 3" xfId="22705"/>
    <cellStyle name="Normal 575 2 3 2" xfId="49943"/>
    <cellStyle name="Normal 575 2 3 3" xfId="49944"/>
    <cellStyle name="Normal 575 2 4" xfId="49945"/>
    <cellStyle name="Normal 575 2 5" xfId="49946"/>
    <cellStyle name="Normal 575 2 6" xfId="49947"/>
    <cellStyle name="Normal 575 2 7" xfId="49948"/>
    <cellStyle name="Normal 575 2 8" xfId="49949"/>
    <cellStyle name="Normal 575 3" xfId="22706"/>
    <cellStyle name="Normal 575 3 2" xfId="49950"/>
    <cellStyle name="Normal 575 3 2 2" xfId="49951"/>
    <cellStyle name="Normal 575 3 2 3" xfId="49952"/>
    <cellStyle name="Normal 575 3 3" xfId="49953"/>
    <cellStyle name="Normal 575 3 3 2" xfId="49954"/>
    <cellStyle name="Normal 575 3 3 3" xfId="49955"/>
    <cellStyle name="Normal 575 3 4" xfId="49956"/>
    <cellStyle name="Normal 575 3 5" xfId="49957"/>
    <cellStyle name="Normal 575 4" xfId="22707"/>
    <cellStyle name="Normal 575 4 2" xfId="49958"/>
    <cellStyle name="Normal 575 4 3" xfId="49959"/>
    <cellStyle name="Normal 575 5" xfId="22708"/>
    <cellStyle name="Normal 575 5 2" xfId="49960"/>
    <cellStyle name="Normal 575 5 3" xfId="49961"/>
    <cellStyle name="Normal 575 6" xfId="49962"/>
    <cellStyle name="Normal 575 7" xfId="49963"/>
    <cellStyle name="Normal 575 8" xfId="49964"/>
    <cellStyle name="Normal 575 9" xfId="49965"/>
    <cellStyle name="Normal 576" xfId="22709"/>
    <cellStyle name="Normal 576 10" xfId="49966"/>
    <cellStyle name="Normal 576 2" xfId="22710"/>
    <cellStyle name="Normal 576 2 2" xfId="22711"/>
    <cellStyle name="Normal 576 2 2 2" xfId="49967"/>
    <cellStyle name="Normal 576 2 2 3" xfId="49968"/>
    <cellStyle name="Normal 576 2 3" xfId="22712"/>
    <cellStyle name="Normal 576 2 3 2" xfId="49969"/>
    <cellStyle name="Normal 576 2 3 3" xfId="49970"/>
    <cellStyle name="Normal 576 2 4" xfId="49971"/>
    <cellStyle name="Normal 576 2 5" xfId="49972"/>
    <cellStyle name="Normal 576 2 6" xfId="49973"/>
    <cellStyle name="Normal 576 2 7" xfId="49974"/>
    <cellStyle name="Normal 576 2 8" xfId="49975"/>
    <cellStyle name="Normal 576 3" xfId="22713"/>
    <cellStyle name="Normal 576 3 2" xfId="49976"/>
    <cellStyle name="Normal 576 3 2 2" xfId="49977"/>
    <cellStyle name="Normal 576 3 2 3" xfId="49978"/>
    <cellStyle name="Normal 576 3 3" xfId="49979"/>
    <cellStyle name="Normal 576 3 3 2" xfId="49980"/>
    <cellStyle name="Normal 576 3 3 3" xfId="49981"/>
    <cellStyle name="Normal 576 3 4" xfId="49982"/>
    <cellStyle name="Normal 576 3 5" xfId="49983"/>
    <cellStyle name="Normal 576 4" xfId="22714"/>
    <cellStyle name="Normal 576 4 2" xfId="49984"/>
    <cellStyle name="Normal 576 4 3" xfId="49985"/>
    <cellStyle name="Normal 576 5" xfId="22715"/>
    <cellStyle name="Normal 576 5 2" xfId="49986"/>
    <cellStyle name="Normal 576 5 3" xfId="49987"/>
    <cellStyle name="Normal 576 6" xfId="49988"/>
    <cellStyle name="Normal 576 7" xfId="49989"/>
    <cellStyle name="Normal 576 8" xfId="49990"/>
    <cellStyle name="Normal 576 9" xfId="49991"/>
    <cellStyle name="Normal 577" xfId="22716"/>
    <cellStyle name="Normal 577 10" xfId="49992"/>
    <cellStyle name="Normal 577 2" xfId="22717"/>
    <cellStyle name="Normal 577 2 2" xfId="22718"/>
    <cellStyle name="Normal 577 2 2 2" xfId="49993"/>
    <cellStyle name="Normal 577 2 2 3" xfId="49994"/>
    <cellStyle name="Normal 577 2 3" xfId="22719"/>
    <cellStyle name="Normal 577 2 3 2" xfId="49995"/>
    <cellStyle name="Normal 577 2 3 3" xfId="49996"/>
    <cellStyle name="Normal 577 2 4" xfId="49997"/>
    <cellStyle name="Normal 577 2 5" xfId="49998"/>
    <cellStyle name="Normal 577 2 6" xfId="49999"/>
    <cellStyle name="Normal 577 2 7" xfId="50000"/>
    <cellStyle name="Normal 577 2 8" xfId="50001"/>
    <cellStyle name="Normal 577 3" xfId="22720"/>
    <cellStyle name="Normal 577 3 2" xfId="50002"/>
    <cellStyle name="Normal 577 3 2 2" xfId="50003"/>
    <cellStyle name="Normal 577 3 2 3" xfId="50004"/>
    <cellStyle name="Normal 577 3 3" xfId="50005"/>
    <cellStyle name="Normal 577 3 3 2" xfId="50006"/>
    <cellStyle name="Normal 577 3 3 3" xfId="50007"/>
    <cellStyle name="Normal 577 3 4" xfId="50008"/>
    <cellStyle name="Normal 577 3 5" xfId="50009"/>
    <cellStyle name="Normal 577 4" xfId="22721"/>
    <cellStyle name="Normal 577 4 2" xfId="50010"/>
    <cellStyle name="Normal 577 4 3" xfId="50011"/>
    <cellStyle name="Normal 577 5" xfId="22722"/>
    <cellStyle name="Normal 577 5 2" xfId="50012"/>
    <cellStyle name="Normal 577 5 3" xfId="50013"/>
    <cellStyle name="Normal 577 6" xfId="50014"/>
    <cellStyle name="Normal 577 7" xfId="50015"/>
    <cellStyle name="Normal 577 8" xfId="50016"/>
    <cellStyle name="Normal 577 9" xfId="50017"/>
    <cellStyle name="Normal 578" xfId="22723"/>
    <cellStyle name="Normal 578 10" xfId="50018"/>
    <cellStyle name="Normal 578 2" xfId="22724"/>
    <cellStyle name="Normal 578 2 2" xfId="22725"/>
    <cellStyle name="Normal 578 2 2 2" xfId="50019"/>
    <cellStyle name="Normal 578 2 2 3" xfId="50020"/>
    <cellStyle name="Normal 578 2 3" xfId="22726"/>
    <cellStyle name="Normal 578 2 3 2" xfId="50021"/>
    <cellStyle name="Normal 578 2 3 3" xfId="50022"/>
    <cellStyle name="Normal 578 2 4" xfId="50023"/>
    <cellStyle name="Normal 578 2 5" xfId="50024"/>
    <cellStyle name="Normal 578 2 6" xfId="50025"/>
    <cellStyle name="Normal 578 2 7" xfId="50026"/>
    <cellStyle name="Normal 578 2 8" xfId="50027"/>
    <cellStyle name="Normal 578 3" xfId="22727"/>
    <cellStyle name="Normal 578 3 2" xfId="50028"/>
    <cellStyle name="Normal 578 3 2 2" xfId="50029"/>
    <cellStyle name="Normal 578 3 2 3" xfId="50030"/>
    <cellStyle name="Normal 578 3 3" xfId="50031"/>
    <cellStyle name="Normal 578 3 3 2" xfId="50032"/>
    <cellStyle name="Normal 578 3 3 3" xfId="50033"/>
    <cellStyle name="Normal 578 3 4" xfId="50034"/>
    <cellStyle name="Normal 578 3 5" xfId="50035"/>
    <cellStyle name="Normal 578 4" xfId="22728"/>
    <cellStyle name="Normal 578 4 2" xfId="50036"/>
    <cellStyle name="Normal 578 4 3" xfId="50037"/>
    <cellStyle name="Normal 578 5" xfId="22729"/>
    <cellStyle name="Normal 578 5 2" xfId="50038"/>
    <cellStyle name="Normal 578 5 3" xfId="50039"/>
    <cellStyle name="Normal 578 6" xfId="50040"/>
    <cellStyle name="Normal 578 7" xfId="50041"/>
    <cellStyle name="Normal 578 8" xfId="50042"/>
    <cellStyle name="Normal 578 9" xfId="50043"/>
    <cellStyle name="Normal 579" xfId="22730"/>
    <cellStyle name="Normal 579 10" xfId="50044"/>
    <cellStyle name="Normal 579 2" xfId="22731"/>
    <cellStyle name="Normal 579 2 2" xfId="22732"/>
    <cellStyle name="Normal 579 2 2 2" xfId="50045"/>
    <cellStyle name="Normal 579 2 2 3" xfId="50046"/>
    <cellStyle name="Normal 579 2 3" xfId="22733"/>
    <cellStyle name="Normal 579 2 3 2" xfId="50047"/>
    <cellStyle name="Normal 579 2 3 3" xfId="50048"/>
    <cellStyle name="Normal 579 2 4" xfId="50049"/>
    <cellStyle name="Normal 579 2 5" xfId="50050"/>
    <cellStyle name="Normal 579 2 6" xfId="50051"/>
    <cellStyle name="Normal 579 2 7" xfId="50052"/>
    <cellStyle name="Normal 579 2 8" xfId="50053"/>
    <cellStyle name="Normal 579 3" xfId="22734"/>
    <cellStyle name="Normal 579 3 2" xfId="50054"/>
    <cellStyle name="Normal 579 3 2 2" xfId="50055"/>
    <cellStyle name="Normal 579 3 2 3" xfId="50056"/>
    <cellStyle name="Normal 579 3 3" xfId="50057"/>
    <cellStyle name="Normal 579 3 3 2" xfId="50058"/>
    <cellStyle name="Normal 579 3 3 3" xfId="50059"/>
    <cellStyle name="Normal 579 3 4" xfId="50060"/>
    <cellStyle name="Normal 579 3 5" xfId="50061"/>
    <cellStyle name="Normal 579 4" xfId="22735"/>
    <cellStyle name="Normal 579 4 2" xfId="50062"/>
    <cellStyle name="Normal 579 4 3" xfId="50063"/>
    <cellStyle name="Normal 579 5" xfId="22736"/>
    <cellStyle name="Normal 579 5 2" xfId="50064"/>
    <cellStyle name="Normal 579 5 3" xfId="50065"/>
    <cellStyle name="Normal 579 6" xfId="50066"/>
    <cellStyle name="Normal 579 7" xfId="50067"/>
    <cellStyle name="Normal 579 8" xfId="50068"/>
    <cellStyle name="Normal 579 9" xfId="50069"/>
    <cellStyle name="Normal 58" xfId="22737"/>
    <cellStyle name="Normal 58 10" xfId="50070"/>
    <cellStyle name="Normal 58 2" xfId="22738"/>
    <cellStyle name="Normal 58 2 2" xfId="22739"/>
    <cellStyle name="Normal 58 2 2 2" xfId="22740"/>
    <cellStyle name="Normal 58 2 2 3" xfId="22741"/>
    <cellStyle name="Normal 58 2 3" xfId="22742"/>
    <cellStyle name="Normal 58 2 3 2" xfId="50071"/>
    <cellStyle name="Normal 58 2 3 3" xfId="50072"/>
    <cellStyle name="Normal 58 2 4" xfId="22743"/>
    <cellStyle name="Normal 58 2 5" xfId="22744"/>
    <cellStyle name="Normal 58 2 6" xfId="50073"/>
    <cellStyle name="Normal 58 2 7" xfId="50074"/>
    <cellStyle name="Normal 58 2 8" xfId="50075"/>
    <cellStyle name="Normal 58 3" xfId="22745"/>
    <cellStyle name="Normal 58 3 2" xfId="22746"/>
    <cellStyle name="Normal 58 3 2 2" xfId="50076"/>
    <cellStyle name="Normal 58 3 2 3" xfId="50077"/>
    <cellStyle name="Normal 58 3 3" xfId="22747"/>
    <cellStyle name="Normal 58 3 3 2" xfId="50078"/>
    <cellStyle name="Normal 58 3 3 3" xfId="50079"/>
    <cellStyle name="Normal 58 3 4" xfId="50080"/>
    <cellStyle name="Normal 58 3 5" xfId="50081"/>
    <cellStyle name="Normal 58 4" xfId="22748"/>
    <cellStyle name="Normal 58 4 2" xfId="50082"/>
    <cellStyle name="Normal 58 4 3" xfId="50083"/>
    <cellStyle name="Normal 58 5" xfId="22749"/>
    <cellStyle name="Normal 58 5 2" xfId="50084"/>
    <cellStyle name="Normal 58 5 3" xfId="50085"/>
    <cellStyle name="Normal 58 6" xfId="22750"/>
    <cellStyle name="Normal 58 7" xfId="50086"/>
    <cellStyle name="Normal 58 8" xfId="50087"/>
    <cellStyle name="Normal 58 9" xfId="50088"/>
    <cellStyle name="Normal 580" xfId="22751"/>
    <cellStyle name="Normal 580 10" xfId="50089"/>
    <cellStyle name="Normal 580 2" xfId="22752"/>
    <cellStyle name="Normal 580 2 2" xfId="22753"/>
    <cellStyle name="Normal 580 2 2 2" xfId="50090"/>
    <cellStyle name="Normal 580 2 2 3" xfId="50091"/>
    <cellStyle name="Normal 580 2 3" xfId="22754"/>
    <cellStyle name="Normal 580 2 3 2" xfId="50092"/>
    <cellStyle name="Normal 580 2 3 3" xfId="50093"/>
    <cellStyle name="Normal 580 2 4" xfId="50094"/>
    <cellStyle name="Normal 580 2 5" xfId="50095"/>
    <cellStyle name="Normal 580 2 6" xfId="50096"/>
    <cellStyle name="Normal 580 2 7" xfId="50097"/>
    <cellStyle name="Normal 580 2 8" xfId="50098"/>
    <cellStyle name="Normal 580 3" xfId="22755"/>
    <cellStyle name="Normal 580 3 2" xfId="50099"/>
    <cellStyle name="Normal 580 3 2 2" xfId="50100"/>
    <cellStyle name="Normal 580 3 2 3" xfId="50101"/>
    <cellStyle name="Normal 580 3 3" xfId="50102"/>
    <cellStyle name="Normal 580 3 3 2" xfId="50103"/>
    <cellStyle name="Normal 580 3 3 3" xfId="50104"/>
    <cellStyle name="Normal 580 3 4" xfId="50105"/>
    <cellStyle name="Normal 580 3 5" xfId="50106"/>
    <cellStyle name="Normal 580 4" xfId="22756"/>
    <cellStyle name="Normal 580 4 2" xfId="50107"/>
    <cellStyle name="Normal 580 4 3" xfId="50108"/>
    <cellStyle name="Normal 580 5" xfId="22757"/>
    <cellStyle name="Normal 580 5 2" xfId="50109"/>
    <cellStyle name="Normal 580 5 3" xfId="50110"/>
    <cellStyle name="Normal 580 6" xfId="50111"/>
    <cellStyle name="Normal 580 7" xfId="50112"/>
    <cellStyle name="Normal 580 8" xfId="50113"/>
    <cellStyle name="Normal 580 9" xfId="50114"/>
    <cellStyle name="Normal 581" xfId="22758"/>
    <cellStyle name="Normal 581 10" xfId="50115"/>
    <cellStyle name="Normal 581 2" xfId="22759"/>
    <cellStyle name="Normal 581 2 2" xfId="22760"/>
    <cellStyle name="Normal 581 2 2 2" xfId="50116"/>
    <cellStyle name="Normal 581 2 2 3" xfId="50117"/>
    <cellStyle name="Normal 581 2 3" xfId="22761"/>
    <cellStyle name="Normal 581 2 3 2" xfId="50118"/>
    <cellStyle name="Normal 581 2 3 3" xfId="50119"/>
    <cellStyle name="Normal 581 2 4" xfId="50120"/>
    <cellStyle name="Normal 581 2 5" xfId="50121"/>
    <cellStyle name="Normal 581 2 6" xfId="50122"/>
    <cellStyle name="Normal 581 2 7" xfId="50123"/>
    <cellStyle name="Normal 581 2 8" xfId="50124"/>
    <cellStyle name="Normal 581 3" xfId="22762"/>
    <cellStyle name="Normal 581 3 2" xfId="50125"/>
    <cellStyle name="Normal 581 3 2 2" xfId="50126"/>
    <cellStyle name="Normal 581 3 2 3" xfId="50127"/>
    <cellStyle name="Normal 581 3 3" xfId="50128"/>
    <cellStyle name="Normal 581 3 3 2" xfId="50129"/>
    <cellStyle name="Normal 581 3 3 3" xfId="50130"/>
    <cellStyle name="Normal 581 3 4" xfId="50131"/>
    <cellStyle name="Normal 581 3 5" xfId="50132"/>
    <cellStyle name="Normal 581 4" xfId="22763"/>
    <cellStyle name="Normal 581 4 2" xfId="50133"/>
    <cellStyle name="Normal 581 4 3" xfId="50134"/>
    <cellStyle name="Normal 581 5" xfId="22764"/>
    <cellStyle name="Normal 581 5 2" xfId="50135"/>
    <cellStyle name="Normal 581 5 3" xfId="50136"/>
    <cellStyle name="Normal 581 6" xfId="50137"/>
    <cellStyle name="Normal 581 7" xfId="50138"/>
    <cellStyle name="Normal 581 8" xfId="50139"/>
    <cellStyle name="Normal 581 9" xfId="50140"/>
    <cellStyle name="Normal 582" xfId="22765"/>
    <cellStyle name="Normal 582 10" xfId="50141"/>
    <cellStyle name="Normal 582 2" xfId="22766"/>
    <cellStyle name="Normal 582 2 2" xfId="22767"/>
    <cellStyle name="Normal 582 2 2 2" xfId="50142"/>
    <cellStyle name="Normal 582 2 2 3" xfId="50143"/>
    <cellStyle name="Normal 582 2 3" xfId="22768"/>
    <cellStyle name="Normal 582 2 3 2" xfId="50144"/>
    <cellStyle name="Normal 582 2 3 3" xfId="50145"/>
    <cellStyle name="Normal 582 2 4" xfId="50146"/>
    <cellStyle name="Normal 582 2 5" xfId="50147"/>
    <cellStyle name="Normal 582 2 6" xfId="50148"/>
    <cellStyle name="Normal 582 2 7" xfId="50149"/>
    <cellStyle name="Normal 582 2 8" xfId="50150"/>
    <cellStyle name="Normal 582 3" xfId="22769"/>
    <cellStyle name="Normal 582 3 2" xfId="50151"/>
    <cellStyle name="Normal 582 3 2 2" xfId="50152"/>
    <cellStyle name="Normal 582 3 2 3" xfId="50153"/>
    <cellStyle name="Normal 582 3 3" xfId="50154"/>
    <cellStyle name="Normal 582 3 3 2" xfId="50155"/>
    <cellStyle name="Normal 582 3 3 3" xfId="50156"/>
    <cellStyle name="Normal 582 3 4" xfId="50157"/>
    <cellStyle name="Normal 582 3 5" xfId="50158"/>
    <cellStyle name="Normal 582 4" xfId="22770"/>
    <cellStyle name="Normal 582 4 2" xfId="50159"/>
    <cellStyle name="Normal 582 4 3" xfId="50160"/>
    <cellStyle name="Normal 582 5" xfId="22771"/>
    <cellStyle name="Normal 582 5 2" xfId="50161"/>
    <cellStyle name="Normal 582 5 3" xfId="50162"/>
    <cellStyle name="Normal 582 6" xfId="50163"/>
    <cellStyle name="Normal 582 7" xfId="50164"/>
    <cellStyle name="Normal 582 8" xfId="50165"/>
    <cellStyle name="Normal 582 9" xfId="50166"/>
    <cellStyle name="Normal 583" xfId="22772"/>
    <cellStyle name="Normal 583 10" xfId="50167"/>
    <cellStyle name="Normal 583 2" xfId="22773"/>
    <cellStyle name="Normal 583 2 2" xfId="22774"/>
    <cellStyle name="Normal 583 2 2 2" xfId="50168"/>
    <cellStyle name="Normal 583 2 2 3" xfId="50169"/>
    <cellStyle name="Normal 583 2 3" xfId="22775"/>
    <cellStyle name="Normal 583 2 3 2" xfId="50170"/>
    <cellStyle name="Normal 583 2 3 3" xfId="50171"/>
    <cellStyle name="Normal 583 2 4" xfId="50172"/>
    <cellStyle name="Normal 583 2 5" xfId="50173"/>
    <cellStyle name="Normal 583 2 6" xfId="50174"/>
    <cellStyle name="Normal 583 2 7" xfId="50175"/>
    <cellStyle name="Normal 583 2 8" xfId="50176"/>
    <cellStyle name="Normal 583 3" xfId="22776"/>
    <cellStyle name="Normal 583 3 2" xfId="50177"/>
    <cellStyle name="Normal 583 3 2 2" xfId="50178"/>
    <cellStyle name="Normal 583 3 2 3" xfId="50179"/>
    <cellStyle name="Normal 583 3 3" xfId="50180"/>
    <cellStyle name="Normal 583 3 3 2" xfId="50181"/>
    <cellStyle name="Normal 583 3 3 3" xfId="50182"/>
    <cellStyle name="Normal 583 3 4" xfId="50183"/>
    <cellStyle name="Normal 583 3 5" xfId="50184"/>
    <cellStyle name="Normal 583 4" xfId="22777"/>
    <cellStyle name="Normal 583 4 2" xfId="50185"/>
    <cellStyle name="Normal 583 4 3" xfId="50186"/>
    <cellStyle name="Normal 583 5" xfId="22778"/>
    <cellStyle name="Normal 583 5 2" xfId="50187"/>
    <cellStyle name="Normal 583 5 3" xfId="50188"/>
    <cellStyle name="Normal 583 6" xfId="50189"/>
    <cellStyle name="Normal 583 7" xfId="50190"/>
    <cellStyle name="Normal 583 8" xfId="50191"/>
    <cellStyle name="Normal 583 9" xfId="50192"/>
    <cellStyle name="Normal 584" xfId="22779"/>
    <cellStyle name="Normal 584 10" xfId="50193"/>
    <cellStyle name="Normal 584 2" xfId="22780"/>
    <cellStyle name="Normal 584 2 2" xfId="22781"/>
    <cellStyle name="Normal 584 2 2 2" xfId="50194"/>
    <cellStyle name="Normal 584 2 2 3" xfId="50195"/>
    <cellStyle name="Normal 584 2 3" xfId="22782"/>
    <cellStyle name="Normal 584 2 3 2" xfId="50196"/>
    <cellStyle name="Normal 584 2 3 3" xfId="50197"/>
    <cellStyle name="Normal 584 2 4" xfId="50198"/>
    <cellStyle name="Normal 584 2 5" xfId="50199"/>
    <cellStyle name="Normal 584 2 6" xfId="50200"/>
    <cellStyle name="Normal 584 2 7" xfId="50201"/>
    <cellStyle name="Normal 584 2 8" xfId="50202"/>
    <cellStyle name="Normal 584 3" xfId="22783"/>
    <cellStyle name="Normal 584 3 2" xfId="50203"/>
    <cellStyle name="Normal 584 3 2 2" xfId="50204"/>
    <cellStyle name="Normal 584 3 2 3" xfId="50205"/>
    <cellStyle name="Normal 584 3 3" xfId="50206"/>
    <cellStyle name="Normal 584 3 3 2" xfId="50207"/>
    <cellStyle name="Normal 584 3 3 3" xfId="50208"/>
    <cellStyle name="Normal 584 3 4" xfId="50209"/>
    <cellStyle name="Normal 584 3 5" xfId="50210"/>
    <cellStyle name="Normal 584 4" xfId="22784"/>
    <cellStyle name="Normal 584 4 2" xfId="50211"/>
    <cellStyle name="Normal 584 4 3" xfId="50212"/>
    <cellStyle name="Normal 584 5" xfId="22785"/>
    <cellStyle name="Normal 584 5 2" xfId="50213"/>
    <cellStyle name="Normal 584 5 3" xfId="50214"/>
    <cellStyle name="Normal 584 6" xfId="50215"/>
    <cellStyle name="Normal 584 7" xfId="50216"/>
    <cellStyle name="Normal 584 8" xfId="50217"/>
    <cellStyle name="Normal 584 9" xfId="50218"/>
    <cellStyle name="Normal 585" xfId="22786"/>
    <cellStyle name="Normal 585 10" xfId="50219"/>
    <cellStyle name="Normal 585 2" xfId="22787"/>
    <cellStyle name="Normal 585 2 2" xfId="22788"/>
    <cellStyle name="Normal 585 2 2 2" xfId="50220"/>
    <cellStyle name="Normal 585 2 2 3" xfId="50221"/>
    <cellStyle name="Normal 585 2 3" xfId="22789"/>
    <cellStyle name="Normal 585 2 3 2" xfId="50222"/>
    <cellStyle name="Normal 585 2 3 3" xfId="50223"/>
    <cellStyle name="Normal 585 2 4" xfId="50224"/>
    <cellStyle name="Normal 585 2 5" xfId="50225"/>
    <cellStyle name="Normal 585 2 6" xfId="50226"/>
    <cellStyle name="Normal 585 2 7" xfId="50227"/>
    <cellStyle name="Normal 585 2 8" xfId="50228"/>
    <cellStyle name="Normal 585 3" xfId="22790"/>
    <cellStyle name="Normal 585 3 2" xfId="50229"/>
    <cellStyle name="Normal 585 3 2 2" xfId="50230"/>
    <cellStyle name="Normal 585 3 2 3" xfId="50231"/>
    <cellStyle name="Normal 585 3 3" xfId="50232"/>
    <cellStyle name="Normal 585 3 3 2" xfId="50233"/>
    <cellStyle name="Normal 585 3 3 3" xfId="50234"/>
    <cellStyle name="Normal 585 3 4" xfId="50235"/>
    <cellStyle name="Normal 585 3 5" xfId="50236"/>
    <cellStyle name="Normal 585 4" xfId="22791"/>
    <cellStyle name="Normal 585 4 2" xfId="50237"/>
    <cellStyle name="Normal 585 4 3" xfId="50238"/>
    <cellStyle name="Normal 585 5" xfId="22792"/>
    <cellStyle name="Normal 585 5 2" xfId="50239"/>
    <cellStyle name="Normal 585 5 3" xfId="50240"/>
    <cellStyle name="Normal 585 6" xfId="50241"/>
    <cellStyle name="Normal 585 7" xfId="50242"/>
    <cellStyle name="Normal 585 8" xfId="50243"/>
    <cellStyle name="Normal 585 9" xfId="50244"/>
    <cellStyle name="Normal 586" xfId="22793"/>
    <cellStyle name="Normal 586 10" xfId="50245"/>
    <cellStyle name="Normal 586 2" xfId="22794"/>
    <cellStyle name="Normal 586 2 2" xfId="22795"/>
    <cellStyle name="Normal 586 2 2 2" xfId="50246"/>
    <cellStyle name="Normal 586 2 2 3" xfId="50247"/>
    <cellStyle name="Normal 586 2 3" xfId="22796"/>
    <cellStyle name="Normal 586 2 3 2" xfId="50248"/>
    <cellStyle name="Normal 586 2 3 3" xfId="50249"/>
    <cellStyle name="Normal 586 2 4" xfId="50250"/>
    <cellStyle name="Normal 586 2 5" xfId="50251"/>
    <cellStyle name="Normal 586 2 6" xfId="50252"/>
    <cellStyle name="Normal 586 2 7" xfId="50253"/>
    <cellStyle name="Normal 586 2 8" xfId="50254"/>
    <cellStyle name="Normal 586 3" xfId="22797"/>
    <cellStyle name="Normal 586 3 2" xfId="50255"/>
    <cellStyle name="Normal 586 3 2 2" xfId="50256"/>
    <cellStyle name="Normal 586 3 2 3" xfId="50257"/>
    <cellStyle name="Normal 586 3 3" xfId="50258"/>
    <cellStyle name="Normal 586 3 3 2" xfId="50259"/>
    <cellStyle name="Normal 586 3 3 3" xfId="50260"/>
    <cellStyle name="Normal 586 3 4" xfId="50261"/>
    <cellStyle name="Normal 586 3 5" xfId="50262"/>
    <cellStyle name="Normal 586 4" xfId="22798"/>
    <cellStyle name="Normal 586 4 2" xfId="50263"/>
    <cellStyle name="Normal 586 4 3" xfId="50264"/>
    <cellStyle name="Normal 586 5" xfId="22799"/>
    <cellStyle name="Normal 586 5 2" xfId="50265"/>
    <cellStyle name="Normal 586 5 3" xfId="50266"/>
    <cellStyle name="Normal 586 6" xfId="50267"/>
    <cellStyle name="Normal 586 7" xfId="50268"/>
    <cellStyle name="Normal 586 8" xfId="50269"/>
    <cellStyle name="Normal 586 9" xfId="50270"/>
    <cellStyle name="Normal 587" xfId="22800"/>
    <cellStyle name="Normal 587 10" xfId="50271"/>
    <cellStyle name="Normal 587 2" xfId="22801"/>
    <cellStyle name="Normal 587 2 2" xfId="22802"/>
    <cellStyle name="Normal 587 2 2 2" xfId="50272"/>
    <cellStyle name="Normal 587 2 2 3" xfId="50273"/>
    <cellStyle name="Normal 587 2 3" xfId="22803"/>
    <cellStyle name="Normal 587 2 3 2" xfId="50274"/>
    <cellStyle name="Normal 587 2 3 3" xfId="50275"/>
    <cellStyle name="Normal 587 2 4" xfId="50276"/>
    <cellStyle name="Normal 587 2 5" xfId="50277"/>
    <cellStyle name="Normal 587 2 6" xfId="50278"/>
    <cellStyle name="Normal 587 2 7" xfId="50279"/>
    <cellStyle name="Normal 587 2 8" xfId="50280"/>
    <cellStyle name="Normal 587 3" xfId="22804"/>
    <cellStyle name="Normal 587 3 2" xfId="50281"/>
    <cellStyle name="Normal 587 3 2 2" xfId="50282"/>
    <cellStyle name="Normal 587 3 2 3" xfId="50283"/>
    <cellStyle name="Normal 587 3 3" xfId="50284"/>
    <cellStyle name="Normal 587 3 3 2" xfId="50285"/>
    <cellStyle name="Normal 587 3 3 3" xfId="50286"/>
    <cellStyle name="Normal 587 3 4" xfId="50287"/>
    <cellStyle name="Normal 587 3 5" xfId="50288"/>
    <cellStyle name="Normal 587 4" xfId="22805"/>
    <cellStyle name="Normal 587 4 2" xfId="50289"/>
    <cellStyle name="Normal 587 4 3" xfId="50290"/>
    <cellStyle name="Normal 587 5" xfId="22806"/>
    <cellStyle name="Normal 587 5 2" xfId="50291"/>
    <cellStyle name="Normal 587 5 3" xfId="50292"/>
    <cellStyle name="Normal 587 6" xfId="50293"/>
    <cellStyle name="Normal 587 7" xfId="50294"/>
    <cellStyle name="Normal 587 8" xfId="50295"/>
    <cellStyle name="Normal 587 9" xfId="50296"/>
    <cellStyle name="Normal 588" xfId="22807"/>
    <cellStyle name="Normal 588 10" xfId="50297"/>
    <cellStyle name="Normal 588 2" xfId="22808"/>
    <cellStyle name="Normal 588 2 2" xfId="22809"/>
    <cellStyle name="Normal 588 2 2 2" xfId="50298"/>
    <cellStyle name="Normal 588 2 2 3" xfId="50299"/>
    <cellStyle name="Normal 588 2 3" xfId="22810"/>
    <cellStyle name="Normal 588 2 3 2" xfId="50300"/>
    <cellStyle name="Normal 588 2 3 3" xfId="50301"/>
    <cellStyle name="Normal 588 2 4" xfId="50302"/>
    <cellStyle name="Normal 588 2 5" xfId="50303"/>
    <cellStyle name="Normal 588 2 6" xfId="50304"/>
    <cellStyle name="Normal 588 2 7" xfId="50305"/>
    <cellStyle name="Normal 588 2 8" xfId="50306"/>
    <cellStyle name="Normal 588 3" xfId="22811"/>
    <cellStyle name="Normal 588 3 2" xfId="50307"/>
    <cellStyle name="Normal 588 3 2 2" xfId="50308"/>
    <cellStyle name="Normal 588 3 2 3" xfId="50309"/>
    <cellStyle name="Normal 588 3 3" xfId="50310"/>
    <cellStyle name="Normal 588 3 3 2" xfId="50311"/>
    <cellStyle name="Normal 588 3 3 3" xfId="50312"/>
    <cellStyle name="Normal 588 3 4" xfId="50313"/>
    <cellStyle name="Normal 588 3 5" xfId="50314"/>
    <cellStyle name="Normal 588 4" xfId="22812"/>
    <cellStyle name="Normal 588 4 2" xfId="50315"/>
    <cellStyle name="Normal 588 4 3" xfId="50316"/>
    <cellStyle name="Normal 588 5" xfId="22813"/>
    <cellStyle name="Normal 588 5 2" xfId="50317"/>
    <cellStyle name="Normal 588 5 3" xfId="50318"/>
    <cellStyle name="Normal 588 6" xfId="50319"/>
    <cellStyle name="Normal 588 7" xfId="50320"/>
    <cellStyle name="Normal 588 8" xfId="50321"/>
    <cellStyle name="Normal 588 9" xfId="50322"/>
    <cellStyle name="Normal 589" xfId="22814"/>
    <cellStyle name="Normal 589 10" xfId="50323"/>
    <cellStyle name="Normal 589 2" xfId="22815"/>
    <cellStyle name="Normal 589 2 2" xfId="22816"/>
    <cellStyle name="Normal 589 2 2 2" xfId="50324"/>
    <cellStyle name="Normal 589 2 2 3" xfId="50325"/>
    <cellStyle name="Normal 589 2 3" xfId="22817"/>
    <cellStyle name="Normal 589 2 3 2" xfId="50326"/>
    <cellStyle name="Normal 589 2 3 3" xfId="50327"/>
    <cellStyle name="Normal 589 2 4" xfId="50328"/>
    <cellStyle name="Normal 589 2 5" xfId="50329"/>
    <cellStyle name="Normal 589 2 6" xfId="50330"/>
    <cellStyle name="Normal 589 2 7" xfId="50331"/>
    <cellStyle name="Normal 589 2 8" xfId="50332"/>
    <cellStyle name="Normal 589 3" xfId="22818"/>
    <cellStyle name="Normal 589 3 2" xfId="50333"/>
    <cellStyle name="Normal 589 3 2 2" xfId="50334"/>
    <cellStyle name="Normal 589 3 2 3" xfId="50335"/>
    <cellStyle name="Normal 589 3 3" xfId="50336"/>
    <cellStyle name="Normal 589 3 3 2" xfId="50337"/>
    <cellStyle name="Normal 589 3 3 3" xfId="50338"/>
    <cellStyle name="Normal 589 3 4" xfId="50339"/>
    <cellStyle name="Normal 589 3 5" xfId="50340"/>
    <cellStyle name="Normal 589 4" xfId="22819"/>
    <cellStyle name="Normal 589 4 2" xfId="50341"/>
    <cellStyle name="Normal 589 4 3" xfId="50342"/>
    <cellStyle name="Normal 589 5" xfId="22820"/>
    <cellStyle name="Normal 589 5 2" xfId="50343"/>
    <cellStyle name="Normal 589 5 3" xfId="50344"/>
    <cellStyle name="Normal 589 6" xfId="50345"/>
    <cellStyle name="Normal 589 7" xfId="50346"/>
    <cellStyle name="Normal 589 8" xfId="50347"/>
    <cellStyle name="Normal 589 9" xfId="50348"/>
    <cellStyle name="Normal 59" xfId="22821"/>
    <cellStyle name="Normal 59 10" xfId="50349"/>
    <cellStyle name="Normal 59 2" xfId="22822"/>
    <cellStyle name="Normal 59 2 2" xfId="22823"/>
    <cellStyle name="Normal 59 2 2 2" xfId="22824"/>
    <cellStyle name="Normal 59 2 2 3" xfId="22825"/>
    <cellStyle name="Normal 59 2 3" xfId="22826"/>
    <cellStyle name="Normal 59 2 3 2" xfId="50350"/>
    <cellStyle name="Normal 59 2 3 3" xfId="50351"/>
    <cellStyle name="Normal 59 2 4" xfId="22827"/>
    <cellStyle name="Normal 59 2 5" xfId="22828"/>
    <cellStyle name="Normal 59 2 6" xfId="50352"/>
    <cellStyle name="Normal 59 2 7" xfId="50353"/>
    <cellStyle name="Normal 59 2 8" xfId="50354"/>
    <cellStyle name="Normal 59 3" xfId="22829"/>
    <cellStyle name="Normal 59 3 2" xfId="22830"/>
    <cellStyle name="Normal 59 3 2 2" xfId="50355"/>
    <cellStyle name="Normal 59 3 2 3" xfId="50356"/>
    <cellStyle name="Normal 59 3 3" xfId="22831"/>
    <cellStyle name="Normal 59 3 3 2" xfId="50357"/>
    <cellStyle name="Normal 59 3 3 3" xfId="50358"/>
    <cellStyle name="Normal 59 3 4" xfId="50359"/>
    <cellStyle name="Normal 59 3 5" xfId="50360"/>
    <cellStyle name="Normal 59 4" xfId="22832"/>
    <cellStyle name="Normal 59 4 2" xfId="50361"/>
    <cellStyle name="Normal 59 4 3" xfId="50362"/>
    <cellStyle name="Normal 59 5" xfId="22833"/>
    <cellStyle name="Normal 59 5 2" xfId="50363"/>
    <cellStyle name="Normal 59 5 3" xfId="50364"/>
    <cellStyle name="Normal 59 6" xfId="22834"/>
    <cellStyle name="Normal 59 7" xfId="50365"/>
    <cellStyle name="Normal 59 8" xfId="50366"/>
    <cellStyle name="Normal 59 9" xfId="50367"/>
    <cellStyle name="Normal 590" xfId="22835"/>
    <cellStyle name="Normal 590 10" xfId="50368"/>
    <cellStyle name="Normal 590 2" xfId="22836"/>
    <cellStyle name="Normal 590 2 2" xfId="22837"/>
    <cellStyle name="Normal 590 2 2 2" xfId="50369"/>
    <cellStyle name="Normal 590 2 2 3" xfId="50370"/>
    <cellStyle name="Normal 590 2 3" xfId="22838"/>
    <cellStyle name="Normal 590 2 3 2" xfId="50371"/>
    <cellStyle name="Normal 590 2 3 3" xfId="50372"/>
    <cellStyle name="Normal 590 2 4" xfId="50373"/>
    <cellStyle name="Normal 590 2 5" xfId="50374"/>
    <cellStyle name="Normal 590 2 6" xfId="50375"/>
    <cellStyle name="Normal 590 2 7" xfId="50376"/>
    <cellStyle name="Normal 590 2 8" xfId="50377"/>
    <cellStyle name="Normal 590 3" xfId="22839"/>
    <cellStyle name="Normal 590 3 2" xfId="50378"/>
    <cellStyle name="Normal 590 3 2 2" xfId="50379"/>
    <cellStyle name="Normal 590 3 2 3" xfId="50380"/>
    <cellStyle name="Normal 590 3 3" xfId="50381"/>
    <cellStyle name="Normal 590 3 3 2" xfId="50382"/>
    <cellStyle name="Normal 590 3 3 3" xfId="50383"/>
    <cellStyle name="Normal 590 3 4" xfId="50384"/>
    <cellStyle name="Normal 590 3 5" xfId="50385"/>
    <cellStyle name="Normal 590 4" xfId="22840"/>
    <cellStyle name="Normal 590 4 2" xfId="50386"/>
    <cellStyle name="Normal 590 4 3" xfId="50387"/>
    <cellStyle name="Normal 590 5" xfId="22841"/>
    <cellStyle name="Normal 590 5 2" xfId="50388"/>
    <cellStyle name="Normal 590 5 3" xfId="50389"/>
    <cellStyle name="Normal 590 6" xfId="50390"/>
    <cellStyle name="Normal 590 7" xfId="50391"/>
    <cellStyle name="Normal 590 8" xfId="50392"/>
    <cellStyle name="Normal 590 9" xfId="50393"/>
    <cellStyle name="Normal 591" xfId="22842"/>
    <cellStyle name="Normal 591 10" xfId="50394"/>
    <cellStyle name="Normal 591 2" xfId="22843"/>
    <cellStyle name="Normal 591 2 2" xfId="22844"/>
    <cellStyle name="Normal 591 2 2 2" xfId="50395"/>
    <cellStyle name="Normal 591 2 2 3" xfId="50396"/>
    <cellStyle name="Normal 591 2 3" xfId="22845"/>
    <cellStyle name="Normal 591 2 3 2" xfId="50397"/>
    <cellStyle name="Normal 591 2 3 3" xfId="50398"/>
    <cellStyle name="Normal 591 2 4" xfId="50399"/>
    <cellStyle name="Normal 591 2 5" xfId="50400"/>
    <cellStyle name="Normal 591 2 6" xfId="50401"/>
    <cellStyle name="Normal 591 2 7" xfId="50402"/>
    <cellStyle name="Normal 591 2 8" xfId="50403"/>
    <cellStyle name="Normal 591 3" xfId="22846"/>
    <cellStyle name="Normal 591 3 2" xfId="50404"/>
    <cellStyle name="Normal 591 3 2 2" xfId="50405"/>
    <cellStyle name="Normal 591 3 2 3" xfId="50406"/>
    <cellStyle name="Normal 591 3 3" xfId="50407"/>
    <cellStyle name="Normal 591 3 3 2" xfId="50408"/>
    <cellStyle name="Normal 591 3 3 3" xfId="50409"/>
    <cellStyle name="Normal 591 3 4" xfId="50410"/>
    <cellStyle name="Normal 591 3 5" xfId="50411"/>
    <cellStyle name="Normal 591 4" xfId="22847"/>
    <cellStyle name="Normal 591 4 2" xfId="50412"/>
    <cellStyle name="Normal 591 4 3" xfId="50413"/>
    <cellStyle name="Normal 591 5" xfId="22848"/>
    <cellStyle name="Normal 591 5 2" xfId="50414"/>
    <cellStyle name="Normal 591 5 3" xfId="50415"/>
    <cellStyle name="Normal 591 6" xfId="50416"/>
    <cellStyle name="Normal 591 7" xfId="50417"/>
    <cellStyle name="Normal 591 8" xfId="50418"/>
    <cellStyle name="Normal 591 9" xfId="50419"/>
    <cellStyle name="Normal 592" xfId="22849"/>
    <cellStyle name="Normal 592 10" xfId="50420"/>
    <cellStyle name="Normal 592 2" xfId="22850"/>
    <cellStyle name="Normal 592 2 2" xfId="22851"/>
    <cellStyle name="Normal 592 2 2 2" xfId="50421"/>
    <cellStyle name="Normal 592 2 2 3" xfId="50422"/>
    <cellStyle name="Normal 592 2 3" xfId="22852"/>
    <cellStyle name="Normal 592 2 3 2" xfId="50423"/>
    <cellStyle name="Normal 592 2 3 3" xfId="50424"/>
    <cellStyle name="Normal 592 2 4" xfId="50425"/>
    <cellStyle name="Normal 592 2 5" xfId="50426"/>
    <cellStyle name="Normal 592 2 6" xfId="50427"/>
    <cellStyle name="Normal 592 2 7" xfId="50428"/>
    <cellStyle name="Normal 592 2 8" xfId="50429"/>
    <cellStyle name="Normal 592 3" xfId="22853"/>
    <cellStyle name="Normal 592 3 2" xfId="50430"/>
    <cellStyle name="Normal 592 3 2 2" xfId="50431"/>
    <cellStyle name="Normal 592 3 2 3" xfId="50432"/>
    <cellStyle name="Normal 592 3 3" xfId="50433"/>
    <cellStyle name="Normal 592 3 3 2" xfId="50434"/>
    <cellStyle name="Normal 592 3 3 3" xfId="50435"/>
    <cellStyle name="Normal 592 3 4" xfId="50436"/>
    <cellStyle name="Normal 592 3 5" xfId="50437"/>
    <cellStyle name="Normal 592 4" xfId="22854"/>
    <cellStyle name="Normal 592 4 2" xfId="50438"/>
    <cellStyle name="Normal 592 4 3" xfId="50439"/>
    <cellStyle name="Normal 592 5" xfId="22855"/>
    <cellStyle name="Normal 592 5 2" xfId="50440"/>
    <cellStyle name="Normal 592 5 3" xfId="50441"/>
    <cellStyle name="Normal 592 6" xfId="50442"/>
    <cellStyle name="Normal 592 7" xfId="50443"/>
    <cellStyle name="Normal 592 8" xfId="50444"/>
    <cellStyle name="Normal 592 9" xfId="50445"/>
    <cellStyle name="Normal 593" xfId="22856"/>
    <cellStyle name="Normal 593 10" xfId="50446"/>
    <cellStyle name="Normal 593 2" xfId="22857"/>
    <cellStyle name="Normal 593 2 2" xfId="22858"/>
    <cellStyle name="Normal 593 2 2 2" xfId="50447"/>
    <cellStyle name="Normal 593 2 2 3" xfId="50448"/>
    <cellStyle name="Normal 593 2 3" xfId="22859"/>
    <cellStyle name="Normal 593 2 3 2" xfId="50449"/>
    <cellStyle name="Normal 593 2 3 3" xfId="50450"/>
    <cellStyle name="Normal 593 2 4" xfId="50451"/>
    <cellStyle name="Normal 593 2 5" xfId="50452"/>
    <cellStyle name="Normal 593 2 6" xfId="50453"/>
    <cellStyle name="Normal 593 2 7" xfId="50454"/>
    <cellStyle name="Normal 593 2 8" xfId="50455"/>
    <cellStyle name="Normal 593 3" xfId="22860"/>
    <cellStyle name="Normal 593 3 2" xfId="50456"/>
    <cellStyle name="Normal 593 3 2 2" xfId="50457"/>
    <cellStyle name="Normal 593 3 2 3" xfId="50458"/>
    <cellStyle name="Normal 593 3 3" xfId="50459"/>
    <cellStyle name="Normal 593 3 3 2" xfId="50460"/>
    <cellStyle name="Normal 593 3 3 3" xfId="50461"/>
    <cellStyle name="Normal 593 3 4" xfId="50462"/>
    <cellStyle name="Normal 593 3 5" xfId="50463"/>
    <cellStyle name="Normal 593 4" xfId="22861"/>
    <cellStyle name="Normal 593 4 2" xfId="50464"/>
    <cellStyle name="Normal 593 4 3" xfId="50465"/>
    <cellStyle name="Normal 593 5" xfId="22862"/>
    <cellStyle name="Normal 593 5 2" xfId="50466"/>
    <cellStyle name="Normal 593 5 3" xfId="50467"/>
    <cellStyle name="Normal 593 6" xfId="50468"/>
    <cellStyle name="Normal 593 7" xfId="50469"/>
    <cellStyle name="Normal 593 8" xfId="50470"/>
    <cellStyle name="Normal 593 9" xfId="50471"/>
    <cellStyle name="Normal 594" xfId="22863"/>
    <cellStyle name="Normal 594 10" xfId="50472"/>
    <cellStyle name="Normal 594 2" xfId="22864"/>
    <cellStyle name="Normal 594 2 2" xfId="22865"/>
    <cellStyle name="Normal 594 2 2 2" xfId="50473"/>
    <cellStyle name="Normal 594 2 2 3" xfId="50474"/>
    <cellStyle name="Normal 594 2 3" xfId="22866"/>
    <cellStyle name="Normal 594 2 3 2" xfId="50475"/>
    <cellStyle name="Normal 594 2 3 3" xfId="50476"/>
    <cellStyle name="Normal 594 2 4" xfId="50477"/>
    <cellStyle name="Normal 594 2 5" xfId="50478"/>
    <cellStyle name="Normal 594 2 6" xfId="50479"/>
    <cellStyle name="Normal 594 2 7" xfId="50480"/>
    <cellStyle name="Normal 594 2 8" xfId="50481"/>
    <cellStyle name="Normal 594 3" xfId="22867"/>
    <cellStyle name="Normal 594 3 2" xfId="50482"/>
    <cellStyle name="Normal 594 3 2 2" xfId="50483"/>
    <cellStyle name="Normal 594 3 2 3" xfId="50484"/>
    <cellStyle name="Normal 594 3 3" xfId="50485"/>
    <cellStyle name="Normal 594 3 3 2" xfId="50486"/>
    <cellStyle name="Normal 594 3 3 3" xfId="50487"/>
    <cellStyle name="Normal 594 3 4" xfId="50488"/>
    <cellStyle name="Normal 594 3 5" xfId="50489"/>
    <cellStyle name="Normal 594 4" xfId="22868"/>
    <cellStyle name="Normal 594 4 2" xfId="50490"/>
    <cellStyle name="Normal 594 4 3" xfId="50491"/>
    <cellStyle name="Normal 594 5" xfId="22869"/>
    <cellStyle name="Normal 594 5 2" xfId="50492"/>
    <cellStyle name="Normal 594 5 3" xfId="50493"/>
    <cellStyle name="Normal 594 6" xfId="50494"/>
    <cellStyle name="Normal 594 7" xfId="50495"/>
    <cellStyle name="Normal 594 8" xfId="50496"/>
    <cellStyle name="Normal 594 9" xfId="50497"/>
    <cellStyle name="Normal 595" xfId="22870"/>
    <cellStyle name="Normal 595 10" xfId="50498"/>
    <cellStyle name="Normal 595 2" xfId="22871"/>
    <cellStyle name="Normal 595 2 2" xfId="22872"/>
    <cellStyle name="Normal 595 2 2 2" xfId="50499"/>
    <cellStyle name="Normal 595 2 2 3" xfId="50500"/>
    <cellStyle name="Normal 595 2 3" xfId="22873"/>
    <cellStyle name="Normal 595 2 3 2" xfId="50501"/>
    <cellStyle name="Normal 595 2 3 3" xfId="50502"/>
    <cellStyle name="Normal 595 2 4" xfId="50503"/>
    <cellStyle name="Normal 595 2 5" xfId="50504"/>
    <cellStyle name="Normal 595 2 6" xfId="50505"/>
    <cellStyle name="Normal 595 2 7" xfId="50506"/>
    <cellStyle name="Normal 595 2 8" xfId="50507"/>
    <cellStyle name="Normal 595 3" xfId="22874"/>
    <cellStyle name="Normal 595 3 2" xfId="50508"/>
    <cellStyle name="Normal 595 3 2 2" xfId="50509"/>
    <cellStyle name="Normal 595 3 2 3" xfId="50510"/>
    <cellStyle name="Normal 595 3 3" xfId="50511"/>
    <cellStyle name="Normal 595 3 3 2" xfId="50512"/>
    <cellStyle name="Normal 595 3 3 3" xfId="50513"/>
    <cellStyle name="Normal 595 3 4" xfId="50514"/>
    <cellStyle name="Normal 595 3 5" xfId="50515"/>
    <cellStyle name="Normal 595 4" xfId="22875"/>
    <cellStyle name="Normal 595 4 2" xfId="50516"/>
    <cellStyle name="Normal 595 4 3" xfId="50517"/>
    <cellStyle name="Normal 595 5" xfId="22876"/>
    <cellStyle name="Normal 595 5 2" xfId="50518"/>
    <cellStyle name="Normal 595 5 3" xfId="50519"/>
    <cellStyle name="Normal 595 6" xfId="50520"/>
    <cellStyle name="Normal 595 7" xfId="50521"/>
    <cellStyle name="Normal 595 8" xfId="50522"/>
    <cellStyle name="Normal 595 9" xfId="50523"/>
    <cellStyle name="Normal 596" xfId="22877"/>
    <cellStyle name="Normal 596 10" xfId="50524"/>
    <cellStyle name="Normal 596 2" xfId="22878"/>
    <cellStyle name="Normal 596 2 2" xfId="22879"/>
    <cellStyle name="Normal 596 2 2 2" xfId="50525"/>
    <cellStyle name="Normal 596 2 2 3" xfId="50526"/>
    <cellStyle name="Normal 596 2 3" xfId="22880"/>
    <cellStyle name="Normal 596 2 3 2" xfId="50527"/>
    <cellStyle name="Normal 596 2 3 3" xfId="50528"/>
    <cellStyle name="Normal 596 2 4" xfId="50529"/>
    <cellStyle name="Normal 596 2 5" xfId="50530"/>
    <cellStyle name="Normal 596 2 6" xfId="50531"/>
    <cellStyle name="Normal 596 2 7" xfId="50532"/>
    <cellStyle name="Normal 596 2 8" xfId="50533"/>
    <cellStyle name="Normal 596 3" xfId="22881"/>
    <cellStyle name="Normal 596 3 2" xfId="50534"/>
    <cellStyle name="Normal 596 3 2 2" xfId="50535"/>
    <cellStyle name="Normal 596 3 2 3" xfId="50536"/>
    <cellStyle name="Normal 596 3 3" xfId="50537"/>
    <cellStyle name="Normal 596 3 3 2" xfId="50538"/>
    <cellStyle name="Normal 596 3 3 3" xfId="50539"/>
    <cellStyle name="Normal 596 3 4" xfId="50540"/>
    <cellStyle name="Normal 596 3 5" xfId="50541"/>
    <cellStyle name="Normal 596 4" xfId="22882"/>
    <cellStyle name="Normal 596 4 2" xfId="50542"/>
    <cellStyle name="Normal 596 4 3" xfId="50543"/>
    <cellStyle name="Normal 596 5" xfId="22883"/>
    <cellStyle name="Normal 596 5 2" xfId="50544"/>
    <cellStyle name="Normal 596 5 3" xfId="50545"/>
    <cellStyle name="Normal 596 6" xfId="50546"/>
    <cellStyle name="Normal 596 7" xfId="50547"/>
    <cellStyle name="Normal 596 8" xfId="50548"/>
    <cellStyle name="Normal 596 9" xfId="50549"/>
    <cellStyle name="Normal 597" xfId="22884"/>
    <cellStyle name="Normal 597 10" xfId="50550"/>
    <cellStyle name="Normal 597 2" xfId="22885"/>
    <cellStyle name="Normal 597 2 2" xfId="22886"/>
    <cellStyle name="Normal 597 2 2 2" xfId="50551"/>
    <cellStyle name="Normal 597 2 2 3" xfId="50552"/>
    <cellStyle name="Normal 597 2 3" xfId="22887"/>
    <cellStyle name="Normal 597 2 3 2" xfId="50553"/>
    <cellStyle name="Normal 597 2 3 3" xfId="50554"/>
    <cellStyle name="Normal 597 2 4" xfId="50555"/>
    <cellStyle name="Normal 597 2 5" xfId="50556"/>
    <cellStyle name="Normal 597 2 6" xfId="50557"/>
    <cellStyle name="Normal 597 2 7" xfId="50558"/>
    <cellStyle name="Normal 597 2 8" xfId="50559"/>
    <cellStyle name="Normal 597 3" xfId="22888"/>
    <cellStyle name="Normal 597 3 2" xfId="50560"/>
    <cellStyle name="Normal 597 3 2 2" xfId="50561"/>
    <cellStyle name="Normal 597 3 2 3" xfId="50562"/>
    <cellStyle name="Normal 597 3 3" xfId="50563"/>
    <cellStyle name="Normal 597 3 3 2" xfId="50564"/>
    <cellStyle name="Normal 597 3 3 3" xfId="50565"/>
    <cellStyle name="Normal 597 3 4" xfId="50566"/>
    <cellStyle name="Normal 597 3 5" xfId="50567"/>
    <cellStyle name="Normal 597 4" xfId="22889"/>
    <cellStyle name="Normal 597 4 2" xfId="50568"/>
    <cellStyle name="Normal 597 4 3" xfId="50569"/>
    <cellStyle name="Normal 597 5" xfId="22890"/>
    <cellStyle name="Normal 597 5 2" xfId="50570"/>
    <cellStyle name="Normal 597 5 3" xfId="50571"/>
    <cellStyle name="Normal 597 6" xfId="50572"/>
    <cellStyle name="Normal 597 7" xfId="50573"/>
    <cellStyle name="Normal 597 8" xfId="50574"/>
    <cellStyle name="Normal 597 9" xfId="50575"/>
    <cellStyle name="Normal 598" xfId="22891"/>
    <cellStyle name="Normal 598 10" xfId="50576"/>
    <cellStyle name="Normal 598 2" xfId="22892"/>
    <cellStyle name="Normal 598 2 2" xfId="22893"/>
    <cellStyle name="Normal 598 2 2 2" xfId="50577"/>
    <cellStyle name="Normal 598 2 2 3" xfId="50578"/>
    <cellStyle name="Normal 598 2 3" xfId="22894"/>
    <cellStyle name="Normal 598 2 3 2" xfId="50579"/>
    <cellStyle name="Normal 598 2 3 3" xfId="50580"/>
    <cellStyle name="Normal 598 2 4" xfId="50581"/>
    <cellStyle name="Normal 598 2 5" xfId="50582"/>
    <cellStyle name="Normal 598 2 6" xfId="50583"/>
    <cellStyle name="Normal 598 2 7" xfId="50584"/>
    <cellStyle name="Normal 598 2 8" xfId="50585"/>
    <cellStyle name="Normal 598 3" xfId="22895"/>
    <cellStyle name="Normal 598 3 2" xfId="50586"/>
    <cellStyle name="Normal 598 3 2 2" xfId="50587"/>
    <cellStyle name="Normal 598 3 2 3" xfId="50588"/>
    <cellStyle name="Normal 598 3 3" xfId="50589"/>
    <cellStyle name="Normal 598 3 3 2" xfId="50590"/>
    <cellStyle name="Normal 598 3 3 3" xfId="50591"/>
    <cellStyle name="Normal 598 3 4" xfId="50592"/>
    <cellStyle name="Normal 598 3 5" xfId="50593"/>
    <cellStyle name="Normal 598 4" xfId="22896"/>
    <cellStyle name="Normal 598 4 2" xfId="50594"/>
    <cellStyle name="Normal 598 4 3" xfId="50595"/>
    <cellStyle name="Normal 598 5" xfId="22897"/>
    <cellStyle name="Normal 598 5 2" xfId="50596"/>
    <cellStyle name="Normal 598 5 3" xfId="50597"/>
    <cellStyle name="Normal 598 6" xfId="50598"/>
    <cellStyle name="Normal 598 7" xfId="50599"/>
    <cellStyle name="Normal 598 8" xfId="50600"/>
    <cellStyle name="Normal 598 9" xfId="50601"/>
    <cellStyle name="Normal 599" xfId="22898"/>
    <cellStyle name="Normal 599 10" xfId="50602"/>
    <cellStyle name="Normal 599 2" xfId="22899"/>
    <cellStyle name="Normal 599 2 2" xfId="22900"/>
    <cellStyle name="Normal 599 2 2 2" xfId="50603"/>
    <cellStyle name="Normal 599 2 2 3" xfId="50604"/>
    <cellStyle name="Normal 599 2 3" xfId="22901"/>
    <cellStyle name="Normal 599 2 3 2" xfId="50605"/>
    <cellStyle name="Normal 599 2 3 3" xfId="50606"/>
    <cellStyle name="Normal 599 2 4" xfId="50607"/>
    <cellStyle name="Normal 599 2 5" xfId="50608"/>
    <cellStyle name="Normal 599 2 6" xfId="50609"/>
    <cellStyle name="Normal 599 2 7" xfId="50610"/>
    <cellStyle name="Normal 599 2 8" xfId="50611"/>
    <cellStyle name="Normal 599 3" xfId="22902"/>
    <cellStyle name="Normal 599 3 2" xfId="50612"/>
    <cellStyle name="Normal 599 3 2 2" xfId="50613"/>
    <cellStyle name="Normal 599 3 2 3" xfId="50614"/>
    <cellStyle name="Normal 599 3 3" xfId="50615"/>
    <cellStyle name="Normal 599 3 3 2" xfId="50616"/>
    <cellStyle name="Normal 599 3 3 3" xfId="50617"/>
    <cellStyle name="Normal 599 3 4" xfId="50618"/>
    <cellStyle name="Normal 599 3 5" xfId="50619"/>
    <cellStyle name="Normal 599 4" xfId="22903"/>
    <cellStyle name="Normal 599 4 2" xfId="50620"/>
    <cellStyle name="Normal 599 4 3" xfId="50621"/>
    <cellStyle name="Normal 599 5" xfId="22904"/>
    <cellStyle name="Normal 599 5 2" xfId="50622"/>
    <cellStyle name="Normal 599 5 3" xfId="50623"/>
    <cellStyle name="Normal 599 6" xfId="50624"/>
    <cellStyle name="Normal 599 7" xfId="50625"/>
    <cellStyle name="Normal 599 8" xfId="50626"/>
    <cellStyle name="Normal 599 9" xfId="50627"/>
    <cellStyle name="Normal 6" xfId="22905"/>
    <cellStyle name="Normal 6 10" xfId="50628"/>
    <cellStyle name="Normal 6 2" xfId="22906"/>
    <cellStyle name="Normal 6 2 2" xfId="22907"/>
    <cellStyle name="Normal 6 2 2 2" xfId="22908"/>
    <cellStyle name="Normal 6 2 2 3" xfId="22909"/>
    <cellStyle name="Normal 6 2 3" xfId="22910"/>
    <cellStyle name="Normal 6 2 3 2" xfId="50629"/>
    <cellStyle name="Normal 6 2 3 3" xfId="50630"/>
    <cellStyle name="Normal 6 2 4" xfId="22911"/>
    <cellStyle name="Normal 6 2 5" xfId="50631"/>
    <cellStyle name="Normal 6 2 6" xfId="50632"/>
    <cellStyle name="Normal 6 2 7" xfId="50633"/>
    <cellStyle name="Normal 6 2 8" xfId="50634"/>
    <cellStyle name="Normal 6 3" xfId="22912"/>
    <cellStyle name="Normal 6 3 2" xfId="22913"/>
    <cellStyle name="Normal 6 3 2 2" xfId="50635"/>
    <cellStyle name="Normal 6 3 2 3" xfId="50636"/>
    <cellStyle name="Normal 6 3 3" xfId="22914"/>
    <cellStyle name="Normal 6 3 3 2" xfId="50637"/>
    <cellStyle name="Normal 6 3 3 3" xfId="50638"/>
    <cellStyle name="Normal 6 3 4" xfId="50639"/>
    <cellStyle name="Normal 6 3 5" xfId="50640"/>
    <cellStyle name="Normal 6 4" xfId="22915"/>
    <cellStyle name="Normal 6 4 2" xfId="50641"/>
    <cellStyle name="Normal 6 4 3" xfId="50642"/>
    <cellStyle name="Normal 6 5" xfId="22916"/>
    <cellStyle name="Normal 6 5 2" xfId="50643"/>
    <cellStyle name="Normal 6 5 3" xfId="50644"/>
    <cellStyle name="Normal 6 6" xfId="50645"/>
    <cellStyle name="Normal 6 7" xfId="50646"/>
    <cellStyle name="Normal 6 8" xfId="50647"/>
    <cellStyle name="Normal 6 9" xfId="50648"/>
    <cellStyle name="Normal 60" xfId="22917"/>
    <cellStyle name="Normal 60 10" xfId="50649"/>
    <cellStyle name="Normal 60 2" xfId="22918"/>
    <cellStyle name="Normal 60 2 2" xfId="22919"/>
    <cellStyle name="Normal 60 2 2 2" xfId="22920"/>
    <cellStyle name="Normal 60 2 2 3" xfId="22921"/>
    <cellStyle name="Normal 60 2 3" xfId="22922"/>
    <cellStyle name="Normal 60 2 3 2" xfId="50650"/>
    <cellStyle name="Normal 60 2 3 3" xfId="50651"/>
    <cellStyle name="Normal 60 2 4" xfId="22923"/>
    <cellStyle name="Normal 60 2 5" xfId="22924"/>
    <cellStyle name="Normal 60 2 6" xfId="50652"/>
    <cellStyle name="Normal 60 2 7" xfId="50653"/>
    <cellStyle name="Normal 60 2 8" xfId="50654"/>
    <cellStyle name="Normal 60 3" xfId="22925"/>
    <cellStyle name="Normal 60 3 2" xfId="22926"/>
    <cellStyle name="Normal 60 3 2 2" xfId="50655"/>
    <cellStyle name="Normal 60 3 2 3" xfId="50656"/>
    <cellStyle name="Normal 60 3 3" xfId="22927"/>
    <cellStyle name="Normal 60 3 3 2" xfId="50657"/>
    <cellStyle name="Normal 60 3 3 3" xfId="50658"/>
    <cellStyle name="Normal 60 3 4" xfId="50659"/>
    <cellStyle name="Normal 60 3 5" xfId="50660"/>
    <cellStyle name="Normal 60 4" xfId="22928"/>
    <cellStyle name="Normal 60 4 2" xfId="50661"/>
    <cellStyle name="Normal 60 4 3" xfId="50662"/>
    <cellStyle name="Normal 60 5" xfId="22929"/>
    <cellStyle name="Normal 60 5 2" xfId="50663"/>
    <cellStyle name="Normal 60 5 3" xfId="50664"/>
    <cellStyle name="Normal 60 6" xfId="22930"/>
    <cellStyle name="Normal 60 7" xfId="50665"/>
    <cellStyle name="Normal 60 8" xfId="50666"/>
    <cellStyle name="Normal 60 9" xfId="50667"/>
    <cellStyle name="Normal 600" xfId="22931"/>
    <cellStyle name="Normal 600 10" xfId="50668"/>
    <cellStyle name="Normal 600 2" xfId="22932"/>
    <cellStyle name="Normal 600 2 2" xfId="22933"/>
    <cellStyle name="Normal 600 2 2 2" xfId="50669"/>
    <cellStyle name="Normal 600 2 2 3" xfId="50670"/>
    <cellStyle name="Normal 600 2 3" xfId="22934"/>
    <cellStyle name="Normal 600 2 3 2" xfId="50671"/>
    <cellStyle name="Normal 600 2 3 3" xfId="50672"/>
    <cellStyle name="Normal 600 2 4" xfId="50673"/>
    <cellStyle name="Normal 600 2 5" xfId="50674"/>
    <cellStyle name="Normal 600 2 6" xfId="50675"/>
    <cellStyle name="Normal 600 2 7" xfId="50676"/>
    <cellStyle name="Normal 600 2 8" xfId="50677"/>
    <cellStyle name="Normal 600 3" xfId="22935"/>
    <cellStyle name="Normal 600 3 2" xfId="50678"/>
    <cellStyle name="Normal 600 3 2 2" xfId="50679"/>
    <cellStyle name="Normal 600 3 2 3" xfId="50680"/>
    <cellStyle name="Normal 600 3 3" xfId="50681"/>
    <cellStyle name="Normal 600 3 3 2" xfId="50682"/>
    <cellStyle name="Normal 600 3 3 3" xfId="50683"/>
    <cellStyle name="Normal 600 3 4" xfId="50684"/>
    <cellStyle name="Normal 600 3 5" xfId="50685"/>
    <cellStyle name="Normal 600 4" xfId="22936"/>
    <cellStyle name="Normal 600 4 2" xfId="50686"/>
    <cellStyle name="Normal 600 4 3" xfId="50687"/>
    <cellStyle name="Normal 600 5" xfId="22937"/>
    <cellStyle name="Normal 600 5 2" xfId="50688"/>
    <cellStyle name="Normal 600 5 3" xfId="50689"/>
    <cellStyle name="Normal 600 6" xfId="50690"/>
    <cellStyle name="Normal 600 7" xfId="50691"/>
    <cellStyle name="Normal 600 8" xfId="50692"/>
    <cellStyle name="Normal 600 9" xfId="50693"/>
    <cellStyle name="Normal 601" xfId="22938"/>
    <cellStyle name="Normal 601 10" xfId="50694"/>
    <cellStyle name="Normal 601 2" xfId="22939"/>
    <cellStyle name="Normal 601 2 2" xfId="22940"/>
    <cellStyle name="Normal 601 2 2 2" xfId="50695"/>
    <cellStyle name="Normal 601 2 2 3" xfId="50696"/>
    <cellStyle name="Normal 601 2 3" xfId="22941"/>
    <cellStyle name="Normal 601 2 3 2" xfId="50697"/>
    <cellStyle name="Normal 601 2 3 3" xfId="50698"/>
    <cellStyle name="Normal 601 2 4" xfId="50699"/>
    <cellStyle name="Normal 601 2 5" xfId="50700"/>
    <cellStyle name="Normal 601 2 6" xfId="50701"/>
    <cellStyle name="Normal 601 2 7" xfId="50702"/>
    <cellStyle name="Normal 601 2 8" xfId="50703"/>
    <cellStyle name="Normal 601 3" xfId="22942"/>
    <cellStyle name="Normal 601 3 2" xfId="50704"/>
    <cellStyle name="Normal 601 3 2 2" xfId="50705"/>
    <cellStyle name="Normal 601 3 2 3" xfId="50706"/>
    <cellStyle name="Normal 601 3 3" xfId="50707"/>
    <cellStyle name="Normal 601 3 3 2" xfId="50708"/>
    <cellStyle name="Normal 601 3 3 3" xfId="50709"/>
    <cellStyle name="Normal 601 3 4" xfId="50710"/>
    <cellStyle name="Normal 601 3 5" xfId="50711"/>
    <cellStyle name="Normal 601 4" xfId="22943"/>
    <cellStyle name="Normal 601 4 2" xfId="50712"/>
    <cellStyle name="Normal 601 4 3" xfId="50713"/>
    <cellStyle name="Normal 601 5" xfId="22944"/>
    <cellStyle name="Normal 601 5 2" xfId="50714"/>
    <cellStyle name="Normal 601 5 3" xfId="50715"/>
    <cellStyle name="Normal 601 6" xfId="50716"/>
    <cellStyle name="Normal 601 7" xfId="50717"/>
    <cellStyle name="Normal 601 8" xfId="50718"/>
    <cellStyle name="Normal 601 9" xfId="50719"/>
    <cellStyle name="Normal 602" xfId="22945"/>
    <cellStyle name="Normal 602 10" xfId="50720"/>
    <cellStyle name="Normal 602 2" xfId="22946"/>
    <cellStyle name="Normal 602 2 2" xfId="22947"/>
    <cellStyle name="Normal 602 2 2 2" xfId="50721"/>
    <cellStyle name="Normal 602 2 2 3" xfId="50722"/>
    <cellStyle name="Normal 602 2 3" xfId="22948"/>
    <cellStyle name="Normal 602 2 3 2" xfId="50723"/>
    <cellStyle name="Normal 602 2 3 3" xfId="50724"/>
    <cellStyle name="Normal 602 2 4" xfId="50725"/>
    <cellStyle name="Normal 602 2 5" xfId="50726"/>
    <cellStyle name="Normal 602 2 6" xfId="50727"/>
    <cellStyle name="Normal 602 2 7" xfId="50728"/>
    <cellStyle name="Normal 602 2 8" xfId="50729"/>
    <cellStyle name="Normal 602 3" xfId="22949"/>
    <cellStyle name="Normal 602 3 2" xfId="50730"/>
    <cellStyle name="Normal 602 3 2 2" xfId="50731"/>
    <cellStyle name="Normal 602 3 2 3" xfId="50732"/>
    <cellStyle name="Normal 602 3 3" xfId="50733"/>
    <cellStyle name="Normal 602 3 3 2" xfId="50734"/>
    <cellStyle name="Normal 602 3 3 3" xfId="50735"/>
    <cellStyle name="Normal 602 3 4" xfId="50736"/>
    <cellStyle name="Normal 602 3 5" xfId="50737"/>
    <cellStyle name="Normal 602 4" xfId="22950"/>
    <cellStyle name="Normal 602 4 2" xfId="50738"/>
    <cellStyle name="Normal 602 4 3" xfId="50739"/>
    <cellStyle name="Normal 602 5" xfId="22951"/>
    <cellStyle name="Normal 602 5 2" xfId="50740"/>
    <cellStyle name="Normal 602 5 3" xfId="50741"/>
    <cellStyle name="Normal 602 6" xfId="50742"/>
    <cellStyle name="Normal 602 7" xfId="50743"/>
    <cellStyle name="Normal 602 8" xfId="50744"/>
    <cellStyle name="Normal 602 9" xfId="50745"/>
    <cellStyle name="Normal 603" xfId="22952"/>
    <cellStyle name="Normal 603 10" xfId="50746"/>
    <cellStyle name="Normal 603 2" xfId="22953"/>
    <cellStyle name="Normal 603 2 2" xfId="22954"/>
    <cellStyle name="Normal 603 2 2 2" xfId="50747"/>
    <cellStyle name="Normal 603 2 2 3" xfId="50748"/>
    <cellStyle name="Normal 603 2 3" xfId="22955"/>
    <cellStyle name="Normal 603 2 3 2" xfId="50749"/>
    <cellStyle name="Normal 603 2 3 3" xfId="50750"/>
    <cellStyle name="Normal 603 2 4" xfId="50751"/>
    <cellStyle name="Normal 603 2 5" xfId="50752"/>
    <cellStyle name="Normal 603 2 6" xfId="50753"/>
    <cellStyle name="Normal 603 2 7" xfId="50754"/>
    <cellStyle name="Normal 603 2 8" xfId="50755"/>
    <cellStyle name="Normal 603 3" xfId="22956"/>
    <cellStyle name="Normal 603 3 2" xfId="50756"/>
    <cellStyle name="Normal 603 3 2 2" xfId="50757"/>
    <cellStyle name="Normal 603 3 2 3" xfId="50758"/>
    <cellStyle name="Normal 603 3 3" xfId="50759"/>
    <cellStyle name="Normal 603 3 3 2" xfId="50760"/>
    <cellStyle name="Normal 603 3 3 3" xfId="50761"/>
    <cellStyle name="Normal 603 3 4" xfId="50762"/>
    <cellStyle name="Normal 603 3 5" xfId="50763"/>
    <cellStyle name="Normal 603 4" xfId="22957"/>
    <cellStyle name="Normal 603 4 2" xfId="50764"/>
    <cellStyle name="Normal 603 4 3" xfId="50765"/>
    <cellStyle name="Normal 603 5" xfId="22958"/>
    <cellStyle name="Normal 603 5 2" xfId="50766"/>
    <cellStyle name="Normal 603 5 3" xfId="50767"/>
    <cellStyle name="Normal 603 6" xfId="50768"/>
    <cellStyle name="Normal 603 7" xfId="50769"/>
    <cellStyle name="Normal 603 8" xfId="50770"/>
    <cellStyle name="Normal 603 9" xfId="50771"/>
    <cellStyle name="Normal 604" xfId="22959"/>
    <cellStyle name="Normal 604 10" xfId="50772"/>
    <cellStyle name="Normal 604 2" xfId="22960"/>
    <cellStyle name="Normal 604 2 2" xfId="22961"/>
    <cellStyle name="Normal 604 2 2 2" xfId="50773"/>
    <cellStyle name="Normal 604 2 2 3" xfId="50774"/>
    <cellStyle name="Normal 604 2 3" xfId="22962"/>
    <cellStyle name="Normal 604 2 3 2" xfId="50775"/>
    <cellStyle name="Normal 604 2 3 3" xfId="50776"/>
    <cellStyle name="Normal 604 2 4" xfId="50777"/>
    <cellStyle name="Normal 604 2 5" xfId="50778"/>
    <cellStyle name="Normal 604 2 6" xfId="50779"/>
    <cellStyle name="Normal 604 2 7" xfId="50780"/>
    <cellStyle name="Normal 604 2 8" xfId="50781"/>
    <cellStyle name="Normal 604 3" xfId="22963"/>
    <cellStyle name="Normal 604 3 2" xfId="50782"/>
    <cellStyle name="Normal 604 3 2 2" xfId="50783"/>
    <cellStyle name="Normal 604 3 2 3" xfId="50784"/>
    <cellStyle name="Normal 604 3 3" xfId="50785"/>
    <cellStyle name="Normal 604 3 3 2" xfId="50786"/>
    <cellStyle name="Normal 604 3 3 3" xfId="50787"/>
    <cellStyle name="Normal 604 3 4" xfId="50788"/>
    <cellStyle name="Normal 604 3 5" xfId="50789"/>
    <cellStyle name="Normal 604 4" xfId="22964"/>
    <cellStyle name="Normal 604 4 2" xfId="50790"/>
    <cellStyle name="Normal 604 4 3" xfId="50791"/>
    <cellStyle name="Normal 604 5" xfId="22965"/>
    <cellStyle name="Normal 604 5 2" xfId="50792"/>
    <cellStyle name="Normal 604 5 3" xfId="50793"/>
    <cellStyle name="Normal 604 6" xfId="50794"/>
    <cellStyle name="Normal 604 7" xfId="50795"/>
    <cellStyle name="Normal 604 8" xfId="50796"/>
    <cellStyle name="Normal 604 9" xfId="50797"/>
    <cellStyle name="Normal 605" xfId="22966"/>
    <cellStyle name="Normal 605 10" xfId="50798"/>
    <cellStyle name="Normal 605 2" xfId="22967"/>
    <cellStyle name="Normal 605 2 2" xfId="22968"/>
    <cellStyle name="Normal 605 2 2 2" xfId="50799"/>
    <cellStyle name="Normal 605 2 2 3" xfId="50800"/>
    <cellStyle name="Normal 605 2 3" xfId="22969"/>
    <cellStyle name="Normal 605 2 3 2" xfId="50801"/>
    <cellStyle name="Normal 605 2 3 3" xfId="50802"/>
    <cellStyle name="Normal 605 2 4" xfId="50803"/>
    <cellStyle name="Normal 605 2 5" xfId="50804"/>
    <cellStyle name="Normal 605 2 6" xfId="50805"/>
    <cellStyle name="Normal 605 2 7" xfId="50806"/>
    <cellStyle name="Normal 605 2 8" xfId="50807"/>
    <cellStyle name="Normal 605 3" xfId="22970"/>
    <cellStyle name="Normal 605 3 2" xfId="50808"/>
    <cellStyle name="Normal 605 3 2 2" xfId="50809"/>
    <cellStyle name="Normal 605 3 2 3" xfId="50810"/>
    <cellStyle name="Normal 605 3 3" xfId="50811"/>
    <cellStyle name="Normal 605 3 3 2" xfId="50812"/>
    <cellStyle name="Normal 605 3 3 3" xfId="50813"/>
    <cellStyle name="Normal 605 3 4" xfId="50814"/>
    <cellStyle name="Normal 605 3 5" xfId="50815"/>
    <cellStyle name="Normal 605 4" xfId="22971"/>
    <cellStyle name="Normal 605 4 2" xfId="50816"/>
    <cellStyle name="Normal 605 4 3" xfId="50817"/>
    <cellStyle name="Normal 605 5" xfId="22972"/>
    <cellStyle name="Normal 605 5 2" xfId="50818"/>
    <cellStyle name="Normal 605 5 3" xfId="50819"/>
    <cellStyle name="Normal 605 6" xfId="50820"/>
    <cellStyle name="Normal 605 7" xfId="50821"/>
    <cellStyle name="Normal 605 8" xfId="50822"/>
    <cellStyle name="Normal 605 9" xfId="50823"/>
    <cellStyle name="Normal 606" xfId="22973"/>
    <cellStyle name="Normal 606 10" xfId="50824"/>
    <cellStyle name="Normal 606 2" xfId="22974"/>
    <cellStyle name="Normal 606 2 2" xfId="22975"/>
    <cellStyle name="Normal 606 2 2 2" xfId="50825"/>
    <cellStyle name="Normal 606 2 2 3" xfId="50826"/>
    <cellStyle name="Normal 606 2 3" xfId="22976"/>
    <cellStyle name="Normal 606 2 3 2" xfId="50827"/>
    <cellStyle name="Normal 606 2 3 3" xfId="50828"/>
    <cellStyle name="Normal 606 2 4" xfId="50829"/>
    <cellStyle name="Normal 606 2 5" xfId="50830"/>
    <cellStyle name="Normal 606 2 6" xfId="50831"/>
    <cellStyle name="Normal 606 2 7" xfId="50832"/>
    <cellStyle name="Normal 606 2 8" xfId="50833"/>
    <cellStyle name="Normal 606 3" xfId="22977"/>
    <cellStyle name="Normal 606 3 2" xfId="50834"/>
    <cellStyle name="Normal 606 3 2 2" xfId="50835"/>
    <cellStyle name="Normal 606 3 2 3" xfId="50836"/>
    <cellStyle name="Normal 606 3 3" xfId="50837"/>
    <cellStyle name="Normal 606 3 3 2" xfId="50838"/>
    <cellStyle name="Normal 606 3 3 3" xfId="50839"/>
    <cellStyle name="Normal 606 3 4" xfId="50840"/>
    <cellStyle name="Normal 606 3 5" xfId="50841"/>
    <cellStyle name="Normal 606 4" xfId="22978"/>
    <cellStyle name="Normal 606 4 2" xfId="50842"/>
    <cellStyle name="Normal 606 4 3" xfId="50843"/>
    <cellStyle name="Normal 606 5" xfId="22979"/>
    <cellStyle name="Normal 606 5 2" xfId="50844"/>
    <cellStyle name="Normal 606 5 3" xfId="50845"/>
    <cellStyle name="Normal 606 6" xfId="50846"/>
    <cellStyle name="Normal 606 7" xfId="50847"/>
    <cellStyle name="Normal 606 8" xfId="50848"/>
    <cellStyle name="Normal 606 9" xfId="50849"/>
    <cellStyle name="Normal 607" xfId="22980"/>
    <cellStyle name="Normal 607 10" xfId="50850"/>
    <cellStyle name="Normal 607 2" xfId="22981"/>
    <cellStyle name="Normal 607 2 2" xfId="22982"/>
    <cellStyle name="Normal 607 2 2 2" xfId="50851"/>
    <cellStyle name="Normal 607 2 2 3" xfId="50852"/>
    <cellStyle name="Normal 607 2 3" xfId="22983"/>
    <cellStyle name="Normal 607 2 3 2" xfId="50853"/>
    <cellStyle name="Normal 607 2 3 3" xfId="50854"/>
    <cellStyle name="Normal 607 2 4" xfId="50855"/>
    <cellStyle name="Normal 607 2 5" xfId="50856"/>
    <cellStyle name="Normal 607 2 6" xfId="50857"/>
    <cellStyle name="Normal 607 2 7" xfId="50858"/>
    <cellStyle name="Normal 607 2 8" xfId="50859"/>
    <cellStyle name="Normal 607 3" xfId="22984"/>
    <cellStyle name="Normal 607 3 2" xfId="50860"/>
    <cellStyle name="Normal 607 3 2 2" xfId="50861"/>
    <cellStyle name="Normal 607 3 2 3" xfId="50862"/>
    <cellStyle name="Normal 607 3 3" xfId="50863"/>
    <cellStyle name="Normal 607 3 3 2" xfId="50864"/>
    <cellStyle name="Normal 607 3 3 3" xfId="50865"/>
    <cellStyle name="Normal 607 3 4" xfId="50866"/>
    <cellStyle name="Normal 607 3 5" xfId="50867"/>
    <cellStyle name="Normal 607 4" xfId="22985"/>
    <cellStyle name="Normal 607 4 2" xfId="50868"/>
    <cellStyle name="Normal 607 4 3" xfId="50869"/>
    <cellStyle name="Normal 607 5" xfId="22986"/>
    <cellStyle name="Normal 607 5 2" xfId="50870"/>
    <cellStyle name="Normal 607 5 3" xfId="50871"/>
    <cellStyle name="Normal 607 6" xfId="50872"/>
    <cellStyle name="Normal 607 7" xfId="50873"/>
    <cellStyle name="Normal 607 8" xfId="50874"/>
    <cellStyle name="Normal 607 9" xfId="50875"/>
    <cellStyle name="Normal 608" xfId="22987"/>
    <cellStyle name="Normal 608 10" xfId="50876"/>
    <cellStyle name="Normal 608 2" xfId="22988"/>
    <cellStyle name="Normal 608 2 2" xfId="22989"/>
    <cellStyle name="Normal 608 2 2 2" xfId="50877"/>
    <cellStyle name="Normal 608 2 2 3" xfId="50878"/>
    <cellStyle name="Normal 608 2 3" xfId="22990"/>
    <cellStyle name="Normal 608 2 3 2" xfId="50879"/>
    <cellStyle name="Normal 608 2 3 3" xfId="50880"/>
    <cellStyle name="Normal 608 2 4" xfId="50881"/>
    <cellStyle name="Normal 608 2 5" xfId="50882"/>
    <cellStyle name="Normal 608 2 6" xfId="50883"/>
    <cellStyle name="Normal 608 2 7" xfId="50884"/>
    <cellStyle name="Normal 608 2 8" xfId="50885"/>
    <cellStyle name="Normal 608 3" xfId="22991"/>
    <cellStyle name="Normal 608 3 2" xfId="50886"/>
    <cellStyle name="Normal 608 3 2 2" xfId="50887"/>
    <cellStyle name="Normal 608 3 2 3" xfId="50888"/>
    <cellStyle name="Normal 608 3 3" xfId="50889"/>
    <cellStyle name="Normal 608 3 3 2" xfId="50890"/>
    <cellStyle name="Normal 608 3 3 3" xfId="50891"/>
    <cellStyle name="Normal 608 3 4" xfId="50892"/>
    <cellStyle name="Normal 608 3 5" xfId="50893"/>
    <cellStyle name="Normal 608 4" xfId="22992"/>
    <cellStyle name="Normal 608 4 2" xfId="50894"/>
    <cellStyle name="Normal 608 4 3" xfId="50895"/>
    <cellStyle name="Normal 608 5" xfId="22993"/>
    <cellStyle name="Normal 608 5 2" xfId="50896"/>
    <cellStyle name="Normal 608 5 3" xfId="50897"/>
    <cellStyle name="Normal 608 6" xfId="50898"/>
    <cellStyle name="Normal 608 7" xfId="50899"/>
    <cellStyle name="Normal 608 8" xfId="50900"/>
    <cellStyle name="Normal 608 9" xfId="50901"/>
    <cellStyle name="Normal 609" xfId="22994"/>
    <cellStyle name="Normal 609 10" xfId="50902"/>
    <cellStyle name="Normal 609 2" xfId="22995"/>
    <cellStyle name="Normal 609 2 2" xfId="22996"/>
    <cellStyle name="Normal 609 2 2 2" xfId="50903"/>
    <cellStyle name="Normal 609 2 2 3" xfId="50904"/>
    <cellStyle name="Normal 609 2 3" xfId="22997"/>
    <cellStyle name="Normal 609 2 3 2" xfId="50905"/>
    <cellStyle name="Normal 609 2 3 3" xfId="50906"/>
    <cellStyle name="Normal 609 2 4" xfId="50907"/>
    <cellStyle name="Normal 609 2 5" xfId="50908"/>
    <cellStyle name="Normal 609 2 6" xfId="50909"/>
    <cellStyle name="Normal 609 2 7" xfId="50910"/>
    <cellStyle name="Normal 609 2 8" xfId="50911"/>
    <cellStyle name="Normal 609 3" xfId="22998"/>
    <cellStyle name="Normal 609 3 2" xfId="50912"/>
    <cellStyle name="Normal 609 3 2 2" xfId="50913"/>
    <cellStyle name="Normal 609 3 2 3" xfId="50914"/>
    <cellStyle name="Normal 609 3 3" xfId="50915"/>
    <cellStyle name="Normal 609 3 3 2" xfId="50916"/>
    <cellStyle name="Normal 609 3 3 3" xfId="50917"/>
    <cellStyle name="Normal 609 3 4" xfId="50918"/>
    <cellStyle name="Normal 609 3 5" xfId="50919"/>
    <cellStyle name="Normal 609 4" xfId="22999"/>
    <cellStyle name="Normal 609 4 2" xfId="50920"/>
    <cellStyle name="Normal 609 4 3" xfId="50921"/>
    <cellStyle name="Normal 609 5" xfId="23000"/>
    <cellStyle name="Normal 609 5 2" xfId="50922"/>
    <cellStyle name="Normal 609 5 3" xfId="50923"/>
    <cellStyle name="Normal 609 6" xfId="50924"/>
    <cellStyle name="Normal 609 7" xfId="50925"/>
    <cellStyle name="Normal 609 8" xfId="50926"/>
    <cellStyle name="Normal 609 9" xfId="50927"/>
    <cellStyle name="Normal 61" xfId="23001"/>
    <cellStyle name="Normal 61 10" xfId="50928"/>
    <cellStyle name="Normal 61 2" xfId="23002"/>
    <cellStyle name="Normal 61 2 2" xfId="23003"/>
    <cellStyle name="Normal 61 2 2 2" xfId="23004"/>
    <cellStyle name="Normal 61 2 2 3" xfId="23005"/>
    <cellStyle name="Normal 61 2 3" xfId="23006"/>
    <cellStyle name="Normal 61 2 3 2" xfId="50929"/>
    <cellStyle name="Normal 61 2 3 3" xfId="50930"/>
    <cellStyle name="Normal 61 2 4" xfId="23007"/>
    <cellStyle name="Normal 61 2 5" xfId="23008"/>
    <cellStyle name="Normal 61 2 6" xfId="50931"/>
    <cellStyle name="Normal 61 2 7" xfId="50932"/>
    <cellStyle name="Normal 61 2 8" xfId="50933"/>
    <cellStyle name="Normal 61 3" xfId="23009"/>
    <cellStyle name="Normal 61 3 2" xfId="23010"/>
    <cellStyle name="Normal 61 3 2 2" xfId="50934"/>
    <cellStyle name="Normal 61 3 2 3" xfId="50935"/>
    <cellStyle name="Normal 61 3 3" xfId="23011"/>
    <cellStyle name="Normal 61 3 3 2" xfId="50936"/>
    <cellStyle name="Normal 61 3 3 3" xfId="50937"/>
    <cellStyle name="Normal 61 3 4" xfId="50938"/>
    <cellStyle name="Normal 61 3 5" xfId="50939"/>
    <cellStyle name="Normal 61 4" xfId="23012"/>
    <cellStyle name="Normal 61 4 2" xfId="50940"/>
    <cellStyle name="Normal 61 4 3" xfId="50941"/>
    <cellStyle name="Normal 61 5" xfId="23013"/>
    <cellStyle name="Normal 61 5 2" xfId="50942"/>
    <cellStyle name="Normal 61 5 3" xfId="50943"/>
    <cellStyle name="Normal 61 6" xfId="23014"/>
    <cellStyle name="Normal 61 7" xfId="50944"/>
    <cellStyle name="Normal 61 8" xfId="50945"/>
    <cellStyle name="Normal 61 9" xfId="50946"/>
    <cellStyle name="Normal 610" xfId="23015"/>
    <cellStyle name="Normal 610 10" xfId="50947"/>
    <cellStyle name="Normal 610 2" xfId="23016"/>
    <cellStyle name="Normal 610 2 2" xfId="23017"/>
    <cellStyle name="Normal 610 2 2 2" xfId="50948"/>
    <cellStyle name="Normal 610 2 2 3" xfId="50949"/>
    <cellStyle name="Normal 610 2 3" xfId="23018"/>
    <cellStyle name="Normal 610 2 3 2" xfId="50950"/>
    <cellStyle name="Normal 610 2 3 3" xfId="50951"/>
    <cellStyle name="Normal 610 2 4" xfId="50952"/>
    <cellStyle name="Normal 610 2 5" xfId="50953"/>
    <cellStyle name="Normal 610 2 6" xfId="50954"/>
    <cellStyle name="Normal 610 2 7" xfId="50955"/>
    <cellStyle name="Normal 610 2 8" xfId="50956"/>
    <cellStyle name="Normal 610 3" xfId="23019"/>
    <cellStyle name="Normal 610 3 2" xfId="50957"/>
    <cellStyle name="Normal 610 3 2 2" xfId="50958"/>
    <cellStyle name="Normal 610 3 2 3" xfId="50959"/>
    <cellStyle name="Normal 610 3 3" xfId="50960"/>
    <cellStyle name="Normal 610 3 3 2" xfId="50961"/>
    <cellStyle name="Normal 610 3 3 3" xfId="50962"/>
    <cellStyle name="Normal 610 3 4" xfId="50963"/>
    <cellStyle name="Normal 610 3 5" xfId="50964"/>
    <cellStyle name="Normal 610 4" xfId="23020"/>
    <cellStyle name="Normal 610 4 2" xfId="50965"/>
    <cellStyle name="Normal 610 4 3" xfId="50966"/>
    <cellStyle name="Normal 610 5" xfId="23021"/>
    <cellStyle name="Normal 610 5 2" xfId="50967"/>
    <cellStyle name="Normal 610 5 3" xfId="50968"/>
    <cellStyle name="Normal 610 6" xfId="50969"/>
    <cellStyle name="Normal 610 7" xfId="50970"/>
    <cellStyle name="Normal 610 8" xfId="50971"/>
    <cellStyle name="Normal 610 9" xfId="50972"/>
    <cellStyle name="Normal 611" xfId="23022"/>
    <cellStyle name="Normal 611 10" xfId="50973"/>
    <cellStyle name="Normal 611 2" xfId="23023"/>
    <cellStyle name="Normal 611 2 2" xfId="23024"/>
    <cellStyle name="Normal 611 2 2 2" xfId="50974"/>
    <cellStyle name="Normal 611 2 2 3" xfId="50975"/>
    <cellStyle name="Normal 611 2 3" xfId="23025"/>
    <cellStyle name="Normal 611 2 3 2" xfId="50976"/>
    <cellStyle name="Normal 611 2 3 3" xfId="50977"/>
    <cellStyle name="Normal 611 2 4" xfId="50978"/>
    <cellStyle name="Normal 611 2 5" xfId="50979"/>
    <cellStyle name="Normal 611 2 6" xfId="50980"/>
    <cellStyle name="Normal 611 2 7" xfId="50981"/>
    <cellStyle name="Normal 611 2 8" xfId="50982"/>
    <cellStyle name="Normal 611 3" xfId="23026"/>
    <cellStyle name="Normal 611 3 2" xfId="50983"/>
    <cellStyle name="Normal 611 3 2 2" xfId="50984"/>
    <cellStyle name="Normal 611 3 2 3" xfId="50985"/>
    <cellStyle name="Normal 611 3 3" xfId="50986"/>
    <cellStyle name="Normal 611 3 3 2" xfId="50987"/>
    <cellStyle name="Normal 611 3 3 3" xfId="50988"/>
    <cellStyle name="Normal 611 3 4" xfId="50989"/>
    <cellStyle name="Normal 611 3 5" xfId="50990"/>
    <cellStyle name="Normal 611 4" xfId="23027"/>
    <cellStyle name="Normal 611 4 2" xfId="50991"/>
    <cellStyle name="Normal 611 4 3" xfId="50992"/>
    <cellStyle name="Normal 611 5" xfId="23028"/>
    <cellStyle name="Normal 611 5 2" xfId="50993"/>
    <cellStyle name="Normal 611 5 3" xfId="50994"/>
    <cellStyle name="Normal 611 6" xfId="50995"/>
    <cellStyle name="Normal 611 7" xfId="50996"/>
    <cellStyle name="Normal 611 8" xfId="50997"/>
    <cellStyle name="Normal 611 9" xfId="50998"/>
    <cellStyle name="Normal 612" xfId="23029"/>
    <cellStyle name="Normal 612 10" xfId="50999"/>
    <cellStyle name="Normal 612 2" xfId="23030"/>
    <cellStyle name="Normal 612 2 2" xfId="23031"/>
    <cellStyle name="Normal 612 2 2 2" xfId="51000"/>
    <cellStyle name="Normal 612 2 2 3" xfId="51001"/>
    <cellStyle name="Normal 612 2 3" xfId="23032"/>
    <cellStyle name="Normal 612 2 3 2" xfId="51002"/>
    <cellStyle name="Normal 612 2 3 3" xfId="51003"/>
    <cellStyle name="Normal 612 2 4" xfId="51004"/>
    <cellStyle name="Normal 612 2 5" xfId="51005"/>
    <cellStyle name="Normal 612 2 6" xfId="51006"/>
    <cellStyle name="Normal 612 2 7" xfId="51007"/>
    <cellStyle name="Normal 612 2 8" xfId="51008"/>
    <cellStyle name="Normal 612 3" xfId="23033"/>
    <cellStyle name="Normal 612 3 2" xfId="51009"/>
    <cellStyle name="Normal 612 3 2 2" xfId="51010"/>
    <cellStyle name="Normal 612 3 2 3" xfId="51011"/>
    <cellStyle name="Normal 612 3 3" xfId="51012"/>
    <cellStyle name="Normal 612 3 3 2" xfId="51013"/>
    <cellStyle name="Normal 612 3 3 3" xfId="51014"/>
    <cellStyle name="Normal 612 3 4" xfId="51015"/>
    <cellStyle name="Normal 612 3 5" xfId="51016"/>
    <cellStyle name="Normal 612 4" xfId="23034"/>
    <cellStyle name="Normal 612 4 2" xfId="51017"/>
    <cellStyle name="Normal 612 4 3" xfId="51018"/>
    <cellStyle name="Normal 612 5" xfId="23035"/>
    <cellStyle name="Normal 612 5 2" xfId="51019"/>
    <cellStyle name="Normal 612 5 3" xfId="51020"/>
    <cellStyle name="Normal 612 6" xfId="51021"/>
    <cellStyle name="Normal 612 7" xfId="51022"/>
    <cellStyle name="Normal 612 8" xfId="51023"/>
    <cellStyle name="Normal 612 9" xfId="51024"/>
    <cellStyle name="Normal 613" xfId="23036"/>
    <cellStyle name="Normal 613 10" xfId="51025"/>
    <cellStyle name="Normal 613 2" xfId="23037"/>
    <cellStyle name="Normal 613 2 2" xfId="23038"/>
    <cellStyle name="Normal 613 2 2 2" xfId="51026"/>
    <cellStyle name="Normal 613 2 2 3" xfId="51027"/>
    <cellStyle name="Normal 613 2 3" xfId="23039"/>
    <cellStyle name="Normal 613 2 3 2" xfId="51028"/>
    <cellStyle name="Normal 613 2 3 3" xfId="51029"/>
    <cellStyle name="Normal 613 2 4" xfId="51030"/>
    <cellStyle name="Normal 613 2 5" xfId="51031"/>
    <cellStyle name="Normal 613 2 6" xfId="51032"/>
    <cellStyle name="Normal 613 2 7" xfId="51033"/>
    <cellStyle name="Normal 613 2 8" xfId="51034"/>
    <cellStyle name="Normal 613 3" xfId="23040"/>
    <cellStyle name="Normal 613 3 2" xfId="51035"/>
    <cellStyle name="Normal 613 3 2 2" xfId="51036"/>
    <cellStyle name="Normal 613 3 2 3" xfId="51037"/>
    <cellStyle name="Normal 613 3 3" xfId="51038"/>
    <cellStyle name="Normal 613 3 3 2" xfId="51039"/>
    <cellStyle name="Normal 613 3 3 3" xfId="51040"/>
    <cellStyle name="Normal 613 3 4" xfId="51041"/>
    <cellStyle name="Normal 613 3 5" xfId="51042"/>
    <cellStyle name="Normal 613 4" xfId="23041"/>
    <cellStyle name="Normal 613 4 2" xfId="51043"/>
    <cellStyle name="Normal 613 4 3" xfId="51044"/>
    <cellStyle name="Normal 613 5" xfId="23042"/>
    <cellStyle name="Normal 613 5 2" xfId="51045"/>
    <cellStyle name="Normal 613 5 3" xfId="51046"/>
    <cellStyle name="Normal 613 6" xfId="51047"/>
    <cellStyle name="Normal 613 7" xfId="51048"/>
    <cellStyle name="Normal 613 8" xfId="51049"/>
    <cellStyle name="Normal 613 9" xfId="51050"/>
    <cellStyle name="Normal 614" xfId="23043"/>
    <cellStyle name="Normal 614 10" xfId="51051"/>
    <cellStyle name="Normal 614 2" xfId="23044"/>
    <cellStyle name="Normal 614 2 2" xfId="23045"/>
    <cellStyle name="Normal 614 2 2 2" xfId="51052"/>
    <cellStyle name="Normal 614 2 2 3" xfId="51053"/>
    <cellStyle name="Normal 614 2 3" xfId="23046"/>
    <cellStyle name="Normal 614 2 3 2" xfId="51054"/>
    <cellStyle name="Normal 614 2 3 3" xfId="51055"/>
    <cellStyle name="Normal 614 2 4" xfId="51056"/>
    <cellStyle name="Normal 614 2 5" xfId="51057"/>
    <cellStyle name="Normal 614 2 6" xfId="51058"/>
    <cellStyle name="Normal 614 2 7" xfId="51059"/>
    <cellStyle name="Normal 614 2 8" xfId="51060"/>
    <cellStyle name="Normal 614 3" xfId="23047"/>
    <cellStyle name="Normal 614 3 2" xfId="51061"/>
    <cellStyle name="Normal 614 3 2 2" xfId="51062"/>
    <cellStyle name="Normal 614 3 2 3" xfId="51063"/>
    <cellStyle name="Normal 614 3 3" xfId="51064"/>
    <cellStyle name="Normal 614 3 3 2" xfId="51065"/>
    <cellStyle name="Normal 614 3 3 3" xfId="51066"/>
    <cellStyle name="Normal 614 3 4" xfId="51067"/>
    <cellStyle name="Normal 614 3 5" xfId="51068"/>
    <cellStyle name="Normal 614 4" xfId="23048"/>
    <cellStyle name="Normal 614 4 2" xfId="51069"/>
    <cellStyle name="Normal 614 4 3" xfId="51070"/>
    <cellStyle name="Normal 614 5" xfId="23049"/>
    <cellStyle name="Normal 614 5 2" xfId="51071"/>
    <cellStyle name="Normal 614 5 3" xfId="51072"/>
    <cellStyle name="Normal 614 6" xfId="51073"/>
    <cellStyle name="Normal 614 7" xfId="51074"/>
    <cellStyle name="Normal 614 8" xfId="51075"/>
    <cellStyle name="Normal 614 9" xfId="51076"/>
    <cellStyle name="Normal 615" xfId="23050"/>
    <cellStyle name="Normal 615 10" xfId="51077"/>
    <cellStyle name="Normal 615 2" xfId="23051"/>
    <cellStyle name="Normal 615 2 2" xfId="23052"/>
    <cellStyle name="Normal 615 2 2 2" xfId="51078"/>
    <cellStyle name="Normal 615 2 2 3" xfId="51079"/>
    <cellStyle name="Normal 615 2 3" xfId="23053"/>
    <cellStyle name="Normal 615 2 3 2" xfId="51080"/>
    <cellStyle name="Normal 615 2 3 3" xfId="51081"/>
    <cellStyle name="Normal 615 2 4" xfId="51082"/>
    <cellStyle name="Normal 615 2 5" xfId="51083"/>
    <cellStyle name="Normal 615 2 6" xfId="51084"/>
    <cellStyle name="Normal 615 2 7" xfId="51085"/>
    <cellStyle name="Normal 615 2 8" xfId="51086"/>
    <cellStyle name="Normal 615 3" xfId="23054"/>
    <cellStyle name="Normal 615 3 2" xfId="51087"/>
    <cellStyle name="Normal 615 3 2 2" xfId="51088"/>
    <cellStyle name="Normal 615 3 2 3" xfId="51089"/>
    <cellStyle name="Normal 615 3 3" xfId="51090"/>
    <cellStyle name="Normal 615 3 3 2" xfId="51091"/>
    <cellStyle name="Normal 615 3 3 3" xfId="51092"/>
    <cellStyle name="Normal 615 3 4" xfId="51093"/>
    <cellStyle name="Normal 615 3 5" xfId="51094"/>
    <cellStyle name="Normal 615 4" xfId="23055"/>
    <cellStyle name="Normal 615 4 2" xfId="51095"/>
    <cellStyle name="Normal 615 4 3" xfId="51096"/>
    <cellStyle name="Normal 615 5" xfId="23056"/>
    <cellStyle name="Normal 615 5 2" xfId="51097"/>
    <cellStyle name="Normal 615 5 3" xfId="51098"/>
    <cellStyle name="Normal 615 6" xfId="51099"/>
    <cellStyle name="Normal 615 7" xfId="51100"/>
    <cellStyle name="Normal 615 8" xfId="51101"/>
    <cellStyle name="Normal 615 9" xfId="51102"/>
    <cellStyle name="Normal 616" xfId="23057"/>
    <cellStyle name="Normal 616 10" xfId="51103"/>
    <cellStyle name="Normal 616 2" xfId="23058"/>
    <cellStyle name="Normal 616 2 2" xfId="23059"/>
    <cellStyle name="Normal 616 2 2 2" xfId="51104"/>
    <cellStyle name="Normal 616 2 2 3" xfId="51105"/>
    <cellStyle name="Normal 616 2 3" xfId="23060"/>
    <cellStyle name="Normal 616 2 3 2" xfId="51106"/>
    <cellStyle name="Normal 616 2 3 3" xfId="51107"/>
    <cellStyle name="Normal 616 2 4" xfId="51108"/>
    <cellStyle name="Normal 616 2 5" xfId="51109"/>
    <cellStyle name="Normal 616 2 6" xfId="51110"/>
    <cellStyle name="Normal 616 2 7" xfId="51111"/>
    <cellStyle name="Normal 616 2 8" xfId="51112"/>
    <cellStyle name="Normal 616 3" xfId="23061"/>
    <cellStyle name="Normal 616 3 2" xfId="51113"/>
    <cellStyle name="Normal 616 3 2 2" xfId="51114"/>
    <cellStyle name="Normal 616 3 2 3" xfId="51115"/>
    <cellStyle name="Normal 616 3 3" xfId="51116"/>
    <cellStyle name="Normal 616 3 3 2" xfId="51117"/>
    <cellStyle name="Normal 616 3 3 3" xfId="51118"/>
    <cellStyle name="Normal 616 3 4" xfId="51119"/>
    <cellStyle name="Normal 616 3 5" xfId="51120"/>
    <cellStyle name="Normal 616 4" xfId="23062"/>
    <cellStyle name="Normal 616 4 2" xfId="51121"/>
    <cellStyle name="Normal 616 4 3" xfId="51122"/>
    <cellStyle name="Normal 616 5" xfId="23063"/>
    <cellStyle name="Normal 616 5 2" xfId="51123"/>
    <cellStyle name="Normal 616 5 3" xfId="51124"/>
    <cellStyle name="Normal 616 6" xfId="51125"/>
    <cellStyle name="Normal 616 7" xfId="51126"/>
    <cellStyle name="Normal 616 8" xfId="51127"/>
    <cellStyle name="Normal 616 9" xfId="51128"/>
    <cellStyle name="Normal 617" xfId="23064"/>
    <cellStyle name="Normal 617 10" xfId="51129"/>
    <cellStyle name="Normal 617 2" xfId="23065"/>
    <cellStyle name="Normal 617 2 2" xfId="23066"/>
    <cellStyle name="Normal 617 2 2 2" xfId="51130"/>
    <cellStyle name="Normal 617 2 2 3" xfId="51131"/>
    <cellStyle name="Normal 617 2 3" xfId="23067"/>
    <cellStyle name="Normal 617 2 3 2" xfId="51132"/>
    <cellStyle name="Normal 617 2 3 3" xfId="51133"/>
    <cellStyle name="Normal 617 2 4" xfId="51134"/>
    <cellStyle name="Normal 617 2 5" xfId="51135"/>
    <cellStyle name="Normal 617 2 6" xfId="51136"/>
    <cellStyle name="Normal 617 2 7" xfId="51137"/>
    <cellStyle name="Normal 617 2 8" xfId="51138"/>
    <cellStyle name="Normal 617 3" xfId="23068"/>
    <cellStyle name="Normal 617 3 2" xfId="51139"/>
    <cellStyle name="Normal 617 3 2 2" xfId="51140"/>
    <cellStyle name="Normal 617 3 2 3" xfId="51141"/>
    <cellStyle name="Normal 617 3 3" xfId="51142"/>
    <cellStyle name="Normal 617 3 3 2" xfId="51143"/>
    <cellStyle name="Normal 617 3 3 3" xfId="51144"/>
    <cellStyle name="Normal 617 3 4" xfId="51145"/>
    <cellStyle name="Normal 617 3 5" xfId="51146"/>
    <cellStyle name="Normal 617 4" xfId="23069"/>
    <cellStyle name="Normal 617 4 2" xfId="51147"/>
    <cellStyle name="Normal 617 4 3" xfId="51148"/>
    <cellStyle name="Normal 617 5" xfId="23070"/>
    <cellStyle name="Normal 617 5 2" xfId="51149"/>
    <cellStyle name="Normal 617 5 3" xfId="51150"/>
    <cellStyle name="Normal 617 6" xfId="51151"/>
    <cellStyle name="Normal 617 7" xfId="51152"/>
    <cellStyle name="Normal 617 8" xfId="51153"/>
    <cellStyle name="Normal 617 9" xfId="51154"/>
    <cellStyle name="Normal 618" xfId="23071"/>
    <cellStyle name="Normal 618 10" xfId="51155"/>
    <cellStyle name="Normal 618 2" xfId="23072"/>
    <cellStyle name="Normal 618 2 2" xfId="23073"/>
    <cellStyle name="Normal 618 2 2 2" xfId="51156"/>
    <cellStyle name="Normal 618 2 2 3" xfId="51157"/>
    <cellStyle name="Normal 618 2 3" xfId="23074"/>
    <cellStyle name="Normal 618 2 3 2" xfId="51158"/>
    <cellStyle name="Normal 618 2 3 3" xfId="51159"/>
    <cellStyle name="Normal 618 2 4" xfId="51160"/>
    <cellStyle name="Normal 618 2 5" xfId="51161"/>
    <cellStyle name="Normal 618 2 6" xfId="51162"/>
    <cellStyle name="Normal 618 2 7" xfId="51163"/>
    <cellStyle name="Normal 618 2 8" xfId="51164"/>
    <cellStyle name="Normal 618 3" xfId="23075"/>
    <cellStyle name="Normal 618 3 2" xfId="51165"/>
    <cellStyle name="Normal 618 3 2 2" xfId="51166"/>
    <cellStyle name="Normal 618 3 2 3" xfId="51167"/>
    <cellStyle name="Normal 618 3 3" xfId="51168"/>
    <cellStyle name="Normal 618 3 3 2" xfId="51169"/>
    <cellStyle name="Normal 618 3 3 3" xfId="51170"/>
    <cellStyle name="Normal 618 3 4" xfId="51171"/>
    <cellStyle name="Normal 618 3 5" xfId="51172"/>
    <cellStyle name="Normal 618 4" xfId="23076"/>
    <cellStyle name="Normal 618 4 2" xfId="51173"/>
    <cellStyle name="Normal 618 4 3" xfId="51174"/>
    <cellStyle name="Normal 618 5" xfId="23077"/>
    <cellStyle name="Normal 618 5 2" xfId="51175"/>
    <cellStyle name="Normal 618 5 3" xfId="51176"/>
    <cellStyle name="Normal 618 6" xfId="51177"/>
    <cellStyle name="Normal 618 7" xfId="51178"/>
    <cellStyle name="Normal 618 8" xfId="51179"/>
    <cellStyle name="Normal 618 9" xfId="51180"/>
    <cellStyle name="Normal 619" xfId="23078"/>
    <cellStyle name="Normal 619 10" xfId="51181"/>
    <cellStyle name="Normal 619 2" xfId="23079"/>
    <cellStyle name="Normal 619 2 2" xfId="23080"/>
    <cellStyle name="Normal 619 2 2 2" xfId="51182"/>
    <cellStyle name="Normal 619 2 2 3" xfId="51183"/>
    <cellStyle name="Normal 619 2 3" xfId="23081"/>
    <cellStyle name="Normal 619 2 3 2" xfId="51184"/>
    <cellStyle name="Normal 619 2 3 3" xfId="51185"/>
    <cellStyle name="Normal 619 2 4" xfId="51186"/>
    <cellStyle name="Normal 619 2 5" xfId="51187"/>
    <cellStyle name="Normal 619 2 6" xfId="51188"/>
    <cellStyle name="Normal 619 2 7" xfId="51189"/>
    <cellStyle name="Normal 619 2 8" xfId="51190"/>
    <cellStyle name="Normal 619 3" xfId="23082"/>
    <cellStyle name="Normal 619 3 2" xfId="51191"/>
    <cellStyle name="Normal 619 3 2 2" xfId="51192"/>
    <cellStyle name="Normal 619 3 2 3" xfId="51193"/>
    <cellStyle name="Normal 619 3 3" xfId="51194"/>
    <cellStyle name="Normal 619 3 3 2" xfId="51195"/>
    <cellStyle name="Normal 619 3 3 3" xfId="51196"/>
    <cellStyle name="Normal 619 3 4" xfId="51197"/>
    <cellStyle name="Normal 619 3 5" xfId="51198"/>
    <cellStyle name="Normal 619 4" xfId="23083"/>
    <cellStyle name="Normal 619 4 2" xfId="51199"/>
    <cellStyle name="Normal 619 4 3" xfId="51200"/>
    <cellStyle name="Normal 619 5" xfId="23084"/>
    <cellStyle name="Normal 619 5 2" xfId="51201"/>
    <cellStyle name="Normal 619 5 3" xfId="51202"/>
    <cellStyle name="Normal 619 6" xfId="51203"/>
    <cellStyle name="Normal 619 7" xfId="51204"/>
    <cellStyle name="Normal 619 8" xfId="51205"/>
    <cellStyle name="Normal 619 9" xfId="51206"/>
    <cellStyle name="Normal 62" xfId="23085"/>
    <cellStyle name="Normal 62 10" xfId="51207"/>
    <cellStyle name="Normal 62 2" xfId="23086"/>
    <cellStyle name="Normal 62 2 2" xfId="23087"/>
    <cellStyle name="Normal 62 2 2 2" xfId="23088"/>
    <cellStyle name="Normal 62 2 2 3" xfId="23089"/>
    <cellStyle name="Normal 62 2 3" xfId="23090"/>
    <cellStyle name="Normal 62 2 3 2" xfId="51208"/>
    <cellStyle name="Normal 62 2 3 3" xfId="51209"/>
    <cellStyle name="Normal 62 2 4" xfId="23091"/>
    <cellStyle name="Normal 62 2 5" xfId="23092"/>
    <cellStyle name="Normal 62 2 6" xfId="51210"/>
    <cellStyle name="Normal 62 2 7" xfId="51211"/>
    <cellStyle name="Normal 62 2 8" xfId="51212"/>
    <cellStyle name="Normal 62 3" xfId="23093"/>
    <cellStyle name="Normal 62 3 2" xfId="23094"/>
    <cellStyle name="Normal 62 3 2 2" xfId="51213"/>
    <cellStyle name="Normal 62 3 2 3" xfId="51214"/>
    <cellStyle name="Normal 62 3 3" xfId="23095"/>
    <cellStyle name="Normal 62 3 3 2" xfId="51215"/>
    <cellStyle name="Normal 62 3 3 3" xfId="51216"/>
    <cellStyle name="Normal 62 3 4" xfId="51217"/>
    <cellStyle name="Normal 62 3 5" xfId="51218"/>
    <cellStyle name="Normal 62 4" xfId="23096"/>
    <cellStyle name="Normal 62 4 2" xfId="51219"/>
    <cellStyle name="Normal 62 4 3" xfId="51220"/>
    <cellStyle name="Normal 62 5" xfId="23097"/>
    <cellStyle name="Normal 62 5 2" xfId="51221"/>
    <cellStyle name="Normal 62 5 3" xfId="51222"/>
    <cellStyle name="Normal 62 6" xfId="23098"/>
    <cellStyle name="Normal 62 7" xfId="51223"/>
    <cellStyle name="Normal 62 8" xfId="51224"/>
    <cellStyle name="Normal 62 9" xfId="51225"/>
    <cellStyle name="Normal 620" xfId="23099"/>
    <cellStyle name="Normal 620 10" xfId="51226"/>
    <cellStyle name="Normal 620 2" xfId="23100"/>
    <cellStyle name="Normal 620 2 2" xfId="23101"/>
    <cellStyle name="Normal 620 2 2 2" xfId="51227"/>
    <cellStyle name="Normal 620 2 2 3" xfId="51228"/>
    <cellStyle name="Normal 620 2 3" xfId="23102"/>
    <cellStyle name="Normal 620 2 3 2" xfId="51229"/>
    <cellStyle name="Normal 620 2 3 3" xfId="51230"/>
    <cellStyle name="Normal 620 2 4" xfId="51231"/>
    <cellStyle name="Normal 620 2 5" xfId="51232"/>
    <cellStyle name="Normal 620 2 6" xfId="51233"/>
    <cellStyle name="Normal 620 2 7" xfId="51234"/>
    <cellStyle name="Normal 620 2 8" xfId="51235"/>
    <cellStyle name="Normal 620 3" xfId="23103"/>
    <cellStyle name="Normal 620 3 2" xfId="51236"/>
    <cellStyle name="Normal 620 3 2 2" xfId="51237"/>
    <cellStyle name="Normal 620 3 2 3" xfId="51238"/>
    <cellStyle name="Normal 620 3 3" xfId="51239"/>
    <cellStyle name="Normal 620 3 3 2" xfId="51240"/>
    <cellStyle name="Normal 620 3 3 3" xfId="51241"/>
    <cellStyle name="Normal 620 3 4" xfId="51242"/>
    <cellStyle name="Normal 620 3 5" xfId="51243"/>
    <cellStyle name="Normal 620 4" xfId="23104"/>
    <cellStyle name="Normal 620 4 2" xfId="51244"/>
    <cellStyle name="Normal 620 4 3" xfId="51245"/>
    <cellStyle name="Normal 620 5" xfId="23105"/>
    <cellStyle name="Normal 620 5 2" xfId="51246"/>
    <cellStyle name="Normal 620 5 3" xfId="51247"/>
    <cellStyle name="Normal 620 6" xfId="51248"/>
    <cellStyle name="Normal 620 7" xfId="51249"/>
    <cellStyle name="Normal 620 8" xfId="51250"/>
    <cellStyle name="Normal 620 9" xfId="51251"/>
    <cellStyle name="Normal 621" xfId="23106"/>
    <cellStyle name="Normal 621 10" xfId="51252"/>
    <cellStyle name="Normal 621 2" xfId="23107"/>
    <cellStyle name="Normal 621 2 2" xfId="23108"/>
    <cellStyle name="Normal 621 2 2 2" xfId="51253"/>
    <cellStyle name="Normal 621 2 2 3" xfId="51254"/>
    <cellStyle name="Normal 621 2 3" xfId="23109"/>
    <cellStyle name="Normal 621 2 3 2" xfId="51255"/>
    <cellStyle name="Normal 621 2 3 3" xfId="51256"/>
    <cellStyle name="Normal 621 2 4" xfId="51257"/>
    <cellStyle name="Normal 621 2 5" xfId="51258"/>
    <cellStyle name="Normal 621 2 6" xfId="51259"/>
    <cellStyle name="Normal 621 2 7" xfId="51260"/>
    <cellStyle name="Normal 621 2 8" xfId="51261"/>
    <cellStyle name="Normal 621 3" xfId="23110"/>
    <cellStyle name="Normal 621 3 2" xfId="51262"/>
    <cellStyle name="Normal 621 3 2 2" xfId="51263"/>
    <cellStyle name="Normal 621 3 2 3" xfId="51264"/>
    <cellStyle name="Normal 621 3 3" xfId="51265"/>
    <cellStyle name="Normal 621 3 3 2" xfId="51266"/>
    <cellStyle name="Normal 621 3 3 3" xfId="51267"/>
    <cellStyle name="Normal 621 3 4" xfId="51268"/>
    <cellStyle name="Normal 621 3 5" xfId="51269"/>
    <cellStyle name="Normal 621 4" xfId="23111"/>
    <cellStyle name="Normal 621 4 2" xfId="51270"/>
    <cellStyle name="Normal 621 4 3" xfId="51271"/>
    <cellStyle name="Normal 621 5" xfId="23112"/>
    <cellStyle name="Normal 621 5 2" xfId="51272"/>
    <cellStyle name="Normal 621 5 3" xfId="51273"/>
    <cellStyle name="Normal 621 6" xfId="51274"/>
    <cellStyle name="Normal 621 7" xfId="51275"/>
    <cellStyle name="Normal 621 8" xfId="51276"/>
    <cellStyle name="Normal 621 9" xfId="51277"/>
    <cellStyle name="Normal 622" xfId="23113"/>
    <cellStyle name="Normal 622 10" xfId="51278"/>
    <cellStyle name="Normal 622 2" xfId="23114"/>
    <cellStyle name="Normal 622 2 2" xfId="23115"/>
    <cellStyle name="Normal 622 2 2 2" xfId="51279"/>
    <cellStyle name="Normal 622 2 2 3" xfId="51280"/>
    <cellStyle name="Normal 622 2 3" xfId="23116"/>
    <cellStyle name="Normal 622 2 3 2" xfId="51281"/>
    <cellStyle name="Normal 622 2 3 3" xfId="51282"/>
    <cellStyle name="Normal 622 2 4" xfId="51283"/>
    <cellStyle name="Normal 622 2 5" xfId="51284"/>
    <cellStyle name="Normal 622 2 6" xfId="51285"/>
    <cellStyle name="Normal 622 2 7" xfId="51286"/>
    <cellStyle name="Normal 622 2 8" xfId="51287"/>
    <cellStyle name="Normal 622 3" xfId="23117"/>
    <cellStyle name="Normal 622 3 2" xfId="51288"/>
    <cellStyle name="Normal 622 3 2 2" xfId="51289"/>
    <cellStyle name="Normal 622 3 2 3" xfId="51290"/>
    <cellStyle name="Normal 622 3 3" xfId="51291"/>
    <cellStyle name="Normal 622 3 3 2" xfId="51292"/>
    <cellStyle name="Normal 622 3 3 3" xfId="51293"/>
    <cellStyle name="Normal 622 3 4" xfId="51294"/>
    <cellStyle name="Normal 622 3 5" xfId="51295"/>
    <cellStyle name="Normal 622 4" xfId="23118"/>
    <cellStyle name="Normal 622 4 2" xfId="51296"/>
    <cellStyle name="Normal 622 4 3" xfId="51297"/>
    <cellStyle name="Normal 622 5" xfId="23119"/>
    <cellStyle name="Normal 622 5 2" xfId="51298"/>
    <cellStyle name="Normal 622 5 3" xfId="51299"/>
    <cellStyle name="Normal 622 6" xfId="51300"/>
    <cellStyle name="Normal 622 7" xfId="51301"/>
    <cellStyle name="Normal 622 8" xfId="51302"/>
    <cellStyle name="Normal 622 9" xfId="51303"/>
    <cellStyle name="Normal 623" xfId="23120"/>
    <cellStyle name="Normal 623 10" xfId="51304"/>
    <cellStyle name="Normal 623 2" xfId="23121"/>
    <cellStyle name="Normal 623 2 2" xfId="23122"/>
    <cellStyle name="Normal 623 2 2 2" xfId="51305"/>
    <cellStyle name="Normal 623 2 2 3" xfId="51306"/>
    <cellStyle name="Normal 623 2 3" xfId="23123"/>
    <cellStyle name="Normal 623 2 3 2" xfId="51307"/>
    <cellStyle name="Normal 623 2 3 3" xfId="51308"/>
    <cellStyle name="Normal 623 2 4" xfId="51309"/>
    <cellStyle name="Normal 623 2 5" xfId="51310"/>
    <cellStyle name="Normal 623 2 6" xfId="51311"/>
    <cellStyle name="Normal 623 2 7" xfId="51312"/>
    <cellStyle name="Normal 623 2 8" xfId="51313"/>
    <cellStyle name="Normal 623 3" xfId="23124"/>
    <cellStyle name="Normal 623 3 2" xfId="51314"/>
    <cellStyle name="Normal 623 3 2 2" xfId="51315"/>
    <cellStyle name="Normal 623 3 2 3" xfId="51316"/>
    <cellStyle name="Normal 623 3 3" xfId="51317"/>
    <cellStyle name="Normal 623 3 3 2" xfId="51318"/>
    <cellStyle name="Normal 623 3 3 3" xfId="51319"/>
    <cellStyle name="Normal 623 3 4" xfId="51320"/>
    <cellStyle name="Normal 623 3 5" xfId="51321"/>
    <cellStyle name="Normal 623 4" xfId="23125"/>
    <cellStyle name="Normal 623 4 2" xfId="51322"/>
    <cellStyle name="Normal 623 4 3" xfId="51323"/>
    <cellStyle name="Normal 623 5" xfId="23126"/>
    <cellStyle name="Normal 623 5 2" xfId="51324"/>
    <cellStyle name="Normal 623 5 3" xfId="51325"/>
    <cellStyle name="Normal 623 6" xfId="51326"/>
    <cellStyle name="Normal 623 7" xfId="51327"/>
    <cellStyle name="Normal 623 8" xfId="51328"/>
    <cellStyle name="Normal 623 9" xfId="51329"/>
    <cellStyle name="Normal 624" xfId="23127"/>
    <cellStyle name="Normal 624 10" xfId="51330"/>
    <cellStyle name="Normal 624 2" xfId="23128"/>
    <cellStyle name="Normal 624 2 2" xfId="23129"/>
    <cellStyle name="Normal 624 2 2 2" xfId="51331"/>
    <cellStyle name="Normal 624 2 2 3" xfId="51332"/>
    <cellStyle name="Normal 624 2 3" xfId="23130"/>
    <cellStyle name="Normal 624 2 3 2" xfId="51333"/>
    <cellStyle name="Normal 624 2 3 3" xfId="51334"/>
    <cellStyle name="Normal 624 2 4" xfId="51335"/>
    <cellStyle name="Normal 624 2 5" xfId="51336"/>
    <cellStyle name="Normal 624 2 6" xfId="51337"/>
    <cellStyle name="Normal 624 2 7" xfId="51338"/>
    <cellStyle name="Normal 624 2 8" xfId="51339"/>
    <cellStyle name="Normal 624 3" xfId="23131"/>
    <cellStyle name="Normal 624 3 2" xfId="51340"/>
    <cellStyle name="Normal 624 3 2 2" xfId="51341"/>
    <cellStyle name="Normal 624 3 2 3" xfId="51342"/>
    <cellStyle name="Normal 624 3 3" xfId="51343"/>
    <cellStyle name="Normal 624 3 3 2" xfId="51344"/>
    <cellStyle name="Normal 624 3 3 3" xfId="51345"/>
    <cellStyle name="Normal 624 3 4" xfId="51346"/>
    <cellStyle name="Normal 624 3 5" xfId="51347"/>
    <cellStyle name="Normal 624 4" xfId="23132"/>
    <cellStyle name="Normal 624 4 2" xfId="51348"/>
    <cellStyle name="Normal 624 4 3" xfId="51349"/>
    <cellStyle name="Normal 624 5" xfId="23133"/>
    <cellStyle name="Normal 624 5 2" xfId="51350"/>
    <cellStyle name="Normal 624 5 3" xfId="51351"/>
    <cellStyle name="Normal 624 6" xfId="51352"/>
    <cellStyle name="Normal 624 7" xfId="51353"/>
    <cellStyle name="Normal 624 8" xfId="51354"/>
    <cellStyle name="Normal 624 9" xfId="51355"/>
    <cellStyle name="Normal 625" xfId="23134"/>
    <cellStyle name="Normal 625 10" xfId="51356"/>
    <cellStyle name="Normal 625 2" xfId="23135"/>
    <cellStyle name="Normal 625 2 2" xfId="23136"/>
    <cellStyle name="Normal 625 2 2 2" xfId="51357"/>
    <cellStyle name="Normal 625 2 2 3" xfId="51358"/>
    <cellStyle name="Normal 625 2 3" xfId="23137"/>
    <cellStyle name="Normal 625 2 3 2" xfId="51359"/>
    <cellStyle name="Normal 625 2 3 3" xfId="51360"/>
    <cellStyle name="Normal 625 2 4" xfId="51361"/>
    <cellStyle name="Normal 625 2 5" xfId="51362"/>
    <cellStyle name="Normal 625 2 6" xfId="51363"/>
    <cellStyle name="Normal 625 2 7" xfId="51364"/>
    <cellStyle name="Normal 625 2 8" xfId="51365"/>
    <cellStyle name="Normal 625 3" xfId="23138"/>
    <cellStyle name="Normal 625 3 2" xfId="51366"/>
    <cellStyle name="Normal 625 3 2 2" xfId="51367"/>
    <cellStyle name="Normal 625 3 2 3" xfId="51368"/>
    <cellStyle name="Normal 625 3 3" xfId="51369"/>
    <cellStyle name="Normal 625 3 3 2" xfId="51370"/>
    <cellStyle name="Normal 625 3 3 3" xfId="51371"/>
    <cellStyle name="Normal 625 3 4" xfId="51372"/>
    <cellStyle name="Normal 625 3 5" xfId="51373"/>
    <cellStyle name="Normal 625 4" xfId="23139"/>
    <cellStyle name="Normal 625 4 2" xfId="51374"/>
    <cellStyle name="Normal 625 4 3" xfId="51375"/>
    <cellStyle name="Normal 625 5" xfId="23140"/>
    <cellStyle name="Normal 625 5 2" xfId="51376"/>
    <cellStyle name="Normal 625 5 3" xfId="51377"/>
    <cellStyle name="Normal 625 6" xfId="51378"/>
    <cellStyle name="Normal 625 7" xfId="51379"/>
    <cellStyle name="Normal 625 8" xfId="51380"/>
    <cellStyle name="Normal 625 9" xfId="51381"/>
    <cellStyle name="Normal 626" xfId="23141"/>
    <cellStyle name="Normal 626 10" xfId="51382"/>
    <cellStyle name="Normal 626 2" xfId="23142"/>
    <cellStyle name="Normal 626 2 2" xfId="23143"/>
    <cellStyle name="Normal 626 2 2 2" xfId="51383"/>
    <cellStyle name="Normal 626 2 2 3" xfId="51384"/>
    <cellStyle name="Normal 626 2 3" xfId="23144"/>
    <cellStyle name="Normal 626 2 3 2" xfId="51385"/>
    <cellStyle name="Normal 626 2 3 3" xfId="51386"/>
    <cellStyle name="Normal 626 2 4" xfId="51387"/>
    <cellStyle name="Normal 626 2 5" xfId="51388"/>
    <cellStyle name="Normal 626 2 6" xfId="51389"/>
    <cellStyle name="Normal 626 2 7" xfId="51390"/>
    <cellStyle name="Normal 626 2 8" xfId="51391"/>
    <cellStyle name="Normal 626 3" xfId="23145"/>
    <cellStyle name="Normal 626 3 2" xfId="51392"/>
    <cellStyle name="Normal 626 3 2 2" xfId="51393"/>
    <cellStyle name="Normal 626 3 2 3" xfId="51394"/>
    <cellStyle name="Normal 626 3 3" xfId="51395"/>
    <cellStyle name="Normal 626 3 3 2" xfId="51396"/>
    <cellStyle name="Normal 626 3 3 3" xfId="51397"/>
    <cellStyle name="Normal 626 3 4" xfId="51398"/>
    <cellStyle name="Normal 626 3 5" xfId="51399"/>
    <cellStyle name="Normal 626 4" xfId="23146"/>
    <cellStyle name="Normal 626 4 2" xfId="51400"/>
    <cellStyle name="Normal 626 4 3" xfId="51401"/>
    <cellStyle name="Normal 626 5" xfId="23147"/>
    <cellStyle name="Normal 626 5 2" xfId="51402"/>
    <cellStyle name="Normal 626 5 3" xfId="51403"/>
    <cellStyle name="Normal 626 6" xfId="51404"/>
    <cellStyle name="Normal 626 7" xfId="51405"/>
    <cellStyle name="Normal 626 8" xfId="51406"/>
    <cellStyle name="Normal 626 9" xfId="51407"/>
    <cellStyle name="Normal 627" xfId="23148"/>
    <cellStyle name="Normal 627 10" xfId="51408"/>
    <cellStyle name="Normal 627 2" xfId="23149"/>
    <cellStyle name="Normal 627 2 2" xfId="23150"/>
    <cellStyle name="Normal 627 2 2 2" xfId="51409"/>
    <cellStyle name="Normal 627 2 2 3" xfId="51410"/>
    <cellStyle name="Normal 627 2 3" xfId="23151"/>
    <cellStyle name="Normal 627 2 3 2" xfId="51411"/>
    <cellStyle name="Normal 627 2 3 3" xfId="51412"/>
    <cellStyle name="Normal 627 2 4" xfId="51413"/>
    <cellStyle name="Normal 627 2 5" xfId="51414"/>
    <cellStyle name="Normal 627 2 6" xfId="51415"/>
    <cellStyle name="Normal 627 2 7" xfId="51416"/>
    <cellStyle name="Normal 627 2 8" xfId="51417"/>
    <cellStyle name="Normal 627 3" xfId="23152"/>
    <cellStyle name="Normal 627 3 2" xfId="51418"/>
    <cellStyle name="Normal 627 3 2 2" xfId="51419"/>
    <cellStyle name="Normal 627 3 2 3" xfId="51420"/>
    <cellStyle name="Normal 627 3 3" xfId="51421"/>
    <cellStyle name="Normal 627 3 3 2" xfId="51422"/>
    <cellStyle name="Normal 627 3 3 3" xfId="51423"/>
    <cellStyle name="Normal 627 3 4" xfId="51424"/>
    <cellStyle name="Normal 627 3 5" xfId="51425"/>
    <cellStyle name="Normal 627 4" xfId="23153"/>
    <cellStyle name="Normal 627 4 2" xfId="51426"/>
    <cellStyle name="Normal 627 4 3" xfId="51427"/>
    <cellStyle name="Normal 627 5" xfId="23154"/>
    <cellStyle name="Normal 627 5 2" xfId="51428"/>
    <cellStyle name="Normal 627 5 3" xfId="51429"/>
    <cellStyle name="Normal 627 6" xfId="51430"/>
    <cellStyle name="Normal 627 7" xfId="51431"/>
    <cellStyle name="Normal 627 8" xfId="51432"/>
    <cellStyle name="Normal 627 9" xfId="51433"/>
    <cellStyle name="Normal 628" xfId="23155"/>
    <cellStyle name="Normal 628 10" xfId="51434"/>
    <cellStyle name="Normal 628 2" xfId="23156"/>
    <cellStyle name="Normal 628 2 2" xfId="23157"/>
    <cellStyle name="Normal 628 2 2 2" xfId="51435"/>
    <cellStyle name="Normal 628 2 2 3" xfId="51436"/>
    <cellStyle name="Normal 628 2 3" xfId="23158"/>
    <cellStyle name="Normal 628 2 3 2" xfId="51437"/>
    <cellStyle name="Normal 628 2 3 3" xfId="51438"/>
    <cellStyle name="Normal 628 2 4" xfId="51439"/>
    <cellStyle name="Normal 628 2 5" xfId="51440"/>
    <cellStyle name="Normal 628 2 6" xfId="51441"/>
    <cellStyle name="Normal 628 2 7" xfId="51442"/>
    <cellStyle name="Normal 628 2 8" xfId="51443"/>
    <cellStyle name="Normal 628 3" xfId="23159"/>
    <cellStyle name="Normal 628 3 2" xfId="51444"/>
    <cellStyle name="Normal 628 3 2 2" xfId="51445"/>
    <cellStyle name="Normal 628 3 2 3" xfId="51446"/>
    <cellStyle name="Normal 628 3 3" xfId="51447"/>
    <cellStyle name="Normal 628 3 3 2" xfId="51448"/>
    <cellStyle name="Normal 628 3 3 3" xfId="51449"/>
    <cellStyle name="Normal 628 3 4" xfId="51450"/>
    <cellStyle name="Normal 628 3 5" xfId="51451"/>
    <cellStyle name="Normal 628 4" xfId="23160"/>
    <cellStyle name="Normal 628 4 2" xfId="51452"/>
    <cellStyle name="Normal 628 4 3" xfId="51453"/>
    <cellStyle name="Normal 628 5" xfId="23161"/>
    <cellStyle name="Normal 628 5 2" xfId="51454"/>
    <cellStyle name="Normal 628 5 3" xfId="51455"/>
    <cellStyle name="Normal 628 6" xfId="51456"/>
    <cellStyle name="Normal 628 7" xfId="51457"/>
    <cellStyle name="Normal 628 8" xfId="51458"/>
    <cellStyle name="Normal 628 9" xfId="51459"/>
    <cellStyle name="Normal 629" xfId="23162"/>
    <cellStyle name="Normal 629 10" xfId="51460"/>
    <cellStyle name="Normal 629 2" xfId="23163"/>
    <cellStyle name="Normal 629 2 2" xfId="23164"/>
    <cellStyle name="Normal 629 2 2 2" xfId="51461"/>
    <cellStyle name="Normal 629 2 2 3" xfId="51462"/>
    <cellStyle name="Normal 629 2 3" xfId="23165"/>
    <cellStyle name="Normal 629 2 3 2" xfId="51463"/>
    <cellStyle name="Normal 629 2 3 3" xfId="51464"/>
    <cellStyle name="Normal 629 2 4" xfId="51465"/>
    <cellStyle name="Normal 629 2 5" xfId="51466"/>
    <cellStyle name="Normal 629 2 6" xfId="51467"/>
    <cellStyle name="Normal 629 2 7" xfId="51468"/>
    <cellStyle name="Normal 629 2 8" xfId="51469"/>
    <cellStyle name="Normal 629 3" xfId="23166"/>
    <cellStyle name="Normal 629 3 2" xfId="51470"/>
    <cellStyle name="Normal 629 3 2 2" xfId="51471"/>
    <cellStyle name="Normal 629 3 2 3" xfId="51472"/>
    <cellStyle name="Normal 629 3 3" xfId="51473"/>
    <cellStyle name="Normal 629 3 3 2" xfId="51474"/>
    <cellStyle name="Normal 629 3 3 3" xfId="51475"/>
    <cellStyle name="Normal 629 3 4" xfId="51476"/>
    <cellStyle name="Normal 629 3 5" xfId="51477"/>
    <cellStyle name="Normal 629 4" xfId="23167"/>
    <cellStyle name="Normal 629 4 2" xfId="51478"/>
    <cellStyle name="Normal 629 4 3" xfId="51479"/>
    <cellStyle name="Normal 629 5" xfId="23168"/>
    <cellStyle name="Normal 629 5 2" xfId="51480"/>
    <cellStyle name="Normal 629 5 3" xfId="51481"/>
    <cellStyle name="Normal 629 6" xfId="51482"/>
    <cellStyle name="Normal 629 7" xfId="51483"/>
    <cellStyle name="Normal 629 8" xfId="51484"/>
    <cellStyle name="Normal 629 9" xfId="51485"/>
    <cellStyle name="Normal 63" xfId="23169"/>
    <cellStyle name="Normal 63 10" xfId="51486"/>
    <cellStyle name="Normal 63 2" xfId="23170"/>
    <cellStyle name="Normal 63 2 2" xfId="23171"/>
    <cellStyle name="Normal 63 2 2 2" xfId="23172"/>
    <cellStyle name="Normal 63 2 2 3" xfId="23173"/>
    <cellStyle name="Normal 63 2 3" xfId="23174"/>
    <cellStyle name="Normal 63 2 3 2" xfId="51487"/>
    <cellStyle name="Normal 63 2 3 3" xfId="51488"/>
    <cellStyle name="Normal 63 2 4" xfId="23175"/>
    <cellStyle name="Normal 63 2 5" xfId="23176"/>
    <cellStyle name="Normal 63 2 6" xfId="51489"/>
    <cellStyle name="Normal 63 2 7" xfId="51490"/>
    <cellStyle name="Normal 63 2 8" xfId="51491"/>
    <cellStyle name="Normal 63 3" xfId="23177"/>
    <cellStyle name="Normal 63 3 2" xfId="23178"/>
    <cellStyle name="Normal 63 3 2 2" xfId="51492"/>
    <cellStyle name="Normal 63 3 2 3" xfId="51493"/>
    <cellStyle name="Normal 63 3 3" xfId="23179"/>
    <cellStyle name="Normal 63 3 3 2" xfId="51494"/>
    <cellStyle name="Normal 63 3 3 3" xfId="51495"/>
    <cellStyle name="Normal 63 3 4" xfId="51496"/>
    <cellStyle name="Normal 63 3 5" xfId="51497"/>
    <cellStyle name="Normal 63 3 6" xfId="51498"/>
    <cellStyle name="Normal 63 3 7" xfId="51499"/>
    <cellStyle name="Normal 63 3 8" xfId="51500"/>
    <cellStyle name="Normal 63 4" xfId="23180"/>
    <cellStyle name="Normal 63 4 2" xfId="51501"/>
    <cellStyle name="Normal 63 4 3" xfId="51502"/>
    <cellStyle name="Normal 63 5" xfId="23181"/>
    <cellStyle name="Normal 63 5 2" xfId="51503"/>
    <cellStyle name="Normal 63 5 3" xfId="51504"/>
    <cellStyle name="Normal 63 6" xfId="23182"/>
    <cellStyle name="Normal 63 7" xfId="51505"/>
    <cellStyle name="Normal 63 8" xfId="51506"/>
    <cellStyle name="Normal 63 9" xfId="51507"/>
    <cellStyle name="Normal 630" xfId="23183"/>
    <cellStyle name="Normal 630 10" xfId="51508"/>
    <cellStyle name="Normal 630 2" xfId="23184"/>
    <cellStyle name="Normal 630 2 2" xfId="23185"/>
    <cellStyle name="Normal 630 2 2 2" xfId="51509"/>
    <cellStyle name="Normal 630 2 2 3" xfId="51510"/>
    <cellStyle name="Normal 630 2 3" xfId="23186"/>
    <cellStyle name="Normal 630 2 3 2" xfId="51511"/>
    <cellStyle name="Normal 630 2 3 3" xfId="51512"/>
    <cellStyle name="Normal 630 2 4" xfId="51513"/>
    <cellStyle name="Normal 630 2 5" xfId="51514"/>
    <cellStyle name="Normal 630 2 6" xfId="51515"/>
    <cellStyle name="Normal 630 2 7" xfId="51516"/>
    <cellStyle name="Normal 630 2 8" xfId="51517"/>
    <cellStyle name="Normal 630 3" xfId="23187"/>
    <cellStyle name="Normal 630 3 2" xfId="51518"/>
    <cellStyle name="Normal 630 3 2 2" xfId="51519"/>
    <cellStyle name="Normal 630 3 2 3" xfId="51520"/>
    <cellStyle name="Normal 630 3 3" xfId="51521"/>
    <cellStyle name="Normal 630 3 3 2" xfId="51522"/>
    <cellStyle name="Normal 630 3 3 3" xfId="51523"/>
    <cellStyle name="Normal 630 3 4" xfId="51524"/>
    <cellStyle name="Normal 630 3 5" xfId="51525"/>
    <cellStyle name="Normal 630 4" xfId="23188"/>
    <cellStyle name="Normal 630 4 2" xfId="51526"/>
    <cellStyle name="Normal 630 4 3" xfId="51527"/>
    <cellStyle name="Normal 630 5" xfId="23189"/>
    <cellStyle name="Normal 630 5 2" xfId="51528"/>
    <cellStyle name="Normal 630 5 3" xfId="51529"/>
    <cellStyle name="Normal 630 6" xfId="51530"/>
    <cellStyle name="Normal 630 7" xfId="51531"/>
    <cellStyle name="Normal 630 8" xfId="51532"/>
    <cellStyle name="Normal 630 9" xfId="51533"/>
    <cellStyle name="Normal 631" xfId="23190"/>
    <cellStyle name="Normal 631 10" xfId="51534"/>
    <cellStyle name="Normal 631 2" xfId="23191"/>
    <cellStyle name="Normal 631 2 2" xfId="23192"/>
    <cellStyle name="Normal 631 2 2 2" xfId="51535"/>
    <cellStyle name="Normal 631 2 2 3" xfId="51536"/>
    <cellStyle name="Normal 631 2 3" xfId="23193"/>
    <cellStyle name="Normal 631 2 3 2" xfId="51537"/>
    <cellStyle name="Normal 631 2 3 3" xfId="51538"/>
    <cellStyle name="Normal 631 2 4" xfId="51539"/>
    <cellStyle name="Normal 631 2 5" xfId="51540"/>
    <cellStyle name="Normal 631 2 6" xfId="51541"/>
    <cellStyle name="Normal 631 2 7" xfId="51542"/>
    <cellStyle name="Normal 631 2 8" xfId="51543"/>
    <cellStyle name="Normal 631 3" xfId="23194"/>
    <cellStyle name="Normal 631 3 2" xfId="51544"/>
    <cellStyle name="Normal 631 3 2 2" xfId="51545"/>
    <cellStyle name="Normal 631 3 2 3" xfId="51546"/>
    <cellStyle name="Normal 631 3 3" xfId="51547"/>
    <cellStyle name="Normal 631 3 3 2" xfId="51548"/>
    <cellStyle name="Normal 631 3 3 3" xfId="51549"/>
    <cellStyle name="Normal 631 3 4" xfId="51550"/>
    <cellStyle name="Normal 631 3 5" xfId="51551"/>
    <cellStyle name="Normal 631 4" xfId="23195"/>
    <cellStyle name="Normal 631 4 2" xfId="51552"/>
    <cellStyle name="Normal 631 4 3" xfId="51553"/>
    <cellStyle name="Normal 631 5" xfId="23196"/>
    <cellStyle name="Normal 631 5 2" xfId="51554"/>
    <cellStyle name="Normal 631 5 3" xfId="51555"/>
    <cellStyle name="Normal 631 6" xfId="51556"/>
    <cellStyle name="Normal 631 7" xfId="51557"/>
    <cellStyle name="Normal 631 8" xfId="51558"/>
    <cellStyle name="Normal 631 9" xfId="51559"/>
    <cellStyle name="Normal 632" xfId="23197"/>
    <cellStyle name="Normal 632 10" xfId="51560"/>
    <cellStyle name="Normal 632 2" xfId="23198"/>
    <cellStyle name="Normal 632 2 2" xfId="23199"/>
    <cellStyle name="Normal 632 2 2 2" xfId="51561"/>
    <cellStyle name="Normal 632 2 2 3" xfId="51562"/>
    <cellStyle name="Normal 632 2 3" xfId="23200"/>
    <cellStyle name="Normal 632 2 3 2" xfId="51563"/>
    <cellStyle name="Normal 632 2 3 3" xfId="51564"/>
    <cellStyle name="Normal 632 2 4" xfId="51565"/>
    <cellStyle name="Normal 632 2 5" xfId="51566"/>
    <cellStyle name="Normal 632 2 6" xfId="51567"/>
    <cellStyle name="Normal 632 2 7" xfId="51568"/>
    <cellStyle name="Normal 632 2 8" xfId="51569"/>
    <cellStyle name="Normal 632 3" xfId="23201"/>
    <cellStyle name="Normal 632 3 2" xfId="51570"/>
    <cellStyle name="Normal 632 3 2 2" xfId="51571"/>
    <cellStyle name="Normal 632 3 2 3" xfId="51572"/>
    <cellStyle name="Normal 632 3 3" xfId="51573"/>
    <cellStyle name="Normal 632 3 3 2" xfId="51574"/>
    <cellStyle name="Normal 632 3 3 3" xfId="51575"/>
    <cellStyle name="Normal 632 3 4" xfId="51576"/>
    <cellStyle name="Normal 632 3 5" xfId="51577"/>
    <cellStyle name="Normal 632 4" xfId="23202"/>
    <cellStyle name="Normal 632 4 2" xfId="51578"/>
    <cellStyle name="Normal 632 4 3" xfId="51579"/>
    <cellStyle name="Normal 632 5" xfId="23203"/>
    <cellStyle name="Normal 632 5 2" xfId="51580"/>
    <cellStyle name="Normal 632 5 3" xfId="51581"/>
    <cellStyle name="Normal 632 6" xfId="51582"/>
    <cellStyle name="Normal 632 7" xfId="51583"/>
    <cellStyle name="Normal 632 8" xfId="51584"/>
    <cellStyle name="Normal 632 9" xfId="51585"/>
    <cellStyle name="Normal 633" xfId="23204"/>
    <cellStyle name="Normal 633 10" xfId="51586"/>
    <cellStyle name="Normal 633 2" xfId="23205"/>
    <cellStyle name="Normal 633 2 2" xfId="23206"/>
    <cellStyle name="Normal 633 2 2 2" xfId="51587"/>
    <cellStyle name="Normal 633 2 2 3" xfId="51588"/>
    <cellStyle name="Normal 633 2 3" xfId="23207"/>
    <cellStyle name="Normal 633 2 3 2" xfId="51589"/>
    <cellStyle name="Normal 633 2 3 3" xfId="51590"/>
    <cellStyle name="Normal 633 2 4" xfId="51591"/>
    <cellStyle name="Normal 633 2 5" xfId="51592"/>
    <cellStyle name="Normal 633 2 6" xfId="51593"/>
    <cellStyle name="Normal 633 2 7" xfId="51594"/>
    <cellStyle name="Normal 633 2 8" xfId="51595"/>
    <cellStyle name="Normal 633 3" xfId="23208"/>
    <cellStyle name="Normal 633 3 2" xfId="51596"/>
    <cellStyle name="Normal 633 3 2 2" xfId="51597"/>
    <cellStyle name="Normal 633 3 2 3" xfId="51598"/>
    <cellStyle name="Normal 633 3 3" xfId="51599"/>
    <cellStyle name="Normal 633 3 3 2" xfId="51600"/>
    <cellStyle name="Normal 633 3 3 3" xfId="51601"/>
    <cellStyle name="Normal 633 3 4" xfId="51602"/>
    <cellStyle name="Normal 633 3 5" xfId="51603"/>
    <cellStyle name="Normal 633 4" xfId="23209"/>
    <cellStyle name="Normal 633 4 2" xfId="51604"/>
    <cellStyle name="Normal 633 4 3" xfId="51605"/>
    <cellStyle name="Normal 633 5" xfId="23210"/>
    <cellStyle name="Normal 633 5 2" xfId="51606"/>
    <cellStyle name="Normal 633 5 3" xfId="51607"/>
    <cellStyle name="Normal 633 6" xfId="51608"/>
    <cellStyle name="Normal 633 7" xfId="51609"/>
    <cellStyle name="Normal 633 8" xfId="51610"/>
    <cellStyle name="Normal 633 9" xfId="51611"/>
    <cellStyle name="Normal 634" xfId="23211"/>
    <cellStyle name="Normal 634 10" xfId="51612"/>
    <cellStyle name="Normal 634 2" xfId="23212"/>
    <cellStyle name="Normal 634 2 2" xfId="23213"/>
    <cellStyle name="Normal 634 2 2 2" xfId="51613"/>
    <cellStyle name="Normal 634 2 2 3" xfId="51614"/>
    <cellStyle name="Normal 634 2 3" xfId="23214"/>
    <cellStyle name="Normal 634 2 3 2" xfId="51615"/>
    <cellStyle name="Normal 634 2 3 3" xfId="51616"/>
    <cellStyle name="Normal 634 2 4" xfId="51617"/>
    <cellStyle name="Normal 634 2 5" xfId="51618"/>
    <cellStyle name="Normal 634 2 6" xfId="51619"/>
    <cellStyle name="Normal 634 2 7" xfId="51620"/>
    <cellStyle name="Normal 634 2 8" xfId="51621"/>
    <cellStyle name="Normal 634 3" xfId="23215"/>
    <cellStyle name="Normal 634 3 2" xfId="51622"/>
    <cellStyle name="Normal 634 3 2 2" xfId="51623"/>
    <cellStyle name="Normal 634 3 2 3" xfId="51624"/>
    <cellStyle name="Normal 634 3 3" xfId="51625"/>
    <cellStyle name="Normal 634 3 3 2" xfId="51626"/>
    <cellStyle name="Normal 634 3 3 3" xfId="51627"/>
    <cellStyle name="Normal 634 3 4" xfId="51628"/>
    <cellStyle name="Normal 634 3 5" xfId="51629"/>
    <cellStyle name="Normal 634 4" xfId="23216"/>
    <cellStyle name="Normal 634 4 2" xfId="51630"/>
    <cellStyle name="Normal 634 4 3" xfId="51631"/>
    <cellStyle name="Normal 634 5" xfId="23217"/>
    <cellStyle name="Normal 634 5 2" xfId="51632"/>
    <cellStyle name="Normal 634 5 3" xfId="51633"/>
    <cellStyle name="Normal 634 6" xfId="51634"/>
    <cellStyle name="Normal 634 7" xfId="51635"/>
    <cellStyle name="Normal 634 8" xfId="51636"/>
    <cellStyle name="Normal 634 9" xfId="51637"/>
    <cellStyle name="Normal 635" xfId="23218"/>
    <cellStyle name="Normal 635 10" xfId="51638"/>
    <cellStyle name="Normal 635 2" xfId="23219"/>
    <cellStyle name="Normal 635 2 2" xfId="23220"/>
    <cellStyle name="Normal 635 2 2 2" xfId="51639"/>
    <cellStyle name="Normal 635 2 2 3" xfId="51640"/>
    <cellStyle name="Normal 635 2 3" xfId="23221"/>
    <cellStyle name="Normal 635 2 3 2" xfId="51641"/>
    <cellStyle name="Normal 635 2 3 3" xfId="51642"/>
    <cellStyle name="Normal 635 2 4" xfId="51643"/>
    <cellStyle name="Normal 635 2 5" xfId="51644"/>
    <cellStyle name="Normal 635 2 6" xfId="51645"/>
    <cellStyle name="Normal 635 2 7" xfId="51646"/>
    <cellStyle name="Normal 635 2 8" xfId="51647"/>
    <cellStyle name="Normal 635 3" xfId="23222"/>
    <cellStyle name="Normal 635 3 2" xfId="51648"/>
    <cellStyle name="Normal 635 3 2 2" xfId="51649"/>
    <cellStyle name="Normal 635 3 2 3" xfId="51650"/>
    <cellStyle name="Normal 635 3 3" xfId="51651"/>
    <cellStyle name="Normal 635 3 3 2" xfId="51652"/>
    <cellStyle name="Normal 635 3 3 3" xfId="51653"/>
    <cellStyle name="Normal 635 3 4" xfId="51654"/>
    <cellStyle name="Normal 635 3 5" xfId="51655"/>
    <cellStyle name="Normal 635 4" xfId="23223"/>
    <cellStyle name="Normal 635 4 2" xfId="51656"/>
    <cellStyle name="Normal 635 4 3" xfId="51657"/>
    <cellStyle name="Normal 635 5" xfId="23224"/>
    <cellStyle name="Normal 635 5 2" xfId="51658"/>
    <cellStyle name="Normal 635 5 3" xfId="51659"/>
    <cellStyle name="Normal 635 6" xfId="51660"/>
    <cellStyle name="Normal 635 7" xfId="51661"/>
    <cellStyle name="Normal 635 8" xfId="51662"/>
    <cellStyle name="Normal 635 9" xfId="51663"/>
    <cellStyle name="Normal 636" xfId="23225"/>
    <cellStyle name="Normal 636 10" xfId="51664"/>
    <cellStyle name="Normal 636 2" xfId="23226"/>
    <cellStyle name="Normal 636 2 2" xfId="23227"/>
    <cellStyle name="Normal 636 2 2 2" xfId="51665"/>
    <cellStyle name="Normal 636 2 2 3" xfId="51666"/>
    <cellStyle name="Normal 636 2 3" xfId="23228"/>
    <cellStyle name="Normal 636 2 3 2" xfId="51667"/>
    <cellStyle name="Normal 636 2 3 3" xfId="51668"/>
    <cellStyle name="Normal 636 2 4" xfId="51669"/>
    <cellStyle name="Normal 636 2 5" xfId="51670"/>
    <cellStyle name="Normal 636 2 6" xfId="51671"/>
    <cellStyle name="Normal 636 2 7" xfId="51672"/>
    <cellStyle name="Normal 636 2 8" xfId="51673"/>
    <cellStyle name="Normal 636 3" xfId="23229"/>
    <cellStyle name="Normal 636 3 2" xfId="51674"/>
    <cellStyle name="Normal 636 3 2 2" xfId="51675"/>
    <cellStyle name="Normal 636 3 2 3" xfId="51676"/>
    <cellStyle name="Normal 636 3 3" xfId="51677"/>
    <cellStyle name="Normal 636 3 3 2" xfId="51678"/>
    <cellStyle name="Normal 636 3 3 3" xfId="51679"/>
    <cellStyle name="Normal 636 3 4" xfId="51680"/>
    <cellStyle name="Normal 636 3 5" xfId="51681"/>
    <cellStyle name="Normal 636 4" xfId="23230"/>
    <cellStyle name="Normal 636 4 2" xfId="51682"/>
    <cellStyle name="Normal 636 4 3" xfId="51683"/>
    <cellStyle name="Normal 636 5" xfId="23231"/>
    <cellStyle name="Normal 636 5 2" xfId="51684"/>
    <cellStyle name="Normal 636 5 3" xfId="51685"/>
    <cellStyle name="Normal 636 6" xfId="51686"/>
    <cellStyle name="Normal 636 7" xfId="51687"/>
    <cellStyle name="Normal 636 8" xfId="51688"/>
    <cellStyle name="Normal 636 9" xfId="51689"/>
    <cellStyle name="Normal 637" xfId="23232"/>
    <cellStyle name="Normal 637 10" xfId="51690"/>
    <cellStyle name="Normal 637 2" xfId="23233"/>
    <cellStyle name="Normal 637 2 2" xfId="23234"/>
    <cellStyle name="Normal 637 2 2 2" xfId="51691"/>
    <cellStyle name="Normal 637 2 2 3" xfId="51692"/>
    <cellStyle name="Normal 637 2 3" xfId="23235"/>
    <cellStyle name="Normal 637 2 3 2" xfId="51693"/>
    <cellStyle name="Normal 637 2 3 3" xfId="51694"/>
    <cellStyle name="Normal 637 2 4" xfId="51695"/>
    <cellStyle name="Normal 637 2 5" xfId="51696"/>
    <cellStyle name="Normal 637 2 6" xfId="51697"/>
    <cellStyle name="Normal 637 2 7" xfId="51698"/>
    <cellStyle name="Normal 637 2 8" xfId="51699"/>
    <cellStyle name="Normal 637 3" xfId="23236"/>
    <cellStyle name="Normal 637 3 2" xfId="51700"/>
    <cellStyle name="Normal 637 3 2 2" xfId="51701"/>
    <cellStyle name="Normal 637 3 2 3" xfId="51702"/>
    <cellStyle name="Normal 637 3 3" xfId="51703"/>
    <cellStyle name="Normal 637 3 3 2" xfId="51704"/>
    <cellStyle name="Normal 637 3 3 3" xfId="51705"/>
    <cellStyle name="Normal 637 3 4" xfId="51706"/>
    <cellStyle name="Normal 637 3 5" xfId="51707"/>
    <cellStyle name="Normal 637 4" xfId="23237"/>
    <cellStyle name="Normal 637 4 2" xfId="51708"/>
    <cellStyle name="Normal 637 4 3" xfId="51709"/>
    <cellStyle name="Normal 637 5" xfId="23238"/>
    <cellStyle name="Normal 637 5 2" xfId="51710"/>
    <cellStyle name="Normal 637 5 3" xfId="51711"/>
    <cellStyle name="Normal 637 6" xfId="51712"/>
    <cellStyle name="Normal 637 7" xfId="51713"/>
    <cellStyle name="Normal 637 8" xfId="51714"/>
    <cellStyle name="Normal 637 9" xfId="51715"/>
    <cellStyle name="Normal 638" xfId="23239"/>
    <cellStyle name="Normal 638 10" xfId="51716"/>
    <cellStyle name="Normal 638 2" xfId="23240"/>
    <cellStyle name="Normal 638 2 2" xfId="23241"/>
    <cellStyle name="Normal 638 2 2 2" xfId="51717"/>
    <cellStyle name="Normal 638 2 2 3" xfId="51718"/>
    <cellStyle name="Normal 638 2 3" xfId="23242"/>
    <cellStyle name="Normal 638 2 3 2" xfId="51719"/>
    <cellStyle name="Normal 638 2 3 3" xfId="51720"/>
    <cellStyle name="Normal 638 2 4" xfId="51721"/>
    <cellStyle name="Normal 638 2 5" xfId="51722"/>
    <cellStyle name="Normal 638 2 6" xfId="51723"/>
    <cellStyle name="Normal 638 2 7" xfId="51724"/>
    <cellStyle name="Normal 638 2 8" xfId="51725"/>
    <cellStyle name="Normal 638 3" xfId="23243"/>
    <cellStyle name="Normal 638 3 2" xfId="51726"/>
    <cellStyle name="Normal 638 3 2 2" xfId="51727"/>
    <cellStyle name="Normal 638 3 2 3" xfId="51728"/>
    <cellStyle name="Normal 638 3 3" xfId="51729"/>
    <cellStyle name="Normal 638 3 3 2" xfId="51730"/>
    <cellStyle name="Normal 638 3 3 3" xfId="51731"/>
    <cellStyle name="Normal 638 3 4" xfId="51732"/>
    <cellStyle name="Normal 638 3 5" xfId="51733"/>
    <cellStyle name="Normal 638 4" xfId="23244"/>
    <cellStyle name="Normal 638 4 2" xfId="51734"/>
    <cellStyle name="Normal 638 4 3" xfId="51735"/>
    <cellStyle name="Normal 638 5" xfId="23245"/>
    <cellStyle name="Normal 638 5 2" xfId="51736"/>
    <cellStyle name="Normal 638 5 3" xfId="51737"/>
    <cellStyle name="Normal 638 6" xfId="51738"/>
    <cellStyle name="Normal 638 7" xfId="51739"/>
    <cellStyle name="Normal 638 8" xfId="51740"/>
    <cellStyle name="Normal 638 9" xfId="51741"/>
    <cellStyle name="Normal 639" xfId="23246"/>
    <cellStyle name="Normal 639 10" xfId="51742"/>
    <cellStyle name="Normal 639 2" xfId="23247"/>
    <cellStyle name="Normal 639 2 2" xfId="23248"/>
    <cellStyle name="Normal 639 2 2 2" xfId="51743"/>
    <cellStyle name="Normal 639 2 2 3" xfId="51744"/>
    <cellStyle name="Normal 639 2 3" xfId="23249"/>
    <cellStyle name="Normal 639 2 3 2" xfId="51745"/>
    <cellStyle name="Normal 639 2 3 3" xfId="51746"/>
    <cellStyle name="Normal 639 2 4" xfId="51747"/>
    <cellStyle name="Normal 639 2 5" xfId="51748"/>
    <cellStyle name="Normal 639 2 6" xfId="51749"/>
    <cellStyle name="Normal 639 2 7" xfId="51750"/>
    <cellStyle name="Normal 639 2 8" xfId="51751"/>
    <cellStyle name="Normal 639 3" xfId="23250"/>
    <cellStyle name="Normal 639 3 2" xfId="51752"/>
    <cellStyle name="Normal 639 3 2 2" xfId="51753"/>
    <cellStyle name="Normal 639 3 2 3" xfId="51754"/>
    <cellStyle name="Normal 639 3 3" xfId="51755"/>
    <cellStyle name="Normal 639 3 3 2" xfId="51756"/>
    <cellStyle name="Normal 639 3 3 3" xfId="51757"/>
    <cellStyle name="Normal 639 3 4" xfId="51758"/>
    <cellStyle name="Normal 639 3 5" xfId="51759"/>
    <cellStyle name="Normal 639 4" xfId="23251"/>
    <cellStyle name="Normal 639 4 2" xfId="51760"/>
    <cellStyle name="Normal 639 4 3" xfId="51761"/>
    <cellStyle name="Normal 639 5" xfId="23252"/>
    <cellStyle name="Normal 639 5 2" xfId="51762"/>
    <cellStyle name="Normal 639 5 3" xfId="51763"/>
    <cellStyle name="Normal 639 6" xfId="51764"/>
    <cellStyle name="Normal 639 7" xfId="51765"/>
    <cellStyle name="Normal 639 8" xfId="51766"/>
    <cellStyle name="Normal 639 9" xfId="51767"/>
    <cellStyle name="Normal 64" xfId="23253"/>
    <cellStyle name="Normal 64 10" xfId="51768"/>
    <cellStyle name="Normal 64 2" xfId="23254"/>
    <cellStyle name="Normal 64 2 2" xfId="23255"/>
    <cellStyle name="Normal 64 2 2 2" xfId="23256"/>
    <cellStyle name="Normal 64 2 2 3" xfId="23257"/>
    <cellStyle name="Normal 64 2 3" xfId="23258"/>
    <cellStyle name="Normal 64 2 3 2" xfId="51769"/>
    <cellStyle name="Normal 64 2 3 3" xfId="51770"/>
    <cellStyle name="Normal 64 2 4" xfId="23259"/>
    <cellStyle name="Normal 64 2 5" xfId="23260"/>
    <cellStyle name="Normal 64 2 6" xfId="51771"/>
    <cellStyle name="Normal 64 2 7" xfId="51772"/>
    <cellStyle name="Normal 64 2 8" xfId="51773"/>
    <cellStyle name="Normal 64 3" xfId="23261"/>
    <cellStyle name="Normal 64 3 2" xfId="23262"/>
    <cellStyle name="Normal 64 3 2 2" xfId="51774"/>
    <cellStyle name="Normal 64 3 2 3" xfId="51775"/>
    <cellStyle name="Normal 64 3 3" xfId="23263"/>
    <cellStyle name="Normal 64 3 3 2" xfId="51776"/>
    <cellStyle name="Normal 64 3 3 3" xfId="51777"/>
    <cellStyle name="Normal 64 3 4" xfId="51778"/>
    <cellStyle name="Normal 64 3 5" xfId="51779"/>
    <cellStyle name="Normal 64 4" xfId="23264"/>
    <cellStyle name="Normal 64 4 2" xfId="51780"/>
    <cellStyle name="Normal 64 4 3" xfId="51781"/>
    <cellStyle name="Normal 64 5" xfId="23265"/>
    <cellStyle name="Normal 64 5 2" xfId="51782"/>
    <cellStyle name="Normal 64 5 3" xfId="51783"/>
    <cellStyle name="Normal 64 6" xfId="23266"/>
    <cellStyle name="Normal 64 7" xfId="51784"/>
    <cellStyle name="Normal 64 8" xfId="51785"/>
    <cellStyle name="Normal 64 9" xfId="51786"/>
    <cellStyle name="Normal 640" xfId="23267"/>
    <cellStyle name="Normal 640 10" xfId="51787"/>
    <cellStyle name="Normal 640 2" xfId="23268"/>
    <cellStyle name="Normal 640 2 2" xfId="23269"/>
    <cellStyle name="Normal 640 2 2 2" xfId="51788"/>
    <cellStyle name="Normal 640 2 2 3" xfId="51789"/>
    <cellStyle name="Normal 640 2 3" xfId="23270"/>
    <cellStyle name="Normal 640 2 3 2" xfId="51790"/>
    <cellStyle name="Normal 640 2 3 3" xfId="51791"/>
    <cellStyle name="Normal 640 2 4" xfId="51792"/>
    <cellStyle name="Normal 640 2 5" xfId="51793"/>
    <cellStyle name="Normal 640 2 6" xfId="51794"/>
    <cellStyle name="Normal 640 2 7" xfId="51795"/>
    <cellStyle name="Normal 640 2 8" xfId="51796"/>
    <cellStyle name="Normal 640 3" xfId="23271"/>
    <cellStyle name="Normal 640 3 2" xfId="51797"/>
    <cellStyle name="Normal 640 3 2 2" xfId="51798"/>
    <cellStyle name="Normal 640 3 2 3" xfId="51799"/>
    <cellStyle name="Normal 640 3 3" xfId="51800"/>
    <cellStyle name="Normal 640 3 3 2" xfId="51801"/>
    <cellStyle name="Normal 640 3 3 3" xfId="51802"/>
    <cellStyle name="Normal 640 3 4" xfId="51803"/>
    <cellStyle name="Normal 640 3 5" xfId="51804"/>
    <cellStyle name="Normal 640 4" xfId="23272"/>
    <cellStyle name="Normal 640 4 2" xfId="51805"/>
    <cellStyle name="Normal 640 4 3" xfId="51806"/>
    <cellStyle name="Normal 640 5" xfId="23273"/>
    <cellStyle name="Normal 640 5 2" xfId="51807"/>
    <cellStyle name="Normal 640 5 3" xfId="51808"/>
    <cellStyle name="Normal 640 6" xfId="51809"/>
    <cellStyle name="Normal 640 7" xfId="51810"/>
    <cellStyle name="Normal 640 8" xfId="51811"/>
    <cellStyle name="Normal 640 9" xfId="51812"/>
    <cellStyle name="Normal 641" xfId="23274"/>
    <cellStyle name="Normal 641 10" xfId="51813"/>
    <cellStyle name="Normal 641 2" xfId="23275"/>
    <cellStyle name="Normal 641 2 2" xfId="23276"/>
    <cellStyle name="Normal 641 2 2 2" xfId="51814"/>
    <cellStyle name="Normal 641 2 2 3" xfId="51815"/>
    <cellStyle name="Normal 641 2 3" xfId="23277"/>
    <cellStyle name="Normal 641 2 3 2" xfId="51816"/>
    <cellStyle name="Normal 641 2 3 3" xfId="51817"/>
    <cellStyle name="Normal 641 2 4" xfId="51818"/>
    <cellStyle name="Normal 641 2 5" xfId="51819"/>
    <cellStyle name="Normal 641 2 6" xfId="51820"/>
    <cellStyle name="Normal 641 2 7" xfId="51821"/>
    <cellStyle name="Normal 641 2 8" xfId="51822"/>
    <cellStyle name="Normal 641 3" xfId="23278"/>
    <cellStyle name="Normal 641 3 2" xfId="51823"/>
    <cellStyle name="Normal 641 3 2 2" xfId="51824"/>
    <cellStyle name="Normal 641 3 2 3" xfId="51825"/>
    <cellStyle name="Normal 641 3 3" xfId="51826"/>
    <cellStyle name="Normal 641 3 3 2" xfId="51827"/>
    <cellStyle name="Normal 641 3 3 3" xfId="51828"/>
    <cellStyle name="Normal 641 3 4" xfId="51829"/>
    <cellStyle name="Normal 641 3 5" xfId="51830"/>
    <cellStyle name="Normal 641 4" xfId="23279"/>
    <cellStyle name="Normal 641 4 2" xfId="51831"/>
    <cellStyle name="Normal 641 4 3" xfId="51832"/>
    <cellStyle name="Normal 641 5" xfId="23280"/>
    <cellStyle name="Normal 641 5 2" xfId="51833"/>
    <cellStyle name="Normal 641 5 3" xfId="51834"/>
    <cellStyle name="Normal 641 6" xfId="51835"/>
    <cellStyle name="Normal 641 7" xfId="51836"/>
    <cellStyle name="Normal 641 8" xfId="51837"/>
    <cellStyle name="Normal 641 9" xfId="51838"/>
    <cellStyle name="Normal 642" xfId="23281"/>
    <cellStyle name="Normal 642 10" xfId="51839"/>
    <cellStyle name="Normal 642 2" xfId="23282"/>
    <cellStyle name="Normal 642 2 2" xfId="23283"/>
    <cellStyle name="Normal 642 2 2 2" xfId="51840"/>
    <cellStyle name="Normal 642 2 2 3" xfId="51841"/>
    <cellStyle name="Normal 642 2 3" xfId="23284"/>
    <cellStyle name="Normal 642 2 3 2" xfId="51842"/>
    <cellStyle name="Normal 642 2 3 3" xfId="51843"/>
    <cellStyle name="Normal 642 2 4" xfId="51844"/>
    <cellStyle name="Normal 642 2 5" xfId="51845"/>
    <cellStyle name="Normal 642 2 6" xfId="51846"/>
    <cellStyle name="Normal 642 2 7" xfId="51847"/>
    <cellStyle name="Normal 642 2 8" xfId="51848"/>
    <cellStyle name="Normal 642 3" xfId="23285"/>
    <cellStyle name="Normal 642 3 2" xfId="51849"/>
    <cellStyle name="Normal 642 3 2 2" xfId="51850"/>
    <cellStyle name="Normal 642 3 2 3" xfId="51851"/>
    <cellStyle name="Normal 642 3 3" xfId="51852"/>
    <cellStyle name="Normal 642 3 3 2" xfId="51853"/>
    <cellStyle name="Normal 642 3 3 3" xfId="51854"/>
    <cellStyle name="Normal 642 3 4" xfId="51855"/>
    <cellStyle name="Normal 642 3 5" xfId="51856"/>
    <cellStyle name="Normal 642 4" xfId="23286"/>
    <cellStyle name="Normal 642 4 2" xfId="51857"/>
    <cellStyle name="Normal 642 4 3" xfId="51858"/>
    <cellStyle name="Normal 642 5" xfId="23287"/>
    <cellStyle name="Normal 642 5 2" xfId="51859"/>
    <cellStyle name="Normal 642 5 3" xfId="51860"/>
    <cellStyle name="Normal 642 6" xfId="51861"/>
    <cellStyle name="Normal 642 7" xfId="51862"/>
    <cellStyle name="Normal 642 8" xfId="51863"/>
    <cellStyle name="Normal 642 9" xfId="51864"/>
    <cellStyle name="Normal 643" xfId="23288"/>
    <cellStyle name="Normal 643 10" xfId="51865"/>
    <cellStyle name="Normal 643 2" xfId="23289"/>
    <cellStyle name="Normal 643 2 2" xfId="23290"/>
    <cellStyle name="Normal 643 2 2 2" xfId="51866"/>
    <cellStyle name="Normal 643 2 2 3" xfId="51867"/>
    <cellStyle name="Normal 643 2 3" xfId="23291"/>
    <cellStyle name="Normal 643 2 3 2" xfId="51868"/>
    <cellStyle name="Normal 643 2 3 3" xfId="51869"/>
    <cellStyle name="Normal 643 2 4" xfId="51870"/>
    <cellStyle name="Normal 643 2 5" xfId="51871"/>
    <cellStyle name="Normal 643 2 6" xfId="51872"/>
    <cellStyle name="Normal 643 2 7" xfId="51873"/>
    <cellStyle name="Normal 643 2 8" xfId="51874"/>
    <cellStyle name="Normal 643 3" xfId="23292"/>
    <cellStyle name="Normal 643 3 2" xfId="51875"/>
    <cellStyle name="Normal 643 3 2 2" xfId="51876"/>
    <cellStyle name="Normal 643 3 2 3" xfId="51877"/>
    <cellStyle name="Normal 643 3 3" xfId="51878"/>
    <cellStyle name="Normal 643 3 3 2" xfId="51879"/>
    <cellStyle name="Normal 643 3 3 3" xfId="51880"/>
    <cellStyle name="Normal 643 3 4" xfId="51881"/>
    <cellStyle name="Normal 643 3 5" xfId="51882"/>
    <cellStyle name="Normal 643 4" xfId="23293"/>
    <cellStyle name="Normal 643 4 2" xfId="51883"/>
    <cellStyle name="Normal 643 4 3" xfId="51884"/>
    <cellStyle name="Normal 643 5" xfId="23294"/>
    <cellStyle name="Normal 643 5 2" xfId="51885"/>
    <cellStyle name="Normal 643 5 3" xfId="51886"/>
    <cellStyle name="Normal 643 6" xfId="51887"/>
    <cellStyle name="Normal 643 7" xfId="51888"/>
    <cellStyle name="Normal 643 8" xfId="51889"/>
    <cellStyle name="Normal 643 9" xfId="51890"/>
    <cellStyle name="Normal 644" xfId="23295"/>
    <cellStyle name="Normal 644 10" xfId="51891"/>
    <cellStyle name="Normal 644 2" xfId="23296"/>
    <cellStyle name="Normal 644 2 2" xfId="23297"/>
    <cellStyle name="Normal 644 2 2 2" xfId="51892"/>
    <cellStyle name="Normal 644 2 2 3" xfId="51893"/>
    <cellStyle name="Normal 644 2 3" xfId="23298"/>
    <cellStyle name="Normal 644 2 3 2" xfId="51894"/>
    <cellStyle name="Normal 644 2 3 3" xfId="51895"/>
    <cellStyle name="Normal 644 2 4" xfId="51896"/>
    <cellStyle name="Normal 644 2 5" xfId="51897"/>
    <cellStyle name="Normal 644 2 6" xfId="51898"/>
    <cellStyle name="Normal 644 2 7" xfId="51899"/>
    <cellStyle name="Normal 644 2 8" xfId="51900"/>
    <cellStyle name="Normal 644 3" xfId="23299"/>
    <cellStyle name="Normal 644 3 2" xfId="51901"/>
    <cellStyle name="Normal 644 3 2 2" xfId="51902"/>
    <cellStyle name="Normal 644 3 2 3" xfId="51903"/>
    <cellStyle name="Normal 644 3 3" xfId="51904"/>
    <cellStyle name="Normal 644 3 3 2" xfId="51905"/>
    <cellStyle name="Normal 644 3 3 3" xfId="51906"/>
    <cellStyle name="Normal 644 3 4" xfId="51907"/>
    <cellStyle name="Normal 644 3 5" xfId="51908"/>
    <cellStyle name="Normal 644 4" xfId="23300"/>
    <cellStyle name="Normal 644 4 2" xfId="51909"/>
    <cellStyle name="Normal 644 4 3" xfId="51910"/>
    <cellStyle name="Normal 644 5" xfId="23301"/>
    <cellStyle name="Normal 644 5 2" xfId="51911"/>
    <cellStyle name="Normal 644 5 3" xfId="51912"/>
    <cellStyle name="Normal 644 6" xfId="51913"/>
    <cellStyle name="Normal 644 7" xfId="51914"/>
    <cellStyle name="Normal 644 8" xfId="51915"/>
    <cellStyle name="Normal 644 9" xfId="51916"/>
    <cellStyle name="Normal 645" xfId="23302"/>
    <cellStyle name="Normal 645 10" xfId="51917"/>
    <cellStyle name="Normal 645 2" xfId="23303"/>
    <cellStyle name="Normal 645 2 2" xfId="23304"/>
    <cellStyle name="Normal 645 2 2 2" xfId="51918"/>
    <cellStyle name="Normal 645 2 2 3" xfId="51919"/>
    <cellStyle name="Normal 645 2 3" xfId="23305"/>
    <cellStyle name="Normal 645 2 3 2" xfId="51920"/>
    <cellStyle name="Normal 645 2 3 3" xfId="51921"/>
    <cellStyle name="Normal 645 2 4" xfId="51922"/>
    <cellStyle name="Normal 645 2 5" xfId="51923"/>
    <cellStyle name="Normal 645 2 6" xfId="51924"/>
    <cellStyle name="Normal 645 2 7" xfId="51925"/>
    <cellStyle name="Normal 645 2 8" xfId="51926"/>
    <cellStyle name="Normal 645 3" xfId="23306"/>
    <cellStyle name="Normal 645 3 2" xfId="51927"/>
    <cellStyle name="Normal 645 3 2 2" xfId="51928"/>
    <cellStyle name="Normal 645 3 2 3" xfId="51929"/>
    <cellStyle name="Normal 645 3 3" xfId="51930"/>
    <cellStyle name="Normal 645 3 3 2" xfId="51931"/>
    <cellStyle name="Normal 645 3 3 3" xfId="51932"/>
    <cellStyle name="Normal 645 3 4" xfId="51933"/>
    <cellStyle name="Normal 645 3 5" xfId="51934"/>
    <cellStyle name="Normal 645 4" xfId="23307"/>
    <cellStyle name="Normal 645 4 2" xfId="51935"/>
    <cellStyle name="Normal 645 4 3" xfId="51936"/>
    <cellStyle name="Normal 645 5" xfId="23308"/>
    <cellStyle name="Normal 645 5 2" xfId="51937"/>
    <cellStyle name="Normal 645 5 3" xfId="51938"/>
    <cellStyle name="Normal 645 6" xfId="51939"/>
    <cellStyle name="Normal 645 7" xfId="51940"/>
    <cellStyle name="Normal 645 8" xfId="51941"/>
    <cellStyle name="Normal 645 9" xfId="51942"/>
    <cellStyle name="Normal 646" xfId="23309"/>
    <cellStyle name="Normal 646 10" xfId="51943"/>
    <cellStyle name="Normal 646 2" xfId="23310"/>
    <cellStyle name="Normal 646 2 2" xfId="23311"/>
    <cellStyle name="Normal 646 2 2 2" xfId="51944"/>
    <cellStyle name="Normal 646 2 2 3" xfId="51945"/>
    <cellStyle name="Normal 646 2 3" xfId="23312"/>
    <cellStyle name="Normal 646 2 3 2" xfId="51946"/>
    <cellStyle name="Normal 646 2 3 3" xfId="51947"/>
    <cellStyle name="Normal 646 2 4" xfId="51948"/>
    <cellStyle name="Normal 646 2 5" xfId="51949"/>
    <cellStyle name="Normal 646 2 6" xfId="51950"/>
    <cellStyle name="Normal 646 2 7" xfId="51951"/>
    <cellStyle name="Normal 646 2 8" xfId="51952"/>
    <cellStyle name="Normal 646 3" xfId="23313"/>
    <cellStyle name="Normal 646 3 2" xfId="51953"/>
    <cellStyle name="Normal 646 3 2 2" xfId="51954"/>
    <cellStyle name="Normal 646 3 2 3" xfId="51955"/>
    <cellStyle name="Normal 646 3 3" xfId="51956"/>
    <cellStyle name="Normal 646 3 3 2" xfId="51957"/>
    <cellStyle name="Normal 646 3 3 3" xfId="51958"/>
    <cellStyle name="Normal 646 3 4" xfId="51959"/>
    <cellStyle name="Normal 646 3 5" xfId="51960"/>
    <cellStyle name="Normal 646 4" xfId="23314"/>
    <cellStyle name="Normal 646 4 2" xfId="51961"/>
    <cellStyle name="Normal 646 4 3" xfId="51962"/>
    <cellStyle name="Normal 646 5" xfId="23315"/>
    <cellStyle name="Normal 646 5 2" xfId="51963"/>
    <cellStyle name="Normal 646 5 3" xfId="51964"/>
    <cellStyle name="Normal 646 6" xfId="51965"/>
    <cellStyle name="Normal 646 7" xfId="51966"/>
    <cellStyle name="Normal 646 8" xfId="51967"/>
    <cellStyle name="Normal 646 9" xfId="51968"/>
    <cellStyle name="Normal 647" xfId="23316"/>
    <cellStyle name="Normal 647 2" xfId="23317"/>
    <cellStyle name="Normal 647 2 2" xfId="23318"/>
    <cellStyle name="Normal 647 2 3" xfId="23319"/>
    <cellStyle name="Normal 647 3" xfId="23320"/>
    <cellStyle name="Normal 647 4" xfId="23321"/>
    <cellStyle name="Normal 647 5" xfId="23322"/>
    <cellStyle name="Normal 648" xfId="23323"/>
    <cellStyle name="Normal 648 2" xfId="23324"/>
    <cellStyle name="Normal 648 2 2" xfId="23325"/>
    <cellStyle name="Normal 648 2 3" xfId="23326"/>
    <cellStyle name="Normal 648 3" xfId="23327"/>
    <cellStyle name="Normal 648 4" xfId="23328"/>
    <cellStyle name="Normal 648 5" xfId="23329"/>
    <cellStyle name="Normal 649" xfId="23330"/>
    <cellStyle name="Normal 649 10" xfId="51969"/>
    <cellStyle name="Normal 649 2" xfId="23331"/>
    <cellStyle name="Normal 649 2 2" xfId="23332"/>
    <cellStyle name="Normal 649 2 2 2" xfId="51970"/>
    <cellStyle name="Normal 649 2 2 3" xfId="51971"/>
    <cellStyle name="Normal 649 2 3" xfId="23333"/>
    <cellStyle name="Normal 649 2 3 2" xfId="51972"/>
    <cellStyle name="Normal 649 2 3 3" xfId="51973"/>
    <cellStyle name="Normal 649 2 4" xfId="51974"/>
    <cellStyle name="Normal 649 2 5" xfId="51975"/>
    <cellStyle name="Normal 649 2 6" xfId="51976"/>
    <cellStyle name="Normal 649 2 7" xfId="51977"/>
    <cellStyle name="Normal 649 2 8" xfId="51978"/>
    <cellStyle name="Normal 649 3" xfId="23334"/>
    <cellStyle name="Normal 649 3 2" xfId="51979"/>
    <cellStyle name="Normal 649 3 2 2" xfId="51980"/>
    <cellStyle name="Normal 649 3 2 3" xfId="51981"/>
    <cellStyle name="Normal 649 3 3" xfId="51982"/>
    <cellStyle name="Normal 649 3 3 2" xfId="51983"/>
    <cellStyle name="Normal 649 3 3 3" xfId="51984"/>
    <cellStyle name="Normal 649 3 4" xfId="51985"/>
    <cellStyle name="Normal 649 3 5" xfId="51986"/>
    <cellStyle name="Normal 649 4" xfId="23335"/>
    <cellStyle name="Normal 649 4 2" xfId="51987"/>
    <cellStyle name="Normal 649 4 3" xfId="51988"/>
    <cellStyle name="Normal 649 5" xfId="23336"/>
    <cellStyle name="Normal 649 5 2" xfId="51989"/>
    <cellStyle name="Normal 649 5 3" xfId="51990"/>
    <cellStyle name="Normal 649 6" xfId="51991"/>
    <cellStyle name="Normal 649 7" xfId="51992"/>
    <cellStyle name="Normal 649 8" xfId="51993"/>
    <cellStyle name="Normal 649 9" xfId="51994"/>
    <cellStyle name="Normal 65" xfId="23337"/>
    <cellStyle name="Normal 65 10" xfId="51995"/>
    <cellStyle name="Normal 65 2" xfId="23338"/>
    <cellStyle name="Normal 65 2 2" xfId="23339"/>
    <cellStyle name="Normal 65 2 2 2" xfId="23340"/>
    <cellStyle name="Normal 65 2 2 3" xfId="23341"/>
    <cellStyle name="Normal 65 2 3" xfId="23342"/>
    <cellStyle name="Normal 65 2 3 2" xfId="51996"/>
    <cellStyle name="Normal 65 2 3 3" xfId="51997"/>
    <cellStyle name="Normal 65 2 4" xfId="23343"/>
    <cellStyle name="Normal 65 2 5" xfId="23344"/>
    <cellStyle name="Normal 65 2 6" xfId="51998"/>
    <cellStyle name="Normal 65 2 7" xfId="51999"/>
    <cellStyle name="Normal 65 2 8" xfId="52000"/>
    <cellStyle name="Normal 65 3" xfId="23345"/>
    <cellStyle name="Normal 65 3 2" xfId="23346"/>
    <cellStyle name="Normal 65 3 2 2" xfId="52001"/>
    <cellStyle name="Normal 65 3 2 3" xfId="52002"/>
    <cellStyle name="Normal 65 3 3" xfId="23347"/>
    <cellStyle name="Normal 65 3 3 2" xfId="52003"/>
    <cellStyle name="Normal 65 3 3 3" xfId="52004"/>
    <cellStyle name="Normal 65 3 4" xfId="52005"/>
    <cellStyle name="Normal 65 3 5" xfId="52006"/>
    <cellStyle name="Normal 65 4" xfId="23348"/>
    <cellStyle name="Normal 65 4 2" xfId="52007"/>
    <cellStyle name="Normal 65 4 3" xfId="52008"/>
    <cellStyle name="Normal 65 5" xfId="23349"/>
    <cellStyle name="Normal 65 5 2" xfId="52009"/>
    <cellStyle name="Normal 65 5 3" xfId="52010"/>
    <cellStyle name="Normal 65 6" xfId="23350"/>
    <cellStyle name="Normal 65 7" xfId="52011"/>
    <cellStyle name="Normal 65 8" xfId="52012"/>
    <cellStyle name="Normal 65 9" xfId="52013"/>
    <cellStyle name="Normal 650" xfId="23351"/>
    <cellStyle name="Normal 650 10" xfId="52014"/>
    <cellStyle name="Normal 650 2" xfId="23352"/>
    <cellStyle name="Normal 650 2 2" xfId="23353"/>
    <cellStyle name="Normal 650 2 2 2" xfId="52015"/>
    <cellStyle name="Normal 650 2 2 3" xfId="52016"/>
    <cellStyle name="Normal 650 2 3" xfId="23354"/>
    <cellStyle name="Normal 650 2 3 2" xfId="52017"/>
    <cellStyle name="Normal 650 2 3 3" xfId="52018"/>
    <cellStyle name="Normal 650 2 4" xfId="52019"/>
    <cellStyle name="Normal 650 2 5" xfId="52020"/>
    <cellStyle name="Normal 650 2 6" xfId="52021"/>
    <cellStyle name="Normal 650 2 7" xfId="52022"/>
    <cellStyle name="Normal 650 2 8" xfId="52023"/>
    <cellStyle name="Normal 650 3" xfId="23355"/>
    <cellStyle name="Normal 650 3 2" xfId="52024"/>
    <cellStyle name="Normal 650 3 2 2" xfId="52025"/>
    <cellStyle name="Normal 650 3 2 3" xfId="52026"/>
    <cellStyle name="Normal 650 3 3" xfId="52027"/>
    <cellStyle name="Normal 650 3 3 2" xfId="52028"/>
    <cellStyle name="Normal 650 3 3 3" xfId="52029"/>
    <cellStyle name="Normal 650 3 4" xfId="52030"/>
    <cellStyle name="Normal 650 3 5" xfId="52031"/>
    <cellStyle name="Normal 650 4" xfId="23356"/>
    <cellStyle name="Normal 650 4 2" xfId="52032"/>
    <cellStyle name="Normal 650 4 3" xfId="52033"/>
    <cellStyle name="Normal 650 5" xfId="23357"/>
    <cellStyle name="Normal 650 5 2" xfId="52034"/>
    <cellStyle name="Normal 650 5 3" xfId="52035"/>
    <cellStyle name="Normal 650 6" xfId="52036"/>
    <cellStyle name="Normal 650 7" xfId="52037"/>
    <cellStyle name="Normal 650 8" xfId="52038"/>
    <cellStyle name="Normal 650 9" xfId="52039"/>
    <cellStyle name="Normal 651" xfId="23358"/>
    <cellStyle name="Normal 651 10" xfId="52040"/>
    <cellStyle name="Normal 651 2" xfId="23359"/>
    <cellStyle name="Normal 651 2 2" xfId="23360"/>
    <cellStyle name="Normal 651 2 2 2" xfId="52041"/>
    <cellStyle name="Normal 651 2 2 3" xfId="52042"/>
    <cellStyle name="Normal 651 2 3" xfId="23361"/>
    <cellStyle name="Normal 651 2 3 2" xfId="52043"/>
    <cellStyle name="Normal 651 2 3 3" xfId="52044"/>
    <cellStyle name="Normal 651 2 4" xfId="52045"/>
    <cellStyle name="Normal 651 2 5" xfId="52046"/>
    <cellStyle name="Normal 651 2 6" xfId="52047"/>
    <cellStyle name="Normal 651 2 7" xfId="52048"/>
    <cellStyle name="Normal 651 2 8" xfId="52049"/>
    <cellStyle name="Normal 651 3" xfId="23362"/>
    <cellStyle name="Normal 651 3 2" xfId="52050"/>
    <cellStyle name="Normal 651 3 2 2" xfId="52051"/>
    <cellStyle name="Normal 651 3 2 3" xfId="52052"/>
    <cellStyle name="Normal 651 3 3" xfId="52053"/>
    <cellStyle name="Normal 651 3 3 2" xfId="52054"/>
    <cellStyle name="Normal 651 3 3 3" xfId="52055"/>
    <cellStyle name="Normal 651 3 4" xfId="52056"/>
    <cellStyle name="Normal 651 3 5" xfId="52057"/>
    <cellStyle name="Normal 651 4" xfId="23363"/>
    <cellStyle name="Normal 651 4 2" xfId="52058"/>
    <cellStyle name="Normal 651 4 3" xfId="52059"/>
    <cellStyle name="Normal 651 5" xfId="23364"/>
    <cellStyle name="Normal 651 5 2" xfId="52060"/>
    <cellStyle name="Normal 651 5 3" xfId="52061"/>
    <cellStyle name="Normal 651 6" xfId="52062"/>
    <cellStyle name="Normal 651 7" xfId="52063"/>
    <cellStyle name="Normal 651 8" xfId="52064"/>
    <cellStyle name="Normal 651 9" xfId="52065"/>
    <cellStyle name="Normal 652" xfId="23365"/>
    <cellStyle name="Normal 652 10" xfId="52066"/>
    <cellStyle name="Normal 652 2" xfId="23366"/>
    <cellStyle name="Normal 652 2 2" xfId="23367"/>
    <cellStyle name="Normal 652 2 2 2" xfId="52067"/>
    <cellStyle name="Normal 652 2 2 3" xfId="52068"/>
    <cellStyle name="Normal 652 2 3" xfId="23368"/>
    <cellStyle name="Normal 652 2 3 2" xfId="52069"/>
    <cellStyle name="Normal 652 2 3 3" xfId="52070"/>
    <cellStyle name="Normal 652 2 4" xfId="52071"/>
    <cellStyle name="Normal 652 2 5" xfId="52072"/>
    <cellStyle name="Normal 652 2 6" xfId="52073"/>
    <cellStyle name="Normal 652 2 7" xfId="52074"/>
    <cellStyle name="Normal 652 2 8" xfId="52075"/>
    <cellStyle name="Normal 652 3" xfId="23369"/>
    <cellStyle name="Normal 652 3 2" xfId="52076"/>
    <cellStyle name="Normal 652 3 2 2" xfId="52077"/>
    <cellStyle name="Normal 652 3 2 3" xfId="52078"/>
    <cellStyle name="Normal 652 3 3" xfId="52079"/>
    <cellStyle name="Normal 652 3 3 2" xfId="52080"/>
    <cellStyle name="Normal 652 3 3 3" xfId="52081"/>
    <cellStyle name="Normal 652 3 4" xfId="52082"/>
    <cellStyle name="Normal 652 3 5" xfId="52083"/>
    <cellStyle name="Normal 652 4" xfId="23370"/>
    <cellStyle name="Normal 652 4 2" xfId="52084"/>
    <cellStyle name="Normal 652 4 3" xfId="52085"/>
    <cellStyle name="Normal 652 5" xfId="23371"/>
    <cellStyle name="Normal 652 5 2" xfId="52086"/>
    <cellStyle name="Normal 652 5 3" xfId="52087"/>
    <cellStyle name="Normal 652 6" xfId="52088"/>
    <cellStyle name="Normal 652 7" xfId="52089"/>
    <cellStyle name="Normal 652 8" xfId="52090"/>
    <cellStyle name="Normal 652 9" xfId="52091"/>
    <cellStyle name="Normal 653" xfId="23372"/>
    <cellStyle name="Normal 653 10" xfId="52092"/>
    <cellStyle name="Normal 653 2" xfId="23373"/>
    <cellStyle name="Normal 653 2 2" xfId="23374"/>
    <cellStyle name="Normal 653 2 2 2" xfId="52093"/>
    <cellStyle name="Normal 653 2 2 3" xfId="52094"/>
    <cellStyle name="Normal 653 2 3" xfId="23375"/>
    <cellStyle name="Normal 653 2 3 2" xfId="52095"/>
    <cellStyle name="Normal 653 2 3 3" xfId="52096"/>
    <cellStyle name="Normal 653 2 4" xfId="52097"/>
    <cellStyle name="Normal 653 2 5" xfId="52098"/>
    <cellStyle name="Normal 653 2 6" xfId="52099"/>
    <cellStyle name="Normal 653 2 7" xfId="52100"/>
    <cellStyle name="Normal 653 2 8" xfId="52101"/>
    <cellStyle name="Normal 653 3" xfId="23376"/>
    <cellStyle name="Normal 653 3 2" xfId="52102"/>
    <cellStyle name="Normal 653 3 2 2" xfId="52103"/>
    <cellStyle name="Normal 653 3 2 3" xfId="52104"/>
    <cellStyle name="Normal 653 3 3" xfId="52105"/>
    <cellStyle name="Normal 653 3 3 2" xfId="52106"/>
    <cellStyle name="Normal 653 3 3 3" xfId="52107"/>
    <cellStyle name="Normal 653 3 4" xfId="52108"/>
    <cellStyle name="Normal 653 3 5" xfId="52109"/>
    <cellStyle name="Normal 653 4" xfId="23377"/>
    <cellStyle name="Normal 653 4 2" xfId="52110"/>
    <cellStyle name="Normal 653 4 3" xfId="52111"/>
    <cellStyle name="Normal 653 5" xfId="23378"/>
    <cellStyle name="Normal 653 5 2" xfId="52112"/>
    <cellStyle name="Normal 653 5 3" xfId="52113"/>
    <cellStyle name="Normal 653 6" xfId="52114"/>
    <cellStyle name="Normal 653 7" xfId="52115"/>
    <cellStyle name="Normal 653 8" xfId="52116"/>
    <cellStyle name="Normal 653 9" xfId="52117"/>
    <cellStyle name="Normal 654" xfId="23379"/>
    <cellStyle name="Normal 654 10" xfId="52118"/>
    <cellStyle name="Normal 654 2" xfId="23380"/>
    <cellStyle name="Normal 654 2 2" xfId="23381"/>
    <cellStyle name="Normal 654 2 2 2" xfId="52119"/>
    <cellStyle name="Normal 654 2 2 3" xfId="52120"/>
    <cellStyle name="Normal 654 2 3" xfId="23382"/>
    <cellStyle name="Normal 654 2 3 2" xfId="52121"/>
    <cellStyle name="Normal 654 2 3 3" xfId="52122"/>
    <cellStyle name="Normal 654 2 4" xfId="52123"/>
    <cellStyle name="Normal 654 2 5" xfId="52124"/>
    <cellStyle name="Normal 654 2 6" xfId="52125"/>
    <cellStyle name="Normal 654 2 7" xfId="52126"/>
    <cellStyle name="Normal 654 2 8" xfId="52127"/>
    <cellStyle name="Normal 654 3" xfId="23383"/>
    <cellStyle name="Normal 654 3 2" xfId="52128"/>
    <cellStyle name="Normal 654 3 2 2" xfId="52129"/>
    <cellStyle name="Normal 654 3 2 3" xfId="52130"/>
    <cellStyle name="Normal 654 3 3" xfId="52131"/>
    <cellStyle name="Normal 654 3 3 2" xfId="52132"/>
    <cellStyle name="Normal 654 3 3 3" xfId="52133"/>
    <cellStyle name="Normal 654 3 4" xfId="52134"/>
    <cellStyle name="Normal 654 3 5" xfId="52135"/>
    <cellStyle name="Normal 654 4" xfId="23384"/>
    <cellStyle name="Normal 654 4 2" xfId="52136"/>
    <cellStyle name="Normal 654 4 3" xfId="52137"/>
    <cellStyle name="Normal 654 5" xfId="23385"/>
    <cellStyle name="Normal 654 5 2" xfId="52138"/>
    <cellStyle name="Normal 654 5 3" xfId="52139"/>
    <cellStyle name="Normal 654 6" xfId="52140"/>
    <cellStyle name="Normal 654 7" xfId="52141"/>
    <cellStyle name="Normal 654 8" xfId="52142"/>
    <cellStyle name="Normal 654 9" xfId="52143"/>
    <cellStyle name="Normal 655" xfId="23386"/>
    <cellStyle name="Normal 655 10" xfId="52144"/>
    <cellStyle name="Normal 655 2" xfId="23387"/>
    <cellStyle name="Normal 655 2 2" xfId="23388"/>
    <cellStyle name="Normal 655 2 2 2" xfId="52145"/>
    <cellStyle name="Normal 655 2 2 3" xfId="52146"/>
    <cellStyle name="Normal 655 2 3" xfId="23389"/>
    <cellStyle name="Normal 655 2 3 2" xfId="52147"/>
    <cellStyle name="Normal 655 2 3 3" xfId="52148"/>
    <cellStyle name="Normal 655 2 4" xfId="52149"/>
    <cellStyle name="Normal 655 2 5" xfId="52150"/>
    <cellStyle name="Normal 655 2 6" xfId="52151"/>
    <cellStyle name="Normal 655 2 7" xfId="52152"/>
    <cellStyle name="Normal 655 2 8" xfId="52153"/>
    <cellStyle name="Normal 655 3" xfId="23390"/>
    <cellStyle name="Normal 655 3 2" xfId="52154"/>
    <cellStyle name="Normal 655 3 2 2" xfId="52155"/>
    <cellStyle name="Normal 655 3 2 3" xfId="52156"/>
    <cellStyle name="Normal 655 3 3" xfId="52157"/>
    <cellStyle name="Normal 655 3 3 2" xfId="52158"/>
    <cellStyle name="Normal 655 3 3 3" xfId="52159"/>
    <cellStyle name="Normal 655 3 4" xfId="52160"/>
    <cellStyle name="Normal 655 3 5" xfId="52161"/>
    <cellStyle name="Normal 655 4" xfId="23391"/>
    <cellStyle name="Normal 655 4 2" xfId="52162"/>
    <cellStyle name="Normal 655 4 3" xfId="52163"/>
    <cellStyle name="Normal 655 5" xfId="23392"/>
    <cellStyle name="Normal 655 5 2" xfId="52164"/>
    <cellStyle name="Normal 655 5 3" xfId="52165"/>
    <cellStyle name="Normal 655 6" xfId="52166"/>
    <cellStyle name="Normal 655 7" xfId="52167"/>
    <cellStyle name="Normal 655 8" xfId="52168"/>
    <cellStyle name="Normal 655 9" xfId="52169"/>
    <cellStyle name="Normal 656" xfId="23393"/>
    <cellStyle name="Normal 656 10" xfId="52170"/>
    <cellStyle name="Normal 656 2" xfId="23394"/>
    <cellStyle name="Normal 656 2 2" xfId="23395"/>
    <cellStyle name="Normal 656 2 2 2" xfId="52171"/>
    <cellStyle name="Normal 656 2 2 3" xfId="52172"/>
    <cellStyle name="Normal 656 2 3" xfId="23396"/>
    <cellStyle name="Normal 656 2 3 2" xfId="52173"/>
    <cellStyle name="Normal 656 2 3 3" xfId="52174"/>
    <cellStyle name="Normal 656 2 4" xfId="52175"/>
    <cellStyle name="Normal 656 2 5" xfId="52176"/>
    <cellStyle name="Normal 656 2 6" xfId="52177"/>
    <cellStyle name="Normal 656 2 7" xfId="52178"/>
    <cellStyle name="Normal 656 2 8" xfId="52179"/>
    <cellStyle name="Normal 656 3" xfId="23397"/>
    <cellStyle name="Normal 656 3 2" xfId="52180"/>
    <cellStyle name="Normal 656 3 2 2" xfId="52181"/>
    <cellStyle name="Normal 656 3 2 3" xfId="52182"/>
    <cellStyle name="Normal 656 3 3" xfId="52183"/>
    <cellStyle name="Normal 656 3 3 2" xfId="52184"/>
    <cellStyle name="Normal 656 3 3 3" xfId="52185"/>
    <cellStyle name="Normal 656 3 4" xfId="52186"/>
    <cellStyle name="Normal 656 3 5" xfId="52187"/>
    <cellStyle name="Normal 656 4" xfId="23398"/>
    <cellStyle name="Normal 656 4 2" xfId="52188"/>
    <cellStyle name="Normal 656 4 3" xfId="52189"/>
    <cellStyle name="Normal 656 5" xfId="23399"/>
    <cellStyle name="Normal 656 5 2" xfId="52190"/>
    <cellStyle name="Normal 656 5 3" xfId="52191"/>
    <cellStyle name="Normal 656 6" xfId="52192"/>
    <cellStyle name="Normal 656 7" xfId="52193"/>
    <cellStyle name="Normal 656 8" xfId="52194"/>
    <cellStyle name="Normal 656 9" xfId="52195"/>
    <cellStyle name="Normal 657" xfId="23400"/>
    <cellStyle name="Normal 657 10" xfId="52196"/>
    <cellStyle name="Normal 657 2" xfId="23401"/>
    <cellStyle name="Normal 657 2 2" xfId="23402"/>
    <cellStyle name="Normal 657 2 2 2" xfId="52197"/>
    <cellStyle name="Normal 657 2 2 3" xfId="52198"/>
    <cellStyle name="Normal 657 2 3" xfId="23403"/>
    <cellStyle name="Normal 657 2 3 2" xfId="52199"/>
    <cellStyle name="Normal 657 2 3 3" xfId="52200"/>
    <cellStyle name="Normal 657 2 4" xfId="52201"/>
    <cellStyle name="Normal 657 2 5" xfId="52202"/>
    <cellStyle name="Normal 657 2 6" xfId="52203"/>
    <cellStyle name="Normal 657 2 7" xfId="52204"/>
    <cellStyle name="Normal 657 2 8" xfId="52205"/>
    <cellStyle name="Normal 657 3" xfId="23404"/>
    <cellStyle name="Normal 657 3 2" xfId="52206"/>
    <cellStyle name="Normal 657 3 2 2" xfId="52207"/>
    <cellStyle name="Normal 657 3 2 3" xfId="52208"/>
    <cellStyle name="Normal 657 3 3" xfId="52209"/>
    <cellStyle name="Normal 657 3 3 2" xfId="52210"/>
    <cellStyle name="Normal 657 3 3 3" xfId="52211"/>
    <cellStyle name="Normal 657 3 4" xfId="52212"/>
    <cellStyle name="Normal 657 3 5" xfId="52213"/>
    <cellStyle name="Normal 657 4" xfId="23405"/>
    <cellStyle name="Normal 657 4 2" xfId="52214"/>
    <cellStyle name="Normal 657 4 3" xfId="52215"/>
    <cellStyle name="Normal 657 5" xfId="23406"/>
    <cellStyle name="Normal 657 5 2" xfId="52216"/>
    <cellStyle name="Normal 657 5 3" xfId="52217"/>
    <cellStyle name="Normal 657 6" xfId="52218"/>
    <cellStyle name="Normal 657 7" xfId="52219"/>
    <cellStyle name="Normal 657 8" xfId="52220"/>
    <cellStyle name="Normal 657 9" xfId="52221"/>
    <cellStyle name="Normal 658" xfId="23407"/>
    <cellStyle name="Normal 658 10" xfId="52222"/>
    <cellStyle name="Normal 658 2" xfId="23408"/>
    <cellStyle name="Normal 658 2 2" xfId="23409"/>
    <cellStyle name="Normal 658 2 2 2" xfId="52223"/>
    <cellStyle name="Normal 658 2 2 3" xfId="52224"/>
    <cellStyle name="Normal 658 2 3" xfId="23410"/>
    <cellStyle name="Normal 658 2 3 2" xfId="52225"/>
    <cellStyle name="Normal 658 2 3 3" xfId="52226"/>
    <cellStyle name="Normal 658 2 4" xfId="52227"/>
    <cellStyle name="Normal 658 2 5" xfId="52228"/>
    <cellStyle name="Normal 658 2 6" xfId="52229"/>
    <cellStyle name="Normal 658 2 7" xfId="52230"/>
    <cellStyle name="Normal 658 2 8" xfId="52231"/>
    <cellStyle name="Normal 658 3" xfId="23411"/>
    <cellStyle name="Normal 658 3 2" xfId="52232"/>
    <cellStyle name="Normal 658 3 2 2" xfId="52233"/>
    <cellStyle name="Normal 658 3 2 3" xfId="52234"/>
    <cellStyle name="Normal 658 3 3" xfId="52235"/>
    <cellStyle name="Normal 658 3 3 2" xfId="52236"/>
    <cellStyle name="Normal 658 3 3 3" xfId="52237"/>
    <cellStyle name="Normal 658 3 4" xfId="52238"/>
    <cellStyle name="Normal 658 3 5" xfId="52239"/>
    <cellStyle name="Normal 658 4" xfId="23412"/>
    <cellStyle name="Normal 658 4 2" xfId="52240"/>
    <cellStyle name="Normal 658 4 3" xfId="52241"/>
    <cellStyle name="Normal 658 5" xfId="23413"/>
    <cellStyle name="Normal 658 5 2" xfId="52242"/>
    <cellStyle name="Normal 658 5 3" xfId="52243"/>
    <cellStyle name="Normal 658 6" xfId="52244"/>
    <cellStyle name="Normal 658 7" xfId="52245"/>
    <cellStyle name="Normal 658 8" xfId="52246"/>
    <cellStyle name="Normal 658 9" xfId="52247"/>
    <cellStyle name="Normal 659" xfId="23414"/>
    <cellStyle name="Normal 659 10" xfId="52248"/>
    <cellStyle name="Normal 659 2" xfId="23415"/>
    <cellStyle name="Normal 659 2 2" xfId="23416"/>
    <cellStyle name="Normal 659 2 2 2" xfId="52249"/>
    <cellStyle name="Normal 659 2 2 3" xfId="52250"/>
    <cellStyle name="Normal 659 2 3" xfId="23417"/>
    <cellStyle name="Normal 659 2 3 2" xfId="52251"/>
    <cellStyle name="Normal 659 2 3 3" xfId="52252"/>
    <cellStyle name="Normal 659 2 4" xfId="52253"/>
    <cellStyle name="Normal 659 2 5" xfId="52254"/>
    <cellStyle name="Normal 659 2 6" xfId="52255"/>
    <cellStyle name="Normal 659 2 7" xfId="52256"/>
    <cellStyle name="Normal 659 2 8" xfId="52257"/>
    <cellStyle name="Normal 659 3" xfId="23418"/>
    <cellStyle name="Normal 659 3 2" xfId="52258"/>
    <cellStyle name="Normal 659 3 2 2" xfId="52259"/>
    <cellStyle name="Normal 659 3 2 3" xfId="52260"/>
    <cellStyle name="Normal 659 3 3" xfId="52261"/>
    <cellStyle name="Normal 659 3 3 2" xfId="52262"/>
    <cellStyle name="Normal 659 3 3 3" xfId="52263"/>
    <cellStyle name="Normal 659 3 4" xfId="52264"/>
    <cellStyle name="Normal 659 3 5" xfId="52265"/>
    <cellStyle name="Normal 659 4" xfId="23419"/>
    <cellStyle name="Normal 659 4 2" xfId="52266"/>
    <cellStyle name="Normal 659 4 3" xfId="52267"/>
    <cellStyle name="Normal 659 5" xfId="23420"/>
    <cellStyle name="Normal 659 5 2" xfId="52268"/>
    <cellStyle name="Normal 659 5 3" xfId="52269"/>
    <cellStyle name="Normal 659 6" xfId="52270"/>
    <cellStyle name="Normal 659 7" xfId="52271"/>
    <cellStyle name="Normal 659 8" xfId="52272"/>
    <cellStyle name="Normal 659 9" xfId="52273"/>
    <cellStyle name="Normal 66" xfId="23421"/>
    <cellStyle name="Normal 66 10" xfId="52274"/>
    <cellStyle name="Normal 66 2" xfId="23422"/>
    <cellStyle name="Normal 66 2 2" xfId="23423"/>
    <cellStyle name="Normal 66 2 2 2" xfId="23424"/>
    <cellStyle name="Normal 66 2 2 3" xfId="23425"/>
    <cellStyle name="Normal 66 2 3" xfId="23426"/>
    <cellStyle name="Normal 66 2 3 2" xfId="52275"/>
    <cellStyle name="Normal 66 2 3 3" xfId="52276"/>
    <cellStyle name="Normal 66 2 4" xfId="23427"/>
    <cellStyle name="Normal 66 2 5" xfId="23428"/>
    <cellStyle name="Normal 66 2 6" xfId="52277"/>
    <cellStyle name="Normal 66 2 7" xfId="52278"/>
    <cellStyle name="Normal 66 2 8" xfId="52279"/>
    <cellStyle name="Normal 66 3" xfId="23429"/>
    <cellStyle name="Normal 66 3 2" xfId="23430"/>
    <cellStyle name="Normal 66 3 2 2" xfId="52280"/>
    <cellStyle name="Normal 66 3 2 3" xfId="52281"/>
    <cellStyle name="Normal 66 3 3" xfId="23431"/>
    <cellStyle name="Normal 66 3 3 2" xfId="52282"/>
    <cellStyle name="Normal 66 3 3 3" xfId="52283"/>
    <cellStyle name="Normal 66 3 4" xfId="52284"/>
    <cellStyle name="Normal 66 3 5" xfId="52285"/>
    <cellStyle name="Normal 66 4" xfId="23432"/>
    <cellStyle name="Normal 66 4 2" xfId="52286"/>
    <cellStyle name="Normal 66 4 3" xfId="52287"/>
    <cellStyle name="Normal 66 5" xfId="23433"/>
    <cellStyle name="Normal 66 5 2" xfId="52288"/>
    <cellStyle name="Normal 66 5 3" xfId="52289"/>
    <cellStyle name="Normal 66 6" xfId="23434"/>
    <cellStyle name="Normal 66 7" xfId="52290"/>
    <cellStyle name="Normal 66 8" xfId="52291"/>
    <cellStyle name="Normal 66 9" xfId="52292"/>
    <cellStyle name="Normal 660" xfId="23435"/>
    <cellStyle name="Normal 660 10" xfId="52293"/>
    <cellStyle name="Normal 660 2" xfId="23436"/>
    <cellStyle name="Normal 660 2 2" xfId="23437"/>
    <cellStyle name="Normal 660 2 2 2" xfId="52294"/>
    <cellStyle name="Normal 660 2 2 3" xfId="52295"/>
    <cellStyle name="Normal 660 2 3" xfId="23438"/>
    <cellStyle name="Normal 660 2 3 2" xfId="52296"/>
    <cellStyle name="Normal 660 2 3 3" xfId="52297"/>
    <cellStyle name="Normal 660 2 4" xfId="52298"/>
    <cellStyle name="Normal 660 2 5" xfId="52299"/>
    <cellStyle name="Normal 660 2 6" xfId="52300"/>
    <cellStyle name="Normal 660 2 7" xfId="52301"/>
    <cellStyle name="Normal 660 2 8" xfId="52302"/>
    <cellStyle name="Normal 660 3" xfId="23439"/>
    <cellStyle name="Normal 660 3 2" xfId="52303"/>
    <cellStyle name="Normal 660 3 2 2" xfId="52304"/>
    <cellStyle name="Normal 660 3 2 3" xfId="52305"/>
    <cellStyle name="Normal 660 3 3" xfId="52306"/>
    <cellStyle name="Normal 660 3 3 2" xfId="52307"/>
    <cellStyle name="Normal 660 3 3 3" xfId="52308"/>
    <cellStyle name="Normal 660 3 4" xfId="52309"/>
    <cellStyle name="Normal 660 3 5" xfId="52310"/>
    <cellStyle name="Normal 660 4" xfId="23440"/>
    <cellStyle name="Normal 660 4 2" xfId="52311"/>
    <cellStyle name="Normal 660 4 3" xfId="52312"/>
    <cellStyle name="Normal 660 5" xfId="23441"/>
    <cellStyle name="Normal 660 5 2" xfId="52313"/>
    <cellStyle name="Normal 660 5 3" xfId="52314"/>
    <cellStyle name="Normal 660 6" xfId="52315"/>
    <cellStyle name="Normal 660 7" xfId="52316"/>
    <cellStyle name="Normal 660 8" xfId="52317"/>
    <cellStyle name="Normal 660 9" xfId="52318"/>
    <cellStyle name="Normal 661" xfId="23442"/>
    <cellStyle name="Normal 661 10" xfId="52319"/>
    <cellStyle name="Normal 661 2" xfId="23443"/>
    <cellStyle name="Normal 661 2 2" xfId="23444"/>
    <cellStyle name="Normal 661 2 2 2" xfId="52320"/>
    <cellStyle name="Normal 661 2 2 3" xfId="52321"/>
    <cellStyle name="Normal 661 2 3" xfId="23445"/>
    <cellStyle name="Normal 661 2 3 2" xfId="52322"/>
    <cellStyle name="Normal 661 2 3 3" xfId="52323"/>
    <cellStyle name="Normal 661 2 4" xfId="52324"/>
    <cellStyle name="Normal 661 2 5" xfId="52325"/>
    <cellStyle name="Normal 661 2 6" xfId="52326"/>
    <cellStyle name="Normal 661 2 7" xfId="52327"/>
    <cellStyle name="Normal 661 2 8" xfId="52328"/>
    <cellStyle name="Normal 661 3" xfId="23446"/>
    <cellStyle name="Normal 661 3 2" xfId="52329"/>
    <cellStyle name="Normal 661 3 2 2" xfId="52330"/>
    <cellStyle name="Normal 661 3 2 3" xfId="52331"/>
    <cellStyle name="Normal 661 3 3" xfId="52332"/>
    <cellStyle name="Normal 661 3 3 2" xfId="52333"/>
    <cellStyle name="Normal 661 3 3 3" xfId="52334"/>
    <cellStyle name="Normal 661 3 4" xfId="52335"/>
    <cellStyle name="Normal 661 3 5" xfId="52336"/>
    <cellStyle name="Normal 661 4" xfId="23447"/>
    <cellStyle name="Normal 661 4 2" xfId="52337"/>
    <cellStyle name="Normal 661 4 3" xfId="52338"/>
    <cellStyle name="Normal 661 5" xfId="23448"/>
    <cellStyle name="Normal 661 5 2" xfId="52339"/>
    <cellStyle name="Normal 661 5 3" xfId="52340"/>
    <cellStyle name="Normal 661 6" xfId="52341"/>
    <cellStyle name="Normal 661 7" xfId="52342"/>
    <cellStyle name="Normal 661 8" xfId="52343"/>
    <cellStyle name="Normal 661 9" xfId="52344"/>
    <cellStyle name="Normal 662" xfId="23449"/>
    <cellStyle name="Normal 662 10" xfId="52345"/>
    <cellStyle name="Normal 662 2" xfId="23450"/>
    <cellStyle name="Normal 662 2 2" xfId="23451"/>
    <cellStyle name="Normal 662 2 2 2" xfId="52346"/>
    <cellStyle name="Normal 662 2 2 3" xfId="52347"/>
    <cellStyle name="Normal 662 2 3" xfId="23452"/>
    <cellStyle name="Normal 662 2 3 2" xfId="52348"/>
    <cellStyle name="Normal 662 2 3 3" xfId="52349"/>
    <cellStyle name="Normal 662 2 4" xfId="52350"/>
    <cellStyle name="Normal 662 2 5" xfId="52351"/>
    <cellStyle name="Normal 662 2 6" xfId="52352"/>
    <cellStyle name="Normal 662 2 7" xfId="52353"/>
    <cellStyle name="Normal 662 2 8" xfId="52354"/>
    <cellStyle name="Normal 662 3" xfId="23453"/>
    <cellStyle name="Normal 662 3 2" xfId="52355"/>
    <cellStyle name="Normal 662 3 2 2" xfId="52356"/>
    <cellStyle name="Normal 662 3 2 3" xfId="52357"/>
    <cellStyle name="Normal 662 3 3" xfId="52358"/>
    <cellStyle name="Normal 662 3 3 2" xfId="52359"/>
    <cellStyle name="Normal 662 3 3 3" xfId="52360"/>
    <cellStyle name="Normal 662 3 4" xfId="52361"/>
    <cellStyle name="Normal 662 3 5" xfId="52362"/>
    <cellStyle name="Normal 662 4" xfId="23454"/>
    <cellStyle name="Normal 662 4 2" xfId="52363"/>
    <cellStyle name="Normal 662 4 3" xfId="52364"/>
    <cellStyle name="Normal 662 5" xfId="23455"/>
    <cellStyle name="Normal 662 5 2" xfId="52365"/>
    <cellStyle name="Normal 662 5 3" xfId="52366"/>
    <cellStyle name="Normal 662 6" xfId="52367"/>
    <cellStyle name="Normal 662 7" xfId="52368"/>
    <cellStyle name="Normal 662 8" xfId="52369"/>
    <cellStyle name="Normal 662 9" xfId="52370"/>
    <cellStyle name="Normal 663" xfId="23456"/>
    <cellStyle name="Normal 663 10" xfId="52371"/>
    <cellStyle name="Normal 663 2" xfId="23457"/>
    <cellStyle name="Normal 663 2 2" xfId="23458"/>
    <cellStyle name="Normal 663 2 2 2" xfId="52372"/>
    <cellStyle name="Normal 663 2 2 3" xfId="52373"/>
    <cellStyle name="Normal 663 2 3" xfId="23459"/>
    <cellStyle name="Normal 663 2 3 2" xfId="52374"/>
    <cellStyle name="Normal 663 2 3 3" xfId="52375"/>
    <cellStyle name="Normal 663 2 4" xfId="52376"/>
    <cellStyle name="Normal 663 2 5" xfId="52377"/>
    <cellStyle name="Normal 663 2 6" xfId="52378"/>
    <cellStyle name="Normal 663 2 7" xfId="52379"/>
    <cellStyle name="Normal 663 2 8" xfId="52380"/>
    <cellStyle name="Normal 663 3" xfId="23460"/>
    <cellStyle name="Normal 663 3 2" xfId="52381"/>
    <cellStyle name="Normal 663 3 2 2" xfId="52382"/>
    <cellStyle name="Normal 663 3 2 3" xfId="52383"/>
    <cellStyle name="Normal 663 3 3" xfId="52384"/>
    <cellStyle name="Normal 663 3 3 2" xfId="52385"/>
    <cellStyle name="Normal 663 3 3 3" xfId="52386"/>
    <cellStyle name="Normal 663 3 4" xfId="52387"/>
    <cellStyle name="Normal 663 3 5" xfId="52388"/>
    <cellStyle name="Normal 663 4" xfId="23461"/>
    <cellStyle name="Normal 663 4 2" xfId="52389"/>
    <cellStyle name="Normal 663 4 3" xfId="52390"/>
    <cellStyle name="Normal 663 5" xfId="23462"/>
    <cellStyle name="Normal 663 5 2" xfId="52391"/>
    <cellStyle name="Normal 663 5 3" xfId="52392"/>
    <cellStyle name="Normal 663 6" xfId="52393"/>
    <cellStyle name="Normal 663 7" xfId="52394"/>
    <cellStyle name="Normal 663 8" xfId="52395"/>
    <cellStyle name="Normal 663 9" xfId="52396"/>
    <cellStyle name="Normal 664" xfId="23463"/>
    <cellStyle name="Normal 664 10" xfId="52397"/>
    <cellStyle name="Normal 664 2" xfId="23464"/>
    <cellStyle name="Normal 664 2 2" xfId="23465"/>
    <cellStyle name="Normal 664 2 2 2" xfId="52398"/>
    <cellStyle name="Normal 664 2 2 3" xfId="52399"/>
    <cellStyle name="Normal 664 2 3" xfId="23466"/>
    <cellStyle name="Normal 664 2 3 2" xfId="52400"/>
    <cellStyle name="Normal 664 2 3 3" xfId="52401"/>
    <cellStyle name="Normal 664 2 4" xfId="52402"/>
    <cellStyle name="Normal 664 2 5" xfId="52403"/>
    <cellStyle name="Normal 664 2 6" xfId="52404"/>
    <cellStyle name="Normal 664 2 7" xfId="52405"/>
    <cellStyle name="Normal 664 2 8" xfId="52406"/>
    <cellStyle name="Normal 664 3" xfId="23467"/>
    <cellStyle name="Normal 664 3 2" xfId="52407"/>
    <cellStyle name="Normal 664 3 2 2" xfId="52408"/>
    <cellStyle name="Normal 664 3 2 3" xfId="52409"/>
    <cellStyle name="Normal 664 3 3" xfId="52410"/>
    <cellStyle name="Normal 664 3 3 2" xfId="52411"/>
    <cellStyle name="Normal 664 3 3 3" xfId="52412"/>
    <cellStyle name="Normal 664 3 4" xfId="52413"/>
    <cellStyle name="Normal 664 3 5" xfId="52414"/>
    <cellStyle name="Normal 664 4" xfId="23468"/>
    <cellStyle name="Normal 664 4 2" xfId="52415"/>
    <cellStyle name="Normal 664 4 3" xfId="52416"/>
    <cellStyle name="Normal 664 5" xfId="23469"/>
    <cellStyle name="Normal 664 5 2" xfId="52417"/>
    <cellStyle name="Normal 664 5 3" xfId="52418"/>
    <cellStyle name="Normal 664 6" xfId="52419"/>
    <cellStyle name="Normal 664 7" xfId="52420"/>
    <cellStyle name="Normal 664 8" xfId="52421"/>
    <cellStyle name="Normal 664 9" xfId="52422"/>
    <cellStyle name="Normal 665" xfId="23470"/>
    <cellStyle name="Normal 665 10" xfId="52423"/>
    <cellStyle name="Normal 665 2" xfId="23471"/>
    <cellStyle name="Normal 665 2 2" xfId="23472"/>
    <cellStyle name="Normal 665 2 2 2" xfId="52424"/>
    <cellStyle name="Normal 665 2 2 3" xfId="52425"/>
    <cellStyle name="Normal 665 2 3" xfId="23473"/>
    <cellStyle name="Normal 665 2 3 2" xfId="52426"/>
    <cellStyle name="Normal 665 2 3 3" xfId="52427"/>
    <cellStyle name="Normal 665 2 4" xfId="52428"/>
    <cellStyle name="Normal 665 2 5" xfId="52429"/>
    <cellStyle name="Normal 665 2 6" xfId="52430"/>
    <cellStyle name="Normal 665 2 7" xfId="52431"/>
    <cellStyle name="Normal 665 2 8" xfId="52432"/>
    <cellStyle name="Normal 665 3" xfId="23474"/>
    <cellStyle name="Normal 665 3 2" xfId="52433"/>
    <cellStyle name="Normal 665 3 2 2" xfId="52434"/>
    <cellStyle name="Normal 665 3 2 3" xfId="52435"/>
    <cellStyle name="Normal 665 3 3" xfId="52436"/>
    <cellStyle name="Normal 665 3 3 2" xfId="52437"/>
    <cellStyle name="Normal 665 3 3 3" xfId="52438"/>
    <cellStyle name="Normal 665 3 4" xfId="52439"/>
    <cellStyle name="Normal 665 3 5" xfId="52440"/>
    <cellStyle name="Normal 665 4" xfId="23475"/>
    <cellStyle name="Normal 665 4 2" xfId="52441"/>
    <cellStyle name="Normal 665 4 3" xfId="52442"/>
    <cellStyle name="Normal 665 5" xfId="23476"/>
    <cellStyle name="Normal 665 5 2" xfId="52443"/>
    <cellStyle name="Normal 665 5 3" xfId="52444"/>
    <cellStyle name="Normal 665 6" xfId="52445"/>
    <cellStyle name="Normal 665 7" xfId="52446"/>
    <cellStyle name="Normal 665 8" xfId="52447"/>
    <cellStyle name="Normal 665 9" xfId="52448"/>
    <cellStyle name="Normal 666" xfId="23477"/>
    <cellStyle name="Normal 666 10" xfId="52449"/>
    <cellStyle name="Normal 666 2" xfId="23478"/>
    <cellStyle name="Normal 666 2 2" xfId="23479"/>
    <cellStyle name="Normal 666 2 2 2" xfId="52450"/>
    <cellStyle name="Normal 666 2 2 3" xfId="52451"/>
    <cellStyle name="Normal 666 2 3" xfId="23480"/>
    <cellStyle name="Normal 666 2 3 2" xfId="52452"/>
    <cellStyle name="Normal 666 2 3 3" xfId="52453"/>
    <cellStyle name="Normal 666 2 4" xfId="52454"/>
    <cellStyle name="Normal 666 2 5" xfId="52455"/>
    <cellStyle name="Normal 666 2 6" xfId="52456"/>
    <cellStyle name="Normal 666 2 7" xfId="52457"/>
    <cellStyle name="Normal 666 2 8" xfId="52458"/>
    <cellStyle name="Normal 666 3" xfId="23481"/>
    <cellStyle name="Normal 666 3 2" xfId="52459"/>
    <cellStyle name="Normal 666 3 2 2" xfId="52460"/>
    <cellStyle name="Normal 666 3 2 3" xfId="52461"/>
    <cellStyle name="Normal 666 3 3" xfId="52462"/>
    <cellStyle name="Normal 666 3 3 2" xfId="52463"/>
    <cellStyle name="Normal 666 3 3 3" xfId="52464"/>
    <cellStyle name="Normal 666 3 4" xfId="52465"/>
    <cellStyle name="Normal 666 3 5" xfId="52466"/>
    <cellStyle name="Normal 666 4" xfId="23482"/>
    <cellStyle name="Normal 666 4 2" xfId="52467"/>
    <cellStyle name="Normal 666 4 3" xfId="52468"/>
    <cellStyle name="Normal 666 5" xfId="23483"/>
    <cellStyle name="Normal 666 5 2" xfId="52469"/>
    <cellStyle name="Normal 666 5 3" xfId="52470"/>
    <cellStyle name="Normal 666 6" xfId="52471"/>
    <cellStyle name="Normal 666 7" xfId="52472"/>
    <cellStyle name="Normal 666 8" xfId="52473"/>
    <cellStyle name="Normal 666 9" xfId="52474"/>
    <cellStyle name="Normal 667" xfId="23484"/>
    <cellStyle name="Normal 667 10" xfId="52475"/>
    <cellStyle name="Normal 667 2" xfId="23485"/>
    <cellStyle name="Normal 667 2 2" xfId="23486"/>
    <cellStyle name="Normal 667 2 2 2" xfId="52476"/>
    <cellStyle name="Normal 667 2 2 3" xfId="52477"/>
    <cellStyle name="Normal 667 2 3" xfId="23487"/>
    <cellStyle name="Normal 667 2 3 2" xfId="52478"/>
    <cellStyle name="Normal 667 2 3 3" xfId="52479"/>
    <cellStyle name="Normal 667 2 4" xfId="52480"/>
    <cellStyle name="Normal 667 2 5" xfId="52481"/>
    <cellStyle name="Normal 667 2 6" xfId="52482"/>
    <cellStyle name="Normal 667 2 7" xfId="52483"/>
    <cellStyle name="Normal 667 2 8" xfId="52484"/>
    <cellStyle name="Normal 667 3" xfId="23488"/>
    <cellStyle name="Normal 667 3 2" xfId="52485"/>
    <cellStyle name="Normal 667 3 2 2" xfId="52486"/>
    <cellStyle name="Normal 667 3 2 3" xfId="52487"/>
    <cellStyle name="Normal 667 3 3" xfId="52488"/>
    <cellStyle name="Normal 667 3 3 2" xfId="52489"/>
    <cellStyle name="Normal 667 3 3 3" xfId="52490"/>
    <cellStyle name="Normal 667 3 4" xfId="52491"/>
    <cellStyle name="Normal 667 3 5" xfId="52492"/>
    <cellStyle name="Normal 667 4" xfId="23489"/>
    <cellStyle name="Normal 667 4 2" xfId="52493"/>
    <cellStyle name="Normal 667 4 3" xfId="52494"/>
    <cellStyle name="Normal 667 5" xfId="23490"/>
    <cellStyle name="Normal 667 5 2" xfId="52495"/>
    <cellStyle name="Normal 667 5 3" xfId="52496"/>
    <cellStyle name="Normal 667 6" xfId="52497"/>
    <cellStyle name="Normal 667 7" xfId="52498"/>
    <cellStyle name="Normal 667 8" xfId="52499"/>
    <cellStyle name="Normal 667 9" xfId="52500"/>
    <cellStyle name="Normal 668" xfId="23491"/>
    <cellStyle name="Normal 668 10" xfId="52501"/>
    <cellStyle name="Normal 668 2" xfId="23492"/>
    <cellStyle name="Normal 668 2 2" xfId="23493"/>
    <cellStyle name="Normal 668 2 2 2" xfId="52502"/>
    <cellStyle name="Normal 668 2 2 3" xfId="52503"/>
    <cellStyle name="Normal 668 2 3" xfId="23494"/>
    <cellStyle name="Normal 668 2 3 2" xfId="52504"/>
    <cellStyle name="Normal 668 2 3 3" xfId="52505"/>
    <cellStyle name="Normal 668 2 4" xfId="52506"/>
    <cellStyle name="Normal 668 2 5" xfId="52507"/>
    <cellStyle name="Normal 668 2 6" xfId="52508"/>
    <cellStyle name="Normal 668 2 7" xfId="52509"/>
    <cellStyle name="Normal 668 2 8" xfId="52510"/>
    <cellStyle name="Normal 668 3" xfId="23495"/>
    <cellStyle name="Normal 668 3 2" xfId="52511"/>
    <cellStyle name="Normal 668 3 2 2" xfId="52512"/>
    <cellStyle name="Normal 668 3 2 3" xfId="52513"/>
    <cellStyle name="Normal 668 3 3" xfId="52514"/>
    <cellStyle name="Normal 668 3 3 2" xfId="52515"/>
    <cellStyle name="Normal 668 3 3 3" xfId="52516"/>
    <cellStyle name="Normal 668 3 4" xfId="52517"/>
    <cellStyle name="Normal 668 3 5" xfId="52518"/>
    <cellStyle name="Normal 668 4" xfId="23496"/>
    <cellStyle name="Normal 668 4 2" xfId="52519"/>
    <cellStyle name="Normal 668 4 3" xfId="52520"/>
    <cellStyle name="Normal 668 5" xfId="23497"/>
    <cellStyle name="Normal 668 5 2" xfId="52521"/>
    <cellStyle name="Normal 668 5 3" xfId="52522"/>
    <cellStyle name="Normal 668 6" xfId="52523"/>
    <cellStyle name="Normal 668 7" xfId="52524"/>
    <cellStyle name="Normal 668 8" xfId="52525"/>
    <cellStyle name="Normal 668 9" xfId="52526"/>
    <cellStyle name="Normal 669" xfId="23498"/>
    <cellStyle name="Normal 669 10" xfId="52527"/>
    <cellStyle name="Normal 669 2" xfId="23499"/>
    <cellStyle name="Normal 669 2 2" xfId="23500"/>
    <cellStyle name="Normal 669 2 2 2" xfId="52528"/>
    <cellStyle name="Normal 669 2 2 3" xfId="52529"/>
    <cellStyle name="Normal 669 2 3" xfId="23501"/>
    <cellStyle name="Normal 669 2 3 2" xfId="52530"/>
    <cellStyle name="Normal 669 2 3 3" xfId="52531"/>
    <cellStyle name="Normal 669 2 4" xfId="52532"/>
    <cellStyle name="Normal 669 2 5" xfId="52533"/>
    <cellStyle name="Normal 669 2 6" xfId="52534"/>
    <cellStyle name="Normal 669 2 7" xfId="52535"/>
    <cellStyle name="Normal 669 2 8" xfId="52536"/>
    <cellStyle name="Normal 669 3" xfId="23502"/>
    <cellStyle name="Normal 669 3 2" xfId="52537"/>
    <cellStyle name="Normal 669 3 2 2" xfId="52538"/>
    <cellStyle name="Normal 669 3 2 3" xfId="52539"/>
    <cellStyle name="Normal 669 3 3" xfId="52540"/>
    <cellStyle name="Normal 669 3 3 2" xfId="52541"/>
    <cellStyle name="Normal 669 3 3 3" xfId="52542"/>
    <cellStyle name="Normal 669 3 4" xfId="52543"/>
    <cellStyle name="Normal 669 3 5" xfId="52544"/>
    <cellStyle name="Normal 669 4" xfId="23503"/>
    <cellStyle name="Normal 669 4 2" xfId="52545"/>
    <cellStyle name="Normal 669 4 3" xfId="52546"/>
    <cellStyle name="Normal 669 5" xfId="23504"/>
    <cellStyle name="Normal 669 5 2" xfId="52547"/>
    <cellStyle name="Normal 669 5 3" xfId="52548"/>
    <cellStyle name="Normal 669 6" xfId="52549"/>
    <cellStyle name="Normal 669 7" xfId="52550"/>
    <cellStyle name="Normal 669 8" xfId="52551"/>
    <cellStyle name="Normal 669 9" xfId="52552"/>
    <cellStyle name="Normal 67" xfId="23505"/>
    <cellStyle name="Normal 67 10" xfId="52553"/>
    <cellStyle name="Normal 67 2" xfId="23506"/>
    <cellStyle name="Normal 67 2 2" xfId="23507"/>
    <cellStyle name="Normal 67 2 2 2" xfId="23508"/>
    <cellStyle name="Normal 67 2 2 3" xfId="23509"/>
    <cellStyle name="Normal 67 2 3" xfId="23510"/>
    <cellStyle name="Normal 67 2 3 2" xfId="52554"/>
    <cellStyle name="Normal 67 2 3 3" xfId="52555"/>
    <cellStyle name="Normal 67 2 4" xfId="23511"/>
    <cellStyle name="Normal 67 2 5" xfId="23512"/>
    <cellStyle name="Normal 67 2 6" xfId="52556"/>
    <cellStyle name="Normal 67 2 7" xfId="52557"/>
    <cellStyle name="Normal 67 2 8" xfId="52558"/>
    <cellStyle name="Normal 67 3" xfId="23513"/>
    <cellStyle name="Normal 67 3 2" xfId="23514"/>
    <cellStyle name="Normal 67 3 2 2" xfId="52559"/>
    <cellStyle name="Normal 67 3 2 3" xfId="52560"/>
    <cellStyle name="Normal 67 3 3" xfId="23515"/>
    <cellStyle name="Normal 67 3 3 2" xfId="52561"/>
    <cellStyle name="Normal 67 3 3 3" xfId="52562"/>
    <cellStyle name="Normal 67 3 4" xfId="52563"/>
    <cellStyle name="Normal 67 3 5" xfId="52564"/>
    <cellStyle name="Normal 67 4" xfId="23516"/>
    <cellStyle name="Normal 67 4 2" xfId="52565"/>
    <cellStyle name="Normal 67 4 3" xfId="52566"/>
    <cellStyle name="Normal 67 5" xfId="23517"/>
    <cellStyle name="Normal 67 5 2" xfId="52567"/>
    <cellStyle name="Normal 67 5 3" xfId="52568"/>
    <cellStyle name="Normal 67 6" xfId="23518"/>
    <cellStyle name="Normal 67 7" xfId="52569"/>
    <cellStyle name="Normal 67 8" xfId="52570"/>
    <cellStyle name="Normal 67 9" xfId="52571"/>
    <cellStyle name="Normal 670" xfId="23519"/>
    <cellStyle name="Normal 670 10" xfId="52572"/>
    <cellStyle name="Normal 670 2" xfId="23520"/>
    <cellStyle name="Normal 670 2 2" xfId="23521"/>
    <cellStyle name="Normal 670 2 2 2" xfId="52573"/>
    <cellStyle name="Normal 670 2 2 3" xfId="52574"/>
    <cellStyle name="Normal 670 2 3" xfId="23522"/>
    <cellStyle name="Normal 670 2 3 2" xfId="52575"/>
    <cellStyle name="Normal 670 2 3 3" xfId="52576"/>
    <cellStyle name="Normal 670 2 4" xfId="52577"/>
    <cellStyle name="Normal 670 2 5" xfId="52578"/>
    <cellStyle name="Normal 670 2 6" xfId="52579"/>
    <cellStyle name="Normal 670 2 7" xfId="52580"/>
    <cellStyle name="Normal 670 2 8" xfId="52581"/>
    <cellStyle name="Normal 670 3" xfId="23523"/>
    <cellStyle name="Normal 670 3 2" xfId="52582"/>
    <cellStyle name="Normal 670 3 2 2" xfId="52583"/>
    <cellStyle name="Normal 670 3 2 3" xfId="52584"/>
    <cellStyle name="Normal 670 3 3" xfId="52585"/>
    <cellStyle name="Normal 670 3 3 2" xfId="52586"/>
    <cellStyle name="Normal 670 3 3 3" xfId="52587"/>
    <cellStyle name="Normal 670 3 4" xfId="52588"/>
    <cellStyle name="Normal 670 3 5" xfId="52589"/>
    <cellStyle name="Normal 670 4" xfId="23524"/>
    <cellStyle name="Normal 670 4 2" xfId="52590"/>
    <cellStyle name="Normal 670 4 3" xfId="52591"/>
    <cellStyle name="Normal 670 5" xfId="23525"/>
    <cellStyle name="Normal 670 5 2" xfId="52592"/>
    <cellStyle name="Normal 670 5 3" xfId="52593"/>
    <cellStyle name="Normal 670 6" xfId="52594"/>
    <cellStyle name="Normal 670 7" xfId="52595"/>
    <cellStyle name="Normal 670 8" xfId="52596"/>
    <cellStyle name="Normal 670 9" xfId="52597"/>
    <cellStyle name="Normal 671" xfId="23526"/>
    <cellStyle name="Normal 671 10" xfId="52598"/>
    <cellStyle name="Normal 671 2" xfId="23527"/>
    <cellStyle name="Normal 671 2 2" xfId="23528"/>
    <cellStyle name="Normal 671 2 2 2" xfId="52599"/>
    <cellStyle name="Normal 671 2 2 3" xfId="52600"/>
    <cellStyle name="Normal 671 2 3" xfId="23529"/>
    <cellStyle name="Normal 671 2 3 2" xfId="52601"/>
    <cellStyle name="Normal 671 2 3 3" xfId="52602"/>
    <cellStyle name="Normal 671 2 4" xfId="52603"/>
    <cellStyle name="Normal 671 2 5" xfId="52604"/>
    <cellStyle name="Normal 671 2 6" xfId="52605"/>
    <cellStyle name="Normal 671 2 7" xfId="52606"/>
    <cellStyle name="Normal 671 2 8" xfId="52607"/>
    <cellStyle name="Normal 671 3" xfId="23530"/>
    <cellStyle name="Normal 671 3 2" xfId="52608"/>
    <cellStyle name="Normal 671 3 2 2" xfId="52609"/>
    <cellStyle name="Normal 671 3 2 3" xfId="52610"/>
    <cellStyle name="Normal 671 3 3" xfId="52611"/>
    <cellStyle name="Normal 671 3 3 2" xfId="52612"/>
    <cellStyle name="Normal 671 3 3 3" xfId="52613"/>
    <cellStyle name="Normal 671 3 4" xfId="52614"/>
    <cellStyle name="Normal 671 3 5" xfId="52615"/>
    <cellStyle name="Normal 671 4" xfId="23531"/>
    <cellStyle name="Normal 671 4 2" xfId="52616"/>
    <cellStyle name="Normal 671 4 3" xfId="52617"/>
    <cellStyle name="Normal 671 5" xfId="23532"/>
    <cellStyle name="Normal 671 5 2" xfId="52618"/>
    <cellStyle name="Normal 671 5 3" xfId="52619"/>
    <cellStyle name="Normal 671 6" xfId="52620"/>
    <cellStyle name="Normal 671 7" xfId="52621"/>
    <cellStyle name="Normal 671 8" xfId="52622"/>
    <cellStyle name="Normal 671 9" xfId="52623"/>
    <cellStyle name="Normal 672" xfId="23533"/>
    <cellStyle name="Normal 672 10" xfId="52624"/>
    <cellStyle name="Normal 672 2" xfId="23534"/>
    <cellStyle name="Normal 672 2 2" xfId="23535"/>
    <cellStyle name="Normal 672 2 2 2" xfId="52625"/>
    <cellStyle name="Normal 672 2 2 3" xfId="52626"/>
    <cellStyle name="Normal 672 2 3" xfId="23536"/>
    <cellStyle name="Normal 672 2 3 2" xfId="52627"/>
    <cellStyle name="Normal 672 2 3 3" xfId="52628"/>
    <cellStyle name="Normal 672 2 4" xfId="52629"/>
    <cellStyle name="Normal 672 2 5" xfId="52630"/>
    <cellStyle name="Normal 672 2 6" xfId="52631"/>
    <cellStyle name="Normal 672 2 7" xfId="52632"/>
    <cellStyle name="Normal 672 2 8" xfId="52633"/>
    <cellStyle name="Normal 672 3" xfId="23537"/>
    <cellStyle name="Normal 672 3 2" xfId="52634"/>
    <cellStyle name="Normal 672 3 2 2" xfId="52635"/>
    <cellStyle name="Normal 672 3 2 3" xfId="52636"/>
    <cellStyle name="Normal 672 3 3" xfId="52637"/>
    <cellStyle name="Normal 672 3 3 2" xfId="52638"/>
    <cellStyle name="Normal 672 3 3 3" xfId="52639"/>
    <cellStyle name="Normal 672 3 4" xfId="52640"/>
    <cellStyle name="Normal 672 3 5" xfId="52641"/>
    <cellStyle name="Normal 672 4" xfId="23538"/>
    <cellStyle name="Normal 672 4 2" xfId="52642"/>
    <cellStyle name="Normal 672 4 3" xfId="52643"/>
    <cellStyle name="Normal 672 5" xfId="23539"/>
    <cellStyle name="Normal 672 5 2" xfId="52644"/>
    <cellStyle name="Normal 672 5 3" xfId="52645"/>
    <cellStyle name="Normal 672 6" xfId="52646"/>
    <cellStyle name="Normal 672 7" xfId="52647"/>
    <cellStyle name="Normal 672 8" xfId="52648"/>
    <cellStyle name="Normal 672 9" xfId="52649"/>
    <cellStyle name="Normal 673" xfId="23540"/>
    <cellStyle name="Normal 673 10" xfId="52650"/>
    <cellStyle name="Normal 673 2" xfId="23541"/>
    <cellStyle name="Normal 673 2 2" xfId="23542"/>
    <cellStyle name="Normal 673 2 2 2" xfId="52651"/>
    <cellStyle name="Normal 673 2 2 3" xfId="52652"/>
    <cellStyle name="Normal 673 2 3" xfId="23543"/>
    <cellStyle name="Normal 673 2 3 2" xfId="52653"/>
    <cellStyle name="Normal 673 2 3 3" xfId="52654"/>
    <cellStyle name="Normal 673 2 4" xfId="52655"/>
    <cellStyle name="Normal 673 2 5" xfId="52656"/>
    <cellStyle name="Normal 673 2 6" xfId="52657"/>
    <cellStyle name="Normal 673 2 7" xfId="52658"/>
    <cellStyle name="Normal 673 2 8" xfId="52659"/>
    <cellStyle name="Normal 673 3" xfId="23544"/>
    <cellStyle name="Normal 673 3 2" xfId="52660"/>
    <cellStyle name="Normal 673 3 2 2" xfId="52661"/>
    <cellStyle name="Normal 673 3 2 3" xfId="52662"/>
    <cellStyle name="Normal 673 3 3" xfId="52663"/>
    <cellStyle name="Normal 673 3 3 2" xfId="52664"/>
    <cellStyle name="Normal 673 3 3 3" xfId="52665"/>
    <cellStyle name="Normal 673 3 4" xfId="52666"/>
    <cellStyle name="Normal 673 3 5" xfId="52667"/>
    <cellStyle name="Normal 673 4" xfId="23545"/>
    <cellStyle name="Normal 673 4 2" xfId="52668"/>
    <cellStyle name="Normal 673 4 3" xfId="52669"/>
    <cellStyle name="Normal 673 5" xfId="23546"/>
    <cellStyle name="Normal 673 5 2" xfId="52670"/>
    <cellStyle name="Normal 673 5 3" xfId="52671"/>
    <cellStyle name="Normal 673 6" xfId="52672"/>
    <cellStyle name="Normal 673 7" xfId="52673"/>
    <cellStyle name="Normal 673 8" xfId="52674"/>
    <cellStyle name="Normal 673 9" xfId="52675"/>
    <cellStyle name="Normal 674" xfId="23547"/>
    <cellStyle name="Normal 674 10" xfId="52676"/>
    <cellStyle name="Normal 674 2" xfId="23548"/>
    <cellStyle name="Normal 674 2 2" xfId="23549"/>
    <cellStyle name="Normal 674 2 2 2" xfId="52677"/>
    <cellStyle name="Normal 674 2 2 3" xfId="52678"/>
    <cellStyle name="Normal 674 2 3" xfId="23550"/>
    <cellStyle name="Normal 674 2 3 2" xfId="52679"/>
    <cellStyle name="Normal 674 2 3 3" xfId="52680"/>
    <cellStyle name="Normal 674 2 4" xfId="52681"/>
    <cellStyle name="Normal 674 2 5" xfId="52682"/>
    <cellStyle name="Normal 674 2 6" xfId="52683"/>
    <cellStyle name="Normal 674 2 7" xfId="52684"/>
    <cellStyle name="Normal 674 2 8" xfId="52685"/>
    <cellStyle name="Normal 674 3" xfId="23551"/>
    <cellStyle name="Normal 674 3 2" xfId="52686"/>
    <cellStyle name="Normal 674 3 2 2" xfId="52687"/>
    <cellStyle name="Normal 674 3 2 3" xfId="52688"/>
    <cellStyle name="Normal 674 3 3" xfId="52689"/>
    <cellStyle name="Normal 674 3 3 2" xfId="52690"/>
    <cellStyle name="Normal 674 3 3 3" xfId="52691"/>
    <cellStyle name="Normal 674 3 4" xfId="52692"/>
    <cellStyle name="Normal 674 3 5" xfId="52693"/>
    <cellStyle name="Normal 674 4" xfId="23552"/>
    <cellStyle name="Normal 674 4 2" xfId="52694"/>
    <cellStyle name="Normal 674 4 3" xfId="52695"/>
    <cellStyle name="Normal 674 5" xfId="23553"/>
    <cellStyle name="Normal 674 5 2" xfId="52696"/>
    <cellStyle name="Normal 674 5 3" xfId="52697"/>
    <cellStyle name="Normal 674 6" xfId="52698"/>
    <cellStyle name="Normal 674 7" xfId="52699"/>
    <cellStyle name="Normal 674 8" xfId="52700"/>
    <cellStyle name="Normal 674 9" xfId="52701"/>
    <cellStyle name="Normal 675" xfId="23554"/>
    <cellStyle name="Normal 675 10" xfId="52702"/>
    <cellStyle name="Normal 675 2" xfId="23555"/>
    <cellStyle name="Normal 675 2 2" xfId="23556"/>
    <cellStyle name="Normal 675 2 2 2" xfId="52703"/>
    <cellStyle name="Normal 675 2 2 3" xfId="52704"/>
    <cellStyle name="Normal 675 2 3" xfId="23557"/>
    <cellStyle name="Normal 675 2 3 2" xfId="52705"/>
    <cellStyle name="Normal 675 2 3 3" xfId="52706"/>
    <cellStyle name="Normal 675 2 4" xfId="52707"/>
    <cellStyle name="Normal 675 2 5" xfId="52708"/>
    <cellStyle name="Normal 675 2 6" xfId="52709"/>
    <cellStyle name="Normal 675 2 7" xfId="52710"/>
    <cellStyle name="Normal 675 2 8" xfId="52711"/>
    <cellStyle name="Normal 675 3" xfId="23558"/>
    <cellStyle name="Normal 675 3 2" xfId="52712"/>
    <cellStyle name="Normal 675 3 2 2" xfId="52713"/>
    <cellStyle name="Normal 675 3 2 3" xfId="52714"/>
    <cellStyle name="Normal 675 3 3" xfId="52715"/>
    <cellStyle name="Normal 675 3 3 2" xfId="52716"/>
    <cellStyle name="Normal 675 3 3 3" xfId="52717"/>
    <cellStyle name="Normal 675 3 4" xfId="52718"/>
    <cellStyle name="Normal 675 3 5" xfId="52719"/>
    <cellStyle name="Normal 675 4" xfId="23559"/>
    <cellStyle name="Normal 675 4 2" xfId="52720"/>
    <cellStyle name="Normal 675 4 3" xfId="52721"/>
    <cellStyle name="Normal 675 5" xfId="23560"/>
    <cellStyle name="Normal 675 5 2" xfId="52722"/>
    <cellStyle name="Normal 675 5 3" xfId="52723"/>
    <cellStyle name="Normal 675 6" xfId="52724"/>
    <cellStyle name="Normal 675 7" xfId="52725"/>
    <cellStyle name="Normal 675 8" xfId="52726"/>
    <cellStyle name="Normal 675 9" xfId="52727"/>
    <cellStyle name="Normal 676" xfId="23561"/>
    <cellStyle name="Normal 676 10" xfId="52728"/>
    <cellStyle name="Normal 676 2" xfId="23562"/>
    <cellStyle name="Normal 676 2 2" xfId="23563"/>
    <cellStyle name="Normal 676 2 2 2" xfId="52729"/>
    <cellStyle name="Normal 676 2 2 3" xfId="52730"/>
    <cellStyle name="Normal 676 2 3" xfId="23564"/>
    <cellStyle name="Normal 676 2 3 2" xfId="52731"/>
    <cellStyle name="Normal 676 2 3 3" xfId="52732"/>
    <cellStyle name="Normal 676 2 4" xfId="52733"/>
    <cellStyle name="Normal 676 2 5" xfId="52734"/>
    <cellStyle name="Normal 676 2 6" xfId="52735"/>
    <cellStyle name="Normal 676 2 7" xfId="52736"/>
    <cellStyle name="Normal 676 2 8" xfId="52737"/>
    <cellStyle name="Normal 676 3" xfId="23565"/>
    <cellStyle name="Normal 676 3 2" xfId="52738"/>
    <cellStyle name="Normal 676 3 2 2" xfId="52739"/>
    <cellStyle name="Normal 676 3 2 3" xfId="52740"/>
    <cellStyle name="Normal 676 3 3" xfId="52741"/>
    <cellStyle name="Normal 676 3 3 2" xfId="52742"/>
    <cellStyle name="Normal 676 3 3 3" xfId="52743"/>
    <cellStyle name="Normal 676 3 4" xfId="52744"/>
    <cellStyle name="Normal 676 3 5" xfId="52745"/>
    <cellStyle name="Normal 676 4" xfId="23566"/>
    <cellStyle name="Normal 676 4 2" xfId="52746"/>
    <cellStyle name="Normal 676 4 3" xfId="52747"/>
    <cellStyle name="Normal 676 5" xfId="23567"/>
    <cellStyle name="Normal 676 5 2" xfId="52748"/>
    <cellStyle name="Normal 676 5 3" xfId="52749"/>
    <cellStyle name="Normal 676 6" xfId="52750"/>
    <cellStyle name="Normal 676 7" xfId="52751"/>
    <cellStyle name="Normal 676 8" xfId="52752"/>
    <cellStyle name="Normal 676 9" xfId="52753"/>
    <cellStyle name="Normal 677" xfId="23568"/>
    <cellStyle name="Normal 677 10" xfId="52754"/>
    <cellStyle name="Normal 677 2" xfId="23569"/>
    <cellStyle name="Normal 677 2 2" xfId="23570"/>
    <cellStyle name="Normal 677 2 2 2" xfId="52755"/>
    <cellStyle name="Normal 677 2 2 3" xfId="52756"/>
    <cellStyle name="Normal 677 2 3" xfId="23571"/>
    <cellStyle name="Normal 677 2 3 2" xfId="52757"/>
    <cellStyle name="Normal 677 2 3 3" xfId="52758"/>
    <cellStyle name="Normal 677 2 4" xfId="52759"/>
    <cellStyle name="Normal 677 2 5" xfId="52760"/>
    <cellStyle name="Normal 677 2 6" xfId="52761"/>
    <cellStyle name="Normal 677 2 7" xfId="52762"/>
    <cellStyle name="Normal 677 2 8" xfId="52763"/>
    <cellStyle name="Normal 677 3" xfId="23572"/>
    <cellStyle name="Normal 677 3 2" xfId="52764"/>
    <cellStyle name="Normal 677 3 2 2" xfId="52765"/>
    <cellStyle name="Normal 677 3 2 3" xfId="52766"/>
    <cellStyle name="Normal 677 3 3" xfId="52767"/>
    <cellStyle name="Normal 677 3 3 2" xfId="52768"/>
    <cellStyle name="Normal 677 3 3 3" xfId="52769"/>
    <cellStyle name="Normal 677 3 4" xfId="52770"/>
    <cellStyle name="Normal 677 3 5" xfId="52771"/>
    <cellStyle name="Normal 677 4" xfId="23573"/>
    <cellStyle name="Normal 677 4 2" xfId="52772"/>
    <cellStyle name="Normal 677 4 3" xfId="52773"/>
    <cellStyle name="Normal 677 5" xfId="23574"/>
    <cellStyle name="Normal 677 5 2" xfId="52774"/>
    <cellStyle name="Normal 677 5 3" xfId="52775"/>
    <cellStyle name="Normal 677 6" xfId="52776"/>
    <cellStyle name="Normal 677 7" xfId="52777"/>
    <cellStyle name="Normal 677 8" xfId="52778"/>
    <cellStyle name="Normal 677 9" xfId="52779"/>
    <cellStyle name="Normal 678" xfId="23575"/>
    <cellStyle name="Normal 678 10" xfId="52780"/>
    <cellStyle name="Normal 678 2" xfId="23576"/>
    <cellStyle name="Normal 678 2 2" xfId="23577"/>
    <cellStyle name="Normal 678 2 2 2" xfId="52781"/>
    <cellStyle name="Normal 678 2 2 3" xfId="52782"/>
    <cellStyle name="Normal 678 2 3" xfId="23578"/>
    <cellStyle name="Normal 678 2 3 2" xfId="52783"/>
    <cellStyle name="Normal 678 2 3 3" xfId="52784"/>
    <cellStyle name="Normal 678 2 4" xfId="52785"/>
    <cellStyle name="Normal 678 2 5" xfId="52786"/>
    <cellStyle name="Normal 678 2 6" xfId="52787"/>
    <cellStyle name="Normal 678 2 7" xfId="52788"/>
    <cellStyle name="Normal 678 2 8" xfId="52789"/>
    <cellStyle name="Normal 678 3" xfId="23579"/>
    <cellStyle name="Normal 678 3 2" xfId="52790"/>
    <cellStyle name="Normal 678 3 2 2" xfId="52791"/>
    <cellStyle name="Normal 678 3 2 3" xfId="52792"/>
    <cellStyle name="Normal 678 3 3" xfId="52793"/>
    <cellStyle name="Normal 678 3 3 2" xfId="52794"/>
    <cellStyle name="Normal 678 3 3 3" xfId="52795"/>
    <cellStyle name="Normal 678 3 4" xfId="52796"/>
    <cellStyle name="Normal 678 3 5" xfId="52797"/>
    <cellStyle name="Normal 678 4" xfId="23580"/>
    <cellStyle name="Normal 678 4 2" xfId="52798"/>
    <cellStyle name="Normal 678 4 3" xfId="52799"/>
    <cellStyle name="Normal 678 5" xfId="23581"/>
    <cellStyle name="Normal 678 5 2" xfId="52800"/>
    <cellStyle name="Normal 678 5 3" xfId="52801"/>
    <cellStyle name="Normal 678 6" xfId="52802"/>
    <cellStyle name="Normal 678 7" xfId="52803"/>
    <cellStyle name="Normal 678 8" xfId="52804"/>
    <cellStyle name="Normal 678 9" xfId="52805"/>
    <cellStyle name="Normal 679" xfId="23582"/>
    <cellStyle name="Normal 679 10" xfId="52806"/>
    <cellStyle name="Normal 679 2" xfId="23583"/>
    <cellStyle name="Normal 679 2 2" xfId="23584"/>
    <cellStyle name="Normal 679 2 2 2" xfId="52807"/>
    <cellStyle name="Normal 679 2 2 3" xfId="52808"/>
    <cellStyle name="Normal 679 2 3" xfId="23585"/>
    <cellStyle name="Normal 679 2 3 2" xfId="52809"/>
    <cellStyle name="Normal 679 2 3 3" xfId="52810"/>
    <cellStyle name="Normal 679 2 4" xfId="52811"/>
    <cellStyle name="Normal 679 2 5" xfId="52812"/>
    <cellStyle name="Normal 679 2 6" xfId="52813"/>
    <cellStyle name="Normal 679 2 7" xfId="52814"/>
    <cellStyle name="Normal 679 2 8" xfId="52815"/>
    <cellStyle name="Normal 679 3" xfId="23586"/>
    <cellStyle name="Normal 679 3 2" xfId="52816"/>
    <cellStyle name="Normal 679 3 2 2" xfId="52817"/>
    <cellStyle name="Normal 679 3 2 3" xfId="52818"/>
    <cellStyle name="Normal 679 3 3" xfId="52819"/>
    <cellStyle name="Normal 679 3 3 2" xfId="52820"/>
    <cellStyle name="Normal 679 3 3 3" xfId="52821"/>
    <cellStyle name="Normal 679 3 4" xfId="52822"/>
    <cellStyle name="Normal 679 3 5" xfId="52823"/>
    <cellStyle name="Normal 679 4" xfId="23587"/>
    <cellStyle name="Normal 679 4 2" xfId="52824"/>
    <cellStyle name="Normal 679 4 3" xfId="52825"/>
    <cellStyle name="Normal 679 5" xfId="23588"/>
    <cellStyle name="Normal 679 5 2" xfId="52826"/>
    <cellStyle name="Normal 679 5 3" xfId="52827"/>
    <cellStyle name="Normal 679 6" xfId="52828"/>
    <cellStyle name="Normal 679 7" xfId="52829"/>
    <cellStyle name="Normal 679 8" xfId="52830"/>
    <cellStyle name="Normal 679 9" xfId="52831"/>
    <cellStyle name="Normal 68" xfId="23589"/>
    <cellStyle name="Normal 68 10" xfId="52832"/>
    <cellStyle name="Normal 68 2" xfId="23590"/>
    <cellStyle name="Normal 68 2 2" xfId="23591"/>
    <cellStyle name="Normal 68 2 2 2" xfId="23592"/>
    <cellStyle name="Normal 68 2 2 3" xfId="23593"/>
    <cellStyle name="Normal 68 2 3" xfId="23594"/>
    <cellStyle name="Normal 68 2 3 2" xfId="52833"/>
    <cellStyle name="Normal 68 2 3 3" xfId="52834"/>
    <cellStyle name="Normal 68 2 4" xfId="23595"/>
    <cellStyle name="Normal 68 2 5" xfId="23596"/>
    <cellStyle name="Normal 68 2 6" xfId="52835"/>
    <cellStyle name="Normal 68 2 7" xfId="52836"/>
    <cellStyle name="Normal 68 2 8" xfId="52837"/>
    <cellStyle name="Normal 68 3" xfId="23597"/>
    <cellStyle name="Normal 68 3 2" xfId="23598"/>
    <cellStyle name="Normal 68 3 2 2" xfId="52838"/>
    <cellStyle name="Normal 68 3 2 3" xfId="52839"/>
    <cellStyle name="Normal 68 3 3" xfId="23599"/>
    <cellStyle name="Normal 68 3 3 2" xfId="52840"/>
    <cellStyle name="Normal 68 3 3 3" xfId="52841"/>
    <cellStyle name="Normal 68 3 4" xfId="52842"/>
    <cellStyle name="Normal 68 3 5" xfId="52843"/>
    <cellStyle name="Normal 68 4" xfId="23600"/>
    <cellStyle name="Normal 68 4 2" xfId="52844"/>
    <cellStyle name="Normal 68 4 3" xfId="52845"/>
    <cellStyle name="Normal 68 5" xfId="23601"/>
    <cellStyle name="Normal 68 5 2" xfId="52846"/>
    <cellStyle name="Normal 68 5 3" xfId="52847"/>
    <cellStyle name="Normal 68 6" xfId="23602"/>
    <cellStyle name="Normal 68 7" xfId="52848"/>
    <cellStyle name="Normal 68 8" xfId="52849"/>
    <cellStyle name="Normal 68 9" xfId="52850"/>
    <cellStyle name="Normal 680" xfId="23603"/>
    <cellStyle name="Normal 680 10" xfId="52851"/>
    <cellStyle name="Normal 680 2" xfId="23604"/>
    <cellStyle name="Normal 680 2 2" xfId="23605"/>
    <cellStyle name="Normal 680 2 2 2" xfId="52852"/>
    <cellStyle name="Normal 680 2 2 3" xfId="52853"/>
    <cellStyle name="Normal 680 2 3" xfId="23606"/>
    <cellStyle name="Normal 680 2 3 2" xfId="52854"/>
    <cellStyle name="Normal 680 2 3 3" xfId="52855"/>
    <cellStyle name="Normal 680 2 4" xfId="52856"/>
    <cellStyle name="Normal 680 2 5" xfId="52857"/>
    <cellStyle name="Normal 680 2 6" xfId="52858"/>
    <cellStyle name="Normal 680 2 7" xfId="52859"/>
    <cellStyle name="Normal 680 2 8" xfId="52860"/>
    <cellStyle name="Normal 680 3" xfId="23607"/>
    <cellStyle name="Normal 680 3 2" xfId="52861"/>
    <cellStyle name="Normal 680 3 2 2" xfId="52862"/>
    <cellStyle name="Normal 680 3 2 3" xfId="52863"/>
    <cellStyle name="Normal 680 3 3" xfId="52864"/>
    <cellStyle name="Normal 680 3 3 2" xfId="52865"/>
    <cellStyle name="Normal 680 3 3 3" xfId="52866"/>
    <cellStyle name="Normal 680 3 4" xfId="52867"/>
    <cellStyle name="Normal 680 3 5" xfId="52868"/>
    <cellStyle name="Normal 680 4" xfId="23608"/>
    <cellStyle name="Normal 680 4 2" xfId="52869"/>
    <cellStyle name="Normal 680 4 3" xfId="52870"/>
    <cellStyle name="Normal 680 5" xfId="23609"/>
    <cellStyle name="Normal 680 5 2" xfId="52871"/>
    <cellStyle name="Normal 680 5 3" xfId="52872"/>
    <cellStyle name="Normal 680 6" xfId="52873"/>
    <cellStyle name="Normal 680 7" xfId="52874"/>
    <cellStyle name="Normal 680 8" xfId="52875"/>
    <cellStyle name="Normal 680 9" xfId="52876"/>
    <cellStyle name="Normal 681" xfId="23610"/>
    <cellStyle name="Normal 681 10" xfId="52877"/>
    <cellStyle name="Normal 681 2" xfId="23611"/>
    <cellStyle name="Normal 681 2 2" xfId="23612"/>
    <cellStyle name="Normal 681 2 2 2" xfId="52878"/>
    <cellStyle name="Normal 681 2 2 3" xfId="52879"/>
    <cellStyle name="Normal 681 2 3" xfId="23613"/>
    <cellStyle name="Normal 681 2 3 2" xfId="52880"/>
    <cellStyle name="Normal 681 2 3 3" xfId="52881"/>
    <cellStyle name="Normal 681 2 4" xfId="52882"/>
    <cellStyle name="Normal 681 2 5" xfId="52883"/>
    <cellStyle name="Normal 681 2 6" xfId="52884"/>
    <cellStyle name="Normal 681 2 7" xfId="52885"/>
    <cellStyle name="Normal 681 2 8" xfId="52886"/>
    <cellStyle name="Normal 681 3" xfId="23614"/>
    <cellStyle name="Normal 681 3 2" xfId="52887"/>
    <cellStyle name="Normal 681 3 2 2" xfId="52888"/>
    <cellStyle name="Normal 681 3 2 3" xfId="52889"/>
    <cellStyle name="Normal 681 3 3" xfId="52890"/>
    <cellStyle name="Normal 681 3 3 2" xfId="52891"/>
    <cellStyle name="Normal 681 3 3 3" xfId="52892"/>
    <cellStyle name="Normal 681 3 4" xfId="52893"/>
    <cellStyle name="Normal 681 3 5" xfId="52894"/>
    <cellStyle name="Normal 681 4" xfId="23615"/>
    <cellStyle name="Normal 681 4 2" xfId="52895"/>
    <cellStyle name="Normal 681 4 3" xfId="52896"/>
    <cellStyle name="Normal 681 5" xfId="23616"/>
    <cellStyle name="Normal 681 5 2" xfId="52897"/>
    <cellStyle name="Normal 681 5 3" xfId="52898"/>
    <cellStyle name="Normal 681 6" xfId="52899"/>
    <cellStyle name="Normal 681 7" xfId="52900"/>
    <cellStyle name="Normal 681 8" xfId="52901"/>
    <cellStyle name="Normal 681 9" xfId="52902"/>
    <cellStyle name="Normal 682" xfId="23617"/>
    <cellStyle name="Normal 682 10" xfId="52903"/>
    <cellStyle name="Normal 682 2" xfId="23618"/>
    <cellStyle name="Normal 682 2 2" xfId="23619"/>
    <cellStyle name="Normal 682 2 2 2" xfId="52904"/>
    <cellStyle name="Normal 682 2 2 3" xfId="52905"/>
    <cellStyle name="Normal 682 2 3" xfId="23620"/>
    <cellStyle name="Normal 682 2 3 2" xfId="52906"/>
    <cellStyle name="Normal 682 2 3 3" xfId="52907"/>
    <cellStyle name="Normal 682 2 4" xfId="52908"/>
    <cellStyle name="Normal 682 2 5" xfId="52909"/>
    <cellStyle name="Normal 682 2 6" xfId="52910"/>
    <cellStyle name="Normal 682 2 7" xfId="52911"/>
    <cellStyle name="Normal 682 2 8" xfId="52912"/>
    <cellStyle name="Normal 682 3" xfId="23621"/>
    <cellStyle name="Normal 682 3 2" xfId="52913"/>
    <cellStyle name="Normal 682 3 2 2" xfId="52914"/>
    <cellStyle name="Normal 682 3 2 3" xfId="52915"/>
    <cellStyle name="Normal 682 3 3" xfId="52916"/>
    <cellStyle name="Normal 682 3 3 2" xfId="52917"/>
    <cellStyle name="Normal 682 3 3 3" xfId="52918"/>
    <cellStyle name="Normal 682 3 4" xfId="52919"/>
    <cellStyle name="Normal 682 3 5" xfId="52920"/>
    <cellStyle name="Normal 682 4" xfId="23622"/>
    <cellStyle name="Normal 682 4 2" xfId="52921"/>
    <cellStyle name="Normal 682 4 3" xfId="52922"/>
    <cellStyle name="Normal 682 5" xfId="23623"/>
    <cellStyle name="Normal 682 5 2" xfId="52923"/>
    <cellStyle name="Normal 682 5 3" xfId="52924"/>
    <cellStyle name="Normal 682 6" xfId="52925"/>
    <cellStyle name="Normal 682 7" xfId="52926"/>
    <cellStyle name="Normal 682 8" xfId="52927"/>
    <cellStyle name="Normal 682 9" xfId="52928"/>
    <cellStyle name="Normal 683" xfId="23624"/>
    <cellStyle name="Normal 683 10" xfId="52929"/>
    <cellStyle name="Normal 683 2" xfId="23625"/>
    <cellStyle name="Normal 683 2 2" xfId="23626"/>
    <cellStyle name="Normal 683 2 2 2" xfId="52930"/>
    <cellStyle name="Normal 683 2 2 3" xfId="52931"/>
    <cellStyle name="Normal 683 2 3" xfId="23627"/>
    <cellStyle name="Normal 683 2 3 2" xfId="52932"/>
    <cellStyle name="Normal 683 2 3 3" xfId="52933"/>
    <cellStyle name="Normal 683 2 4" xfId="52934"/>
    <cellStyle name="Normal 683 2 5" xfId="52935"/>
    <cellStyle name="Normal 683 2 6" xfId="52936"/>
    <cellStyle name="Normal 683 2 7" xfId="52937"/>
    <cellStyle name="Normal 683 2 8" xfId="52938"/>
    <cellStyle name="Normal 683 3" xfId="23628"/>
    <cellStyle name="Normal 683 3 2" xfId="52939"/>
    <cellStyle name="Normal 683 3 2 2" xfId="52940"/>
    <cellStyle name="Normal 683 3 2 3" xfId="52941"/>
    <cellStyle name="Normal 683 3 3" xfId="52942"/>
    <cellStyle name="Normal 683 3 3 2" xfId="52943"/>
    <cellStyle name="Normal 683 3 3 3" xfId="52944"/>
    <cellStyle name="Normal 683 3 4" xfId="52945"/>
    <cellStyle name="Normal 683 3 5" xfId="52946"/>
    <cellStyle name="Normal 683 4" xfId="23629"/>
    <cellStyle name="Normal 683 4 2" xfId="52947"/>
    <cellStyle name="Normal 683 4 3" xfId="52948"/>
    <cellStyle name="Normal 683 5" xfId="23630"/>
    <cellStyle name="Normal 683 5 2" xfId="52949"/>
    <cellStyle name="Normal 683 5 3" xfId="52950"/>
    <cellStyle name="Normal 683 6" xfId="52951"/>
    <cellStyle name="Normal 683 7" xfId="52952"/>
    <cellStyle name="Normal 683 8" xfId="52953"/>
    <cellStyle name="Normal 683 9" xfId="52954"/>
    <cellStyle name="Normal 684" xfId="23631"/>
    <cellStyle name="Normal 684 10" xfId="52955"/>
    <cellStyle name="Normal 684 2" xfId="23632"/>
    <cellStyle name="Normal 684 2 2" xfId="23633"/>
    <cellStyle name="Normal 684 2 2 2" xfId="52956"/>
    <cellStyle name="Normal 684 2 2 3" xfId="52957"/>
    <cellStyle name="Normal 684 2 3" xfId="23634"/>
    <cellStyle name="Normal 684 2 3 2" xfId="52958"/>
    <cellStyle name="Normal 684 2 3 3" xfId="52959"/>
    <cellStyle name="Normal 684 2 4" xfId="52960"/>
    <cellStyle name="Normal 684 2 5" xfId="52961"/>
    <cellStyle name="Normal 684 2 6" xfId="52962"/>
    <cellStyle name="Normal 684 2 7" xfId="52963"/>
    <cellStyle name="Normal 684 2 8" xfId="52964"/>
    <cellStyle name="Normal 684 3" xfId="23635"/>
    <cellStyle name="Normal 684 3 2" xfId="52965"/>
    <cellStyle name="Normal 684 3 2 2" xfId="52966"/>
    <cellStyle name="Normal 684 3 2 3" xfId="52967"/>
    <cellStyle name="Normal 684 3 3" xfId="52968"/>
    <cellStyle name="Normal 684 3 3 2" xfId="52969"/>
    <cellStyle name="Normal 684 3 3 3" xfId="52970"/>
    <cellStyle name="Normal 684 3 4" xfId="52971"/>
    <cellStyle name="Normal 684 3 5" xfId="52972"/>
    <cellStyle name="Normal 684 4" xfId="23636"/>
    <cellStyle name="Normal 684 4 2" xfId="52973"/>
    <cellStyle name="Normal 684 4 3" xfId="52974"/>
    <cellStyle name="Normal 684 5" xfId="23637"/>
    <cellStyle name="Normal 684 5 2" xfId="52975"/>
    <cellStyle name="Normal 684 5 3" xfId="52976"/>
    <cellStyle name="Normal 684 6" xfId="52977"/>
    <cellStyle name="Normal 684 7" xfId="52978"/>
    <cellStyle name="Normal 684 8" xfId="52979"/>
    <cellStyle name="Normal 684 9" xfId="52980"/>
    <cellStyle name="Normal 685" xfId="23638"/>
    <cellStyle name="Normal 685 10" xfId="52981"/>
    <cellStyle name="Normal 685 2" xfId="23639"/>
    <cellStyle name="Normal 685 2 2" xfId="23640"/>
    <cellStyle name="Normal 685 2 2 2" xfId="52982"/>
    <cellStyle name="Normal 685 2 2 3" xfId="52983"/>
    <cellStyle name="Normal 685 2 3" xfId="23641"/>
    <cellStyle name="Normal 685 2 3 2" xfId="52984"/>
    <cellStyle name="Normal 685 2 3 3" xfId="52985"/>
    <cellStyle name="Normal 685 2 4" xfId="52986"/>
    <cellStyle name="Normal 685 2 5" xfId="52987"/>
    <cellStyle name="Normal 685 2 6" xfId="52988"/>
    <cellStyle name="Normal 685 2 7" xfId="52989"/>
    <cellStyle name="Normal 685 2 8" xfId="52990"/>
    <cellStyle name="Normal 685 3" xfId="23642"/>
    <cellStyle name="Normal 685 3 2" xfId="52991"/>
    <cellStyle name="Normal 685 3 2 2" xfId="52992"/>
    <cellStyle name="Normal 685 3 2 3" xfId="52993"/>
    <cellStyle name="Normal 685 3 3" xfId="52994"/>
    <cellStyle name="Normal 685 3 3 2" xfId="52995"/>
    <cellStyle name="Normal 685 3 3 3" xfId="52996"/>
    <cellStyle name="Normal 685 3 4" xfId="52997"/>
    <cellStyle name="Normal 685 3 5" xfId="52998"/>
    <cellStyle name="Normal 685 4" xfId="23643"/>
    <cellStyle name="Normal 685 4 2" xfId="52999"/>
    <cellStyle name="Normal 685 4 3" xfId="53000"/>
    <cellStyle name="Normal 685 5" xfId="23644"/>
    <cellStyle name="Normal 685 5 2" xfId="53001"/>
    <cellStyle name="Normal 685 5 3" xfId="53002"/>
    <cellStyle name="Normal 685 6" xfId="53003"/>
    <cellStyle name="Normal 685 7" xfId="53004"/>
    <cellStyle name="Normal 685 8" xfId="53005"/>
    <cellStyle name="Normal 685 9" xfId="53006"/>
    <cellStyle name="Normal 686" xfId="23645"/>
    <cellStyle name="Normal 686 10" xfId="53007"/>
    <cellStyle name="Normal 686 2" xfId="23646"/>
    <cellStyle name="Normal 686 2 2" xfId="23647"/>
    <cellStyle name="Normal 686 2 2 2" xfId="53008"/>
    <cellStyle name="Normal 686 2 2 3" xfId="53009"/>
    <cellStyle name="Normal 686 2 3" xfId="23648"/>
    <cellStyle name="Normal 686 2 3 2" xfId="53010"/>
    <cellStyle name="Normal 686 2 3 3" xfId="53011"/>
    <cellStyle name="Normal 686 2 4" xfId="53012"/>
    <cellStyle name="Normal 686 2 5" xfId="53013"/>
    <cellStyle name="Normal 686 2 6" xfId="53014"/>
    <cellStyle name="Normal 686 2 7" xfId="53015"/>
    <cellStyle name="Normal 686 2 8" xfId="53016"/>
    <cellStyle name="Normal 686 3" xfId="23649"/>
    <cellStyle name="Normal 686 3 2" xfId="53017"/>
    <cellStyle name="Normal 686 3 2 2" xfId="53018"/>
    <cellStyle name="Normal 686 3 2 3" xfId="53019"/>
    <cellStyle name="Normal 686 3 3" xfId="53020"/>
    <cellStyle name="Normal 686 3 3 2" xfId="53021"/>
    <cellStyle name="Normal 686 3 3 3" xfId="53022"/>
    <cellStyle name="Normal 686 3 4" xfId="53023"/>
    <cellStyle name="Normal 686 3 5" xfId="53024"/>
    <cellStyle name="Normal 686 4" xfId="23650"/>
    <cellStyle name="Normal 686 4 2" xfId="53025"/>
    <cellStyle name="Normal 686 4 3" xfId="53026"/>
    <cellStyle name="Normal 686 5" xfId="23651"/>
    <cellStyle name="Normal 686 5 2" xfId="53027"/>
    <cellStyle name="Normal 686 5 3" xfId="53028"/>
    <cellStyle name="Normal 686 6" xfId="53029"/>
    <cellStyle name="Normal 686 7" xfId="53030"/>
    <cellStyle name="Normal 686 8" xfId="53031"/>
    <cellStyle name="Normal 686 9" xfId="53032"/>
    <cellStyle name="Normal 687" xfId="23652"/>
    <cellStyle name="Normal 687 10" xfId="53033"/>
    <cellStyle name="Normal 687 2" xfId="23653"/>
    <cellStyle name="Normal 687 2 2" xfId="23654"/>
    <cellStyle name="Normal 687 2 2 2" xfId="53034"/>
    <cellStyle name="Normal 687 2 2 3" xfId="53035"/>
    <cellStyle name="Normal 687 2 3" xfId="23655"/>
    <cellStyle name="Normal 687 2 3 2" xfId="53036"/>
    <cellStyle name="Normal 687 2 3 3" xfId="53037"/>
    <cellStyle name="Normal 687 2 4" xfId="53038"/>
    <cellStyle name="Normal 687 2 5" xfId="53039"/>
    <cellStyle name="Normal 687 2 6" xfId="53040"/>
    <cellStyle name="Normal 687 2 7" xfId="53041"/>
    <cellStyle name="Normal 687 2 8" xfId="53042"/>
    <cellStyle name="Normal 687 3" xfId="23656"/>
    <cellStyle name="Normal 687 3 2" xfId="53043"/>
    <cellStyle name="Normal 687 3 2 2" xfId="53044"/>
    <cellStyle name="Normal 687 3 2 3" xfId="53045"/>
    <cellStyle name="Normal 687 3 3" xfId="53046"/>
    <cellStyle name="Normal 687 3 3 2" xfId="53047"/>
    <cellStyle name="Normal 687 3 3 3" xfId="53048"/>
    <cellStyle name="Normal 687 3 4" xfId="53049"/>
    <cellStyle name="Normal 687 3 5" xfId="53050"/>
    <cellStyle name="Normal 687 4" xfId="23657"/>
    <cellStyle name="Normal 687 4 2" xfId="53051"/>
    <cellStyle name="Normal 687 4 3" xfId="53052"/>
    <cellStyle name="Normal 687 5" xfId="23658"/>
    <cellStyle name="Normal 687 5 2" xfId="53053"/>
    <cellStyle name="Normal 687 5 3" xfId="53054"/>
    <cellStyle name="Normal 687 6" xfId="53055"/>
    <cellStyle name="Normal 687 7" xfId="53056"/>
    <cellStyle name="Normal 687 8" xfId="53057"/>
    <cellStyle name="Normal 687 9" xfId="53058"/>
    <cellStyle name="Normal 688" xfId="23659"/>
    <cellStyle name="Normal 688 10" xfId="53059"/>
    <cellStyle name="Normal 688 2" xfId="23660"/>
    <cellStyle name="Normal 688 2 2" xfId="23661"/>
    <cellStyle name="Normal 688 2 2 2" xfId="53060"/>
    <cellStyle name="Normal 688 2 2 3" xfId="53061"/>
    <cellStyle name="Normal 688 2 3" xfId="23662"/>
    <cellStyle name="Normal 688 2 3 2" xfId="53062"/>
    <cellStyle name="Normal 688 2 3 3" xfId="53063"/>
    <cellStyle name="Normal 688 2 4" xfId="53064"/>
    <cellStyle name="Normal 688 2 5" xfId="53065"/>
    <cellStyle name="Normal 688 2 6" xfId="53066"/>
    <cellStyle name="Normal 688 2 7" xfId="53067"/>
    <cellStyle name="Normal 688 2 8" xfId="53068"/>
    <cellStyle name="Normal 688 3" xfId="23663"/>
    <cellStyle name="Normal 688 3 2" xfId="53069"/>
    <cellStyle name="Normal 688 3 2 2" xfId="53070"/>
    <cellStyle name="Normal 688 3 2 3" xfId="53071"/>
    <cellStyle name="Normal 688 3 3" xfId="53072"/>
    <cellStyle name="Normal 688 3 3 2" xfId="53073"/>
    <cellStyle name="Normal 688 3 3 3" xfId="53074"/>
    <cellStyle name="Normal 688 3 4" xfId="53075"/>
    <cellStyle name="Normal 688 3 5" xfId="53076"/>
    <cellStyle name="Normal 688 4" xfId="23664"/>
    <cellStyle name="Normal 688 4 2" xfId="53077"/>
    <cellStyle name="Normal 688 4 3" xfId="53078"/>
    <cellStyle name="Normal 688 5" xfId="23665"/>
    <cellStyle name="Normal 688 5 2" xfId="53079"/>
    <cellStyle name="Normal 688 5 3" xfId="53080"/>
    <cellStyle name="Normal 688 6" xfId="53081"/>
    <cellStyle name="Normal 688 7" xfId="53082"/>
    <cellStyle name="Normal 688 8" xfId="53083"/>
    <cellStyle name="Normal 688 9" xfId="53084"/>
    <cellStyle name="Normal 689" xfId="23666"/>
    <cellStyle name="Normal 689 10" xfId="53085"/>
    <cellStyle name="Normal 689 2" xfId="23667"/>
    <cellStyle name="Normal 689 2 2" xfId="23668"/>
    <cellStyle name="Normal 689 2 2 2" xfId="53086"/>
    <cellStyle name="Normal 689 2 2 3" xfId="53087"/>
    <cellStyle name="Normal 689 2 3" xfId="23669"/>
    <cellStyle name="Normal 689 2 3 2" xfId="53088"/>
    <cellStyle name="Normal 689 2 3 3" xfId="53089"/>
    <cellStyle name="Normal 689 2 4" xfId="53090"/>
    <cellStyle name="Normal 689 2 5" xfId="53091"/>
    <cellStyle name="Normal 689 2 6" xfId="53092"/>
    <cellStyle name="Normal 689 2 7" xfId="53093"/>
    <cellStyle name="Normal 689 2 8" xfId="53094"/>
    <cellStyle name="Normal 689 3" xfId="23670"/>
    <cellStyle name="Normal 689 3 2" xfId="53095"/>
    <cellStyle name="Normal 689 3 2 2" xfId="53096"/>
    <cellStyle name="Normal 689 3 2 3" xfId="53097"/>
    <cellStyle name="Normal 689 3 3" xfId="53098"/>
    <cellStyle name="Normal 689 3 3 2" xfId="53099"/>
    <cellStyle name="Normal 689 3 3 3" xfId="53100"/>
    <cellStyle name="Normal 689 3 4" xfId="53101"/>
    <cellStyle name="Normal 689 3 5" xfId="53102"/>
    <cellStyle name="Normal 689 4" xfId="23671"/>
    <cellStyle name="Normal 689 4 2" xfId="53103"/>
    <cellStyle name="Normal 689 4 3" xfId="53104"/>
    <cellStyle name="Normal 689 5" xfId="23672"/>
    <cellStyle name="Normal 689 5 2" xfId="53105"/>
    <cellStyle name="Normal 689 5 3" xfId="53106"/>
    <cellStyle name="Normal 689 6" xfId="53107"/>
    <cellStyle name="Normal 689 7" xfId="53108"/>
    <cellStyle name="Normal 689 8" xfId="53109"/>
    <cellStyle name="Normal 689 9" xfId="53110"/>
    <cellStyle name="Normal 69" xfId="23673"/>
    <cellStyle name="Normal 69 10" xfId="53111"/>
    <cellStyle name="Normal 69 2" xfId="23674"/>
    <cellStyle name="Normal 69 2 2" xfId="23675"/>
    <cellStyle name="Normal 69 2 2 2" xfId="23676"/>
    <cellStyle name="Normal 69 2 2 3" xfId="23677"/>
    <cellStyle name="Normal 69 2 3" xfId="23678"/>
    <cellStyle name="Normal 69 2 3 2" xfId="53112"/>
    <cellStyle name="Normal 69 2 3 3" xfId="53113"/>
    <cellStyle name="Normal 69 2 4" xfId="23679"/>
    <cellStyle name="Normal 69 2 5" xfId="23680"/>
    <cellStyle name="Normal 69 2 6" xfId="53114"/>
    <cellStyle name="Normal 69 2 7" xfId="53115"/>
    <cellStyle name="Normal 69 2 8" xfId="53116"/>
    <cellStyle name="Normal 69 3" xfId="23681"/>
    <cellStyle name="Normal 69 3 2" xfId="23682"/>
    <cellStyle name="Normal 69 3 2 2" xfId="53117"/>
    <cellStyle name="Normal 69 3 2 3" xfId="53118"/>
    <cellStyle name="Normal 69 3 3" xfId="23683"/>
    <cellStyle name="Normal 69 3 3 2" xfId="53119"/>
    <cellStyle name="Normal 69 3 3 3" xfId="53120"/>
    <cellStyle name="Normal 69 3 4" xfId="53121"/>
    <cellStyle name="Normal 69 3 5" xfId="53122"/>
    <cellStyle name="Normal 69 4" xfId="23684"/>
    <cellStyle name="Normal 69 4 2" xfId="53123"/>
    <cellStyle name="Normal 69 4 3" xfId="53124"/>
    <cellStyle name="Normal 69 5" xfId="23685"/>
    <cellStyle name="Normal 69 5 2" xfId="53125"/>
    <cellStyle name="Normal 69 5 3" xfId="53126"/>
    <cellStyle name="Normal 69 6" xfId="23686"/>
    <cellStyle name="Normal 69 7" xfId="53127"/>
    <cellStyle name="Normal 69 8" xfId="53128"/>
    <cellStyle name="Normal 69 9" xfId="53129"/>
    <cellStyle name="Normal 690" xfId="23687"/>
    <cellStyle name="Normal 690 10" xfId="53130"/>
    <cellStyle name="Normal 690 2" xfId="23688"/>
    <cellStyle name="Normal 690 2 2" xfId="23689"/>
    <cellStyle name="Normal 690 2 2 2" xfId="53131"/>
    <cellStyle name="Normal 690 2 2 3" xfId="53132"/>
    <cellStyle name="Normal 690 2 3" xfId="23690"/>
    <cellStyle name="Normal 690 2 3 2" xfId="53133"/>
    <cellStyle name="Normal 690 2 3 3" xfId="53134"/>
    <cellStyle name="Normal 690 2 4" xfId="53135"/>
    <cellStyle name="Normal 690 2 5" xfId="53136"/>
    <cellStyle name="Normal 690 2 6" xfId="53137"/>
    <cellStyle name="Normal 690 2 7" xfId="53138"/>
    <cellStyle name="Normal 690 2 8" xfId="53139"/>
    <cellStyle name="Normal 690 3" xfId="23691"/>
    <cellStyle name="Normal 690 3 2" xfId="53140"/>
    <cellStyle name="Normal 690 3 2 2" xfId="53141"/>
    <cellStyle name="Normal 690 3 2 3" xfId="53142"/>
    <cellStyle name="Normal 690 3 3" xfId="53143"/>
    <cellStyle name="Normal 690 3 3 2" xfId="53144"/>
    <cellStyle name="Normal 690 3 3 3" xfId="53145"/>
    <cellStyle name="Normal 690 3 4" xfId="53146"/>
    <cellStyle name="Normal 690 3 5" xfId="53147"/>
    <cellStyle name="Normal 690 4" xfId="23692"/>
    <cellStyle name="Normal 690 4 2" xfId="53148"/>
    <cellStyle name="Normal 690 4 3" xfId="53149"/>
    <cellStyle name="Normal 690 5" xfId="23693"/>
    <cellStyle name="Normal 690 5 2" xfId="53150"/>
    <cellStyle name="Normal 690 5 3" xfId="53151"/>
    <cellStyle name="Normal 690 6" xfId="53152"/>
    <cellStyle name="Normal 690 7" xfId="53153"/>
    <cellStyle name="Normal 690 8" xfId="53154"/>
    <cellStyle name="Normal 690 9" xfId="53155"/>
    <cellStyle name="Normal 691" xfId="23694"/>
    <cellStyle name="Normal 691 10" xfId="53156"/>
    <cellStyle name="Normal 691 2" xfId="23695"/>
    <cellStyle name="Normal 691 2 2" xfId="23696"/>
    <cellStyle name="Normal 691 2 2 2" xfId="53157"/>
    <cellStyle name="Normal 691 2 2 3" xfId="53158"/>
    <cellStyle name="Normal 691 2 3" xfId="23697"/>
    <cellStyle name="Normal 691 2 3 2" xfId="53159"/>
    <cellStyle name="Normal 691 2 3 3" xfId="53160"/>
    <cellStyle name="Normal 691 2 4" xfId="53161"/>
    <cellStyle name="Normal 691 2 5" xfId="53162"/>
    <cellStyle name="Normal 691 2 6" xfId="53163"/>
    <cellStyle name="Normal 691 2 7" xfId="53164"/>
    <cellStyle name="Normal 691 2 8" xfId="53165"/>
    <cellStyle name="Normal 691 3" xfId="23698"/>
    <cellStyle name="Normal 691 3 2" xfId="53166"/>
    <cellStyle name="Normal 691 3 2 2" xfId="53167"/>
    <cellStyle name="Normal 691 3 2 3" xfId="53168"/>
    <cellStyle name="Normal 691 3 3" xfId="53169"/>
    <cellStyle name="Normal 691 3 3 2" xfId="53170"/>
    <cellStyle name="Normal 691 3 3 3" xfId="53171"/>
    <cellStyle name="Normal 691 3 4" xfId="53172"/>
    <cellStyle name="Normal 691 3 5" xfId="53173"/>
    <cellStyle name="Normal 691 4" xfId="23699"/>
    <cellStyle name="Normal 691 4 2" xfId="53174"/>
    <cellStyle name="Normal 691 4 3" xfId="53175"/>
    <cellStyle name="Normal 691 5" xfId="23700"/>
    <cellStyle name="Normal 691 5 2" xfId="53176"/>
    <cellStyle name="Normal 691 5 3" xfId="53177"/>
    <cellStyle name="Normal 691 6" xfId="53178"/>
    <cellStyle name="Normal 691 7" xfId="53179"/>
    <cellStyle name="Normal 691 8" xfId="53180"/>
    <cellStyle name="Normal 691 9" xfId="53181"/>
    <cellStyle name="Normal 692" xfId="23701"/>
    <cellStyle name="Normal 692 10" xfId="53182"/>
    <cellStyle name="Normal 692 2" xfId="23702"/>
    <cellStyle name="Normal 692 2 2" xfId="23703"/>
    <cellStyle name="Normal 692 2 2 2" xfId="53183"/>
    <cellStyle name="Normal 692 2 2 3" xfId="53184"/>
    <cellStyle name="Normal 692 2 3" xfId="23704"/>
    <cellStyle name="Normal 692 2 3 2" xfId="53185"/>
    <cellStyle name="Normal 692 2 3 3" xfId="53186"/>
    <cellStyle name="Normal 692 2 4" xfId="53187"/>
    <cellStyle name="Normal 692 2 5" xfId="53188"/>
    <cellStyle name="Normal 692 2 6" xfId="53189"/>
    <cellStyle name="Normal 692 2 7" xfId="53190"/>
    <cellStyle name="Normal 692 2 8" xfId="53191"/>
    <cellStyle name="Normal 692 3" xfId="23705"/>
    <cellStyle name="Normal 692 3 2" xfId="53192"/>
    <cellStyle name="Normal 692 3 2 2" xfId="53193"/>
    <cellStyle name="Normal 692 3 2 3" xfId="53194"/>
    <cellStyle name="Normal 692 3 3" xfId="53195"/>
    <cellStyle name="Normal 692 3 3 2" xfId="53196"/>
    <cellStyle name="Normal 692 3 3 3" xfId="53197"/>
    <cellStyle name="Normal 692 3 4" xfId="53198"/>
    <cellStyle name="Normal 692 3 5" xfId="53199"/>
    <cellStyle name="Normal 692 4" xfId="23706"/>
    <cellStyle name="Normal 692 4 2" xfId="53200"/>
    <cellStyle name="Normal 692 4 3" xfId="53201"/>
    <cellStyle name="Normal 692 5" xfId="23707"/>
    <cellStyle name="Normal 692 5 2" xfId="53202"/>
    <cellStyle name="Normal 692 5 3" xfId="53203"/>
    <cellStyle name="Normal 692 6" xfId="53204"/>
    <cellStyle name="Normal 692 7" xfId="53205"/>
    <cellStyle name="Normal 692 8" xfId="53206"/>
    <cellStyle name="Normal 692 9" xfId="53207"/>
    <cellStyle name="Normal 693" xfId="23708"/>
    <cellStyle name="Normal 693 10" xfId="53208"/>
    <cellStyle name="Normal 693 2" xfId="23709"/>
    <cellStyle name="Normal 693 2 2" xfId="23710"/>
    <cellStyle name="Normal 693 2 2 2" xfId="53209"/>
    <cellStyle name="Normal 693 2 2 3" xfId="53210"/>
    <cellStyle name="Normal 693 2 3" xfId="23711"/>
    <cellStyle name="Normal 693 2 3 2" xfId="53211"/>
    <cellStyle name="Normal 693 2 3 3" xfId="53212"/>
    <cellStyle name="Normal 693 2 4" xfId="53213"/>
    <cellStyle name="Normal 693 2 5" xfId="53214"/>
    <cellStyle name="Normal 693 2 6" xfId="53215"/>
    <cellStyle name="Normal 693 2 7" xfId="53216"/>
    <cellStyle name="Normal 693 2 8" xfId="53217"/>
    <cellStyle name="Normal 693 3" xfId="23712"/>
    <cellStyle name="Normal 693 3 2" xfId="53218"/>
    <cellStyle name="Normal 693 3 2 2" xfId="53219"/>
    <cellStyle name="Normal 693 3 2 3" xfId="53220"/>
    <cellStyle name="Normal 693 3 3" xfId="53221"/>
    <cellStyle name="Normal 693 3 3 2" xfId="53222"/>
    <cellStyle name="Normal 693 3 3 3" xfId="53223"/>
    <cellStyle name="Normal 693 3 4" xfId="53224"/>
    <cellStyle name="Normal 693 3 5" xfId="53225"/>
    <cellStyle name="Normal 693 4" xfId="23713"/>
    <cellStyle name="Normal 693 4 2" xfId="53226"/>
    <cellStyle name="Normal 693 4 3" xfId="53227"/>
    <cellStyle name="Normal 693 5" xfId="23714"/>
    <cellStyle name="Normal 693 5 2" xfId="53228"/>
    <cellStyle name="Normal 693 5 3" xfId="53229"/>
    <cellStyle name="Normal 693 6" xfId="53230"/>
    <cellStyle name="Normal 693 7" xfId="53231"/>
    <cellStyle name="Normal 693 8" xfId="53232"/>
    <cellStyle name="Normal 693 9" xfId="53233"/>
    <cellStyle name="Normal 694" xfId="23715"/>
    <cellStyle name="Normal 694 10" xfId="53234"/>
    <cellStyle name="Normal 694 2" xfId="23716"/>
    <cellStyle name="Normal 694 2 2" xfId="23717"/>
    <cellStyle name="Normal 694 2 2 2" xfId="53235"/>
    <cellStyle name="Normal 694 2 2 3" xfId="53236"/>
    <cellStyle name="Normal 694 2 3" xfId="23718"/>
    <cellStyle name="Normal 694 2 3 2" xfId="53237"/>
    <cellStyle name="Normal 694 2 3 3" xfId="53238"/>
    <cellStyle name="Normal 694 2 4" xfId="53239"/>
    <cellStyle name="Normal 694 2 5" xfId="53240"/>
    <cellStyle name="Normal 694 2 6" xfId="53241"/>
    <cellStyle name="Normal 694 2 7" xfId="53242"/>
    <cellStyle name="Normal 694 2 8" xfId="53243"/>
    <cellStyle name="Normal 694 3" xfId="23719"/>
    <cellStyle name="Normal 694 3 2" xfId="53244"/>
    <cellStyle name="Normal 694 3 2 2" xfId="53245"/>
    <cellStyle name="Normal 694 3 2 3" xfId="53246"/>
    <cellStyle name="Normal 694 3 3" xfId="53247"/>
    <cellStyle name="Normal 694 3 3 2" xfId="53248"/>
    <cellStyle name="Normal 694 3 3 3" xfId="53249"/>
    <cellStyle name="Normal 694 3 4" xfId="53250"/>
    <cellStyle name="Normal 694 3 5" xfId="53251"/>
    <cellStyle name="Normal 694 4" xfId="23720"/>
    <cellStyle name="Normal 694 4 2" xfId="53252"/>
    <cellStyle name="Normal 694 4 3" xfId="53253"/>
    <cellStyle name="Normal 694 5" xfId="23721"/>
    <cellStyle name="Normal 694 5 2" xfId="53254"/>
    <cellStyle name="Normal 694 5 3" xfId="53255"/>
    <cellStyle name="Normal 694 6" xfId="53256"/>
    <cellStyle name="Normal 694 7" xfId="53257"/>
    <cellStyle name="Normal 694 8" xfId="53258"/>
    <cellStyle name="Normal 694 9" xfId="53259"/>
    <cellStyle name="Normal 695" xfId="23722"/>
    <cellStyle name="Normal 695 10" xfId="53260"/>
    <cellStyle name="Normal 695 2" xfId="23723"/>
    <cellStyle name="Normal 695 2 2" xfId="23724"/>
    <cellStyle name="Normal 695 2 2 2" xfId="53261"/>
    <cellStyle name="Normal 695 2 2 3" xfId="53262"/>
    <cellStyle name="Normal 695 2 3" xfId="23725"/>
    <cellStyle name="Normal 695 2 3 2" xfId="53263"/>
    <cellStyle name="Normal 695 2 3 3" xfId="53264"/>
    <cellStyle name="Normal 695 2 4" xfId="53265"/>
    <cellStyle name="Normal 695 2 5" xfId="53266"/>
    <cellStyle name="Normal 695 2 6" xfId="53267"/>
    <cellStyle name="Normal 695 2 7" xfId="53268"/>
    <cellStyle name="Normal 695 2 8" xfId="53269"/>
    <cellStyle name="Normal 695 3" xfId="23726"/>
    <cellStyle name="Normal 695 3 2" xfId="53270"/>
    <cellStyle name="Normal 695 3 2 2" xfId="53271"/>
    <cellStyle name="Normal 695 3 2 3" xfId="53272"/>
    <cellStyle name="Normal 695 3 3" xfId="53273"/>
    <cellStyle name="Normal 695 3 3 2" xfId="53274"/>
    <cellStyle name="Normal 695 3 3 3" xfId="53275"/>
    <cellStyle name="Normal 695 3 4" xfId="53276"/>
    <cellStyle name="Normal 695 3 5" xfId="53277"/>
    <cellStyle name="Normal 695 4" xfId="23727"/>
    <cellStyle name="Normal 695 4 2" xfId="53278"/>
    <cellStyle name="Normal 695 4 3" xfId="53279"/>
    <cellStyle name="Normal 695 5" xfId="23728"/>
    <cellStyle name="Normal 695 5 2" xfId="53280"/>
    <cellStyle name="Normal 695 5 3" xfId="53281"/>
    <cellStyle name="Normal 695 6" xfId="53282"/>
    <cellStyle name="Normal 695 7" xfId="53283"/>
    <cellStyle name="Normal 695 8" xfId="53284"/>
    <cellStyle name="Normal 695 9" xfId="53285"/>
    <cellStyle name="Normal 696" xfId="23729"/>
    <cellStyle name="Normal 696 10" xfId="53286"/>
    <cellStyle name="Normal 696 2" xfId="23730"/>
    <cellStyle name="Normal 696 2 2" xfId="23731"/>
    <cellStyle name="Normal 696 2 2 2" xfId="53287"/>
    <cellStyle name="Normal 696 2 2 3" xfId="53288"/>
    <cellStyle name="Normal 696 2 3" xfId="23732"/>
    <cellStyle name="Normal 696 2 3 2" xfId="53289"/>
    <cellStyle name="Normal 696 2 3 3" xfId="53290"/>
    <cellStyle name="Normal 696 2 4" xfId="53291"/>
    <cellStyle name="Normal 696 2 5" xfId="53292"/>
    <cellStyle name="Normal 696 2 6" xfId="53293"/>
    <cellStyle name="Normal 696 2 7" xfId="53294"/>
    <cellStyle name="Normal 696 2 8" xfId="53295"/>
    <cellStyle name="Normal 696 3" xfId="23733"/>
    <cellStyle name="Normal 696 3 2" xfId="53296"/>
    <cellStyle name="Normal 696 3 2 2" xfId="53297"/>
    <cellStyle name="Normal 696 3 2 3" xfId="53298"/>
    <cellStyle name="Normal 696 3 3" xfId="53299"/>
    <cellStyle name="Normal 696 3 3 2" xfId="53300"/>
    <cellStyle name="Normal 696 3 3 3" xfId="53301"/>
    <cellStyle name="Normal 696 3 4" xfId="53302"/>
    <cellStyle name="Normal 696 3 5" xfId="53303"/>
    <cellStyle name="Normal 696 4" xfId="23734"/>
    <cellStyle name="Normal 696 4 2" xfId="53304"/>
    <cellStyle name="Normal 696 4 3" xfId="53305"/>
    <cellStyle name="Normal 696 5" xfId="23735"/>
    <cellStyle name="Normal 696 5 2" xfId="53306"/>
    <cellStyle name="Normal 696 5 3" xfId="53307"/>
    <cellStyle name="Normal 696 6" xfId="53308"/>
    <cellStyle name="Normal 696 7" xfId="53309"/>
    <cellStyle name="Normal 696 8" xfId="53310"/>
    <cellStyle name="Normal 696 9" xfId="53311"/>
    <cellStyle name="Normal 697" xfId="23736"/>
    <cellStyle name="Normal 697 10" xfId="53312"/>
    <cellStyle name="Normal 697 2" xfId="23737"/>
    <cellStyle name="Normal 697 2 2" xfId="23738"/>
    <cellStyle name="Normal 697 2 2 2" xfId="53313"/>
    <cellStyle name="Normal 697 2 2 3" xfId="53314"/>
    <cellStyle name="Normal 697 2 3" xfId="23739"/>
    <cellStyle name="Normal 697 2 3 2" xfId="53315"/>
    <cellStyle name="Normal 697 2 3 3" xfId="53316"/>
    <cellStyle name="Normal 697 2 4" xfId="53317"/>
    <cellStyle name="Normal 697 2 5" xfId="53318"/>
    <cellStyle name="Normal 697 2 6" xfId="53319"/>
    <cellStyle name="Normal 697 2 7" xfId="53320"/>
    <cellStyle name="Normal 697 2 8" xfId="53321"/>
    <cellStyle name="Normal 697 3" xfId="23740"/>
    <cellStyle name="Normal 697 3 2" xfId="53322"/>
    <cellStyle name="Normal 697 3 2 2" xfId="53323"/>
    <cellStyle name="Normal 697 3 2 3" xfId="53324"/>
    <cellStyle name="Normal 697 3 3" xfId="53325"/>
    <cellStyle name="Normal 697 3 3 2" xfId="53326"/>
    <cellStyle name="Normal 697 3 3 3" xfId="53327"/>
    <cellStyle name="Normal 697 3 4" xfId="53328"/>
    <cellStyle name="Normal 697 3 5" xfId="53329"/>
    <cellStyle name="Normal 697 4" xfId="23741"/>
    <cellStyle name="Normal 697 4 2" xfId="53330"/>
    <cellStyle name="Normal 697 4 3" xfId="53331"/>
    <cellStyle name="Normal 697 5" xfId="23742"/>
    <cellStyle name="Normal 697 5 2" xfId="53332"/>
    <cellStyle name="Normal 697 5 3" xfId="53333"/>
    <cellStyle name="Normal 697 6" xfId="53334"/>
    <cellStyle name="Normal 697 7" xfId="53335"/>
    <cellStyle name="Normal 697 8" xfId="53336"/>
    <cellStyle name="Normal 697 9" xfId="53337"/>
    <cellStyle name="Normal 698" xfId="23743"/>
    <cellStyle name="Normal 698 10" xfId="53338"/>
    <cellStyle name="Normal 698 2" xfId="23744"/>
    <cellStyle name="Normal 698 2 2" xfId="23745"/>
    <cellStyle name="Normal 698 2 2 2" xfId="53339"/>
    <cellStyle name="Normal 698 2 2 3" xfId="53340"/>
    <cellStyle name="Normal 698 2 3" xfId="23746"/>
    <cellStyle name="Normal 698 2 3 2" xfId="53341"/>
    <cellStyle name="Normal 698 2 3 3" xfId="53342"/>
    <cellStyle name="Normal 698 2 4" xfId="53343"/>
    <cellStyle name="Normal 698 2 5" xfId="53344"/>
    <cellStyle name="Normal 698 2 6" xfId="53345"/>
    <cellStyle name="Normal 698 2 7" xfId="53346"/>
    <cellStyle name="Normal 698 2 8" xfId="53347"/>
    <cellStyle name="Normal 698 3" xfId="23747"/>
    <cellStyle name="Normal 698 3 2" xfId="53348"/>
    <cellStyle name="Normal 698 3 2 2" xfId="53349"/>
    <cellStyle name="Normal 698 3 2 3" xfId="53350"/>
    <cellStyle name="Normal 698 3 3" xfId="53351"/>
    <cellStyle name="Normal 698 3 3 2" xfId="53352"/>
    <cellStyle name="Normal 698 3 3 3" xfId="53353"/>
    <cellStyle name="Normal 698 3 4" xfId="53354"/>
    <cellStyle name="Normal 698 3 5" xfId="53355"/>
    <cellStyle name="Normal 698 4" xfId="23748"/>
    <cellStyle name="Normal 698 4 2" xfId="53356"/>
    <cellStyle name="Normal 698 4 3" xfId="53357"/>
    <cellStyle name="Normal 698 5" xfId="23749"/>
    <cellStyle name="Normal 698 5 2" xfId="53358"/>
    <cellStyle name="Normal 698 5 3" xfId="53359"/>
    <cellStyle name="Normal 698 6" xfId="53360"/>
    <cellStyle name="Normal 698 7" xfId="53361"/>
    <cellStyle name="Normal 698 8" xfId="53362"/>
    <cellStyle name="Normal 698 9" xfId="53363"/>
    <cellStyle name="Normal 699" xfId="23750"/>
    <cellStyle name="Normal 699 10" xfId="53364"/>
    <cellStyle name="Normal 699 2" xfId="23751"/>
    <cellStyle name="Normal 699 2 2" xfId="23752"/>
    <cellStyle name="Normal 699 2 2 2" xfId="53365"/>
    <cellStyle name="Normal 699 2 2 3" xfId="53366"/>
    <cellStyle name="Normal 699 2 3" xfId="23753"/>
    <cellStyle name="Normal 699 2 3 2" xfId="53367"/>
    <cellStyle name="Normal 699 2 3 3" xfId="53368"/>
    <cellStyle name="Normal 699 2 4" xfId="53369"/>
    <cellStyle name="Normal 699 2 5" xfId="53370"/>
    <cellStyle name="Normal 699 2 6" xfId="53371"/>
    <cellStyle name="Normal 699 2 7" xfId="53372"/>
    <cellStyle name="Normal 699 2 8" xfId="53373"/>
    <cellStyle name="Normal 699 3" xfId="23754"/>
    <cellStyle name="Normal 699 3 2" xfId="53374"/>
    <cellStyle name="Normal 699 3 2 2" xfId="53375"/>
    <cellStyle name="Normal 699 3 2 3" xfId="53376"/>
    <cellStyle name="Normal 699 3 3" xfId="53377"/>
    <cellStyle name="Normal 699 3 3 2" xfId="53378"/>
    <cellStyle name="Normal 699 3 3 3" xfId="53379"/>
    <cellStyle name="Normal 699 3 4" xfId="53380"/>
    <cellStyle name="Normal 699 3 5" xfId="53381"/>
    <cellStyle name="Normal 699 4" xfId="23755"/>
    <cellStyle name="Normal 699 4 2" xfId="53382"/>
    <cellStyle name="Normal 699 4 3" xfId="53383"/>
    <cellStyle name="Normal 699 5" xfId="23756"/>
    <cellStyle name="Normal 699 5 2" xfId="53384"/>
    <cellStyle name="Normal 699 5 3" xfId="53385"/>
    <cellStyle name="Normal 699 6" xfId="53386"/>
    <cellStyle name="Normal 699 7" xfId="53387"/>
    <cellStyle name="Normal 699 8" xfId="53388"/>
    <cellStyle name="Normal 699 9" xfId="53389"/>
    <cellStyle name="Normal 7" xfId="23757"/>
    <cellStyle name="Normal 7 10" xfId="53390"/>
    <cellStyle name="Normal 7 2" xfId="23758"/>
    <cellStyle name="Normal 7 2 2" xfId="23759"/>
    <cellStyle name="Normal 7 2 2 2" xfId="23760"/>
    <cellStyle name="Normal 7 2 2 3" xfId="23761"/>
    <cellStyle name="Normal 7 2 3" xfId="23762"/>
    <cellStyle name="Normal 7 2 3 2" xfId="53391"/>
    <cellStyle name="Normal 7 2 3 3" xfId="53392"/>
    <cellStyle name="Normal 7 2 4" xfId="23763"/>
    <cellStyle name="Normal 7 2 5" xfId="53393"/>
    <cellStyle name="Normal 7 2 6" xfId="53394"/>
    <cellStyle name="Normal 7 2 7" xfId="53395"/>
    <cellStyle name="Normal 7 2 8" xfId="53396"/>
    <cellStyle name="Normal 7 3" xfId="23764"/>
    <cellStyle name="Normal 7 3 2" xfId="23765"/>
    <cellStyle name="Normal 7 3 2 2" xfId="53397"/>
    <cellStyle name="Normal 7 3 2 3" xfId="53398"/>
    <cellStyle name="Normal 7 3 3" xfId="23766"/>
    <cellStyle name="Normal 7 3 3 2" xfId="53399"/>
    <cellStyle name="Normal 7 3 3 3" xfId="53400"/>
    <cellStyle name="Normal 7 3 4" xfId="53401"/>
    <cellStyle name="Normal 7 3 5" xfId="53402"/>
    <cellStyle name="Normal 7 3 6" xfId="53403"/>
    <cellStyle name="Normal 7 3 7" xfId="53404"/>
    <cellStyle name="Normal 7 3 8" xfId="53405"/>
    <cellStyle name="Normal 7 4" xfId="23767"/>
    <cellStyle name="Normal 7 4 2" xfId="53406"/>
    <cellStyle name="Normal 7 4 3" xfId="53407"/>
    <cellStyle name="Normal 7 5" xfId="23768"/>
    <cellStyle name="Normal 7 5 2" xfId="53408"/>
    <cellStyle name="Normal 7 5 3" xfId="53409"/>
    <cellStyle name="Normal 7 6" xfId="53410"/>
    <cellStyle name="Normal 7 7" xfId="53411"/>
    <cellStyle name="Normal 7 8" xfId="53412"/>
    <cellStyle name="Normal 7 9" xfId="53413"/>
    <cellStyle name="Normal 70" xfId="23769"/>
    <cellStyle name="Normal 70 10" xfId="53414"/>
    <cellStyle name="Normal 70 2" xfId="23770"/>
    <cellStyle name="Normal 70 2 2" xfId="23771"/>
    <cellStyle name="Normal 70 2 2 2" xfId="23772"/>
    <cellStyle name="Normal 70 2 2 3" xfId="23773"/>
    <cellStyle name="Normal 70 2 3" xfId="23774"/>
    <cellStyle name="Normal 70 2 3 2" xfId="53415"/>
    <cellStyle name="Normal 70 2 3 3" xfId="53416"/>
    <cellStyle name="Normal 70 2 4" xfId="23775"/>
    <cellStyle name="Normal 70 2 5" xfId="23776"/>
    <cellStyle name="Normal 70 2 6" xfId="53417"/>
    <cellStyle name="Normal 70 2 7" xfId="53418"/>
    <cellStyle name="Normal 70 2 8" xfId="53419"/>
    <cellStyle name="Normal 70 3" xfId="23777"/>
    <cellStyle name="Normal 70 3 2" xfId="23778"/>
    <cellStyle name="Normal 70 3 2 2" xfId="53420"/>
    <cellStyle name="Normal 70 3 2 3" xfId="53421"/>
    <cellStyle name="Normal 70 3 3" xfId="23779"/>
    <cellStyle name="Normal 70 3 3 2" xfId="53422"/>
    <cellStyle name="Normal 70 3 3 3" xfId="53423"/>
    <cellStyle name="Normal 70 3 4" xfId="53424"/>
    <cellStyle name="Normal 70 3 5" xfId="53425"/>
    <cellStyle name="Normal 70 4" xfId="23780"/>
    <cellStyle name="Normal 70 4 2" xfId="53426"/>
    <cellStyle name="Normal 70 4 3" xfId="53427"/>
    <cellStyle name="Normal 70 5" xfId="23781"/>
    <cellStyle name="Normal 70 5 2" xfId="53428"/>
    <cellStyle name="Normal 70 5 3" xfId="53429"/>
    <cellStyle name="Normal 70 6" xfId="23782"/>
    <cellStyle name="Normal 70 7" xfId="53430"/>
    <cellStyle name="Normal 70 8" xfId="53431"/>
    <cellStyle name="Normal 70 9" xfId="53432"/>
    <cellStyle name="Normal 700" xfId="23783"/>
    <cellStyle name="Normal 700 10" xfId="53433"/>
    <cellStyle name="Normal 700 2" xfId="23784"/>
    <cellStyle name="Normal 700 2 2" xfId="23785"/>
    <cellStyle name="Normal 700 2 2 2" xfId="53434"/>
    <cellStyle name="Normal 700 2 2 3" xfId="53435"/>
    <cellStyle name="Normal 700 2 3" xfId="23786"/>
    <cellStyle name="Normal 700 2 3 2" xfId="53436"/>
    <cellStyle name="Normal 700 2 3 3" xfId="53437"/>
    <cellStyle name="Normal 700 2 4" xfId="53438"/>
    <cellStyle name="Normal 700 2 5" xfId="53439"/>
    <cellStyle name="Normal 700 2 6" xfId="53440"/>
    <cellStyle name="Normal 700 2 7" xfId="53441"/>
    <cellStyle name="Normal 700 2 8" xfId="53442"/>
    <cellStyle name="Normal 700 3" xfId="23787"/>
    <cellStyle name="Normal 700 3 2" xfId="53443"/>
    <cellStyle name="Normal 700 3 2 2" xfId="53444"/>
    <cellStyle name="Normal 700 3 2 3" xfId="53445"/>
    <cellStyle name="Normal 700 3 3" xfId="53446"/>
    <cellStyle name="Normal 700 3 3 2" xfId="53447"/>
    <cellStyle name="Normal 700 3 3 3" xfId="53448"/>
    <cellStyle name="Normal 700 3 4" xfId="53449"/>
    <cellStyle name="Normal 700 3 5" xfId="53450"/>
    <cellStyle name="Normal 700 4" xfId="23788"/>
    <cellStyle name="Normal 700 4 2" xfId="53451"/>
    <cellStyle name="Normal 700 4 3" xfId="53452"/>
    <cellStyle name="Normal 700 5" xfId="23789"/>
    <cellStyle name="Normal 700 5 2" xfId="53453"/>
    <cellStyle name="Normal 700 5 3" xfId="53454"/>
    <cellStyle name="Normal 700 6" xfId="53455"/>
    <cellStyle name="Normal 700 7" xfId="53456"/>
    <cellStyle name="Normal 700 8" xfId="53457"/>
    <cellStyle name="Normal 700 9" xfId="53458"/>
    <cellStyle name="Normal 701" xfId="23790"/>
    <cellStyle name="Normal 701 10" xfId="53459"/>
    <cellStyle name="Normal 701 2" xfId="23791"/>
    <cellStyle name="Normal 701 2 2" xfId="23792"/>
    <cellStyle name="Normal 701 2 2 2" xfId="53460"/>
    <cellStyle name="Normal 701 2 2 3" xfId="53461"/>
    <cellStyle name="Normal 701 2 3" xfId="23793"/>
    <cellStyle name="Normal 701 2 3 2" xfId="53462"/>
    <cellStyle name="Normal 701 2 3 3" xfId="53463"/>
    <cellStyle name="Normal 701 2 4" xfId="53464"/>
    <cellStyle name="Normal 701 2 5" xfId="53465"/>
    <cellStyle name="Normal 701 2 6" xfId="53466"/>
    <cellStyle name="Normal 701 2 7" xfId="53467"/>
    <cellStyle name="Normal 701 2 8" xfId="53468"/>
    <cellStyle name="Normal 701 3" xfId="23794"/>
    <cellStyle name="Normal 701 3 2" xfId="53469"/>
    <cellStyle name="Normal 701 3 2 2" xfId="53470"/>
    <cellStyle name="Normal 701 3 2 3" xfId="53471"/>
    <cellStyle name="Normal 701 3 3" xfId="53472"/>
    <cellStyle name="Normal 701 3 3 2" xfId="53473"/>
    <cellStyle name="Normal 701 3 3 3" xfId="53474"/>
    <cellStyle name="Normal 701 3 4" xfId="53475"/>
    <cellStyle name="Normal 701 3 5" xfId="53476"/>
    <cellStyle name="Normal 701 4" xfId="23795"/>
    <cellStyle name="Normal 701 4 2" xfId="53477"/>
    <cellStyle name="Normal 701 4 3" xfId="53478"/>
    <cellStyle name="Normal 701 5" xfId="23796"/>
    <cellStyle name="Normal 701 5 2" xfId="53479"/>
    <cellStyle name="Normal 701 5 3" xfId="53480"/>
    <cellStyle name="Normal 701 6" xfId="53481"/>
    <cellStyle name="Normal 701 7" xfId="53482"/>
    <cellStyle name="Normal 701 8" xfId="53483"/>
    <cellStyle name="Normal 701 9" xfId="53484"/>
    <cellStyle name="Normal 702" xfId="23797"/>
    <cellStyle name="Normal 702 10" xfId="53485"/>
    <cellStyle name="Normal 702 2" xfId="23798"/>
    <cellStyle name="Normal 702 2 2" xfId="23799"/>
    <cellStyle name="Normal 702 2 2 2" xfId="53486"/>
    <cellStyle name="Normal 702 2 2 3" xfId="53487"/>
    <cellStyle name="Normal 702 2 3" xfId="23800"/>
    <cellStyle name="Normal 702 2 3 2" xfId="53488"/>
    <cellStyle name="Normal 702 2 3 3" xfId="53489"/>
    <cellStyle name="Normal 702 2 4" xfId="53490"/>
    <cellStyle name="Normal 702 2 5" xfId="53491"/>
    <cellStyle name="Normal 702 2 6" xfId="53492"/>
    <cellStyle name="Normal 702 2 7" xfId="53493"/>
    <cellStyle name="Normal 702 2 8" xfId="53494"/>
    <cellStyle name="Normal 702 3" xfId="23801"/>
    <cellStyle name="Normal 702 3 2" xfId="53495"/>
    <cellStyle name="Normal 702 3 2 2" xfId="53496"/>
    <cellStyle name="Normal 702 3 2 3" xfId="53497"/>
    <cellStyle name="Normal 702 3 3" xfId="53498"/>
    <cellStyle name="Normal 702 3 3 2" xfId="53499"/>
    <cellStyle name="Normal 702 3 3 3" xfId="53500"/>
    <cellStyle name="Normal 702 3 4" xfId="53501"/>
    <cellStyle name="Normal 702 3 5" xfId="53502"/>
    <cellStyle name="Normal 702 4" xfId="23802"/>
    <cellStyle name="Normal 702 4 2" xfId="53503"/>
    <cellStyle name="Normal 702 4 3" xfId="53504"/>
    <cellStyle name="Normal 702 5" xfId="23803"/>
    <cellStyle name="Normal 702 5 2" xfId="53505"/>
    <cellStyle name="Normal 702 5 3" xfId="53506"/>
    <cellStyle name="Normal 702 6" xfId="53507"/>
    <cellStyle name="Normal 702 7" xfId="53508"/>
    <cellStyle name="Normal 702 8" xfId="53509"/>
    <cellStyle name="Normal 702 9" xfId="53510"/>
    <cellStyle name="Normal 703" xfId="23804"/>
    <cellStyle name="Normal 703 10" xfId="53511"/>
    <cellStyle name="Normal 703 2" xfId="23805"/>
    <cellStyle name="Normal 703 2 2" xfId="23806"/>
    <cellStyle name="Normal 703 2 2 2" xfId="53512"/>
    <cellStyle name="Normal 703 2 2 3" xfId="53513"/>
    <cellStyle name="Normal 703 2 3" xfId="23807"/>
    <cellStyle name="Normal 703 2 3 2" xfId="53514"/>
    <cellStyle name="Normal 703 2 3 3" xfId="53515"/>
    <cellStyle name="Normal 703 2 4" xfId="53516"/>
    <cellStyle name="Normal 703 2 5" xfId="53517"/>
    <cellStyle name="Normal 703 2 6" xfId="53518"/>
    <cellStyle name="Normal 703 2 7" xfId="53519"/>
    <cellStyle name="Normal 703 2 8" xfId="53520"/>
    <cellStyle name="Normal 703 3" xfId="23808"/>
    <cellStyle name="Normal 703 3 2" xfId="53521"/>
    <cellStyle name="Normal 703 3 2 2" xfId="53522"/>
    <cellStyle name="Normal 703 3 2 3" xfId="53523"/>
    <cellStyle name="Normal 703 3 3" xfId="53524"/>
    <cellStyle name="Normal 703 3 3 2" xfId="53525"/>
    <cellStyle name="Normal 703 3 3 3" xfId="53526"/>
    <cellStyle name="Normal 703 3 4" xfId="53527"/>
    <cellStyle name="Normal 703 3 5" xfId="53528"/>
    <cellStyle name="Normal 703 4" xfId="23809"/>
    <cellStyle name="Normal 703 4 2" xfId="53529"/>
    <cellStyle name="Normal 703 4 3" xfId="53530"/>
    <cellStyle name="Normal 703 5" xfId="23810"/>
    <cellStyle name="Normal 703 5 2" xfId="53531"/>
    <cellStyle name="Normal 703 5 3" xfId="53532"/>
    <cellStyle name="Normal 703 6" xfId="53533"/>
    <cellStyle name="Normal 703 7" xfId="53534"/>
    <cellStyle name="Normal 703 8" xfId="53535"/>
    <cellStyle name="Normal 703 9" xfId="53536"/>
    <cellStyle name="Normal 704" xfId="23811"/>
    <cellStyle name="Normal 704 10" xfId="53537"/>
    <cellStyle name="Normal 704 2" xfId="23812"/>
    <cellStyle name="Normal 704 2 2" xfId="23813"/>
    <cellStyle name="Normal 704 2 2 2" xfId="53538"/>
    <cellStyle name="Normal 704 2 2 3" xfId="53539"/>
    <cellStyle name="Normal 704 2 3" xfId="23814"/>
    <cellStyle name="Normal 704 2 3 2" xfId="53540"/>
    <cellStyle name="Normal 704 2 3 3" xfId="53541"/>
    <cellStyle name="Normal 704 2 4" xfId="53542"/>
    <cellStyle name="Normal 704 2 5" xfId="53543"/>
    <cellStyle name="Normal 704 2 6" xfId="53544"/>
    <cellStyle name="Normal 704 2 7" xfId="53545"/>
    <cellStyle name="Normal 704 2 8" xfId="53546"/>
    <cellStyle name="Normal 704 3" xfId="23815"/>
    <cellStyle name="Normal 704 3 2" xfId="53547"/>
    <cellStyle name="Normal 704 3 2 2" xfId="53548"/>
    <cellStyle name="Normal 704 3 2 3" xfId="53549"/>
    <cellStyle name="Normal 704 3 3" xfId="53550"/>
    <cellStyle name="Normal 704 3 3 2" xfId="53551"/>
    <cellStyle name="Normal 704 3 3 3" xfId="53552"/>
    <cellStyle name="Normal 704 3 4" xfId="53553"/>
    <cellStyle name="Normal 704 3 5" xfId="53554"/>
    <cellStyle name="Normal 704 4" xfId="23816"/>
    <cellStyle name="Normal 704 4 2" xfId="53555"/>
    <cellStyle name="Normal 704 4 3" xfId="53556"/>
    <cellStyle name="Normal 704 5" xfId="23817"/>
    <cellStyle name="Normal 704 5 2" xfId="53557"/>
    <cellStyle name="Normal 704 5 3" xfId="53558"/>
    <cellStyle name="Normal 704 6" xfId="53559"/>
    <cellStyle name="Normal 704 7" xfId="53560"/>
    <cellStyle name="Normal 704 8" xfId="53561"/>
    <cellStyle name="Normal 704 9" xfId="53562"/>
    <cellStyle name="Normal 705" xfId="23818"/>
    <cellStyle name="Normal 705 10" xfId="53563"/>
    <cellStyle name="Normal 705 2" xfId="23819"/>
    <cellStyle name="Normal 705 2 2" xfId="23820"/>
    <cellStyle name="Normal 705 2 2 2" xfId="53564"/>
    <cellStyle name="Normal 705 2 2 3" xfId="53565"/>
    <cellStyle name="Normal 705 2 3" xfId="23821"/>
    <cellStyle name="Normal 705 2 3 2" xfId="53566"/>
    <cellStyle name="Normal 705 2 3 3" xfId="53567"/>
    <cellStyle name="Normal 705 2 4" xfId="53568"/>
    <cellStyle name="Normal 705 2 5" xfId="53569"/>
    <cellStyle name="Normal 705 2 6" xfId="53570"/>
    <cellStyle name="Normal 705 2 7" xfId="53571"/>
    <cellStyle name="Normal 705 2 8" xfId="53572"/>
    <cellStyle name="Normal 705 3" xfId="23822"/>
    <cellStyle name="Normal 705 3 2" xfId="53573"/>
    <cellStyle name="Normal 705 3 2 2" xfId="53574"/>
    <cellStyle name="Normal 705 3 2 3" xfId="53575"/>
    <cellStyle name="Normal 705 3 3" xfId="53576"/>
    <cellStyle name="Normal 705 3 3 2" xfId="53577"/>
    <cellStyle name="Normal 705 3 3 3" xfId="53578"/>
    <cellStyle name="Normal 705 3 4" xfId="53579"/>
    <cellStyle name="Normal 705 3 5" xfId="53580"/>
    <cellStyle name="Normal 705 4" xfId="23823"/>
    <cellStyle name="Normal 705 4 2" xfId="53581"/>
    <cellStyle name="Normal 705 4 3" xfId="53582"/>
    <cellStyle name="Normal 705 5" xfId="23824"/>
    <cellStyle name="Normal 705 5 2" xfId="53583"/>
    <cellStyle name="Normal 705 5 3" xfId="53584"/>
    <cellStyle name="Normal 705 6" xfId="53585"/>
    <cellStyle name="Normal 705 7" xfId="53586"/>
    <cellStyle name="Normal 705 8" xfId="53587"/>
    <cellStyle name="Normal 705 9" xfId="53588"/>
    <cellStyle name="Normal 7058" xfId="62595"/>
    <cellStyle name="Normal 706" xfId="23825"/>
    <cellStyle name="Normal 706 10" xfId="53589"/>
    <cellStyle name="Normal 706 2" xfId="23826"/>
    <cellStyle name="Normal 706 2 2" xfId="23827"/>
    <cellStyle name="Normal 706 2 2 2" xfId="53590"/>
    <cellStyle name="Normal 706 2 2 3" xfId="53591"/>
    <cellStyle name="Normal 706 2 3" xfId="23828"/>
    <cellStyle name="Normal 706 2 3 2" xfId="53592"/>
    <cellStyle name="Normal 706 2 3 3" xfId="53593"/>
    <cellStyle name="Normal 706 2 4" xfId="53594"/>
    <cellStyle name="Normal 706 2 5" xfId="53595"/>
    <cellStyle name="Normal 706 2 6" xfId="53596"/>
    <cellStyle name="Normal 706 2 7" xfId="53597"/>
    <cellStyle name="Normal 706 2 8" xfId="53598"/>
    <cellStyle name="Normal 706 3" xfId="23829"/>
    <cellStyle name="Normal 706 3 2" xfId="53599"/>
    <cellStyle name="Normal 706 3 2 2" xfId="53600"/>
    <cellStyle name="Normal 706 3 2 3" xfId="53601"/>
    <cellStyle name="Normal 706 3 3" xfId="53602"/>
    <cellStyle name="Normal 706 3 3 2" xfId="53603"/>
    <cellStyle name="Normal 706 3 3 3" xfId="53604"/>
    <cellStyle name="Normal 706 3 4" xfId="53605"/>
    <cellStyle name="Normal 706 3 5" xfId="53606"/>
    <cellStyle name="Normal 706 4" xfId="23830"/>
    <cellStyle name="Normal 706 4 2" xfId="53607"/>
    <cellStyle name="Normal 706 4 3" xfId="53608"/>
    <cellStyle name="Normal 706 5" xfId="23831"/>
    <cellStyle name="Normal 706 5 2" xfId="53609"/>
    <cellStyle name="Normal 706 5 3" xfId="53610"/>
    <cellStyle name="Normal 706 6" xfId="53611"/>
    <cellStyle name="Normal 706 7" xfId="53612"/>
    <cellStyle name="Normal 706 8" xfId="53613"/>
    <cellStyle name="Normal 706 9" xfId="53614"/>
    <cellStyle name="Normal 707" xfId="23832"/>
    <cellStyle name="Normal 707 10" xfId="53615"/>
    <cellStyle name="Normal 707 2" xfId="23833"/>
    <cellStyle name="Normal 707 2 2" xfId="23834"/>
    <cellStyle name="Normal 707 2 2 2" xfId="53616"/>
    <cellStyle name="Normal 707 2 2 3" xfId="53617"/>
    <cellStyle name="Normal 707 2 3" xfId="23835"/>
    <cellStyle name="Normal 707 2 3 2" xfId="53618"/>
    <cellStyle name="Normal 707 2 3 3" xfId="53619"/>
    <cellStyle name="Normal 707 2 4" xfId="53620"/>
    <cellStyle name="Normal 707 2 5" xfId="53621"/>
    <cellStyle name="Normal 707 2 6" xfId="53622"/>
    <cellStyle name="Normal 707 2 7" xfId="53623"/>
    <cellStyle name="Normal 707 2 8" xfId="53624"/>
    <cellStyle name="Normal 707 3" xfId="23836"/>
    <cellStyle name="Normal 707 3 2" xfId="53625"/>
    <cellStyle name="Normal 707 3 2 2" xfId="53626"/>
    <cellStyle name="Normal 707 3 2 3" xfId="53627"/>
    <cellStyle name="Normal 707 3 3" xfId="53628"/>
    <cellStyle name="Normal 707 3 3 2" xfId="53629"/>
    <cellStyle name="Normal 707 3 3 3" xfId="53630"/>
    <cellStyle name="Normal 707 3 4" xfId="53631"/>
    <cellStyle name="Normal 707 3 5" xfId="53632"/>
    <cellStyle name="Normal 707 4" xfId="23837"/>
    <cellStyle name="Normal 707 4 2" xfId="53633"/>
    <cellStyle name="Normal 707 4 3" xfId="53634"/>
    <cellStyle name="Normal 707 5" xfId="23838"/>
    <cellStyle name="Normal 707 5 2" xfId="53635"/>
    <cellStyle name="Normal 707 5 3" xfId="53636"/>
    <cellStyle name="Normal 707 6" xfId="53637"/>
    <cellStyle name="Normal 707 7" xfId="53638"/>
    <cellStyle name="Normal 707 8" xfId="53639"/>
    <cellStyle name="Normal 707 9" xfId="53640"/>
    <cellStyle name="Normal 708" xfId="23839"/>
    <cellStyle name="Normal 708 10" xfId="53641"/>
    <cellStyle name="Normal 708 2" xfId="23840"/>
    <cellStyle name="Normal 708 2 2" xfId="23841"/>
    <cellStyle name="Normal 708 2 2 2" xfId="53642"/>
    <cellStyle name="Normal 708 2 2 3" xfId="53643"/>
    <cellStyle name="Normal 708 2 3" xfId="23842"/>
    <cellStyle name="Normal 708 2 3 2" xfId="53644"/>
    <cellStyle name="Normal 708 2 3 3" xfId="53645"/>
    <cellStyle name="Normal 708 2 4" xfId="53646"/>
    <cellStyle name="Normal 708 2 5" xfId="53647"/>
    <cellStyle name="Normal 708 2 6" xfId="53648"/>
    <cellStyle name="Normal 708 2 7" xfId="53649"/>
    <cellStyle name="Normal 708 2 8" xfId="53650"/>
    <cellStyle name="Normal 708 3" xfId="23843"/>
    <cellStyle name="Normal 708 3 2" xfId="53651"/>
    <cellStyle name="Normal 708 3 2 2" xfId="53652"/>
    <cellStyle name="Normal 708 3 2 3" xfId="53653"/>
    <cellStyle name="Normal 708 3 3" xfId="53654"/>
    <cellStyle name="Normal 708 3 3 2" xfId="53655"/>
    <cellStyle name="Normal 708 3 3 3" xfId="53656"/>
    <cellStyle name="Normal 708 3 4" xfId="53657"/>
    <cellStyle name="Normal 708 3 5" xfId="53658"/>
    <cellStyle name="Normal 708 4" xfId="23844"/>
    <cellStyle name="Normal 708 4 2" xfId="53659"/>
    <cellStyle name="Normal 708 4 3" xfId="53660"/>
    <cellStyle name="Normal 708 5" xfId="23845"/>
    <cellStyle name="Normal 708 5 2" xfId="53661"/>
    <cellStyle name="Normal 708 5 3" xfId="53662"/>
    <cellStyle name="Normal 708 6" xfId="53663"/>
    <cellStyle name="Normal 708 7" xfId="53664"/>
    <cellStyle name="Normal 708 8" xfId="53665"/>
    <cellStyle name="Normal 708 9" xfId="53666"/>
    <cellStyle name="Normal 709" xfId="23846"/>
    <cellStyle name="Normal 709 10" xfId="53667"/>
    <cellStyle name="Normal 709 2" xfId="23847"/>
    <cellStyle name="Normal 709 2 2" xfId="23848"/>
    <cellStyle name="Normal 709 2 2 2" xfId="53668"/>
    <cellStyle name="Normal 709 2 2 3" xfId="53669"/>
    <cellStyle name="Normal 709 2 3" xfId="23849"/>
    <cellStyle name="Normal 709 2 3 2" xfId="53670"/>
    <cellStyle name="Normal 709 2 3 3" xfId="53671"/>
    <cellStyle name="Normal 709 2 4" xfId="53672"/>
    <cellStyle name="Normal 709 2 5" xfId="53673"/>
    <cellStyle name="Normal 709 2 6" xfId="53674"/>
    <cellStyle name="Normal 709 2 7" xfId="53675"/>
    <cellStyle name="Normal 709 2 8" xfId="53676"/>
    <cellStyle name="Normal 709 3" xfId="23850"/>
    <cellStyle name="Normal 709 3 2" xfId="53677"/>
    <cellStyle name="Normal 709 3 2 2" xfId="53678"/>
    <cellStyle name="Normal 709 3 2 3" xfId="53679"/>
    <cellStyle name="Normal 709 3 3" xfId="53680"/>
    <cellStyle name="Normal 709 3 3 2" xfId="53681"/>
    <cellStyle name="Normal 709 3 3 3" xfId="53682"/>
    <cellStyle name="Normal 709 3 4" xfId="53683"/>
    <cellStyle name="Normal 709 3 5" xfId="53684"/>
    <cellStyle name="Normal 709 4" xfId="23851"/>
    <cellStyle name="Normal 709 4 2" xfId="53685"/>
    <cellStyle name="Normal 709 4 3" xfId="53686"/>
    <cellStyle name="Normal 709 5" xfId="23852"/>
    <cellStyle name="Normal 709 5 2" xfId="53687"/>
    <cellStyle name="Normal 709 5 3" xfId="53688"/>
    <cellStyle name="Normal 709 6" xfId="53689"/>
    <cellStyle name="Normal 709 7" xfId="53690"/>
    <cellStyle name="Normal 709 8" xfId="53691"/>
    <cellStyle name="Normal 709 9" xfId="53692"/>
    <cellStyle name="Normal 71" xfId="23853"/>
    <cellStyle name="Normal 71 10" xfId="53693"/>
    <cellStyle name="Normal 71 2" xfId="23854"/>
    <cellStyle name="Normal 71 2 2" xfId="23855"/>
    <cellStyle name="Normal 71 2 2 2" xfId="23856"/>
    <cellStyle name="Normal 71 2 2 3" xfId="23857"/>
    <cellStyle name="Normal 71 2 3" xfId="23858"/>
    <cellStyle name="Normal 71 2 3 2" xfId="53694"/>
    <cellStyle name="Normal 71 2 3 3" xfId="53695"/>
    <cellStyle name="Normal 71 2 4" xfId="23859"/>
    <cellStyle name="Normal 71 2 5" xfId="23860"/>
    <cellStyle name="Normal 71 2 6" xfId="53696"/>
    <cellStyle name="Normal 71 2 7" xfId="53697"/>
    <cellStyle name="Normal 71 2 8" xfId="53698"/>
    <cellStyle name="Normal 71 3" xfId="23861"/>
    <cellStyle name="Normal 71 3 2" xfId="23862"/>
    <cellStyle name="Normal 71 3 2 2" xfId="53699"/>
    <cellStyle name="Normal 71 3 2 3" xfId="53700"/>
    <cellStyle name="Normal 71 3 3" xfId="23863"/>
    <cellStyle name="Normal 71 3 3 2" xfId="53701"/>
    <cellStyle name="Normal 71 3 3 3" xfId="53702"/>
    <cellStyle name="Normal 71 3 4" xfId="53703"/>
    <cellStyle name="Normal 71 3 5" xfId="53704"/>
    <cellStyle name="Normal 71 4" xfId="23864"/>
    <cellStyle name="Normal 71 4 2" xfId="53705"/>
    <cellStyle name="Normal 71 4 3" xfId="53706"/>
    <cellStyle name="Normal 71 5" xfId="23865"/>
    <cellStyle name="Normal 71 5 2" xfId="53707"/>
    <cellStyle name="Normal 71 5 3" xfId="53708"/>
    <cellStyle name="Normal 71 6" xfId="23866"/>
    <cellStyle name="Normal 71 7" xfId="53709"/>
    <cellStyle name="Normal 71 8" xfId="53710"/>
    <cellStyle name="Normal 71 9" xfId="53711"/>
    <cellStyle name="Normal 710" xfId="23867"/>
    <cellStyle name="Normal 710 10" xfId="53712"/>
    <cellStyle name="Normal 710 2" xfId="23868"/>
    <cellStyle name="Normal 710 2 2" xfId="23869"/>
    <cellStyle name="Normal 710 2 2 2" xfId="53713"/>
    <cellStyle name="Normal 710 2 2 3" xfId="53714"/>
    <cellStyle name="Normal 710 2 3" xfId="23870"/>
    <cellStyle name="Normal 710 2 3 2" xfId="53715"/>
    <cellStyle name="Normal 710 2 3 3" xfId="53716"/>
    <cellStyle name="Normal 710 2 4" xfId="53717"/>
    <cellStyle name="Normal 710 2 5" xfId="53718"/>
    <cellStyle name="Normal 710 2 6" xfId="53719"/>
    <cellStyle name="Normal 710 2 7" xfId="53720"/>
    <cellStyle name="Normal 710 2 8" xfId="53721"/>
    <cellStyle name="Normal 710 3" xfId="23871"/>
    <cellStyle name="Normal 710 3 2" xfId="53722"/>
    <cellStyle name="Normal 710 3 2 2" xfId="53723"/>
    <cellStyle name="Normal 710 3 2 3" xfId="53724"/>
    <cellStyle name="Normal 710 3 3" xfId="53725"/>
    <cellStyle name="Normal 710 3 3 2" xfId="53726"/>
    <cellStyle name="Normal 710 3 3 3" xfId="53727"/>
    <cellStyle name="Normal 710 3 4" xfId="53728"/>
    <cellStyle name="Normal 710 3 5" xfId="53729"/>
    <cellStyle name="Normal 710 4" xfId="23872"/>
    <cellStyle name="Normal 710 4 2" xfId="53730"/>
    <cellStyle name="Normal 710 4 3" xfId="53731"/>
    <cellStyle name="Normal 710 5" xfId="23873"/>
    <cellStyle name="Normal 710 5 2" xfId="53732"/>
    <cellStyle name="Normal 710 5 3" xfId="53733"/>
    <cellStyle name="Normal 710 6" xfId="53734"/>
    <cellStyle name="Normal 710 7" xfId="53735"/>
    <cellStyle name="Normal 710 8" xfId="53736"/>
    <cellStyle name="Normal 710 9" xfId="53737"/>
    <cellStyle name="Normal 711" xfId="23874"/>
    <cellStyle name="Normal 711 10" xfId="53738"/>
    <cellStyle name="Normal 711 2" xfId="23875"/>
    <cellStyle name="Normal 711 2 2" xfId="23876"/>
    <cellStyle name="Normal 711 2 2 2" xfId="53739"/>
    <cellStyle name="Normal 711 2 2 3" xfId="53740"/>
    <cellStyle name="Normal 711 2 3" xfId="23877"/>
    <cellStyle name="Normal 711 2 3 2" xfId="53741"/>
    <cellStyle name="Normal 711 2 3 3" xfId="53742"/>
    <cellStyle name="Normal 711 2 4" xfId="53743"/>
    <cellStyle name="Normal 711 2 5" xfId="53744"/>
    <cellStyle name="Normal 711 2 6" xfId="53745"/>
    <cellStyle name="Normal 711 2 7" xfId="53746"/>
    <cellStyle name="Normal 711 2 8" xfId="53747"/>
    <cellStyle name="Normal 711 3" xfId="23878"/>
    <cellStyle name="Normal 711 3 2" xfId="53748"/>
    <cellStyle name="Normal 711 3 2 2" xfId="53749"/>
    <cellStyle name="Normal 711 3 2 3" xfId="53750"/>
    <cellStyle name="Normal 711 3 3" xfId="53751"/>
    <cellStyle name="Normal 711 3 3 2" xfId="53752"/>
    <cellStyle name="Normal 711 3 3 3" xfId="53753"/>
    <cellStyle name="Normal 711 3 4" xfId="53754"/>
    <cellStyle name="Normal 711 3 5" xfId="53755"/>
    <cellStyle name="Normal 711 4" xfId="23879"/>
    <cellStyle name="Normal 711 4 2" xfId="53756"/>
    <cellStyle name="Normal 711 4 3" xfId="53757"/>
    <cellStyle name="Normal 711 5" xfId="23880"/>
    <cellStyle name="Normal 711 5 2" xfId="53758"/>
    <cellStyle name="Normal 711 5 3" xfId="53759"/>
    <cellStyle name="Normal 711 6" xfId="53760"/>
    <cellStyle name="Normal 711 7" xfId="53761"/>
    <cellStyle name="Normal 711 8" xfId="53762"/>
    <cellStyle name="Normal 711 9" xfId="53763"/>
    <cellStyle name="Normal 7113" xfId="62594"/>
    <cellStyle name="Normal 712" xfId="23881"/>
    <cellStyle name="Normal 712 10" xfId="53764"/>
    <cellStyle name="Normal 712 2" xfId="23882"/>
    <cellStyle name="Normal 712 2 2" xfId="23883"/>
    <cellStyle name="Normal 712 2 2 2" xfId="53765"/>
    <cellStyle name="Normal 712 2 2 3" xfId="53766"/>
    <cellStyle name="Normal 712 2 3" xfId="23884"/>
    <cellStyle name="Normal 712 2 3 2" xfId="53767"/>
    <cellStyle name="Normal 712 2 3 3" xfId="53768"/>
    <cellStyle name="Normal 712 2 4" xfId="53769"/>
    <cellStyle name="Normal 712 2 5" xfId="53770"/>
    <cellStyle name="Normal 712 2 6" xfId="53771"/>
    <cellStyle name="Normal 712 2 7" xfId="53772"/>
    <cellStyle name="Normal 712 2 8" xfId="53773"/>
    <cellStyle name="Normal 712 3" xfId="23885"/>
    <cellStyle name="Normal 712 3 2" xfId="53774"/>
    <cellStyle name="Normal 712 3 2 2" xfId="53775"/>
    <cellStyle name="Normal 712 3 2 3" xfId="53776"/>
    <cellStyle name="Normal 712 3 3" xfId="53777"/>
    <cellStyle name="Normal 712 3 3 2" xfId="53778"/>
    <cellStyle name="Normal 712 3 3 3" xfId="53779"/>
    <cellStyle name="Normal 712 3 4" xfId="53780"/>
    <cellStyle name="Normal 712 3 5" xfId="53781"/>
    <cellStyle name="Normal 712 4" xfId="23886"/>
    <cellStyle name="Normal 712 4 2" xfId="53782"/>
    <cellStyle name="Normal 712 4 3" xfId="53783"/>
    <cellStyle name="Normal 712 5" xfId="23887"/>
    <cellStyle name="Normal 712 5 2" xfId="53784"/>
    <cellStyle name="Normal 712 5 3" xfId="53785"/>
    <cellStyle name="Normal 712 6" xfId="53786"/>
    <cellStyle name="Normal 712 7" xfId="53787"/>
    <cellStyle name="Normal 712 8" xfId="53788"/>
    <cellStyle name="Normal 712 9" xfId="53789"/>
    <cellStyle name="Normal 713" xfId="23888"/>
    <cellStyle name="Normal 713 10" xfId="53790"/>
    <cellStyle name="Normal 713 2" xfId="23889"/>
    <cellStyle name="Normal 713 2 2" xfId="23890"/>
    <cellStyle name="Normal 713 2 2 2" xfId="53791"/>
    <cellStyle name="Normal 713 2 2 3" xfId="53792"/>
    <cellStyle name="Normal 713 2 3" xfId="23891"/>
    <cellStyle name="Normal 713 2 3 2" xfId="53793"/>
    <cellStyle name="Normal 713 2 3 3" xfId="53794"/>
    <cellStyle name="Normal 713 2 4" xfId="53795"/>
    <cellStyle name="Normal 713 2 5" xfId="53796"/>
    <cellStyle name="Normal 713 2 6" xfId="53797"/>
    <cellStyle name="Normal 713 2 7" xfId="53798"/>
    <cellStyle name="Normal 713 2 8" xfId="53799"/>
    <cellStyle name="Normal 713 3" xfId="23892"/>
    <cellStyle name="Normal 713 3 2" xfId="53800"/>
    <cellStyle name="Normal 713 3 2 2" xfId="53801"/>
    <cellStyle name="Normal 713 3 2 3" xfId="53802"/>
    <cellStyle name="Normal 713 3 3" xfId="53803"/>
    <cellStyle name="Normal 713 3 3 2" xfId="53804"/>
    <cellStyle name="Normal 713 3 3 3" xfId="53805"/>
    <cellStyle name="Normal 713 3 4" xfId="53806"/>
    <cellStyle name="Normal 713 3 5" xfId="53807"/>
    <cellStyle name="Normal 713 4" xfId="23893"/>
    <cellStyle name="Normal 713 4 2" xfId="53808"/>
    <cellStyle name="Normal 713 4 3" xfId="53809"/>
    <cellStyle name="Normal 713 5" xfId="23894"/>
    <cellStyle name="Normal 713 5 2" xfId="53810"/>
    <cellStyle name="Normal 713 5 3" xfId="53811"/>
    <cellStyle name="Normal 713 6" xfId="53812"/>
    <cellStyle name="Normal 713 7" xfId="53813"/>
    <cellStyle name="Normal 713 8" xfId="53814"/>
    <cellStyle name="Normal 713 9" xfId="53815"/>
    <cellStyle name="Normal 714" xfId="23895"/>
    <cellStyle name="Normal 714 10" xfId="53816"/>
    <cellStyle name="Normal 714 2" xfId="23896"/>
    <cellStyle name="Normal 714 2 2" xfId="23897"/>
    <cellStyle name="Normal 714 2 2 2" xfId="53817"/>
    <cellStyle name="Normal 714 2 2 3" xfId="53818"/>
    <cellStyle name="Normal 714 2 3" xfId="23898"/>
    <cellStyle name="Normal 714 2 3 2" xfId="53819"/>
    <cellStyle name="Normal 714 2 3 3" xfId="53820"/>
    <cellStyle name="Normal 714 2 4" xfId="53821"/>
    <cellStyle name="Normal 714 2 5" xfId="53822"/>
    <cellStyle name="Normal 714 2 6" xfId="53823"/>
    <cellStyle name="Normal 714 2 7" xfId="53824"/>
    <cellStyle name="Normal 714 2 8" xfId="53825"/>
    <cellStyle name="Normal 714 3" xfId="23899"/>
    <cellStyle name="Normal 714 3 2" xfId="53826"/>
    <cellStyle name="Normal 714 3 2 2" xfId="53827"/>
    <cellStyle name="Normal 714 3 2 3" xfId="53828"/>
    <cellStyle name="Normal 714 3 3" xfId="53829"/>
    <cellStyle name="Normal 714 3 3 2" xfId="53830"/>
    <cellStyle name="Normal 714 3 3 3" xfId="53831"/>
    <cellStyle name="Normal 714 3 4" xfId="53832"/>
    <cellStyle name="Normal 714 3 5" xfId="53833"/>
    <cellStyle name="Normal 714 4" xfId="23900"/>
    <cellStyle name="Normal 714 4 2" xfId="53834"/>
    <cellStyle name="Normal 714 4 3" xfId="53835"/>
    <cellStyle name="Normal 714 5" xfId="23901"/>
    <cellStyle name="Normal 714 5 2" xfId="53836"/>
    <cellStyle name="Normal 714 5 3" xfId="53837"/>
    <cellStyle name="Normal 714 6" xfId="53838"/>
    <cellStyle name="Normal 714 7" xfId="53839"/>
    <cellStyle name="Normal 714 8" xfId="53840"/>
    <cellStyle name="Normal 714 9" xfId="53841"/>
    <cellStyle name="Normal 715" xfId="23902"/>
    <cellStyle name="Normal 715 10" xfId="53842"/>
    <cellStyle name="Normal 715 2" xfId="23903"/>
    <cellStyle name="Normal 715 2 2" xfId="23904"/>
    <cellStyle name="Normal 715 2 2 2" xfId="53843"/>
    <cellStyle name="Normal 715 2 2 3" xfId="53844"/>
    <cellStyle name="Normal 715 2 3" xfId="23905"/>
    <cellStyle name="Normal 715 2 3 2" xfId="53845"/>
    <cellStyle name="Normal 715 2 3 3" xfId="53846"/>
    <cellStyle name="Normal 715 2 4" xfId="53847"/>
    <cellStyle name="Normal 715 2 5" xfId="53848"/>
    <cellStyle name="Normal 715 2 6" xfId="53849"/>
    <cellStyle name="Normal 715 2 7" xfId="53850"/>
    <cellStyle name="Normal 715 2 8" xfId="53851"/>
    <cellStyle name="Normal 715 3" xfId="23906"/>
    <cellStyle name="Normal 715 3 2" xfId="53852"/>
    <cellStyle name="Normal 715 3 2 2" xfId="53853"/>
    <cellStyle name="Normal 715 3 2 3" xfId="53854"/>
    <cellStyle name="Normal 715 3 3" xfId="53855"/>
    <cellStyle name="Normal 715 3 3 2" xfId="53856"/>
    <cellStyle name="Normal 715 3 3 3" xfId="53857"/>
    <cellStyle name="Normal 715 3 4" xfId="53858"/>
    <cellStyle name="Normal 715 3 5" xfId="53859"/>
    <cellStyle name="Normal 715 4" xfId="23907"/>
    <cellStyle name="Normal 715 4 2" xfId="53860"/>
    <cellStyle name="Normal 715 4 3" xfId="53861"/>
    <cellStyle name="Normal 715 5" xfId="23908"/>
    <cellStyle name="Normal 715 5 2" xfId="53862"/>
    <cellStyle name="Normal 715 5 3" xfId="53863"/>
    <cellStyle name="Normal 715 6" xfId="53864"/>
    <cellStyle name="Normal 715 7" xfId="53865"/>
    <cellStyle name="Normal 715 8" xfId="53866"/>
    <cellStyle name="Normal 715 9" xfId="53867"/>
    <cellStyle name="Normal 716" xfId="23909"/>
    <cellStyle name="Normal 716 10" xfId="53868"/>
    <cellStyle name="Normal 716 2" xfId="23910"/>
    <cellStyle name="Normal 716 2 2" xfId="23911"/>
    <cellStyle name="Normal 716 2 2 2" xfId="53869"/>
    <cellStyle name="Normal 716 2 2 3" xfId="53870"/>
    <cellStyle name="Normal 716 2 3" xfId="23912"/>
    <cellStyle name="Normal 716 2 3 2" xfId="53871"/>
    <cellStyle name="Normal 716 2 3 3" xfId="53872"/>
    <cellStyle name="Normal 716 2 4" xfId="53873"/>
    <cellStyle name="Normal 716 2 5" xfId="53874"/>
    <cellStyle name="Normal 716 2 6" xfId="53875"/>
    <cellStyle name="Normal 716 2 7" xfId="53876"/>
    <cellStyle name="Normal 716 2 8" xfId="53877"/>
    <cellStyle name="Normal 716 3" xfId="23913"/>
    <cellStyle name="Normal 716 3 2" xfId="53878"/>
    <cellStyle name="Normal 716 3 2 2" xfId="53879"/>
    <cellStyle name="Normal 716 3 2 3" xfId="53880"/>
    <cellStyle name="Normal 716 3 3" xfId="53881"/>
    <cellStyle name="Normal 716 3 3 2" xfId="53882"/>
    <cellStyle name="Normal 716 3 3 3" xfId="53883"/>
    <cellStyle name="Normal 716 3 4" xfId="53884"/>
    <cellStyle name="Normal 716 3 5" xfId="53885"/>
    <cellStyle name="Normal 716 4" xfId="23914"/>
    <cellStyle name="Normal 716 4 2" xfId="53886"/>
    <cellStyle name="Normal 716 4 3" xfId="53887"/>
    <cellStyle name="Normal 716 5" xfId="23915"/>
    <cellStyle name="Normal 716 5 2" xfId="53888"/>
    <cellStyle name="Normal 716 5 3" xfId="53889"/>
    <cellStyle name="Normal 716 6" xfId="53890"/>
    <cellStyle name="Normal 716 7" xfId="53891"/>
    <cellStyle name="Normal 716 8" xfId="53892"/>
    <cellStyle name="Normal 716 9" xfId="53893"/>
    <cellStyle name="Normal 717" xfId="23916"/>
    <cellStyle name="Normal 717 10" xfId="53894"/>
    <cellStyle name="Normal 717 2" xfId="23917"/>
    <cellStyle name="Normal 717 2 2" xfId="23918"/>
    <cellStyle name="Normal 717 2 2 2" xfId="53895"/>
    <cellStyle name="Normal 717 2 2 3" xfId="53896"/>
    <cellStyle name="Normal 717 2 3" xfId="23919"/>
    <cellStyle name="Normal 717 2 3 2" xfId="53897"/>
    <cellStyle name="Normal 717 2 3 3" xfId="53898"/>
    <cellStyle name="Normal 717 2 4" xfId="53899"/>
    <cellStyle name="Normal 717 2 5" xfId="53900"/>
    <cellStyle name="Normal 717 2 6" xfId="53901"/>
    <cellStyle name="Normal 717 2 7" xfId="53902"/>
    <cellStyle name="Normal 717 2 8" xfId="53903"/>
    <cellStyle name="Normal 717 3" xfId="23920"/>
    <cellStyle name="Normal 717 3 2" xfId="53904"/>
    <cellStyle name="Normal 717 3 2 2" xfId="53905"/>
    <cellStyle name="Normal 717 3 2 3" xfId="53906"/>
    <cellStyle name="Normal 717 3 3" xfId="53907"/>
    <cellStyle name="Normal 717 3 3 2" xfId="53908"/>
    <cellStyle name="Normal 717 3 3 3" xfId="53909"/>
    <cellStyle name="Normal 717 3 4" xfId="53910"/>
    <cellStyle name="Normal 717 3 5" xfId="53911"/>
    <cellStyle name="Normal 717 4" xfId="23921"/>
    <cellStyle name="Normal 717 4 2" xfId="53912"/>
    <cellStyle name="Normal 717 4 3" xfId="53913"/>
    <cellStyle name="Normal 717 5" xfId="23922"/>
    <cellStyle name="Normal 717 5 2" xfId="53914"/>
    <cellStyle name="Normal 717 5 3" xfId="53915"/>
    <cellStyle name="Normal 717 6" xfId="53916"/>
    <cellStyle name="Normal 717 7" xfId="53917"/>
    <cellStyle name="Normal 717 8" xfId="53918"/>
    <cellStyle name="Normal 717 9" xfId="53919"/>
    <cellStyle name="Normal 718" xfId="23923"/>
    <cellStyle name="Normal 718 10" xfId="53920"/>
    <cellStyle name="Normal 718 2" xfId="23924"/>
    <cellStyle name="Normal 718 2 2" xfId="23925"/>
    <cellStyle name="Normal 718 2 2 2" xfId="53921"/>
    <cellStyle name="Normal 718 2 2 3" xfId="53922"/>
    <cellStyle name="Normal 718 2 3" xfId="23926"/>
    <cellStyle name="Normal 718 2 3 2" xfId="53923"/>
    <cellStyle name="Normal 718 2 3 3" xfId="53924"/>
    <cellStyle name="Normal 718 2 4" xfId="53925"/>
    <cellStyle name="Normal 718 2 5" xfId="53926"/>
    <cellStyle name="Normal 718 2 6" xfId="53927"/>
    <cellStyle name="Normal 718 2 7" xfId="53928"/>
    <cellStyle name="Normal 718 2 8" xfId="53929"/>
    <cellStyle name="Normal 718 3" xfId="23927"/>
    <cellStyle name="Normal 718 3 2" xfId="53930"/>
    <cellStyle name="Normal 718 3 2 2" xfId="53931"/>
    <cellStyle name="Normal 718 3 2 3" xfId="53932"/>
    <cellStyle name="Normal 718 3 3" xfId="53933"/>
    <cellStyle name="Normal 718 3 3 2" xfId="53934"/>
    <cellStyle name="Normal 718 3 3 3" xfId="53935"/>
    <cellStyle name="Normal 718 3 4" xfId="53936"/>
    <cellStyle name="Normal 718 3 5" xfId="53937"/>
    <cellStyle name="Normal 718 4" xfId="23928"/>
    <cellStyle name="Normal 718 4 2" xfId="53938"/>
    <cellStyle name="Normal 718 4 3" xfId="53939"/>
    <cellStyle name="Normal 718 5" xfId="23929"/>
    <cellStyle name="Normal 718 5 2" xfId="53940"/>
    <cellStyle name="Normal 718 5 3" xfId="53941"/>
    <cellStyle name="Normal 718 6" xfId="53942"/>
    <cellStyle name="Normal 718 7" xfId="53943"/>
    <cellStyle name="Normal 718 8" xfId="53944"/>
    <cellStyle name="Normal 718 9" xfId="53945"/>
    <cellStyle name="Normal 719" xfId="23930"/>
    <cellStyle name="Normal 719 10" xfId="53946"/>
    <cellStyle name="Normal 719 2" xfId="23931"/>
    <cellStyle name="Normal 719 2 2" xfId="23932"/>
    <cellStyle name="Normal 719 2 2 2" xfId="53947"/>
    <cellStyle name="Normal 719 2 2 3" xfId="53948"/>
    <cellStyle name="Normal 719 2 3" xfId="23933"/>
    <cellStyle name="Normal 719 2 3 2" xfId="53949"/>
    <cellStyle name="Normal 719 2 3 3" xfId="53950"/>
    <cellStyle name="Normal 719 2 4" xfId="53951"/>
    <cellStyle name="Normal 719 2 5" xfId="53952"/>
    <cellStyle name="Normal 719 2 6" xfId="53953"/>
    <cellStyle name="Normal 719 2 7" xfId="53954"/>
    <cellStyle name="Normal 719 2 8" xfId="53955"/>
    <cellStyle name="Normal 719 3" xfId="23934"/>
    <cellStyle name="Normal 719 3 2" xfId="53956"/>
    <cellStyle name="Normal 719 3 2 2" xfId="53957"/>
    <cellStyle name="Normal 719 3 2 3" xfId="53958"/>
    <cellStyle name="Normal 719 3 3" xfId="53959"/>
    <cellStyle name="Normal 719 3 3 2" xfId="53960"/>
    <cellStyle name="Normal 719 3 3 3" xfId="53961"/>
    <cellStyle name="Normal 719 3 4" xfId="53962"/>
    <cellStyle name="Normal 719 3 5" xfId="53963"/>
    <cellStyle name="Normal 719 4" xfId="23935"/>
    <cellStyle name="Normal 719 4 2" xfId="53964"/>
    <cellStyle name="Normal 719 4 3" xfId="53965"/>
    <cellStyle name="Normal 719 5" xfId="23936"/>
    <cellStyle name="Normal 719 5 2" xfId="53966"/>
    <cellStyle name="Normal 719 5 3" xfId="53967"/>
    <cellStyle name="Normal 719 6" xfId="53968"/>
    <cellStyle name="Normal 719 7" xfId="53969"/>
    <cellStyle name="Normal 719 8" xfId="53970"/>
    <cellStyle name="Normal 719 9" xfId="53971"/>
    <cellStyle name="Normal 72" xfId="23937"/>
    <cellStyle name="Normal 72 10" xfId="53972"/>
    <cellStyle name="Normal 72 2" xfId="23938"/>
    <cellStyle name="Normal 72 2 2" xfId="23939"/>
    <cellStyle name="Normal 72 2 2 2" xfId="23940"/>
    <cellStyle name="Normal 72 2 2 3" xfId="23941"/>
    <cellStyle name="Normal 72 2 3" xfId="23942"/>
    <cellStyle name="Normal 72 2 3 2" xfId="53973"/>
    <cellStyle name="Normal 72 2 3 3" xfId="53974"/>
    <cellStyle name="Normal 72 2 4" xfId="23943"/>
    <cellStyle name="Normal 72 2 5" xfId="23944"/>
    <cellStyle name="Normal 72 2 6" xfId="53975"/>
    <cellStyle name="Normal 72 2 7" xfId="53976"/>
    <cellStyle name="Normal 72 2 8" xfId="53977"/>
    <cellStyle name="Normal 72 3" xfId="23945"/>
    <cellStyle name="Normal 72 3 2" xfId="23946"/>
    <cellStyle name="Normal 72 3 2 2" xfId="53978"/>
    <cellStyle name="Normal 72 3 2 3" xfId="53979"/>
    <cellStyle name="Normal 72 3 3" xfId="23947"/>
    <cellStyle name="Normal 72 3 3 2" xfId="53980"/>
    <cellStyle name="Normal 72 3 3 3" xfId="53981"/>
    <cellStyle name="Normal 72 3 4" xfId="53982"/>
    <cellStyle name="Normal 72 3 5" xfId="53983"/>
    <cellStyle name="Normal 72 4" xfId="23948"/>
    <cellStyle name="Normal 72 4 2" xfId="53984"/>
    <cellStyle name="Normal 72 4 3" xfId="53985"/>
    <cellStyle name="Normal 72 5" xfId="23949"/>
    <cellStyle name="Normal 72 5 2" xfId="53986"/>
    <cellStyle name="Normal 72 5 3" xfId="53987"/>
    <cellStyle name="Normal 72 6" xfId="23950"/>
    <cellStyle name="Normal 72 7" xfId="53988"/>
    <cellStyle name="Normal 72 8" xfId="53989"/>
    <cellStyle name="Normal 72 9" xfId="53990"/>
    <cellStyle name="Normal 720" xfId="23951"/>
    <cellStyle name="Normal 720 10" xfId="53991"/>
    <cellStyle name="Normal 720 2" xfId="23952"/>
    <cellStyle name="Normal 720 2 2" xfId="23953"/>
    <cellStyle name="Normal 720 2 2 2" xfId="53992"/>
    <cellStyle name="Normal 720 2 2 3" xfId="53993"/>
    <cellStyle name="Normal 720 2 3" xfId="23954"/>
    <cellStyle name="Normal 720 2 3 2" xfId="53994"/>
    <cellStyle name="Normal 720 2 3 3" xfId="53995"/>
    <cellStyle name="Normal 720 2 4" xfId="53996"/>
    <cellStyle name="Normal 720 2 5" xfId="53997"/>
    <cellStyle name="Normal 720 2 6" xfId="53998"/>
    <cellStyle name="Normal 720 2 7" xfId="53999"/>
    <cellStyle name="Normal 720 2 8" xfId="54000"/>
    <cellStyle name="Normal 720 3" xfId="23955"/>
    <cellStyle name="Normal 720 3 2" xfId="54001"/>
    <cellStyle name="Normal 720 3 2 2" xfId="54002"/>
    <cellStyle name="Normal 720 3 2 3" xfId="54003"/>
    <cellStyle name="Normal 720 3 3" xfId="54004"/>
    <cellStyle name="Normal 720 3 3 2" xfId="54005"/>
    <cellStyle name="Normal 720 3 3 3" xfId="54006"/>
    <cellStyle name="Normal 720 3 4" xfId="54007"/>
    <cellStyle name="Normal 720 3 5" xfId="54008"/>
    <cellStyle name="Normal 720 4" xfId="23956"/>
    <cellStyle name="Normal 720 4 2" xfId="54009"/>
    <cellStyle name="Normal 720 4 3" xfId="54010"/>
    <cellStyle name="Normal 720 5" xfId="23957"/>
    <cellStyle name="Normal 720 5 2" xfId="54011"/>
    <cellStyle name="Normal 720 5 3" xfId="54012"/>
    <cellStyle name="Normal 720 6" xfId="54013"/>
    <cellStyle name="Normal 720 7" xfId="54014"/>
    <cellStyle name="Normal 720 8" xfId="54015"/>
    <cellStyle name="Normal 720 9" xfId="54016"/>
    <cellStyle name="Normal 721" xfId="23958"/>
    <cellStyle name="Normal 721 10" xfId="54017"/>
    <cellStyle name="Normal 721 2" xfId="23959"/>
    <cellStyle name="Normal 721 2 2" xfId="23960"/>
    <cellStyle name="Normal 721 2 2 2" xfId="54018"/>
    <cellStyle name="Normal 721 2 2 3" xfId="54019"/>
    <cellStyle name="Normal 721 2 3" xfId="23961"/>
    <cellStyle name="Normal 721 2 3 2" xfId="54020"/>
    <cellStyle name="Normal 721 2 3 3" xfId="54021"/>
    <cellStyle name="Normal 721 2 4" xfId="54022"/>
    <cellStyle name="Normal 721 2 5" xfId="54023"/>
    <cellStyle name="Normal 721 2 6" xfId="54024"/>
    <cellStyle name="Normal 721 2 7" xfId="54025"/>
    <cellStyle name="Normal 721 2 8" xfId="54026"/>
    <cellStyle name="Normal 721 3" xfId="23962"/>
    <cellStyle name="Normal 721 3 2" xfId="54027"/>
    <cellStyle name="Normal 721 3 2 2" xfId="54028"/>
    <cellStyle name="Normal 721 3 2 3" xfId="54029"/>
    <cellStyle name="Normal 721 3 3" xfId="54030"/>
    <cellStyle name="Normal 721 3 3 2" xfId="54031"/>
    <cellStyle name="Normal 721 3 3 3" xfId="54032"/>
    <cellStyle name="Normal 721 3 4" xfId="54033"/>
    <cellStyle name="Normal 721 3 5" xfId="54034"/>
    <cellStyle name="Normal 721 4" xfId="23963"/>
    <cellStyle name="Normal 721 4 2" xfId="54035"/>
    <cellStyle name="Normal 721 4 3" xfId="54036"/>
    <cellStyle name="Normal 721 5" xfId="23964"/>
    <cellStyle name="Normal 721 5 2" xfId="54037"/>
    <cellStyle name="Normal 721 5 3" xfId="54038"/>
    <cellStyle name="Normal 721 6" xfId="54039"/>
    <cellStyle name="Normal 721 7" xfId="54040"/>
    <cellStyle name="Normal 721 8" xfId="54041"/>
    <cellStyle name="Normal 721 9" xfId="54042"/>
    <cellStyle name="Normal 722" xfId="23965"/>
    <cellStyle name="Normal 722 10" xfId="54043"/>
    <cellStyle name="Normal 722 2" xfId="23966"/>
    <cellStyle name="Normal 722 2 2" xfId="23967"/>
    <cellStyle name="Normal 722 2 2 2" xfId="54044"/>
    <cellStyle name="Normal 722 2 2 3" xfId="54045"/>
    <cellStyle name="Normal 722 2 3" xfId="23968"/>
    <cellStyle name="Normal 722 2 3 2" xfId="54046"/>
    <cellStyle name="Normal 722 2 3 3" xfId="54047"/>
    <cellStyle name="Normal 722 2 4" xfId="54048"/>
    <cellStyle name="Normal 722 2 5" xfId="54049"/>
    <cellStyle name="Normal 722 2 6" xfId="54050"/>
    <cellStyle name="Normal 722 2 7" xfId="54051"/>
    <cellStyle name="Normal 722 2 8" xfId="54052"/>
    <cellStyle name="Normal 722 3" xfId="23969"/>
    <cellStyle name="Normal 722 3 2" xfId="54053"/>
    <cellStyle name="Normal 722 3 2 2" xfId="54054"/>
    <cellStyle name="Normal 722 3 2 3" xfId="54055"/>
    <cellStyle name="Normal 722 3 3" xfId="54056"/>
    <cellStyle name="Normal 722 3 3 2" xfId="54057"/>
    <cellStyle name="Normal 722 3 3 3" xfId="54058"/>
    <cellStyle name="Normal 722 3 4" xfId="54059"/>
    <cellStyle name="Normal 722 3 5" xfId="54060"/>
    <cellStyle name="Normal 722 4" xfId="23970"/>
    <cellStyle name="Normal 722 4 2" xfId="54061"/>
    <cellStyle name="Normal 722 4 3" xfId="54062"/>
    <cellStyle name="Normal 722 5" xfId="23971"/>
    <cellStyle name="Normal 722 5 2" xfId="54063"/>
    <cellStyle name="Normal 722 5 3" xfId="54064"/>
    <cellStyle name="Normal 722 6" xfId="54065"/>
    <cellStyle name="Normal 722 7" xfId="54066"/>
    <cellStyle name="Normal 722 8" xfId="54067"/>
    <cellStyle name="Normal 722 9" xfId="54068"/>
    <cellStyle name="Normal 723" xfId="23972"/>
    <cellStyle name="Normal 723 10" xfId="54069"/>
    <cellStyle name="Normal 723 2" xfId="23973"/>
    <cellStyle name="Normal 723 2 2" xfId="23974"/>
    <cellStyle name="Normal 723 2 2 2" xfId="54070"/>
    <cellStyle name="Normal 723 2 2 3" xfId="54071"/>
    <cellStyle name="Normal 723 2 3" xfId="23975"/>
    <cellStyle name="Normal 723 2 3 2" xfId="54072"/>
    <cellStyle name="Normal 723 2 3 3" xfId="54073"/>
    <cellStyle name="Normal 723 2 4" xfId="54074"/>
    <cellStyle name="Normal 723 2 5" xfId="54075"/>
    <cellStyle name="Normal 723 2 6" xfId="54076"/>
    <cellStyle name="Normal 723 2 7" xfId="54077"/>
    <cellStyle name="Normal 723 2 8" xfId="54078"/>
    <cellStyle name="Normal 723 3" xfId="23976"/>
    <cellStyle name="Normal 723 3 2" xfId="54079"/>
    <cellStyle name="Normal 723 3 2 2" xfId="54080"/>
    <cellStyle name="Normal 723 3 2 3" xfId="54081"/>
    <cellStyle name="Normal 723 3 3" xfId="54082"/>
    <cellStyle name="Normal 723 3 3 2" xfId="54083"/>
    <cellStyle name="Normal 723 3 3 3" xfId="54084"/>
    <cellStyle name="Normal 723 3 4" xfId="54085"/>
    <cellStyle name="Normal 723 3 5" xfId="54086"/>
    <cellStyle name="Normal 723 4" xfId="23977"/>
    <cellStyle name="Normal 723 4 2" xfId="54087"/>
    <cellStyle name="Normal 723 4 3" xfId="54088"/>
    <cellStyle name="Normal 723 5" xfId="23978"/>
    <cellStyle name="Normal 723 5 2" xfId="54089"/>
    <cellStyle name="Normal 723 5 3" xfId="54090"/>
    <cellStyle name="Normal 723 6" xfId="54091"/>
    <cellStyle name="Normal 723 7" xfId="54092"/>
    <cellStyle name="Normal 723 8" xfId="54093"/>
    <cellStyle name="Normal 723 9" xfId="54094"/>
    <cellStyle name="Normal 724" xfId="23979"/>
    <cellStyle name="Normal 724 10" xfId="54095"/>
    <cellStyle name="Normal 724 2" xfId="23980"/>
    <cellStyle name="Normal 724 2 2" xfId="23981"/>
    <cellStyle name="Normal 724 2 2 2" xfId="54096"/>
    <cellStyle name="Normal 724 2 2 3" xfId="54097"/>
    <cellStyle name="Normal 724 2 3" xfId="23982"/>
    <cellStyle name="Normal 724 2 3 2" xfId="54098"/>
    <cellStyle name="Normal 724 2 3 3" xfId="54099"/>
    <cellStyle name="Normal 724 2 4" xfId="54100"/>
    <cellStyle name="Normal 724 2 5" xfId="54101"/>
    <cellStyle name="Normal 724 2 6" xfId="54102"/>
    <cellStyle name="Normal 724 2 7" xfId="54103"/>
    <cellStyle name="Normal 724 2 8" xfId="54104"/>
    <cellStyle name="Normal 724 3" xfId="23983"/>
    <cellStyle name="Normal 724 3 2" xfId="54105"/>
    <cellStyle name="Normal 724 3 2 2" xfId="54106"/>
    <cellStyle name="Normal 724 3 2 3" xfId="54107"/>
    <cellStyle name="Normal 724 3 3" xfId="54108"/>
    <cellStyle name="Normal 724 3 3 2" xfId="54109"/>
    <cellStyle name="Normal 724 3 3 3" xfId="54110"/>
    <cellStyle name="Normal 724 3 4" xfId="54111"/>
    <cellStyle name="Normal 724 3 5" xfId="54112"/>
    <cellStyle name="Normal 724 4" xfId="23984"/>
    <cellStyle name="Normal 724 4 2" xfId="54113"/>
    <cellStyle name="Normal 724 4 3" xfId="54114"/>
    <cellStyle name="Normal 724 5" xfId="23985"/>
    <cellStyle name="Normal 724 5 2" xfId="54115"/>
    <cellStyle name="Normal 724 5 3" xfId="54116"/>
    <cellStyle name="Normal 724 6" xfId="54117"/>
    <cellStyle name="Normal 724 7" xfId="54118"/>
    <cellStyle name="Normal 724 8" xfId="54119"/>
    <cellStyle name="Normal 724 9" xfId="54120"/>
    <cellStyle name="Normal 725" xfId="23986"/>
    <cellStyle name="Normal 725 10" xfId="54121"/>
    <cellStyle name="Normal 725 2" xfId="23987"/>
    <cellStyle name="Normal 725 2 2" xfId="23988"/>
    <cellStyle name="Normal 725 2 2 2" xfId="54122"/>
    <cellStyle name="Normal 725 2 2 3" xfId="54123"/>
    <cellStyle name="Normal 725 2 3" xfId="23989"/>
    <cellStyle name="Normal 725 2 3 2" xfId="54124"/>
    <cellStyle name="Normal 725 2 3 3" xfId="54125"/>
    <cellStyle name="Normal 725 2 4" xfId="54126"/>
    <cellStyle name="Normal 725 2 5" xfId="54127"/>
    <cellStyle name="Normal 725 2 6" xfId="54128"/>
    <cellStyle name="Normal 725 2 7" xfId="54129"/>
    <cellStyle name="Normal 725 2 8" xfId="54130"/>
    <cellStyle name="Normal 725 3" xfId="23990"/>
    <cellStyle name="Normal 725 3 2" xfId="54131"/>
    <cellStyle name="Normal 725 3 2 2" xfId="54132"/>
    <cellStyle name="Normal 725 3 2 3" xfId="54133"/>
    <cellStyle name="Normal 725 3 3" xfId="54134"/>
    <cellStyle name="Normal 725 3 3 2" xfId="54135"/>
    <cellStyle name="Normal 725 3 3 3" xfId="54136"/>
    <cellStyle name="Normal 725 3 4" xfId="54137"/>
    <cellStyle name="Normal 725 3 5" xfId="54138"/>
    <cellStyle name="Normal 725 4" xfId="23991"/>
    <cellStyle name="Normal 725 4 2" xfId="54139"/>
    <cellStyle name="Normal 725 4 3" xfId="54140"/>
    <cellStyle name="Normal 725 5" xfId="23992"/>
    <cellStyle name="Normal 725 5 2" xfId="54141"/>
    <cellStyle name="Normal 725 5 3" xfId="54142"/>
    <cellStyle name="Normal 725 6" xfId="54143"/>
    <cellStyle name="Normal 725 7" xfId="54144"/>
    <cellStyle name="Normal 725 8" xfId="54145"/>
    <cellStyle name="Normal 725 9" xfId="54146"/>
    <cellStyle name="Normal 726" xfId="23993"/>
    <cellStyle name="Normal 726 10" xfId="54147"/>
    <cellStyle name="Normal 726 2" xfId="23994"/>
    <cellStyle name="Normal 726 2 2" xfId="23995"/>
    <cellStyle name="Normal 726 2 2 2" xfId="54148"/>
    <cellStyle name="Normal 726 2 2 3" xfId="54149"/>
    <cellStyle name="Normal 726 2 3" xfId="23996"/>
    <cellStyle name="Normal 726 2 3 2" xfId="54150"/>
    <cellStyle name="Normal 726 2 3 3" xfId="54151"/>
    <cellStyle name="Normal 726 2 4" xfId="54152"/>
    <cellStyle name="Normal 726 2 5" xfId="54153"/>
    <cellStyle name="Normal 726 2 6" xfId="54154"/>
    <cellStyle name="Normal 726 2 7" xfId="54155"/>
    <cellStyle name="Normal 726 2 8" xfId="54156"/>
    <cellStyle name="Normal 726 3" xfId="23997"/>
    <cellStyle name="Normal 726 3 2" xfId="54157"/>
    <cellStyle name="Normal 726 3 2 2" xfId="54158"/>
    <cellStyle name="Normal 726 3 2 3" xfId="54159"/>
    <cellStyle name="Normal 726 3 3" xfId="54160"/>
    <cellStyle name="Normal 726 3 3 2" xfId="54161"/>
    <cellStyle name="Normal 726 3 3 3" xfId="54162"/>
    <cellStyle name="Normal 726 3 4" xfId="54163"/>
    <cellStyle name="Normal 726 3 5" xfId="54164"/>
    <cellStyle name="Normal 726 4" xfId="23998"/>
    <cellStyle name="Normal 726 4 2" xfId="54165"/>
    <cellStyle name="Normal 726 4 3" xfId="54166"/>
    <cellStyle name="Normal 726 5" xfId="23999"/>
    <cellStyle name="Normal 726 5 2" xfId="54167"/>
    <cellStyle name="Normal 726 5 3" xfId="54168"/>
    <cellStyle name="Normal 726 6" xfId="54169"/>
    <cellStyle name="Normal 726 7" xfId="54170"/>
    <cellStyle name="Normal 726 8" xfId="54171"/>
    <cellStyle name="Normal 726 9" xfId="54172"/>
    <cellStyle name="Normal 727" xfId="24000"/>
    <cellStyle name="Normal 727 10" xfId="54173"/>
    <cellStyle name="Normal 727 2" xfId="24001"/>
    <cellStyle name="Normal 727 2 2" xfId="24002"/>
    <cellStyle name="Normal 727 2 2 2" xfId="54174"/>
    <cellStyle name="Normal 727 2 2 3" xfId="54175"/>
    <cellStyle name="Normal 727 2 3" xfId="24003"/>
    <cellStyle name="Normal 727 2 3 2" xfId="54176"/>
    <cellStyle name="Normal 727 2 3 3" xfId="54177"/>
    <cellStyle name="Normal 727 2 4" xfId="54178"/>
    <cellStyle name="Normal 727 2 5" xfId="54179"/>
    <cellStyle name="Normal 727 2 6" xfId="54180"/>
    <cellStyle name="Normal 727 2 7" xfId="54181"/>
    <cellStyle name="Normal 727 2 8" xfId="54182"/>
    <cellStyle name="Normal 727 3" xfId="24004"/>
    <cellStyle name="Normal 727 3 2" xfId="54183"/>
    <cellStyle name="Normal 727 3 2 2" xfId="54184"/>
    <cellStyle name="Normal 727 3 2 3" xfId="54185"/>
    <cellStyle name="Normal 727 3 3" xfId="54186"/>
    <cellStyle name="Normal 727 3 3 2" xfId="54187"/>
    <cellStyle name="Normal 727 3 3 3" xfId="54188"/>
    <cellStyle name="Normal 727 3 4" xfId="54189"/>
    <cellStyle name="Normal 727 3 5" xfId="54190"/>
    <cellStyle name="Normal 727 4" xfId="24005"/>
    <cellStyle name="Normal 727 4 2" xfId="54191"/>
    <cellStyle name="Normal 727 4 3" xfId="54192"/>
    <cellStyle name="Normal 727 5" xfId="24006"/>
    <cellStyle name="Normal 727 5 2" xfId="54193"/>
    <cellStyle name="Normal 727 5 3" xfId="54194"/>
    <cellStyle name="Normal 727 6" xfId="54195"/>
    <cellStyle name="Normal 727 7" xfId="54196"/>
    <cellStyle name="Normal 727 8" xfId="54197"/>
    <cellStyle name="Normal 727 9" xfId="54198"/>
    <cellStyle name="Normal 728" xfId="24007"/>
    <cellStyle name="Normal 728 10" xfId="54199"/>
    <cellStyle name="Normal 728 2" xfId="24008"/>
    <cellStyle name="Normal 728 2 2" xfId="24009"/>
    <cellStyle name="Normal 728 2 2 2" xfId="54200"/>
    <cellStyle name="Normal 728 2 2 3" xfId="54201"/>
    <cellStyle name="Normal 728 2 3" xfId="24010"/>
    <cellStyle name="Normal 728 2 3 2" xfId="54202"/>
    <cellStyle name="Normal 728 2 3 3" xfId="54203"/>
    <cellStyle name="Normal 728 2 4" xfId="54204"/>
    <cellStyle name="Normal 728 2 5" xfId="54205"/>
    <cellStyle name="Normal 728 2 6" xfId="54206"/>
    <cellStyle name="Normal 728 2 7" xfId="54207"/>
    <cellStyle name="Normal 728 2 8" xfId="54208"/>
    <cellStyle name="Normal 728 3" xfId="24011"/>
    <cellStyle name="Normal 728 3 2" xfId="54209"/>
    <cellStyle name="Normal 728 3 2 2" xfId="54210"/>
    <cellStyle name="Normal 728 3 2 3" xfId="54211"/>
    <cellStyle name="Normal 728 3 3" xfId="54212"/>
    <cellStyle name="Normal 728 3 3 2" xfId="54213"/>
    <cellStyle name="Normal 728 3 3 3" xfId="54214"/>
    <cellStyle name="Normal 728 3 4" xfId="54215"/>
    <cellStyle name="Normal 728 3 5" xfId="54216"/>
    <cellStyle name="Normal 728 4" xfId="24012"/>
    <cellStyle name="Normal 728 4 2" xfId="54217"/>
    <cellStyle name="Normal 728 4 3" xfId="54218"/>
    <cellStyle name="Normal 728 5" xfId="24013"/>
    <cellStyle name="Normal 728 5 2" xfId="54219"/>
    <cellStyle name="Normal 728 5 3" xfId="54220"/>
    <cellStyle name="Normal 728 6" xfId="54221"/>
    <cellStyle name="Normal 728 7" xfId="54222"/>
    <cellStyle name="Normal 728 8" xfId="54223"/>
    <cellStyle name="Normal 728 9" xfId="54224"/>
    <cellStyle name="Normal 729" xfId="24014"/>
    <cellStyle name="Normal 729 10" xfId="54225"/>
    <cellStyle name="Normal 729 2" xfId="24015"/>
    <cellStyle name="Normal 729 2 2" xfId="24016"/>
    <cellStyle name="Normal 729 2 2 2" xfId="54226"/>
    <cellStyle name="Normal 729 2 2 3" xfId="54227"/>
    <cellStyle name="Normal 729 2 3" xfId="24017"/>
    <cellStyle name="Normal 729 2 3 2" xfId="54228"/>
    <cellStyle name="Normal 729 2 3 3" xfId="54229"/>
    <cellStyle name="Normal 729 2 4" xfId="54230"/>
    <cellStyle name="Normal 729 2 5" xfId="54231"/>
    <cellStyle name="Normal 729 2 6" xfId="54232"/>
    <cellStyle name="Normal 729 2 7" xfId="54233"/>
    <cellStyle name="Normal 729 2 8" xfId="54234"/>
    <cellStyle name="Normal 729 3" xfId="24018"/>
    <cellStyle name="Normal 729 3 2" xfId="54235"/>
    <cellStyle name="Normal 729 3 2 2" xfId="54236"/>
    <cellStyle name="Normal 729 3 2 3" xfId="54237"/>
    <cellStyle name="Normal 729 3 3" xfId="54238"/>
    <cellStyle name="Normal 729 3 3 2" xfId="54239"/>
    <cellStyle name="Normal 729 3 3 3" xfId="54240"/>
    <cellStyle name="Normal 729 3 4" xfId="54241"/>
    <cellStyle name="Normal 729 3 5" xfId="54242"/>
    <cellStyle name="Normal 729 4" xfId="24019"/>
    <cellStyle name="Normal 729 4 2" xfId="54243"/>
    <cellStyle name="Normal 729 4 3" xfId="54244"/>
    <cellStyle name="Normal 729 5" xfId="24020"/>
    <cellStyle name="Normal 729 5 2" xfId="54245"/>
    <cellStyle name="Normal 729 5 3" xfId="54246"/>
    <cellStyle name="Normal 729 6" xfId="54247"/>
    <cellStyle name="Normal 729 7" xfId="54248"/>
    <cellStyle name="Normal 729 8" xfId="54249"/>
    <cellStyle name="Normal 729 9" xfId="54250"/>
    <cellStyle name="Normal 73" xfId="24021"/>
    <cellStyle name="Normal 73 10" xfId="54251"/>
    <cellStyle name="Normal 73 2" xfId="24022"/>
    <cellStyle name="Normal 73 2 2" xfId="24023"/>
    <cellStyle name="Normal 73 2 2 2" xfId="24024"/>
    <cellStyle name="Normal 73 2 2 3" xfId="24025"/>
    <cellStyle name="Normal 73 2 3" xfId="24026"/>
    <cellStyle name="Normal 73 2 3 2" xfId="54252"/>
    <cellStyle name="Normal 73 2 3 3" xfId="54253"/>
    <cellStyle name="Normal 73 2 4" xfId="24027"/>
    <cellStyle name="Normal 73 2 5" xfId="24028"/>
    <cellStyle name="Normal 73 2 6" xfId="54254"/>
    <cellStyle name="Normal 73 2 7" xfId="54255"/>
    <cellStyle name="Normal 73 2 8" xfId="54256"/>
    <cellStyle name="Normal 73 3" xfId="24029"/>
    <cellStyle name="Normal 73 3 2" xfId="24030"/>
    <cellStyle name="Normal 73 3 2 2" xfId="54257"/>
    <cellStyle name="Normal 73 3 2 3" xfId="54258"/>
    <cellStyle name="Normal 73 3 3" xfId="24031"/>
    <cellStyle name="Normal 73 3 3 2" xfId="54259"/>
    <cellStyle name="Normal 73 3 3 3" xfId="54260"/>
    <cellStyle name="Normal 73 3 4" xfId="54261"/>
    <cellStyle name="Normal 73 3 5" xfId="54262"/>
    <cellStyle name="Normal 73 4" xfId="24032"/>
    <cellStyle name="Normal 73 4 2" xfId="54263"/>
    <cellStyle name="Normal 73 4 3" xfId="54264"/>
    <cellStyle name="Normal 73 5" xfId="24033"/>
    <cellStyle name="Normal 73 5 2" xfId="54265"/>
    <cellStyle name="Normal 73 5 3" xfId="54266"/>
    <cellStyle name="Normal 73 6" xfId="24034"/>
    <cellStyle name="Normal 73 7" xfId="54267"/>
    <cellStyle name="Normal 73 8" xfId="54268"/>
    <cellStyle name="Normal 73 9" xfId="54269"/>
    <cellStyle name="Normal 730" xfId="24035"/>
    <cellStyle name="Normal 730 10" xfId="54270"/>
    <cellStyle name="Normal 730 2" xfId="24036"/>
    <cellStyle name="Normal 730 2 2" xfId="24037"/>
    <cellStyle name="Normal 730 2 2 2" xfId="54271"/>
    <cellStyle name="Normal 730 2 2 3" xfId="54272"/>
    <cellStyle name="Normal 730 2 3" xfId="24038"/>
    <cellStyle name="Normal 730 2 3 2" xfId="54273"/>
    <cellStyle name="Normal 730 2 3 3" xfId="54274"/>
    <cellStyle name="Normal 730 2 4" xfId="54275"/>
    <cellStyle name="Normal 730 2 5" xfId="54276"/>
    <cellStyle name="Normal 730 2 6" xfId="54277"/>
    <cellStyle name="Normal 730 2 7" xfId="54278"/>
    <cellStyle name="Normal 730 2 8" xfId="54279"/>
    <cellStyle name="Normal 730 3" xfId="24039"/>
    <cellStyle name="Normal 730 3 2" xfId="54280"/>
    <cellStyle name="Normal 730 3 2 2" xfId="54281"/>
    <cellStyle name="Normal 730 3 2 3" xfId="54282"/>
    <cellStyle name="Normal 730 3 3" xfId="54283"/>
    <cellStyle name="Normal 730 3 3 2" xfId="54284"/>
    <cellStyle name="Normal 730 3 3 3" xfId="54285"/>
    <cellStyle name="Normal 730 3 4" xfId="54286"/>
    <cellStyle name="Normal 730 3 5" xfId="54287"/>
    <cellStyle name="Normal 730 4" xfId="24040"/>
    <cellStyle name="Normal 730 4 2" xfId="54288"/>
    <cellStyle name="Normal 730 4 3" xfId="54289"/>
    <cellStyle name="Normal 730 5" xfId="24041"/>
    <cellStyle name="Normal 730 5 2" xfId="54290"/>
    <cellStyle name="Normal 730 5 3" xfId="54291"/>
    <cellStyle name="Normal 730 6" xfId="54292"/>
    <cellStyle name="Normal 730 7" xfId="54293"/>
    <cellStyle name="Normal 730 8" xfId="54294"/>
    <cellStyle name="Normal 730 9" xfId="54295"/>
    <cellStyle name="Normal 731" xfId="24042"/>
    <cellStyle name="Normal 731 10" xfId="54296"/>
    <cellStyle name="Normal 731 2" xfId="24043"/>
    <cellStyle name="Normal 731 2 2" xfId="24044"/>
    <cellStyle name="Normal 731 2 2 2" xfId="54297"/>
    <cellStyle name="Normal 731 2 2 3" xfId="54298"/>
    <cellStyle name="Normal 731 2 3" xfId="24045"/>
    <cellStyle name="Normal 731 2 3 2" xfId="54299"/>
    <cellStyle name="Normal 731 2 3 3" xfId="54300"/>
    <cellStyle name="Normal 731 2 4" xfId="54301"/>
    <cellStyle name="Normal 731 2 5" xfId="54302"/>
    <cellStyle name="Normal 731 2 6" xfId="54303"/>
    <cellStyle name="Normal 731 2 7" xfId="54304"/>
    <cellStyle name="Normal 731 2 8" xfId="54305"/>
    <cellStyle name="Normal 731 3" xfId="24046"/>
    <cellStyle name="Normal 731 3 2" xfId="54306"/>
    <cellStyle name="Normal 731 3 2 2" xfId="54307"/>
    <cellStyle name="Normal 731 3 2 3" xfId="54308"/>
    <cellStyle name="Normal 731 3 3" xfId="54309"/>
    <cellStyle name="Normal 731 3 3 2" xfId="54310"/>
    <cellStyle name="Normal 731 3 3 3" xfId="54311"/>
    <cellStyle name="Normal 731 3 4" xfId="54312"/>
    <cellStyle name="Normal 731 3 5" xfId="54313"/>
    <cellStyle name="Normal 731 4" xfId="24047"/>
    <cellStyle name="Normal 731 4 2" xfId="54314"/>
    <cellStyle name="Normal 731 4 3" xfId="54315"/>
    <cellStyle name="Normal 731 5" xfId="24048"/>
    <cellStyle name="Normal 731 5 2" xfId="54316"/>
    <cellStyle name="Normal 731 5 3" xfId="54317"/>
    <cellStyle name="Normal 731 6" xfId="54318"/>
    <cellStyle name="Normal 731 7" xfId="54319"/>
    <cellStyle name="Normal 731 8" xfId="54320"/>
    <cellStyle name="Normal 731 9" xfId="54321"/>
    <cellStyle name="Normal 732" xfId="24049"/>
    <cellStyle name="Normal 732 10" xfId="54322"/>
    <cellStyle name="Normal 732 2" xfId="24050"/>
    <cellStyle name="Normal 732 2 2" xfId="24051"/>
    <cellStyle name="Normal 732 2 2 2" xfId="54323"/>
    <cellStyle name="Normal 732 2 2 3" xfId="54324"/>
    <cellStyle name="Normal 732 2 3" xfId="24052"/>
    <cellStyle name="Normal 732 2 3 2" xfId="54325"/>
    <cellStyle name="Normal 732 2 3 3" xfId="54326"/>
    <cellStyle name="Normal 732 2 4" xfId="54327"/>
    <cellStyle name="Normal 732 2 5" xfId="54328"/>
    <cellStyle name="Normal 732 2 6" xfId="54329"/>
    <cellStyle name="Normal 732 2 7" xfId="54330"/>
    <cellStyle name="Normal 732 2 8" xfId="54331"/>
    <cellStyle name="Normal 732 3" xfId="24053"/>
    <cellStyle name="Normal 732 3 2" xfId="54332"/>
    <cellStyle name="Normal 732 3 2 2" xfId="54333"/>
    <cellStyle name="Normal 732 3 2 3" xfId="54334"/>
    <cellStyle name="Normal 732 3 3" xfId="54335"/>
    <cellStyle name="Normal 732 3 3 2" xfId="54336"/>
    <cellStyle name="Normal 732 3 3 3" xfId="54337"/>
    <cellStyle name="Normal 732 3 4" xfId="54338"/>
    <cellStyle name="Normal 732 3 5" xfId="54339"/>
    <cellStyle name="Normal 732 4" xfId="24054"/>
    <cellStyle name="Normal 732 4 2" xfId="54340"/>
    <cellStyle name="Normal 732 4 3" xfId="54341"/>
    <cellStyle name="Normal 732 5" xfId="24055"/>
    <cellStyle name="Normal 732 5 2" xfId="54342"/>
    <cellStyle name="Normal 732 5 3" xfId="54343"/>
    <cellStyle name="Normal 732 6" xfId="54344"/>
    <cellStyle name="Normal 732 7" xfId="54345"/>
    <cellStyle name="Normal 732 8" xfId="54346"/>
    <cellStyle name="Normal 732 9" xfId="54347"/>
    <cellStyle name="Normal 733" xfId="24056"/>
    <cellStyle name="Normal 733 10" xfId="54348"/>
    <cellStyle name="Normal 733 2" xfId="24057"/>
    <cellStyle name="Normal 733 2 2" xfId="24058"/>
    <cellStyle name="Normal 733 2 2 2" xfId="54349"/>
    <cellStyle name="Normal 733 2 2 3" xfId="54350"/>
    <cellStyle name="Normal 733 2 3" xfId="24059"/>
    <cellStyle name="Normal 733 2 3 2" xfId="54351"/>
    <cellStyle name="Normal 733 2 3 3" xfId="54352"/>
    <cellStyle name="Normal 733 2 4" xfId="54353"/>
    <cellStyle name="Normal 733 2 5" xfId="54354"/>
    <cellStyle name="Normal 733 2 6" xfId="54355"/>
    <cellStyle name="Normal 733 2 7" xfId="54356"/>
    <cellStyle name="Normal 733 2 8" xfId="54357"/>
    <cellStyle name="Normal 733 3" xfId="24060"/>
    <cellStyle name="Normal 733 3 2" xfId="54358"/>
    <cellStyle name="Normal 733 3 2 2" xfId="54359"/>
    <cellStyle name="Normal 733 3 2 3" xfId="54360"/>
    <cellStyle name="Normal 733 3 3" xfId="54361"/>
    <cellStyle name="Normal 733 3 3 2" xfId="54362"/>
    <cellStyle name="Normal 733 3 3 3" xfId="54363"/>
    <cellStyle name="Normal 733 3 4" xfId="54364"/>
    <cellStyle name="Normal 733 3 5" xfId="54365"/>
    <cellStyle name="Normal 733 4" xfId="24061"/>
    <cellStyle name="Normal 733 4 2" xfId="54366"/>
    <cellStyle name="Normal 733 4 3" xfId="54367"/>
    <cellStyle name="Normal 733 5" xfId="24062"/>
    <cellStyle name="Normal 733 5 2" xfId="54368"/>
    <cellStyle name="Normal 733 5 3" xfId="54369"/>
    <cellStyle name="Normal 733 6" xfId="54370"/>
    <cellStyle name="Normal 733 7" xfId="54371"/>
    <cellStyle name="Normal 733 8" xfId="54372"/>
    <cellStyle name="Normal 733 9" xfId="54373"/>
    <cellStyle name="Normal 734" xfId="24063"/>
    <cellStyle name="Normal 734 10" xfId="54374"/>
    <cellStyle name="Normal 734 2" xfId="24064"/>
    <cellStyle name="Normal 734 2 2" xfId="24065"/>
    <cellStyle name="Normal 734 2 2 2" xfId="54375"/>
    <cellStyle name="Normal 734 2 2 3" xfId="54376"/>
    <cellStyle name="Normal 734 2 3" xfId="24066"/>
    <cellStyle name="Normal 734 2 3 2" xfId="54377"/>
    <cellStyle name="Normal 734 2 3 3" xfId="54378"/>
    <cellStyle name="Normal 734 2 4" xfId="54379"/>
    <cellStyle name="Normal 734 2 5" xfId="54380"/>
    <cellStyle name="Normal 734 2 6" xfId="54381"/>
    <cellStyle name="Normal 734 2 7" xfId="54382"/>
    <cellStyle name="Normal 734 2 8" xfId="54383"/>
    <cellStyle name="Normal 734 3" xfId="24067"/>
    <cellStyle name="Normal 734 3 2" xfId="54384"/>
    <cellStyle name="Normal 734 3 2 2" xfId="54385"/>
    <cellStyle name="Normal 734 3 2 3" xfId="54386"/>
    <cellStyle name="Normal 734 3 3" xfId="54387"/>
    <cellStyle name="Normal 734 3 3 2" xfId="54388"/>
    <cellStyle name="Normal 734 3 3 3" xfId="54389"/>
    <cellStyle name="Normal 734 3 4" xfId="54390"/>
    <cellStyle name="Normal 734 3 5" xfId="54391"/>
    <cellStyle name="Normal 734 4" xfId="24068"/>
    <cellStyle name="Normal 734 4 2" xfId="54392"/>
    <cellStyle name="Normal 734 4 3" xfId="54393"/>
    <cellStyle name="Normal 734 5" xfId="24069"/>
    <cellStyle name="Normal 734 5 2" xfId="54394"/>
    <cellStyle name="Normal 734 5 3" xfId="54395"/>
    <cellStyle name="Normal 734 6" xfId="54396"/>
    <cellStyle name="Normal 734 7" xfId="54397"/>
    <cellStyle name="Normal 734 8" xfId="54398"/>
    <cellStyle name="Normal 734 9" xfId="54399"/>
    <cellStyle name="Normal 735" xfId="24070"/>
    <cellStyle name="Normal 735 10" xfId="54400"/>
    <cellStyle name="Normal 735 2" xfId="24071"/>
    <cellStyle name="Normal 735 2 2" xfId="24072"/>
    <cellStyle name="Normal 735 2 2 2" xfId="54401"/>
    <cellStyle name="Normal 735 2 2 3" xfId="54402"/>
    <cellStyle name="Normal 735 2 3" xfId="24073"/>
    <cellStyle name="Normal 735 2 3 2" xfId="54403"/>
    <cellStyle name="Normal 735 2 3 3" xfId="54404"/>
    <cellStyle name="Normal 735 2 4" xfId="54405"/>
    <cellStyle name="Normal 735 2 5" xfId="54406"/>
    <cellStyle name="Normal 735 2 6" xfId="54407"/>
    <cellStyle name="Normal 735 2 7" xfId="54408"/>
    <cellStyle name="Normal 735 2 8" xfId="54409"/>
    <cellStyle name="Normal 735 3" xfId="24074"/>
    <cellStyle name="Normal 735 3 2" xfId="54410"/>
    <cellStyle name="Normal 735 3 2 2" xfId="54411"/>
    <cellStyle name="Normal 735 3 2 3" xfId="54412"/>
    <cellStyle name="Normal 735 3 3" xfId="54413"/>
    <cellStyle name="Normal 735 3 3 2" xfId="54414"/>
    <cellStyle name="Normal 735 3 3 3" xfId="54415"/>
    <cellStyle name="Normal 735 3 4" xfId="54416"/>
    <cellStyle name="Normal 735 3 5" xfId="54417"/>
    <cellStyle name="Normal 735 4" xfId="24075"/>
    <cellStyle name="Normal 735 4 2" xfId="54418"/>
    <cellStyle name="Normal 735 4 3" xfId="54419"/>
    <cellStyle name="Normal 735 5" xfId="24076"/>
    <cellStyle name="Normal 735 5 2" xfId="54420"/>
    <cellStyle name="Normal 735 5 3" xfId="54421"/>
    <cellStyle name="Normal 735 6" xfId="54422"/>
    <cellStyle name="Normal 735 7" xfId="54423"/>
    <cellStyle name="Normal 735 8" xfId="54424"/>
    <cellStyle name="Normal 735 9" xfId="54425"/>
    <cellStyle name="Normal 736" xfId="24077"/>
    <cellStyle name="Normal 736 10" xfId="54426"/>
    <cellStyle name="Normal 736 2" xfId="24078"/>
    <cellStyle name="Normal 736 2 2" xfId="24079"/>
    <cellStyle name="Normal 736 2 2 2" xfId="54427"/>
    <cellStyle name="Normal 736 2 2 3" xfId="54428"/>
    <cellStyle name="Normal 736 2 3" xfId="24080"/>
    <cellStyle name="Normal 736 2 3 2" xfId="54429"/>
    <cellStyle name="Normal 736 2 3 3" xfId="54430"/>
    <cellStyle name="Normal 736 2 4" xfId="54431"/>
    <cellStyle name="Normal 736 2 5" xfId="54432"/>
    <cellStyle name="Normal 736 2 6" xfId="54433"/>
    <cellStyle name="Normal 736 2 7" xfId="54434"/>
    <cellStyle name="Normal 736 2 8" xfId="54435"/>
    <cellStyle name="Normal 736 3" xfId="24081"/>
    <cellStyle name="Normal 736 3 2" xfId="54436"/>
    <cellStyle name="Normal 736 3 2 2" xfId="54437"/>
    <cellStyle name="Normal 736 3 2 3" xfId="54438"/>
    <cellStyle name="Normal 736 3 3" xfId="54439"/>
    <cellStyle name="Normal 736 3 3 2" xfId="54440"/>
    <cellStyle name="Normal 736 3 3 3" xfId="54441"/>
    <cellStyle name="Normal 736 3 4" xfId="54442"/>
    <cellStyle name="Normal 736 3 5" xfId="54443"/>
    <cellStyle name="Normal 736 4" xfId="24082"/>
    <cellStyle name="Normal 736 4 2" xfId="54444"/>
    <cellStyle name="Normal 736 4 3" xfId="54445"/>
    <cellStyle name="Normal 736 5" xfId="24083"/>
    <cellStyle name="Normal 736 5 2" xfId="54446"/>
    <cellStyle name="Normal 736 5 3" xfId="54447"/>
    <cellStyle name="Normal 736 6" xfId="54448"/>
    <cellStyle name="Normal 736 7" xfId="54449"/>
    <cellStyle name="Normal 736 8" xfId="54450"/>
    <cellStyle name="Normal 736 9" xfId="54451"/>
    <cellStyle name="Normal 737" xfId="24084"/>
    <cellStyle name="Normal 737 10" xfId="54452"/>
    <cellStyle name="Normal 737 2" xfId="24085"/>
    <cellStyle name="Normal 737 2 2" xfId="24086"/>
    <cellStyle name="Normal 737 2 2 2" xfId="54453"/>
    <cellStyle name="Normal 737 2 2 3" xfId="54454"/>
    <cellStyle name="Normal 737 2 3" xfId="24087"/>
    <cellStyle name="Normal 737 2 3 2" xfId="54455"/>
    <cellStyle name="Normal 737 2 3 3" xfId="54456"/>
    <cellStyle name="Normal 737 2 4" xfId="54457"/>
    <cellStyle name="Normal 737 2 5" xfId="54458"/>
    <cellStyle name="Normal 737 2 6" xfId="54459"/>
    <cellStyle name="Normal 737 2 7" xfId="54460"/>
    <cellStyle name="Normal 737 2 8" xfId="54461"/>
    <cellStyle name="Normal 737 3" xfId="24088"/>
    <cellStyle name="Normal 737 3 2" xfId="54462"/>
    <cellStyle name="Normal 737 3 2 2" xfId="54463"/>
    <cellStyle name="Normal 737 3 2 3" xfId="54464"/>
    <cellStyle name="Normal 737 3 3" xfId="54465"/>
    <cellStyle name="Normal 737 3 3 2" xfId="54466"/>
    <cellStyle name="Normal 737 3 3 3" xfId="54467"/>
    <cellStyle name="Normal 737 3 4" xfId="54468"/>
    <cellStyle name="Normal 737 3 5" xfId="54469"/>
    <cellStyle name="Normal 737 4" xfId="24089"/>
    <cellStyle name="Normal 737 4 2" xfId="54470"/>
    <cellStyle name="Normal 737 4 3" xfId="54471"/>
    <cellStyle name="Normal 737 5" xfId="24090"/>
    <cellStyle name="Normal 737 5 2" xfId="54472"/>
    <cellStyle name="Normal 737 5 3" xfId="54473"/>
    <cellStyle name="Normal 737 6" xfId="54474"/>
    <cellStyle name="Normal 737 7" xfId="54475"/>
    <cellStyle name="Normal 737 8" xfId="54476"/>
    <cellStyle name="Normal 737 9" xfId="54477"/>
    <cellStyle name="Normal 738" xfId="24091"/>
    <cellStyle name="Normal 738 10" xfId="54478"/>
    <cellStyle name="Normal 738 2" xfId="24092"/>
    <cellStyle name="Normal 738 2 2" xfId="24093"/>
    <cellStyle name="Normal 738 2 2 2" xfId="54479"/>
    <cellStyle name="Normal 738 2 2 3" xfId="54480"/>
    <cellStyle name="Normal 738 2 3" xfId="24094"/>
    <cellStyle name="Normal 738 2 3 2" xfId="54481"/>
    <cellStyle name="Normal 738 2 3 3" xfId="54482"/>
    <cellStyle name="Normal 738 2 4" xfId="54483"/>
    <cellStyle name="Normal 738 2 5" xfId="54484"/>
    <cellStyle name="Normal 738 2 6" xfId="54485"/>
    <cellStyle name="Normal 738 2 7" xfId="54486"/>
    <cellStyle name="Normal 738 2 8" xfId="54487"/>
    <cellStyle name="Normal 738 3" xfId="24095"/>
    <cellStyle name="Normal 738 3 2" xfId="54488"/>
    <cellStyle name="Normal 738 3 2 2" xfId="54489"/>
    <cellStyle name="Normal 738 3 2 3" xfId="54490"/>
    <cellStyle name="Normal 738 3 3" xfId="54491"/>
    <cellStyle name="Normal 738 3 3 2" xfId="54492"/>
    <cellStyle name="Normal 738 3 3 3" xfId="54493"/>
    <cellStyle name="Normal 738 3 4" xfId="54494"/>
    <cellStyle name="Normal 738 3 5" xfId="54495"/>
    <cellStyle name="Normal 738 4" xfId="24096"/>
    <cellStyle name="Normal 738 4 2" xfId="54496"/>
    <cellStyle name="Normal 738 4 3" xfId="54497"/>
    <cellStyle name="Normal 738 5" xfId="24097"/>
    <cellStyle name="Normal 738 5 2" xfId="54498"/>
    <cellStyle name="Normal 738 5 3" xfId="54499"/>
    <cellStyle name="Normal 738 6" xfId="54500"/>
    <cellStyle name="Normal 738 7" xfId="54501"/>
    <cellStyle name="Normal 738 8" xfId="54502"/>
    <cellStyle name="Normal 738 9" xfId="54503"/>
    <cellStyle name="Normal 739" xfId="24098"/>
    <cellStyle name="Normal 739 10" xfId="54504"/>
    <cellStyle name="Normal 739 2" xfId="24099"/>
    <cellStyle name="Normal 739 2 2" xfId="24100"/>
    <cellStyle name="Normal 739 2 2 2" xfId="54505"/>
    <cellStyle name="Normal 739 2 2 3" xfId="54506"/>
    <cellStyle name="Normal 739 2 3" xfId="24101"/>
    <cellStyle name="Normal 739 2 3 2" xfId="54507"/>
    <cellStyle name="Normal 739 2 3 3" xfId="54508"/>
    <cellStyle name="Normal 739 2 4" xfId="54509"/>
    <cellStyle name="Normal 739 2 5" xfId="54510"/>
    <cellStyle name="Normal 739 2 6" xfId="54511"/>
    <cellStyle name="Normal 739 2 7" xfId="54512"/>
    <cellStyle name="Normal 739 2 8" xfId="54513"/>
    <cellStyle name="Normal 739 3" xfId="24102"/>
    <cellStyle name="Normal 739 3 2" xfId="54514"/>
    <cellStyle name="Normal 739 3 2 2" xfId="54515"/>
    <cellStyle name="Normal 739 3 2 3" xfId="54516"/>
    <cellStyle name="Normal 739 3 3" xfId="54517"/>
    <cellStyle name="Normal 739 3 3 2" xfId="54518"/>
    <cellStyle name="Normal 739 3 3 3" xfId="54519"/>
    <cellStyle name="Normal 739 3 4" xfId="54520"/>
    <cellStyle name="Normal 739 3 5" xfId="54521"/>
    <cellStyle name="Normal 739 4" xfId="24103"/>
    <cellStyle name="Normal 739 4 2" xfId="54522"/>
    <cellStyle name="Normal 739 4 3" xfId="54523"/>
    <cellStyle name="Normal 739 5" xfId="24104"/>
    <cellStyle name="Normal 739 5 2" xfId="54524"/>
    <cellStyle name="Normal 739 5 3" xfId="54525"/>
    <cellStyle name="Normal 739 6" xfId="54526"/>
    <cellStyle name="Normal 739 7" xfId="54527"/>
    <cellStyle name="Normal 739 8" xfId="54528"/>
    <cellStyle name="Normal 739 9" xfId="54529"/>
    <cellStyle name="Normal 74" xfId="24105"/>
    <cellStyle name="Normal 74 10" xfId="54530"/>
    <cellStyle name="Normal 74 2" xfId="24106"/>
    <cellStyle name="Normal 74 2 2" xfId="24107"/>
    <cellStyle name="Normal 74 2 2 2" xfId="24108"/>
    <cellStyle name="Normal 74 2 2 3" xfId="24109"/>
    <cellStyle name="Normal 74 2 3" xfId="24110"/>
    <cellStyle name="Normal 74 2 3 2" xfId="54531"/>
    <cellStyle name="Normal 74 2 3 3" xfId="54532"/>
    <cellStyle name="Normal 74 2 4" xfId="24111"/>
    <cellStyle name="Normal 74 2 5" xfId="24112"/>
    <cellStyle name="Normal 74 2 6" xfId="54533"/>
    <cellStyle name="Normal 74 2 7" xfId="54534"/>
    <cellStyle name="Normal 74 2 8" xfId="54535"/>
    <cellStyle name="Normal 74 3" xfId="24113"/>
    <cellStyle name="Normal 74 3 2" xfId="24114"/>
    <cellStyle name="Normal 74 3 2 2" xfId="54536"/>
    <cellStyle name="Normal 74 3 2 3" xfId="54537"/>
    <cellStyle name="Normal 74 3 3" xfId="24115"/>
    <cellStyle name="Normal 74 3 3 2" xfId="54538"/>
    <cellStyle name="Normal 74 3 3 3" xfId="54539"/>
    <cellStyle name="Normal 74 3 4" xfId="54540"/>
    <cellStyle name="Normal 74 3 5" xfId="54541"/>
    <cellStyle name="Normal 74 4" xfId="24116"/>
    <cellStyle name="Normal 74 4 2" xfId="54542"/>
    <cellStyle name="Normal 74 4 3" xfId="54543"/>
    <cellStyle name="Normal 74 5" xfId="24117"/>
    <cellStyle name="Normal 74 5 2" xfId="54544"/>
    <cellStyle name="Normal 74 5 3" xfId="54545"/>
    <cellStyle name="Normal 74 6" xfId="24118"/>
    <cellStyle name="Normal 74 7" xfId="54546"/>
    <cellStyle name="Normal 74 8" xfId="54547"/>
    <cellStyle name="Normal 74 9" xfId="54548"/>
    <cellStyle name="Normal 740" xfId="24119"/>
    <cellStyle name="Normal 740 10" xfId="54549"/>
    <cellStyle name="Normal 740 2" xfId="24120"/>
    <cellStyle name="Normal 740 2 2" xfId="24121"/>
    <cellStyle name="Normal 740 2 2 2" xfId="54550"/>
    <cellStyle name="Normal 740 2 2 3" xfId="54551"/>
    <cellStyle name="Normal 740 2 3" xfId="24122"/>
    <cellStyle name="Normal 740 2 3 2" xfId="54552"/>
    <cellStyle name="Normal 740 2 3 3" xfId="54553"/>
    <cellStyle name="Normal 740 2 4" xfId="54554"/>
    <cellStyle name="Normal 740 2 5" xfId="54555"/>
    <cellStyle name="Normal 740 2 6" xfId="54556"/>
    <cellStyle name="Normal 740 2 7" xfId="54557"/>
    <cellStyle name="Normal 740 2 8" xfId="54558"/>
    <cellStyle name="Normal 740 3" xfId="24123"/>
    <cellStyle name="Normal 740 3 2" xfId="54559"/>
    <cellStyle name="Normal 740 3 2 2" xfId="54560"/>
    <cellStyle name="Normal 740 3 2 3" xfId="54561"/>
    <cellStyle name="Normal 740 3 3" xfId="54562"/>
    <cellStyle name="Normal 740 3 3 2" xfId="54563"/>
    <cellStyle name="Normal 740 3 3 3" xfId="54564"/>
    <cellStyle name="Normal 740 3 4" xfId="54565"/>
    <cellStyle name="Normal 740 3 5" xfId="54566"/>
    <cellStyle name="Normal 740 4" xfId="24124"/>
    <cellStyle name="Normal 740 4 2" xfId="54567"/>
    <cellStyle name="Normal 740 4 3" xfId="54568"/>
    <cellStyle name="Normal 740 5" xfId="24125"/>
    <cellStyle name="Normal 740 5 2" xfId="54569"/>
    <cellStyle name="Normal 740 5 3" xfId="54570"/>
    <cellStyle name="Normal 740 6" xfId="54571"/>
    <cellStyle name="Normal 740 7" xfId="54572"/>
    <cellStyle name="Normal 740 8" xfId="54573"/>
    <cellStyle name="Normal 740 9" xfId="54574"/>
    <cellStyle name="Normal 741" xfId="24126"/>
    <cellStyle name="Normal 741 10" xfId="54575"/>
    <cellStyle name="Normal 741 2" xfId="24127"/>
    <cellStyle name="Normal 741 2 2" xfId="24128"/>
    <cellStyle name="Normal 741 2 2 2" xfId="54576"/>
    <cellStyle name="Normal 741 2 2 3" xfId="54577"/>
    <cellStyle name="Normal 741 2 3" xfId="24129"/>
    <cellStyle name="Normal 741 2 3 2" xfId="54578"/>
    <cellStyle name="Normal 741 2 3 3" xfId="54579"/>
    <cellStyle name="Normal 741 2 4" xfId="54580"/>
    <cellStyle name="Normal 741 2 5" xfId="54581"/>
    <cellStyle name="Normal 741 2 6" xfId="54582"/>
    <cellStyle name="Normal 741 2 7" xfId="54583"/>
    <cellStyle name="Normal 741 2 8" xfId="54584"/>
    <cellStyle name="Normal 741 3" xfId="24130"/>
    <cellStyle name="Normal 741 3 2" xfId="54585"/>
    <cellStyle name="Normal 741 3 2 2" xfId="54586"/>
    <cellStyle name="Normal 741 3 2 3" xfId="54587"/>
    <cellStyle name="Normal 741 3 3" xfId="54588"/>
    <cellStyle name="Normal 741 3 3 2" xfId="54589"/>
    <cellStyle name="Normal 741 3 3 3" xfId="54590"/>
    <cellStyle name="Normal 741 3 4" xfId="54591"/>
    <cellStyle name="Normal 741 3 5" xfId="54592"/>
    <cellStyle name="Normal 741 4" xfId="24131"/>
    <cellStyle name="Normal 741 4 2" xfId="54593"/>
    <cellStyle name="Normal 741 4 3" xfId="54594"/>
    <cellStyle name="Normal 741 5" xfId="24132"/>
    <cellStyle name="Normal 741 5 2" xfId="54595"/>
    <cellStyle name="Normal 741 5 3" xfId="54596"/>
    <cellStyle name="Normal 741 6" xfId="54597"/>
    <cellStyle name="Normal 741 7" xfId="54598"/>
    <cellStyle name="Normal 741 8" xfId="54599"/>
    <cellStyle name="Normal 741 9" xfId="54600"/>
    <cellStyle name="Normal 742" xfId="24133"/>
    <cellStyle name="Normal 742 10" xfId="54601"/>
    <cellStyle name="Normal 742 2" xfId="24134"/>
    <cellStyle name="Normal 742 2 2" xfId="24135"/>
    <cellStyle name="Normal 742 2 2 2" xfId="54602"/>
    <cellStyle name="Normal 742 2 2 3" xfId="54603"/>
    <cellStyle name="Normal 742 2 3" xfId="24136"/>
    <cellStyle name="Normal 742 2 3 2" xfId="54604"/>
    <cellStyle name="Normal 742 2 3 3" xfId="54605"/>
    <cellStyle name="Normal 742 2 4" xfId="54606"/>
    <cellStyle name="Normal 742 2 5" xfId="54607"/>
    <cellStyle name="Normal 742 2 6" xfId="54608"/>
    <cellStyle name="Normal 742 2 7" xfId="54609"/>
    <cellStyle name="Normal 742 2 8" xfId="54610"/>
    <cellStyle name="Normal 742 3" xfId="24137"/>
    <cellStyle name="Normal 742 3 2" xfId="54611"/>
    <cellStyle name="Normal 742 3 2 2" xfId="54612"/>
    <cellStyle name="Normal 742 3 2 3" xfId="54613"/>
    <cellStyle name="Normal 742 3 3" xfId="54614"/>
    <cellStyle name="Normal 742 3 3 2" xfId="54615"/>
    <cellStyle name="Normal 742 3 3 3" xfId="54616"/>
    <cellStyle name="Normal 742 3 4" xfId="54617"/>
    <cellStyle name="Normal 742 3 5" xfId="54618"/>
    <cellStyle name="Normal 742 4" xfId="24138"/>
    <cellStyle name="Normal 742 4 2" xfId="54619"/>
    <cellStyle name="Normal 742 4 3" xfId="54620"/>
    <cellStyle name="Normal 742 5" xfId="24139"/>
    <cellStyle name="Normal 742 5 2" xfId="54621"/>
    <cellStyle name="Normal 742 5 3" xfId="54622"/>
    <cellStyle name="Normal 742 6" xfId="54623"/>
    <cellStyle name="Normal 742 7" xfId="54624"/>
    <cellStyle name="Normal 742 8" xfId="54625"/>
    <cellStyle name="Normal 742 9" xfId="54626"/>
    <cellStyle name="Normal 743" xfId="24140"/>
    <cellStyle name="Normal 743 10" xfId="54627"/>
    <cellStyle name="Normal 743 2" xfId="24141"/>
    <cellStyle name="Normal 743 2 2" xfId="24142"/>
    <cellStyle name="Normal 743 2 2 2" xfId="54628"/>
    <cellStyle name="Normal 743 2 2 3" xfId="54629"/>
    <cellStyle name="Normal 743 2 3" xfId="24143"/>
    <cellStyle name="Normal 743 2 3 2" xfId="54630"/>
    <cellStyle name="Normal 743 2 3 3" xfId="54631"/>
    <cellStyle name="Normal 743 2 4" xfId="54632"/>
    <cellStyle name="Normal 743 2 5" xfId="54633"/>
    <cellStyle name="Normal 743 2 6" xfId="54634"/>
    <cellStyle name="Normal 743 2 7" xfId="54635"/>
    <cellStyle name="Normal 743 2 8" xfId="54636"/>
    <cellStyle name="Normal 743 3" xfId="24144"/>
    <cellStyle name="Normal 743 3 2" xfId="54637"/>
    <cellStyle name="Normal 743 3 2 2" xfId="54638"/>
    <cellStyle name="Normal 743 3 2 3" xfId="54639"/>
    <cellStyle name="Normal 743 3 3" xfId="54640"/>
    <cellStyle name="Normal 743 3 3 2" xfId="54641"/>
    <cellStyle name="Normal 743 3 3 3" xfId="54642"/>
    <cellStyle name="Normal 743 3 4" xfId="54643"/>
    <cellStyle name="Normal 743 3 5" xfId="54644"/>
    <cellStyle name="Normal 743 4" xfId="24145"/>
    <cellStyle name="Normal 743 4 2" xfId="54645"/>
    <cellStyle name="Normal 743 4 3" xfId="54646"/>
    <cellStyle name="Normal 743 5" xfId="24146"/>
    <cellStyle name="Normal 743 5 2" xfId="54647"/>
    <cellStyle name="Normal 743 5 3" xfId="54648"/>
    <cellStyle name="Normal 743 6" xfId="54649"/>
    <cellStyle name="Normal 743 7" xfId="54650"/>
    <cellStyle name="Normal 743 8" xfId="54651"/>
    <cellStyle name="Normal 743 9" xfId="54652"/>
    <cellStyle name="Normal 744" xfId="24147"/>
    <cellStyle name="Normal 744 10" xfId="54653"/>
    <cellStyle name="Normal 744 2" xfId="24148"/>
    <cellStyle name="Normal 744 2 2" xfId="24149"/>
    <cellStyle name="Normal 744 2 2 2" xfId="54654"/>
    <cellStyle name="Normal 744 2 2 3" xfId="54655"/>
    <cellStyle name="Normal 744 2 3" xfId="24150"/>
    <cellStyle name="Normal 744 2 3 2" xfId="54656"/>
    <cellStyle name="Normal 744 2 3 3" xfId="54657"/>
    <cellStyle name="Normal 744 2 4" xfId="54658"/>
    <cellStyle name="Normal 744 2 5" xfId="54659"/>
    <cellStyle name="Normal 744 2 6" xfId="54660"/>
    <cellStyle name="Normal 744 2 7" xfId="54661"/>
    <cellStyle name="Normal 744 2 8" xfId="54662"/>
    <cellStyle name="Normal 744 3" xfId="24151"/>
    <cellStyle name="Normal 744 3 2" xfId="54663"/>
    <cellStyle name="Normal 744 3 2 2" xfId="54664"/>
    <cellStyle name="Normal 744 3 2 3" xfId="54665"/>
    <cellStyle name="Normal 744 3 3" xfId="54666"/>
    <cellStyle name="Normal 744 3 3 2" xfId="54667"/>
    <cellStyle name="Normal 744 3 3 3" xfId="54668"/>
    <cellStyle name="Normal 744 3 4" xfId="54669"/>
    <cellStyle name="Normal 744 3 5" xfId="54670"/>
    <cellStyle name="Normal 744 4" xfId="24152"/>
    <cellStyle name="Normal 744 4 2" xfId="54671"/>
    <cellStyle name="Normal 744 4 3" xfId="54672"/>
    <cellStyle name="Normal 744 5" xfId="24153"/>
    <cellStyle name="Normal 744 5 2" xfId="54673"/>
    <cellStyle name="Normal 744 5 3" xfId="54674"/>
    <cellStyle name="Normal 744 6" xfId="54675"/>
    <cellStyle name="Normal 744 7" xfId="54676"/>
    <cellStyle name="Normal 744 8" xfId="54677"/>
    <cellStyle name="Normal 744 9" xfId="54678"/>
    <cellStyle name="Normal 745" xfId="24154"/>
    <cellStyle name="Normal 745 10" xfId="54679"/>
    <cellStyle name="Normal 745 2" xfId="24155"/>
    <cellStyle name="Normal 745 2 2" xfId="24156"/>
    <cellStyle name="Normal 745 2 2 2" xfId="54680"/>
    <cellStyle name="Normal 745 2 2 3" xfId="54681"/>
    <cellStyle name="Normal 745 2 3" xfId="24157"/>
    <cellStyle name="Normal 745 2 3 2" xfId="54682"/>
    <cellStyle name="Normal 745 2 3 3" xfId="54683"/>
    <cellStyle name="Normal 745 2 4" xfId="54684"/>
    <cellStyle name="Normal 745 2 5" xfId="54685"/>
    <cellStyle name="Normal 745 2 6" xfId="54686"/>
    <cellStyle name="Normal 745 2 7" xfId="54687"/>
    <cellStyle name="Normal 745 2 8" xfId="54688"/>
    <cellStyle name="Normal 745 3" xfId="24158"/>
    <cellStyle name="Normal 745 3 2" xfId="54689"/>
    <cellStyle name="Normal 745 3 2 2" xfId="54690"/>
    <cellStyle name="Normal 745 3 2 3" xfId="54691"/>
    <cellStyle name="Normal 745 3 3" xfId="54692"/>
    <cellStyle name="Normal 745 3 3 2" xfId="54693"/>
    <cellStyle name="Normal 745 3 3 3" xfId="54694"/>
    <cellStyle name="Normal 745 3 4" xfId="54695"/>
    <cellStyle name="Normal 745 3 5" xfId="54696"/>
    <cellStyle name="Normal 745 4" xfId="24159"/>
    <cellStyle name="Normal 745 4 2" xfId="54697"/>
    <cellStyle name="Normal 745 4 3" xfId="54698"/>
    <cellStyle name="Normal 745 5" xfId="24160"/>
    <cellStyle name="Normal 745 5 2" xfId="54699"/>
    <cellStyle name="Normal 745 5 3" xfId="54700"/>
    <cellStyle name="Normal 745 6" xfId="54701"/>
    <cellStyle name="Normal 745 7" xfId="54702"/>
    <cellStyle name="Normal 745 8" xfId="54703"/>
    <cellStyle name="Normal 745 9" xfId="54704"/>
    <cellStyle name="Normal 746" xfId="24161"/>
    <cellStyle name="Normal 746 10" xfId="54705"/>
    <cellStyle name="Normal 746 2" xfId="24162"/>
    <cellStyle name="Normal 746 2 2" xfId="24163"/>
    <cellStyle name="Normal 746 2 2 2" xfId="54706"/>
    <cellStyle name="Normal 746 2 2 3" xfId="54707"/>
    <cellStyle name="Normal 746 2 3" xfId="24164"/>
    <cellStyle name="Normal 746 2 3 2" xfId="54708"/>
    <cellStyle name="Normal 746 2 3 3" xfId="54709"/>
    <cellStyle name="Normal 746 2 4" xfId="54710"/>
    <cellStyle name="Normal 746 2 5" xfId="54711"/>
    <cellStyle name="Normal 746 2 6" xfId="54712"/>
    <cellStyle name="Normal 746 2 7" xfId="54713"/>
    <cellStyle name="Normal 746 2 8" xfId="54714"/>
    <cellStyle name="Normal 746 3" xfId="24165"/>
    <cellStyle name="Normal 746 3 2" xfId="54715"/>
    <cellStyle name="Normal 746 3 2 2" xfId="54716"/>
    <cellStyle name="Normal 746 3 2 3" xfId="54717"/>
    <cellStyle name="Normal 746 3 3" xfId="54718"/>
    <cellStyle name="Normal 746 3 3 2" xfId="54719"/>
    <cellStyle name="Normal 746 3 3 3" xfId="54720"/>
    <cellStyle name="Normal 746 3 4" xfId="54721"/>
    <cellStyle name="Normal 746 3 5" xfId="54722"/>
    <cellStyle name="Normal 746 4" xfId="24166"/>
    <cellStyle name="Normal 746 4 2" xfId="54723"/>
    <cellStyle name="Normal 746 4 3" xfId="54724"/>
    <cellStyle name="Normal 746 5" xfId="24167"/>
    <cellStyle name="Normal 746 5 2" xfId="54725"/>
    <cellStyle name="Normal 746 5 3" xfId="54726"/>
    <cellStyle name="Normal 746 6" xfId="54727"/>
    <cellStyle name="Normal 746 7" xfId="54728"/>
    <cellStyle name="Normal 746 8" xfId="54729"/>
    <cellStyle name="Normal 746 9" xfId="54730"/>
    <cellStyle name="Normal 747" xfId="24168"/>
    <cellStyle name="Normal 747 10" xfId="54731"/>
    <cellStyle name="Normal 747 2" xfId="24169"/>
    <cellStyle name="Normal 747 2 2" xfId="24170"/>
    <cellStyle name="Normal 747 2 2 2" xfId="54732"/>
    <cellStyle name="Normal 747 2 2 3" xfId="54733"/>
    <cellStyle name="Normal 747 2 3" xfId="24171"/>
    <cellStyle name="Normal 747 2 3 2" xfId="54734"/>
    <cellStyle name="Normal 747 2 3 3" xfId="54735"/>
    <cellStyle name="Normal 747 2 4" xfId="54736"/>
    <cellStyle name="Normal 747 2 5" xfId="54737"/>
    <cellStyle name="Normal 747 2 6" xfId="54738"/>
    <cellStyle name="Normal 747 2 7" xfId="54739"/>
    <cellStyle name="Normal 747 2 8" xfId="54740"/>
    <cellStyle name="Normal 747 3" xfId="24172"/>
    <cellStyle name="Normal 747 3 2" xfId="54741"/>
    <cellStyle name="Normal 747 3 2 2" xfId="54742"/>
    <cellStyle name="Normal 747 3 2 3" xfId="54743"/>
    <cellStyle name="Normal 747 3 3" xfId="54744"/>
    <cellStyle name="Normal 747 3 3 2" xfId="54745"/>
    <cellStyle name="Normal 747 3 3 3" xfId="54746"/>
    <cellStyle name="Normal 747 3 4" xfId="54747"/>
    <cellStyle name="Normal 747 3 5" xfId="54748"/>
    <cellStyle name="Normal 747 4" xfId="24173"/>
    <cellStyle name="Normal 747 4 2" xfId="54749"/>
    <cellStyle name="Normal 747 4 3" xfId="54750"/>
    <cellStyle name="Normal 747 5" xfId="24174"/>
    <cellStyle name="Normal 747 5 2" xfId="54751"/>
    <cellStyle name="Normal 747 5 3" xfId="54752"/>
    <cellStyle name="Normal 747 6" xfId="54753"/>
    <cellStyle name="Normal 747 7" xfId="54754"/>
    <cellStyle name="Normal 747 8" xfId="54755"/>
    <cellStyle name="Normal 747 9" xfId="54756"/>
    <cellStyle name="Normal 748" xfId="24175"/>
    <cellStyle name="Normal 748 10" xfId="54757"/>
    <cellStyle name="Normal 748 2" xfId="24176"/>
    <cellStyle name="Normal 748 2 2" xfId="24177"/>
    <cellStyle name="Normal 748 2 2 2" xfId="54758"/>
    <cellStyle name="Normal 748 2 2 3" xfId="54759"/>
    <cellStyle name="Normal 748 2 3" xfId="24178"/>
    <cellStyle name="Normal 748 2 3 2" xfId="54760"/>
    <cellStyle name="Normal 748 2 3 3" xfId="54761"/>
    <cellStyle name="Normal 748 2 4" xfId="54762"/>
    <cellStyle name="Normal 748 2 5" xfId="54763"/>
    <cellStyle name="Normal 748 2 6" xfId="54764"/>
    <cellStyle name="Normal 748 2 7" xfId="54765"/>
    <cellStyle name="Normal 748 2 8" xfId="54766"/>
    <cellStyle name="Normal 748 3" xfId="24179"/>
    <cellStyle name="Normal 748 3 2" xfId="54767"/>
    <cellStyle name="Normal 748 3 2 2" xfId="54768"/>
    <cellStyle name="Normal 748 3 2 3" xfId="54769"/>
    <cellStyle name="Normal 748 3 3" xfId="54770"/>
    <cellStyle name="Normal 748 3 3 2" xfId="54771"/>
    <cellStyle name="Normal 748 3 3 3" xfId="54772"/>
    <cellStyle name="Normal 748 3 4" xfId="54773"/>
    <cellStyle name="Normal 748 3 5" xfId="54774"/>
    <cellStyle name="Normal 748 4" xfId="24180"/>
    <cellStyle name="Normal 748 4 2" xfId="54775"/>
    <cellStyle name="Normal 748 4 3" xfId="54776"/>
    <cellStyle name="Normal 748 5" xfId="24181"/>
    <cellStyle name="Normal 748 5 2" xfId="54777"/>
    <cellStyle name="Normal 748 5 3" xfId="54778"/>
    <cellStyle name="Normal 748 6" xfId="54779"/>
    <cellStyle name="Normal 748 7" xfId="54780"/>
    <cellStyle name="Normal 748 8" xfId="54781"/>
    <cellStyle name="Normal 748 9" xfId="54782"/>
    <cellStyle name="Normal 749" xfId="24182"/>
    <cellStyle name="Normal 749 10" xfId="54783"/>
    <cellStyle name="Normal 749 2" xfId="24183"/>
    <cellStyle name="Normal 749 2 2" xfId="24184"/>
    <cellStyle name="Normal 749 2 2 2" xfId="54784"/>
    <cellStyle name="Normal 749 2 2 3" xfId="54785"/>
    <cellStyle name="Normal 749 2 3" xfId="24185"/>
    <cellStyle name="Normal 749 2 3 2" xfId="54786"/>
    <cellStyle name="Normal 749 2 3 3" xfId="54787"/>
    <cellStyle name="Normal 749 2 4" xfId="54788"/>
    <cellStyle name="Normal 749 2 5" xfId="54789"/>
    <cellStyle name="Normal 749 2 6" xfId="54790"/>
    <cellStyle name="Normal 749 2 7" xfId="54791"/>
    <cellStyle name="Normal 749 2 8" xfId="54792"/>
    <cellStyle name="Normal 749 3" xfId="24186"/>
    <cellStyle name="Normal 749 3 2" xfId="54793"/>
    <cellStyle name="Normal 749 3 2 2" xfId="54794"/>
    <cellStyle name="Normal 749 3 2 3" xfId="54795"/>
    <cellStyle name="Normal 749 3 3" xfId="54796"/>
    <cellStyle name="Normal 749 3 3 2" xfId="54797"/>
    <cellStyle name="Normal 749 3 3 3" xfId="54798"/>
    <cellStyle name="Normal 749 3 4" xfId="54799"/>
    <cellStyle name="Normal 749 3 5" xfId="54800"/>
    <cellStyle name="Normal 749 4" xfId="24187"/>
    <cellStyle name="Normal 749 4 2" xfId="54801"/>
    <cellStyle name="Normal 749 4 3" xfId="54802"/>
    <cellStyle name="Normal 749 5" xfId="24188"/>
    <cellStyle name="Normal 749 5 2" xfId="54803"/>
    <cellStyle name="Normal 749 5 3" xfId="54804"/>
    <cellStyle name="Normal 749 6" xfId="54805"/>
    <cellStyle name="Normal 749 7" xfId="54806"/>
    <cellStyle name="Normal 749 8" xfId="54807"/>
    <cellStyle name="Normal 749 9" xfId="54808"/>
    <cellStyle name="Normal 75" xfId="24189"/>
    <cellStyle name="Normal 75 10" xfId="54809"/>
    <cellStyle name="Normal 75 2" xfId="24190"/>
    <cellStyle name="Normal 75 2 2" xfId="24191"/>
    <cellStyle name="Normal 75 2 2 2" xfId="24192"/>
    <cellStyle name="Normal 75 2 2 3" xfId="24193"/>
    <cellStyle name="Normal 75 2 3" xfId="24194"/>
    <cellStyle name="Normal 75 2 3 2" xfId="54810"/>
    <cellStyle name="Normal 75 2 3 3" xfId="54811"/>
    <cellStyle name="Normal 75 2 4" xfId="24195"/>
    <cellStyle name="Normal 75 2 5" xfId="24196"/>
    <cellStyle name="Normal 75 2 6" xfId="54812"/>
    <cellStyle name="Normal 75 2 7" xfId="54813"/>
    <cellStyle name="Normal 75 2 8" xfId="54814"/>
    <cellStyle name="Normal 75 3" xfId="24197"/>
    <cellStyle name="Normal 75 3 2" xfId="24198"/>
    <cellStyle name="Normal 75 3 2 2" xfId="54815"/>
    <cellStyle name="Normal 75 3 2 3" xfId="54816"/>
    <cellStyle name="Normal 75 3 3" xfId="24199"/>
    <cellStyle name="Normal 75 3 3 2" xfId="54817"/>
    <cellStyle name="Normal 75 3 3 3" xfId="54818"/>
    <cellStyle name="Normal 75 3 4" xfId="54819"/>
    <cellStyle name="Normal 75 3 5" xfId="54820"/>
    <cellStyle name="Normal 75 4" xfId="24200"/>
    <cellStyle name="Normal 75 4 2" xfId="54821"/>
    <cellStyle name="Normal 75 4 3" xfId="54822"/>
    <cellStyle name="Normal 75 5" xfId="24201"/>
    <cellStyle name="Normal 75 5 2" xfId="54823"/>
    <cellStyle name="Normal 75 5 3" xfId="54824"/>
    <cellStyle name="Normal 75 6" xfId="24202"/>
    <cellStyle name="Normal 75 7" xfId="54825"/>
    <cellStyle name="Normal 75 8" xfId="54826"/>
    <cellStyle name="Normal 75 9" xfId="54827"/>
    <cellStyle name="Normal 750" xfId="24203"/>
    <cellStyle name="Normal 750 10" xfId="54828"/>
    <cellStyle name="Normal 750 2" xfId="24204"/>
    <cellStyle name="Normal 750 2 2" xfId="24205"/>
    <cellStyle name="Normal 750 2 2 2" xfId="54829"/>
    <cellStyle name="Normal 750 2 2 3" xfId="54830"/>
    <cellStyle name="Normal 750 2 3" xfId="24206"/>
    <cellStyle name="Normal 750 2 3 2" xfId="54831"/>
    <cellStyle name="Normal 750 2 3 3" xfId="54832"/>
    <cellStyle name="Normal 750 2 4" xfId="54833"/>
    <cellStyle name="Normal 750 2 5" xfId="54834"/>
    <cellStyle name="Normal 750 2 6" xfId="54835"/>
    <cellStyle name="Normal 750 2 7" xfId="54836"/>
    <cellStyle name="Normal 750 2 8" xfId="54837"/>
    <cellStyle name="Normal 750 3" xfId="24207"/>
    <cellStyle name="Normal 750 3 2" xfId="54838"/>
    <cellStyle name="Normal 750 3 2 2" xfId="54839"/>
    <cellStyle name="Normal 750 3 2 3" xfId="54840"/>
    <cellStyle name="Normal 750 3 3" xfId="54841"/>
    <cellStyle name="Normal 750 3 3 2" xfId="54842"/>
    <cellStyle name="Normal 750 3 3 3" xfId="54843"/>
    <cellStyle name="Normal 750 3 4" xfId="54844"/>
    <cellStyle name="Normal 750 3 5" xfId="54845"/>
    <cellStyle name="Normal 750 4" xfId="24208"/>
    <cellStyle name="Normal 750 4 2" xfId="54846"/>
    <cellStyle name="Normal 750 4 3" xfId="54847"/>
    <cellStyle name="Normal 750 5" xfId="24209"/>
    <cellStyle name="Normal 750 5 2" xfId="54848"/>
    <cellStyle name="Normal 750 5 3" xfId="54849"/>
    <cellStyle name="Normal 750 6" xfId="54850"/>
    <cellStyle name="Normal 750 7" xfId="54851"/>
    <cellStyle name="Normal 750 8" xfId="54852"/>
    <cellStyle name="Normal 750 9" xfId="54853"/>
    <cellStyle name="Normal 751" xfId="24210"/>
    <cellStyle name="Normal 751 10" xfId="54854"/>
    <cellStyle name="Normal 751 2" xfId="24211"/>
    <cellStyle name="Normal 751 2 2" xfId="24212"/>
    <cellStyle name="Normal 751 2 2 2" xfId="54855"/>
    <cellStyle name="Normal 751 2 2 3" xfId="54856"/>
    <cellStyle name="Normal 751 2 3" xfId="24213"/>
    <cellStyle name="Normal 751 2 3 2" xfId="54857"/>
    <cellStyle name="Normal 751 2 3 3" xfId="54858"/>
    <cellStyle name="Normal 751 2 4" xfId="54859"/>
    <cellStyle name="Normal 751 2 5" xfId="54860"/>
    <cellStyle name="Normal 751 2 6" xfId="54861"/>
    <cellStyle name="Normal 751 2 7" xfId="54862"/>
    <cellStyle name="Normal 751 2 8" xfId="54863"/>
    <cellStyle name="Normal 751 3" xfId="24214"/>
    <cellStyle name="Normal 751 3 2" xfId="54864"/>
    <cellStyle name="Normal 751 3 2 2" xfId="54865"/>
    <cellStyle name="Normal 751 3 2 3" xfId="54866"/>
    <cellStyle name="Normal 751 3 3" xfId="54867"/>
    <cellStyle name="Normal 751 3 3 2" xfId="54868"/>
    <cellStyle name="Normal 751 3 3 3" xfId="54869"/>
    <cellStyle name="Normal 751 3 4" xfId="54870"/>
    <cellStyle name="Normal 751 3 5" xfId="54871"/>
    <cellStyle name="Normal 751 4" xfId="24215"/>
    <cellStyle name="Normal 751 4 2" xfId="54872"/>
    <cellStyle name="Normal 751 4 3" xfId="54873"/>
    <cellStyle name="Normal 751 5" xfId="24216"/>
    <cellStyle name="Normal 751 5 2" xfId="54874"/>
    <cellStyle name="Normal 751 5 3" xfId="54875"/>
    <cellStyle name="Normal 751 6" xfId="54876"/>
    <cellStyle name="Normal 751 7" xfId="54877"/>
    <cellStyle name="Normal 751 8" xfId="54878"/>
    <cellStyle name="Normal 751 9" xfId="54879"/>
    <cellStyle name="Normal 752" xfId="24217"/>
    <cellStyle name="Normal 752 10" xfId="54880"/>
    <cellStyle name="Normal 752 2" xfId="24218"/>
    <cellStyle name="Normal 752 2 2" xfId="24219"/>
    <cellStyle name="Normal 752 2 2 2" xfId="54881"/>
    <cellStyle name="Normal 752 2 2 3" xfId="54882"/>
    <cellStyle name="Normal 752 2 3" xfId="24220"/>
    <cellStyle name="Normal 752 2 3 2" xfId="54883"/>
    <cellStyle name="Normal 752 2 3 3" xfId="54884"/>
    <cellStyle name="Normal 752 2 4" xfId="54885"/>
    <cellStyle name="Normal 752 2 5" xfId="54886"/>
    <cellStyle name="Normal 752 2 6" xfId="54887"/>
    <cellStyle name="Normal 752 2 7" xfId="54888"/>
    <cellStyle name="Normal 752 2 8" xfId="54889"/>
    <cellStyle name="Normal 752 3" xfId="24221"/>
    <cellStyle name="Normal 752 3 2" xfId="54890"/>
    <cellStyle name="Normal 752 3 2 2" xfId="54891"/>
    <cellStyle name="Normal 752 3 2 3" xfId="54892"/>
    <cellStyle name="Normal 752 3 3" xfId="54893"/>
    <cellStyle name="Normal 752 3 3 2" xfId="54894"/>
    <cellStyle name="Normal 752 3 3 3" xfId="54895"/>
    <cellStyle name="Normal 752 3 4" xfId="54896"/>
    <cellStyle name="Normal 752 3 5" xfId="54897"/>
    <cellStyle name="Normal 752 4" xfId="24222"/>
    <cellStyle name="Normal 752 4 2" xfId="54898"/>
    <cellStyle name="Normal 752 4 3" xfId="54899"/>
    <cellStyle name="Normal 752 5" xfId="24223"/>
    <cellStyle name="Normal 752 5 2" xfId="54900"/>
    <cellStyle name="Normal 752 5 3" xfId="54901"/>
    <cellStyle name="Normal 752 6" xfId="54902"/>
    <cellStyle name="Normal 752 7" xfId="54903"/>
    <cellStyle name="Normal 752 8" xfId="54904"/>
    <cellStyle name="Normal 752 9" xfId="54905"/>
    <cellStyle name="Normal 753" xfId="24224"/>
    <cellStyle name="Normal 753 10" xfId="54906"/>
    <cellStyle name="Normal 753 2" xfId="24225"/>
    <cellStyle name="Normal 753 2 2" xfId="24226"/>
    <cellStyle name="Normal 753 2 2 2" xfId="54907"/>
    <cellStyle name="Normal 753 2 2 3" xfId="54908"/>
    <cellStyle name="Normal 753 2 3" xfId="24227"/>
    <cellStyle name="Normal 753 2 3 2" xfId="54909"/>
    <cellStyle name="Normal 753 2 3 3" xfId="54910"/>
    <cellStyle name="Normal 753 2 4" xfId="54911"/>
    <cellStyle name="Normal 753 2 5" xfId="54912"/>
    <cellStyle name="Normal 753 2 6" xfId="54913"/>
    <cellStyle name="Normal 753 2 7" xfId="54914"/>
    <cellStyle name="Normal 753 2 8" xfId="54915"/>
    <cellStyle name="Normal 753 3" xfId="24228"/>
    <cellStyle name="Normal 753 3 2" xfId="54916"/>
    <cellStyle name="Normal 753 3 2 2" xfId="54917"/>
    <cellStyle name="Normal 753 3 2 3" xfId="54918"/>
    <cellStyle name="Normal 753 3 3" xfId="54919"/>
    <cellStyle name="Normal 753 3 3 2" xfId="54920"/>
    <cellStyle name="Normal 753 3 3 3" xfId="54921"/>
    <cellStyle name="Normal 753 3 4" xfId="54922"/>
    <cellStyle name="Normal 753 3 5" xfId="54923"/>
    <cellStyle name="Normal 753 4" xfId="24229"/>
    <cellStyle name="Normal 753 4 2" xfId="54924"/>
    <cellStyle name="Normal 753 4 3" xfId="54925"/>
    <cellStyle name="Normal 753 5" xfId="24230"/>
    <cellStyle name="Normal 753 5 2" xfId="54926"/>
    <cellStyle name="Normal 753 5 3" xfId="54927"/>
    <cellStyle name="Normal 753 6" xfId="54928"/>
    <cellStyle name="Normal 753 7" xfId="54929"/>
    <cellStyle name="Normal 753 8" xfId="54930"/>
    <cellStyle name="Normal 753 9" xfId="54931"/>
    <cellStyle name="Normal 754" xfId="24231"/>
    <cellStyle name="Normal 754 10" xfId="54932"/>
    <cellStyle name="Normal 754 2" xfId="24232"/>
    <cellStyle name="Normal 754 2 2" xfId="24233"/>
    <cellStyle name="Normal 754 2 2 2" xfId="54933"/>
    <cellStyle name="Normal 754 2 2 3" xfId="54934"/>
    <cellStyle name="Normal 754 2 3" xfId="24234"/>
    <cellStyle name="Normal 754 2 3 2" xfId="54935"/>
    <cellStyle name="Normal 754 2 3 3" xfId="54936"/>
    <cellStyle name="Normal 754 2 4" xfId="54937"/>
    <cellStyle name="Normal 754 2 5" xfId="54938"/>
    <cellStyle name="Normal 754 2 6" xfId="54939"/>
    <cellStyle name="Normal 754 2 7" xfId="54940"/>
    <cellStyle name="Normal 754 2 8" xfId="54941"/>
    <cellStyle name="Normal 754 3" xfId="24235"/>
    <cellStyle name="Normal 754 3 2" xfId="54942"/>
    <cellStyle name="Normal 754 3 2 2" xfId="54943"/>
    <cellStyle name="Normal 754 3 2 3" xfId="54944"/>
    <cellStyle name="Normal 754 3 3" xfId="54945"/>
    <cellStyle name="Normal 754 3 3 2" xfId="54946"/>
    <cellStyle name="Normal 754 3 3 3" xfId="54947"/>
    <cellStyle name="Normal 754 3 4" xfId="54948"/>
    <cellStyle name="Normal 754 3 5" xfId="54949"/>
    <cellStyle name="Normal 754 4" xfId="24236"/>
    <cellStyle name="Normal 754 4 2" xfId="54950"/>
    <cellStyle name="Normal 754 4 3" xfId="54951"/>
    <cellStyle name="Normal 754 5" xfId="24237"/>
    <cellStyle name="Normal 754 5 2" xfId="54952"/>
    <cellStyle name="Normal 754 5 3" xfId="54953"/>
    <cellStyle name="Normal 754 6" xfId="54954"/>
    <cellStyle name="Normal 754 7" xfId="54955"/>
    <cellStyle name="Normal 754 8" xfId="54956"/>
    <cellStyle name="Normal 754 9" xfId="54957"/>
    <cellStyle name="Normal 755" xfId="24238"/>
    <cellStyle name="Normal 755 10" xfId="54958"/>
    <cellStyle name="Normal 755 2" xfId="24239"/>
    <cellStyle name="Normal 755 2 2" xfId="24240"/>
    <cellStyle name="Normal 755 2 2 2" xfId="54959"/>
    <cellStyle name="Normal 755 2 2 3" xfId="54960"/>
    <cellStyle name="Normal 755 2 3" xfId="24241"/>
    <cellStyle name="Normal 755 2 3 2" xfId="54961"/>
    <cellStyle name="Normal 755 2 3 3" xfId="54962"/>
    <cellStyle name="Normal 755 2 4" xfId="54963"/>
    <cellStyle name="Normal 755 2 5" xfId="54964"/>
    <cellStyle name="Normal 755 2 6" xfId="54965"/>
    <cellStyle name="Normal 755 2 7" xfId="54966"/>
    <cellStyle name="Normal 755 2 8" xfId="54967"/>
    <cellStyle name="Normal 755 3" xfId="24242"/>
    <cellStyle name="Normal 755 3 2" xfId="54968"/>
    <cellStyle name="Normal 755 3 2 2" xfId="54969"/>
    <cellStyle name="Normal 755 3 2 3" xfId="54970"/>
    <cellStyle name="Normal 755 3 3" xfId="54971"/>
    <cellStyle name="Normal 755 3 3 2" xfId="54972"/>
    <cellStyle name="Normal 755 3 3 3" xfId="54973"/>
    <cellStyle name="Normal 755 3 4" xfId="54974"/>
    <cellStyle name="Normal 755 3 5" xfId="54975"/>
    <cellStyle name="Normal 755 4" xfId="24243"/>
    <cellStyle name="Normal 755 4 2" xfId="54976"/>
    <cellStyle name="Normal 755 4 3" xfId="54977"/>
    <cellStyle name="Normal 755 5" xfId="24244"/>
    <cellStyle name="Normal 755 5 2" xfId="54978"/>
    <cellStyle name="Normal 755 5 3" xfId="54979"/>
    <cellStyle name="Normal 755 6" xfId="54980"/>
    <cellStyle name="Normal 755 7" xfId="54981"/>
    <cellStyle name="Normal 755 8" xfId="54982"/>
    <cellStyle name="Normal 755 9" xfId="54983"/>
    <cellStyle name="Normal 756" xfId="24245"/>
    <cellStyle name="Normal 756 10" xfId="54984"/>
    <cellStyle name="Normal 756 2" xfId="24246"/>
    <cellStyle name="Normal 756 2 2" xfId="24247"/>
    <cellStyle name="Normal 756 2 2 2" xfId="54985"/>
    <cellStyle name="Normal 756 2 2 3" xfId="54986"/>
    <cellStyle name="Normal 756 2 3" xfId="24248"/>
    <cellStyle name="Normal 756 2 3 2" xfId="54987"/>
    <cellStyle name="Normal 756 2 3 3" xfId="54988"/>
    <cellStyle name="Normal 756 2 4" xfId="54989"/>
    <cellStyle name="Normal 756 2 5" xfId="54990"/>
    <cellStyle name="Normal 756 2 6" xfId="54991"/>
    <cellStyle name="Normal 756 2 7" xfId="54992"/>
    <cellStyle name="Normal 756 2 8" xfId="54993"/>
    <cellStyle name="Normal 756 3" xfId="24249"/>
    <cellStyle name="Normal 756 3 2" xfId="54994"/>
    <cellStyle name="Normal 756 3 2 2" xfId="54995"/>
    <cellStyle name="Normal 756 3 2 3" xfId="54996"/>
    <cellStyle name="Normal 756 3 3" xfId="54997"/>
    <cellStyle name="Normal 756 3 3 2" xfId="54998"/>
    <cellStyle name="Normal 756 3 3 3" xfId="54999"/>
    <cellStyle name="Normal 756 3 4" xfId="55000"/>
    <cellStyle name="Normal 756 3 5" xfId="55001"/>
    <cellStyle name="Normal 756 4" xfId="24250"/>
    <cellStyle name="Normal 756 4 2" xfId="55002"/>
    <cellStyle name="Normal 756 4 3" xfId="55003"/>
    <cellStyle name="Normal 756 5" xfId="24251"/>
    <cellStyle name="Normal 756 5 2" xfId="55004"/>
    <cellStyle name="Normal 756 5 3" xfId="55005"/>
    <cellStyle name="Normal 756 6" xfId="55006"/>
    <cellStyle name="Normal 756 7" xfId="55007"/>
    <cellStyle name="Normal 756 8" xfId="55008"/>
    <cellStyle name="Normal 756 9" xfId="55009"/>
    <cellStyle name="Normal 757" xfId="24252"/>
    <cellStyle name="Normal 757 10" xfId="55010"/>
    <cellStyle name="Normal 757 2" xfId="24253"/>
    <cellStyle name="Normal 757 2 2" xfId="24254"/>
    <cellStyle name="Normal 757 2 2 2" xfId="55011"/>
    <cellStyle name="Normal 757 2 2 3" xfId="55012"/>
    <cellStyle name="Normal 757 2 3" xfId="24255"/>
    <cellStyle name="Normal 757 2 3 2" xfId="55013"/>
    <cellStyle name="Normal 757 2 3 3" xfId="55014"/>
    <cellStyle name="Normal 757 2 4" xfId="55015"/>
    <cellStyle name="Normal 757 2 5" xfId="55016"/>
    <cellStyle name="Normal 757 2 6" xfId="55017"/>
    <cellStyle name="Normal 757 2 7" xfId="55018"/>
    <cellStyle name="Normal 757 2 8" xfId="55019"/>
    <cellStyle name="Normal 757 3" xfId="24256"/>
    <cellStyle name="Normal 757 3 2" xfId="55020"/>
    <cellStyle name="Normal 757 3 2 2" xfId="55021"/>
    <cellStyle name="Normal 757 3 2 3" xfId="55022"/>
    <cellStyle name="Normal 757 3 3" xfId="55023"/>
    <cellStyle name="Normal 757 3 3 2" xfId="55024"/>
    <cellStyle name="Normal 757 3 3 3" xfId="55025"/>
    <cellStyle name="Normal 757 3 4" xfId="55026"/>
    <cellStyle name="Normal 757 3 5" xfId="55027"/>
    <cellStyle name="Normal 757 4" xfId="24257"/>
    <cellStyle name="Normal 757 4 2" xfId="55028"/>
    <cellStyle name="Normal 757 4 3" xfId="55029"/>
    <cellStyle name="Normal 757 5" xfId="24258"/>
    <cellStyle name="Normal 757 5 2" xfId="55030"/>
    <cellStyle name="Normal 757 5 3" xfId="55031"/>
    <cellStyle name="Normal 757 6" xfId="55032"/>
    <cellStyle name="Normal 757 7" xfId="55033"/>
    <cellStyle name="Normal 757 8" xfId="55034"/>
    <cellStyle name="Normal 757 9" xfId="55035"/>
    <cellStyle name="Normal 758" xfId="24259"/>
    <cellStyle name="Normal 758 10" xfId="55036"/>
    <cellStyle name="Normal 758 2" xfId="24260"/>
    <cellStyle name="Normal 758 2 2" xfId="24261"/>
    <cellStyle name="Normal 758 2 2 2" xfId="55037"/>
    <cellStyle name="Normal 758 2 2 3" xfId="55038"/>
    <cellStyle name="Normal 758 2 3" xfId="24262"/>
    <cellStyle name="Normal 758 2 3 2" xfId="55039"/>
    <cellStyle name="Normal 758 2 3 3" xfId="55040"/>
    <cellStyle name="Normal 758 2 4" xfId="55041"/>
    <cellStyle name="Normal 758 2 5" xfId="55042"/>
    <cellStyle name="Normal 758 2 6" xfId="55043"/>
    <cellStyle name="Normal 758 2 7" xfId="55044"/>
    <cellStyle name="Normal 758 2 8" xfId="55045"/>
    <cellStyle name="Normal 758 3" xfId="24263"/>
    <cellStyle name="Normal 758 3 2" xfId="55046"/>
    <cellStyle name="Normal 758 3 2 2" xfId="55047"/>
    <cellStyle name="Normal 758 3 2 3" xfId="55048"/>
    <cellStyle name="Normal 758 3 3" xfId="55049"/>
    <cellStyle name="Normal 758 3 3 2" xfId="55050"/>
    <cellStyle name="Normal 758 3 3 3" xfId="55051"/>
    <cellStyle name="Normal 758 3 4" xfId="55052"/>
    <cellStyle name="Normal 758 3 5" xfId="55053"/>
    <cellStyle name="Normal 758 4" xfId="24264"/>
    <cellStyle name="Normal 758 4 2" xfId="55054"/>
    <cellStyle name="Normal 758 4 3" xfId="55055"/>
    <cellStyle name="Normal 758 5" xfId="24265"/>
    <cellStyle name="Normal 758 5 2" xfId="55056"/>
    <cellStyle name="Normal 758 5 3" xfId="55057"/>
    <cellStyle name="Normal 758 6" xfId="55058"/>
    <cellStyle name="Normal 758 7" xfId="55059"/>
    <cellStyle name="Normal 758 8" xfId="55060"/>
    <cellStyle name="Normal 758 9" xfId="55061"/>
    <cellStyle name="Normal 759" xfId="24266"/>
    <cellStyle name="Normal 759 10" xfId="55062"/>
    <cellStyle name="Normal 759 2" xfId="24267"/>
    <cellStyle name="Normal 759 2 2" xfId="24268"/>
    <cellStyle name="Normal 759 2 2 2" xfId="55063"/>
    <cellStyle name="Normal 759 2 2 3" xfId="55064"/>
    <cellStyle name="Normal 759 2 3" xfId="24269"/>
    <cellStyle name="Normal 759 2 3 2" xfId="55065"/>
    <cellStyle name="Normal 759 2 3 3" xfId="55066"/>
    <cellStyle name="Normal 759 2 4" xfId="55067"/>
    <cellStyle name="Normal 759 2 5" xfId="55068"/>
    <cellStyle name="Normal 759 2 6" xfId="55069"/>
    <cellStyle name="Normal 759 2 7" xfId="55070"/>
    <cellStyle name="Normal 759 2 8" xfId="55071"/>
    <cellStyle name="Normal 759 3" xfId="24270"/>
    <cellStyle name="Normal 759 3 2" xfId="55072"/>
    <cellStyle name="Normal 759 3 2 2" xfId="55073"/>
    <cellStyle name="Normal 759 3 2 3" xfId="55074"/>
    <cellStyle name="Normal 759 3 3" xfId="55075"/>
    <cellStyle name="Normal 759 3 3 2" xfId="55076"/>
    <cellStyle name="Normal 759 3 3 3" xfId="55077"/>
    <cellStyle name="Normal 759 3 4" xfId="55078"/>
    <cellStyle name="Normal 759 3 5" xfId="55079"/>
    <cellStyle name="Normal 759 4" xfId="24271"/>
    <cellStyle name="Normal 759 4 2" xfId="55080"/>
    <cellStyle name="Normal 759 4 3" xfId="55081"/>
    <cellStyle name="Normal 759 5" xfId="24272"/>
    <cellStyle name="Normal 759 5 2" xfId="55082"/>
    <cellStyle name="Normal 759 5 3" xfId="55083"/>
    <cellStyle name="Normal 759 6" xfId="55084"/>
    <cellStyle name="Normal 759 7" xfId="55085"/>
    <cellStyle name="Normal 759 8" xfId="55086"/>
    <cellStyle name="Normal 759 9" xfId="55087"/>
    <cellStyle name="Normal 76" xfId="24273"/>
    <cellStyle name="Normal 76 10" xfId="55088"/>
    <cellStyle name="Normal 76 2" xfId="24274"/>
    <cellStyle name="Normal 76 2 2" xfId="24275"/>
    <cellStyle name="Normal 76 2 2 2" xfId="24276"/>
    <cellStyle name="Normal 76 2 2 3" xfId="24277"/>
    <cellStyle name="Normal 76 2 3" xfId="24278"/>
    <cellStyle name="Normal 76 2 3 2" xfId="55089"/>
    <cellStyle name="Normal 76 2 3 3" xfId="55090"/>
    <cellStyle name="Normal 76 2 4" xfId="24279"/>
    <cellStyle name="Normal 76 2 5" xfId="24280"/>
    <cellStyle name="Normal 76 2 6" xfId="55091"/>
    <cellStyle name="Normal 76 2 7" xfId="55092"/>
    <cellStyle name="Normal 76 2 8" xfId="55093"/>
    <cellStyle name="Normal 76 3" xfId="24281"/>
    <cellStyle name="Normal 76 3 2" xfId="24282"/>
    <cellStyle name="Normal 76 3 2 2" xfId="55094"/>
    <cellStyle name="Normal 76 3 2 3" xfId="55095"/>
    <cellStyle name="Normal 76 3 3" xfId="24283"/>
    <cellStyle name="Normal 76 3 3 2" xfId="55096"/>
    <cellStyle name="Normal 76 3 3 3" xfId="55097"/>
    <cellStyle name="Normal 76 3 4" xfId="55098"/>
    <cellStyle name="Normal 76 3 5" xfId="55099"/>
    <cellStyle name="Normal 76 4" xfId="24284"/>
    <cellStyle name="Normal 76 4 2" xfId="55100"/>
    <cellStyle name="Normal 76 4 3" xfId="55101"/>
    <cellStyle name="Normal 76 5" xfId="24285"/>
    <cellStyle name="Normal 76 5 2" xfId="55102"/>
    <cellStyle name="Normal 76 5 3" xfId="55103"/>
    <cellStyle name="Normal 76 6" xfId="24286"/>
    <cellStyle name="Normal 76 7" xfId="55104"/>
    <cellStyle name="Normal 76 8" xfId="55105"/>
    <cellStyle name="Normal 76 9" xfId="55106"/>
    <cellStyle name="Normal 760" xfId="24287"/>
    <cellStyle name="Normal 760 10" xfId="55107"/>
    <cellStyle name="Normal 760 2" xfId="24288"/>
    <cellStyle name="Normal 760 2 2" xfId="24289"/>
    <cellStyle name="Normal 760 2 2 2" xfId="55108"/>
    <cellStyle name="Normal 760 2 2 3" xfId="55109"/>
    <cellStyle name="Normal 760 2 3" xfId="24290"/>
    <cellStyle name="Normal 760 2 3 2" xfId="55110"/>
    <cellStyle name="Normal 760 2 3 3" xfId="55111"/>
    <cellStyle name="Normal 760 2 4" xfId="55112"/>
    <cellStyle name="Normal 760 2 5" xfId="55113"/>
    <cellStyle name="Normal 760 2 6" xfId="55114"/>
    <cellStyle name="Normal 760 2 7" xfId="55115"/>
    <cellStyle name="Normal 760 2 8" xfId="55116"/>
    <cellStyle name="Normal 760 3" xfId="24291"/>
    <cellStyle name="Normal 760 3 2" xfId="55117"/>
    <cellStyle name="Normal 760 3 2 2" xfId="55118"/>
    <cellStyle name="Normal 760 3 2 3" xfId="55119"/>
    <cellStyle name="Normal 760 3 3" xfId="55120"/>
    <cellStyle name="Normal 760 3 3 2" xfId="55121"/>
    <cellStyle name="Normal 760 3 3 3" xfId="55122"/>
    <cellStyle name="Normal 760 3 4" xfId="55123"/>
    <cellStyle name="Normal 760 3 5" xfId="55124"/>
    <cellStyle name="Normal 760 4" xfId="24292"/>
    <cellStyle name="Normal 760 4 2" xfId="55125"/>
    <cellStyle name="Normal 760 4 3" xfId="55126"/>
    <cellStyle name="Normal 760 5" xfId="24293"/>
    <cellStyle name="Normal 760 5 2" xfId="55127"/>
    <cellStyle name="Normal 760 5 3" xfId="55128"/>
    <cellStyle name="Normal 760 6" xfId="55129"/>
    <cellStyle name="Normal 760 7" xfId="55130"/>
    <cellStyle name="Normal 760 8" xfId="55131"/>
    <cellStyle name="Normal 760 9" xfId="55132"/>
    <cellStyle name="Normal 761" xfId="24294"/>
    <cellStyle name="Normal 761 10" xfId="55133"/>
    <cellStyle name="Normal 761 2" xfId="24295"/>
    <cellStyle name="Normal 761 2 2" xfId="24296"/>
    <cellStyle name="Normal 761 2 2 2" xfId="55134"/>
    <cellStyle name="Normal 761 2 2 3" xfId="55135"/>
    <cellStyle name="Normal 761 2 3" xfId="24297"/>
    <cellStyle name="Normal 761 2 3 2" xfId="55136"/>
    <cellStyle name="Normal 761 2 3 3" xfId="55137"/>
    <cellStyle name="Normal 761 2 4" xfId="55138"/>
    <cellStyle name="Normal 761 2 5" xfId="55139"/>
    <cellStyle name="Normal 761 2 6" xfId="55140"/>
    <cellStyle name="Normal 761 2 7" xfId="55141"/>
    <cellStyle name="Normal 761 2 8" xfId="55142"/>
    <cellStyle name="Normal 761 3" xfId="24298"/>
    <cellStyle name="Normal 761 3 2" xfId="55143"/>
    <cellStyle name="Normal 761 3 2 2" xfId="55144"/>
    <cellStyle name="Normal 761 3 2 3" xfId="55145"/>
    <cellStyle name="Normal 761 3 3" xfId="55146"/>
    <cellStyle name="Normal 761 3 3 2" xfId="55147"/>
    <cellStyle name="Normal 761 3 3 3" xfId="55148"/>
    <cellStyle name="Normal 761 3 4" xfId="55149"/>
    <cellStyle name="Normal 761 3 5" xfId="55150"/>
    <cellStyle name="Normal 761 4" xfId="24299"/>
    <cellStyle name="Normal 761 4 2" xfId="55151"/>
    <cellStyle name="Normal 761 4 3" xfId="55152"/>
    <cellStyle name="Normal 761 5" xfId="24300"/>
    <cellStyle name="Normal 761 5 2" xfId="55153"/>
    <cellStyle name="Normal 761 5 3" xfId="55154"/>
    <cellStyle name="Normal 761 6" xfId="55155"/>
    <cellStyle name="Normal 761 7" xfId="55156"/>
    <cellStyle name="Normal 761 8" xfId="55157"/>
    <cellStyle name="Normal 761 9" xfId="55158"/>
    <cellStyle name="Normal 762" xfId="24301"/>
    <cellStyle name="Normal 762 10" xfId="55159"/>
    <cellStyle name="Normal 762 2" xfId="24302"/>
    <cellStyle name="Normal 762 2 2" xfId="24303"/>
    <cellStyle name="Normal 762 2 2 2" xfId="55160"/>
    <cellStyle name="Normal 762 2 2 3" xfId="55161"/>
    <cellStyle name="Normal 762 2 3" xfId="24304"/>
    <cellStyle name="Normal 762 2 3 2" xfId="55162"/>
    <cellStyle name="Normal 762 2 3 3" xfId="55163"/>
    <cellStyle name="Normal 762 2 4" xfId="55164"/>
    <cellStyle name="Normal 762 2 5" xfId="55165"/>
    <cellStyle name="Normal 762 2 6" xfId="55166"/>
    <cellStyle name="Normal 762 2 7" xfId="55167"/>
    <cellStyle name="Normal 762 2 8" xfId="55168"/>
    <cellStyle name="Normal 762 3" xfId="24305"/>
    <cellStyle name="Normal 762 3 2" xfId="55169"/>
    <cellStyle name="Normal 762 3 2 2" xfId="55170"/>
    <cellStyle name="Normal 762 3 2 3" xfId="55171"/>
    <cellStyle name="Normal 762 3 3" xfId="55172"/>
    <cellStyle name="Normal 762 3 3 2" xfId="55173"/>
    <cellStyle name="Normal 762 3 3 3" xfId="55174"/>
    <cellStyle name="Normal 762 3 4" xfId="55175"/>
    <cellStyle name="Normal 762 3 5" xfId="55176"/>
    <cellStyle name="Normal 762 4" xfId="24306"/>
    <cellStyle name="Normal 762 4 2" xfId="55177"/>
    <cellStyle name="Normal 762 4 3" xfId="55178"/>
    <cellStyle name="Normal 762 5" xfId="24307"/>
    <cellStyle name="Normal 762 5 2" xfId="55179"/>
    <cellStyle name="Normal 762 5 3" xfId="55180"/>
    <cellStyle name="Normal 762 6" xfId="55181"/>
    <cellStyle name="Normal 762 7" xfId="55182"/>
    <cellStyle name="Normal 762 8" xfId="55183"/>
    <cellStyle name="Normal 762 9" xfId="55184"/>
    <cellStyle name="Normal 763" xfId="24308"/>
    <cellStyle name="Normal 763 10" xfId="55185"/>
    <cellStyle name="Normal 763 2" xfId="24309"/>
    <cellStyle name="Normal 763 2 2" xfId="24310"/>
    <cellStyle name="Normal 763 2 2 2" xfId="55186"/>
    <cellStyle name="Normal 763 2 2 3" xfId="55187"/>
    <cellStyle name="Normal 763 2 3" xfId="24311"/>
    <cellStyle name="Normal 763 2 3 2" xfId="55188"/>
    <cellStyle name="Normal 763 2 3 3" xfId="55189"/>
    <cellStyle name="Normal 763 2 4" xfId="55190"/>
    <cellStyle name="Normal 763 2 5" xfId="55191"/>
    <cellStyle name="Normal 763 2 6" xfId="55192"/>
    <cellStyle name="Normal 763 2 7" xfId="55193"/>
    <cellStyle name="Normal 763 2 8" xfId="55194"/>
    <cellStyle name="Normal 763 3" xfId="24312"/>
    <cellStyle name="Normal 763 3 2" xfId="55195"/>
    <cellStyle name="Normal 763 3 2 2" xfId="55196"/>
    <cellStyle name="Normal 763 3 2 3" xfId="55197"/>
    <cellStyle name="Normal 763 3 3" xfId="55198"/>
    <cellStyle name="Normal 763 3 3 2" xfId="55199"/>
    <cellStyle name="Normal 763 3 3 3" xfId="55200"/>
    <cellStyle name="Normal 763 3 4" xfId="55201"/>
    <cellStyle name="Normal 763 3 5" xfId="55202"/>
    <cellStyle name="Normal 763 4" xfId="24313"/>
    <cellStyle name="Normal 763 4 2" xfId="55203"/>
    <cellStyle name="Normal 763 4 3" xfId="55204"/>
    <cellStyle name="Normal 763 5" xfId="24314"/>
    <cellStyle name="Normal 763 5 2" xfId="55205"/>
    <cellStyle name="Normal 763 5 3" xfId="55206"/>
    <cellStyle name="Normal 763 6" xfId="55207"/>
    <cellStyle name="Normal 763 7" xfId="55208"/>
    <cellStyle name="Normal 763 8" xfId="55209"/>
    <cellStyle name="Normal 763 9" xfId="55210"/>
    <cellStyle name="Normal 764" xfId="24315"/>
    <cellStyle name="Normal 764 10" xfId="55211"/>
    <cellStyle name="Normal 764 2" xfId="24316"/>
    <cellStyle name="Normal 764 2 2" xfId="24317"/>
    <cellStyle name="Normal 764 2 2 2" xfId="55212"/>
    <cellStyle name="Normal 764 2 2 3" xfId="55213"/>
    <cellStyle name="Normal 764 2 3" xfId="24318"/>
    <cellStyle name="Normal 764 2 3 2" xfId="55214"/>
    <cellStyle name="Normal 764 2 3 3" xfId="55215"/>
    <cellStyle name="Normal 764 2 4" xfId="55216"/>
    <cellStyle name="Normal 764 2 5" xfId="55217"/>
    <cellStyle name="Normal 764 2 6" xfId="55218"/>
    <cellStyle name="Normal 764 2 7" xfId="55219"/>
    <cellStyle name="Normal 764 2 8" xfId="55220"/>
    <cellStyle name="Normal 764 3" xfId="24319"/>
    <cellStyle name="Normal 764 3 2" xfId="55221"/>
    <cellStyle name="Normal 764 3 2 2" xfId="55222"/>
    <cellStyle name="Normal 764 3 2 3" xfId="55223"/>
    <cellStyle name="Normal 764 3 3" xfId="55224"/>
    <cellStyle name="Normal 764 3 3 2" xfId="55225"/>
    <cellStyle name="Normal 764 3 3 3" xfId="55226"/>
    <cellStyle name="Normal 764 3 4" xfId="55227"/>
    <cellStyle name="Normal 764 3 5" xfId="55228"/>
    <cellStyle name="Normal 764 4" xfId="24320"/>
    <cellStyle name="Normal 764 4 2" xfId="55229"/>
    <cellStyle name="Normal 764 4 3" xfId="55230"/>
    <cellStyle name="Normal 764 5" xfId="24321"/>
    <cellStyle name="Normal 764 5 2" xfId="55231"/>
    <cellStyle name="Normal 764 5 3" xfId="55232"/>
    <cellStyle name="Normal 764 6" xfId="55233"/>
    <cellStyle name="Normal 764 7" xfId="55234"/>
    <cellStyle name="Normal 764 8" xfId="55235"/>
    <cellStyle name="Normal 764 9" xfId="55236"/>
    <cellStyle name="Normal 765" xfId="24322"/>
    <cellStyle name="Normal 765 10" xfId="55237"/>
    <cellStyle name="Normal 765 2" xfId="24323"/>
    <cellStyle name="Normal 765 2 2" xfId="24324"/>
    <cellStyle name="Normal 765 2 2 2" xfId="55238"/>
    <cellStyle name="Normal 765 2 2 3" xfId="55239"/>
    <cellStyle name="Normal 765 2 3" xfId="24325"/>
    <cellStyle name="Normal 765 2 3 2" xfId="55240"/>
    <cellStyle name="Normal 765 2 3 3" xfId="55241"/>
    <cellStyle name="Normal 765 2 4" xfId="55242"/>
    <cellStyle name="Normal 765 2 5" xfId="55243"/>
    <cellStyle name="Normal 765 2 6" xfId="55244"/>
    <cellStyle name="Normal 765 2 7" xfId="55245"/>
    <cellStyle name="Normal 765 2 8" xfId="55246"/>
    <cellStyle name="Normal 765 3" xfId="24326"/>
    <cellStyle name="Normal 765 3 2" xfId="55247"/>
    <cellStyle name="Normal 765 3 2 2" xfId="55248"/>
    <cellStyle name="Normal 765 3 2 3" xfId="55249"/>
    <cellStyle name="Normal 765 3 3" xfId="55250"/>
    <cellStyle name="Normal 765 3 3 2" xfId="55251"/>
    <cellStyle name="Normal 765 3 3 3" xfId="55252"/>
    <cellStyle name="Normal 765 3 4" xfId="55253"/>
    <cellStyle name="Normal 765 3 5" xfId="55254"/>
    <cellStyle name="Normal 765 4" xfId="24327"/>
    <cellStyle name="Normal 765 4 2" xfId="55255"/>
    <cellStyle name="Normal 765 4 3" xfId="55256"/>
    <cellStyle name="Normal 765 5" xfId="24328"/>
    <cellStyle name="Normal 765 5 2" xfId="55257"/>
    <cellStyle name="Normal 765 5 3" xfId="55258"/>
    <cellStyle name="Normal 765 6" xfId="55259"/>
    <cellStyle name="Normal 765 7" xfId="55260"/>
    <cellStyle name="Normal 765 8" xfId="55261"/>
    <cellStyle name="Normal 765 9" xfId="55262"/>
    <cellStyle name="Normal 766" xfId="24329"/>
    <cellStyle name="Normal 766 10" xfId="55263"/>
    <cellStyle name="Normal 766 2" xfId="24330"/>
    <cellStyle name="Normal 766 2 2" xfId="24331"/>
    <cellStyle name="Normal 766 2 2 2" xfId="55264"/>
    <cellStyle name="Normal 766 2 2 3" xfId="55265"/>
    <cellStyle name="Normal 766 2 3" xfId="24332"/>
    <cellStyle name="Normal 766 2 3 2" xfId="55266"/>
    <cellStyle name="Normal 766 2 3 3" xfId="55267"/>
    <cellStyle name="Normal 766 2 4" xfId="55268"/>
    <cellStyle name="Normal 766 2 5" xfId="55269"/>
    <cellStyle name="Normal 766 2 6" xfId="55270"/>
    <cellStyle name="Normal 766 2 7" xfId="55271"/>
    <cellStyle name="Normal 766 2 8" xfId="55272"/>
    <cellStyle name="Normal 766 3" xfId="24333"/>
    <cellStyle name="Normal 766 3 2" xfId="55273"/>
    <cellStyle name="Normal 766 3 2 2" xfId="55274"/>
    <cellStyle name="Normal 766 3 2 3" xfId="55275"/>
    <cellStyle name="Normal 766 3 3" xfId="55276"/>
    <cellStyle name="Normal 766 3 3 2" xfId="55277"/>
    <cellStyle name="Normal 766 3 3 3" xfId="55278"/>
    <cellStyle name="Normal 766 3 4" xfId="55279"/>
    <cellStyle name="Normal 766 3 5" xfId="55280"/>
    <cellStyle name="Normal 766 4" xfId="24334"/>
    <cellStyle name="Normal 766 4 2" xfId="55281"/>
    <cellStyle name="Normal 766 4 3" xfId="55282"/>
    <cellStyle name="Normal 766 5" xfId="24335"/>
    <cellStyle name="Normal 766 5 2" xfId="55283"/>
    <cellStyle name="Normal 766 5 3" xfId="55284"/>
    <cellStyle name="Normal 766 6" xfId="55285"/>
    <cellStyle name="Normal 766 7" xfId="55286"/>
    <cellStyle name="Normal 766 8" xfId="55287"/>
    <cellStyle name="Normal 766 9" xfId="55288"/>
    <cellStyle name="Normal 767" xfId="24336"/>
    <cellStyle name="Normal 767 10" xfId="55289"/>
    <cellStyle name="Normal 767 2" xfId="24337"/>
    <cellStyle name="Normal 767 2 2" xfId="24338"/>
    <cellStyle name="Normal 767 2 2 2" xfId="55290"/>
    <cellStyle name="Normal 767 2 2 3" xfId="55291"/>
    <cellStyle name="Normal 767 2 3" xfId="24339"/>
    <cellStyle name="Normal 767 2 3 2" xfId="55292"/>
    <cellStyle name="Normal 767 2 3 3" xfId="55293"/>
    <cellStyle name="Normal 767 2 4" xfId="55294"/>
    <cellStyle name="Normal 767 2 5" xfId="55295"/>
    <cellStyle name="Normal 767 2 6" xfId="55296"/>
    <cellStyle name="Normal 767 2 7" xfId="55297"/>
    <cellStyle name="Normal 767 2 8" xfId="55298"/>
    <cellStyle name="Normal 767 3" xfId="24340"/>
    <cellStyle name="Normal 767 3 2" xfId="55299"/>
    <cellStyle name="Normal 767 3 2 2" xfId="55300"/>
    <cellStyle name="Normal 767 3 2 3" xfId="55301"/>
    <cellStyle name="Normal 767 3 3" xfId="55302"/>
    <cellStyle name="Normal 767 3 3 2" xfId="55303"/>
    <cellStyle name="Normal 767 3 3 3" xfId="55304"/>
    <cellStyle name="Normal 767 3 4" xfId="55305"/>
    <cellStyle name="Normal 767 3 5" xfId="55306"/>
    <cellStyle name="Normal 767 4" xfId="24341"/>
    <cellStyle name="Normal 767 4 2" xfId="55307"/>
    <cellStyle name="Normal 767 4 3" xfId="55308"/>
    <cellStyle name="Normal 767 5" xfId="24342"/>
    <cellStyle name="Normal 767 5 2" xfId="55309"/>
    <cellStyle name="Normal 767 5 3" xfId="55310"/>
    <cellStyle name="Normal 767 6" xfId="55311"/>
    <cellStyle name="Normal 767 7" xfId="55312"/>
    <cellStyle name="Normal 767 8" xfId="55313"/>
    <cellStyle name="Normal 767 9" xfId="55314"/>
    <cellStyle name="Normal 768" xfId="24343"/>
    <cellStyle name="Normal 768 10" xfId="55315"/>
    <cellStyle name="Normal 768 2" xfId="24344"/>
    <cellStyle name="Normal 768 2 2" xfId="24345"/>
    <cellStyle name="Normal 768 2 2 2" xfId="55316"/>
    <cellStyle name="Normal 768 2 2 3" xfId="55317"/>
    <cellStyle name="Normal 768 2 3" xfId="24346"/>
    <cellStyle name="Normal 768 2 3 2" xfId="55318"/>
    <cellStyle name="Normal 768 2 3 3" xfId="55319"/>
    <cellStyle name="Normal 768 2 4" xfId="55320"/>
    <cellStyle name="Normal 768 2 5" xfId="55321"/>
    <cellStyle name="Normal 768 2 6" xfId="55322"/>
    <cellStyle name="Normal 768 2 7" xfId="55323"/>
    <cellStyle name="Normal 768 2 8" xfId="55324"/>
    <cellStyle name="Normal 768 3" xfId="24347"/>
    <cellStyle name="Normal 768 3 2" xfId="55325"/>
    <cellStyle name="Normal 768 3 2 2" xfId="55326"/>
    <cellStyle name="Normal 768 3 2 3" xfId="55327"/>
    <cellStyle name="Normal 768 3 3" xfId="55328"/>
    <cellStyle name="Normal 768 3 3 2" xfId="55329"/>
    <cellStyle name="Normal 768 3 3 3" xfId="55330"/>
    <cellStyle name="Normal 768 3 4" xfId="55331"/>
    <cellStyle name="Normal 768 3 5" xfId="55332"/>
    <cellStyle name="Normal 768 4" xfId="24348"/>
    <cellStyle name="Normal 768 4 2" xfId="55333"/>
    <cellStyle name="Normal 768 4 3" xfId="55334"/>
    <cellStyle name="Normal 768 5" xfId="24349"/>
    <cellStyle name="Normal 768 5 2" xfId="55335"/>
    <cellStyle name="Normal 768 5 3" xfId="55336"/>
    <cellStyle name="Normal 768 6" xfId="55337"/>
    <cellStyle name="Normal 768 7" xfId="55338"/>
    <cellStyle name="Normal 768 8" xfId="55339"/>
    <cellStyle name="Normal 768 9" xfId="55340"/>
    <cellStyle name="Normal 769" xfId="24350"/>
    <cellStyle name="Normal 769 10" xfId="55341"/>
    <cellStyle name="Normal 769 2" xfId="24351"/>
    <cellStyle name="Normal 769 2 2" xfId="24352"/>
    <cellStyle name="Normal 769 2 2 2" xfId="55342"/>
    <cellStyle name="Normal 769 2 2 3" xfId="55343"/>
    <cellStyle name="Normal 769 2 3" xfId="24353"/>
    <cellStyle name="Normal 769 2 3 2" xfId="55344"/>
    <cellStyle name="Normal 769 2 3 3" xfId="55345"/>
    <cellStyle name="Normal 769 2 4" xfId="55346"/>
    <cellStyle name="Normal 769 2 5" xfId="55347"/>
    <cellStyle name="Normal 769 2 6" xfId="55348"/>
    <cellStyle name="Normal 769 2 7" xfId="55349"/>
    <cellStyle name="Normal 769 2 8" xfId="55350"/>
    <cellStyle name="Normal 769 3" xfId="24354"/>
    <cellStyle name="Normal 769 3 2" xfId="55351"/>
    <cellStyle name="Normal 769 3 2 2" xfId="55352"/>
    <cellStyle name="Normal 769 3 2 3" xfId="55353"/>
    <cellStyle name="Normal 769 3 3" xfId="55354"/>
    <cellStyle name="Normal 769 3 3 2" xfId="55355"/>
    <cellStyle name="Normal 769 3 3 3" xfId="55356"/>
    <cellStyle name="Normal 769 3 4" xfId="55357"/>
    <cellStyle name="Normal 769 3 5" xfId="55358"/>
    <cellStyle name="Normal 769 4" xfId="24355"/>
    <cellStyle name="Normal 769 4 2" xfId="55359"/>
    <cellStyle name="Normal 769 4 3" xfId="55360"/>
    <cellStyle name="Normal 769 5" xfId="24356"/>
    <cellStyle name="Normal 769 5 2" xfId="55361"/>
    <cellStyle name="Normal 769 5 3" xfId="55362"/>
    <cellStyle name="Normal 769 6" xfId="55363"/>
    <cellStyle name="Normal 769 7" xfId="55364"/>
    <cellStyle name="Normal 769 8" xfId="55365"/>
    <cellStyle name="Normal 769 9" xfId="55366"/>
    <cellStyle name="Normal 77" xfId="24357"/>
    <cellStyle name="Normal 77 10" xfId="55367"/>
    <cellStyle name="Normal 77 2" xfId="24358"/>
    <cellStyle name="Normal 77 2 2" xfId="24359"/>
    <cellStyle name="Normal 77 2 2 2" xfId="24360"/>
    <cellStyle name="Normal 77 2 2 3" xfId="24361"/>
    <cellStyle name="Normal 77 2 3" xfId="24362"/>
    <cellStyle name="Normal 77 2 3 2" xfId="55368"/>
    <cellStyle name="Normal 77 2 3 3" xfId="55369"/>
    <cellStyle name="Normal 77 2 4" xfId="24363"/>
    <cellStyle name="Normal 77 2 5" xfId="24364"/>
    <cellStyle name="Normal 77 2 6" xfId="55370"/>
    <cellStyle name="Normal 77 2 7" xfId="55371"/>
    <cellStyle name="Normal 77 2 8" xfId="55372"/>
    <cellStyle name="Normal 77 3" xfId="24365"/>
    <cellStyle name="Normal 77 3 2" xfId="24366"/>
    <cellStyle name="Normal 77 3 2 2" xfId="55373"/>
    <cellStyle name="Normal 77 3 2 3" xfId="55374"/>
    <cellStyle name="Normal 77 3 3" xfId="24367"/>
    <cellStyle name="Normal 77 3 3 2" xfId="55375"/>
    <cellStyle name="Normal 77 3 3 3" xfId="55376"/>
    <cellStyle name="Normal 77 3 4" xfId="55377"/>
    <cellStyle name="Normal 77 3 5" xfId="55378"/>
    <cellStyle name="Normal 77 4" xfId="24368"/>
    <cellStyle name="Normal 77 4 2" xfId="55379"/>
    <cellStyle name="Normal 77 4 3" xfId="55380"/>
    <cellStyle name="Normal 77 5" xfId="24369"/>
    <cellStyle name="Normal 77 5 2" xfId="55381"/>
    <cellStyle name="Normal 77 5 3" xfId="55382"/>
    <cellStyle name="Normal 77 6" xfId="24370"/>
    <cellStyle name="Normal 77 7" xfId="55383"/>
    <cellStyle name="Normal 77 8" xfId="55384"/>
    <cellStyle name="Normal 77 9" xfId="55385"/>
    <cellStyle name="Normal 770" xfId="24371"/>
    <cellStyle name="Normal 770 10" xfId="55386"/>
    <cellStyle name="Normal 770 2" xfId="24372"/>
    <cellStyle name="Normal 770 2 2" xfId="24373"/>
    <cellStyle name="Normal 770 2 2 2" xfId="55387"/>
    <cellStyle name="Normal 770 2 2 3" xfId="55388"/>
    <cellStyle name="Normal 770 2 3" xfId="24374"/>
    <cellStyle name="Normal 770 2 3 2" xfId="55389"/>
    <cellStyle name="Normal 770 2 3 3" xfId="55390"/>
    <cellStyle name="Normal 770 2 4" xfId="55391"/>
    <cellStyle name="Normal 770 2 5" xfId="55392"/>
    <cellStyle name="Normal 770 2 6" xfId="55393"/>
    <cellStyle name="Normal 770 2 7" xfId="55394"/>
    <cellStyle name="Normal 770 2 8" xfId="55395"/>
    <cellStyle name="Normal 770 3" xfId="24375"/>
    <cellStyle name="Normal 770 3 2" xfId="55396"/>
    <cellStyle name="Normal 770 3 2 2" xfId="55397"/>
    <cellStyle name="Normal 770 3 2 3" xfId="55398"/>
    <cellStyle name="Normal 770 3 3" xfId="55399"/>
    <cellStyle name="Normal 770 3 3 2" xfId="55400"/>
    <cellStyle name="Normal 770 3 3 3" xfId="55401"/>
    <cellStyle name="Normal 770 3 4" xfId="55402"/>
    <cellStyle name="Normal 770 3 5" xfId="55403"/>
    <cellStyle name="Normal 770 4" xfId="24376"/>
    <cellStyle name="Normal 770 4 2" xfId="55404"/>
    <cellStyle name="Normal 770 4 3" xfId="55405"/>
    <cellStyle name="Normal 770 5" xfId="24377"/>
    <cellStyle name="Normal 770 5 2" xfId="55406"/>
    <cellStyle name="Normal 770 5 3" xfId="55407"/>
    <cellStyle name="Normal 770 6" xfId="55408"/>
    <cellStyle name="Normal 770 7" xfId="55409"/>
    <cellStyle name="Normal 770 8" xfId="55410"/>
    <cellStyle name="Normal 770 9" xfId="55411"/>
    <cellStyle name="Normal 771" xfId="24378"/>
    <cellStyle name="Normal 771 10" xfId="55412"/>
    <cellStyle name="Normal 771 2" xfId="24379"/>
    <cellStyle name="Normal 771 2 2" xfId="24380"/>
    <cellStyle name="Normal 771 2 2 2" xfId="55413"/>
    <cellStyle name="Normal 771 2 2 3" xfId="55414"/>
    <cellStyle name="Normal 771 2 3" xfId="24381"/>
    <cellStyle name="Normal 771 2 3 2" xfId="55415"/>
    <cellStyle name="Normal 771 2 3 3" xfId="55416"/>
    <cellStyle name="Normal 771 2 4" xfId="55417"/>
    <cellStyle name="Normal 771 2 5" xfId="55418"/>
    <cellStyle name="Normal 771 2 6" xfId="55419"/>
    <cellStyle name="Normal 771 2 7" xfId="55420"/>
    <cellStyle name="Normal 771 2 8" xfId="55421"/>
    <cellStyle name="Normal 771 3" xfId="24382"/>
    <cellStyle name="Normal 771 3 2" xfId="55422"/>
    <cellStyle name="Normal 771 3 2 2" xfId="55423"/>
    <cellStyle name="Normal 771 3 2 3" xfId="55424"/>
    <cellStyle name="Normal 771 3 3" xfId="55425"/>
    <cellStyle name="Normal 771 3 3 2" xfId="55426"/>
    <cellStyle name="Normal 771 3 3 3" xfId="55427"/>
    <cellStyle name="Normal 771 3 4" xfId="55428"/>
    <cellStyle name="Normal 771 3 5" xfId="55429"/>
    <cellStyle name="Normal 771 4" xfId="24383"/>
    <cellStyle name="Normal 771 4 2" xfId="55430"/>
    <cellStyle name="Normal 771 4 3" xfId="55431"/>
    <cellStyle name="Normal 771 5" xfId="24384"/>
    <cellStyle name="Normal 771 5 2" xfId="55432"/>
    <cellStyle name="Normal 771 5 3" xfId="55433"/>
    <cellStyle name="Normal 771 6" xfId="55434"/>
    <cellStyle name="Normal 771 7" xfId="55435"/>
    <cellStyle name="Normal 771 8" xfId="55436"/>
    <cellStyle name="Normal 771 9" xfId="55437"/>
    <cellStyle name="Normal 772" xfId="24385"/>
    <cellStyle name="Normal 772 10" xfId="55438"/>
    <cellStyle name="Normal 772 2" xfId="24386"/>
    <cellStyle name="Normal 772 2 2" xfId="24387"/>
    <cellStyle name="Normal 772 2 2 2" xfId="55439"/>
    <cellStyle name="Normal 772 2 2 3" xfId="55440"/>
    <cellStyle name="Normal 772 2 3" xfId="24388"/>
    <cellStyle name="Normal 772 2 3 2" xfId="55441"/>
    <cellStyle name="Normal 772 2 3 3" xfId="55442"/>
    <cellStyle name="Normal 772 2 4" xfId="55443"/>
    <cellStyle name="Normal 772 2 5" xfId="55444"/>
    <cellStyle name="Normal 772 2 6" xfId="55445"/>
    <cellStyle name="Normal 772 2 7" xfId="55446"/>
    <cellStyle name="Normal 772 2 8" xfId="55447"/>
    <cellStyle name="Normal 772 3" xfId="24389"/>
    <cellStyle name="Normal 772 3 2" xfId="55448"/>
    <cellStyle name="Normal 772 3 2 2" xfId="55449"/>
    <cellStyle name="Normal 772 3 2 3" xfId="55450"/>
    <cellStyle name="Normal 772 3 3" xfId="55451"/>
    <cellStyle name="Normal 772 3 3 2" xfId="55452"/>
    <cellStyle name="Normal 772 3 3 3" xfId="55453"/>
    <cellStyle name="Normal 772 3 4" xfId="55454"/>
    <cellStyle name="Normal 772 3 5" xfId="55455"/>
    <cellStyle name="Normal 772 4" xfId="24390"/>
    <cellStyle name="Normal 772 4 2" xfId="55456"/>
    <cellStyle name="Normal 772 4 3" xfId="55457"/>
    <cellStyle name="Normal 772 5" xfId="24391"/>
    <cellStyle name="Normal 772 5 2" xfId="55458"/>
    <cellStyle name="Normal 772 5 3" xfId="55459"/>
    <cellStyle name="Normal 772 6" xfId="55460"/>
    <cellStyle name="Normal 772 7" xfId="55461"/>
    <cellStyle name="Normal 772 8" xfId="55462"/>
    <cellStyle name="Normal 772 9" xfId="55463"/>
    <cellStyle name="Normal 773" xfId="24392"/>
    <cellStyle name="Normal 773 10" xfId="55464"/>
    <cellStyle name="Normal 773 2" xfId="24393"/>
    <cellStyle name="Normal 773 2 2" xfId="24394"/>
    <cellStyle name="Normal 773 2 2 2" xfId="55465"/>
    <cellStyle name="Normal 773 2 2 3" xfId="55466"/>
    <cellStyle name="Normal 773 2 3" xfId="24395"/>
    <cellStyle name="Normal 773 2 3 2" xfId="55467"/>
    <cellStyle name="Normal 773 2 3 3" xfId="55468"/>
    <cellStyle name="Normal 773 2 4" xfId="55469"/>
    <cellStyle name="Normal 773 2 5" xfId="55470"/>
    <cellStyle name="Normal 773 2 6" xfId="55471"/>
    <cellStyle name="Normal 773 2 7" xfId="55472"/>
    <cellStyle name="Normal 773 2 8" xfId="55473"/>
    <cellStyle name="Normal 773 3" xfId="24396"/>
    <cellStyle name="Normal 773 3 2" xfId="55474"/>
    <cellStyle name="Normal 773 3 2 2" xfId="55475"/>
    <cellStyle name="Normal 773 3 2 3" xfId="55476"/>
    <cellStyle name="Normal 773 3 3" xfId="55477"/>
    <cellStyle name="Normal 773 3 3 2" xfId="55478"/>
    <cellStyle name="Normal 773 3 3 3" xfId="55479"/>
    <cellStyle name="Normal 773 3 4" xfId="55480"/>
    <cellStyle name="Normal 773 3 5" xfId="55481"/>
    <cellStyle name="Normal 773 4" xfId="24397"/>
    <cellStyle name="Normal 773 4 2" xfId="55482"/>
    <cellStyle name="Normal 773 4 3" xfId="55483"/>
    <cellStyle name="Normal 773 5" xfId="24398"/>
    <cellStyle name="Normal 773 5 2" xfId="55484"/>
    <cellStyle name="Normal 773 5 3" xfId="55485"/>
    <cellStyle name="Normal 773 6" xfId="55486"/>
    <cellStyle name="Normal 773 7" xfId="55487"/>
    <cellStyle name="Normal 773 8" xfId="55488"/>
    <cellStyle name="Normal 773 9" xfId="55489"/>
    <cellStyle name="Normal 774" xfId="24399"/>
    <cellStyle name="Normal 774 10" xfId="55490"/>
    <cellStyle name="Normal 774 2" xfId="24400"/>
    <cellStyle name="Normal 774 2 2" xfId="24401"/>
    <cellStyle name="Normal 774 2 2 2" xfId="55491"/>
    <cellStyle name="Normal 774 2 2 3" xfId="55492"/>
    <cellStyle name="Normal 774 2 3" xfId="24402"/>
    <cellStyle name="Normal 774 2 3 2" xfId="55493"/>
    <cellStyle name="Normal 774 2 3 3" xfId="55494"/>
    <cellStyle name="Normal 774 2 4" xfId="55495"/>
    <cellStyle name="Normal 774 2 5" xfId="55496"/>
    <cellStyle name="Normal 774 2 6" xfId="55497"/>
    <cellStyle name="Normal 774 2 7" xfId="55498"/>
    <cellStyle name="Normal 774 2 8" xfId="55499"/>
    <cellStyle name="Normal 774 3" xfId="24403"/>
    <cellStyle name="Normal 774 3 2" xfId="55500"/>
    <cellStyle name="Normal 774 3 2 2" xfId="55501"/>
    <cellStyle name="Normal 774 3 2 3" xfId="55502"/>
    <cellStyle name="Normal 774 3 3" xfId="55503"/>
    <cellStyle name="Normal 774 3 3 2" xfId="55504"/>
    <cellStyle name="Normal 774 3 3 3" xfId="55505"/>
    <cellStyle name="Normal 774 3 4" xfId="55506"/>
    <cellStyle name="Normal 774 3 5" xfId="55507"/>
    <cellStyle name="Normal 774 4" xfId="24404"/>
    <cellStyle name="Normal 774 4 2" xfId="55508"/>
    <cellStyle name="Normal 774 4 3" xfId="55509"/>
    <cellStyle name="Normal 774 5" xfId="24405"/>
    <cellStyle name="Normal 774 5 2" xfId="55510"/>
    <cellStyle name="Normal 774 5 3" xfId="55511"/>
    <cellStyle name="Normal 774 6" xfId="55512"/>
    <cellStyle name="Normal 774 7" xfId="55513"/>
    <cellStyle name="Normal 774 8" xfId="55514"/>
    <cellStyle name="Normal 774 9" xfId="55515"/>
    <cellStyle name="Normal 775" xfId="24406"/>
    <cellStyle name="Normal 775 10" xfId="55516"/>
    <cellStyle name="Normal 775 2" xfId="24407"/>
    <cellStyle name="Normal 775 2 2" xfId="24408"/>
    <cellStyle name="Normal 775 2 2 2" xfId="55517"/>
    <cellStyle name="Normal 775 2 2 3" xfId="55518"/>
    <cellStyle name="Normal 775 2 3" xfId="24409"/>
    <cellStyle name="Normal 775 2 3 2" xfId="55519"/>
    <cellStyle name="Normal 775 2 3 3" xfId="55520"/>
    <cellStyle name="Normal 775 2 4" xfId="55521"/>
    <cellStyle name="Normal 775 2 5" xfId="55522"/>
    <cellStyle name="Normal 775 2 6" xfId="55523"/>
    <cellStyle name="Normal 775 2 7" xfId="55524"/>
    <cellStyle name="Normal 775 2 8" xfId="55525"/>
    <cellStyle name="Normal 775 3" xfId="24410"/>
    <cellStyle name="Normal 775 3 2" xfId="55526"/>
    <cellStyle name="Normal 775 3 2 2" xfId="55527"/>
    <cellStyle name="Normal 775 3 2 3" xfId="55528"/>
    <cellStyle name="Normal 775 3 3" xfId="55529"/>
    <cellStyle name="Normal 775 3 3 2" xfId="55530"/>
    <cellStyle name="Normal 775 3 3 3" xfId="55531"/>
    <cellStyle name="Normal 775 3 4" xfId="55532"/>
    <cellStyle name="Normal 775 3 5" xfId="55533"/>
    <cellStyle name="Normal 775 4" xfId="24411"/>
    <cellStyle name="Normal 775 4 2" xfId="55534"/>
    <cellStyle name="Normal 775 4 3" xfId="55535"/>
    <cellStyle name="Normal 775 5" xfId="24412"/>
    <cellStyle name="Normal 775 5 2" xfId="55536"/>
    <cellStyle name="Normal 775 5 3" xfId="55537"/>
    <cellStyle name="Normal 775 6" xfId="55538"/>
    <cellStyle name="Normal 775 7" xfId="55539"/>
    <cellStyle name="Normal 775 8" xfId="55540"/>
    <cellStyle name="Normal 775 9" xfId="55541"/>
    <cellStyle name="Normal 776" xfId="24413"/>
    <cellStyle name="Normal 776 10" xfId="55542"/>
    <cellStyle name="Normal 776 2" xfId="24414"/>
    <cellStyle name="Normal 776 2 2" xfId="24415"/>
    <cellStyle name="Normal 776 2 2 2" xfId="55543"/>
    <cellStyle name="Normal 776 2 2 3" xfId="55544"/>
    <cellStyle name="Normal 776 2 3" xfId="24416"/>
    <cellStyle name="Normal 776 2 3 2" xfId="55545"/>
    <cellStyle name="Normal 776 2 3 3" xfId="55546"/>
    <cellStyle name="Normal 776 2 4" xfId="55547"/>
    <cellStyle name="Normal 776 2 5" xfId="55548"/>
    <cellStyle name="Normal 776 2 6" xfId="55549"/>
    <cellStyle name="Normal 776 2 7" xfId="55550"/>
    <cellStyle name="Normal 776 2 8" xfId="55551"/>
    <cellStyle name="Normal 776 3" xfId="24417"/>
    <cellStyle name="Normal 776 3 2" xfId="55552"/>
    <cellStyle name="Normal 776 3 2 2" xfId="55553"/>
    <cellStyle name="Normal 776 3 2 3" xfId="55554"/>
    <cellStyle name="Normal 776 3 3" xfId="55555"/>
    <cellStyle name="Normal 776 3 3 2" xfId="55556"/>
    <cellStyle name="Normal 776 3 3 3" xfId="55557"/>
    <cellStyle name="Normal 776 3 4" xfId="55558"/>
    <cellStyle name="Normal 776 3 5" xfId="55559"/>
    <cellStyle name="Normal 776 4" xfId="24418"/>
    <cellStyle name="Normal 776 4 2" xfId="55560"/>
    <cellStyle name="Normal 776 4 3" xfId="55561"/>
    <cellStyle name="Normal 776 5" xfId="24419"/>
    <cellStyle name="Normal 776 5 2" xfId="55562"/>
    <cellStyle name="Normal 776 5 3" xfId="55563"/>
    <cellStyle name="Normal 776 6" xfId="55564"/>
    <cellStyle name="Normal 776 7" xfId="55565"/>
    <cellStyle name="Normal 776 8" xfId="55566"/>
    <cellStyle name="Normal 776 9" xfId="55567"/>
    <cellStyle name="Normal 777" xfId="24420"/>
    <cellStyle name="Normal 777 10" xfId="55568"/>
    <cellStyle name="Normal 777 2" xfId="24421"/>
    <cellStyle name="Normal 777 2 2" xfId="24422"/>
    <cellStyle name="Normal 777 2 2 2" xfId="55569"/>
    <cellStyle name="Normal 777 2 2 3" xfId="55570"/>
    <cellStyle name="Normal 777 2 3" xfId="24423"/>
    <cellStyle name="Normal 777 2 3 2" xfId="55571"/>
    <cellStyle name="Normal 777 2 3 3" xfId="55572"/>
    <cellStyle name="Normal 777 2 4" xfId="55573"/>
    <cellStyle name="Normal 777 2 5" xfId="55574"/>
    <cellStyle name="Normal 777 2 6" xfId="55575"/>
    <cellStyle name="Normal 777 2 7" xfId="55576"/>
    <cellStyle name="Normal 777 2 8" xfId="55577"/>
    <cellStyle name="Normal 777 3" xfId="24424"/>
    <cellStyle name="Normal 777 3 2" xfId="55578"/>
    <cellStyle name="Normal 777 3 2 2" xfId="55579"/>
    <cellStyle name="Normal 777 3 2 3" xfId="55580"/>
    <cellStyle name="Normal 777 3 3" xfId="55581"/>
    <cellStyle name="Normal 777 3 3 2" xfId="55582"/>
    <cellStyle name="Normal 777 3 3 3" xfId="55583"/>
    <cellStyle name="Normal 777 3 4" xfId="55584"/>
    <cellStyle name="Normal 777 3 5" xfId="55585"/>
    <cellStyle name="Normal 777 4" xfId="24425"/>
    <cellStyle name="Normal 777 4 2" xfId="55586"/>
    <cellStyle name="Normal 777 4 3" xfId="55587"/>
    <cellStyle name="Normal 777 5" xfId="24426"/>
    <cellStyle name="Normal 777 5 2" xfId="55588"/>
    <cellStyle name="Normal 777 5 3" xfId="55589"/>
    <cellStyle name="Normal 777 6" xfId="55590"/>
    <cellStyle name="Normal 777 7" xfId="55591"/>
    <cellStyle name="Normal 777 8" xfId="55592"/>
    <cellStyle name="Normal 777 9" xfId="55593"/>
    <cellStyle name="Normal 778" xfId="24427"/>
    <cellStyle name="Normal 778 10" xfId="55594"/>
    <cellStyle name="Normal 778 2" xfId="24428"/>
    <cellStyle name="Normal 778 2 2" xfId="24429"/>
    <cellStyle name="Normal 778 2 2 2" xfId="55595"/>
    <cellStyle name="Normal 778 2 2 3" xfId="55596"/>
    <cellStyle name="Normal 778 2 3" xfId="24430"/>
    <cellStyle name="Normal 778 2 3 2" xfId="55597"/>
    <cellStyle name="Normal 778 2 3 3" xfId="55598"/>
    <cellStyle name="Normal 778 2 4" xfId="55599"/>
    <cellStyle name="Normal 778 2 5" xfId="55600"/>
    <cellStyle name="Normal 778 2 6" xfId="55601"/>
    <cellStyle name="Normal 778 2 7" xfId="55602"/>
    <cellStyle name="Normal 778 2 8" xfId="55603"/>
    <cellStyle name="Normal 778 3" xfId="24431"/>
    <cellStyle name="Normal 778 3 2" xfId="55604"/>
    <cellStyle name="Normal 778 3 2 2" xfId="55605"/>
    <cellStyle name="Normal 778 3 2 3" xfId="55606"/>
    <cellStyle name="Normal 778 3 3" xfId="55607"/>
    <cellStyle name="Normal 778 3 3 2" xfId="55608"/>
    <cellStyle name="Normal 778 3 3 3" xfId="55609"/>
    <cellStyle name="Normal 778 3 4" xfId="55610"/>
    <cellStyle name="Normal 778 3 5" xfId="55611"/>
    <cellStyle name="Normal 778 4" xfId="24432"/>
    <cellStyle name="Normal 778 4 2" xfId="55612"/>
    <cellStyle name="Normal 778 4 3" xfId="55613"/>
    <cellStyle name="Normal 778 5" xfId="24433"/>
    <cellStyle name="Normal 778 5 2" xfId="55614"/>
    <cellStyle name="Normal 778 5 3" xfId="55615"/>
    <cellStyle name="Normal 778 6" xfId="55616"/>
    <cellStyle name="Normal 778 7" xfId="55617"/>
    <cellStyle name="Normal 778 8" xfId="55618"/>
    <cellStyle name="Normal 778 9" xfId="55619"/>
    <cellStyle name="Normal 779" xfId="24434"/>
    <cellStyle name="Normal 779 10" xfId="55620"/>
    <cellStyle name="Normal 779 2" xfId="24435"/>
    <cellStyle name="Normal 779 2 2" xfId="24436"/>
    <cellStyle name="Normal 779 2 2 2" xfId="55621"/>
    <cellStyle name="Normal 779 2 2 3" xfId="55622"/>
    <cellStyle name="Normal 779 2 3" xfId="24437"/>
    <cellStyle name="Normal 779 2 3 2" xfId="55623"/>
    <cellStyle name="Normal 779 2 3 3" xfId="55624"/>
    <cellStyle name="Normal 779 2 4" xfId="55625"/>
    <cellStyle name="Normal 779 2 5" xfId="55626"/>
    <cellStyle name="Normal 779 2 6" xfId="55627"/>
    <cellStyle name="Normal 779 2 7" xfId="55628"/>
    <cellStyle name="Normal 779 2 8" xfId="55629"/>
    <cellStyle name="Normal 779 3" xfId="24438"/>
    <cellStyle name="Normal 779 3 2" xfId="55630"/>
    <cellStyle name="Normal 779 3 2 2" xfId="55631"/>
    <cellStyle name="Normal 779 3 2 3" xfId="55632"/>
    <cellStyle name="Normal 779 3 3" xfId="55633"/>
    <cellStyle name="Normal 779 3 3 2" xfId="55634"/>
    <cellStyle name="Normal 779 3 3 3" xfId="55635"/>
    <cellStyle name="Normal 779 3 4" xfId="55636"/>
    <cellStyle name="Normal 779 3 5" xfId="55637"/>
    <cellStyle name="Normal 779 4" xfId="24439"/>
    <cellStyle name="Normal 779 4 2" xfId="55638"/>
    <cellStyle name="Normal 779 4 3" xfId="55639"/>
    <cellStyle name="Normal 779 5" xfId="24440"/>
    <cellStyle name="Normal 779 5 2" xfId="55640"/>
    <cellStyle name="Normal 779 5 3" xfId="55641"/>
    <cellStyle name="Normal 779 6" xfId="55642"/>
    <cellStyle name="Normal 779 7" xfId="55643"/>
    <cellStyle name="Normal 779 8" xfId="55644"/>
    <cellStyle name="Normal 779 9" xfId="55645"/>
    <cellStyle name="Normal 78" xfId="24441"/>
    <cellStyle name="Normal 78 10" xfId="55646"/>
    <cellStyle name="Normal 78 2" xfId="24442"/>
    <cellStyle name="Normal 78 2 2" xfId="24443"/>
    <cellStyle name="Normal 78 2 2 2" xfId="24444"/>
    <cellStyle name="Normal 78 2 2 3" xfId="24445"/>
    <cellStyle name="Normal 78 2 3" xfId="24446"/>
    <cellStyle name="Normal 78 2 3 2" xfId="55647"/>
    <cellStyle name="Normal 78 2 3 3" xfId="55648"/>
    <cellStyle name="Normal 78 2 4" xfId="24447"/>
    <cellStyle name="Normal 78 2 5" xfId="24448"/>
    <cellStyle name="Normal 78 2 6" xfId="55649"/>
    <cellStyle name="Normal 78 2 7" xfId="55650"/>
    <cellStyle name="Normal 78 2 8" xfId="55651"/>
    <cellStyle name="Normal 78 3" xfId="24449"/>
    <cellStyle name="Normal 78 3 2" xfId="24450"/>
    <cellStyle name="Normal 78 3 2 2" xfId="55652"/>
    <cellStyle name="Normal 78 3 2 3" xfId="55653"/>
    <cellStyle name="Normal 78 3 3" xfId="24451"/>
    <cellStyle name="Normal 78 3 3 2" xfId="55654"/>
    <cellStyle name="Normal 78 3 3 3" xfId="55655"/>
    <cellStyle name="Normal 78 3 4" xfId="55656"/>
    <cellStyle name="Normal 78 3 5" xfId="55657"/>
    <cellStyle name="Normal 78 4" xfId="24452"/>
    <cellStyle name="Normal 78 4 2" xfId="55658"/>
    <cellStyle name="Normal 78 4 3" xfId="55659"/>
    <cellStyle name="Normal 78 5" xfId="24453"/>
    <cellStyle name="Normal 78 5 2" xfId="55660"/>
    <cellStyle name="Normal 78 5 3" xfId="55661"/>
    <cellStyle name="Normal 78 6" xfId="24454"/>
    <cellStyle name="Normal 78 7" xfId="55662"/>
    <cellStyle name="Normal 78 8" xfId="55663"/>
    <cellStyle name="Normal 78 9" xfId="55664"/>
    <cellStyle name="Normal 780" xfId="24455"/>
    <cellStyle name="Normal 780 10" xfId="55665"/>
    <cellStyle name="Normal 780 2" xfId="24456"/>
    <cellStyle name="Normal 780 2 2" xfId="24457"/>
    <cellStyle name="Normal 780 2 2 2" xfId="55666"/>
    <cellStyle name="Normal 780 2 2 3" xfId="55667"/>
    <cellStyle name="Normal 780 2 3" xfId="24458"/>
    <cellStyle name="Normal 780 2 3 2" xfId="55668"/>
    <cellStyle name="Normal 780 2 3 3" xfId="55669"/>
    <cellStyle name="Normal 780 2 4" xfId="55670"/>
    <cellStyle name="Normal 780 2 5" xfId="55671"/>
    <cellStyle name="Normal 780 2 6" xfId="55672"/>
    <cellStyle name="Normal 780 2 7" xfId="55673"/>
    <cellStyle name="Normal 780 2 8" xfId="55674"/>
    <cellStyle name="Normal 780 3" xfId="24459"/>
    <cellStyle name="Normal 780 3 2" xfId="55675"/>
    <cellStyle name="Normal 780 3 2 2" xfId="55676"/>
    <cellStyle name="Normal 780 3 2 3" xfId="55677"/>
    <cellStyle name="Normal 780 3 3" xfId="55678"/>
    <cellStyle name="Normal 780 3 3 2" xfId="55679"/>
    <cellStyle name="Normal 780 3 3 3" xfId="55680"/>
    <cellStyle name="Normal 780 3 4" xfId="55681"/>
    <cellStyle name="Normal 780 3 5" xfId="55682"/>
    <cellStyle name="Normal 780 4" xfId="24460"/>
    <cellStyle name="Normal 780 4 2" xfId="55683"/>
    <cellStyle name="Normal 780 4 3" xfId="55684"/>
    <cellStyle name="Normal 780 5" xfId="24461"/>
    <cellStyle name="Normal 780 5 2" xfId="55685"/>
    <cellStyle name="Normal 780 5 3" xfId="55686"/>
    <cellStyle name="Normal 780 6" xfId="55687"/>
    <cellStyle name="Normal 780 7" xfId="55688"/>
    <cellStyle name="Normal 780 8" xfId="55689"/>
    <cellStyle name="Normal 780 9" xfId="55690"/>
    <cellStyle name="Normal 781" xfId="24462"/>
    <cellStyle name="Normal 781 10" xfId="55691"/>
    <cellStyle name="Normal 781 2" xfId="24463"/>
    <cellStyle name="Normal 781 2 2" xfId="24464"/>
    <cellStyle name="Normal 781 2 2 2" xfId="55692"/>
    <cellStyle name="Normal 781 2 2 3" xfId="55693"/>
    <cellStyle name="Normal 781 2 3" xfId="24465"/>
    <cellStyle name="Normal 781 2 3 2" xfId="55694"/>
    <cellStyle name="Normal 781 2 3 3" xfId="55695"/>
    <cellStyle name="Normal 781 2 4" xfId="55696"/>
    <cellStyle name="Normal 781 2 5" xfId="55697"/>
    <cellStyle name="Normal 781 2 6" xfId="55698"/>
    <cellStyle name="Normal 781 2 7" xfId="55699"/>
    <cellStyle name="Normal 781 2 8" xfId="55700"/>
    <cellStyle name="Normal 781 3" xfId="24466"/>
    <cellStyle name="Normal 781 3 2" xfId="55701"/>
    <cellStyle name="Normal 781 3 2 2" xfId="55702"/>
    <cellStyle name="Normal 781 3 2 3" xfId="55703"/>
    <cellStyle name="Normal 781 3 3" xfId="55704"/>
    <cellStyle name="Normal 781 3 3 2" xfId="55705"/>
    <cellStyle name="Normal 781 3 3 3" xfId="55706"/>
    <cellStyle name="Normal 781 3 4" xfId="55707"/>
    <cellStyle name="Normal 781 3 5" xfId="55708"/>
    <cellStyle name="Normal 781 4" xfId="24467"/>
    <cellStyle name="Normal 781 4 2" xfId="55709"/>
    <cellStyle name="Normal 781 4 3" xfId="55710"/>
    <cellStyle name="Normal 781 5" xfId="24468"/>
    <cellStyle name="Normal 781 5 2" xfId="55711"/>
    <cellStyle name="Normal 781 5 3" xfId="55712"/>
    <cellStyle name="Normal 781 6" xfId="55713"/>
    <cellStyle name="Normal 781 7" xfId="55714"/>
    <cellStyle name="Normal 781 8" xfId="55715"/>
    <cellStyle name="Normal 781 9" xfId="55716"/>
    <cellStyle name="Normal 782" xfId="24469"/>
    <cellStyle name="Normal 782 10" xfId="55717"/>
    <cellStyle name="Normal 782 2" xfId="24470"/>
    <cellStyle name="Normal 782 2 2" xfId="24471"/>
    <cellStyle name="Normal 782 2 2 2" xfId="55718"/>
    <cellStyle name="Normal 782 2 2 3" xfId="55719"/>
    <cellStyle name="Normal 782 2 3" xfId="24472"/>
    <cellStyle name="Normal 782 2 3 2" xfId="55720"/>
    <cellStyle name="Normal 782 2 3 3" xfId="55721"/>
    <cellStyle name="Normal 782 2 4" xfId="55722"/>
    <cellStyle name="Normal 782 2 5" xfId="55723"/>
    <cellStyle name="Normal 782 2 6" xfId="55724"/>
    <cellStyle name="Normal 782 2 7" xfId="55725"/>
    <cellStyle name="Normal 782 2 8" xfId="55726"/>
    <cellStyle name="Normal 782 3" xfId="24473"/>
    <cellStyle name="Normal 782 3 2" xfId="55727"/>
    <cellStyle name="Normal 782 3 2 2" xfId="55728"/>
    <cellStyle name="Normal 782 3 2 3" xfId="55729"/>
    <cellStyle name="Normal 782 3 3" xfId="55730"/>
    <cellStyle name="Normal 782 3 3 2" xfId="55731"/>
    <cellStyle name="Normal 782 3 3 3" xfId="55732"/>
    <cellStyle name="Normal 782 3 4" xfId="55733"/>
    <cellStyle name="Normal 782 3 5" xfId="55734"/>
    <cellStyle name="Normal 782 4" xfId="24474"/>
    <cellStyle name="Normal 782 4 2" xfId="55735"/>
    <cellStyle name="Normal 782 4 3" xfId="55736"/>
    <cellStyle name="Normal 782 5" xfId="24475"/>
    <cellStyle name="Normal 782 5 2" xfId="55737"/>
    <cellStyle name="Normal 782 5 3" xfId="55738"/>
    <cellStyle name="Normal 782 6" xfId="55739"/>
    <cellStyle name="Normal 782 7" xfId="55740"/>
    <cellStyle name="Normal 782 8" xfId="55741"/>
    <cellStyle name="Normal 782 9" xfId="55742"/>
    <cellStyle name="Normal 783" xfId="24476"/>
    <cellStyle name="Normal 783 10" xfId="55743"/>
    <cellStyle name="Normal 783 2" xfId="24477"/>
    <cellStyle name="Normal 783 2 2" xfId="24478"/>
    <cellStyle name="Normal 783 2 2 2" xfId="55744"/>
    <cellStyle name="Normal 783 2 2 3" xfId="55745"/>
    <cellStyle name="Normal 783 2 3" xfId="24479"/>
    <cellStyle name="Normal 783 2 3 2" xfId="55746"/>
    <cellStyle name="Normal 783 2 3 3" xfId="55747"/>
    <cellStyle name="Normal 783 2 4" xfId="55748"/>
    <cellStyle name="Normal 783 2 5" xfId="55749"/>
    <cellStyle name="Normal 783 2 6" xfId="55750"/>
    <cellStyle name="Normal 783 2 7" xfId="55751"/>
    <cellStyle name="Normal 783 2 8" xfId="55752"/>
    <cellStyle name="Normal 783 3" xfId="24480"/>
    <cellStyle name="Normal 783 3 2" xfId="55753"/>
    <cellStyle name="Normal 783 3 2 2" xfId="55754"/>
    <cellStyle name="Normal 783 3 2 3" xfId="55755"/>
    <cellStyle name="Normal 783 3 3" xfId="55756"/>
    <cellStyle name="Normal 783 3 3 2" xfId="55757"/>
    <cellStyle name="Normal 783 3 3 3" xfId="55758"/>
    <cellStyle name="Normal 783 3 4" xfId="55759"/>
    <cellStyle name="Normal 783 3 5" xfId="55760"/>
    <cellStyle name="Normal 783 4" xfId="24481"/>
    <cellStyle name="Normal 783 4 2" xfId="55761"/>
    <cellStyle name="Normal 783 4 3" xfId="55762"/>
    <cellStyle name="Normal 783 5" xfId="24482"/>
    <cellStyle name="Normal 783 5 2" xfId="55763"/>
    <cellStyle name="Normal 783 5 3" xfId="55764"/>
    <cellStyle name="Normal 783 6" xfId="55765"/>
    <cellStyle name="Normal 783 7" xfId="55766"/>
    <cellStyle name="Normal 783 8" xfId="55767"/>
    <cellStyle name="Normal 783 9" xfId="55768"/>
    <cellStyle name="Normal 784" xfId="24483"/>
    <cellStyle name="Normal 784 10" xfId="55769"/>
    <cellStyle name="Normal 784 2" xfId="24484"/>
    <cellStyle name="Normal 784 2 2" xfId="24485"/>
    <cellStyle name="Normal 784 2 2 2" xfId="55770"/>
    <cellStyle name="Normal 784 2 2 3" xfId="55771"/>
    <cellStyle name="Normal 784 2 3" xfId="24486"/>
    <cellStyle name="Normal 784 2 3 2" xfId="55772"/>
    <cellStyle name="Normal 784 2 3 3" xfId="55773"/>
    <cellStyle name="Normal 784 2 4" xfId="55774"/>
    <cellStyle name="Normal 784 2 5" xfId="55775"/>
    <cellStyle name="Normal 784 2 6" xfId="55776"/>
    <cellStyle name="Normal 784 2 7" xfId="55777"/>
    <cellStyle name="Normal 784 2 8" xfId="55778"/>
    <cellStyle name="Normal 784 3" xfId="24487"/>
    <cellStyle name="Normal 784 3 2" xfId="55779"/>
    <cellStyle name="Normal 784 3 2 2" xfId="55780"/>
    <cellStyle name="Normal 784 3 2 3" xfId="55781"/>
    <cellStyle name="Normal 784 3 3" xfId="55782"/>
    <cellStyle name="Normal 784 3 3 2" xfId="55783"/>
    <cellStyle name="Normal 784 3 3 3" xfId="55784"/>
    <cellStyle name="Normal 784 3 4" xfId="55785"/>
    <cellStyle name="Normal 784 3 5" xfId="55786"/>
    <cellStyle name="Normal 784 4" xfId="24488"/>
    <cellStyle name="Normal 784 4 2" xfId="55787"/>
    <cellStyle name="Normal 784 4 3" xfId="55788"/>
    <cellStyle name="Normal 784 5" xfId="24489"/>
    <cellStyle name="Normal 784 5 2" xfId="55789"/>
    <cellStyle name="Normal 784 5 3" xfId="55790"/>
    <cellStyle name="Normal 784 6" xfId="55791"/>
    <cellStyle name="Normal 784 7" xfId="55792"/>
    <cellStyle name="Normal 784 8" xfId="55793"/>
    <cellStyle name="Normal 784 9" xfId="55794"/>
    <cellStyle name="Normal 785" xfId="24490"/>
    <cellStyle name="Normal 785 10" xfId="55795"/>
    <cellStyle name="Normal 785 2" xfId="24491"/>
    <cellStyle name="Normal 785 2 2" xfId="24492"/>
    <cellStyle name="Normal 785 2 2 2" xfId="55796"/>
    <cellStyle name="Normal 785 2 2 3" xfId="55797"/>
    <cellStyle name="Normal 785 2 3" xfId="24493"/>
    <cellStyle name="Normal 785 2 3 2" xfId="55798"/>
    <cellStyle name="Normal 785 2 3 3" xfId="55799"/>
    <cellStyle name="Normal 785 2 4" xfId="55800"/>
    <cellStyle name="Normal 785 2 5" xfId="55801"/>
    <cellStyle name="Normal 785 2 6" xfId="55802"/>
    <cellStyle name="Normal 785 2 7" xfId="55803"/>
    <cellStyle name="Normal 785 2 8" xfId="55804"/>
    <cellStyle name="Normal 785 3" xfId="24494"/>
    <cellStyle name="Normal 785 3 2" xfId="55805"/>
    <cellStyle name="Normal 785 3 2 2" xfId="55806"/>
    <cellStyle name="Normal 785 3 2 3" xfId="55807"/>
    <cellStyle name="Normal 785 3 3" xfId="55808"/>
    <cellStyle name="Normal 785 3 3 2" xfId="55809"/>
    <cellStyle name="Normal 785 3 3 3" xfId="55810"/>
    <cellStyle name="Normal 785 3 4" xfId="55811"/>
    <cellStyle name="Normal 785 3 5" xfId="55812"/>
    <cellStyle name="Normal 785 4" xfId="24495"/>
    <cellStyle name="Normal 785 4 2" xfId="55813"/>
    <cellStyle name="Normal 785 4 3" xfId="55814"/>
    <cellStyle name="Normal 785 5" xfId="24496"/>
    <cellStyle name="Normal 785 5 2" xfId="55815"/>
    <cellStyle name="Normal 785 5 3" xfId="55816"/>
    <cellStyle name="Normal 785 6" xfId="55817"/>
    <cellStyle name="Normal 785 7" xfId="55818"/>
    <cellStyle name="Normal 785 8" xfId="55819"/>
    <cellStyle name="Normal 785 9" xfId="55820"/>
    <cellStyle name="Normal 786" xfId="24497"/>
    <cellStyle name="Normal 786 10" xfId="55821"/>
    <cellStyle name="Normal 786 2" xfId="24498"/>
    <cellStyle name="Normal 786 2 2" xfId="24499"/>
    <cellStyle name="Normal 786 2 2 2" xfId="55822"/>
    <cellStyle name="Normal 786 2 2 3" xfId="55823"/>
    <cellStyle name="Normal 786 2 3" xfId="24500"/>
    <cellStyle name="Normal 786 2 3 2" xfId="55824"/>
    <cellStyle name="Normal 786 2 3 3" xfId="55825"/>
    <cellStyle name="Normal 786 2 4" xfId="55826"/>
    <cellStyle name="Normal 786 2 5" xfId="55827"/>
    <cellStyle name="Normal 786 2 6" xfId="55828"/>
    <cellStyle name="Normal 786 2 7" xfId="55829"/>
    <cellStyle name="Normal 786 2 8" xfId="55830"/>
    <cellStyle name="Normal 786 3" xfId="24501"/>
    <cellStyle name="Normal 786 3 2" xfId="55831"/>
    <cellStyle name="Normal 786 3 2 2" xfId="55832"/>
    <cellStyle name="Normal 786 3 2 3" xfId="55833"/>
    <cellStyle name="Normal 786 3 3" xfId="55834"/>
    <cellStyle name="Normal 786 3 3 2" xfId="55835"/>
    <cellStyle name="Normal 786 3 3 3" xfId="55836"/>
    <cellStyle name="Normal 786 3 4" xfId="55837"/>
    <cellStyle name="Normal 786 3 5" xfId="55838"/>
    <cellStyle name="Normal 786 4" xfId="24502"/>
    <cellStyle name="Normal 786 4 2" xfId="55839"/>
    <cellStyle name="Normal 786 4 3" xfId="55840"/>
    <cellStyle name="Normal 786 5" xfId="24503"/>
    <cellStyle name="Normal 786 5 2" xfId="55841"/>
    <cellStyle name="Normal 786 5 3" xfId="55842"/>
    <cellStyle name="Normal 786 6" xfId="55843"/>
    <cellStyle name="Normal 786 7" xfId="55844"/>
    <cellStyle name="Normal 786 8" xfId="55845"/>
    <cellStyle name="Normal 786 9" xfId="55846"/>
    <cellStyle name="Normal 787" xfId="24504"/>
    <cellStyle name="Normal 787 10" xfId="55847"/>
    <cellStyle name="Normal 787 2" xfId="24505"/>
    <cellStyle name="Normal 787 2 2" xfId="24506"/>
    <cellStyle name="Normal 787 2 2 2" xfId="55848"/>
    <cellStyle name="Normal 787 2 2 3" xfId="55849"/>
    <cellStyle name="Normal 787 2 3" xfId="24507"/>
    <cellStyle name="Normal 787 2 3 2" xfId="55850"/>
    <cellStyle name="Normal 787 2 3 3" xfId="55851"/>
    <cellStyle name="Normal 787 2 4" xfId="55852"/>
    <cellStyle name="Normal 787 2 5" xfId="55853"/>
    <cellStyle name="Normal 787 2 6" xfId="55854"/>
    <cellStyle name="Normal 787 2 7" xfId="55855"/>
    <cellStyle name="Normal 787 2 8" xfId="55856"/>
    <cellStyle name="Normal 787 3" xfId="24508"/>
    <cellStyle name="Normal 787 3 2" xfId="55857"/>
    <cellStyle name="Normal 787 3 2 2" xfId="55858"/>
    <cellStyle name="Normal 787 3 2 3" xfId="55859"/>
    <cellStyle name="Normal 787 3 3" xfId="55860"/>
    <cellStyle name="Normal 787 3 3 2" xfId="55861"/>
    <cellStyle name="Normal 787 3 3 3" xfId="55862"/>
    <cellStyle name="Normal 787 3 4" xfId="55863"/>
    <cellStyle name="Normal 787 3 5" xfId="55864"/>
    <cellStyle name="Normal 787 4" xfId="24509"/>
    <cellStyle name="Normal 787 4 2" xfId="55865"/>
    <cellStyle name="Normal 787 4 3" xfId="55866"/>
    <cellStyle name="Normal 787 5" xfId="24510"/>
    <cellStyle name="Normal 787 5 2" xfId="55867"/>
    <cellStyle name="Normal 787 5 3" xfId="55868"/>
    <cellStyle name="Normal 787 6" xfId="55869"/>
    <cellStyle name="Normal 787 7" xfId="55870"/>
    <cellStyle name="Normal 787 8" xfId="55871"/>
    <cellStyle name="Normal 787 9" xfId="55872"/>
    <cellStyle name="Normal 788" xfId="24511"/>
    <cellStyle name="Normal 788 10" xfId="55873"/>
    <cellStyle name="Normal 788 2" xfId="24512"/>
    <cellStyle name="Normal 788 2 2" xfId="24513"/>
    <cellStyle name="Normal 788 2 2 2" xfId="55874"/>
    <cellStyle name="Normal 788 2 2 3" xfId="55875"/>
    <cellStyle name="Normal 788 2 3" xfId="24514"/>
    <cellStyle name="Normal 788 2 3 2" xfId="55876"/>
    <cellStyle name="Normal 788 2 3 3" xfId="55877"/>
    <cellStyle name="Normal 788 2 4" xfId="55878"/>
    <cellStyle name="Normal 788 2 5" xfId="55879"/>
    <cellStyle name="Normal 788 2 6" xfId="55880"/>
    <cellStyle name="Normal 788 2 7" xfId="55881"/>
    <cellStyle name="Normal 788 2 8" xfId="55882"/>
    <cellStyle name="Normal 788 3" xfId="24515"/>
    <cellStyle name="Normal 788 3 2" xfId="55883"/>
    <cellStyle name="Normal 788 3 2 2" xfId="55884"/>
    <cellStyle name="Normal 788 3 2 3" xfId="55885"/>
    <cellStyle name="Normal 788 3 3" xfId="55886"/>
    <cellStyle name="Normal 788 3 3 2" xfId="55887"/>
    <cellStyle name="Normal 788 3 3 3" xfId="55888"/>
    <cellStyle name="Normal 788 3 4" xfId="55889"/>
    <cellStyle name="Normal 788 3 5" xfId="55890"/>
    <cellStyle name="Normal 788 4" xfId="24516"/>
    <cellStyle name="Normal 788 4 2" xfId="55891"/>
    <cellStyle name="Normal 788 4 3" xfId="55892"/>
    <cellStyle name="Normal 788 5" xfId="24517"/>
    <cellStyle name="Normal 788 5 2" xfId="55893"/>
    <cellStyle name="Normal 788 5 3" xfId="55894"/>
    <cellStyle name="Normal 788 6" xfId="55895"/>
    <cellStyle name="Normal 788 7" xfId="55896"/>
    <cellStyle name="Normal 788 8" xfId="55897"/>
    <cellStyle name="Normal 788 9" xfId="55898"/>
    <cellStyle name="Normal 789" xfId="24518"/>
    <cellStyle name="Normal 789 10" xfId="55899"/>
    <cellStyle name="Normal 789 2" xfId="24519"/>
    <cellStyle name="Normal 789 2 2" xfId="24520"/>
    <cellStyle name="Normal 789 2 2 2" xfId="55900"/>
    <cellStyle name="Normal 789 2 2 3" xfId="55901"/>
    <cellStyle name="Normal 789 2 3" xfId="24521"/>
    <cellStyle name="Normal 789 2 3 2" xfId="55902"/>
    <cellStyle name="Normal 789 2 3 3" xfId="55903"/>
    <cellStyle name="Normal 789 2 4" xfId="55904"/>
    <cellStyle name="Normal 789 2 5" xfId="55905"/>
    <cellStyle name="Normal 789 2 6" xfId="55906"/>
    <cellStyle name="Normal 789 2 7" xfId="55907"/>
    <cellStyle name="Normal 789 2 8" xfId="55908"/>
    <cellStyle name="Normal 789 3" xfId="24522"/>
    <cellStyle name="Normal 789 3 2" xfId="55909"/>
    <cellStyle name="Normal 789 3 2 2" xfId="55910"/>
    <cellStyle name="Normal 789 3 2 3" xfId="55911"/>
    <cellStyle name="Normal 789 3 3" xfId="55912"/>
    <cellStyle name="Normal 789 3 3 2" xfId="55913"/>
    <cellStyle name="Normal 789 3 3 3" xfId="55914"/>
    <cellStyle name="Normal 789 3 4" xfId="55915"/>
    <cellStyle name="Normal 789 3 5" xfId="55916"/>
    <cellStyle name="Normal 789 4" xfId="24523"/>
    <cellStyle name="Normal 789 4 2" xfId="55917"/>
    <cellStyle name="Normal 789 4 3" xfId="55918"/>
    <cellStyle name="Normal 789 5" xfId="24524"/>
    <cellStyle name="Normal 789 5 2" xfId="55919"/>
    <cellStyle name="Normal 789 5 3" xfId="55920"/>
    <cellStyle name="Normal 789 6" xfId="55921"/>
    <cellStyle name="Normal 789 7" xfId="55922"/>
    <cellStyle name="Normal 789 8" xfId="55923"/>
    <cellStyle name="Normal 789 9" xfId="55924"/>
    <cellStyle name="Normal 79" xfId="24525"/>
    <cellStyle name="Normal 79 10" xfId="55925"/>
    <cellStyle name="Normal 79 2" xfId="24526"/>
    <cellStyle name="Normal 79 2 2" xfId="24527"/>
    <cellStyle name="Normal 79 2 2 2" xfId="24528"/>
    <cellStyle name="Normal 79 2 2 3" xfId="24529"/>
    <cellStyle name="Normal 79 2 3" xfId="24530"/>
    <cellStyle name="Normal 79 2 3 2" xfId="55926"/>
    <cellStyle name="Normal 79 2 3 3" xfId="55927"/>
    <cellStyle name="Normal 79 2 4" xfId="24531"/>
    <cellStyle name="Normal 79 2 5" xfId="24532"/>
    <cellStyle name="Normal 79 2 6" xfId="55928"/>
    <cellStyle name="Normal 79 2 7" xfId="55929"/>
    <cellStyle name="Normal 79 2 8" xfId="55930"/>
    <cellStyle name="Normal 79 3" xfId="24533"/>
    <cellStyle name="Normal 79 3 2" xfId="24534"/>
    <cellStyle name="Normal 79 3 2 2" xfId="55931"/>
    <cellStyle name="Normal 79 3 2 3" xfId="55932"/>
    <cellStyle name="Normal 79 3 3" xfId="24535"/>
    <cellStyle name="Normal 79 3 3 2" xfId="55933"/>
    <cellStyle name="Normal 79 3 3 3" xfId="55934"/>
    <cellStyle name="Normal 79 3 4" xfId="55935"/>
    <cellStyle name="Normal 79 3 5" xfId="55936"/>
    <cellStyle name="Normal 79 4" xfId="24536"/>
    <cellStyle name="Normal 79 4 2" xfId="55937"/>
    <cellStyle name="Normal 79 4 3" xfId="55938"/>
    <cellStyle name="Normal 79 5" xfId="24537"/>
    <cellStyle name="Normal 79 5 2" xfId="55939"/>
    <cellStyle name="Normal 79 5 3" xfId="55940"/>
    <cellStyle name="Normal 79 6" xfId="24538"/>
    <cellStyle name="Normal 79 7" xfId="55941"/>
    <cellStyle name="Normal 79 8" xfId="55942"/>
    <cellStyle name="Normal 79 9" xfId="55943"/>
    <cellStyle name="Normal 790" xfId="24539"/>
    <cellStyle name="Normal 790 10" xfId="55944"/>
    <cellStyle name="Normal 790 2" xfId="24540"/>
    <cellStyle name="Normal 790 2 2" xfId="24541"/>
    <cellStyle name="Normal 790 2 2 2" xfId="55945"/>
    <cellStyle name="Normal 790 2 2 3" xfId="55946"/>
    <cellStyle name="Normal 790 2 3" xfId="24542"/>
    <cellStyle name="Normal 790 2 3 2" xfId="55947"/>
    <cellStyle name="Normal 790 2 3 3" xfId="55948"/>
    <cellStyle name="Normal 790 2 4" xfId="55949"/>
    <cellStyle name="Normal 790 2 5" xfId="55950"/>
    <cellStyle name="Normal 790 2 6" xfId="55951"/>
    <cellStyle name="Normal 790 2 7" xfId="55952"/>
    <cellStyle name="Normal 790 2 8" xfId="55953"/>
    <cellStyle name="Normal 790 3" xfId="24543"/>
    <cellStyle name="Normal 790 3 2" xfId="55954"/>
    <cellStyle name="Normal 790 3 2 2" xfId="55955"/>
    <cellStyle name="Normal 790 3 2 3" xfId="55956"/>
    <cellStyle name="Normal 790 3 3" xfId="55957"/>
    <cellStyle name="Normal 790 3 3 2" xfId="55958"/>
    <cellStyle name="Normal 790 3 3 3" xfId="55959"/>
    <cellStyle name="Normal 790 3 4" xfId="55960"/>
    <cellStyle name="Normal 790 3 5" xfId="55961"/>
    <cellStyle name="Normal 790 4" xfId="24544"/>
    <cellStyle name="Normal 790 4 2" xfId="55962"/>
    <cellStyle name="Normal 790 4 3" xfId="55963"/>
    <cellStyle name="Normal 790 5" xfId="24545"/>
    <cellStyle name="Normal 790 5 2" xfId="55964"/>
    <cellStyle name="Normal 790 5 3" xfId="55965"/>
    <cellStyle name="Normal 790 6" xfId="55966"/>
    <cellStyle name="Normal 790 7" xfId="55967"/>
    <cellStyle name="Normal 790 8" xfId="55968"/>
    <cellStyle name="Normal 790 9" xfId="55969"/>
    <cellStyle name="Normal 791" xfId="24546"/>
    <cellStyle name="Normal 791 10" xfId="55970"/>
    <cellStyle name="Normal 791 2" xfId="24547"/>
    <cellStyle name="Normal 791 2 2" xfId="24548"/>
    <cellStyle name="Normal 791 2 2 2" xfId="55971"/>
    <cellStyle name="Normal 791 2 2 3" xfId="55972"/>
    <cellStyle name="Normal 791 2 3" xfId="24549"/>
    <cellStyle name="Normal 791 2 3 2" xfId="55973"/>
    <cellStyle name="Normal 791 2 3 3" xfId="55974"/>
    <cellStyle name="Normal 791 2 4" xfId="55975"/>
    <cellStyle name="Normal 791 2 5" xfId="55976"/>
    <cellStyle name="Normal 791 2 6" xfId="55977"/>
    <cellStyle name="Normal 791 2 7" xfId="55978"/>
    <cellStyle name="Normal 791 2 8" xfId="55979"/>
    <cellStyle name="Normal 791 3" xfId="24550"/>
    <cellStyle name="Normal 791 3 2" xfId="55980"/>
    <cellStyle name="Normal 791 3 2 2" xfId="55981"/>
    <cellStyle name="Normal 791 3 2 3" xfId="55982"/>
    <cellStyle name="Normal 791 3 3" xfId="55983"/>
    <cellStyle name="Normal 791 3 3 2" xfId="55984"/>
    <cellStyle name="Normal 791 3 3 3" xfId="55985"/>
    <cellStyle name="Normal 791 3 4" xfId="55986"/>
    <cellStyle name="Normal 791 3 5" xfId="55987"/>
    <cellStyle name="Normal 791 4" xfId="24551"/>
    <cellStyle name="Normal 791 4 2" xfId="55988"/>
    <cellStyle name="Normal 791 4 3" xfId="55989"/>
    <cellStyle name="Normal 791 5" xfId="24552"/>
    <cellStyle name="Normal 791 5 2" xfId="55990"/>
    <cellStyle name="Normal 791 5 3" xfId="55991"/>
    <cellStyle name="Normal 791 6" xfId="55992"/>
    <cellStyle name="Normal 791 7" xfId="55993"/>
    <cellStyle name="Normal 791 8" xfId="55994"/>
    <cellStyle name="Normal 791 9" xfId="55995"/>
    <cellStyle name="Normal 792" xfId="24553"/>
    <cellStyle name="Normal 792 10" xfId="55996"/>
    <cellStyle name="Normal 792 2" xfId="24554"/>
    <cellStyle name="Normal 792 2 2" xfId="24555"/>
    <cellStyle name="Normal 792 2 2 2" xfId="55997"/>
    <cellStyle name="Normal 792 2 2 3" xfId="55998"/>
    <cellStyle name="Normal 792 2 3" xfId="24556"/>
    <cellStyle name="Normal 792 2 3 2" xfId="55999"/>
    <cellStyle name="Normal 792 2 3 3" xfId="56000"/>
    <cellStyle name="Normal 792 2 4" xfId="56001"/>
    <cellStyle name="Normal 792 2 5" xfId="56002"/>
    <cellStyle name="Normal 792 2 6" xfId="56003"/>
    <cellStyle name="Normal 792 2 7" xfId="56004"/>
    <cellStyle name="Normal 792 2 8" xfId="56005"/>
    <cellStyle name="Normal 792 3" xfId="24557"/>
    <cellStyle name="Normal 792 3 2" xfId="56006"/>
    <cellStyle name="Normal 792 3 2 2" xfId="56007"/>
    <cellStyle name="Normal 792 3 2 3" xfId="56008"/>
    <cellStyle name="Normal 792 3 3" xfId="56009"/>
    <cellStyle name="Normal 792 3 3 2" xfId="56010"/>
    <cellStyle name="Normal 792 3 3 3" xfId="56011"/>
    <cellStyle name="Normal 792 3 4" xfId="56012"/>
    <cellStyle name="Normal 792 3 5" xfId="56013"/>
    <cellStyle name="Normal 792 4" xfId="24558"/>
    <cellStyle name="Normal 792 4 2" xfId="56014"/>
    <cellStyle name="Normal 792 4 3" xfId="56015"/>
    <cellStyle name="Normal 792 5" xfId="24559"/>
    <cellStyle name="Normal 792 5 2" xfId="56016"/>
    <cellStyle name="Normal 792 5 3" xfId="56017"/>
    <cellStyle name="Normal 792 6" xfId="56018"/>
    <cellStyle name="Normal 792 7" xfId="56019"/>
    <cellStyle name="Normal 792 8" xfId="56020"/>
    <cellStyle name="Normal 792 9" xfId="56021"/>
    <cellStyle name="Normal 793" xfId="24560"/>
    <cellStyle name="Normal 793 10" xfId="56022"/>
    <cellStyle name="Normal 793 2" xfId="24561"/>
    <cellStyle name="Normal 793 2 2" xfId="24562"/>
    <cellStyle name="Normal 793 2 2 2" xfId="56023"/>
    <cellStyle name="Normal 793 2 2 3" xfId="56024"/>
    <cellStyle name="Normal 793 2 3" xfId="24563"/>
    <cellStyle name="Normal 793 2 3 2" xfId="56025"/>
    <cellStyle name="Normal 793 2 3 3" xfId="56026"/>
    <cellStyle name="Normal 793 2 4" xfId="56027"/>
    <cellStyle name="Normal 793 2 5" xfId="56028"/>
    <cellStyle name="Normal 793 2 6" xfId="56029"/>
    <cellStyle name="Normal 793 2 7" xfId="56030"/>
    <cellStyle name="Normal 793 2 8" xfId="56031"/>
    <cellStyle name="Normal 793 3" xfId="24564"/>
    <cellStyle name="Normal 793 3 2" xfId="56032"/>
    <cellStyle name="Normal 793 3 2 2" xfId="56033"/>
    <cellStyle name="Normal 793 3 2 3" xfId="56034"/>
    <cellStyle name="Normal 793 3 3" xfId="56035"/>
    <cellStyle name="Normal 793 3 3 2" xfId="56036"/>
    <cellStyle name="Normal 793 3 3 3" xfId="56037"/>
    <cellStyle name="Normal 793 3 4" xfId="56038"/>
    <cellStyle name="Normal 793 3 5" xfId="56039"/>
    <cellStyle name="Normal 793 4" xfId="24565"/>
    <cellStyle name="Normal 793 4 2" xfId="56040"/>
    <cellStyle name="Normal 793 4 3" xfId="56041"/>
    <cellStyle name="Normal 793 5" xfId="24566"/>
    <cellStyle name="Normal 793 5 2" xfId="56042"/>
    <cellStyle name="Normal 793 5 3" xfId="56043"/>
    <cellStyle name="Normal 793 6" xfId="56044"/>
    <cellStyle name="Normal 793 7" xfId="56045"/>
    <cellStyle name="Normal 793 8" xfId="56046"/>
    <cellStyle name="Normal 793 9" xfId="56047"/>
    <cellStyle name="Normal 794" xfId="24567"/>
    <cellStyle name="Normal 794 10" xfId="56048"/>
    <cellStyle name="Normal 794 2" xfId="24568"/>
    <cellStyle name="Normal 794 2 2" xfId="24569"/>
    <cellStyle name="Normal 794 2 2 2" xfId="56049"/>
    <cellStyle name="Normal 794 2 2 3" xfId="56050"/>
    <cellStyle name="Normal 794 2 3" xfId="24570"/>
    <cellStyle name="Normal 794 2 3 2" xfId="56051"/>
    <cellStyle name="Normal 794 2 3 3" xfId="56052"/>
    <cellStyle name="Normal 794 2 4" xfId="56053"/>
    <cellStyle name="Normal 794 2 5" xfId="56054"/>
    <cellStyle name="Normal 794 2 6" xfId="56055"/>
    <cellStyle name="Normal 794 2 7" xfId="56056"/>
    <cellStyle name="Normal 794 2 8" xfId="56057"/>
    <cellStyle name="Normal 794 3" xfId="24571"/>
    <cellStyle name="Normal 794 3 2" xfId="56058"/>
    <cellStyle name="Normal 794 3 2 2" xfId="56059"/>
    <cellStyle name="Normal 794 3 2 3" xfId="56060"/>
    <cellStyle name="Normal 794 3 3" xfId="56061"/>
    <cellStyle name="Normal 794 3 3 2" xfId="56062"/>
    <cellStyle name="Normal 794 3 3 3" xfId="56063"/>
    <cellStyle name="Normal 794 3 4" xfId="56064"/>
    <cellStyle name="Normal 794 3 5" xfId="56065"/>
    <cellStyle name="Normal 794 4" xfId="24572"/>
    <cellStyle name="Normal 794 4 2" xfId="56066"/>
    <cellStyle name="Normal 794 4 3" xfId="56067"/>
    <cellStyle name="Normal 794 5" xfId="24573"/>
    <cellStyle name="Normal 794 5 2" xfId="56068"/>
    <cellStyle name="Normal 794 5 3" xfId="56069"/>
    <cellStyle name="Normal 794 6" xfId="56070"/>
    <cellStyle name="Normal 794 7" xfId="56071"/>
    <cellStyle name="Normal 794 8" xfId="56072"/>
    <cellStyle name="Normal 794 9" xfId="56073"/>
    <cellStyle name="Normal 795" xfId="24574"/>
    <cellStyle name="Normal 795 10" xfId="56074"/>
    <cellStyle name="Normal 795 2" xfId="24575"/>
    <cellStyle name="Normal 795 2 2" xfId="24576"/>
    <cellStyle name="Normal 795 2 2 2" xfId="56075"/>
    <cellStyle name="Normal 795 2 2 3" xfId="56076"/>
    <cellStyle name="Normal 795 2 3" xfId="24577"/>
    <cellStyle name="Normal 795 2 3 2" xfId="56077"/>
    <cellStyle name="Normal 795 2 3 3" xfId="56078"/>
    <cellStyle name="Normal 795 2 4" xfId="56079"/>
    <cellStyle name="Normal 795 2 5" xfId="56080"/>
    <cellStyle name="Normal 795 2 6" xfId="56081"/>
    <cellStyle name="Normal 795 2 7" xfId="56082"/>
    <cellStyle name="Normal 795 2 8" xfId="56083"/>
    <cellStyle name="Normal 795 3" xfId="24578"/>
    <cellStyle name="Normal 795 3 2" xfId="56084"/>
    <cellStyle name="Normal 795 3 2 2" xfId="56085"/>
    <cellStyle name="Normal 795 3 2 3" xfId="56086"/>
    <cellStyle name="Normal 795 3 3" xfId="56087"/>
    <cellStyle name="Normal 795 3 3 2" xfId="56088"/>
    <cellStyle name="Normal 795 3 3 3" xfId="56089"/>
    <cellStyle name="Normal 795 3 4" xfId="56090"/>
    <cellStyle name="Normal 795 3 5" xfId="56091"/>
    <cellStyle name="Normal 795 4" xfId="24579"/>
    <cellStyle name="Normal 795 4 2" xfId="56092"/>
    <cellStyle name="Normal 795 4 3" xfId="56093"/>
    <cellStyle name="Normal 795 5" xfId="24580"/>
    <cellStyle name="Normal 795 5 2" xfId="56094"/>
    <cellStyle name="Normal 795 5 3" xfId="56095"/>
    <cellStyle name="Normal 795 6" xfId="56096"/>
    <cellStyle name="Normal 795 7" xfId="56097"/>
    <cellStyle name="Normal 795 8" xfId="56098"/>
    <cellStyle name="Normal 795 9" xfId="56099"/>
    <cellStyle name="Normal 796" xfId="24581"/>
    <cellStyle name="Normal 796 10" xfId="56100"/>
    <cellStyle name="Normal 796 2" xfId="24582"/>
    <cellStyle name="Normal 796 2 2" xfId="24583"/>
    <cellStyle name="Normal 796 2 2 2" xfId="56101"/>
    <cellStyle name="Normal 796 2 2 3" xfId="56102"/>
    <cellStyle name="Normal 796 2 3" xfId="24584"/>
    <cellStyle name="Normal 796 2 3 2" xfId="56103"/>
    <cellStyle name="Normal 796 2 3 3" xfId="56104"/>
    <cellStyle name="Normal 796 2 4" xfId="56105"/>
    <cellStyle name="Normal 796 2 5" xfId="56106"/>
    <cellStyle name="Normal 796 2 6" xfId="56107"/>
    <cellStyle name="Normal 796 2 7" xfId="56108"/>
    <cellStyle name="Normal 796 2 8" xfId="56109"/>
    <cellStyle name="Normal 796 3" xfId="24585"/>
    <cellStyle name="Normal 796 3 2" xfId="56110"/>
    <cellStyle name="Normal 796 3 2 2" xfId="56111"/>
    <cellStyle name="Normal 796 3 2 3" xfId="56112"/>
    <cellStyle name="Normal 796 3 3" xfId="56113"/>
    <cellStyle name="Normal 796 3 3 2" xfId="56114"/>
    <cellStyle name="Normal 796 3 3 3" xfId="56115"/>
    <cellStyle name="Normal 796 3 4" xfId="56116"/>
    <cellStyle name="Normal 796 3 5" xfId="56117"/>
    <cellStyle name="Normal 796 4" xfId="24586"/>
    <cellStyle name="Normal 796 4 2" xfId="56118"/>
    <cellStyle name="Normal 796 4 3" xfId="56119"/>
    <cellStyle name="Normal 796 5" xfId="24587"/>
    <cellStyle name="Normal 796 5 2" xfId="56120"/>
    <cellStyle name="Normal 796 5 3" xfId="56121"/>
    <cellStyle name="Normal 796 6" xfId="56122"/>
    <cellStyle name="Normal 796 7" xfId="56123"/>
    <cellStyle name="Normal 796 8" xfId="56124"/>
    <cellStyle name="Normal 796 9" xfId="56125"/>
    <cellStyle name="Normal 797" xfId="24588"/>
    <cellStyle name="Normal 797 10" xfId="56126"/>
    <cellStyle name="Normal 797 2" xfId="24589"/>
    <cellStyle name="Normal 797 2 2" xfId="24590"/>
    <cellStyle name="Normal 797 2 2 2" xfId="56127"/>
    <cellStyle name="Normal 797 2 2 3" xfId="56128"/>
    <cellStyle name="Normal 797 2 3" xfId="24591"/>
    <cellStyle name="Normal 797 2 3 2" xfId="56129"/>
    <cellStyle name="Normal 797 2 3 3" xfId="56130"/>
    <cellStyle name="Normal 797 2 4" xfId="56131"/>
    <cellStyle name="Normal 797 2 5" xfId="56132"/>
    <cellStyle name="Normal 797 2 6" xfId="56133"/>
    <cellStyle name="Normal 797 2 7" xfId="56134"/>
    <cellStyle name="Normal 797 2 8" xfId="56135"/>
    <cellStyle name="Normal 797 3" xfId="24592"/>
    <cellStyle name="Normal 797 3 2" xfId="56136"/>
    <cellStyle name="Normal 797 3 2 2" xfId="56137"/>
    <cellStyle name="Normal 797 3 2 3" xfId="56138"/>
    <cellStyle name="Normal 797 3 3" xfId="56139"/>
    <cellStyle name="Normal 797 3 3 2" xfId="56140"/>
    <cellStyle name="Normal 797 3 3 3" xfId="56141"/>
    <cellStyle name="Normal 797 3 4" xfId="56142"/>
    <cellStyle name="Normal 797 3 5" xfId="56143"/>
    <cellStyle name="Normal 797 4" xfId="24593"/>
    <cellStyle name="Normal 797 4 2" xfId="56144"/>
    <cellStyle name="Normal 797 4 3" xfId="56145"/>
    <cellStyle name="Normal 797 5" xfId="24594"/>
    <cellStyle name="Normal 797 5 2" xfId="56146"/>
    <cellStyle name="Normal 797 5 3" xfId="56147"/>
    <cellStyle name="Normal 797 6" xfId="56148"/>
    <cellStyle name="Normal 797 7" xfId="56149"/>
    <cellStyle name="Normal 797 8" xfId="56150"/>
    <cellStyle name="Normal 797 9" xfId="56151"/>
    <cellStyle name="Normal 798" xfId="24595"/>
    <cellStyle name="Normal 798 10" xfId="56152"/>
    <cellStyle name="Normal 798 2" xfId="24596"/>
    <cellStyle name="Normal 798 2 2" xfId="24597"/>
    <cellStyle name="Normal 798 2 2 2" xfId="56153"/>
    <cellStyle name="Normal 798 2 2 3" xfId="56154"/>
    <cellStyle name="Normal 798 2 3" xfId="24598"/>
    <cellStyle name="Normal 798 2 3 2" xfId="56155"/>
    <cellStyle name="Normal 798 2 3 3" xfId="56156"/>
    <cellStyle name="Normal 798 2 4" xfId="56157"/>
    <cellStyle name="Normal 798 2 5" xfId="56158"/>
    <cellStyle name="Normal 798 2 6" xfId="56159"/>
    <cellStyle name="Normal 798 2 7" xfId="56160"/>
    <cellStyle name="Normal 798 2 8" xfId="56161"/>
    <cellStyle name="Normal 798 3" xfId="24599"/>
    <cellStyle name="Normal 798 3 2" xfId="56162"/>
    <cellStyle name="Normal 798 3 2 2" xfId="56163"/>
    <cellStyle name="Normal 798 3 2 3" xfId="56164"/>
    <cellStyle name="Normal 798 3 3" xfId="56165"/>
    <cellStyle name="Normal 798 3 3 2" xfId="56166"/>
    <cellStyle name="Normal 798 3 3 3" xfId="56167"/>
    <cellStyle name="Normal 798 3 4" xfId="56168"/>
    <cellStyle name="Normal 798 3 5" xfId="56169"/>
    <cellStyle name="Normal 798 4" xfId="24600"/>
    <cellStyle name="Normal 798 4 2" xfId="56170"/>
    <cellStyle name="Normal 798 4 3" xfId="56171"/>
    <cellStyle name="Normal 798 5" xfId="24601"/>
    <cellStyle name="Normal 798 5 2" xfId="56172"/>
    <cellStyle name="Normal 798 5 3" xfId="56173"/>
    <cellStyle name="Normal 798 6" xfId="56174"/>
    <cellStyle name="Normal 798 7" xfId="56175"/>
    <cellStyle name="Normal 798 8" xfId="56176"/>
    <cellStyle name="Normal 798 9" xfId="56177"/>
    <cellStyle name="Normal 799" xfId="24602"/>
    <cellStyle name="Normal 799 10" xfId="56178"/>
    <cellStyle name="Normal 799 2" xfId="24603"/>
    <cellStyle name="Normal 799 2 2" xfId="24604"/>
    <cellStyle name="Normal 799 2 2 2" xfId="56179"/>
    <cellStyle name="Normal 799 2 2 3" xfId="56180"/>
    <cellStyle name="Normal 799 2 3" xfId="24605"/>
    <cellStyle name="Normal 799 2 3 2" xfId="56181"/>
    <cellStyle name="Normal 799 2 3 3" xfId="56182"/>
    <cellStyle name="Normal 799 2 4" xfId="56183"/>
    <cellStyle name="Normal 799 2 5" xfId="56184"/>
    <cellStyle name="Normal 799 2 6" xfId="56185"/>
    <cellStyle name="Normal 799 2 7" xfId="56186"/>
    <cellStyle name="Normal 799 2 8" xfId="56187"/>
    <cellStyle name="Normal 799 3" xfId="24606"/>
    <cellStyle name="Normal 799 3 2" xfId="56188"/>
    <cellStyle name="Normal 799 3 2 2" xfId="56189"/>
    <cellStyle name="Normal 799 3 2 3" xfId="56190"/>
    <cellStyle name="Normal 799 3 3" xfId="56191"/>
    <cellStyle name="Normal 799 3 3 2" xfId="56192"/>
    <cellStyle name="Normal 799 3 3 3" xfId="56193"/>
    <cellStyle name="Normal 799 3 4" xfId="56194"/>
    <cellStyle name="Normal 799 3 5" xfId="56195"/>
    <cellStyle name="Normal 799 4" xfId="24607"/>
    <cellStyle name="Normal 799 4 2" xfId="56196"/>
    <cellStyle name="Normal 799 4 3" xfId="56197"/>
    <cellStyle name="Normal 799 5" xfId="24608"/>
    <cellStyle name="Normal 799 5 2" xfId="56198"/>
    <cellStyle name="Normal 799 5 3" xfId="56199"/>
    <cellStyle name="Normal 799 6" xfId="56200"/>
    <cellStyle name="Normal 799 7" xfId="56201"/>
    <cellStyle name="Normal 799 8" xfId="56202"/>
    <cellStyle name="Normal 799 9" xfId="56203"/>
    <cellStyle name="Normal 8" xfId="24609"/>
    <cellStyle name="Normal 8 10" xfId="56204"/>
    <cellStyle name="Normal 8 2" xfId="24610"/>
    <cellStyle name="Normal 8 2 2" xfId="24611"/>
    <cellStyle name="Normal 8 2 2 2" xfId="24612"/>
    <cellStyle name="Normal 8 2 2 3" xfId="24613"/>
    <cellStyle name="Normal 8 2 3" xfId="24614"/>
    <cellStyle name="Normal 8 2 3 2" xfId="56205"/>
    <cellStyle name="Normal 8 2 3 3" xfId="56206"/>
    <cellStyle name="Normal 8 2 4" xfId="24615"/>
    <cellStyle name="Normal 8 2 5" xfId="56207"/>
    <cellStyle name="Normal 8 2 6" xfId="56208"/>
    <cellStyle name="Normal 8 2 7" xfId="56209"/>
    <cellStyle name="Normal 8 2 8" xfId="56210"/>
    <cellStyle name="Normal 8 3" xfId="24616"/>
    <cellStyle name="Normal 8 3 2" xfId="24617"/>
    <cellStyle name="Normal 8 3 2 2" xfId="56211"/>
    <cellStyle name="Normal 8 3 2 3" xfId="56212"/>
    <cellStyle name="Normal 8 3 3" xfId="24618"/>
    <cellStyle name="Normal 8 3 3 2" xfId="56213"/>
    <cellStyle name="Normal 8 3 3 3" xfId="56214"/>
    <cellStyle name="Normal 8 3 4" xfId="56215"/>
    <cellStyle name="Normal 8 3 5" xfId="56216"/>
    <cellStyle name="Normal 8 4" xfId="24619"/>
    <cellStyle name="Normal 8 4 2" xfId="56217"/>
    <cellStyle name="Normal 8 4 3" xfId="56218"/>
    <cellStyle name="Normal 8 5" xfId="24620"/>
    <cellStyle name="Normal 8 5 2" xfId="56219"/>
    <cellStyle name="Normal 8 5 3" xfId="56220"/>
    <cellStyle name="Normal 8 6" xfId="56221"/>
    <cellStyle name="Normal 8 7" xfId="56222"/>
    <cellStyle name="Normal 8 8" xfId="56223"/>
    <cellStyle name="Normal 8 9" xfId="56224"/>
    <cellStyle name="Normal 80" xfId="24621"/>
    <cellStyle name="Normal 80 10" xfId="56225"/>
    <cellStyle name="Normal 80 2" xfId="24622"/>
    <cellStyle name="Normal 80 2 2" xfId="24623"/>
    <cellStyle name="Normal 80 2 2 2" xfId="24624"/>
    <cellStyle name="Normal 80 2 2 3" xfId="24625"/>
    <cellStyle name="Normal 80 2 3" xfId="24626"/>
    <cellStyle name="Normal 80 2 3 2" xfId="56226"/>
    <cellStyle name="Normal 80 2 3 3" xfId="56227"/>
    <cellStyle name="Normal 80 2 4" xfId="24627"/>
    <cellStyle name="Normal 80 2 5" xfId="24628"/>
    <cellStyle name="Normal 80 2 6" xfId="56228"/>
    <cellStyle name="Normal 80 2 7" xfId="56229"/>
    <cellStyle name="Normal 80 2 8" xfId="56230"/>
    <cellStyle name="Normal 80 3" xfId="24629"/>
    <cellStyle name="Normal 80 3 2" xfId="24630"/>
    <cellStyle name="Normal 80 3 2 2" xfId="56231"/>
    <cellStyle name="Normal 80 3 2 3" xfId="56232"/>
    <cellStyle name="Normal 80 3 3" xfId="24631"/>
    <cellStyle name="Normal 80 3 3 2" xfId="56233"/>
    <cellStyle name="Normal 80 3 3 3" xfId="56234"/>
    <cellStyle name="Normal 80 3 4" xfId="56235"/>
    <cellStyle name="Normal 80 3 5" xfId="56236"/>
    <cellStyle name="Normal 80 4" xfId="24632"/>
    <cellStyle name="Normal 80 4 2" xfId="56237"/>
    <cellStyle name="Normal 80 4 3" xfId="56238"/>
    <cellStyle name="Normal 80 5" xfId="24633"/>
    <cellStyle name="Normal 80 5 2" xfId="56239"/>
    <cellStyle name="Normal 80 5 3" xfId="56240"/>
    <cellStyle name="Normal 80 6" xfId="24634"/>
    <cellStyle name="Normal 80 7" xfId="56241"/>
    <cellStyle name="Normal 80 8" xfId="56242"/>
    <cellStyle name="Normal 80 9" xfId="56243"/>
    <cellStyle name="Normal 800" xfId="24635"/>
    <cellStyle name="Normal 800 10" xfId="56244"/>
    <cellStyle name="Normal 800 2" xfId="24636"/>
    <cellStyle name="Normal 800 2 2" xfId="24637"/>
    <cellStyle name="Normal 800 2 2 2" xfId="56245"/>
    <cellStyle name="Normal 800 2 2 3" xfId="56246"/>
    <cellStyle name="Normal 800 2 3" xfId="24638"/>
    <cellStyle name="Normal 800 2 3 2" xfId="56247"/>
    <cellStyle name="Normal 800 2 3 3" xfId="56248"/>
    <cellStyle name="Normal 800 2 4" xfId="56249"/>
    <cellStyle name="Normal 800 2 5" xfId="56250"/>
    <cellStyle name="Normal 800 2 6" xfId="56251"/>
    <cellStyle name="Normal 800 2 7" xfId="56252"/>
    <cellStyle name="Normal 800 2 8" xfId="56253"/>
    <cellStyle name="Normal 800 3" xfId="24639"/>
    <cellStyle name="Normal 800 3 2" xfId="56254"/>
    <cellStyle name="Normal 800 3 2 2" xfId="56255"/>
    <cellStyle name="Normal 800 3 2 3" xfId="56256"/>
    <cellStyle name="Normal 800 3 3" xfId="56257"/>
    <cellStyle name="Normal 800 3 3 2" xfId="56258"/>
    <cellStyle name="Normal 800 3 3 3" xfId="56259"/>
    <cellStyle name="Normal 800 3 4" xfId="56260"/>
    <cellStyle name="Normal 800 3 5" xfId="56261"/>
    <cellStyle name="Normal 800 4" xfId="24640"/>
    <cellStyle name="Normal 800 4 2" xfId="56262"/>
    <cellStyle name="Normal 800 4 3" xfId="56263"/>
    <cellStyle name="Normal 800 5" xfId="24641"/>
    <cellStyle name="Normal 800 5 2" xfId="56264"/>
    <cellStyle name="Normal 800 5 3" xfId="56265"/>
    <cellStyle name="Normal 800 6" xfId="56266"/>
    <cellStyle name="Normal 800 7" xfId="56267"/>
    <cellStyle name="Normal 800 8" xfId="56268"/>
    <cellStyle name="Normal 800 9" xfId="56269"/>
    <cellStyle name="Normal 801" xfId="24642"/>
    <cellStyle name="Normal 801 10" xfId="56270"/>
    <cellStyle name="Normal 801 2" xfId="24643"/>
    <cellStyle name="Normal 801 2 2" xfId="24644"/>
    <cellStyle name="Normal 801 2 2 2" xfId="56271"/>
    <cellStyle name="Normal 801 2 2 3" xfId="56272"/>
    <cellStyle name="Normal 801 2 3" xfId="24645"/>
    <cellStyle name="Normal 801 2 3 2" xfId="56273"/>
    <cellStyle name="Normal 801 2 3 3" xfId="56274"/>
    <cellStyle name="Normal 801 2 4" xfId="56275"/>
    <cellStyle name="Normal 801 2 5" xfId="56276"/>
    <cellStyle name="Normal 801 2 6" xfId="56277"/>
    <cellStyle name="Normal 801 2 7" xfId="56278"/>
    <cellStyle name="Normal 801 2 8" xfId="56279"/>
    <cellStyle name="Normal 801 3" xfId="24646"/>
    <cellStyle name="Normal 801 3 2" xfId="56280"/>
    <cellStyle name="Normal 801 3 2 2" xfId="56281"/>
    <cellStyle name="Normal 801 3 2 3" xfId="56282"/>
    <cellStyle name="Normal 801 3 3" xfId="56283"/>
    <cellStyle name="Normal 801 3 3 2" xfId="56284"/>
    <cellStyle name="Normal 801 3 3 3" xfId="56285"/>
    <cellStyle name="Normal 801 3 4" xfId="56286"/>
    <cellStyle name="Normal 801 3 5" xfId="56287"/>
    <cellStyle name="Normal 801 4" xfId="24647"/>
    <cellStyle name="Normal 801 4 2" xfId="56288"/>
    <cellStyle name="Normal 801 4 3" xfId="56289"/>
    <cellStyle name="Normal 801 5" xfId="24648"/>
    <cellStyle name="Normal 801 5 2" xfId="56290"/>
    <cellStyle name="Normal 801 5 3" xfId="56291"/>
    <cellStyle name="Normal 801 6" xfId="56292"/>
    <cellStyle name="Normal 801 7" xfId="56293"/>
    <cellStyle name="Normal 801 8" xfId="56294"/>
    <cellStyle name="Normal 801 9" xfId="56295"/>
    <cellStyle name="Normal 802" xfId="24649"/>
    <cellStyle name="Normal 802 10" xfId="56296"/>
    <cellStyle name="Normal 802 2" xfId="24650"/>
    <cellStyle name="Normal 802 2 2" xfId="24651"/>
    <cellStyle name="Normal 802 2 2 2" xfId="56297"/>
    <cellStyle name="Normal 802 2 2 3" xfId="56298"/>
    <cellStyle name="Normal 802 2 3" xfId="24652"/>
    <cellStyle name="Normal 802 2 3 2" xfId="56299"/>
    <cellStyle name="Normal 802 2 3 3" xfId="56300"/>
    <cellStyle name="Normal 802 2 4" xfId="56301"/>
    <cellStyle name="Normal 802 2 5" xfId="56302"/>
    <cellStyle name="Normal 802 2 6" xfId="56303"/>
    <cellStyle name="Normal 802 2 7" xfId="56304"/>
    <cellStyle name="Normal 802 2 8" xfId="56305"/>
    <cellStyle name="Normal 802 3" xfId="24653"/>
    <cellStyle name="Normal 802 3 2" xfId="56306"/>
    <cellStyle name="Normal 802 3 2 2" xfId="56307"/>
    <cellStyle name="Normal 802 3 2 3" xfId="56308"/>
    <cellStyle name="Normal 802 3 3" xfId="56309"/>
    <cellStyle name="Normal 802 3 3 2" xfId="56310"/>
    <cellStyle name="Normal 802 3 3 3" xfId="56311"/>
    <cellStyle name="Normal 802 3 4" xfId="56312"/>
    <cellStyle name="Normal 802 3 5" xfId="56313"/>
    <cellStyle name="Normal 802 4" xfId="24654"/>
    <cellStyle name="Normal 802 4 2" xfId="56314"/>
    <cellStyle name="Normal 802 4 3" xfId="56315"/>
    <cellStyle name="Normal 802 5" xfId="24655"/>
    <cellStyle name="Normal 802 5 2" xfId="56316"/>
    <cellStyle name="Normal 802 5 3" xfId="56317"/>
    <cellStyle name="Normal 802 6" xfId="56318"/>
    <cellStyle name="Normal 802 7" xfId="56319"/>
    <cellStyle name="Normal 802 8" xfId="56320"/>
    <cellStyle name="Normal 802 9" xfId="56321"/>
    <cellStyle name="Normal 803" xfId="24656"/>
    <cellStyle name="Normal 803 10" xfId="56322"/>
    <cellStyle name="Normal 803 2" xfId="24657"/>
    <cellStyle name="Normal 803 2 2" xfId="24658"/>
    <cellStyle name="Normal 803 2 2 2" xfId="56323"/>
    <cellStyle name="Normal 803 2 2 3" xfId="56324"/>
    <cellStyle name="Normal 803 2 3" xfId="24659"/>
    <cellStyle name="Normal 803 2 3 2" xfId="56325"/>
    <cellStyle name="Normal 803 2 3 3" xfId="56326"/>
    <cellStyle name="Normal 803 2 4" xfId="56327"/>
    <cellStyle name="Normal 803 2 5" xfId="56328"/>
    <cellStyle name="Normal 803 2 6" xfId="56329"/>
    <cellStyle name="Normal 803 2 7" xfId="56330"/>
    <cellStyle name="Normal 803 2 8" xfId="56331"/>
    <cellStyle name="Normal 803 3" xfId="24660"/>
    <cellStyle name="Normal 803 3 2" xfId="56332"/>
    <cellStyle name="Normal 803 3 2 2" xfId="56333"/>
    <cellStyle name="Normal 803 3 2 3" xfId="56334"/>
    <cellStyle name="Normal 803 3 3" xfId="56335"/>
    <cellStyle name="Normal 803 3 3 2" xfId="56336"/>
    <cellStyle name="Normal 803 3 3 3" xfId="56337"/>
    <cellStyle name="Normal 803 3 4" xfId="56338"/>
    <cellStyle name="Normal 803 3 5" xfId="56339"/>
    <cellStyle name="Normal 803 4" xfId="24661"/>
    <cellStyle name="Normal 803 4 2" xfId="56340"/>
    <cellStyle name="Normal 803 4 3" xfId="56341"/>
    <cellStyle name="Normal 803 5" xfId="24662"/>
    <cellStyle name="Normal 803 5 2" xfId="56342"/>
    <cellStyle name="Normal 803 5 3" xfId="56343"/>
    <cellStyle name="Normal 803 6" xfId="56344"/>
    <cellStyle name="Normal 803 7" xfId="56345"/>
    <cellStyle name="Normal 803 8" xfId="56346"/>
    <cellStyle name="Normal 803 9" xfId="56347"/>
    <cellStyle name="Normal 804" xfId="24663"/>
    <cellStyle name="Normal 804 10" xfId="56348"/>
    <cellStyle name="Normal 804 2" xfId="24664"/>
    <cellStyle name="Normal 804 2 2" xfId="24665"/>
    <cellStyle name="Normal 804 2 2 2" xfId="56349"/>
    <cellStyle name="Normal 804 2 2 3" xfId="56350"/>
    <cellStyle name="Normal 804 2 3" xfId="24666"/>
    <cellStyle name="Normal 804 2 3 2" xfId="56351"/>
    <cellStyle name="Normal 804 2 3 3" xfId="56352"/>
    <cellStyle name="Normal 804 2 4" xfId="56353"/>
    <cellStyle name="Normal 804 2 5" xfId="56354"/>
    <cellStyle name="Normal 804 2 6" xfId="56355"/>
    <cellStyle name="Normal 804 2 7" xfId="56356"/>
    <cellStyle name="Normal 804 2 8" xfId="56357"/>
    <cellStyle name="Normal 804 3" xfId="24667"/>
    <cellStyle name="Normal 804 3 2" xfId="56358"/>
    <cellStyle name="Normal 804 3 2 2" xfId="56359"/>
    <cellStyle name="Normal 804 3 2 3" xfId="56360"/>
    <cellStyle name="Normal 804 3 3" xfId="56361"/>
    <cellStyle name="Normal 804 3 3 2" xfId="56362"/>
    <cellStyle name="Normal 804 3 3 3" xfId="56363"/>
    <cellStyle name="Normal 804 3 4" xfId="56364"/>
    <cellStyle name="Normal 804 3 5" xfId="56365"/>
    <cellStyle name="Normal 804 4" xfId="24668"/>
    <cellStyle name="Normal 804 4 2" xfId="56366"/>
    <cellStyle name="Normal 804 4 3" xfId="56367"/>
    <cellStyle name="Normal 804 5" xfId="24669"/>
    <cellStyle name="Normal 804 5 2" xfId="56368"/>
    <cellStyle name="Normal 804 5 3" xfId="56369"/>
    <cellStyle name="Normal 804 6" xfId="56370"/>
    <cellStyle name="Normal 804 7" xfId="56371"/>
    <cellStyle name="Normal 804 8" xfId="56372"/>
    <cellStyle name="Normal 804 9" xfId="56373"/>
    <cellStyle name="Normal 805" xfId="24670"/>
    <cellStyle name="Normal 805 10" xfId="56374"/>
    <cellStyle name="Normal 805 2" xfId="24671"/>
    <cellStyle name="Normal 805 2 2" xfId="24672"/>
    <cellStyle name="Normal 805 2 2 2" xfId="56375"/>
    <cellStyle name="Normal 805 2 2 3" xfId="56376"/>
    <cellStyle name="Normal 805 2 3" xfId="24673"/>
    <cellStyle name="Normal 805 2 3 2" xfId="56377"/>
    <cellStyle name="Normal 805 2 3 3" xfId="56378"/>
    <cellStyle name="Normal 805 2 4" xfId="56379"/>
    <cellStyle name="Normal 805 2 5" xfId="56380"/>
    <cellStyle name="Normal 805 2 6" xfId="56381"/>
    <cellStyle name="Normal 805 2 7" xfId="56382"/>
    <cellStyle name="Normal 805 2 8" xfId="56383"/>
    <cellStyle name="Normal 805 3" xfId="24674"/>
    <cellStyle name="Normal 805 3 2" xfId="56384"/>
    <cellStyle name="Normal 805 3 2 2" xfId="56385"/>
    <cellStyle name="Normal 805 3 2 3" xfId="56386"/>
    <cellStyle name="Normal 805 3 3" xfId="56387"/>
    <cellStyle name="Normal 805 3 3 2" xfId="56388"/>
    <cellStyle name="Normal 805 3 3 3" xfId="56389"/>
    <cellStyle name="Normal 805 3 4" xfId="56390"/>
    <cellStyle name="Normal 805 3 5" xfId="56391"/>
    <cellStyle name="Normal 805 4" xfId="24675"/>
    <cellStyle name="Normal 805 4 2" xfId="56392"/>
    <cellStyle name="Normal 805 4 3" xfId="56393"/>
    <cellStyle name="Normal 805 5" xfId="24676"/>
    <cellStyle name="Normal 805 5 2" xfId="56394"/>
    <cellStyle name="Normal 805 5 3" xfId="56395"/>
    <cellStyle name="Normal 805 6" xfId="56396"/>
    <cellStyle name="Normal 805 7" xfId="56397"/>
    <cellStyle name="Normal 805 8" xfId="56398"/>
    <cellStyle name="Normal 805 9" xfId="56399"/>
    <cellStyle name="Normal 806" xfId="24677"/>
    <cellStyle name="Normal 806 10" xfId="56400"/>
    <cellStyle name="Normal 806 2" xfId="24678"/>
    <cellStyle name="Normal 806 2 2" xfId="24679"/>
    <cellStyle name="Normal 806 2 2 2" xfId="56401"/>
    <cellStyle name="Normal 806 2 2 3" xfId="56402"/>
    <cellStyle name="Normal 806 2 3" xfId="24680"/>
    <cellStyle name="Normal 806 2 3 2" xfId="56403"/>
    <cellStyle name="Normal 806 2 3 3" xfId="56404"/>
    <cellStyle name="Normal 806 2 4" xfId="56405"/>
    <cellStyle name="Normal 806 2 5" xfId="56406"/>
    <cellStyle name="Normal 806 2 6" xfId="56407"/>
    <cellStyle name="Normal 806 2 7" xfId="56408"/>
    <cellStyle name="Normal 806 2 8" xfId="56409"/>
    <cellStyle name="Normal 806 3" xfId="24681"/>
    <cellStyle name="Normal 806 3 2" xfId="56410"/>
    <cellStyle name="Normal 806 3 2 2" xfId="56411"/>
    <cellStyle name="Normal 806 3 2 3" xfId="56412"/>
    <cellStyle name="Normal 806 3 3" xfId="56413"/>
    <cellStyle name="Normal 806 3 3 2" xfId="56414"/>
    <cellStyle name="Normal 806 3 3 3" xfId="56415"/>
    <cellStyle name="Normal 806 3 4" xfId="56416"/>
    <cellStyle name="Normal 806 3 5" xfId="56417"/>
    <cellStyle name="Normal 806 4" xfId="24682"/>
    <cellStyle name="Normal 806 4 2" xfId="56418"/>
    <cellStyle name="Normal 806 4 3" xfId="56419"/>
    <cellStyle name="Normal 806 5" xfId="24683"/>
    <cellStyle name="Normal 806 5 2" xfId="56420"/>
    <cellStyle name="Normal 806 5 3" xfId="56421"/>
    <cellStyle name="Normal 806 6" xfId="56422"/>
    <cellStyle name="Normal 806 7" xfId="56423"/>
    <cellStyle name="Normal 806 8" xfId="56424"/>
    <cellStyle name="Normal 806 9" xfId="56425"/>
    <cellStyle name="Normal 807" xfId="24684"/>
    <cellStyle name="Normal 807 10" xfId="56426"/>
    <cellStyle name="Normal 807 2" xfId="24685"/>
    <cellStyle name="Normal 807 2 2" xfId="24686"/>
    <cellStyle name="Normal 807 2 2 2" xfId="56427"/>
    <cellStyle name="Normal 807 2 2 3" xfId="56428"/>
    <cellStyle name="Normal 807 2 3" xfId="24687"/>
    <cellStyle name="Normal 807 2 3 2" xfId="56429"/>
    <cellStyle name="Normal 807 2 3 3" xfId="56430"/>
    <cellStyle name="Normal 807 2 4" xfId="56431"/>
    <cellStyle name="Normal 807 2 5" xfId="56432"/>
    <cellStyle name="Normal 807 2 6" xfId="56433"/>
    <cellStyle name="Normal 807 2 7" xfId="56434"/>
    <cellStyle name="Normal 807 2 8" xfId="56435"/>
    <cellStyle name="Normal 807 3" xfId="24688"/>
    <cellStyle name="Normal 807 3 2" xfId="56436"/>
    <cellStyle name="Normal 807 3 2 2" xfId="56437"/>
    <cellStyle name="Normal 807 3 2 3" xfId="56438"/>
    <cellStyle name="Normal 807 3 3" xfId="56439"/>
    <cellStyle name="Normal 807 3 3 2" xfId="56440"/>
    <cellStyle name="Normal 807 3 3 3" xfId="56441"/>
    <cellStyle name="Normal 807 3 4" xfId="56442"/>
    <cellStyle name="Normal 807 3 5" xfId="56443"/>
    <cellStyle name="Normal 807 4" xfId="24689"/>
    <cellStyle name="Normal 807 4 2" xfId="56444"/>
    <cellStyle name="Normal 807 4 3" xfId="56445"/>
    <cellStyle name="Normal 807 5" xfId="24690"/>
    <cellStyle name="Normal 807 5 2" xfId="56446"/>
    <cellStyle name="Normal 807 5 3" xfId="56447"/>
    <cellStyle name="Normal 807 6" xfId="56448"/>
    <cellStyle name="Normal 807 7" xfId="56449"/>
    <cellStyle name="Normal 807 8" xfId="56450"/>
    <cellStyle name="Normal 807 9" xfId="56451"/>
    <cellStyle name="Normal 808" xfId="24691"/>
    <cellStyle name="Normal 808 10" xfId="56452"/>
    <cellStyle name="Normal 808 2" xfId="24692"/>
    <cellStyle name="Normal 808 2 2" xfId="24693"/>
    <cellStyle name="Normal 808 2 2 2" xfId="56453"/>
    <cellStyle name="Normal 808 2 2 3" xfId="56454"/>
    <cellStyle name="Normal 808 2 3" xfId="24694"/>
    <cellStyle name="Normal 808 2 3 2" xfId="56455"/>
    <cellStyle name="Normal 808 2 3 3" xfId="56456"/>
    <cellStyle name="Normal 808 2 4" xfId="56457"/>
    <cellStyle name="Normal 808 2 5" xfId="56458"/>
    <cellStyle name="Normal 808 2 6" xfId="56459"/>
    <cellStyle name="Normal 808 2 7" xfId="56460"/>
    <cellStyle name="Normal 808 2 8" xfId="56461"/>
    <cellStyle name="Normal 808 3" xfId="24695"/>
    <cellStyle name="Normal 808 3 2" xfId="56462"/>
    <cellStyle name="Normal 808 3 2 2" xfId="56463"/>
    <cellStyle name="Normal 808 3 2 3" xfId="56464"/>
    <cellStyle name="Normal 808 3 3" xfId="56465"/>
    <cellStyle name="Normal 808 3 3 2" xfId="56466"/>
    <cellStyle name="Normal 808 3 3 3" xfId="56467"/>
    <cellStyle name="Normal 808 3 4" xfId="56468"/>
    <cellStyle name="Normal 808 3 5" xfId="56469"/>
    <cellStyle name="Normal 808 4" xfId="24696"/>
    <cellStyle name="Normal 808 4 2" xfId="56470"/>
    <cellStyle name="Normal 808 4 3" xfId="56471"/>
    <cellStyle name="Normal 808 5" xfId="24697"/>
    <cellStyle name="Normal 808 5 2" xfId="56472"/>
    <cellStyle name="Normal 808 5 3" xfId="56473"/>
    <cellStyle name="Normal 808 6" xfId="56474"/>
    <cellStyle name="Normal 808 7" xfId="56475"/>
    <cellStyle name="Normal 808 8" xfId="56476"/>
    <cellStyle name="Normal 808 9" xfId="56477"/>
    <cellStyle name="Normal 809" xfId="24698"/>
    <cellStyle name="Normal 809 10" xfId="56478"/>
    <cellStyle name="Normal 809 2" xfId="24699"/>
    <cellStyle name="Normal 809 2 2" xfId="24700"/>
    <cellStyle name="Normal 809 2 2 2" xfId="56479"/>
    <cellStyle name="Normal 809 2 2 3" xfId="56480"/>
    <cellStyle name="Normal 809 2 3" xfId="24701"/>
    <cellStyle name="Normal 809 2 3 2" xfId="56481"/>
    <cellStyle name="Normal 809 2 3 3" xfId="56482"/>
    <cellStyle name="Normal 809 2 4" xfId="56483"/>
    <cellStyle name="Normal 809 2 5" xfId="56484"/>
    <cellStyle name="Normal 809 2 6" xfId="56485"/>
    <cellStyle name="Normal 809 2 7" xfId="56486"/>
    <cellStyle name="Normal 809 2 8" xfId="56487"/>
    <cellStyle name="Normal 809 3" xfId="24702"/>
    <cellStyle name="Normal 809 3 2" xfId="56488"/>
    <cellStyle name="Normal 809 3 2 2" xfId="56489"/>
    <cellStyle name="Normal 809 3 2 3" xfId="56490"/>
    <cellStyle name="Normal 809 3 3" xfId="56491"/>
    <cellStyle name="Normal 809 3 3 2" xfId="56492"/>
    <cellStyle name="Normal 809 3 3 3" xfId="56493"/>
    <cellStyle name="Normal 809 3 4" xfId="56494"/>
    <cellStyle name="Normal 809 3 5" xfId="56495"/>
    <cellStyle name="Normal 809 4" xfId="24703"/>
    <cellStyle name="Normal 809 4 2" xfId="56496"/>
    <cellStyle name="Normal 809 4 3" xfId="56497"/>
    <cellStyle name="Normal 809 5" xfId="24704"/>
    <cellStyle name="Normal 809 5 2" xfId="56498"/>
    <cellStyle name="Normal 809 5 3" xfId="56499"/>
    <cellStyle name="Normal 809 6" xfId="56500"/>
    <cellStyle name="Normal 809 7" xfId="56501"/>
    <cellStyle name="Normal 809 8" xfId="56502"/>
    <cellStyle name="Normal 809 9" xfId="56503"/>
    <cellStyle name="Normal 81" xfId="24705"/>
    <cellStyle name="Normal 81 10" xfId="56504"/>
    <cellStyle name="Normal 81 2" xfId="24706"/>
    <cellStyle name="Normal 81 2 2" xfId="24707"/>
    <cellStyle name="Normal 81 2 2 2" xfId="24708"/>
    <cellStyle name="Normal 81 2 2 3" xfId="24709"/>
    <cellStyle name="Normal 81 2 3" xfId="24710"/>
    <cellStyle name="Normal 81 2 3 2" xfId="56505"/>
    <cellStyle name="Normal 81 2 3 3" xfId="56506"/>
    <cellStyle name="Normal 81 2 4" xfId="24711"/>
    <cellStyle name="Normal 81 2 5" xfId="24712"/>
    <cellStyle name="Normal 81 2 6" xfId="56507"/>
    <cellStyle name="Normal 81 2 7" xfId="56508"/>
    <cellStyle name="Normal 81 2 8" xfId="56509"/>
    <cellStyle name="Normal 81 3" xfId="24713"/>
    <cellStyle name="Normal 81 3 2" xfId="24714"/>
    <cellStyle name="Normal 81 3 2 2" xfId="56510"/>
    <cellStyle name="Normal 81 3 2 3" xfId="56511"/>
    <cellStyle name="Normal 81 3 3" xfId="24715"/>
    <cellStyle name="Normal 81 3 3 2" xfId="56512"/>
    <cellStyle name="Normal 81 3 3 3" xfId="56513"/>
    <cellStyle name="Normal 81 3 4" xfId="56514"/>
    <cellStyle name="Normal 81 3 5" xfId="56515"/>
    <cellStyle name="Normal 81 4" xfId="24716"/>
    <cellStyle name="Normal 81 4 2" xfId="56516"/>
    <cellStyle name="Normal 81 4 3" xfId="56517"/>
    <cellStyle name="Normal 81 5" xfId="24717"/>
    <cellStyle name="Normal 81 5 2" xfId="56518"/>
    <cellStyle name="Normal 81 5 3" xfId="56519"/>
    <cellStyle name="Normal 81 6" xfId="24718"/>
    <cellStyle name="Normal 81 7" xfId="56520"/>
    <cellStyle name="Normal 81 8" xfId="56521"/>
    <cellStyle name="Normal 81 9" xfId="56522"/>
    <cellStyle name="Normal 810" xfId="24719"/>
    <cellStyle name="Normal 810 10" xfId="56523"/>
    <cellStyle name="Normal 810 2" xfId="24720"/>
    <cellStyle name="Normal 810 2 2" xfId="24721"/>
    <cellStyle name="Normal 810 2 2 2" xfId="56524"/>
    <cellStyle name="Normal 810 2 2 3" xfId="56525"/>
    <cellStyle name="Normal 810 2 3" xfId="24722"/>
    <cellStyle name="Normal 810 2 3 2" xfId="56526"/>
    <cellStyle name="Normal 810 2 3 3" xfId="56527"/>
    <cellStyle name="Normal 810 2 4" xfId="56528"/>
    <cellStyle name="Normal 810 2 5" xfId="56529"/>
    <cellStyle name="Normal 810 2 6" xfId="56530"/>
    <cellStyle name="Normal 810 2 7" xfId="56531"/>
    <cellStyle name="Normal 810 2 8" xfId="56532"/>
    <cellStyle name="Normal 810 3" xfId="24723"/>
    <cellStyle name="Normal 810 3 2" xfId="56533"/>
    <cellStyle name="Normal 810 3 2 2" xfId="56534"/>
    <cellStyle name="Normal 810 3 2 3" xfId="56535"/>
    <cellStyle name="Normal 810 3 3" xfId="56536"/>
    <cellStyle name="Normal 810 3 3 2" xfId="56537"/>
    <cellStyle name="Normal 810 3 3 3" xfId="56538"/>
    <cellStyle name="Normal 810 3 4" xfId="56539"/>
    <cellStyle name="Normal 810 3 5" xfId="56540"/>
    <cellStyle name="Normal 810 4" xfId="24724"/>
    <cellStyle name="Normal 810 4 2" xfId="56541"/>
    <cellStyle name="Normal 810 4 3" xfId="56542"/>
    <cellStyle name="Normal 810 5" xfId="24725"/>
    <cellStyle name="Normal 810 5 2" xfId="56543"/>
    <cellStyle name="Normal 810 5 3" xfId="56544"/>
    <cellStyle name="Normal 810 6" xfId="56545"/>
    <cellStyle name="Normal 810 7" xfId="56546"/>
    <cellStyle name="Normal 810 8" xfId="56547"/>
    <cellStyle name="Normal 810 9" xfId="56548"/>
    <cellStyle name="Normal 811" xfId="24726"/>
    <cellStyle name="Normal 811 10" xfId="56549"/>
    <cellStyle name="Normal 811 2" xfId="24727"/>
    <cellStyle name="Normal 811 2 2" xfId="24728"/>
    <cellStyle name="Normal 811 2 2 2" xfId="56550"/>
    <cellStyle name="Normal 811 2 2 3" xfId="56551"/>
    <cellStyle name="Normal 811 2 3" xfId="24729"/>
    <cellStyle name="Normal 811 2 3 2" xfId="56552"/>
    <cellStyle name="Normal 811 2 3 3" xfId="56553"/>
    <cellStyle name="Normal 811 2 4" xfId="56554"/>
    <cellStyle name="Normal 811 2 5" xfId="56555"/>
    <cellStyle name="Normal 811 2 6" xfId="56556"/>
    <cellStyle name="Normal 811 2 7" xfId="56557"/>
    <cellStyle name="Normal 811 2 8" xfId="56558"/>
    <cellStyle name="Normal 811 3" xfId="24730"/>
    <cellStyle name="Normal 811 3 2" xfId="56559"/>
    <cellStyle name="Normal 811 3 2 2" xfId="56560"/>
    <cellStyle name="Normal 811 3 2 3" xfId="56561"/>
    <cellStyle name="Normal 811 3 3" xfId="56562"/>
    <cellStyle name="Normal 811 3 3 2" xfId="56563"/>
    <cellStyle name="Normal 811 3 3 3" xfId="56564"/>
    <cellStyle name="Normal 811 3 4" xfId="56565"/>
    <cellStyle name="Normal 811 3 5" xfId="56566"/>
    <cellStyle name="Normal 811 4" xfId="24731"/>
    <cellStyle name="Normal 811 4 2" xfId="56567"/>
    <cellStyle name="Normal 811 4 3" xfId="56568"/>
    <cellStyle name="Normal 811 5" xfId="24732"/>
    <cellStyle name="Normal 811 5 2" xfId="56569"/>
    <cellStyle name="Normal 811 5 3" xfId="56570"/>
    <cellStyle name="Normal 811 6" xfId="56571"/>
    <cellStyle name="Normal 811 7" xfId="56572"/>
    <cellStyle name="Normal 811 8" xfId="56573"/>
    <cellStyle name="Normal 811 9" xfId="56574"/>
    <cellStyle name="Normal 812" xfId="24733"/>
    <cellStyle name="Normal 812 10" xfId="56575"/>
    <cellStyle name="Normal 812 2" xfId="24734"/>
    <cellStyle name="Normal 812 2 2" xfId="24735"/>
    <cellStyle name="Normal 812 2 2 2" xfId="56576"/>
    <cellStyle name="Normal 812 2 2 3" xfId="56577"/>
    <cellStyle name="Normal 812 2 3" xfId="24736"/>
    <cellStyle name="Normal 812 2 3 2" xfId="56578"/>
    <cellStyle name="Normal 812 2 3 3" xfId="56579"/>
    <cellStyle name="Normal 812 2 4" xfId="56580"/>
    <cellStyle name="Normal 812 2 5" xfId="56581"/>
    <cellStyle name="Normal 812 2 6" xfId="56582"/>
    <cellStyle name="Normal 812 2 7" xfId="56583"/>
    <cellStyle name="Normal 812 2 8" xfId="56584"/>
    <cellStyle name="Normal 812 3" xfId="24737"/>
    <cellStyle name="Normal 812 3 2" xfId="56585"/>
    <cellStyle name="Normal 812 3 2 2" xfId="56586"/>
    <cellStyle name="Normal 812 3 2 3" xfId="56587"/>
    <cellStyle name="Normal 812 3 3" xfId="56588"/>
    <cellStyle name="Normal 812 3 3 2" xfId="56589"/>
    <cellStyle name="Normal 812 3 3 3" xfId="56590"/>
    <cellStyle name="Normal 812 3 4" xfId="56591"/>
    <cellStyle name="Normal 812 3 5" xfId="56592"/>
    <cellStyle name="Normal 812 4" xfId="24738"/>
    <cellStyle name="Normal 812 4 2" xfId="56593"/>
    <cellStyle name="Normal 812 4 3" xfId="56594"/>
    <cellStyle name="Normal 812 5" xfId="24739"/>
    <cellStyle name="Normal 812 5 2" xfId="56595"/>
    <cellStyle name="Normal 812 5 3" xfId="56596"/>
    <cellStyle name="Normal 812 6" xfId="56597"/>
    <cellStyle name="Normal 812 7" xfId="56598"/>
    <cellStyle name="Normal 812 8" xfId="56599"/>
    <cellStyle name="Normal 812 9" xfId="56600"/>
    <cellStyle name="Normal 813" xfId="24740"/>
    <cellStyle name="Normal 813 10" xfId="56601"/>
    <cellStyle name="Normal 813 2" xfId="24741"/>
    <cellStyle name="Normal 813 2 2" xfId="24742"/>
    <cellStyle name="Normal 813 2 2 2" xfId="56602"/>
    <cellStyle name="Normal 813 2 2 3" xfId="56603"/>
    <cellStyle name="Normal 813 2 3" xfId="24743"/>
    <cellStyle name="Normal 813 2 3 2" xfId="56604"/>
    <cellStyle name="Normal 813 2 3 3" xfId="56605"/>
    <cellStyle name="Normal 813 2 4" xfId="56606"/>
    <cellStyle name="Normal 813 2 5" xfId="56607"/>
    <cellStyle name="Normal 813 2 6" xfId="56608"/>
    <cellStyle name="Normal 813 2 7" xfId="56609"/>
    <cellStyle name="Normal 813 2 8" xfId="56610"/>
    <cellStyle name="Normal 813 3" xfId="24744"/>
    <cellStyle name="Normal 813 3 2" xfId="56611"/>
    <cellStyle name="Normal 813 3 2 2" xfId="56612"/>
    <cellStyle name="Normal 813 3 2 3" xfId="56613"/>
    <cellStyle name="Normal 813 3 3" xfId="56614"/>
    <cellStyle name="Normal 813 3 3 2" xfId="56615"/>
    <cellStyle name="Normal 813 3 3 3" xfId="56616"/>
    <cellStyle name="Normal 813 3 4" xfId="56617"/>
    <cellStyle name="Normal 813 3 5" xfId="56618"/>
    <cellStyle name="Normal 813 4" xfId="24745"/>
    <cellStyle name="Normal 813 4 2" xfId="56619"/>
    <cellStyle name="Normal 813 4 3" xfId="56620"/>
    <cellStyle name="Normal 813 5" xfId="24746"/>
    <cellStyle name="Normal 813 5 2" xfId="56621"/>
    <cellStyle name="Normal 813 5 3" xfId="56622"/>
    <cellStyle name="Normal 813 6" xfId="56623"/>
    <cellStyle name="Normal 813 7" xfId="56624"/>
    <cellStyle name="Normal 813 8" xfId="56625"/>
    <cellStyle name="Normal 813 9" xfId="56626"/>
    <cellStyle name="Normal 814" xfId="24747"/>
    <cellStyle name="Normal 814 10" xfId="56627"/>
    <cellStyle name="Normal 814 2" xfId="24748"/>
    <cellStyle name="Normal 814 2 2" xfId="24749"/>
    <cellStyle name="Normal 814 2 2 2" xfId="56628"/>
    <cellStyle name="Normal 814 2 2 3" xfId="56629"/>
    <cellStyle name="Normal 814 2 3" xfId="24750"/>
    <cellStyle name="Normal 814 2 3 2" xfId="56630"/>
    <cellStyle name="Normal 814 2 3 3" xfId="56631"/>
    <cellStyle name="Normal 814 2 4" xfId="56632"/>
    <cellStyle name="Normal 814 2 5" xfId="56633"/>
    <cellStyle name="Normal 814 2 6" xfId="56634"/>
    <cellStyle name="Normal 814 2 7" xfId="56635"/>
    <cellStyle name="Normal 814 2 8" xfId="56636"/>
    <cellStyle name="Normal 814 3" xfId="24751"/>
    <cellStyle name="Normal 814 3 2" xfId="56637"/>
    <cellStyle name="Normal 814 3 2 2" xfId="56638"/>
    <cellStyle name="Normal 814 3 2 3" xfId="56639"/>
    <cellStyle name="Normal 814 3 3" xfId="56640"/>
    <cellStyle name="Normal 814 3 3 2" xfId="56641"/>
    <cellStyle name="Normal 814 3 3 3" xfId="56642"/>
    <cellStyle name="Normal 814 3 4" xfId="56643"/>
    <cellStyle name="Normal 814 3 5" xfId="56644"/>
    <cellStyle name="Normal 814 4" xfId="24752"/>
    <cellStyle name="Normal 814 4 2" xfId="56645"/>
    <cellStyle name="Normal 814 4 3" xfId="56646"/>
    <cellStyle name="Normal 814 5" xfId="24753"/>
    <cellStyle name="Normal 814 5 2" xfId="56647"/>
    <cellStyle name="Normal 814 5 3" xfId="56648"/>
    <cellStyle name="Normal 814 6" xfId="56649"/>
    <cellStyle name="Normal 814 7" xfId="56650"/>
    <cellStyle name="Normal 814 8" xfId="56651"/>
    <cellStyle name="Normal 814 9" xfId="56652"/>
    <cellStyle name="Normal 815" xfId="24754"/>
    <cellStyle name="Normal 815 10" xfId="56653"/>
    <cellStyle name="Normal 815 2" xfId="24755"/>
    <cellStyle name="Normal 815 2 2" xfId="24756"/>
    <cellStyle name="Normal 815 2 2 2" xfId="56654"/>
    <cellStyle name="Normal 815 2 2 3" xfId="56655"/>
    <cellStyle name="Normal 815 2 3" xfId="24757"/>
    <cellStyle name="Normal 815 2 3 2" xfId="56656"/>
    <cellStyle name="Normal 815 2 3 3" xfId="56657"/>
    <cellStyle name="Normal 815 2 4" xfId="56658"/>
    <cellStyle name="Normal 815 2 5" xfId="56659"/>
    <cellStyle name="Normal 815 2 6" xfId="56660"/>
    <cellStyle name="Normal 815 2 7" xfId="56661"/>
    <cellStyle name="Normal 815 2 8" xfId="56662"/>
    <cellStyle name="Normal 815 3" xfId="24758"/>
    <cellStyle name="Normal 815 3 2" xfId="56663"/>
    <cellStyle name="Normal 815 3 2 2" xfId="56664"/>
    <cellStyle name="Normal 815 3 2 3" xfId="56665"/>
    <cellStyle name="Normal 815 3 3" xfId="56666"/>
    <cellStyle name="Normal 815 3 3 2" xfId="56667"/>
    <cellStyle name="Normal 815 3 3 3" xfId="56668"/>
    <cellStyle name="Normal 815 3 4" xfId="56669"/>
    <cellStyle name="Normal 815 3 5" xfId="56670"/>
    <cellStyle name="Normal 815 4" xfId="24759"/>
    <cellStyle name="Normal 815 4 2" xfId="56671"/>
    <cellStyle name="Normal 815 4 3" xfId="56672"/>
    <cellStyle name="Normal 815 5" xfId="24760"/>
    <cellStyle name="Normal 815 5 2" xfId="56673"/>
    <cellStyle name="Normal 815 5 3" xfId="56674"/>
    <cellStyle name="Normal 815 6" xfId="56675"/>
    <cellStyle name="Normal 815 7" xfId="56676"/>
    <cellStyle name="Normal 815 8" xfId="56677"/>
    <cellStyle name="Normal 815 9" xfId="56678"/>
    <cellStyle name="Normal 816" xfId="24761"/>
    <cellStyle name="Normal 816 10" xfId="56679"/>
    <cellStyle name="Normal 816 2" xfId="24762"/>
    <cellStyle name="Normal 816 2 2" xfId="24763"/>
    <cellStyle name="Normal 816 2 2 2" xfId="56680"/>
    <cellStyle name="Normal 816 2 2 3" xfId="56681"/>
    <cellStyle name="Normal 816 2 3" xfId="24764"/>
    <cellStyle name="Normal 816 2 3 2" xfId="56682"/>
    <cellStyle name="Normal 816 2 3 3" xfId="56683"/>
    <cellStyle name="Normal 816 2 4" xfId="56684"/>
    <cellStyle name="Normal 816 2 5" xfId="56685"/>
    <cellStyle name="Normal 816 2 6" xfId="56686"/>
    <cellStyle name="Normal 816 2 7" xfId="56687"/>
    <cellStyle name="Normal 816 2 8" xfId="56688"/>
    <cellStyle name="Normal 816 3" xfId="24765"/>
    <cellStyle name="Normal 816 3 2" xfId="56689"/>
    <cellStyle name="Normal 816 3 2 2" xfId="56690"/>
    <cellStyle name="Normal 816 3 2 3" xfId="56691"/>
    <cellStyle name="Normal 816 3 3" xfId="56692"/>
    <cellStyle name="Normal 816 3 3 2" xfId="56693"/>
    <cellStyle name="Normal 816 3 3 3" xfId="56694"/>
    <cellStyle name="Normal 816 3 4" xfId="56695"/>
    <cellStyle name="Normal 816 3 5" xfId="56696"/>
    <cellStyle name="Normal 816 4" xfId="24766"/>
    <cellStyle name="Normal 816 4 2" xfId="56697"/>
    <cellStyle name="Normal 816 4 3" xfId="56698"/>
    <cellStyle name="Normal 816 5" xfId="24767"/>
    <cellStyle name="Normal 816 5 2" xfId="56699"/>
    <cellStyle name="Normal 816 5 3" xfId="56700"/>
    <cellStyle name="Normal 816 6" xfId="56701"/>
    <cellStyle name="Normal 816 7" xfId="56702"/>
    <cellStyle name="Normal 816 8" xfId="56703"/>
    <cellStyle name="Normal 816 9" xfId="56704"/>
    <cellStyle name="Normal 817" xfId="24768"/>
    <cellStyle name="Normal 817 10" xfId="56705"/>
    <cellStyle name="Normal 817 2" xfId="24769"/>
    <cellStyle name="Normal 817 2 2" xfId="24770"/>
    <cellStyle name="Normal 817 2 2 2" xfId="56706"/>
    <cellStyle name="Normal 817 2 2 3" xfId="56707"/>
    <cellStyle name="Normal 817 2 3" xfId="24771"/>
    <cellStyle name="Normal 817 2 3 2" xfId="56708"/>
    <cellStyle name="Normal 817 2 3 3" xfId="56709"/>
    <cellStyle name="Normal 817 2 4" xfId="56710"/>
    <cellStyle name="Normal 817 2 5" xfId="56711"/>
    <cellStyle name="Normal 817 2 6" xfId="56712"/>
    <cellStyle name="Normal 817 2 7" xfId="56713"/>
    <cellStyle name="Normal 817 2 8" xfId="56714"/>
    <cellStyle name="Normal 817 3" xfId="24772"/>
    <cellStyle name="Normal 817 3 2" xfId="56715"/>
    <cellStyle name="Normal 817 3 2 2" xfId="56716"/>
    <cellStyle name="Normal 817 3 2 3" xfId="56717"/>
    <cellStyle name="Normal 817 3 3" xfId="56718"/>
    <cellStyle name="Normal 817 3 3 2" xfId="56719"/>
    <cellStyle name="Normal 817 3 3 3" xfId="56720"/>
    <cellStyle name="Normal 817 3 4" xfId="56721"/>
    <cellStyle name="Normal 817 3 5" xfId="56722"/>
    <cellStyle name="Normal 817 4" xfId="24773"/>
    <cellStyle name="Normal 817 4 2" xfId="56723"/>
    <cellStyle name="Normal 817 4 3" xfId="56724"/>
    <cellStyle name="Normal 817 5" xfId="24774"/>
    <cellStyle name="Normal 817 5 2" xfId="56725"/>
    <cellStyle name="Normal 817 5 3" xfId="56726"/>
    <cellStyle name="Normal 817 6" xfId="56727"/>
    <cellStyle name="Normal 817 7" xfId="56728"/>
    <cellStyle name="Normal 817 8" xfId="56729"/>
    <cellStyle name="Normal 817 9" xfId="56730"/>
    <cellStyle name="Normal 818" xfId="24775"/>
    <cellStyle name="Normal 818 10" xfId="56731"/>
    <cellStyle name="Normal 818 2" xfId="24776"/>
    <cellStyle name="Normal 818 2 2" xfId="24777"/>
    <cellStyle name="Normal 818 2 2 2" xfId="56732"/>
    <cellStyle name="Normal 818 2 2 3" xfId="56733"/>
    <cellStyle name="Normal 818 2 3" xfId="24778"/>
    <cellStyle name="Normal 818 2 3 2" xfId="56734"/>
    <cellStyle name="Normal 818 2 3 3" xfId="56735"/>
    <cellStyle name="Normal 818 2 4" xfId="56736"/>
    <cellStyle name="Normal 818 2 5" xfId="56737"/>
    <cellStyle name="Normal 818 2 6" xfId="56738"/>
    <cellStyle name="Normal 818 2 7" xfId="56739"/>
    <cellStyle name="Normal 818 2 8" xfId="56740"/>
    <cellStyle name="Normal 818 3" xfId="24779"/>
    <cellStyle name="Normal 818 3 2" xfId="56741"/>
    <cellStyle name="Normal 818 3 2 2" xfId="56742"/>
    <cellStyle name="Normal 818 3 2 3" xfId="56743"/>
    <cellStyle name="Normal 818 3 3" xfId="56744"/>
    <cellStyle name="Normal 818 3 3 2" xfId="56745"/>
    <cellStyle name="Normal 818 3 3 3" xfId="56746"/>
    <cellStyle name="Normal 818 3 4" xfId="56747"/>
    <cellStyle name="Normal 818 3 5" xfId="56748"/>
    <cellStyle name="Normal 818 4" xfId="24780"/>
    <cellStyle name="Normal 818 4 2" xfId="56749"/>
    <cellStyle name="Normal 818 4 3" xfId="56750"/>
    <cellStyle name="Normal 818 5" xfId="24781"/>
    <cellStyle name="Normal 818 5 2" xfId="56751"/>
    <cellStyle name="Normal 818 5 3" xfId="56752"/>
    <cellStyle name="Normal 818 6" xfId="56753"/>
    <cellStyle name="Normal 818 7" xfId="56754"/>
    <cellStyle name="Normal 818 8" xfId="56755"/>
    <cellStyle name="Normal 818 9" xfId="56756"/>
    <cellStyle name="Normal 819" xfId="24782"/>
    <cellStyle name="Normal 819 10" xfId="56757"/>
    <cellStyle name="Normal 819 2" xfId="24783"/>
    <cellStyle name="Normal 819 2 2" xfId="24784"/>
    <cellStyle name="Normal 819 2 2 2" xfId="56758"/>
    <cellStyle name="Normal 819 2 2 3" xfId="56759"/>
    <cellStyle name="Normal 819 2 3" xfId="24785"/>
    <cellStyle name="Normal 819 2 3 2" xfId="56760"/>
    <cellStyle name="Normal 819 2 3 3" xfId="56761"/>
    <cellStyle name="Normal 819 2 4" xfId="56762"/>
    <cellStyle name="Normal 819 2 5" xfId="56763"/>
    <cellStyle name="Normal 819 2 6" xfId="56764"/>
    <cellStyle name="Normal 819 2 7" xfId="56765"/>
    <cellStyle name="Normal 819 2 8" xfId="56766"/>
    <cellStyle name="Normal 819 3" xfId="24786"/>
    <cellStyle name="Normal 819 3 2" xfId="56767"/>
    <cellStyle name="Normal 819 3 2 2" xfId="56768"/>
    <cellStyle name="Normal 819 3 2 3" xfId="56769"/>
    <cellStyle name="Normal 819 3 3" xfId="56770"/>
    <cellStyle name="Normal 819 3 3 2" xfId="56771"/>
    <cellStyle name="Normal 819 3 3 3" xfId="56772"/>
    <cellStyle name="Normal 819 3 4" xfId="56773"/>
    <cellStyle name="Normal 819 3 5" xfId="56774"/>
    <cellStyle name="Normal 819 4" xfId="24787"/>
    <cellStyle name="Normal 819 4 2" xfId="56775"/>
    <cellStyle name="Normal 819 4 3" xfId="56776"/>
    <cellStyle name="Normal 819 5" xfId="24788"/>
    <cellStyle name="Normal 819 5 2" xfId="56777"/>
    <cellStyle name="Normal 819 5 3" xfId="56778"/>
    <cellStyle name="Normal 819 6" xfId="56779"/>
    <cellStyle name="Normal 819 7" xfId="56780"/>
    <cellStyle name="Normal 819 8" xfId="56781"/>
    <cellStyle name="Normal 819 9" xfId="56782"/>
    <cellStyle name="Normal 82" xfId="24789"/>
    <cellStyle name="Normal 82 10" xfId="56783"/>
    <cellStyle name="Normal 82 2" xfId="24790"/>
    <cellStyle name="Normal 82 2 2" xfId="24791"/>
    <cellStyle name="Normal 82 2 2 2" xfId="24792"/>
    <cellStyle name="Normal 82 2 2 3" xfId="24793"/>
    <cellStyle name="Normal 82 2 3" xfId="24794"/>
    <cellStyle name="Normal 82 2 3 2" xfId="56784"/>
    <cellStyle name="Normal 82 2 3 3" xfId="56785"/>
    <cellStyle name="Normal 82 2 4" xfId="24795"/>
    <cellStyle name="Normal 82 2 5" xfId="24796"/>
    <cellStyle name="Normal 82 2 6" xfId="56786"/>
    <cellStyle name="Normal 82 2 7" xfId="56787"/>
    <cellStyle name="Normal 82 2 8" xfId="56788"/>
    <cellStyle name="Normal 82 3" xfId="24797"/>
    <cellStyle name="Normal 82 3 2" xfId="24798"/>
    <cellStyle name="Normal 82 3 2 2" xfId="56789"/>
    <cellStyle name="Normal 82 3 2 3" xfId="56790"/>
    <cellStyle name="Normal 82 3 3" xfId="24799"/>
    <cellStyle name="Normal 82 3 3 2" xfId="56791"/>
    <cellStyle name="Normal 82 3 3 3" xfId="56792"/>
    <cellStyle name="Normal 82 3 4" xfId="56793"/>
    <cellStyle name="Normal 82 3 5" xfId="56794"/>
    <cellStyle name="Normal 82 4" xfId="24800"/>
    <cellStyle name="Normal 82 4 2" xfId="56795"/>
    <cellStyle name="Normal 82 4 3" xfId="56796"/>
    <cellStyle name="Normal 82 5" xfId="24801"/>
    <cellStyle name="Normal 82 5 2" xfId="56797"/>
    <cellStyle name="Normal 82 5 3" xfId="56798"/>
    <cellStyle name="Normal 82 6" xfId="24802"/>
    <cellStyle name="Normal 82 7" xfId="56799"/>
    <cellStyle name="Normal 82 8" xfId="56800"/>
    <cellStyle name="Normal 82 9" xfId="56801"/>
    <cellStyle name="Normal 820" xfId="24803"/>
    <cellStyle name="Normal 820 10" xfId="56802"/>
    <cellStyle name="Normal 820 2" xfId="24804"/>
    <cellStyle name="Normal 820 2 2" xfId="24805"/>
    <cellStyle name="Normal 820 2 2 2" xfId="56803"/>
    <cellStyle name="Normal 820 2 2 3" xfId="56804"/>
    <cellStyle name="Normal 820 2 3" xfId="24806"/>
    <cellStyle name="Normal 820 2 3 2" xfId="56805"/>
    <cellStyle name="Normal 820 2 3 3" xfId="56806"/>
    <cellStyle name="Normal 820 2 4" xfId="56807"/>
    <cellStyle name="Normal 820 2 5" xfId="56808"/>
    <cellStyle name="Normal 820 2 6" xfId="56809"/>
    <cellStyle name="Normal 820 2 7" xfId="56810"/>
    <cellStyle name="Normal 820 2 8" xfId="56811"/>
    <cellStyle name="Normal 820 3" xfId="24807"/>
    <cellStyle name="Normal 820 3 2" xfId="56812"/>
    <cellStyle name="Normal 820 3 2 2" xfId="56813"/>
    <cellStyle name="Normal 820 3 2 3" xfId="56814"/>
    <cellStyle name="Normal 820 3 3" xfId="56815"/>
    <cellStyle name="Normal 820 3 3 2" xfId="56816"/>
    <cellStyle name="Normal 820 3 3 3" xfId="56817"/>
    <cellStyle name="Normal 820 3 4" xfId="56818"/>
    <cellStyle name="Normal 820 3 5" xfId="56819"/>
    <cellStyle name="Normal 820 4" xfId="24808"/>
    <cellStyle name="Normal 820 4 2" xfId="56820"/>
    <cellStyle name="Normal 820 4 3" xfId="56821"/>
    <cellStyle name="Normal 820 5" xfId="24809"/>
    <cellStyle name="Normal 820 5 2" xfId="56822"/>
    <cellStyle name="Normal 820 5 3" xfId="56823"/>
    <cellStyle name="Normal 820 6" xfId="56824"/>
    <cellStyle name="Normal 820 7" xfId="56825"/>
    <cellStyle name="Normal 820 8" xfId="56826"/>
    <cellStyle name="Normal 820 9" xfId="56827"/>
    <cellStyle name="Normal 821" xfId="24810"/>
    <cellStyle name="Normal 821 10" xfId="56828"/>
    <cellStyle name="Normal 821 2" xfId="24811"/>
    <cellStyle name="Normal 821 2 2" xfId="24812"/>
    <cellStyle name="Normal 821 2 2 2" xfId="56829"/>
    <cellStyle name="Normal 821 2 2 3" xfId="56830"/>
    <cellStyle name="Normal 821 2 3" xfId="24813"/>
    <cellStyle name="Normal 821 2 3 2" xfId="56831"/>
    <cellStyle name="Normal 821 2 3 3" xfId="56832"/>
    <cellStyle name="Normal 821 2 4" xfId="56833"/>
    <cellStyle name="Normal 821 2 5" xfId="56834"/>
    <cellStyle name="Normal 821 2 6" xfId="56835"/>
    <cellStyle name="Normal 821 2 7" xfId="56836"/>
    <cellStyle name="Normal 821 2 8" xfId="56837"/>
    <cellStyle name="Normal 821 3" xfId="24814"/>
    <cellStyle name="Normal 821 3 2" xfId="56838"/>
    <cellStyle name="Normal 821 3 2 2" xfId="56839"/>
    <cellStyle name="Normal 821 3 2 3" xfId="56840"/>
    <cellStyle name="Normal 821 3 3" xfId="56841"/>
    <cellStyle name="Normal 821 3 3 2" xfId="56842"/>
    <cellStyle name="Normal 821 3 3 3" xfId="56843"/>
    <cellStyle name="Normal 821 3 4" xfId="56844"/>
    <cellStyle name="Normal 821 3 5" xfId="56845"/>
    <cellStyle name="Normal 821 4" xfId="24815"/>
    <cellStyle name="Normal 821 4 2" xfId="56846"/>
    <cellStyle name="Normal 821 4 3" xfId="56847"/>
    <cellStyle name="Normal 821 5" xfId="24816"/>
    <cellStyle name="Normal 821 5 2" xfId="56848"/>
    <cellStyle name="Normal 821 5 3" xfId="56849"/>
    <cellStyle name="Normal 821 6" xfId="56850"/>
    <cellStyle name="Normal 821 7" xfId="56851"/>
    <cellStyle name="Normal 821 8" xfId="56852"/>
    <cellStyle name="Normal 821 9" xfId="56853"/>
    <cellStyle name="Normal 822" xfId="24817"/>
    <cellStyle name="Normal 822 10" xfId="56854"/>
    <cellStyle name="Normal 822 2" xfId="24818"/>
    <cellStyle name="Normal 822 2 2" xfId="24819"/>
    <cellStyle name="Normal 822 2 2 2" xfId="56855"/>
    <cellStyle name="Normal 822 2 2 3" xfId="56856"/>
    <cellStyle name="Normal 822 2 3" xfId="24820"/>
    <cellStyle name="Normal 822 2 3 2" xfId="56857"/>
    <cellStyle name="Normal 822 2 3 3" xfId="56858"/>
    <cellStyle name="Normal 822 2 4" xfId="56859"/>
    <cellStyle name="Normal 822 2 5" xfId="56860"/>
    <cellStyle name="Normal 822 2 6" xfId="56861"/>
    <cellStyle name="Normal 822 2 7" xfId="56862"/>
    <cellStyle name="Normal 822 2 8" xfId="56863"/>
    <cellStyle name="Normal 822 3" xfId="24821"/>
    <cellStyle name="Normal 822 3 2" xfId="56864"/>
    <cellStyle name="Normal 822 3 2 2" xfId="56865"/>
    <cellStyle name="Normal 822 3 2 3" xfId="56866"/>
    <cellStyle name="Normal 822 3 3" xfId="56867"/>
    <cellStyle name="Normal 822 3 3 2" xfId="56868"/>
    <cellStyle name="Normal 822 3 3 3" xfId="56869"/>
    <cellStyle name="Normal 822 3 4" xfId="56870"/>
    <cellStyle name="Normal 822 3 5" xfId="56871"/>
    <cellStyle name="Normal 822 4" xfId="24822"/>
    <cellStyle name="Normal 822 4 2" xfId="56872"/>
    <cellStyle name="Normal 822 4 3" xfId="56873"/>
    <cellStyle name="Normal 822 5" xfId="24823"/>
    <cellStyle name="Normal 822 5 2" xfId="56874"/>
    <cellStyle name="Normal 822 5 3" xfId="56875"/>
    <cellStyle name="Normal 822 6" xfId="56876"/>
    <cellStyle name="Normal 822 7" xfId="56877"/>
    <cellStyle name="Normal 822 8" xfId="56878"/>
    <cellStyle name="Normal 822 9" xfId="56879"/>
    <cellStyle name="Normal 823" xfId="24824"/>
    <cellStyle name="Normal 823 10" xfId="56880"/>
    <cellStyle name="Normal 823 2" xfId="24825"/>
    <cellStyle name="Normal 823 2 2" xfId="24826"/>
    <cellStyle name="Normal 823 2 2 2" xfId="56881"/>
    <cellStyle name="Normal 823 2 2 3" xfId="56882"/>
    <cellStyle name="Normal 823 2 3" xfId="24827"/>
    <cellStyle name="Normal 823 2 3 2" xfId="56883"/>
    <cellStyle name="Normal 823 2 3 3" xfId="56884"/>
    <cellStyle name="Normal 823 2 4" xfId="56885"/>
    <cellStyle name="Normal 823 2 5" xfId="56886"/>
    <cellStyle name="Normal 823 2 6" xfId="56887"/>
    <cellStyle name="Normal 823 2 7" xfId="56888"/>
    <cellStyle name="Normal 823 2 8" xfId="56889"/>
    <cellStyle name="Normal 823 3" xfId="24828"/>
    <cellStyle name="Normal 823 3 2" xfId="56890"/>
    <cellStyle name="Normal 823 3 2 2" xfId="56891"/>
    <cellStyle name="Normal 823 3 2 3" xfId="56892"/>
    <cellStyle name="Normal 823 3 3" xfId="56893"/>
    <cellStyle name="Normal 823 3 3 2" xfId="56894"/>
    <cellStyle name="Normal 823 3 3 3" xfId="56895"/>
    <cellStyle name="Normal 823 3 4" xfId="56896"/>
    <cellStyle name="Normal 823 3 5" xfId="56897"/>
    <cellStyle name="Normal 823 4" xfId="24829"/>
    <cellStyle name="Normal 823 4 2" xfId="56898"/>
    <cellStyle name="Normal 823 4 3" xfId="56899"/>
    <cellStyle name="Normal 823 5" xfId="24830"/>
    <cellStyle name="Normal 823 5 2" xfId="56900"/>
    <cellStyle name="Normal 823 5 3" xfId="56901"/>
    <cellStyle name="Normal 823 6" xfId="56902"/>
    <cellStyle name="Normal 823 7" xfId="56903"/>
    <cellStyle name="Normal 823 8" xfId="56904"/>
    <cellStyle name="Normal 823 9" xfId="56905"/>
    <cellStyle name="Normal 824" xfId="24831"/>
    <cellStyle name="Normal 824 10" xfId="56906"/>
    <cellStyle name="Normal 824 2" xfId="24832"/>
    <cellStyle name="Normal 824 2 2" xfId="24833"/>
    <cellStyle name="Normal 824 2 2 2" xfId="56907"/>
    <cellStyle name="Normal 824 2 2 3" xfId="56908"/>
    <cellStyle name="Normal 824 2 3" xfId="24834"/>
    <cellStyle name="Normal 824 2 3 2" xfId="56909"/>
    <cellStyle name="Normal 824 2 3 3" xfId="56910"/>
    <cellStyle name="Normal 824 2 4" xfId="56911"/>
    <cellStyle name="Normal 824 2 5" xfId="56912"/>
    <cellStyle name="Normal 824 2 6" xfId="56913"/>
    <cellStyle name="Normal 824 2 7" xfId="56914"/>
    <cellStyle name="Normal 824 2 8" xfId="56915"/>
    <cellStyle name="Normal 824 3" xfId="24835"/>
    <cellStyle name="Normal 824 3 2" xfId="56916"/>
    <cellStyle name="Normal 824 3 2 2" xfId="56917"/>
    <cellStyle name="Normal 824 3 2 3" xfId="56918"/>
    <cellStyle name="Normal 824 3 3" xfId="56919"/>
    <cellStyle name="Normal 824 3 3 2" xfId="56920"/>
    <cellStyle name="Normal 824 3 3 3" xfId="56921"/>
    <cellStyle name="Normal 824 3 4" xfId="56922"/>
    <cellStyle name="Normal 824 3 5" xfId="56923"/>
    <cellStyle name="Normal 824 4" xfId="24836"/>
    <cellStyle name="Normal 824 4 2" xfId="56924"/>
    <cellStyle name="Normal 824 4 3" xfId="56925"/>
    <cellStyle name="Normal 824 5" xfId="24837"/>
    <cellStyle name="Normal 824 5 2" xfId="56926"/>
    <cellStyle name="Normal 824 5 3" xfId="56927"/>
    <cellStyle name="Normal 824 6" xfId="56928"/>
    <cellStyle name="Normal 824 7" xfId="56929"/>
    <cellStyle name="Normal 824 8" xfId="56930"/>
    <cellStyle name="Normal 824 9" xfId="56931"/>
    <cellStyle name="Normal 825" xfId="24838"/>
    <cellStyle name="Normal 825 10" xfId="56932"/>
    <cellStyle name="Normal 825 2" xfId="24839"/>
    <cellStyle name="Normal 825 2 2" xfId="24840"/>
    <cellStyle name="Normal 825 2 2 2" xfId="56933"/>
    <cellStyle name="Normal 825 2 2 3" xfId="56934"/>
    <cellStyle name="Normal 825 2 3" xfId="24841"/>
    <cellStyle name="Normal 825 2 3 2" xfId="56935"/>
    <cellStyle name="Normal 825 2 3 3" xfId="56936"/>
    <cellStyle name="Normal 825 2 4" xfId="56937"/>
    <cellStyle name="Normal 825 2 5" xfId="56938"/>
    <cellStyle name="Normal 825 2 6" xfId="56939"/>
    <cellStyle name="Normal 825 2 7" xfId="56940"/>
    <cellStyle name="Normal 825 2 8" xfId="56941"/>
    <cellStyle name="Normal 825 3" xfId="24842"/>
    <cellStyle name="Normal 825 3 2" xfId="56942"/>
    <cellStyle name="Normal 825 3 2 2" xfId="56943"/>
    <cellStyle name="Normal 825 3 2 3" xfId="56944"/>
    <cellStyle name="Normal 825 3 3" xfId="56945"/>
    <cellStyle name="Normal 825 3 3 2" xfId="56946"/>
    <cellStyle name="Normal 825 3 3 3" xfId="56947"/>
    <cellStyle name="Normal 825 3 4" xfId="56948"/>
    <cellStyle name="Normal 825 3 5" xfId="56949"/>
    <cellStyle name="Normal 825 4" xfId="24843"/>
    <cellStyle name="Normal 825 4 2" xfId="56950"/>
    <cellStyle name="Normal 825 4 3" xfId="56951"/>
    <cellStyle name="Normal 825 5" xfId="24844"/>
    <cellStyle name="Normal 825 5 2" xfId="56952"/>
    <cellStyle name="Normal 825 5 3" xfId="56953"/>
    <cellStyle name="Normal 825 6" xfId="56954"/>
    <cellStyle name="Normal 825 7" xfId="56955"/>
    <cellStyle name="Normal 825 8" xfId="56956"/>
    <cellStyle name="Normal 825 9" xfId="56957"/>
    <cellStyle name="Normal 826" xfId="24845"/>
    <cellStyle name="Normal 826 10" xfId="56958"/>
    <cellStyle name="Normal 826 2" xfId="24846"/>
    <cellStyle name="Normal 826 2 2" xfId="24847"/>
    <cellStyle name="Normal 826 2 2 2" xfId="56959"/>
    <cellStyle name="Normal 826 2 2 3" xfId="56960"/>
    <cellStyle name="Normal 826 2 3" xfId="24848"/>
    <cellStyle name="Normal 826 2 3 2" xfId="56961"/>
    <cellStyle name="Normal 826 2 3 3" xfId="56962"/>
    <cellStyle name="Normal 826 2 4" xfId="56963"/>
    <cellStyle name="Normal 826 2 5" xfId="56964"/>
    <cellStyle name="Normal 826 2 6" xfId="56965"/>
    <cellStyle name="Normal 826 2 7" xfId="56966"/>
    <cellStyle name="Normal 826 2 8" xfId="56967"/>
    <cellStyle name="Normal 826 3" xfId="24849"/>
    <cellStyle name="Normal 826 3 2" xfId="56968"/>
    <cellStyle name="Normal 826 3 2 2" xfId="56969"/>
    <cellStyle name="Normal 826 3 2 3" xfId="56970"/>
    <cellStyle name="Normal 826 3 3" xfId="56971"/>
    <cellStyle name="Normal 826 3 3 2" xfId="56972"/>
    <cellStyle name="Normal 826 3 3 3" xfId="56973"/>
    <cellStyle name="Normal 826 3 4" xfId="56974"/>
    <cellStyle name="Normal 826 3 5" xfId="56975"/>
    <cellStyle name="Normal 826 4" xfId="24850"/>
    <cellStyle name="Normal 826 4 2" xfId="56976"/>
    <cellStyle name="Normal 826 4 3" xfId="56977"/>
    <cellStyle name="Normal 826 5" xfId="24851"/>
    <cellStyle name="Normal 826 5 2" xfId="56978"/>
    <cellStyle name="Normal 826 5 3" xfId="56979"/>
    <cellStyle name="Normal 826 6" xfId="56980"/>
    <cellStyle name="Normal 826 7" xfId="56981"/>
    <cellStyle name="Normal 826 8" xfId="56982"/>
    <cellStyle name="Normal 826 9" xfId="56983"/>
    <cellStyle name="Normal 827" xfId="24852"/>
    <cellStyle name="Normal 827 10" xfId="56984"/>
    <cellStyle name="Normal 827 2" xfId="24853"/>
    <cellStyle name="Normal 827 2 2" xfId="24854"/>
    <cellStyle name="Normal 827 2 2 2" xfId="56985"/>
    <cellStyle name="Normal 827 2 2 3" xfId="56986"/>
    <cellStyle name="Normal 827 2 3" xfId="24855"/>
    <cellStyle name="Normal 827 2 3 2" xfId="56987"/>
    <cellStyle name="Normal 827 2 3 3" xfId="56988"/>
    <cellStyle name="Normal 827 2 4" xfId="56989"/>
    <cellStyle name="Normal 827 2 5" xfId="56990"/>
    <cellStyle name="Normal 827 2 6" xfId="56991"/>
    <cellStyle name="Normal 827 2 7" xfId="56992"/>
    <cellStyle name="Normal 827 2 8" xfId="56993"/>
    <cellStyle name="Normal 827 3" xfId="24856"/>
    <cellStyle name="Normal 827 3 2" xfId="56994"/>
    <cellStyle name="Normal 827 3 2 2" xfId="56995"/>
    <cellStyle name="Normal 827 3 2 3" xfId="56996"/>
    <cellStyle name="Normal 827 3 3" xfId="56997"/>
    <cellStyle name="Normal 827 3 3 2" xfId="56998"/>
    <cellStyle name="Normal 827 3 3 3" xfId="56999"/>
    <cellStyle name="Normal 827 3 4" xfId="57000"/>
    <cellStyle name="Normal 827 3 5" xfId="57001"/>
    <cellStyle name="Normal 827 4" xfId="24857"/>
    <cellStyle name="Normal 827 4 2" xfId="57002"/>
    <cellStyle name="Normal 827 4 3" xfId="57003"/>
    <cellStyle name="Normal 827 5" xfId="24858"/>
    <cellStyle name="Normal 827 5 2" xfId="57004"/>
    <cellStyle name="Normal 827 5 3" xfId="57005"/>
    <cellStyle name="Normal 827 6" xfId="57006"/>
    <cellStyle name="Normal 827 7" xfId="57007"/>
    <cellStyle name="Normal 827 8" xfId="57008"/>
    <cellStyle name="Normal 827 9" xfId="57009"/>
    <cellStyle name="Normal 828" xfId="24859"/>
    <cellStyle name="Normal 828 10" xfId="57010"/>
    <cellStyle name="Normal 828 2" xfId="24860"/>
    <cellStyle name="Normal 828 2 2" xfId="24861"/>
    <cellStyle name="Normal 828 2 2 2" xfId="57011"/>
    <cellStyle name="Normal 828 2 2 3" xfId="57012"/>
    <cellStyle name="Normal 828 2 3" xfId="24862"/>
    <cellStyle name="Normal 828 2 3 2" xfId="57013"/>
    <cellStyle name="Normal 828 2 3 3" xfId="57014"/>
    <cellStyle name="Normal 828 2 4" xfId="57015"/>
    <cellStyle name="Normal 828 2 5" xfId="57016"/>
    <cellStyle name="Normal 828 2 6" xfId="57017"/>
    <cellStyle name="Normal 828 2 7" xfId="57018"/>
    <cellStyle name="Normal 828 2 8" xfId="57019"/>
    <cellStyle name="Normal 828 3" xfId="24863"/>
    <cellStyle name="Normal 828 3 2" xfId="57020"/>
    <cellStyle name="Normal 828 3 2 2" xfId="57021"/>
    <cellStyle name="Normal 828 3 2 3" xfId="57022"/>
    <cellStyle name="Normal 828 3 3" xfId="57023"/>
    <cellStyle name="Normal 828 3 3 2" xfId="57024"/>
    <cellStyle name="Normal 828 3 3 3" xfId="57025"/>
    <cellStyle name="Normal 828 3 4" xfId="57026"/>
    <cellStyle name="Normal 828 3 5" xfId="57027"/>
    <cellStyle name="Normal 828 4" xfId="24864"/>
    <cellStyle name="Normal 828 4 2" xfId="57028"/>
    <cellStyle name="Normal 828 4 3" xfId="57029"/>
    <cellStyle name="Normal 828 5" xfId="24865"/>
    <cellStyle name="Normal 828 5 2" xfId="57030"/>
    <cellStyle name="Normal 828 5 3" xfId="57031"/>
    <cellStyle name="Normal 828 6" xfId="57032"/>
    <cellStyle name="Normal 828 7" xfId="57033"/>
    <cellStyle name="Normal 828 8" xfId="57034"/>
    <cellStyle name="Normal 828 9" xfId="57035"/>
    <cellStyle name="Normal 829" xfId="24866"/>
    <cellStyle name="Normal 829 10" xfId="57036"/>
    <cellStyle name="Normal 829 2" xfId="24867"/>
    <cellStyle name="Normal 829 2 2" xfId="24868"/>
    <cellStyle name="Normal 829 2 2 2" xfId="57037"/>
    <cellStyle name="Normal 829 2 2 3" xfId="57038"/>
    <cellStyle name="Normal 829 2 3" xfId="24869"/>
    <cellStyle name="Normal 829 2 3 2" xfId="57039"/>
    <cellStyle name="Normal 829 2 3 3" xfId="57040"/>
    <cellStyle name="Normal 829 2 4" xfId="57041"/>
    <cellStyle name="Normal 829 2 5" xfId="57042"/>
    <cellStyle name="Normal 829 2 6" xfId="57043"/>
    <cellStyle name="Normal 829 2 7" xfId="57044"/>
    <cellStyle name="Normal 829 2 8" xfId="57045"/>
    <cellStyle name="Normal 829 3" xfId="24870"/>
    <cellStyle name="Normal 829 3 2" xfId="57046"/>
    <cellStyle name="Normal 829 3 2 2" xfId="57047"/>
    <cellStyle name="Normal 829 3 2 3" xfId="57048"/>
    <cellStyle name="Normal 829 3 3" xfId="57049"/>
    <cellStyle name="Normal 829 3 3 2" xfId="57050"/>
    <cellStyle name="Normal 829 3 3 3" xfId="57051"/>
    <cellStyle name="Normal 829 3 4" xfId="57052"/>
    <cellStyle name="Normal 829 3 5" xfId="57053"/>
    <cellStyle name="Normal 829 4" xfId="24871"/>
    <cellStyle name="Normal 829 4 2" xfId="57054"/>
    <cellStyle name="Normal 829 4 3" xfId="57055"/>
    <cellStyle name="Normal 829 5" xfId="24872"/>
    <cellStyle name="Normal 829 5 2" xfId="57056"/>
    <cellStyle name="Normal 829 5 3" xfId="57057"/>
    <cellStyle name="Normal 829 6" xfId="57058"/>
    <cellStyle name="Normal 829 7" xfId="57059"/>
    <cellStyle name="Normal 829 8" xfId="57060"/>
    <cellStyle name="Normal 829 9" xfId="57061"/>
    <cellStyle name="Normal 83" xfId="24873"/>
    <cellStyle name="Normal 83 10" xfId="57062"/>
    <cellStyle name="Normal 83 2" xfId="24874"/>
    <cellStyle name="Normal 83 2 2" xfId="24875"/>
    <cellStyle name="Normal 83 2 2 2" xfId="24876"/>
    <cellStyle name="Normal 83 2 2 3" xfId="24877"/>
    <cellStyle name="Normal 83 2 3" xfId="24878"/>
    <cellStyle name="Normal 83 2 3 2" xfId="57063"/>
    <cellStyle name="Normal 83 2 3 3" xfId="57064"/>
    <cellStyle name="Normal 83 2 4" xfId="24879"/>
    <cellStyle name="Normal 83 2 5" xfId="24880"/>
    <cellStyle name="Normal 83 2 6" xfId="57065"/>
    <cellStyle name="Normal 83 2 7" xfId="57066"/>
    <cellStyle name="Normal 83 2 8" xfId="57067"/>
    <cellStyle name="Normal 83 3" xfId="24881"/>
    <cellStyle name="Normal 83 3 2" xfId="24882"/>
    <cellStyle name="Normal 83 3 2 2" xfId="57068"/>
    <cellStyle name="Normal 83 3 2 3" xfId="57069"/>
    <cellStyle name="Normal 83 3 3" xfId="24883"/>
    <cellStyle name="Normal 83 3 3 2" xfId="57070"/>
    <cellStyle name="Normal 83 3 3 3" xfId="57071"/>
    <cellStyle name="Normal 83 3 4" xfId="57072"/>
    <cellStyle name="Normal 83 3 5" xfId="57073"/>
    <cellStyle name="Normal 83 4" xfId="24884"/>
    <cellStyle name="Normal 83 4 2" xfId="57074"/>
    <cellStyle name="Normal 83 4 3" xfId="57075"/>
    <cellStyle name="Normal 83 5" xfId="24885"/>
    <cellStyle name="Normal 83 5 2" xfId="57076"/>
    <cellStyle name="Normal 83 5 3" xfId="57077"/>
    <cellStyle name="Normal 83 6" xfId="24886"/>
    <cellStyle name="Normal 83 7" xfId="57078"/>
    <cellStyle name="Normal 83 8" xfId="57079"/>
    <cellStyle name="Normal 83 9" xfId="57080"/>
    <cellStyle name="Normal 830" xfId="24887"/>
    <cellStyle name="Normal 830 10" xfId="57081"/>
    <cellStyle name="Normal 830 2" xfId="24888"/>
    <cellStyle name="Normal 830 2 2" xfId="24889"/>
    <cellStyle name="Normal 830 2 2 2" xfId="57082"/>
    <cellStyle name="Normal 830 2 2 3" xfId="57083"/>
    <cellStyle name="Normal 830 2 3" xfId="24890"/>
    <cellStyle name="Normal 830 2 3 2" xfId="57084"/>
    <cellStyle name="Normal 830 2 3 3" xfId="57085"/>
    <cellStyle name="Normal 830 2 4" xfId="57086"/>
    <cellStyle name="Normal 830 2 5" xfId="57087"/>
    <cellStyle name="Normal 830 2 6" xfId="57088"/>
    <cellStyle name="Normal 830 2 7" xfId="57089"/>
    <cellStyle name="Normal 830 2 8" xfId="57090"/>
    <cellStyle name="Normal 830 3" xfId="24891"/>
    <cellStyle name="Normal 830 3 2" xfId="57091"/>
    <cellStyle name="Normal 830 3 2 2" xfId="57092"/>
    <cellStyle name="Normal 830 3 2 3" xfId="57093"/>
    <cellStyle name="Normal 830 3 3" xfId="57094"/>
    <cellStyle name="Normal 830 3 3 2" xfId="57095"/>
    <cellStyle name="Normal 830 3 3 3" xfId="57096"/>
    <cellStyle name="Normal 830 3 4" xfId="57097"/>
    <cellStyle name="Normal 830 3 5" xfId="57098"/>
    <cellStyle name="Normal 830 4" xfId="24892"/>
    <cellStyle name="Normal 830 4 2" xfId="57099"/>
    <cellStyle name="Normal 830 4 3" xfId="57100"/>
    <cellStyle name="Normal 830 5" xfId="24893"/>
    <cellStyle name="Normal 830 5 2" xfId="57101"/>
    <cellStyle name="Normal 830 5 3" xfId="57102"/>
    <cellStyle name="Normal 830 6" xfId="57103"/>
    <cellStyle name="Normal 830 7" xfId="57104"/>
    <cellStyle name="Normal 830 8" xfId="57105"/>
    <cellStyle name="Normal 830 9" xfId="57106"/>
    <cellStyle name="Normal 831" xfId="24894"/>
    <cellStyle name="Normal 831 10" xfId="57107"/>
    <cellStyle name="Normal 831 2" xfId="24895"/>
    <cellStyle name="Normal 831 2 2" xfId="24896"/>
    <cellStyle name="Normal 831 2 2 2" xfId="57108"/>
    <cellStyle name="Normal 831 2 2 3" xfId="57109"/>
    <cellStyle name="Normal 831 2 3" xfId="24897"/>
    <cellStyle name="Normal 831 2 3 2" xfId="57110"/>
    <cellStyle name="Normal 831 2 3 3" xfId="57111"/>
    <cellStyle name="Normal 831 2 4" xfId="57112"/>
    <cellStyle name="Normal 831 2 5" xfId="57113"/>
    <cellStyle name="Normal 831 2 6" xfId="57114"/>
    <cellStyle name="Normal 831 2 7" xfId="57115"/>
    <cellStyle name="Normal 831 2 8" xfId="57116"/>
    <cellStyle name="Normal 831 3" xfId="24898"/>
    <cellStyle name="Normal 831 3 2" xfId="57117"/>
    <cellStyle name="Normal 831 3 2 2" xfId="57118"/>
    <cellStyle name="Normal 831 3 2 3" xfId="57119"/>
    <cellStyle name="Normal 831 3 3" xfId="57120"/>
    <cellStyle name="Normal 831 3 3 2" xfId="57121"/>
    <cellStyle name="Normal 831 3 3 3" xfId="57122"/>
    <cellStyle name="Normal 831 3 4" xfId="57123"/>
    <cellStyle name="Normal 831 3 5" xfId="57124"/>
    <cellStyle name="Normal 831 4" xfId="24899"/>
    <cellStyle name="Normal 831 4 2" xfId="57125"/>
    <cellStyle name="Normal 831 4 3" xfId="57126"/>
    <cellStyle name="Normal 831 5" xfId="24900"/>
    <cellStyle name="Normal 831 5 2" xfId="57127"/>
    <cellStyle name="Normal 831 5 3" xfId="57128"/>
    <cellStyle name="Normal 831 6" xfId="57129"/>
    <cellStyle name="Normal 831 7" xfId="57130"/>
    <cellStyle name="Normal 831 8" xfId="57131"/>
    <cellStyle name="Normal 831 9" xfId="57132"/>
    <cellStyle name="Normal 832" xfId="24901"/>
    <cellStyle name="Normal 832 10" xfId="57133"/>
    <cellStyle name="Normal 832 2" xfId="24902"/>
    <cellStyle name="Normal 832 2 2" xfId="24903"/>
    <cellStyle name="Normal 832 2 2 2" xfId="57134"/>
    <cellStyle name="Normal 832 2 2 3" xfId="57135"/>
    <cellStyle name="Normal 832 2 3" xfId="24904"/>
    <cellStyle name="Normal 832 2 3 2" xfId="57136"/>
    <cellStyle name="Normal 832 2 3 3" xfId="57137"/>
    <cellStyle name="Normal 832 2 4" xfId="57138"/>
    <cellStyle name="Normal 832 2 5" xfId="57139"/>
    <cellStyle name="Normal 832 2 6" xfId="57140"/>
    <cellStyle name="Normal 832 2 7" xfId="57141"/>
    <cellStyle name="Normal 832 2 8" xfId="57142"/>
    <cellStyle name="Normal 832 3" xfId="24905"/>
    <cellStyle name="Normal 832 3 2" xfId="57143"/>
    <cellStyle name="Normal 832 3 2 2" xfId="57144"/>
    <cellStyle name="Normal 832 3 2 3" xfId="57145"/>
    <cellStyle name="Normal 832 3 3" xfId="57146"/>
    <cellStyle name="Normal 832 3 3 2" xfId="57147"/>
    <cellStyle name="Normal 832 3 3 3" xfId="57148"/>
    <cellStyle name="Normal 832 3 4" xfId="57149"/>
    <cellStyle name="Normal 832 3 5" xfId="57150"/>
    <cellStyle name="Normal 832 4" xfId="24906"/>
    <cellStyle name="Normal 832 4 2" xfId="57151"/>
    <cellStyle name="Normal 832 4 3" xfId="57152"/>
    <cellStyle name="Normal 832 5" xfId="24907"/>
    <cellStyle name="Normal 832 5 2" xfId="57153"/>
    <cellStyle name="Normal 832 5 3" xfId="57154"/>
    <cellStyle name="Normal 832 6" xfId="57155"/>
    <cellStyle name="Normal 832 7" xfId="57156"/>
    <cellStyle name="Normal 832 8" xfId="57157"/>
    <cellStyle name="Normal 832 9" xfId="57158"/>
    <cellStyle name="Normal 833" xfId="24908"/>
    <cellStyle name="Normal 833 10" xfId="57159"/>
    <cellStyle name="Normal 833 2" xfId="24909"/>
    <cellStyle name="Normal 833 2 2" xfId="24910"/>
    <cellStyle name="Normal 833 2 2 2" xfId="57160"/>
    <cellStyle name="Normal 833 2 2 3" xfId="57161"/>
    <cellStyle name="Normal 833 2 3" xfId="24911"/>
    <cellStyle name="Normal 833 2 3 2" xfId="57162"/>
    <cellStyle name="Normal 833 2 3 3" xfId="57163"/>
    <cellStyle name="Normal 833 2 4" xfId="57164"/>
    <cellStyle name="Normal 833 2 5" xfId="57165"/>
    <cellStyle name="Normal 833 2 6" xfId="57166"/>
    <cellStyle name="Normal 833 2 7" xfId="57167"/>
    <cellStyle name="Normal 833 2 8" xfId="57168"/>
    <cellStyle name="Normal 833 3" xfId="24912"/>
    <cellStyle name="Normal 833 3 2" xfId="57169"/>
    <cellStyle name="Normal 833 3 2 2" xfId="57170"/>
    <cellStyle name="Normal 833 3 2 3" xfId="57171"/>
    <cellStyle name="Normal 833 3 3" xfId="57172"/>
    <cellStyle name="Normal 833 3 3 2" xfId="57173"/>
    <cellStyle name="Normal 833 3 3 3" xfId="57174"/>
    <cellStyle name="Normal 833 3 4" xfId="57175"/>
    <cellStyle name="Normal 833 3 5" xfId="57176"/>
    <cellStyle name="Normal 833 4" xfId="24913"/>
    <cellStyle name="Normal 833 4 2" xfId="57177"/>
    <cellStyle name="Normal 833 4 3" xfId="57178"/>
    <cellStyle name="Normal 833 5" xfId="24914"/>
    <cellStyle name="Normal 833 5 2" xfId="57179"/>
    <cellStyle name="Normal 833 5 3" xfId="57180"/>
    <cellStyle name="Normal 833 6" xfId="57181"/>
    <cellStyle name="Normal 833 7" xfId="57182"/>
    <cellStyle name="Normal 833 8" xfId="57183"/>
    <cellStyle name="Normal 833 9" xfId="57184"/>
    <cellStyle name="Normal 834" xfId="24915"/>
    <cellStyle name="Normal 834 10" xfId="57185"/>
    <cellStyle name="Normal 834 2" xfId="24916"/>
    <cellStyle name="Normal 834 2 2" xfId="24917"/>
    <cellStyle name="Normal 834 2 2 2" xfId="57186"/>
    <cellStyle name="Normal 834 2 2 3" xfId="57187"/>
    <cellStyle name="Normal 834 2 3" xfId="24918"/>
    <cellStyle name="Normal 834 2 3 2" xfId="57188"/>
    <cellStyle name="Normal 834 2 3 3" xfId="57189"/>
    <cellStyle name="Normal 834 2 4" xfId="57190"/>
    <cellStyle name="Normal 834 2 5" xfId="57191"/>
    <cellStyle name="Normal 834 2 6" xfId="57192"/>
    <cellStyle name="Normal 834 2 7" xfId="57193"/>
    <cellStyle name="Normal 834 2 8" xfId="57194"/>
    <cellStyle name="Normal 834 3" xfId="24919"/>
    <cellStyle name="Normal 834 3 2" xfId="57195"/>
    <cellStyle name="Normal 834 3 2 2" xfId="57196"/>
    <cellStyle name="Normal 834 3 2 3" xfId="57197"/>
    <cellStyle name="Normal 834 3 3" xfId="57198"/>
    <cellStyle name="Normal 834 3 3 2" xfId="57199"/>
    <cellStyle name="Normal 834 3 3 3" xfId="57200"/>
    <cellStyle name="Normal 834 3 4" xfId="57201"/>
    <cellStyle name="Normal 834 3 5" xfId="57202"/>
    <cellStyle name="Normal 834 4" xfId="24920"/>
    <cellStyle name="Normal 834 4 2" xfId="57203"/>
    <cellStyle name="Normal 834 4 3" xfId="57204"/>
    <cellStyle name="Normal 834 5" xfId="24921"/>
    <cellStyle name="Normal 834 5 2" xfId="57205"/>
    <cellStyle name="Normal 834 5 3" xfId="57206"/>
    <cellStyle name="Normal 834 6" xfId="57207"/>
    <cellStyle name="Normal 834 7" xfId="57208"/>
    <cellStyle name="Normal 834 8" xfId="57209"/>
    <cellStyle name="Normal 834 9" xfId="57210"/>
    <cellStyle name="Normal 835" xfId="24922"/>
    <cellStyle name="Normal 835 10" xfId="57211"/>
    <cellStyle name="Normal 835 2" xfId="24923"/>
    <cellStyle name="Normal 835 2 2" xfId="24924"/>
    <cellStyle name="Normal 835 2 2 2" xfId="57212"/>
    <cellStyle name="Normal 835 2 2 3" xfId="57213"/>
    <cellStyle name="Normal 835 2 3" xfId="24925"/>
    <cellStyle name="Normal 835 2 3 2" xfId="57214"/>
    <cellStyle name="Normal 835 2 3 3" xfId="57215"/>
    <cellStyle name="Normal 835 2 4" xfId="57216"/>
    <cellStyle name="Normal 835 2 5" xfId="57217"/>
    <cellStyle name="Normal 835 2 6" xfId="57218"/>
    <cellStyle name="Normal 835 2 7" xfId="57219"/>
    <cellStyle name="Normal 835 2 8" xfId="57220"/>
    <cellStyle name="Normal 835 3" xfId="24926"/>
    <cellStyle name="Normal 835 3 2" xfId="57221"/>
    <cellStyle name="Normal 835 3 2 2" xfId="57222"/>
    <cellStyle name="Normal 835 3 2 3" xfId="57223"/>
    <cellStyle name="Normal 835 3 3" xfId="57224"/>
    <cellStyle name="Normal 835 3 3 2" xfId="57225"/>
    <cellStyle name="Normal 835 3 3 3" xfId="57226"/>
    <cellStyle name="Normal 835 3 4" xfId="57227"/>
    <cellStyle name="Normal 835 3 5" xfId="57228"/>
    <cellStyle name="Normal 835 4" xfId="24927"/>
    <cellStyle name="Normal 835 4 2" xfId="57229"/>
    <cellStyle name="Normal 835 4 3" xfId="57230"/>
    <cellStyle name="Normal 835 5" xfId="24928"/>
    <cellStyle name="Normal 835 5 2" xfId="57231"/>
    <cellStyle name="Normal 835 5 3" xfId="57232"/>
    <cellStyle name="Normal 835 6" xfId="57233"/>
    <cellStyle name="Normal 835 7" xfId="57234"/>
    <cellStyle name="Normal 835 8" xfId="57235"/>
    <cellStyle name="Normal 835 9" xfId="57236"/>
    <cellStyle name="Normal 836" xfId="24929"/>
    <cellStyle name="Normal 836 10" xfId="57237"/>
    <cellStyle name="Normal 836 2" xfId="24930"/>
    <cellStyle name="Normal 836 2 2" xfId="24931"/>
    <cellStyle name="Normal 836 2 2 2" xfId="57238"/>
    <cellStyle name="Normal 836 2 2 3" xfId="57239"/>
    <cellStyle name="Normal 836 2 3" xfId="24932"/>
    <cellStyle name="Normal 836 2 3 2" xfId="57240"/>
    <cellStyle name="Normal 836 2 3 3" xfId="57241"/>
    <cellStyle name="Normal 836 2 4" xfId="57242"/>
    <cellStyle name="Normal 836 2 5" xfId="57243"/>
    <cellStyle name="Normal 836 2 6" xfId="57244"/>
    <cellStyle name="Normal 836 2 7" xfId="57245"/>
    <cellStyle name="Normal 836 2 8" xfId="57246"/>
    <cellStyle name="Normal 836 3" xfId="24933"/>
    <cellStyle name="Normal 836 3 2" xfId="57247"/>
    <cellStyle name="Normal 836 3 2 2" xfId="57248"/>
    <cellStyle name="Normal 836 3 2 3" xfId="57249"/>
    <cellStyle name="Normal 836 3 3" xfId="57250"/>
    <cellStyle name="Normal 836 3 3 2" xfId="57251"/>
    <cellStyle name="Normal 836 3 3 3" xfId="57252"/>
    <cellStyle name="Normal 836 3 4" xfId="57253"/>
    <cellStyle name="Normal 836 3 5" xfId="57254"/>
    <cellStyle name="Normal 836 4" xfId="24934"/>
    <cellStyle name="Normal 836 4 2" xfId="57255"/>
    <cellStyle name="Normal 836 4 3" xfId="57256"/>
    <cellStyle name="Normal 836 5" xfId="24935"/>
    <cellStyle name="Normal 836 5 2" xfId="57257"/>
    <cellStyle name="Normal 836 5 3" xfId="57258"/>
    <cellStyle name="Normal 836 6" xfId="57259"/>
    <cellStyle name="Normal 836 7" xfId="57260"/>
    <cellStyle name="Normal 836 8" xfId="57261"/>
    <cellStyle name="Normal 836 9" xfId="57262"/>
    <cellStyle name="Normal 837" xfId="24936"/>
    <cellStyle name="Normal 837 10" xfId="57263"/>
    <cellStyle name="Normal 837 2" xfId="24937"/>
    <cellStyle name="Normal 837 2 2" xfId="24938"/>
    <cellStyle name="Normal 837 2 2 2" xfId="57264"/>
    <cellStyle name="Normal 837 2 2 3" xfId="57265"/>
    <cellStyle name="Normal 837 2 3" xfId="24939"/>
    <cellStyle name="Normal 837 2 3 2" xfId="57266"/>
    <cellStyle name="Normal 837 2 3 3" xfId="57267"/>
    <cellStyle name="Normal 837 2 4" xfId="57268"/>
    <cellStyle name="Normal 837 2 5" xfId="57269"/>
    <cellStyle name="Normal 837 2 6" xfId="57270"/>
    <cellStyle name="Normal 837 2 7" xfId="57271"/>
    <cellStyle name="Normal 837 2 8" xfId="57272"/>
    <cellStyle name="Normal 837 3" xfId="24940"/>
    <cellStyle name="Normal 837 3 2" xfId="57273"/>
    <cellStyle name="Normal 837 3 2 2" xfId="57274"/>
    <cellStyle name="Normal 837 3 2 3" xfId="57275"/>
    <cellStyle name="Normal 837 3 3" xfId="57276"/>
    <cellStyle name="Normal 837 3 3 2" xfId="57277"/>
    <cellStyle name="Normal 837 3 3 3" xfId="57278"/>
    <cellStyle name="Normal 837 3 4" xfId="57279"/>
    <cellStyle name="Normal 837 3 5" xfId="57280"/>
    <cellStyle name="Normal 837 4" xfId="24941"/>
    <cellStyle name="Normal 837 4 2" xfId="57281"/>
    <cellStyle name="Normal 837 4 3" xfId="57282"/>
    <cellStyle name="Normal 837 5" xfId="24942"/>
    <cellStyle name="Normal 837 5 2" xfId="57283"/>
    <cellStyle name="Normal 837 5 3" xfId="57284"/>
    <cellStyle name="Normal 837 6" xfId="57285"/>
    <cellStyle name="Normal 837 7" xfId="57286"/>
    <cellStyle name="Normal 837 8" xfId="57287"/>
    <cellStyle name="Normal 837 9" xfId="57288"/>
    <cellStyle name="Normal 838" xfId="24943"/>
    <cellStyle name="Normal 838 10" xfId="57289"/>
    <cellStyle name="Normal 838 2" xfId="24944"/>
    <cellStyle name="Normal 838 2 2" xfId="24945"/>
    <cellStyle name="Normal 838 2 2 2" xfId="57290"/>
    <cellStyle name="Normal 838 2 2 3" xfId="57291"/>
    <cellStyle name="Normal 838 2 3" xfId="24946"/>
    <cellStyle name="Normal 838 2 3 2" xfId="57292"/>
    <cellStyle name="Normal 838 2 3 3" xfId="57293"/>
    <cellStyle name="Normal 838 2 4" xfId="57294"/>
    <cellStyle name="Normal 838 2 5" xfId="57295"/>
    <cellStyle name="Normal 838 2 6" xfId="57296"/>
    <cellStyle name="Normal 838 2 7" xfId="57297"/>
    <cellStyle name="Normal 838 2 8" xfId="57298"/>
    <cellStyle name="Normal 838 3" xfId="24947"/>
    <cellStyle name="Normal 838 3 2" xfId="57299"/>
    <cellStyle name="Normal 838 3 2 2" xfId="57300"/>
    <cellStyle name="Normal 838 3 2 3" xfId="57301"/>
    <cellStyle name="Normal 838 3 3" xfId="57302"/>
    <cellStyle name="Normal 838 3 3 2" xfId="57303"/>
    <cellStyle name="Normal 838 3 3 3" xfId="57304"/>
    <cellStyle name="Normal 838 3 4" xfId="57305"/>
    <cellStyle name="Normal 838 3 5" xfId="57306"/>
    <cellStyle name="Normal 838 4" xfId="24948"/>
    <cellStyle name="Normal 838 4 2" xfId="57307"/>
    <cellStyle name="Normal 838 4 3" xfId="57308"/>
    <cellStyle name="Normal 838 5" xfId="24949"/>
    <cellStyle name="Normal 838 5 2" xfId="57309"/>
    <cellStyle name="Normal 838 5 3" xfId="57310"/>
    <cellStyle name="Normal 838 6" xfId="57311"/>
    <cellStyle name="Normal 838 7" xfId="57312"/>
    <cellStyle name="Normal 838 8" xfId="57313"/>
    <cellStyle name="Normal 838 9" xfId="57314"/>
    <cellStyle name="Normal 839" xfId="24950"/>
    <cellStyle name="Normal 839 10" xfId="57315"/>
    <cellStyle name="Normal 839 2" xfId="24951"/>
    <cellStyle name="Normal 839 2 2" xfId="24952"/>
    <cellStyle name="Normal 839 2 2 2" xfId="57316"/>
    <cellStyle name="Normal 839 2 2 3" xfId="57317"/>
    <cellStyle name="Normal 839 2 3" xfId="24953"/>
    <cellStyle name="Normal 839 2 3 2" xfId="57318"/>
    <cellStyle name="Normal 839 2 3 3" xfId="57319"/>
    <cellStyle name="Normal 839 2 4" xfId="57320"/>
    <cellStyle name="Normal 839 2 5" xfId="57321"/>
    <cellStyle name="Normal 839 2 6" xfId="57322"/>
    <cellStyle name="Normal 839 2 7" xfId="57323"/>
    <cellStyle name="Normal 839 2 8" xfId="57324"/>
    <cellStyle name="Normal 839 3" xfId="24954"/>
    <cellStyle name="Normal 839 3 2" xfId="57325"/>
    <cellStyle name="Normal 839 3 2 2" xfId="57326"/>
    <cellStyle name="Normal 839 3 2 3" xfId="57327"/>
    <cellStyle name="Normal 839 3 3" xfId="57328"/>
    <cellStyle name="Normal 839 3 3 2" xfId="57329"/>
    <cellStyle name="Normal 839 3 3 3" xfId="57330"/>
    <cellStyle name="Normal 839 3 4" xfId="57331"/>
    <cellStyle name="Normal 839 3 5" xfId="57332"/>
    <cellStyle name="Normal 839 4" xfId="24955"/>
    <cellStyle name="Normal 839 4 2" xfId="57333"/>
    <cellStyle name="Normal 839 4 3" xfId="57334"/>
    <cellStyle name="Normal 839 5" xfId="24956"/>
    <cellStyle name="Normal 839 5 2" xfId="57335"/>
    <cellStyle name="Normal 839 5 3" xfId="57336"/>
    <cellStyle name="Normal 839 6" xfId="57337"/>
    <cellStyle name="Normal 839 7" xfId="57338"/>
    <cellStyle name="Normal 839 8" xfId="57339"/>
    <cellStyle name="Normal 839 9" xfId="57340"/>
    <cellStyle name="Normal 84" xfId="24957"/>
    <cellStyle name="Normal 84 10" xfId="57341"/>
    <cellStyle name="Normal 84 2" xfId="24958"/>
    <cellStyle name="Normal 84 2 2" xfId="24959"/>
    <cellStyle name="Normal 84 2 2 2" xfId="24960"/>
    <cellStyle name="Normal 84 2 2 3" xfId="24961"/>
    <cellStyle name="Normal 84 2 3" xfId="24962"/>
    <cellStyle name="Normal 84 2 3 2" xfId="57342"/>
    <cellStyle name="Normal 84 2 3 3" xfId="57343"/>
    <cellStyle name="Normal 84 2 4" xfId="24963"/>
    <cellStyle name="Normal 84 2 5" xfId="24964"/>
    <cellStyle name="Normal 84 2 6" xfId="57344"/>
    <cellStyle name="Normal 84 2 7" xfId="57345"/>
    <cellStyle name="Normal 84 2 8" xfId="57346"/>
    <cellStyle name="Normal 84 3" xfId="24965"/>
    <cellStyle name="Normal 84 3 2" xfId="24966"/>
    <cellStyle name="Normal 84 3 2 2" xfId="57347"/>
    <cellStyle name="Normal 84 3 2 3" xfId="57348"/>
    <cellStyle name="Normal 84 3 3" xfId="24967"/>
    <cellStyle name="Normal 84 3 3 2" xfId="57349"/>
    <cellStyle name="Normal 84 3 3 3" xfId="57350"/>
    <cellStyle name="Normal 84 3 4" xfId="57351"/>
    <cellStyle name="Normal 84 3 5" xfId="57352"/>
    <cellStyle name="Normal 84 4" xfId="24968"/>
    <cellStyle name="Normal 84 4 2" xfId="57353"/>
    <cellStyle name="Normal 84 4 3" xfId="57354"/>
    <cellStyle name="Normal 84 5" xfId="24969"/>
    <cellStyle name="Normal 84 5 2" xfId="57355"/>
    <cellStyle name="Normal 84 5 3" xfId="57356"/>
    <cellStyle name="Normal 84 6" xfId="24970"/>
    <cellStyle name="Normal 84 7" xfId="57357"/>
    <cellStyle name="Normal 84 8" xfId="57358"/>
    <cellStyle name="Normal 84 9" xfId="57359"/>
    <cellStyle name="Normal 840" xfId="24971"/>
    <cellStyle name="Normal 840 10" xfId="57360"/>
    <cellStyle name="Normal 840 2" xfId="24972"/>
    <cellStyle name="Normal 840 2 2" xfId="24973"/>
    <cellStyle name="Normal 840 2 2 2" xfId="57361"/>
    <cellStyle name="Normal 840 2 2 3" xfId="57362"/>
    <cellStyle name="Normal 840 2 3" xfId="24974"/>
    <cellStyle name="Normal 840 2 3 2" xfId="57363"/>
    <cellStyle name="Normal 840 2 3 3" xfId="57364"/>
    <cellStyle name="Normal 840 2 4" xfId="57365"/>
    <cellStyle name="Normal 840 2 5" xfId="57366"/>
    <cellStyle name="Normal 840 2 6" xfId="57367"/>
    <cellStyle name="Normal 840 2 7" xfId="57368"/>
    <cellStyle name="Normal 840 2 8" xfId="57369"/>
    <cellStyle name="Normal 840 3" xfId="24975"/>
    <cellStyle name="Normal 840 3 2" xfId="57370"/>
    <cellStyle name="Normal 840 3 2 2" xfId="57371"/>
    <cellStyle name="Normal 840 3 2 3" xfId="57372"/>
    <cellStyle name="Normal 840 3 3" xfId="57373"/>
    <cellStyle name="Normal 840 3 3 2" xfId="57374"/>
    <cellStyle name="Normal 840 3 3 3" xfId="57375"/>
    <cellStyle name="Normal 840 3 4" xfId="57376"/>
    <cellStyle name="Normal 840 3 5" xfId="57377"/>
    <cellStyle name="Normal 840 4" xfId="24976"/>
    <cellStyle name="Normal 840 4 2" xfId="57378"/>
    <cellStyle name="Normal 840 4 3" xfId="57379"/>
    <cellStyle name="Normal 840 5" xfId="24977"/>
    <cellStyle name="Normal 840 5 2" xfId="57380"/>
    <cellStyle name="Normal 840 5 3" xfId="57381"/>
    <cellStyle name="Normal 840 6" xfId="57382"/>
    <cellStyle name="Normal 840 7" xfId="57383"/>
    <cellStyle name="Normal 840 8" xfId="57384"/>
    <cellStyle name="Normal 840 9" xfId="57385"/>
    <cellStyle name="Normal 841" xfId="24978"/>
    <cellStyle name="Normal 841 10" xfId="57386"/>
    <cellStyle name="Normal 841 2" xfId="24979"/>
    <cellStyle name="Normal 841 2 2" xfId="24980"/>
    <cellStyle name="Normal 841 2 2 2" xfId="57387"/>
    <cellStyle name="Normal 841 2 2 3" xfId="57388"/>
    <cellStyle name="Normal 841 2 3" xfId="24981"/>
    <cellStyle name="Normal 841 2 3 2" xfId="57389"/>
    <cellStyle name="Normal 841 2 3 3" xfId="57390"/>
    <cellStyle name="Normal 841 2 4" xfId="57391"/>
    <cellStyle name="Normal 841 2 5" xfId="57392"/>
    <cellStyle name="Normal 841 2 6" xfId="57393"/>
    <cellStyle name="Normal 841 2 7" xfId="57394"/>
    <cellStyle name="Normal 841 2 8" xfId="57395"/>
    <cellStyle name="Normal 841 3" xfId="24982"/>
    <cellStyle name="Normal 841 3 2" xfId="57396"/>
    <cellStyle name="Normal 841 3 2 2" xfId="57397"/>
    <cellStyle name="Normal 841 3 2 3" xfId="57398"/>
    <cellStyle name="Normal 841 3 3" xfId="57399"/>
    <cellStyle name="Normal 841 3 3 2" xfId="57400"/>
    <cellStyle name="Normal 841 3 3 3" xfId="57401"/>
    <cellStyle name="Normal 841 3 4" xfId="57402"/>
    <cellStyle name="Normal 841 3 5" xfId="57403"/>
    <cellStyle name="Normal 841 4" xfId="24983"/>
    <cellStyle name="Normal 841 4 2" xfId="57404"/>
    <cellStyle name="Normal 841 4 3" xfId="57405"/>
    <cellStyle name="Normal 841 5" xfId="24984"/>
    <cellStyle name="Normal 841 5 2" xfId="57406"/>
    <cellStyle name="Normal 841 5 3" xfId="57407"/>
    <cellStyle name="Normal 841 6" xfId="57408"/>
    <cellStyle name="Normal 841 7" xfId="57409"/>
    <cellStyle name="Normal 841 8" xfId="57410"/>
    <cellStyle name="Normal 841 9" xfId="57411"/>
    <cellStyle name="Normal 842" xfId="24985"/>
    <cellStyle name="Normal 842 10" xfId="57412"/>
    <cellStyle name="Normal 842 2" xfId="24986"/>
    <cellStyle name="Normal 842 2 2" xfId="24987"/>
    <cellStyle name="Normal 842 2 2 2" xfId="57413"/>
    <cellStyle name="Normal 842 2 2 3" xfId="57414"/>
    <cellStyle name="Normal 842 2 3" xfId="24988"/>
    <cellStyle name="Normal 842 2 3 2" xfId="57415"/>
    <cellStyle name="Normal 842 2 3 3" xfId="57416"/>
    <cellStyle name="Normal 842 2 4" xfId="57417"/>
    <cellStyle name="Normal 842 2 5" xfId="57418"/>
    <cellStyle name="Normal 842 2 6" xfId="57419"/>
    <cellStyle name="Normal 842 2 7" xfId="57420"/>
    <cellStyle name="Normal 842 2 8" xfId="57421"/>
    <cellStyle name="Normal 842 3" xfId="24989"/>
    <cellStyle name="Normal 842 3 2" xfId="57422"/>
    <cellStyle name="Normal 842 3 2 2" xfId="57423"/>
    <cellStyle name="Normal 842 3 2 3" xfId="57424"/>
    <cellStyle name="Normal 842 3 3" xfId="57425"/>
    <cellStyle name="Normal 842 3 3 2" xfId="57426"/>
    <cellStyle name="Normal 842 3 3 3" xfId="57427"/>
    <cellStyle name="Normal 842 3 4" xfId="57428"/>
    <cellStyle name="Normal 842 3 5" xfId="57429"/>
    <cellStyle name="Normal 842 4" xfId="24990"/>
    <cellStyle name="Normal 842 4 2" xfId="57430"/>
    <cellStyle name="Normal 842 4 3" xfId="57431"/>
    <cellStyle name="Normal 842 5" xfId="24991"/>
    <cellStyle name="Normal 842 5 2" xfId="57432"/>
    <cellStyle name="Normal 842 5 3" xfId="57433"/>
    <cellStyle name="Normal 842 6" xfId="57434"/>
    <cellStyle name="Normal 842 7" xfId="57435"/>
    <cellStyle name="Normal 842 8" xfId="57436"/>
    <cellStyle name="Normal 842 9" xfId="57437"/>
    <cellStyle name="Normal 843" xfId="24992"/>
    <cellStyle name="Normal 843 10" xfId="57438"/>
    <cellStyle name="Normal 843 2" xfId="24993"/>
    <cellStyle name="Normal 843 2 2" xfId="24994"/>
    <cellStyle name="Normal 843 2 2 2" xfId="57439"/>
    <cellStyle name="Normal 843 2 2 3" xfId="57440"/>
    <cellStyle name="Normal 843 2 3" xfId="24995"/>
    <cellStyle name="Normal 843 2 3 2" xfId="57441"/>
    <cellStyle name="Normal 843 2 3 3" xfId="57442"/>
    <cellStyle name="Normal 843 2 4" xfId="57443"/>
    <cellStyle name="Normal 843 2 5" xfId="57444"/>
    <cellStyle name="Normal 843 2 6" xfId="57445"/>
    <cellStyle name="Normal 843 2 7" xfId="57446"/>
    <cellStyle name="Normal 843 2 8" xfId="57447"/>
    <cellStyle name="Normal 843 3" xfId="24996"/>
    <cellStyle name="Normal 843 3 2" xfId="57448"/>
    <cellStyle name="Normal 843 3 2 2" xfId="57449"/>
    <cellStyle name="Normal 843 3 2 3" xfId="57450"/>
    <cellStyle name="Normal 843 3 3" xfId="57451"/>
    <cellStyle name="Normal 843 3 3 2" xfId="57452"/>
    <cellStyle name="Normal 843 3 3 3" xfId="57453"/>
    <cellStyle name="Normal 843 3 4" xfId="57454"/>
    <cellStyle name="Normal 843 3 5" xfId="57455"/>
    <cellStyle name="Normal 843 4" xfId="24997"/>
    <cellStyle name="Normal 843 4 2" xfId="57456"/>
    <cellStyle name="Normal 843 4 3" xfId="57457"/>
    <cellStyle name="Normal 843 5" xfId="24998"/>
    <cellStyle name="Normal 843 5 2" xfId="57458"/>
    <cellStyle name="Normal 843 5 3" xfId="57459"/>
    <cellStyle name="Normal 843 6" xfId="57460"/>
    <cellStyle name="Normal 843 7" xfId="57461"/>
    <cellStyle name="Normal 843 8" xfId="57462"/>
    <cellStyle name="Normal 843 9" xfId="57463"/>
    <cellStyle name="Normal 844" xfId="24999"/>
    <cellStyle name="Normal 844 10" xfId="57464"/>
    <cellStyle name="Normal 844 2" xfId="25000"/>
    <cellStyle name="Normal 844 2 2" xfId="25001"/>
    <cellStyle name="Normal 844 2 2 2" xfId="57465"/>
    <cellStyle name="Normal 844 2 2 3" xfId="57466"/>
    <cellStyle name="Normal 844 2 3" xfId="25002"/>
    <cellStyle name="Normal 844 2 3 2" xfId="57467"/>
    <cellStyle name="Normal 844 2 3 3" xfId="57468"/>
    <cellStyle name="Normal 844 2 4" xfId="57469"/>
    <cellStyle name="Normal 844 2 5" xfId="57470"/>
    <cellStyle name="Normal 844 2 6" xfId="57471"/>
    <cellStyle name="Normal 844 2 7" xfId="57472"/>
    <cellStyle name="Normal 844 2 8" xfId="57473"/>
    <cellStyle name="Normal 844 3" xfId="25003"/>
    <cellStyle name="Normal 844 3 2" xfId="57474"/>
    <cellStyle name="Normal 844 3 2 2" xfId="57475"/>
    <cellStyle name="Normal 844 3 2 3" xfId="57476"/>
    <cellStyle name="Normal 844 3 3" xfId="57477"/>
    <cellStyle name="Normal 844 3 3 2" xfId="57478"/>
    <cellStyle name="Normal 844 3 3 3" xfId="57479"/>
    <cellStyle name="Normal 844 3 4" xfId="57480"/>
    <cellStyle name="Normal 844 3 5" xfId="57481"/>
    <cellStyle name="Normal 844 4" xfId="25004"/>
    <cellStyle name="Normal 844 4 2" xfId="57482"/>
    <cellStyle name="Normal 844 4 3" xfId="57483"/>
    <cellStyle name="Normal 844 5" xfId="25005"/>
    <cellStyle name="Normal 844 5 2" xfId="57484"/>
    <cellStyle name="Normal 844 5 3" xfId="57485"/>
    <cellStyle name="Normal 844 6" xfId="57486"/>
    <cellStyle name="Normal 844 7" xfId="57487"/>
    <cellStyle name="Normal 844 8" xfId="57488"/>
    <cellStyle name="Normal 844 9" xfId="57489"/>
    <cellStyle name="Normal 845" xfId="25006"/>
    <cellStyle name="Normal 845 10" xfId="57490"/>
    <cellStyle name="Normal 845 2" xfId="25007"/>
    <cellStyle name="Normal 845 2 2" xfId="25008"/>
    <cellStyle name="Normal 845 2 2 2" xfId="57491"/>
    <cellStyle name="Normal 845 2 2 3" xfId="57492"/>
    <cellStyle name="Normal 845 2 3" xfId="25009"/>
    <cellStyle name="Normal 845 2 3 2" xfId="57493"/>
    <cellStyle name="Normal 845 2 3 3" xfId="57494"/>
    <cellStyle name="Normal 845 2 4" xfId="57495"/>
    <cellStyle name="Normal 845 2 5" xfId="57496"/>
    <cellStyle name="Normal 845 2 6" xfId="57497"/>
    <cellStyle name="Normal 845 2 7" xfId="57498"/>
    <cellStyle name="Normal 845 2 8" xfId="57499"/>
    <cellStyle name="Normal 845 3" xfId="25010"/>
    <cellStyle name="Normal 845 3 2" xfId="57500"/>
    <cellStyle name="Normal 845 3 2 2" xfId="57501"/>
    <cellStyle name="Normal 845 3 2 3" xfId="57502"/>
    <cellStyle name="Normal 845 3 3" xfId="57503"/>
    <cellStyle name="Normal 845 3 3 2" xfId="57504"/>
    <cellStyle name="Normal 845 3 3 3" xfId="57505"/>
    <cellStyle name="Normal 845 3 4" xfId="57506"/>
    <cellStyle name="Normal 845 3 5" xfId="57507"/>
    <cellStyle name="Normal 845 4" xfId="25011"/>
    <cellStyle name="Normal 845 4 2" xfId="57508"/>
    <cellStyle name="Normal 845 4 3" xfId="57509"/>
    <cellStyle name="Normal 845 5" xfId="25012"/>
    <cellStyle name="Normal 845 5 2" xfId="57510"/>
    <cellStyle name="Normal 845 5 3" xfId="57511"/>
    <cellStyle name="Normal 845 6" xfId="57512"/>
    <cellStyle name="Normal 845 7" xfId="57513"/>
    <cellStyle name="Normal 845 8" xfId="57514"/>
    <cellStyle name="Normal 845 9" xfId="57515"/>
    <cellStyle name="Normal 846" xfId="25013"/>
    <cellStyle name="Normal 846 10" xfId="57516"/>
    <cellStyle name="Normal 846 2" xfId="25014"/>
    <cellStyle name="Normal 846 2 2" xfId="25015"/>
    <cellStyle name="Normal 846 2 2 2" xfId="57517"/>
    <cellStyle name="Normal 846 2 2 3" xfId="57518"/>
    <cellStyle name="Normal 846 2 3" xfId="25016"/>
    <cellStyle name="Normal 846 2 3 2" xfId="57519"/>
    <cellStyle name="Normal 846 2 3 3" xfId="57520"/>
    <cellStyle name="Normal 846 2 4" xfId="57521"/>
    <cellStyle name="Normal 846 2 5" xfId="57522"/>
    <cellStyle name="Normal 846 2 6" xfId="57523"/>
    <cellStyle name="Normal 846 2 7" xfId="57524"/>
    <cellStyle name="Normal 846 2 8" xfId="57525"/>
    <cellStyle name="Normal 846 3" xfId="25017"/>
    <cellStyle name="Normal 846 3 2" xfId="57526"/>
    <cellStyle name="Normal 846 3 2 2" xfId="57527"/>
    <cellStyle name="Normal 846 3 2 3" xfId="57528"/>
    <cellStyle name="Normal 846 3 3" xfId="57529"/>
    <cellStyle name="Normal 846 3 3 2" xfId="57530"/>
    <cellStyle name="Normal 846 3 3 3" xfId="57531"/>
    <cellStyle name="Normal 846 3 4" xfId="57532"/>
    <cellStyle name="Normal 846 3 5" xfId="57533"/>
    <cellStyle name="Normal 846 4" xfId="25018"/>
    <cellStyle name="Normal 846 4 2" xfId="57534"/>
    <cellStyle name="Normal 846 4 3" xfId="57535"/>
    <cellStyle name="Normal 846 5" xfId="25019"/>
    <cellStyle name="Normal 846 5 2" xfId="57536"/>
    <cellStyle name="Normal 846 5 3" xfId="57537"/>
    <cellStyle name="Normal 846 6" xfId="57538"/>
    <cellStyle name="Normal 846 7" xfId="57539"/>
    <cellStyle name="Normal 846 8" xfId="57540"/>
    <cellStyle name="Normal 846 9" xfId="57541"/>
    <cellStyle name="Normal 847" xfId="25020"/>
    <cellStyle name="Normal 847 10" xfId="57542"/>
    <cellStyle name="Normal 847 2" xfId="25021"/>
    <cellStyle name="Normal 847 2 2" xfId="25022"/>
    <cellStyle name="Normal 847 2 2 2" xfId="57543"/>
    <cellStyle name="Normal 847 2 2 3" xfId="57544"/>
    <cellStyle name="Normal 847 2 3" xfId="25023"/>
    <cellStyle name="Normal 847 2 3 2" xfId="57545"/>
    <cellStyle name="Normal 847 2 3 3" xfId="57546"/>
    <cellStyle name="Normal 847 2 4" xfId="57547"/>
    <cellStyle name="Normal 847 2 5" xfId="57548"/>
    <cellStyle name="Normal 847 2 6" xfId="57549"/>
    <cellStyle name="Normal 847 2 7" xfId="57550"/>
    <cellStyle name="Normal 847 2 8" xfId="57551"/>
    <cellStyle name="Normal 847 3" xfId="25024"/>
    <cellStyle name="Normal 847 3 2" xfId="57552"/>
    <cellStyle name="Normal 847 3 2 2" xfId="57553"/>
    <cellStyle name="Normal 847 3 2 3" xfId="57554"/>
    <cellStyle name="Normal 847 3 3" xfId="57555"/>
    <cellStyle name="Normal 847 3 3 2" xfId="57556"/>
    <cellStyle name="Normal 847 3 3 3" xfId="57557"/>
    <cellStyle name="Normal 847 3 4" xfId="57558"/>
    <cellStyle name="Normal 847 3 5" xfId="57559"/>
    <cellStyle name="Normal 847 4" xfId="25025"/>
    <cellStyle name="Normal 847 4 2" xfId="57560"/>
    <cellStyle name="Normal 847 4 3" xfId="57561"/>
    <cellStyle name="Normal 847 5" xfId="25026"/>
    <cellStyle name="Normal 847 5 2" xfId="57562"/>
    <cellStyle name="Normal 847 5 3" xfId="57563"/>
    <cellStyle name="Normal 847 6" xfId="57564"/>
    <cellStyle name="Normal 847 7" xfId="57565"/>
    <cellStyle name="Normal 847 8" xfId="57566"/>
    <cellStyle name="Normal 847 9" xfId="57567"/>
    <cellStyle name="Normal 848" xfId="25027"/>
    <cellStyle name="Normal 848 10" xfId="57568"/>
    <cellStyle name="Normal 848 2" xfId="25028"/>
    <cellStyle name="Normal 848 2 2" xfId="25029"/>
    <cellStyle name="Normal 848 2 2 2" xfId="57569"/>
    <cellStyle name="Normal 848 2 2 3" xfId="57570"/>
    <cellStyle name="Normal 848 2 3" xfId="25030"/>
    <cellStyle name="Normal 848 2 3 2" xfId="57571"/>
    <cellStyle name="Normal 848 2 3 3" xfId="57572"/>
    <cellStyle name="Normal 848 2 4" xfId="57573"/>
    <cellStyle name="Normal 848 2 5" xfId="57574"/>
    <cellStyle name="Normal 848 2 6" xfId="57575"/>
    <cellStyle name="Normal 848 2 7" xfId="57576"/>
    <cellStyle name="Normal 848 2 8" xfId="57577"/>
    <cellStyle name="Normal 848 3" xfId="25031"/>
    <cellStyle name="Normal 848 3 2" xfId="57578"/>
    <cellStyle name="Normal 848 3 2 2" xfId="57579"/>
    <cellStyle name="Normal 848 3 2 3" xfId="57580"/>
    <cellStyle name="Normal 848 3 3" xfId="57581"/>
    <cellStyle name="Normal 848 3 3 2" xfId="57582"/>
    <cellStyle name="Normal 848 3 3 3" xfId="57583"/>
    <cellStyle name="Normal 848 3 4" xfId="57584"/>
    <cellStyle name="Normal 848 3 5" xfId="57585"/>
    <cellStyle name="Normal 848 4" xfId="25032"/>
    <cellStyle name="Normal 848 4 2" xfId="57586"/>
    <cellStyle name="Normal 848 4 3" xfId="57587"/>
    <cellStyle name="Normal 848 5" xfId="25033"/>
    <cellStyle name="Normal 848 5 2" xfId="57588"/>
    <cellStyle name="Normal 848 5 3" xfId="57589"/>
    <cellStyle name="Normal 848 6" xfId="57590"/>
    <cellStyle name="Normal 848 7" xfId="57591"/>
    <cellStyle name="Normal 848 8" xfId="57592"/>
    <cellStyle name="Normal 848 9" xfId="57593"/>
    <cellStyle name="Normal 849" xfId="25034"/>
    <cellStyle name="Normal 849 10" xfId="57594"/>
    <cellStyle name="Normal 849 2" xfId="25035"/>
    <cellStyle name="Normal 849 2 2" xfId="25036"/>
    <cellStyle name="Normal 849 2 2 2" xfId="57595"/>
    <cellStyle name="Normal 849 2 2 3" xfId="57596"/>
    <cellStyle name="Normal 849 2 3" xfId="25037"/>
    <cellStyle name="Normal 849 2 3 2" xfId="57597"/>
    <cellStyle name="Normal 849 2 3 3" xfId="57598"/>
    <cellStyle name="Normal 849 2 4" xfId="57599"/>
    <cellStyle name="Normal 849 2 5" xfId="57600"/>
    <cellStyle name="Normal 849 2 6" xfId="57601"/>
    <cellStyle name="Normal 849 2 7" xfId="57602"/>
    <cellStyle name="Normal 849 2 8" xfId="57603"/>
    <cellStyle name="Normal 849 3" xfId="25038"/>
    <cellStyle name="Normal 849 3 2" xfId="57604"/>
    <cellStyle name="Normal 849 3 2 2" xfId="57605"/>
    <cellStyle name="Normal 849 3 2 3" xfId="57606"/>
    <cellStyle name="Normal 849 3 3" xfId="57607"/>
    <cellStyle name="Normal 849 3 3 2" xfId="57608"/>
    <cellStyle name="Normal 849 3 3 3" xfId="57609"/>
    <cellStyle name="Normal 849 3 4" xfId="57610"/>
    <cellStyle name="Normal 849 3 5" xfId="57611"/>
    <cellStyle name="Normal 849 4" xfId="25039"/>
    <cellStyle name="Normal 849 4 2" xfId="57612"/>
    <cellStyle name="Normal 849 4 3" xfId="57613"/>
    <cellStyle name="Normal 849 5" xfId="25040"/>
    <cellStyle name="Normal 849 5 2" xfId="57614"/>
    <cellStyle name="Normal 849 5 3" xfId="57615"/>
    <cellStyle name="Normal 849 6" xfId="57616"/>
    <cellStyle name="Normal 849 7" xfId="57617"/>
    <cellStyle name="Normal 849 8" xfId="57618"/>
    <cellStyle name="Normal 849 9" xfId="57619"/>
    <cellStyle name="Normal 85" xfId="25041"/>
    <cellStyle name="Normal 85 10" xfId="57620"/>
    <cellStyle name="Normal 85 2" xfId="25042"/>
    <cellStyle name="Normal 85 2 2" xfId="25043"/>
    <cellStyle name="Normal 85 2 2 2" xfId="25044"/>
    <cellStyle name="Normal 85 2 2 3" xfId="25045"/>
    <cellStyle name="Normal 85 2 3" xfId="25046"/>
    <cellStyle name="Normal 85 2 3 2" xfId="57621"/>
    <cellStyle name="Normal 85 2 3 3" xfId="57622"/>
    <cellStyle name="Normal 85 2 4" xfId="25047"/>
    <cellStyle name="Normal 85 2 5" xfId="25048"/>
    <cellStyle name="Normal 85 2 6" xfId="57623"/>
    <cellStyle name="Normal 85 2 7" xfId="57624"/>
    <cellStyle name="Normal 85 2 8" xfId="57625"/>
    <cellStyle name="Normal 85 3" xfId="25049"/>
    <cellStyle name="Normal 85 3 2" xfId="25050"/>
    <cellStyle name="Normal 85 3 2 2" xfId="57626"/>
    <cellStyle name="Normal 85 3 2 3" xfId="57627"/>
    <cellStyle name="Normal 85 3 3" xfId="25051"/>
    <cellStyle name="Normal 85 3 3 2" xfId="57628"/>
    <cellStyle name="Normal 85 3 3 3" xfId="57629"/>
    <cellStyle name="Normal 85 3 4" xfId="57630"/>
    <cellStyle name="Normal 85 3 5" xfId="57631"/>
    <cellStyle name="Normal 85 4" xfId="25052"/>
    <cellStyle name="Normal 85 4 2" xfId="57632"/>
    <cellStyle name="Normal 85 4 3" xfId="57633"/>
    <cellStyle name="Normal 85 5" xfId="25053"/>
    <cellStyle name="Normal 85 5 2" xfId="57634"/>
    <cellStyle name="Normal 85 5 3" xfId="57635"/>
    <cellStyle name="Normal 85 6" xfId="25054"/>
    <cellStyle name="Normal 85 7" xfId="57636"/>
    <cellStyle name="Normal 85 8" xfId="57637"/>
    <cellStyle name="Normal 85 9" xfId="57638"/>
    <cellStyle name="Normal 850" xfId="25055"/>
    <cellStyle name="Normal 850 10" xfId="57639"/>
    <cellStyle name="Normal 850 2" xfId="25056"/>
    <cellStyle name="Normal 850 2 2" xfId="25057"/>
    <cellStyle name="Normal 850 2 2 2" xfId="57640"/>
    <cellStyle name="Normal 850 2 2 3" xfId="57641"/>
    <cellStyle name="Normal 850 2 3" xfId="25058"/>
    <cellStyle name="Normal 850 2 3 2" xfId="57642"/>
    <cellStyle name="Normal 850 2 3 3" xfId="57643"/>
    <cellStyle name="Normal 850 2 4" xfId="57644"/>
    <cellStyle name="Normal 850 2 5" xfId="57645"/>
    <cellStyle name="Normal 850 2 6" xfId="57646"/>
    <cellStyle name="Normal 850 2 7" xfId="57647"/>
    <cellStyle name="Normal 850 2 8" xfId="57648"/>
    <cellStyle name="Normal 850 3" xfId="25059"/>
    <cellStyle name="Normal 850 3 2" xfId="57649"/>
    <cellStyle name="Normal 850 3 2 2" xfId="57650"/>
    <cellStyle name="Normal 850 3 2 3" xfId="57651"/>
    <cellStyle name="Normal 850 3 3" xfId="57652"/>
    <cellStyle name="Normal 850 3 3 2" xfId="57653"/>
    <cellStyle name="Normal 850 3 3 3" xfId="57654"/>
    <cellStyle name="Normal 850 3 4" xfId="57655"/>
    <cellStyle name="Normal 850 3 5" xfId="57656"/>
    <cellStyle name="Normal 850 4" xfId="25060"/>
    <cellStyle name="Normal 850 4 2" xfId="57657"/>
    <cellStyle name="Normal 850 4 3" xfId="57658"/>
    <cellStyle name="Normal 850 5" xfId="25061"/>
    <cellStyle name="Normal 850 5 2" xfId="57659"/>
    <cellStyle name="Normal 850 5 3" xfId="57660"/>
    <cellStyle name="Normal 850 6" xfId="57661"/>
    <cellStyle name="Normal 850 7" xfId="57662"/>
    <cellStyle name="Normal 850 8" xfId="57663"/>
    <cellStyle name="Normal 850 9" xfId="57664"/>
    <cellStyle name="Normal 851" xfId="25062"/>
    <cellStyle name="Normal 851 10" xfId="57665"/>
    <cellStyle name="Normal 851 2" xfId="25063"/>
    <cellStyle name="Normal 851 2 2" xfId="25064"/>
    <cellStyle name="Normal 851 2 2 2" xfId="57666"/>
    <cellStyle name="Normal 851 2 2 3" xfId="57667"/>
    <cellStyle name="Normal 851 2 3" xfId="25065"/>
    <cellStyle name="Normal 851 2 3 2" xfId="57668"/>
    <cellStyle name="Normal 851 2 3 3" xfId="57669"/>
    <cellStyle name="Normal 851 2 4" xfId="57670"/>
    <cellStyle name="Normal 851 2 5" xfId="57671"/>
    <cellStyle name="Normal 851 2 6" xfId="57672"/>
    <cellStyle name="Normal 851 2 7" xfId="57673"/>
    <cellStyle name="Normal 851 2 8" xfId="57674"/>
    <cellStyle name="Normal 851 3" xfId="25066"/>
    <cellStyle name="Normal 851 3 2" xfId="57675"/>
    <cellStyle name="Normal 851 3 2 2" xfId="57676"/>
    <cellStyle name="Normal 851 3 2 3" xfId="57677"/>
    <cellStyle name="Normal 851 3 3" xfId="57678"/>
    <cellStyle name="Normal 851 3 3 2" xfId="57679"/>
    <cellStyle name="Normal 851 3 3 3" xfId="57680"/>
    <cellStyle name="Normal 851 3 4" xfId="57681"/>
    <cellStyle name="Normal 851 3 5" xfId="57682"/>
    <cellStyle name="Normal 851 4" xfId="25067"/>
    <cellStyle name="Normal 851 4 2" xfId="57683"/>
    <cellStyle name="Normal 851 4 3" xfId="57684"/>
    <cellStyle name="Normal 851 5" xfId="25068"/>
    <cellStyle name="Normal 851 5 2" xfId="57685"/>
    <cellStyle name="Normal 851 5 3" xfId="57686"/>
    <cellStyle name="Normal 851 6" xfId="57687"/>
    <cellStyle name="Normal 851 7" xfId="57688"/>
    <cellStyle name="Normal 851 8" xfId="57689"/>
    <cellStyle name="Normal 851 9" xfId="57690"/>
    <cellStyle name="Normal 852" xfId="25069"/>
    <cellStyle name="Normal 852 10" xfId="57691"/>
    <cellStyle name="Normal 852 2" xfId="25070"/>
    <cellStyle name="Normal 852 2 2" xfId="25071"/>
    <cellStyle name="Normal 852 2 2 2" xfId="57692"/>
    <cellStyle name="Normal 852 2 2 3" xfId="57693"/>
    <cellStyle name="Normal 852 2 3" xfId="25072"/>
    <cellStyle name="Normal 852 2 3 2" xfId="57694"/>
    <cellStyle name="Normal 852 2 3 3" xfId="57695"/>
    <cellStyle name="Normal 852 2 4" xfId="57696"/>
    <cellStyle name="Normal 852 2 5" xfId="57697"/>
    <cellStyle name="Normal 852 2 6" xfId="57698"/>
    <cellStyle name="Normal 852 2 7" xfId="57699"/>
    <cellStyle name="Normal 852 2 8" xfId="57700"/>
    <cellStyle name="Normal 852 3" xfId="25073"/>
    <cellStyle name="Normal 852 3 2" xfId="57701"/>
    <cellStyle name="Normal 852 3 2 2" xfId="57702"/>
    <cellStyle name="Normal 852 3 2 3" xfId="57703"/>
    <cellStyle name="Normal 852 3 3" xfId="57704"/>
    <cellStyle name="Normal 852 3 3 2" xfId="57705"/>
    <cellStyle name="Normal 852 3 3 3" xfId="57706"/>
    <cellStyle name="Normal 852 3 4" xfId="57707"/>
    <cellStyle name="Normal 852 3 5" xfId="57708"/>
    <cellStyle name="Normal 852 4" xfId="25074"/>
    <cellStyle name="Normal 852 4 2" xfId="57709"/>
    <cellStyle name="Normal 852 4 3" xfId="57710"/>
    <cellStyle name="Normal 852 5" xfId="25075"/>
    <cellStyle name="Normal 852 5 2" xfId="57711"/>
    <cellStyle name="Normal 852 5 3" xfId="57712"/>
    <cellStyle name="Normal 852 6" xfId="57713"/>
    <cellStyle name="Normal 852 7" xfId="57714"/>
    <cellStyle name="Normal 852 8" xfId="57715"/>
    <cellStyle name="Normal 852 9" xfId="57716"/>
    <cellStyle name="Normal 853" xfId="25076"/>
    <cellStyle name="Normal 853 10" xfId="57717"/>
    <cellStyle name="Normal 853 2" xfId="25077"/>
    <cellStyle name="Normal 853 2 2" xfId="25078"/>
    <cellStyle name="Normal 853 2 2 2" xfId="57718"/>
    <cellStyle name="Normal 853 2 2 3" xfId="57719"/>
    <cellStyle name="Normal 853 2 3" xfId="25079"/>
    <cellStyle name="Normal 853 2 3 2" xfId="57720"/>
    <cellStyle name="Normal 853 2 3 3" xfId="57721"/>
    <cellStyle name="Normal 853 2 4" xfId="57722"/>
    <cellStyle name="Normal 853 2 5" xfId="57723"/>
    <cellStyle name="Normal 853 2 6" xfId="57724"/>
    <cellStyle name="Normal 853 2 7" xfId="57725"/>
    <cellStyle name="Normal 853 2 8" xfId="57726"/>
    <cellStyle name="Normal 853 3" xfId="25080"/>
    <cellStyle name="Normal 853 3 2" xfId="57727"/>
    <cellStyle name="Normal 853 3 2 2" xfId="57728"/>
    <cellStyle name="Normal 853 3 2 3" xfId="57729"/>
    <cellStyle name="Normal 853 3 3" xfId="57730"/>
    <cellStyle name="Normal 853 3 3 2" xfId="57731"/>
    <cellStyle name="Normal 853 3 3 3" xfId="57732"/>
    <cellStyle name="Normal 853 3 4" xfId="57733"/>
    <cellStyle name="Normal 853 3 5" xfId="57734"/>
    <cellStyle name="Normal 853 4" xfId="25081"/>
    <cellStyle name="Normal 853 4 2" xfId="57735"/>
    <cellStyle name="Normal 853 4 3" xfId="57736"/>
    <cellStyle name="Normal 853 5" xfId="25082"/>
    <cellStyle name="Normal 853 5 2" xfId="57737"/>
    <cellStyle name="Normal 853 5 3" xfId="57738"/>
    <cellStyle name="Normal 853 6" xfId="57739"/>
    <cellStyle name="Normal 853 7" xfId="57740"/>
    <cellStyle name="Normal 853 8" xfId="57741"/>
    <cellStyle name="Normal 853 9" xfId="57742"/>
    <cellStyle name="Normal 854" xfId="25083"/>
    <cellStyle name="Normal 854 10" xfId="57743"/>
    <cellStyle name="Normal 854 2" xfId="25084"/>
    <cellStyle name="Normal 854 2 2" xfId="25085"/>
    <cellStyle name="Normal 854 2 2 2" xfId="57744"/>
    <cellStyle name="Normal 854 2 2 3" xfId="57745"/>
    <cellStyle name="Normal 854 2 3" xfId="25086"/>
    <cellStyle name="Normal 854 2 3 2" xfId="57746"/>
    <cellStyle name="Normal 854 2 3 3" xfId="57747"/>
    <cellStyle name="Normal 854 2 4" xfId="57748"/>
    <cellStyle name="Normal 854 2 5" xfId="57749"/>
    <cellStyle name="Normal 854 2 6" xfId="57750"/>
    <cellStyle name="Normal 854 2 7" xfId="57751"/>
    <cellStyle name="Normal 854 2 8" xfId="57752"/>
    <cellStyle name="Normal 854 3" xfId="25087"/>
    <cellStyle name="Normal 854 3 2" xfId="57753"/>
    <cellStyle name="Normal 854 3 2 2" xfId="57754"/>
    <cellStyle name="Normal 854 3 2 3" xfId="57755"/>
    <cellStyle name="Normal 854 3 3" xfId="57756"/>
    <cellStyle name="Normal 854 3 3 2" xfId="57757"/>
    <cellStyle name="Normal 854 3 3 3" xfId="57758"/>
    <cellStyle name="Normal 854 3 4" xfId="57759"/>
    <cellStyle name="Normal 854 3 5" xfId="57760"/>
    <cellStyle name="Normal 854 4" xfId="25088"/>
    <cellStyle name="Normal 854 4 2" xfId="57761"/>
    <cellStyle name="Normal 854 4 3" xfId="57762"/>
    <cellStyle name="Normal 854 5" xfId="25089"/>
    <cellStyle name="Normal 854 5 2" xfId="57763"/>
    <cellStyle name="Normal 854 5 3" xfId="57764"/>
    <cellStyle name="Normal 854 6" xfId="57765"/>
    <cellStyle name="Normal 854 7" xfId="57766"/>
    <cellStyle name="Normal 854 8" xfId="57767"/>
    <cellStyle name="Normal 854 9" xfId="57768"/>
    <cellStyle name="Normal 855" xfId="25090"/>
    <cellStyle name="Normal 855 10" xfId="57769"/>
    <cellStyle name="Normal 855 2" xfId="25091"/>
    <cellStyle name="Normal 855 2 2" xfId="25092"/>
    <cellStyle name="Normal 855 2 2 2" xfId="57770"/>
    <cellStyle name="Normal 855 2 2 3" xfId="57771"/>
    <cellStyle name="Normal 855 2 3" xfId="25093"/>
    <cellStyle name="Normal 855 2 3 2" xfId="57772"/>
    <cellStyle name="Normal 855 2 3 3" xfId="57773"/>
    <cellStyle name="Normal 855 2 4" xfId="57774"/>
    <cellStyle name="Normal 855 2 5" xfId="57775"/>
    <cellStyle name="Normal 855 2 6" xfId="57776"/>
    <cellStyle name="Normal 855 2 7" xfId="57777"/>
    <cellStyle name="Normal 855 2 8" xfId="57778"/>
    <cellStyle name="Normal 855 3" xfId="25094"/>
    <cellStyle name="Normal 855 3 2" xfId="57779"/>
    <cellStyle name="Normal 855 3 2 2" xfId="57780"/>
    <cellStyle name="Normal 855 3 2 3" xfId="57781"/>
    <cellStyle name="Normal 855 3 3" xfId="57782"/>
    <cellStyle name="Normal 855 3 3 2" xfId="57783"/>
    <cellStyle name="Normal 855 3 3 3" xfId="57784"/>
    <cellStyle name="Normal 855 3 4" xfId="57785"/>
    <cellStyle name="Normal 855 3 5" xfId="57786"/>
    <cellStyle name="Normal 855 4" xfId="25095"/>
    <cellStyle name="Normal 855 4 2" xfId="57787"/>
    <cellStyle name="Normal 855 4 3" xfId="57788"/>
    <cellStyle name="Normal 855 5" xfId="25096"/>
    <cellStyle name="Normal 855 5 2" xfId="57789"/>
    <cellStyle name="Normal 855 5 3" xfId="57790"/>
    <cellStyle name="Normal 855 6" xfId="57791"/>
    <cellStyle name="Normal 855 7" xfId="57792"/>
    <cellStyle name="Normal 855 8" xfId="57793"/>
    <cellStyle name="Normal 855 9" xfId="57794"/>
    <cellStyle name="Normal 856" xfId="25097"/>
    <cellStyle name="Normal 856 10" xfId="57795"/>
    <cellStyle name="Normal 856 2" xfId="25098"/>
    <cellStyle name="Normal 856 2 2" xfId="25099"/>
    <cellStyle name="Normal 856 2 2 2" xfId="57796"/>
    <cellStyle name="Normal 856 2 2 3" xfId="57797"/>
    <cellStyle name="Normal 856 2 3" xfId="25100"/>
    <cellStyle name="Normal 856 2 3 2" xfId="57798"/>
    <cellStyle name="Normal 856 2 3 3" xfId="57799"/>
    <cellStyle name="Normal 856 2 4" xfId="57800"/>
    <cellStyle name="Normal 856 2 5" xfId="57801"/>
    <cellStyle name="Normal 856 2 6" xfId="57802"/>
    <cellStyle name="Normal 856 2 7" xfId="57803"/>
    <cellStyle name="Normal 856 2 8" xfId="57804"/>
    <cellStyle name="Normal 856 3" xfId="25101"/>
    <cellStyle name="Normal 856 3 2" xfId="57805"/>
    <cellStyle name="Normal 856 3 2 2" xfId="57806"/>
    <cellStyle name="Normal 856 3 2 3" xfId="57807"/>
    <cellStyle name="Normal 856 3 3" xfId="57808"/>
    <cellStyle name="Normal 856 3 3 2" xfId="57809"/>
    <cellStyle name="Normal 856 3 3 3" xfId="57810"/>
    <cellStyle name="Normal 856 3 4" xfId="57811"/>
    <cellStyle name="Normal 856 3 5" xfId="57812"/>
    <cellStyle name="Normal 856 4" xfId="25102"/>
    <cellStyle name="Normal 856 4 2" xfId="57813"/>
    <cellStyle name="Normal 856 4 3" xfId="57814"/>
    <cellStyle name="Normal 856 5" xfId="25103"/>
    <cellStyle name="Normal 856 5 2" xfId="57815"/>
    <cellStyle name="Normal 856 5 3" xfId="57816"/>
    <cellStyle name="Normal 856 6" xfId="57817"/>
    <cellStyle name="Normal 856 7" xfId="57818"/>
    <cellStyle name="Normal 856 8" xfId="57819"/>
    <cellStyle name="Normal 856 9" xfId="57820"/>
    <cellStyle name="Normal 857" xfId="25104"/>
    <cellStyle name="Normal 857 10" xfId="57821"/>
    <cellStyle name="Normal 857 2" xfId="25105"/>
    <cellStyle name="Normal 857 2 2" xfId="25106"/>
    <cellStyle name="Normal 857 2 2 2" xfId="57822"/>
    <cellStyle name="Normal 857 2 2 3" xfId="57823"/>
    <cellStyle name="Normal 857 2 3" xfId="25107"/>
    <cellStyle name="Normal 857 2 3 2" xfId="57824"/>
    <cellStyle name="Normal 857 2 3 3" xfId="57825"/>
    <cellStyle name="Normal 857 2 4" xfId="57826"/>
    <cellStyle name="Normal 857 2 5" xfId="57827"/>
    <cellStyle name="Normal 857 2 6" xfId="57828"/>
    <cellStyle name="Normal 857 2 7" xfId="57829"/>
    <cellStyle name="Normal 857 2 8" xfId="57830"/>
    <cellStyle name="Normal 857 3" xfId="25108"/>
    <cellStyle name="Normal 857 3 2" xfId="57831"/>
    <cellStyle name="Normal 857 3 2 2" xfId="57832"/>
    <cellStyle name="Normal 857 3 2 3" xfId="57833"/>
    <cellStyle name="Normal 857 3 3" xfId="57834"/>
    <cellStyle name="Normal 857 3 3 2" xfId="57835"/>
    <cellStyle name="Normal 857 3 3 3" xfId="57836"/>
    <cellStyle name="Normal 857 3 4" xfId="57837"/>
    <cellStyle name="Normal 857 3 5" xfId="57838"/>
    <cellStyle name="Normal 857 4" xfId="25109"/>
    <cellStyle name="Normal 857 4 2" xfId="57839"/>
    <cellStyle name="Normal 857 4 3" xfId="57840"/>
    <cellStyle name="Normal 857 5" xfId="25110"/>
    <cellStyle name="Normal 857 5 2" xfId="57841"/>
    <cellStyle name="Normal 857 5 3" xfId="57842"/>
    <cellStyle name="Normal 857 6" xfId="57843"/>
    <cellStyle name="Normal 857 7" xfId="57844"/>
    <cellStyle name="Normal 857 8" xfId="57845"/>
    <cellStyle name="Normal 857 9" xfId="57846"/>
    <cellStyle name="Normal 858" xfId="25111"/>
    <cellStyle name="Normal 858 10" xfId="57847"/>
    <cellStyle name="Normal 858 2" xfId="25112"/>
    <cellStyle name="Normal 858 2 2" xfId="25113"/>
    <cellStyle name="Normal 858 2 2 2" xfId="57848"/>
    <cellStyle name="Normal 858 2 2 3" xfId="57849"/>
    <cellStyle name="Normal 858 2 3" xfId="25114"/>
    <cellStyle name="Normal 858 2 3 2" xfId="57850"/>
    <cellStyle name="Normal 858 2 3 3" xfId="57851"/>
    <cellStyle name="Normal 858 2 4" xfId="57852"/>
    <cellStyle name="Normal 858 2 5" xfId="57853"/>
    <cellStyle name="Normal 858 2 6" xfId="57854"/>
    <cellStyle name="Normal 858 2 7" xfId="57855"/>
    <cellStyle name="Normal 858 2 8" xfId="57856"/>
    <cellStyle name="Normal 858 3" xfId="25115"/>
    <cellStyle name="Normal 858 3 2" xfId="57857"/>
    <cellStyle name="Normal 858 3 2 2" xfId="57858"/>
    <cellStyle name="Normal 858 3 2 3" xfId="57859"/>
    <cellStyle name="Normal 858 3 3" xfId="57860"/>
    <cellStyle name="Normal 858 3 3 2" xfId="57861"/>
    <cellStyle name="Normal 858 3 3 3" xfId="57862"/>
    <cellStyle name="Normal 858 3 4" xfId="57863"/>
    <cellStyle name="Normal 858 3 5" xfId="57864"/>
    <cellStyle name="Normal 858 4" xfId="25116"/>
    <cellStyle name="Normal 858 4 2" xfId="57865"/>
    <cellStyle name="Normal 858 4 3" xfId="57866"/>
    <cellStyle name="Normal 858 5" xfId="25117"/>
    <cellStyle name="Normal 858 5 2" xfId="57867"/>
    <cellStyle name="Normal 858 5 3" xfId="57868"/>
    <cellStyle name="Normal 858 6" xfId="57869"/>
    <cellStyle name="Normal 858 7" xfId="57870"/>
    <cellStyle name="Normal 858 8" xfId="57871"/>
    <cellStyle name="Normal 858 9" xfId="57872"/>
    <cellStyle name="Normal 859" xfId="25118"/>
    <cellStyle name="Normal 859 10" xfId="57873"/>
    <cellStyle name="Normal 859 2" xfId="25119"/>
    <cellStyle name="Normal 859 2 2" xfId="25120"/>
    <cellStyle name="Normal 859 2 2 2" xfId="57874"/>
    <cellStyle name="Normal 859 2 2 3" xfId="57875"/>
    <cellStyle name="Normal 859 2 3" xfId="25121"/>
    <cellStyle name="Normal 859 2 3 2" xfId="57876"/>
    <cellStyle name="Normal 859 2 3 3" xfId="57877"/>
    <cellStyle name="Normal 859 2 4" xfId="57878"/>
    <cellStyle name="Normal 859 2 5" xfId="57879"/>
    <cellStyle name="Normal 859 2 6" xfId="57880"/>
    <cellStyle name="Normal 859 2 7" xfId="57881"/>
    <cellStyle name="Normal 859 2 8" xfId="57882"/>
    <cellStyle name="Normal 859 3" xfId="25122"/>
    <cellStyle name="Normal 859 3 2" xfId="57883"/>
    <cellStyle name="Normal 859 3 2 2" xfId="57884"/>
    <cellStyle name="Normal 859 3 2 3" xfId="57885"/>
    <cellStyle name="Normal 859 3 3" xfId="57886"/>
    <cellStyle name="Normal 859 3 3 2" xfId="57887"/>
    <cellStyle name="Normal 859 3 3 3" xfId="57888"/>
    <cellStyle name="Normal 859 3 4" xfId="57889"/>
    <cellStyle name="Normal 859 3 5" xfId="57890"/>
    <cellStyle name="Normal 859 4" xfId="25123"/>
    <cellStyle name="Normal 859 4 2" xfId="57891"/>
    <cellStyle name="Normal 859 4 3" xfId="57892"/>
    <cellStyle name="Normal 859 5" xfId="25124"/>
    <cellStyle name="Normal 859 5 2" xfId="57893"/>
    <cellStyle name="Normal 859 5 3" xfId="57894"/>
    <cellStyle name="Normal 859 6" xfId="57895"/>
    <cellStyle name="Normal 859 7" xfId="57896"/>
    <cellStyle name="Normal 859 8" xfId="57897"/>
    <cellStyle name="Normal 859 9" xfId="57898"/>
    <cellStyle name="Normal 86" xfId="25125"/>
    <cellStyle name="Normal 86 10" xfId="57899"/>
    <cellStyle name="Normal 86 2" xfId="25126"/>
    <cellStyle name="Normal 86 2 2" xfId="25127"/>
    <cellStyle name="Normal 86 2 2 2" xfId="25128"/>
    <cellStyle name="Normal 86 2 2 3" xfId="25129"/>
    <cellStyle name="Normal 86 2 3" xfId="25130"/>
    <cellStyle name="Normal 86 2 3 2" xfId="57900"/>
    <cellStyle name="Normal 86 2 3 3" xfId="57901"/>
    <cellStyle name="Normal 86 2 4" xfId="25131"/>
    <cellStyle name="Normal 86 2 5" xfId="25132"/>
    <cellStyle name="Normal 86 2 6" xfId="57902"/>
    <cellStyle name="Normal 86 2 7" xfId="57903"/>
    <cellStyle name="Normal 86 2 8" xfId="57904"/>
    <cellStyle name="Normal 86 3" xfId="25133"/>
    <cellStyle name="Normal 86 3 2" xfId="25134"/>
    <cellStyle name="Normal 86 3 2 2" xfId="57905"/>
    <cellStyle name="Normal 86 3 2 3" xfId="57906"/>
    <cellStyle name="Normal 86 3 3" xfId="25135"/>
    <cellStyle name="Normal 86 3 3 2" xfId="57907"/>
    <cellStyle name="Normal 86 3 3 3" xfId="57908"/>
    <cellStyle name="Normal 86 3 4" xfId="57909"/>
    <cellStyle name="Normal 86 3 5" xfId="57910"/>
    <cellStyle name="Normal 86 4" xfId="25136"/>
    <cellStyle name="Normal 86 4 2" xfId="57911"/>
    <cellStyle name="Normal 86 4 3" xfId="57912"/>
    <cellStyle name="Normal 86 5" xfId="25137"/>
    <cellStyle name="Normal 86 5 2" xfId="57913"/>
    <cellStyle name="Normal 86 5 3" xfId="57914"/>
    <cellStyle name="Normal 86 6" xfId="25138"/>
    <cellStyle name="Normal 86 7" xfId="57915"/>
    <cellStyle name="Normal 86 8" xfId="57916"/>
    <cellStyle name="Normal 86 9" xfId="57917"/>
    <cellStyle name="Normal 860" xfId="25139"/>
    <cellStyle name="Normal 860 10" xfId="57918"/>
    <cellStyle name="Normal 860 2" xfId="25140"/>
    <cellStyle name="Normal 860 2 2" xfId="25141"/>
    <cellStyle name="Normal 860 2 2 2" xfId="57919"/>
    <cellStyle name="Normal 860 2 2 3" xfId="57920"/>
    <cellStyle name="Normal 860 2 3" xfId="25142"/>
    <cellStyle name="Normal 860 2 3 2" xfId="57921"/>
    <cellStyle name="Normal 860 2 3 3" xfId="57922"/>
    <cellStyle name="Normal 860 2 4" xfId="57923"/>
    <cellStyle name="Normal 860 2 5" xfId="57924"/>
    <cellStyle name="Normal 860 2 6" xfId="57925"/>
    <cellStyle name="Normal 860 2 7" xfId="57926"/>
    <cellStyle name="Normal 860 2 8" xfId="57927"/>
    <cellStyle name="Normal 860 3" xfId="25143"/>
    <cellStyle name="Normal 860 3 2" xfId="57928"/>
    <cellStyle name="Normal 860 3 2 2" xfId="57929"/>
    <cellStyle name="Normal 860 3 2 3" xfId="57930"/>
    <cellStyle name="Normal 860 3 3" xfId="57931"/>
    <cellStyle name="Normal 860 3 3 2" xfId="57932"/>
    <cellStyle name="Normal 860 3 3 3" xfId="57933"/>
    <cellStyle name="Normal 860 3 4" xfId="57934"/>
    <cellStyle name="Normal 860 3 5" xfId="57935"/>
    <cellStyle name="Normal 860 4" xfId="25144"/>
    <cellStyle name="Normal 860 4 2" xfId="57936"/>
    <cellStyle name="Normal 860 4 3" xfId="57937"/>
    <cellStyle name="Normal 860 5" xfId="25145"/>
    <cellStyle name="Normal 860 5 2" xfId="57938"/>
    <cellStyle name="Normal 860 5 3" xfId="57939"/>
    <cellStyle name="Normal 860 6" xfId="57940"/>
    <cellStyle name="Normal 860 7" xfId="57941"/>
    <cellStyle name="Normal 860 8" xfId="57942"/>
    <cellStyle name="Normal 860 9" xfId="57943"/>
    <cellStyle name="Normal 861" xfId="25146"/>
    <cellStyle name="Normal 861 10" xfId="57944"/>
    <cellStyle name="Normal 861 2" xfId="25147"/>
    <cellStyle name="Normal 861 2 2" xfId="25148"/>
    <cellStyle name="Normal 861 2 2 2" xfId="57945"/>
    <cellStyle name="Normal 861 2 2 3" xfId="57946"/>
    <cellStyle name="Normal 861 2 3" xfId="25149"/>
    <cellStyle name="Normal 861 2 3 2" xfId="57947"/>
    <cellStyle name="Normal 861 2 3 3" xfId="57948"/>
    <cellStyle name="Normal 861 2 4" xfId="57949"/>
    <cellStyle name="Normal 861 2 5" xfId="57950"/>
    <cellStyle name="Normal 861 2 6" xfId="57951"/>
    <cellStyle name="Normal 861 2 7" xfId="57952"/>
    <cellStyle name="Normal 861 2 8" xfId="57953"/>
    <cellStyle name="Normal 861 3" xfId="25150"/>
    <cellStyle name="Normal 861 3 2" xfId="57954"/>
    <cellStyle name="Normal 861 3 2 2" xfId="57955"/>
    <cellStyle name="Normal 861 3 2 3" xfId="57956"/>
    <cellStyle name="Normal 861 3 3" xfId="57957"/>
    <cellStyle name="Normal 861 3 3 2" xfId="57958"/>
    <cellStyle name="Normal 861 3 3 3" xfId="57959"/>
    <cellStyle name="Normal 861 3 4" xfId="57960"/>
    <cellStyle name="Normal 861 3 5" xfId="57961"/>
    <cellStyle name="Normal 861 4" xfId="25151"/>
    <cellStyle name="Normal 861 4 2" xfId="57962"/>
    <cellStyle name="Normal 861 4 3" xfId="57963"/>
    <cellStyle name="Normal 861 5" xfId="25152"/>
    <cellStyle name="Normal 861 5 2" xfId="57964"/>
    <cellStyle name="Normal 861 5 3" xfId="57965"/>
    <cellStyle name="Normal 861 6" xfId="57966"/>
    <cellStyle name="Normal 861 7" xfId="57967"/>
    <cellStyle name="Normal 861 8" xfId="57968"/>
    <cellStyle name="Normal 861 9" xfId="57969"/>
    <cellStyle name="Normal 862" xfId="25153"/>
    <cellStyle name="Normal 862 10" xfId="57970"/>
    <cellStyle name="Normal 862 2" xfId="25154"/>
    <cellStyle name="Normal 862 2 2" xfId="25155"/>
    <cellStyle name="Normal 862 2 2 2" xfId="57971"/>
    <cellStyle name="Normal 862 2 2 3" xfId="57972"/>
    <cellStyle name="Normal 862 2 3" xfId="25156"/>
    <cellStyle name="Normal 862 2 3 2" xfId="57973"/>
    <cellStyle name="Normal 862 2 3 3" xfId="57974"/>
    <cellStyle name="Normal 862 2 4" xfId="57975"/>
    <cellStyle name="Normal 862 2 5" xfId="57976"/>
    <cellStyle name="Normal 862 2 6" xfId="57977"/>
    <cellStyle name="Normal 862 2 7" xfId="57978"/>
    <cellStyle name="Normal 862 2 8" xfId="57979"/>
    <cellStyle name="Normal 862 3" xfId="25157"/>
    <cellStyle name="Normal 862 3 2" xfId="57980"/>
    <cellStyle name="Normal 862 3 2 2" xfId="57981"/>
    <cellStyle name="Normal 862 3 2 3" xfId="57982"/>
    <cellStyle name="Normal 862 3 3" xfId="57983"/>
    <cellStyle name="Normal 862 3 3 2" xfId="57984"/>
    <cellStyle name="Normal 862 3 3 3" xfId="57985"/>
    <cellStyle name="Normal 862 3 4" xfId="57986"/>
    <cellStyle name="Normal 862 3 5" xfId="57987"/>
    <cellStyle name="Normal 862 4" xfId="25158"/>
    <cellStyle name="Normal 862 4 2" xfId="57988"/>
    <cellStyle name="Normal 862 4 3" xfId="57989"/>
    <cellStyle name="Normal 862 5" xfId="25159"/>
    <cellStyle name="Normal 862 5 2" xfId="57990"/>
    <cellStyle name="Normal 862 5 3" xfId="57991"/>
    <cellStyle name="Normal 862 6" xfId="57992"/>
    <cellStyle name="Normal 862 7" xfId="57993"/>
    <cellStyle name="Normal 862 8" xfId="57994"/>
    <cellStyle name="Normal 862 9" xfId="57995"/>
    <cellStyle name="Normal 863" xfId="25160"/>
    <cellStyle name="Normal 863 10" xfId="57996"/>
    <cellStyle name="Normal 863 2" xfId="25161"/>
    <cellStyle name="Normal 863 2 2" xfId="25162"/>
    <cellStyle name="Normal 863 2 2 2" xfId="57997"/>
    <cellStyle name="Normal 863 2 2 3" xfId="57998"/>
    <cellStyle name="Normal 863 2 3" xfId="25163"/>
    <cellStyle name="Normal 863 2 3 2" xfId="57999"/>
    <cellStyle name="Normal 863 2 3 3" xfId="58000"/>
    <cellStyle name="Normal 863 2 4" xfId="58001"/>
    <cellStyle name="Normal 863 2 5" xfId="58002"/>
    <cellStyle name="Normal 863 2 6" xfId="58003"/>
    <cellStyle name="Normal 863 2 7" xfId="58004"/>
    <cellStyle name="Normal 863 2 8" xfId="58005"/>
    <cellStyle name="Normal 863 3" xfId="25164"/>
    <cellStyle name="Normal 863 3 2" xfId="58006"/>
    <cellStyle name="Normal 863 3 2 2" xfId="58007"/>
    <cellStyle name="Normal 863 3 2 3" xfId="58008"/>
    <cellStyle name="Normal 863 3 3" xfId="58009"/>
    <cellStyle name="Normal 863 3 3 2" xfId="58010"/>
    <cellStyle name="Normal 863 3 3 3" xfId="58011"/>
    <cellStyle name="Normal 863 3 4" xfId="58012"/>
    <cellStyle name="Normal 863 3 5" xfId="58013"/>
    <cellStyle name="Normal 863 4" xfId="25165"/>
    <cellStyle name="Normal 863 4 2" xfId="58014"/>
    <cellStyle name="Normal 863 4 3" xfId="58015"/>
    <cellStyle name="Normal 863 5" xfId="25166"/>
    <cellStyle name="Normal 863 5 2" xfId="58016"/>
    <cellStyle name="Normal 863 5 3" xfId="58017"/>
    <cellStyle name="Normal 863 6" xfId="58018"/>
    <cellStyle name="Normal 863 7" xfId="58019"/>
    <cellStyle name="Normal 863 8" xfId="58020"/>
    <cellStyle name="Normal 863 9" xfId="58021"/>
    <cellStyle name="Normal 864" xfId="25167"/>
    <cellStyle name="Normal 864 10" xfId="58022"/>
    <cellStyle name="Normal 864 2" xfId="25168"/>
    <cellStyle name="Normal 864 2 2" xfId="25169"/>
    <cellStyle name="Normal 864 2 2 2" xfId="58023"/>
    <cellStyle name="Normal 864 2 2 3" xfId="58024"/>
    <cellStyle name="Normal 864 2 3" xfId="25170"/>
    <cellStyle name="Normal 864 2 3 2" xfId="58025"/>
    <cellStyle name="Normal 864 2 3 3" xfId="58026"/>
    <cellStyle name="Normal 864 2 4" xfId="58027"/>
    <cellStyle name="Normal 864 2 5" xfId="58028"/>
    <cellStyle name="Normal 864 2 6" xfId="58029"/>
    <cellStyle name="Normal 864 2 7" xfId="58030"/>
    <cellStyle name="Normal 864 2 8" xfId="58031"/>
    <cellStyle name="Normal 864 3" xfId="25171"/>
    <cellStyle name="Normal 864 3 2" xfId="58032"/>
    <cellStyle name="Normal 864 3 2 2" xfId="58033"/>
    <cellStyle name="Normal 864 3 2 3" xfId="58034"/>
    <cellStyle name="Normal 864 3 3" xfId="58035"/>
    <cellStyle name="Normal 864 3 3 2" xfId="58036"/>
    <cellStyle name="Normal 864 3 3 3" xfId="58037"/>
    <cellStyle name="Normal 864 3 4" xfId="58038"/>
    <cellStyle name="Normal 864 3 5" xfId="58039"/>
    <cellStyle name="Normal 864 4" xfId="25172"/>
    <cellStyle name="Normal 864 4 2" xfId="58040"/>
    <cellStyle name="Normal 864 4 3" xfId="58041"/>
    <cellStyle name="Normal 864 5" xfId="25173"/>
    <cellStyle name="Normal 864 5 2" xfId="58042"/>
    <cellStyle name="Normal 864 5 3" xfId="58043"/>
    <cellStyle name="Normal 864 6" xfId="58044"/>
    <cellStyle name="Normal 864 7" xfId="58045"/>
    <cellStyle name="Normal 864 8" xfId="58046"/>
    <cellStyle name="Normal 864 9" xfId="58047"/>
    <cellStyle name="Normal 865" xfId="25174"/>
    <cellStyle name="Normal 865 10" xfId="58048"/>
    <cellStyle name="Normal 865 2" xfId="25175"/>
    <cellStyle name="Normal 865 2 2" xfId="25176"/>
    <cellStyle name="Normal 865 2 2 2" xfId="58049"/>
    <cellStyle name="Normal 865 2 2 3" xfId="58050"/>
    <cellStyle name="Normal 865 2 3" xfId="25177"/>
    <cellStyle name="Normal 865 2 3 2" xfId="58051"/>
    <cellStyle name="Normal 865 2 3 3" xfId="58052"/>
    <cellStyle name="Normal 865 2 4" xfId="58053"/>
    <cellStyle name="Normal 865 2 5" xfId="58054"/>
    <cellStyle name="Normal 865 2 6" xfId="58055"/>
    <cellStyle name="Normal 865 2 7" xfId="58056"/>
    <cellStyle name="Normal 865 2 8" xfId="58057"/>
    <cellStyle name="Normal 865 3" xfId="25178"/>
    <cellStyle name="Normal 865 3 2" xfId="58058"/>
    <cellStyle name="Normal 865 3 2 2" xfId="58059"/>
    <cellStyle name="Normal 865 3 2 3" xfId="58060"/>
    <cellStyle name="Normal 865 3 3" xfId="58061"/>
    <cellStyle name="Normal 865 3 3 2" xfId="58062"/>
    <cellStyle name="Normal 865 3 3 3" xfId="58063"/>
    <cellStyle name="Normal 865 3 4" xfId="58064"/>
    <cellStyle name="Normal 865 3 5" xfId="58065"/>
    <cellStyle name="Normal 865 4" xfId="25179"/>
    <cellStyle name="Normal 865 4 2" xfId="58066"/>
    <cellStyle name="Normal 865 4 3" xfId="58067"/>
    <cellStyle name="Normal 865 5" xfId="25180"/>
    <cellStyle name="Normal 865 5 2" xfId="58068"/>
    <cellStyle name="Normal 865 5 3" xfId="58069"/>
    <cellStyle name="Normal 865 6" xfId="58070"/>
    <cellStyle name="Normal 865 7" xfId="58071"/>
    <cellStyle name="Normal 865 8" xfId="58072"/>
    <cellStyle name="Normal 865 9" xfId="58073"/>
    <cellStyle name="Normal 866" xfId="25181"/>
    <cellStyle name="Normal 866 10" xfId="58074"/>
    <cellStyle name="Normal 866 2" xfId="25182"/>
    <cellStyle name="Normal 866 2 2" xfId="25183"/>
    <cellStyle name="Normal 866 2 2 2" xfId="58075"/>
    <cellStyle name="Normal 866 2 2 3" xfId="58076"/>
    <cellStyle name="Normal 866 2 3" xfId="25184"/>
    <cellStyle name="Normal 866 2 3 2" xfId="58077"/>
    <cellStyle name="Normal 866 2 3 3" xfId="58078"/>
    <cellStyle name="Normal 866 2 4" xfId="58079"/>
    <cellStyle name="Normal 866 2 5" xfId="58080"/>
    <cellStyle name="Normal 866 2 6" xfId="58081"/>
    <cellStyle name="Normal 866 2 7" xfId="58082"/>
    <cellStyle name="Normal 866 2 8" xfId="58083"/>
    <cellStyle name="Normal 866 3" xfId="25185"/>
    <cellStyle name="Normal 866 3 2" xfId="58084"/>
    <cellStyle name="Normal 866 3 2 2" xfId="58085"/>
    <cellStyle name="Normal 866 3 2 3" xfId="58086"/>
    <cellStyle name="Normal 866 3 3" xfId="58087"/>
    <cellStyle name="Normal 866 3 3 2" xfId="58088"/>
    <cellStyle name="Normal 866 3 3 3" xfId="58089"/>
    <cellStyle name="Normal 866 3 4" xfId="58090"/>
    <cellStyle name="Normal 866 3 5" xfId="58091"/>
    <cellStyle name="Normal 866 4" xfId="25186"/>
    <cellStyle name="Normal 866 4 2" xfId="58092"/>
    <cellStyle name="Normal 866 4 3" xfId="58093"/>
    <cellStyle name="Normal 866 5" xfId="25187"/>
    <cellStyle name="Normal 866 5 2" xfId="58094"/>
    <cellStyle name="Normal 866 5 3" xfId="58095"/>
    <cellStyle name="Normal 866 6" xfId="58096"/>
    <cellStyle name="Normal 866 7" xfId="58097"/>
    <cellStyle name="Normal 866 8" xfId="58098"/>
    <cellStyle name="Normal 866 9" xfId="58099"/>
    <cellStyle name="Normal 867" xfId="25188"/>
    <cellStyle name="Normal 867 10" xfId="58100"/>
    <cellStyle name="Normal 867 2" xfId="25189"/>
    <cellStyle name="Normal 867 2 2" xfId="25190"/>
    <cellStyle name="Normal 867 2 2 2" xfId="58101"/>
    <cellStyle name="Normal 867 2 2 3" xfId="58102"/>
    <cellStyle name="Normal 867 2 3" xfId="25191"/>
    <cellStyle name="Normal 867 2 3 2" xfId="58103"/>
    <cellStyle name="Normal 867 2 3 3" xfId="58104"/>
    <cellStyle name="Normal 867 2 4" xfId="58105"/>
    <cellStyle name="Normal 867 2 5" xfId="58106"/>
    <cellStyle name="Normal 867 2 6" xfId="58107"/>
    <cellStyle name="Normal 867 2 7" xfId="58108"/>
    <cellStyle name="Normal 867 2 8" xfId="58109"/>
    <cellStyle name="Normal 867 3" xfId="25192"/>
    <cellStyle name="Normal 867 3 2" xfId="58110"/>
    <cellStyle name="Normal 867 3 2 2" xfId="58111"/>
    <cellStyle name="Normal 867 3 2 3" xfId="58112"/>
    <cellStyle name="Normal 867 3 3" xfId="58113"/>
    <cellStyle name="Normal 867 3 3 2" xfId="58114"/>
    <cellStyle name="Normal 867 3 3 3" xfId="58115"/>
    <cellStyle name="Normal 867 3 4" xfId="58116"/>
    <cellStyle name="Normal 867 3 5" xfId="58117"/>
    <cellStyle name="Normal 867 4" xfId="25193"/>
    <cellStyle name="Normal 867 4 2" xfId="58118"/>
    <cellStyle name="Normal 867 4 3" xfId="58119"/>
    <cellStyle name="Normal 867 5" xfId="25194"/>
    <cellStyle name="Normal 867 5 2" xfId="58120"/>
    <cellStyle name="Normal 867 5 3" xfId="58121"/>
    <cellStyle name="Normal 867 6" xfId="58122"/>
    <cellStyle name="Normal 867 7" xfId="58123"/>
    <cellStyle name="Normal 867 8" xfId="58124"/>
    <cellStyle name="Normal 867 9" xfId="58125"/>
    <cellStyle name="Normal 868" xfId="25195"/>
    <cellStyle name="Normal 868 10" xfId="58126"/>
    <cellStyle name="Normal 868 2" xfId="25196"/>
    <cellStyle name="Normal 868 2 2" xfId="25197"/>
    <cellStyle name="Normal 868 2 2 2" xfId="58127"/>
    <cellStyle name="Normal 868 2 2 3" xfId="58128"/>
    <cellStyle name="Normal 868 2 3" xfId="25198"/>
    <cellStyle name="Normal 868 2 3 2" xfId="58129"/>
    <cellStyle name="Normal 868 2 3 3" xfId="58130"/>
    <cellStyle name="Normal 868 2 4" xfId="58131"/>
    <cellStyle name="Normal 868 2 5" xfId="58132"/>
    <cellStyle name="Normal 868 2 6" xfId="58133"/>
    <cellStyle name="Normal 868 2 7" xfId="58134"/>
    <cellStyle name="Normal 868 2 8" xfId="58135"/>
    <cellStyle name="Normal 868 3" xfId="25199"/>
    <cellStyle name="Normal 868 3 2" xfId="58136"/>
    <cellStyle name="Normal 868 3 2 2" xfId="58137"/>
    <cellStyle name="Normal 868 3 2 3" xfId="58138"/>
    <cellStyle name="Normal 868 3 3" xfId="58139"/>
    <cellStyle name="Normal 868 3 3 2" xfId="58140"/>
    <cellStyle name="Normal 868 3 3 3" xfId="58141"/>
    <cellStyle name="Normal 868 3 4" xfId="58142"/>
    <cellStyle name="Normal 868 3 5" xfId="58143"/>
    <cellStyle name="Normal 868 4" xfId="25200"/>
    <cellStyle name="Normal 868 4 2" xfId="58144"/>
    <cellStyle name="Normal 868 4 3" xfId="58145"/>
    <cellStyle name="Normal 868 5" xfId="25201"/>
    <cellStyle name="Normal 868 5 2" xfId="58146"/>
    <cellStyle name="Normal 868 5 3" xfId="58147"/>
    <cellStyle name="Normal 868 6" xfId="58148"/>
    <cellStyle name="Normal 868 7" xfId="58149"/>
    <cellStyle name="Normal 868 8" xfId="58150"/>
    <cellStyle name="Normal 868 9" xfId="58151"/>
    <cellStyle name="Normal 869" xfId="25202"/>
    <cellStyle name="Normal 869 10" xfId="58152"/>
    <cellStyle name="Normal 869 2" xfId="25203"/>
    <cellStyle name="Normal 869 2 2" xfId="25204"/>
    <cellStyle name="Normal 869 2 2 2" xfId="58153"/>
    <cellStyle name="Normal 869 2 2 3" xfId="58154"/>
    <cellStyle name="Normal 869 2 3" xfId="25205"/>
    <cellStyle name="Normal 869 2 3 2" xfId="58155"/>
    <cellStyle name="Normal 869 2 3 3" xfId="58156"/>
    <cellStyle name="Normal 869 2 4" xfId="58157"/>
    <cellStyle name="Normal 869 2 5" xfId="58158"/>
    <cellStyle name="Normal 869 2 6" xfId="58159"/>
    <cellStyle name="Normal 869 2 7" xfId="58160"/>
    <cellStyle name="Normal 869 2 8" xfId="58161"/>
    <cellStyle name="Normal 869 3" xfId="25206"/>
    <cellStyle name="Normal 869 3 2" xfId="58162"/>
    <cellStyle name="Normal 869 3 2 2" xfId="58163"/>
    <cellStyle name="Normal 869 3 2 3" xfId="58164"/>
    <cellStyle name="Normal 869 3 3" xfId="58165"/>
    <cellStyle name="Normal 869 3 3 2" xfId="58166"/>
    <cellStyle name="Normal 869 3 3 3" xfId="58167"/>
    <cellStyle name="Normal 869 3 4" xfId="58168"/>
    <cellStyle name="Normal 869 3 5" xfId="58169"/>
    <cellStyle name="Normal 869 4" xfId="25207"/>
    <cellStyle name="Normal 869 4 2" xfId="58170"/>
    <cellStyle name="Normal 869 4 3" xfId="58171"/>
    <cellStyle name="Normal 869 5" xfId="25208"/>
    <cellStyle name="Normal 869 5 2" xfId="58172"/>
    <cellStyle name="Normal 869 5 3" xfId="58173"/>
    <cellStyle name="Normal 869 6" xfId="58174"/>
    <cellStyle name="Normal 869 7" xfId="58175"/>
    <cellStyle name="Normal 869 8" xfId="58176"/>
    <cellStyle name="Normal 869 9" xfId="58177"/>
    <cellStyle name="Normal 87" xfId="25209"/>
    <cellStyle name="Normal 87 10" xfId="58178"/>
    <cellStyle name="Normal 87 2" xfId="25210"/>
    <cellStyle name="Normal 87 2 2" xfId="25211"/>
    <cellStyle name="Normal 87 2 2 2" xfId="25212"/>
    <cellStyle name="Normal 87 2 2 3" xfId="25213"/>
    <cellStyle name="Normal 87 2 3" xfId="25214"/>
    <cellStyle name="Normal 87 2 3 2" xfId="58179"/>
    <cellStyle name="Normal 87 2 3 3" xfId="58180"/>
    <cellStyle name="Normal 87 2 4" xfId="25215"/>
    <cellStyle name="Normal 87 2 5" xfId="25216"/>
    <cellStyle name="Normal 87 2 6" xfId="58181"/>
    <cellStyle name="Normal 87 2 7" xfId="58182"/>
    <cellStyle name="Normal 87 2 8" xfId="58183"/>
    <cellStyle name="Normal 87 3" xfId="25217"/>
    <cellStyle name="Normal 87 3 2" xfId="25218"/>
    <cellStyle name="Normal 87 3 2 2" xfId="58184"/>
    <cellStyle name="Normal 87 3 2 3" xfId="58185"/>
    <cellStyle name="Normal 87 3 3" xfId="25219"/>
    <cellStyle name="Normal 87 3 3 2" xfId="58186"/>
    <cellStyle name="Normal 87 3 3 3" xfId="58187"/>
    <cellStyle name="Normal 87 3 4" xfId="58188"/>
    <cellStyle name="Normal 87 3 5" xfId="58189"/>
    <cellStyle name="Normal 87 4" xfId="25220"/>
    <cellStyle name="Normal 87 4 2" xfId="58190"/>
    <cellStyle name="Normal 87 4 3" xfId="58191"/>
    <cellStyle name="Normal 87 5" xfId="25221"/>
    <cellStyle name="Normal 87 5 2" xfId="58192"/>
    <cellStyle name="Normal 87 5 3" xfId="58193"/>
    <cellStyle name="Normal 87 6" xfId="25222"/>
    <cellStyle name="Normal 87 7" xfId="58194"/>
    <cellStyle name="Normal 87 8" xfId="58195"/>
    <cellStyle name="Normal 87 9" xfId="58196"/>
    <cellStyle name="Normal 870" xfId="25223"/>
    <cellStyle name="Normal 870 10" xfId="58197"/>
    <cellStyle name="Normal 870 2" xfId="25224"/>
    <cellStyle name="Normal 870 2 2" xfId="25225"/>
    <cellStyle name="Normal 870 2 2 2" xfId="58198"/>
    <cellStyle name="Normal 870 2 2 3" xfId="58199"/>
    <cellStyle name="Normal 870 2 3" xfId="25226"/>
    <cellStyle name="Normal 870 2 3 2" xfId="58200"/>
    <cellStyle name="Normal 870 2 3 3" xfId="58201"/>
    <cellStyle name="Normal 870 2 4" xfId="58202"/>
    <cellStyle name="Normal 870 2 5" xfId="58203"/>
    <cellStyle name="Normal 870 2 6" xfId="58204"/>
    <cellStyle name="Normal 870 2 7" xfId="58205"/>
    <cellStyle name="Normal 870 2 8" xfId="58206"/>
    <cellStyle name="Normal 870 3" xfId="25227"/>
    <cellStyle name="Normal 870 3 2" xfId="58207"/>
    <cellStyle name="Normal 870 3 2 2" xfId="58208"/>
    <cellStyle name="Normal 870 3 2 3" xfId="58209"/>
    <cellStyle name="Normal 870 3 3" xfId="58210"/>
    <cellStyle name="Normal 870 3 3 2" xfId="58211"/>
    <cellStyle name="Normal 870 3 3 3" xfId="58212"/>
    <cellStyle name="Normal 870 3 4" xfId="58213"/>
    <cellStyle name="Normal 870 3 5" xfId="58214"/>
    <cellStyle name="Normal 870 4" xfId="25228"/>
    <cellStyle name="Normal 870 4 2" xfId="58215"/>
    <cellStyle name="Normal 870 4 3" xfId="58216"/>
    <cellStyle name="Normal 870 5" xfId="25229"/>
    <cellStyle name="Normal 870 5 2" xfId="58217"/>
    <cellStyle name="Normal 870 5 3" xfId="58218"/>
    <cellStyle name="Normal 870 6" xfId="58219"/>
    <cellStyle name="Normal 870 7" xfId="58220"/>
    <cellStyle name="Normal 870 8" xfId="58221"/>
    <cellStyle name="Normal 870 9" xfId="58222"/>
    <cellStyle name="Normal 871" xfId="25230"/>
    <cellStyle name="Normal 871 10" xfId="58223"/>
    <cellStyle name="Normal 871 2" xfId="25231"/>
    <cellStyle name="Normal 871 2 2" xfId="25232"/>
    <cellStyle name="Normal 871 2 2 2" xfId="58224"/>
    <cellStyle name="Normal 871 2 2 3" xfId="58225"/>
    <cellStyle name="Normal 871 2 3" xfId="25233"/>
    <cellStyle name="Normal 871 2 3 2" xfId="58226"/>
    <cellStyle name="Normal 871 2 3 3" xfId="58227"/>
    <cellStyle name="Normal 871 2 4" xfId="58228"/>
    <cellStyle name="Normal 871 2 5" xfId="58229"/>
    <cellStyle name="Normal 871 2 6" xfId="58230"/>
    <cellStyle name="Normal 871 2 7" xfId="58231"/>
    <cellStyle name="Normal 871 2 8" xfId="58232"/>
    <cellStyle name="Normal 871 3" xfId="25234"/>
    <cellStyle name="Normal 871 3 2" xfId="58233"/>
    <cellStyle name="Normal 871 3 2 2" xfId="58234"/>
    <cellStyle name="Normal 871 3 2 3" xfId="58235"/>
    <cellStyle name="Normal 871 3 3" xfId="58236"/>
    <cellStyle name="Normal 871 3 3 2" xfId="58237"/>
    <cellStyle name="Normal 871 3 3 3" xfId="58238"/>
    <cellStyle name="Normal 871 3 4" xfId="58239"/>
    <cellStyle name="Normal 871 3 5" xfId="58240"/>
    <cellStyle name="Normal 871 4" xfId="25235"/>
    <cellStyle name="Normal 871 4 2" xfId="58241"/>
    <cellStyle name="Normal 871 4 3" xfId="58242"/>
    <cellStyle name="Normal 871 5" xfId="25236"/>
    <cellStyle name="Normal 871 5 2" xfId="58243"/>
    <cellStyle name="Normal 871 5 3" xfId="58244"/>
    <cellStyle name="Normal 871 6" xfId="58245"/>
    <cellStyle name="Normal 871 7" xfId="58246"/>
    <cellStyle name="Normal 871 8" xfId="58247"/>
    <cellStyle name="Normal 871 9" xfId="58248"/>
    <cellStyle name="Normal 872" xfId="25237"/>
    <cellStyle name="Normal 872 10" xfId="58249"/>
    <cellStyle name="Normal 872 2" xfId="25238"/>
    <cellStyle name="Normal 872 2 2" xfId="25239"/>
    <cellStyle name="Normal 872 2 2 2" xfId="58250"/>
    <cellStyle name="Normal 872 2 2 3" xfId="58251"/>
    <cellStyle name="Normal 872 2 3" xfId="25240"/>
    <cellStyle name="Normal 872 2 3 2" xfId="58252"/>
    <cellStyle name="Normal 872 2 3 3" xfId="58253"/>
    <cellStyle name="Normal 872 2 4" xfId="58254"/>
    <cellStyle name="Normal 872 2 5" xfId="58255"/>
    <cellStyle name="Normal 872 2 6" xfId="58256"/>
    <cellStyle name="Normal 872 2 7" xfId="58257"/>
    <cellStyle name="Normal 872 2 8" xfId="58258"/>
    <cellStyle name="Normal 872 3" xfId="25241"/>
    <cellStyle name="Normal 872 3 2" xfId="58259"/>
    <cellStyle name="Normal 872 3 2 2" xfId="58260"/>
    <cellStyle name="Normal 872 3 2 3" xfId="58261"/>
    <cellStyle name="Normal 872 3 3" xfId="58262"/>
    <cellStyle name="Normal 872 3 3 2" xfId="58263"/>
    <cellStyle name="Normal 872 3 3 3" xfId="58264"/>
    <cellStyle name="Normal 872 3 4" xfId="58265"/>
    <cellStyle name="Normal 872 3 5" xfId="58266"/>
    <cellStyle name="Normal 872 4" xfId="25242"/>
    <cellStyle name="Normal 872 4 2" xfId="58267"/>
    <cellStyle name="Normal 872 4 3" xfId="58268"/>
    <cellStyle name="Normal 872 5" xfId="25243"/>
    <cellStyle name="Normal 872 5 2" xfId="58269"/>
    <cellStyle name="Normal 872 5 3" xfId="58270"/>
    <cellStyle name="Normal 872 6" xfId="58271"/>
    <cellStyle name="Normal 872 7" xfId="58272"/>
    <cellStyle name="Normal 872 8" xfId="58273"/>
    <cellStyle name="Normal 872 9" xfId="58274"/>
    <cellStyle name="Normal 873" xfId="25244"/>
    <cellStyle name="Normal 873 10" xfId="58275"/>
    <cellStyle name="Normal 873 2" xfId="25245"/>
    <cellStyle name="Normal 873 2 2" xfId="25246"/>
    <cellStyle name="Normal 873 2 2 2" xfId="58276"/>
    <cellStyle name="Normal 873 2 2 3" xfId="58277"/>
    <cellStyle name="Normal 873 2 3" xfId="25247"/>
    <cellStyle name="Normal 873 2 3 2" xfId="58278"/>
    <cellStyle name="Normal 873 2 3 3" xfId="58279"/>
    <cellStyle name="Normal 873 2 4" xfId="58280"/>
    <cellStyle name="Normal 873 2 5" xfId="58281"/>
    <cellStyle name="Normal 873 2 6" xfId="58282"/>
    <cellStyle name="Normal 873 2 7" xfId="58283"/>
    <cellStyle name="Normal 873 2 8" xfId="58284"/>
    <cellStyle name="Normal 873 3" xfId="25248"/>
    <cellStyle name="Normal 873 3 2" xfId="58285"/>
    <cellStyle name="Normal 873 3 2 2" xfId="58286"/>
    <cellStyle name="Normal 873 3 2 3" xfId="58287"/>
    <cellStyle name="Normal 873 3 3" xfId="58288"/>
    <cellStyle name="Normal 873 3 3 2" xfId="58289"/>
    <cellStyle name="Normal 873 3 3 3" xfId="58290"/>
    <cellStyle name="Normal 873 3 4" xfId="58291"/>
    <cellStyle name="Normal 873 3 5" xfId="58292"/>
    <cellStyle name="Normal 873 4" xfId="25249"/>
    <cellStyle name="Normal 873 4 2" xfId="58293"/>
    <cellStyle name="Normal 873 4 3" xfId="58294"/>
    <cellStyle name="Normal 873 5" xfId="25250"/>
    <cellStyle name="Normal 873 5 2" xfId="58295"/>
    <cellStyle name="Normal 873 5 3" xfId="58296"/>
    <cellStyle name="Normal 873 6" xfId="58297"/>
    <cellStyle name="Normal 873 7" xfId="58298"/>
    <cellStyle name="Normal 873 8" xfId="58299"/>
    <cellStyle name="Normal 873 9" xfId="58300"/>
    <cellStyle name="Normal 874" xfId="25251"/>
    <cellStyle name="Normal 874 10" xfId="58301"/>
    <cellStyle name="Normal 874 2" xfId="25252"/>
    <cellStyle name="Normal 874 2 2" xfId="25253"/>
    <cellStyle name="Normal 874 2 2 2" xfId="58302"/>
    <cellStyle name="Normal 874 2 2 3" xfId="58303"/>
    <cellStyle name="Normal 874 2 3" xfId="25254"/>
    <cellStyle name="Normal 874 2 3 2" xfId="58304"/>
    <cellStyle name="Normal 874 2 3 3" xfId="58305"/>
    <cellStyle name="Normal 874 2 4" xfId="58306"/>
    <cellStyle name="Normal 874 2 5" xfId="58307"/>
    <cellStyle name="Normal 874 2 6" xfId="58308"/>
    <cellStyle name="Normal 874 2 7" xfId="58309"/>
    <cellStyle name="Normal 874 2 8" xfId="58310"/>
    <cellStyle name="Normal 874 3" xfId="25255"/>
    <cellStyle name="Normal 874 3 2" xfId="58311"/>
    <cellStyle name="Normal 874 3 2 2" xfId="58312"/>
    <cellStyle name="Normal 874 3 2 3" xfId="58313"/>
    <cellStyle name="Normal 874 3 3" xfId="58314"/>
    <cellStyle name="Normal 874 3 3 2" xfId="58315"/>
    <cellStyle name="Normal 874 3 3 3" xfId="58316"/>
    <cellStyle name="Normal 874 3 4" xfId="58317"/>
    <cellStyle name="Normal 874 3 5" xfId="58318"/>
    <cellStyle name="Normal 874 4" xfId="25256"/>
    <cellStyle name="Normal 874 4 2" xfId="58319"/>
    <cellStyle name="Normal 874 4 3" xfId="58320"/>
    <cellStyle name="Normal 874 5" xfId="25257"/>
    <cellStyle name="Normal 874 5 2" xfId="58321"/>
    <cellStyle name="Normal 874 5 3" xfId="58322"/>
    <cellStyle name="Normal 874 6" xfId="58323"/>
    <cellStyle name="Normal 874 7" xfId="58324"/>
    <cellStyle name="Normal 874 8" xfId="58325"/>
    <cellStyle name="Normal 874 9" xfId="58326"/>
    <cellStyle name="Normal 875" xfId="25258"/>
    <cellStyle name="Normal 875 10" xfId="58327"/>
    <cellStyle name="Normal 875 2" xfId="25259"/>
    <cellStyle name="Normal 875 2 2" xfId="25260"/>
    <cellStyle name="Normal 875 2 2 2" xfId="58328"/>
    <cellStyle name="Normal 875 2 2 3" xfId="58329"/>
    <cellStyle name="Normal 875 2 3" xfId="25261"/>
    <cellStyle name="Normal 875 2 3 2" xfId="58330"/>
    <cellStyle name="Normal 875 2 3 3" xfId="58331"/>
    <cellStyle name="Normal 875 2 4" xfId="58332"/>
    <cellStyle name="Normal 875 2 5" xfId="58333"/>
    <cellStyle name="Normal 875 2 6" xfId="58334"/>
    <cellStyle name="Normal 875 2 7" xfId="58335"/>
    <cellStyle name="Normal 875 2 8" xfId="58336"/>
    <cellStyle name="Normal 875 3" xfId="25262"/>
    <cellStyle name="Normal 875 3 2" xfId="58337"/>
    <cellStyle name="Normal 875 3 2 2" xfId="58338"/>
    <cellStyle name="Normal 875 3 2 3" xfId="58339"/>
    <cellStyle name="Normal 875 3 3" xfId="58340"/>
    <cellStyle name="Normal 875 3 3 2" xfId="58341"/>
    <cellStyle name="Normal 875 3 3 3" xfId="58342"/>
    <cellStyle name="Normal 875 3 4" xfId="58343"/>
    <cellStyle name="Normal 875 3 5" xfId="58344"/>
    <cellStyle name="Normal 875 4" xfId="25263"/>
    <cellStyle name="Normal 875 4 2" xfId="58345"/>
    <cellStyle name="Normal 875 4 3" xfId="58346"/>
    <cellStyle name="Normal 875 5" xfId="25264"/>
    <cellStyle name="Normal 875 5 2" xfId="58347"/>
    <cellStyle name="Normal 875 5 3" xfId="58348"/>
    <cellStyle name="Normal 875 6" xfId="58349"/>
    <cellStyle name="Normal 875 7" xfId="58350"/>
    <cellStyle name="Normal 875 8" xfId="58351"/>
    <cellStyle name="Normal 875 9" xfId="58352"/>
    <cellStyle name="Normal 876" xfId="25265"/>
    <cellStyle name="Normal 876 10" xfId="58353"/>
    <cellStyle name="Normal 876 2" xfId="25266"/>
    <cellStyle name="Normal 876 2 2" xfId="25267"/>
    <cellStyle name="Normal 876 2 2 2" xfId="58354"/>
    <cellStyle name="Normal 876 2 2 3" xfId="58355"/>
    <cellStyle name="Normal 876 2 3" xfId="25268"/>
    <cellStyle name="Normal 876 2 3 2" xfId="58356"/>
    <cellStyle name="Normal 876 2 3 3" xfId="58357"/>
    <cellStyle name="Normal 876 2 4" xfId="58358"/>
    <cellStyle name="Normal 876 2 5" xfId="58359"/>
    <cellStyle name="Normal 876 2 6" xfId="58360"/>
    <cellStyle name="Normal 876 2 7" xfId="58361"/>
    <cellStyle name="Normal 876 2 8" xfId="58362"/>
    <cellStyle name="Normal 876 3" xfId="25269"/>
    <cellStyle name="Normal 876 3 2" xfId="58363"/>
    <cellStyle name="Normal 876 3 2 2" xfId="58364"/>
    <cellStyle name="Normal 876 3 2 3" xfId="58365"/>
    <cellStyle name="Normal 876 3 3" xfId="58366"/>
    <cellStyle name="Normal 876 3 3 2" xfId="58367"/>
    <cellStyle name="Normal 876 3 3 3" xfId="58368"/>
    <cellStyle name="Normal 876 3 4" xfId="58369"/>
    <cellStyle name="Normal 876 3 5" xfId="58370"/>
    <cellStyle name="Normal 876 4" xfId="25270"/>
    <cellStyle name="Normal 876 4 2" xfId="58371"/>
    <cellStyle name="Normal 876 4 3" xfId="58372"/>
    <cellStyle name="Normal 876 5" xfId="25271"/>
    <cellStyle name="Normal 876 5 2" xfId="58373"/>
    <cellStyle name="Normal 876 5 3" xfId="58374"/>
    <cellStyle name="Normal 876 6" xfId="58375"/>
    <cellStyle name="Normal 876 7" xfId="58376"/>
    <cellStyle name="Normal 876 8" xfId="58377"/>
    <cellStyle name="Normal 876 9" xfId="58378"/>
    <cellStyle name="Normal 877" xfId="25272"/>
    <cellStyle name="Normal 877 10" xfId="58379"/>
    <cellStyle name="Normal 877 2" xfId="25273"/>
    <cellStyle name="Normal 877 2 2" xfId="25274"/>
    <cellStyle name="Normal 877 2 2 2" xfId="58380"/>
    <cellStyle name="Normal 877 2 2 3" xfId="58381"/>
    <cellStyle name="Normal 877 2 3" xfId="25275"/>
    <cellStyle name="Normal 877 2 3 2" xfId="58382"/>
    <cellStyle name="Normal 877 2 3 3" xfId="58383"/>
    <cellStyle name="Normal 877 2 4" xfId="58384"/>
    <cellStyle name="Normal 877 2 5" xfId="58385"/>
    <cellStyle name="Normal 877 2 6" xfId="58386"/>
    <cellStyle name="Normal 877 2 7" xfId="58387"/>
    <cellStyle name="Normal 877 2 8" xfId="58388"/>
    <cellStyle name="Normal 877 3" xfId="25276"/>
    <cellStyle name="Normal 877 3 2" xfId="58389"/>
    <cellStyle name="Normal 877 3 2 2" xfId="58390"/>
    <cellStyle name="Normal 877 3 2 3" xfId="58391"/>
    <cellStyle name="Normal 877 3 3" xfId="58392"/>
    <cellStyle name="Normal 877 3 3 2" xfId="58393"/>
    <cellStyle name="Normal 877 3 3 3" xfId="58394"/>
    <cellStyle name="Normal 877 3 4" xfId="58395"/>
    <cellStyle name="Normal 877 3 5" xfId="58396"/>
    <cellStyle name="Normal 877 4" xfId="25277"/>
    <cellStyle name="Normal 877 4 2" xfId="58397"/>
    <cellStyle name="Normal 877 4 3" xfId="58398"/>
    <cellStyle name="Normal 877 5" xfId="25278"/>
    <cellStyle name="Normal 877 5 2" xfId="58399"/>
    <cellStyle name="Normal 877 5 3" xfId="58400"/>
    <cellStyle name="Normal 877 6" xfId="58401"/>
    <cellStyle name="Normal 877 7" xfId="58402"/>
    <cellStyle name="Normal 877 8" xfId="58403"/>
    <cellStyle name="Normal 877 9" xfId="58404"/>
    <cellStyle name="Normal 878" xfId="25279"/>
    <cellStyle name="Normal 878 10" xfId="58405"/>
    <cellStyle name="Normal 878 2" xfId="25280"/>
    <cellStyle name="Normal 878 2 2" xfId="25281"/>
    <cellStyle name="Normal 878 2 2 2" xfId="58406"/>
    <cellStyle name="Normal 878 2 2 3" xfId="58407"/>
    <cellStyle name="Normal 878 2 3" xfId="25282"/>
    <cellStyle name="Normal 878 2 3 2" xfId="58408"/>
    <cellStyle name="Normal 878 2 3 3" xfId="58409"/>
    <cellStyle name="Normal 878 2 4" xfId="58410"/>
    <cellStyle name="Normal 878 2 5" xfId="58411"/>
    <cellStyle name="Normal 878 2 6" xfId="58412"/>
    <cellStyle name="Normal 878 2 7" xfId="58413"/>
    <cellStyle name="Normal 878 2 8" xfId="58414"/>
    <cellStyle name="Normal 878 3" xfId="25283"/>
    <cellStyle name="Normal 878 3 2" xfId="58415"/>
    <cellStyle name="Normal 878 3 2 2" xfId="58416"/>
    <cellStyle name="Normal 878 3 2 3" xfId="58417"/>
    <cellStyle name="Normal 878 3 3" xfId="58418"/>
    <cellStyle name="Normal 878 3 3 2" xfId="58419"/>
    <cellStyle name="Normal 878 3 3 3" xfId="58420"/>
    <cellStyle name="Normal 878 3 4" xfId="58421"/>
    <cellStyle name="Normal 878 3 5" xfId="58422"/>
    <cellStyle name="Normal 878 4" xfId="25284"/>
    <cellStyle name="Normal 878 4 2" xfId="58423"/>
    <cellStyle name="Normal 878 4 3" xfId="58424"/>
    <cellStyle name="Normal 878 5" xfId="25285"/>
    <cellStyle name="Normal 878 5 2" xfId="58425"/>
    <cellStyle name="Normal 878 5 3" xfId="58426"/>
    <cellStyle name="Normal 878 6" xfId="58427"/>
    <cellStyle name="Normal 878 7" xfId="58428"/>
    <cellStyle name="Normal 878 8" xfId="58429"/>
    <cellStyle name="Normal 878 9" xfId="58430"/>
    <cellStyle name="Normal 879" xfId="25286"/>
    <cellStyle name="Normal 879 10" xfId="58431"/>
    <cellStyle name="Normal 879 2" xfId="25287"/>
    <cellStyle name="Normal 879 2 2" xfId="25288"/>
    <cellStyle name="Normal 879 2 2 2" xfId="58432"/>
    <cellStyle name="Normal 879 2 2 3" xfId="58433"/>
    <cellStyle name="Normal 879 2 3" xfId="25289"/>
    <cellStyle name="Normal 879 2 3 2" xfId="58434"/>
    <cellStyle name="Normal 879 2 3 3" xfId="58435"/>
    <cellStyle name="Normal 879 2 4" xfId="58436"/>
    <cellStyle name="Normal 879 2 5" xfId="58437"/>
    <cellStyle name="Normal 879 2 6" xfId="58438"/>
    <cellStyle name="Normal 879 2 7" xfId="58439"/>
    <cellStyle name="Normal 879 2 8" xfId="58440"/>
    <cellStyle name="Normal 879 3" xfId="25290"/>
    <cellStyle name="Normal 879 3 2" xfId="58441"/>
    <cellStyle name="Normal 879 3 2 2" xfId="58442"/>
    <cellStyle name="Normal 879 3 2 3" xfId="58443"/>
    <cellStyle name="Normal 879 3 3" xfId="58444"/>
    <cellStyle name="Normal 879 3 3 2" xfId="58445"/>
    <cellStyle name="Normal 879 3 3 3" xfId="58446"/>
    <cellStyle name="Normal 879 3 4" xfId="58447"/>
    <cellStyle name="Normal 879 3 5" xfId="58448"/>
    <cellStyle name="Normal 879 4" xfId="25291"/>
    <cellStyle name="Normal 879 4 2" xfId="58449"/>
    <cellStyle name="Normal 879 4 3" xfId="58450"/>
    <cellStyle name="Normal 879 5" xfId="25292"/>
    <cellStyle name="Normal 879 5 2" xfId="58451"/>
    <cellStyle name="Normal 879 5 3" xfId="58452"/>
    <cellStyle name="Normal 879 6" xfId="58453"/>
    <cellStyle name="Normal 879 7" xfId="58454"/>
    <cellStyle name="Normal 879 8" xfId="58455"/>
    <cellStyle name="Normal 879 9" xfId="58456"/>
    <cellStyle name="Normal 88" xfId="25293"/>
    <cellStyle name="Normal 88 10" xfId="58457"/>
    <cellStyle name="Normal 88 2" xfId="25294"/>
    <cellStyle name="Normal 88 2 2" xfId="25295"/>
    <cellStyle name="Normal 88 2 2 2" xfId="25296"/>
    <cellStyle name="Normal 88 2 2 3" xfId="25297"/>
    <cellStyle name="Normal 88 2 2 4" xfId="58458"/>
    <cellStyle name="Normal 88 2 2 5" xfId="58459"/>
    <cellStyle name="Normal 88 2 2 6" xfId="58460"/>
    <cellStyle name="Normal 88 2 3" xfId="25298"/>
    <cellStyle name="Normal 88 2 3 2" xfId="58461"/>
    <cellStyle name="Normal 88 2 3 3" xfId="58462"/>
    <cellStyle name="Normal 88 2 4" xfId="25299"/>
    <cellStyle name="Normal 88 2 5" xfId="25300"/>
    <cellStyle name="Normal 88 2 6" xfId="58463"/>
    <cellStyle name="Normal 88 2 7" xfId="58464"/>
    <cellStyle name="Normal 88 2 8" xfId="58465"/>
    <cellStyle name="Normal 88 3" xfId="25301"/>
    <cellStyle name="Normal 88 3 2" xfId="25302"/>
    <cellStyle name="Normal 88 3 2 2" xfId="58466"/>
    <cellStyle name="Normal 88 3 2 3" xfId="58467"/>
    <cellStyle name="Normal 88 3 3" xfId="25303"/>
    <cellStyle name="Normal 88 3 3 2" xfId="58468"/>
    <cellStyle name="Normal 88 3 3 3" xfId="58469"/>
    <cellStyle name="Normal 88 3 4" xfId="58470"/>
    <cellStyle name="Normal 88 3 5" xfId="58471"/>
    <cellStyle name="Normal 88 4" xfId="25304"/>
    <cellStyle name="Normal 88 4 2" xfId="58472"/>
    <cellStyle name="Normal 88 4 3" xfId="58473"/>
    <cellStyle name="Normal 88 5" xfId="25305"/>
    <cellStyle name="Normal 88 5 2" xfId="58474"/>
    <cellStyle name="Normal 88 5 3" xfId="58475"/>
    <cellStyle name="Normal 88 6" xfId="25306"/>
    <cellStyle name="Normal 88 7" xfId="58476"/>
    <cellStyle name="Normal 88 8" xfId="58477"/>
    <cellStyle name="Normal 88 9" xfId="58478"/>
    <cellStyle name="Normal 880" xfId="25307"/>
    <cellStyle name="Normal 880 10" xfId="58479"/>
    <cellStyle name="Normal 880 2" xfId="25308"/>
    <cellStyle name="Normal 880 2 2" xfId="25309"/>
    <cellStyle name="Normal 880 2 2 2" xfId="58480"/>
    <cellStyle name="Normal 880 2 2 3" xfId="58481"/>
    <cellStyle name="Normal 880 2 3" xfId="25310"/>
    <cellStyle name="Normal 880 2 3 2" xfId="58482"/>
    <cellStyle name="Normal 880 2 3 3" xfId="58483"/>
    <cellStyle name="Normal 880 2 4" xfId="58484"/>
    <cellStyle name="Normal 880 2 5" xfId="58485"/>
    <cellStyle name="Normal 880 2 6" xfId="58486"/>
    <cellStyle name="Normal 880 2 7" xfId="58487"/>
    <cellStyle name="Normal 880 2 8" xfId="58488"/>
    <cellStyle name="Normal 880 3" xfId="25311"/>
    <cellStyle name="Normal 880 3 2" xfId="58489"/>
    <cellStyle name="Normal 880 3 2 2" xfId="58490"/>
    <cellStyle name="Normal 880 3 2 3" xfId="58491"/>
    <cellStyle name="Normal 880 3 3" xfId="58492"/>
    <cellStyle name="Normal 880 3 3 2" xfId="58493"/>
    <cellStyle name="Normal 880 3 3 3" xfId="58494"/>
    <cellStyle name="Normal 880 3 4" xfId="58495"/>
    <cellStyle name="Normal 880 3 5" xfId="58496"/>
    <cellStyle name="Normal 880 4" xfId="25312"/>
    <cellStyle name="Normal 880 4 2" xfId="58497"/>
    <cellStyle name="Normal 880 4 3" xfId="58498"/>
    <cellStyle name="Normal 880 5" xfId="25313"/>
    <cellStyle name="Normal 880 5 2" xfId="58499"/>
    <cellStyle name="Normal 880 5 3" xfId="58500"/>
    <cellStyle name="Normal 880 6" xfId="58501"/>
    <cellStyle name="Normal 880 7" xfId="58502"/>
    <cellStyle name="Normal 880 8" xfId="58503"/>
    <cellStyle name="Normal 880 9" xfId="58504"/>
    <cellStyle name="Normal 881" xfId="25314"/>
    <cellStyle name="Normal 881 10" xfId="58505"/>
    <cellStyle name="Normal 881 2" xfId="25315"/>
    <cellStyle name="Normal 881 2 2" xfId="25316"/>
    <cellStyle name="Normal 881 2 2 2" xfId="58506"/>
    <cellStyle name="Normal 881 2 2 3" xfId="58507"/>
    <cellStyle name="Normal 881 2 3" xfId="25317"/>
    <cellStyle name="Normal 881 2 3 2" xfId="58508"/>
    <cellStyle name="Normal 881 2 3 3" xfId="58509"/>
    <cellStyle name="Normal 881 2 4" xfId="58510"/>
    <cellStyle name="Normal 881 2 5" xfId="58511"/>
    <cellStyle name="Normal 881 2 6" xfId="58512"/>
    <cellStyle name="Normal 881 2 7" xfId="58513"/>
    <cellStyle name="Normal 881 2 8" xfId="58514"/>
    <cellStyle name="Normal 881 3" xfId="25318"/>
    <cellStyle name="Normal 881 3 2" xfId="58515"/>
    <cellStyle name="Normal 881 3 2 2" xfId="58516"/>
    <cellStyle name="Normal 881 3 2 3" xfId="58517"/>
    <cellStyle name="Normal 881 3 3" xfId="58518"/>
    <cellStyle name="Normal 881 3 3 2" xfId="58519"/>
    <cellStyle name="Normal 881 3 3 3" xfId="58520"/>
    <cellStyle name="Normal 881 3 4" xfId="58521"/>
    <cellStyle name="Normal 881 3 5" xfId="58522"/>
    <cellStyle name="Normal 881 4" xfId="25319"/>
    <cellStyle name="Normal 881 4 2" xfId="58523"/>
    <cellStyle name="Normal 881 4 3" xfId="58524"/>
    <cellStyle name="Normal 881 5" xfId="25320"/>
    <cellStyle name="Normal 881 5 2" xfId="58525"/>
    <cellStyle name="Normal 881 5 3" xfId="58526"/>
    <cellStyle name="Normal 881 6" xfId="58527"/>
    <cellStyle name="Normal 881 7" xfId="58528"/>
    <cellStyle name="Normal 881 8" xfId="58529"/>
    <cellStyle name="Normal 881 9" xfId="58530"/>
    <cellStyle name="Normal 882" xfId="25321"/>
    <cellStyle name="Normal 882 10" xfId="58531"/>
    <cellStyle name="Normal 882 2" xfId="25322"/>
    <cellStyle name="Normal 882 2 2" xfId="25323"/>
    <cellStyle name="Normal 882 2 2 2" xfId="58532"/>
    <cellStyle name="Normal 882 2 2 3" xfId="58533"/>
    <cellStyle name="Normal 882 2 3" xfId="25324"/>
    <cellStyle name="Normal 882 2 3 2" xfId="58534"/>
    <cellStyle name="Normal 882 2 3 3" xfId="58535"/>
    <cellStyle name="Normal 882 2 4" xfId="58536"/>
    <cellStyle name="Normal 882 2 5" xfId="58537"/>
    <cellStyle name="Normal 882 2 6" xfId="58538"/>
    <cellStyle name="Normal 882 2 7" xfId="58539"/>
    <cellStyle name="Normal 882 2 8" xfId="58540"/>
    <cellStyle name="Normal 882 3" xfId="25325"/>
    <cellStyle name="Normal 882 3 2" xfId="58541"/>
    <cellStyle name="Normal 882 3 2 2" xfId="58542"/>
    <cellStyle name="Normal 882 3 2 3" xfId="58543"/>
    <cellStyle name="Normal 882 3 3" xfId="58544"/>
    <cellStyle name="Normal 882 3 3 2" xfId="58545"/>
    <cellStyle name="Normal 882 3 3 3" xfId="58546"/>
    <cellStyle name="Normal 882 3 4" xfId="58547"/>
    <cellStyle name="Normal 882 3 5" xfId="58548"/>
    <cellStyle name="Normal 882 4" xfId="25326"/>
    <cellStyle name="Normal 882 4 2" xfId="58549"/>
    <cellStyle name="Normal 882 4 3" xfId="58550"/>
    <cellStyle name="Normal 882 5" xfId="25327"/>
    <cellStyle name="Normal 882 5 2" xfId="58551"/>
    <cellStyle name="Normal 882 5 3" xfId="58552"/>
    <cellStyle name="Normal 882 6" xfId="58553"/>
    <cellStyle name="Normal 882 7" xfId="58554"/>
    <cellStyle name="Normal 882 8" xfId="58555"/>
    <cellStyle name="Normal 882 9" xfId="58556"/>
    <cellStyle name="Normal 883" xfId="25328"/>
    <cellStyle name="Normal 883 10" xfId="58557"/>
    <cellStyle name="Normal 883 2" xfId="25329"/>
    <cellStyle name="Normal 883 2 2" xfId="25330"/>
    <cellStyle name="Normal 883 2 2 2" xfId="58558"/>
    <cellStyle name="Normal 883 2 2 3" xfId="58559"/>
    <cellStyle name="Normal 883 2 3" xfId="25331"/>
    <cellStyle name="Normal 883 2 3 2" xfId="58560"/>
    <cellStyle name="Normal 883 2 3 3" xfId="58561"/>
    <cellStyle name="Normal 883 2 4" xfId="58562"/>
    <cellStyle name="Normal 883 2 5" xfId="58563"/>
    <cellStyle name="Normal 883 2 6" xfId="58564"/>
    <cellStyle name="Normal 883 2 7" xfId="58565"/>
    <cellStyle name="Normal 883 2 8" xfId="58566"/>
    <cellStyle name="Normal 883 3" xfId="25332"/>
    <cellStyle name="Normal 883 3 2" xfId="58567"/>
    <cellStyle name="Normal 883 3 2 2" xfId="58568"/>
    <cellStyle name="Normal 883 3 2 3" xfId="58569"/>
    <cellStyle name="Normal 883 3 3" xfId="58570"/>
    <cellStyle name="Normal 883 3 3 2" xfId="58571"/>
    <cellStyle name="Normal 883 3 3 3" xfId="58572"/>
    <cellStyle name="Normal 883 3 4" xfId="58573"/>
    <cellStyle name="Normal 883 3 5" xfId="58574"/>
    <cellStyle name="Normal 883 4" xfId="25333"/>
    <cellStyle name="Normal 883 4 2" xfId="58575"/>
    <cellStyle name="Normal 883 4 3" xfId="58576"/>
    <cellStyle name="Normal 883 5" xfId="25334"/>
    <cellStyle name="Normal 883 5 2" xfId="58577"/>
    <cellStyle name="Normal 883 5 3" xfId="58578"/>
    <cellStyle name="Normal 883 6" xfId="58579"/>
    <cellStyle name="Normal 883 7" xfId="58580"/>
    <cellStyle name="Normal 883 8" xfId="58581"/>
    <cellStyle name="Normal 883 9" xfId="58582"/>
    <cellStyle name="Normal 884" xfId="25335"/>
    <cellStyle name="Normal 884 10" xfId="58583"/>
    <cellStyle name="Normal 884 2" xfId="25336"/>
    <cellStyle name="Normal 884 2 2" xfId="25337"/>
    <cellStyle name="Normal 884 2 2 2" xfId="58584"/>
    <cellStyle name="Normal 884 2 2 3" xfId="58585"/>
    <cellStyle name="Normal 884 2 3" xfId="25338"/>
    <cellStyle name="Normal 884 2 3 2" xfId="58586"/>
    <cellStyle name="Normal 884 2 3 3" xfId="58587"/>
    <cellStyle name="Normal 884 2 4" xfId="58588"/>
    <cellStyle name="Normal 884 2 5" xfId="58589"/>
    <cellStyle name="Normal 884 2 6" xfId="58590"/>
    <cellStyle name="Normal 884 2 7" xfId="58591"/>
    <cellStyle name="Normal 884 2 8" xfId="58592"/>
    <cellStyle name="Normal 884 3" xfId="25339"/>
    <cellStyle name="Normal 884 3 2" xfId="58593"/>
    <cellStyle name="Normal 884 3 2 2" xfId="58594"/>
    <cellStyle name="Normal 884 3 2 3" xfId="58595"/>
    <cellStyle name="Normal 884 3 3" xfId="58596"/>
    <cellStyle name="Normal 884 3 3 2" xfId="58597"/>
    <cellStyle name="Normal 884 3 3 3" xfId="58598"/>
    <cellStyle name="Normal 884 3 4" xfId="58599"/>
    <cellStyle name="Normal 884 3 5" xfId="58600"/>
    <cellStyle name="Normal 884 4" xfId="25340"/>
    <cellStyle name="Normal 884 4 2" xfId="58601"/>
    <cellStyle name="Normal 884 4 3" xfId="58602"/>
    <cellStyle name="Normal 884 5" xfId="25341"/>
    <cellStyle name="Normal 884 5 2" xfId="58603"/>
    <cellStyle name="Normal 884 5 3" xfId="58604"/>
    <cellStyle name="Normal 884 6" xfId="58605"/>
    <cellStyle name="Normal 884 7" xfId="58606"/>
    <cellStyle name="Normal 884 8" xfId="58607"/>
    <cellStyle name="Normal 884 9" xfId="58608"/>
    <cellStyle name="Normal 885" xfId="25342"/>
    <cellStyle name="Normal 885 10" xfId="58609"/>
    <cellStyle name="Normal 885 2" xfId="25343"/>
    <cellStyle name="Normal 885 2 2" xfId="25344"/>
    <cellStyle name="Normal 885 2 2 2" xfId="58610"/>
    <cellStyle name="Normal 885 2 2 3" xfId="58611"/>
    <cellStyle name="Normal 885 2 3" xfId="25345"/>
    <cellStyle name="Normal 885 2 3 2" xfId="58612"/>
    <cellStyle name="Normal 885 2 3 3" xfId="58613"/>
    <cellStyle name="Normal 885 2 4" xfId="58614"/>
    <cellStyle name="Normal 885 2 5" xfId="58615"/>
    <cellStyle name="Normal 885 2 6" xfId="58616"/>
    <cellStyle name="Normal 885 2 7" xfId="58617"/>
    <cellStyle name="Normal 885 2 8" xfId="58618"/>
    <cellStyle name="Normal 885 3" xfId="25346"/>
    <cellStyle name="Normal 885 3 2" xfId="58619"/>
    <cellStyle name="Normal 885 3 2 2" xfId="58620"/>
    <cellStyle name="Normal 885 3 2 3" xfId="58621"/>
    <cellStyle name="Normal 885 3 3" xfId="58622"/>
    <cellStyle name="Normal 885 3 3 2" xfId="58623"/>
    <cellStyle name="Normal 885 3 3 3" xfId="58624"/>
    <cellStyle name="Normal 885 3 4" xfId="58625"/>
    <cellStyle name="Normal 885 3 5" xfId="58626"/>
    <cellStyle name="Normal 885 4" xfId="25347"/>
    <cellStyle name="Normal 885 4 2" xfId="58627"/>
    <cellStyle name="Normal 885 4 3" xfId="58628"/>
    <cellStyle name="Normal 885 5" xfId="25348"/>
    <cellStyle name="Normal 885 5 2" xfId="58629"/>
    <cellStyle name="Normal 885 5 3" xfId="58630"/>
    <cellStyle name="Normal 885 6" xfId="58631"/>
    <cellStyle name="Normal 885 7" xfId="58632"/>
    <cellStyle name="Normal 885 8" xfId="58633"/>
    <cellStyle name="Normal 885 9" xfId="58634"/>
    <cellStyle name="Normal 886" xfId="25349"/>
    <cellStyle name="Normal 886 10" xfId="58635"/>
    <cellStyle name="Normal 886 2" xfId="25350"/>
    <cellStyle name="Normal 886 2 2" xfId="25351"/>
    <cellStyle name="Normal 886 2 2 2" xfId="58636"/>
    <cellStyle name="Normal 886 2 2 3" xfId="58637"/>
    <cellStyle name="Normal 886 2 3" xfId="25352"/>
    <cellStyle name="Normal 886 2 3 2" xfId="58638"/>
    <cellStyle name="Normal 886 2 3 3" xfId="58639"/>
    <cellStyle name="Normal 886 2 4" xfId="58640"/>
    <cellStyle name="Normal 886 2 5" xfId="58641"/>
    <cellStyle name="Normal 886 2 6" xfId="58642"/>
    <cellStyle name="Normal 886 2 7" xfId="58643"/>
    <cellStyle name="Normal 886 2 8" xfId="58644"/>
    <cellStyle name="Normal 886 3" xfId="25353"/>
    <cellStyle name="Normal 886 3 2" xfId="58645"/>
    <cellStyle name="Normal 886 3 2 2" xfId="58646"/>
    <cellStyle name="Normal 886 3 2 3" xfId="58647"/>
    <cellStyle name="Normal 886 3 3" xfId="58648"/>
    <cellStyle name="Normal 886 3 3 2" xfId="58649"/>
    <cellStyle name="Normal 886 3 3 3" xfId="58650"/>
    <cellStyle name="Normal 886 3 4" xfId="58651"/>
    <cellStyle name="Normal 886 3 5" xfId="58652"/>
    <cellStyle name="Normal 886 4" xfId="25354"/>
    <cellStyle name="Normal 886 4 2" xfId="58653"/>
    <cellStyle name="Normal 886 4 3" xfId="58654"/>
    <cellStyle name="Normal 886 5" xfId="25355"/>
    <cellStyle name="Normal 886 5 2" xfId="58655"/>
    <cellStyle name="Normal 886 5 3" xfId="58656"/>
    <cellStyle name="Normal 886 6" xfId="58657"/>
    <cellStyle name="Normal 886 7" xfId="58658"/>
    <cellStyle name="Normal 886 8" xfId="58659"/>
    <cellStyle name="Normal 886 9" xfId="58660"/>
    <cellStyle name="Normal 887" xfId="25356"/>
    <cellStyle name="Normal 887 10" xfId="58661"/>
    <cellStyle name="Normal 887 2" xfId="25357"/>
    <cellStyle name="Normal 887 2 2" xfId="25358"/>
    <cellStyle name="Normal 887 2 2 2" xfId="58662"/>
    <cellStyle name="Normal 887 2 2 3" xfId="58663"/>
    <cellStyle name="Normal 887 2 3" xfId="25359"/>
    <cellStyle name="Normal 887 2 3 2" xfId="58664"/>
    <cellStyle name="Normal 887 2 3 3" xfId="58665"/>
    <cellStyle name="Normal 887 2 4" xfId="58666"/>
    <cellStyle name="Normal 887 2 5" xfId="58667"/>
    <cellStyle name="Normal 887 2 6" xfId="58668"/>
    <cellStyle name="Normal 887 2 7" xfId="58669"/>
    <cellStyle name="Normal 887 2 8" xfId="58670"/>
    <cellStyle name="Normal 887 3" xfId="25360"/>
    <cellStyle name="Normal 887 3 2" xfId="58671"/>
    <cellStyle name="Normal 887 3 2 2" xfId="58672"/>
    <cellStyle name="Normal 887 3 2 3" xfId="58673"/>
    <cellStyle name="Normal 887 3 3" xfId="58674"/>
    <cellStyle name="Normal 887 3 3 2" xfId="58675"/>
    <cellStyle name="Normal 887 3 3 3" xfId="58676"/>
    <cellStyle name="Normal 887 3 4" xfId="58677"/>
    <cellStyle name="Normal 887 3 5" xfId="58678"/>
    <cellStyle name="Normal 887 4" xfId="25361"/>
    <cellStyle name="Normal 887 4 2" xfId="58679"/>
    <cellStyle name="Normal 887 4 3" xfId="58680"/>
    <cellStyle name="Normal 887 5" xfId="25362"/>
    <cellStyle name="Normal 887 5 2" xfId="58681"/>
    <cellStyle name="Normal 887 5 3" xfId="58682"/>
    <cellStyle name="Normal 887 6" xfId="58683"/>
    <cellStyle name="Normal 887 7" xfId="58684"/>
    <cellStyle name="Normal 887 8" xfId="58685"/>
    <cellStyle name="Normal 887 9" xfId="58686"/>
    <cellStyle name="Normal 888" xfId="25363"/>
    <cellStyle name="Normal 888 10" xfId="58687"/>
    <cellStyle name="Normal 888 2" xfId="25364"/>
    <cellStyle name="Normal 888 2 2" xfId="25365"/>
    <cellStyle name="Normal 888 2 2 2" xfId="58688"/>
    <cellStyle name="Normal 888 2 2 3" xfId="58689"/>
    <cellStyle name="Normal 888 2 3" xfId="25366"/>
    <cellStyle name="Normal 888 2 3 2" xfId="58690"/>
    <cellStyle name="Normal 888 2 3 3" xfId="58691"/>
    <cellStyle name="Normal 888 2 4" xfId="58692"/>
    <cellStyle name="Normal 888 2 5" xfId="58693"/>
    <cellStyle name="Normal 888 2 6" xfId="58694"/>
    <cellStyle name="Normal 888 2 7" xfId="58695"/>
    <cellStyle name="Normal 888 2 8" xfId="58696"/>
    <cellStyle name="Normal 888 3" xfId="25367"/>
    <cellStyle name="Normal 888 3 2" xfId="58697"/>
    <cellStyle name="Normal 888 3 2 2" xfId="58698"/>
    <cellStyle name="Normal 888 3 2 3" xfId="58699"/>
    <cellStyle name="Normal 888 3 3" xfId="58700"/>
    <cellStyle name="Normal 888 3 3 2" xfId="58701"/>
    <cellStyle name="Normal 888 3 3 3" xfId="58702"/>
    <cellStyle name="Normal 888 3 4" xfId="58703"/>
    <cellStyle name="Normal 888 3 5" xfId="58704"/>
    <cellStyle name="Normal 888 4" xfId="25368"/>
    <cellStyle name="Normal 888 4 2" xfId="58705"/>
    <cellStyle name="Normal 888 4 3" xfId="58706"/>
    <cellStyle name="Normal 888 5" xfId="25369"/>
    <cellStyle name="Normal 888 5 2" xfId="58707"/>
    <cellStyle name="Normal 888 5 3" xfId="58708"/>
    <cellStyle name="Normal 888 6" xfId="58709"/>
    <cellStyle name="Normal 888 7" xfId="58710"/>
    <cellStyle name="Normal 888 8" xfId="58711"/>
    <cellStyle name="Normal 888 9" xfId="58712"/>
    <cellStyle name="Normal 889" xfId="25370"/>
    <cellStyle name="Normal 889 10" xfId="58713"/>
    <cellStyle name="Normal 889 2" xfId="25371"/>
    <cellStyle name="Normal 889 2 2" xfId="25372"/>
    <cellStyle name="Normal 889 2 2 2" xfId="58714"/>
    <cellStyle name="Normal 889 2 2 3" xfId="58715"/>
    <cellStyle name="Normal 889 2 3" xfId="25373"/>
    <cellStyle name="Normal 889 2 3 2" xfId="58716"/>
    <cellStyle name="Normal 889 2 3 3" xfId="58717"/>
    <cellStyle name="Normal 889 2 4" xfId="58718"/>
    <cellStyle name="Normal 889 2 5" xfId="58719"/>
    <cellStyle name="Normal 889 2 6" xfId="58720"/>
    <cellStyle name="Normal 889 2 7" xfId="58721"/>
    <cellStyle name="Normal 889 2 8" xfId="58722"/>
    <cellStyle name="Normal 889 3" xfId="25374"/>
    <cellStyle name="Normal 889 3 2" xfId="58723"/>
    <cellStyle name="Normal 889 3 2 2" xfId="58724"/>
    <cellStyle name="Normal 889 3 2 3" xfId="58725"/>
    <cellStyle name="Normal 889 3 3" xfId="58726"/>
    <cellStyle name="Normal 889 3 3 2" xfId="58727"/>
    <cellStyle name="Normal 889 3 3 3" xfId="58728"/>
    <cellStyle name="Normal 889 3 4" xfId="58729"/>
    <cellStyle name="Normal 889 3 5" xfId="58730"/>
    <cellStyle name="Normal 889 4" xfId="25375"/>
    <cellStyle name="Normal 889 4 2" xfId="58731"/>
    <cellStyle name="Normal 889 4 3" xfId="58732"/>
    <cellStyle name="Normal 889 5" xfId="25376"/>
    <cellStyle name="Normal 889 5 2" xfId="58733"/>
    <cellStyle name="Normal 889 5 3" xfId="58734"/>
    <cellStyle name="Normal 889 6" xfId="58735"/>
    <cellStyle name="Normal 889 7" xfId="58736"/>
    <cellStyle name="Normal 889 8" xfId="58737"/>
    <cellStyle name="Normal 889 9" xfId="58738"/>
    <cellStyle name="Normal 89" xfId="25377"/>
    <cellStyle name="Normal 89 10" xfId="58739"/>
    <cellStyle name="Normal 89 2" xfId="25378"/>
    <cellStyle name="Normal 89 2 2" xfId="25379"/>
    <cellStyle name="Normal 89 2 2 2" xfId="25380"/>
    <cellStyle name="Normal 89 2 2 3" xfId="25381"/>
    <cellStyle name="Normal 89 2 2 4" xfId="58740"/>
    <cellStyle name="Normal 89 2 2 5" xfId="58741"/>
    <cellStyle name="Normal 89 2 2 6" xfId="58742"/>
    <cellStyle name="Normal 89 2 3" xfId="25382"/>
    <cellStyle name="Normal 89 2 3 2" xfId="58743"/>
    <cellStyle name="Normal 89 2 3 3" xfId="58744"/>
    <cellStyle name="Normal 89 2 4" xfId="25383"/>
    <cellStyle name="Normal 89 2 5" xfId="25384"/>
    <cellStyle name="Normal 89 2 6" xfId="58745"/>
    <cellStyle name="Normal 89 2 7" xfId="58746"/>
    <cellStyle name="Normal 89 2 8" xfId="58747"/>
    <cellStyle name="Normal 89 3" xfId="25385"/>
    <cellStyle name="Normal 89 3 2" xfId="25386"/>
    <cellStyle name="Normal 89 3 2 2" xfId="58748"/>
    <cellStyle name="Normal 89 3 2 3" xfId="58749"/>
    <cellStyle name="Normal 89 3 3" xfId="25387"/>
    <cellStyle name="Normal 89 3 3 2" xfId="58750"/>
    <cellStyle name="Normal 89 3 3 3" xfId="58751"/>
    <cellStyle name="Normal 89 3 4" xfId="58752"/>
    <cellStyle name="Normal 89 3 5" xfId="58753"/>
    <cellStyle name="Normal 89 4" xfId="25388"/>
    <cellStyle name="Normal 89 4 2" xfId="58754"/>
    <cellStyle name="Normal 89 4 3" xfId="58755"/>
    <cellStyle name="Normal 89 5" xfId="25389"/>
    <cellStyle name="Normal 89 5 2" xfId="58756"/>
    <cellStyle name="Normal 89 5 3" xfId="58757"/>
    <cellStyle name="Normal 89 6" xfId="25390"/>
    <cellStyle name="Normal 89 7" xfId="58758"/>
    <cellStyle name="Normal 89 8" xfId="58759"/>
    <cellStyle name="Normal 89 9" xfId="58760"/>
    <cellStyle name="Normal 890" xfId="25391"/>
    <cellStyle name="Normal 890 10" xfId="58761"/>
    <cellStyle name="Normal 890 2" xfId="25392"/>
    <cellStyle name="Normal 890 2 2" xfId="25393"/>
    <cellStyle name="Normal 890 2 2 2" xfId="58762"/>
    <cellStyle name="Normal 890 2 2 3" xfId="58763"/>
    <cellStyle name="Normal 890 2 3" xfId="25394"/>
    <cellStyle name="Normal 890 2 3 2" xfId="58764"/>
    <cellStyle name="Normal 890 2 3 3" xfId="58765"/>
    <cellStyle name="Normal 890 2 4" xfId="58766"/>
    <cellStyle name="Normal 890 2 5" xfId="58767"/>
    <cellStyle name="Normal 890 2 6" xfId="58768"/>
    <cellStyle name="Normal 890 2 7" xfId="58769"/>
    <cellStyle name="Normal 890 2 8" xfId="58770"/>
    <cellStyle name="Normal 890 3" xfId="25395"/>
    <cellStyle name="Normal 890 3 2" xfId="58771"/>
    <cellStyle name="Normal 890 3 2 2" xfId="58772"/>
    <cellStyle name="Normal 890 3 2 3" xfId="58773"/>
    <cellStyle name="Normal 890 3 3" xfId="58774"/>
    <cellStyle name="Normal 890 3 3 2" xfId="58775"/>
    <cellStyle name="Normal 890 3 3 3" xfId="58776"/>
    <cellStyle name="Normal 890 3 4" xfId="58777"/>
    <cellStyle name="Normal 890 3 5" xfId="58778"/>
    <cellStyle name="Normal 890 4" xfId="25396"/>
    <cellStyle name="Normal 890 4 2" xfId="58779"/>
    <cellStyle name="Normal 890 4 3" xfId="58780"/>
    <cellStyle name="Normal 890 5" xfId="25397"/>
    <cellStyle name="Normal 890 5 2" xfId="58781"/>
    <cellStyle name="Normal 890 5 3" xfId="58782"/>
    <cellStyle name="Normal 890 6" xfId="58783"/>
    <cellStyle name="Normal 890 7" xfId="58784"/>
    <cellStyle name="Normal 890 8" xfId="58785"/>
    <cellStyle name="Normal 890 9" xfId="58786"/>
    <cellStyle name="Normal 891" xfId="25398"/>
    <cellStyle name="Normal 891 10" xfId="58787"/>
    <cellStyle name="Normal 891 2" xfId="25399"/>
    <cellStyle name="Normal 891 2 2" xfId="25400"/>
    <cellStyle name="Normal 891 2 2 2" xfId="58788"/>
    <cellStyle name="Normal 891 2 2 3" xfId="58789"/>
    <cellStyle name="Normal 891 2 3" xfId="25401"/>
    <cellStyle name="Normal 891 2 3 2" xfId="58790"/>
    <cellStyle name="Normal 891 2 3 3" xfId="58791"/>
    <cellStyle name="Normal 891 2 4" xfId="58792"/>
    <cellStyle name="Normal 891 2 5" xfId="58793"/>
    <cellStyle name="Normal 891 2 6" xfId="58794"/>
    <cellStyle name="Normal 891 2 7" xfId="58795"/>
    <cellStyle name="Normal 891 2 8" xfId="58796"/>
    <cellStyle name="Normal 891 3" xfId="25402"/>
    <cellStyle name="Normal 891 3 2" xfId="58797"/>
    <cellStyle name="Normal 891 3 2 2" xfId="58798"/>
    <cellStyle name="Normal 891 3 2 3" xfId="58799"/>
    <cellStyle name="Normal 891 3 3" xfId="58800"/>
    <cellStyle name="Normal 891 3 3 2" xfId="58801"/>
    <cellStyle name="Normal 891 3 3 3" xfId="58802"/>
    <cellStyle name="Normal 891 3 4" xfId="58803"/>
    <cellStyle name="Normal 891 3 5" xfId="58804"/>
    <cellStyle name="Normal 891 4" xfId="25403"/>
    <cellStyle name="Normal 891 4 2" xfId="58805"/>
    <cellStyle name="Normal 891 4 3" xfId="58806"/>
    <cellStyle name="Normal 891 5" xfId="25404"/>
    <cellStyle name="Normal 891 5 2" xfId="58807"/>
    <cellStyle name="Normal 891 5 3" xfId="58808"/>
    <cellStyle name="Normal 891 6" xfId="58809"/>
    <cellStyle name="Normal 891 7" xfId="58810"/>
    <cellStyle name="Normal 891 8" xfId="58811"/>
    <cellStyle name="Normal 891 9" xfId="58812"/>
    <cellStyle name="Normal 892" xfId="25405"/>
    <cellStyle name="Normal 892 10" xfId="58813"/>
    <cellStyle name="Normal 892 2" xfId="25406"/>
    <cellStyle name="Normal 892 2 2" xfId="25407"/>
    <cellStyle name="Normal 892 2 2 2" xfId="58814"/>
    <cellStyle name="Normal 892 2 2 3" xfId="58815"/>
    <cellStyle name="Normal 892 2 3" xfId="25408"/>
    <cellStyle name="Normal 892 2 3 2" xfId="58816"/>
    <cellStyle name="Normal 892 2 3 3" xfId="58817"/>
    <cellStyle name="Normal 892 2 4" xfId="58818"/>
    <cellStyle name="Normal 892 2 5" xfId="58819"/>
    <cellStyle name="Normal 892 2 6" xfId="58820"/>
    <cellStyle name="Normal 892 2 7" xfId="58821"/>
    <cellStyle name="Normal 892 2 8" xfId="58822"/>
    <cellStyle name="Normal 892 3" xfId="25409"/>
    <cellStyle name="Normal 892 3 2" xfId="58823"/>
    <cellStyle name="Normal 892 3 2 2" xfId="58824"/>
    <cellStyle name="Normal 892 3 2 3" xfId="58825"/>
    <cellStyle name="Normal 892 3 3" xfId="58826"/>
    <cellStyle name="Normal 892 3 3 2" xfId="58827"/>
    <cellStyle name="Normal 892 3 3 3" xfId="58828"/>
    <cellStyle name="Normal 892 3 4" xfId="58829"/>
    <cellStyle name="Normal 892 3 5" xfId="58830"/>
    <cellStyle name="Normal 892 4" xfId="25410"/>
    <cellStyle name="Normal 892 4 2" xfId="58831"/>
    <cellStyle name="Normal 892 4 3" xfId="58832"/>
    <cellStyle name="Normal 892 5" xfId="25411"/>
    <cellStyle name="Normal 892 5 2" xfId="58833"/>
    <cellStyle name="Normal 892 5 3" xfId="58834"/>
    <cellStyle name="Normal 892 6" xfId="58835"/>
    <cellStyle name="Normal 892 7" xfId="58836"/>
    <cellStyle name="Normal 892 8" xfId="58837"/>
    <cellStyle name="Normal 892 9" xfId="58838"/>
    <cellStyle name="Normal 893" xfId="25412"/>
    <cellStyle name="Normal 893 10" xfId="58839"/>
    <cellStyle name="Normal 893 2" xfId="25413"/>
    <cellStyle name="Normal 893 2 2" xfId="25414"/>
    <cellStyle name="Normal 893 2 2 2" xfId="58840"/>
    <cellStyle name="Normal 893 2 2 3" xfId="58841"/>
    <cellStyle name="Normal 893 2 3" xfId="25415"/>
    <cellStyle name="Normal 893 2 3 2" xfId="58842"/>
    <cellStyle name="Normal 893 2 3 3" xfId="58843"/>
    <cellStyle name="Normal 893 2 4" xfId="58844"/>
    <cellStyle name="Normal 893 2 5" xfId="58845"/>
    <cellStyle name="Normal 893 2 6" xfId="58846"/>
    <cellStyle name="Normal 893 2 7" xfId="58847"/>
    <cellStyle name="Normal 893 2 8" xfId="58848"/>
    <cellStyle name="Normal 893 3" xfId="25416"/>
    <cellStyle name="Normal 893 3 2" xfId="58849"/>
    <cellStyle name="Normal 893 3 2 2" xfId="58850"/>
    <cellStyle name="Normal 893 3 2 3" xfId="58851"/>
    <cellStyle name="Normal 893 3 3" xfId="58852"/>
    <cellStyle name="Normal 893 3 3 2" xfId="58853"/>
    <cellStyle name="Normal 893 3 3 3" xfId="58854"/>
    <cellStyle name="Normal 893 3 4" xfId="58855"/>
    <cellStyle name="Normal 893 3 5" xfId="58856"/>
    <cellStyle name="Normal 893 4" xfId="25417"/>
    <cellStyle name="Normal 893 4 2" xfId="58857"/>
    <cellStyle name="Normal 893 4 3" xfId="58858"/>
    <cellStyle name="Normal 893 5" xfId="25418"/>
    <cellStyle name="Normal 893 5 2" xfId="58859"/>
    <cellStyle name="Normal 893 5 3" xfId="58860"/>
    <cellStyle name="Normal 893 6" xfId="58861"/>
    <cellStyle name="Normal 893 7" xfId="58862"/>
    <cellStyle name="Normal 893 8" xfId="58863"/>
    <cellStyle name="Normal 893 9" xfId="58864"/>
    <cellStyle name="Normal 894" xfId="25419"/>
    <cellStyle name="Normal 894 10" xfId="58865"/>
    <cellStyle name="Normal 894 2" xfId="25420"/>
    <cellStyle name="Normal 894 2 2" xfId="25421"/>
    <cellStyle name="Normal 894 2 2 2" xfId="58866"/>
    <cellStyle name="Normal 894 2 2 3" xfId="58867"/>
    <cellStyle name="Normal 894 2 3" xfId="25422"/>
    <cellStyle name="Normal 894 2 3 2" xfId="58868"/>
    <cellStyle name="Normal 894 2 3 3" xfId="58869"/>
    <cellStyle name="Normal 894 2 4" xfId="58870"/>
    <cellStyle name="Normal 894 2 5" xfId="58871"/>
    <cellStyle name="Normal 894 2 6" xfId="58872"/>
    <cellStyle name="Normal 894 2 7" xfId="58873"/>
    <cellStyle name="Normal 894 2 8" xfId="58874"/>
    <cellStyle name="Normal 894 3" xfId="25423"/>
    <cellStyle name="Normal 894 3 2" xfId="58875"/>
    <cellStyle name="Normal 894 3 2 2" xfId="58876"/>
    <cellStyle name="Normal 894 3 2 3" xfId="58877"/>
    <cellStyle name="Normal 894 3 3" xfId="58878"/>
    <cellStyle name="Normal 894 3 3 2" xfId="58879"/>
    <cellStyle name="Normal 894 3 3 3" xfId="58880"/>
    <cellStyle name="Normal 894 3 4" xfId="58881"/>
    <cellStyle name="Normal 894 3 5" xfId="58882"/>
    <cellStyle name="Normal 894 4" xfId="25424"/>
    <cellStyle name="Normal 894 4 2" xfId="58883"/>
    <cellStyle name="Normal 894 4 3" xfId="58884"/>
    <cellStyle name="Normal 894 5" xfId="25425"/>
    <cellStyle name="Normal 894 5 2" xfId="58885"/>
    <cellStyle name="Normal 894 5 3" xfId="58886"/>
    <cellStyle name="Normal 894 6" xfId="58887"/>
    <cellStyle name="Normal 894 7" xfId="58888"/>
    <cellStyle name="Normal 894 8" xfId="58889"/>
    <cellStyle name="Normal 894 9" xfId="58890"/>
    <cellStyle name="Normal 895" xfId="25426"/>
    <cellStyle name="Normal 895 10" xfId="58891"/>
    <cellStyle name="Normal 895 2" xfId="25427"/>
    <cellStyle name="Normal 895 2 2" xfId="25428"/>
    <cellStyle name="Normal 895 2 2 2" xfId="58892"/>
    <cellStyle name="Normal 895 2 2 3" xfId="58893"/>
    <cellStyle name="Normal 895 2 3" xfId="25429"/>
    <cellStyle name="Normal 895 2 3 2" xfId="58894"/>
    <cellStyle name="Normal 895 2 3 3" xfId="58895"/>
    <cellStyle name="Normal 895 2 4" xfId="58896"/>
    <cellStyle name="Normal 895 2 5" xfId="58897"/>
    <cellStyle name="Normal 895 2 6" xfId="58898"/>
    <cellStyle name="Normal 895 2 7" xfId="58899"/>
    <cellStyle name="Normal 895 2 8" xfId="58900"/>
    <cellStyle name="Normal 895 3" xfId="25430"/>
    <cellStyle name="Normal 895 3 2" xfId="58901"/>
    <cellStyle name="Normal 895 3 2 2" xfId="58902"/>
    <cellStyle name="Normal 895 3 2 3" xfId="58903"/>
    <cellStyle name="Normal 895 3 3" xfId="58904"/>
    <cellStyle name="Normal 895 3 3 2" xfId="58905"/>
    <cellStyle name="Normal 895 3 3 3" xfId="58906"/>
    <cellStyle name="Normal 895 3 4" xfId="58907"/>
    <cellStyle name="Normal 895 3 5" xfId="58908"/>
    <cellStyle name="Normal 895 4" xfId="25431"/>
    <cellStyle name="Normal 895 4 2" xfId="58909"/>
    <cellStyle name="Normal 895 4 3" xfId="58910"/>
    <cellStyle name="Normal 895 5" xfId="25432"/>
    <cellStyle name="Normal 895 5 2" xfId="58911"/>
    <cellStyle name="Normal 895 5 3" xfId="58912"/>
    <cellStyle name="Normal 895 6" xfId="58913"/>
    <cellStyle name="Normal 895 7" xfId="58914"/>
    <cellStyle name="Normal 895 8" xfId="58915"/>
    <cellStyle name="Normal 895 9" xfId="58916"/>
    <cellStyle name="Normal 896" xfId="25433"/>
    <cellStyle name="Normal 896 10" xfId="58917"/>
    <cellStyle name="Normal 896 2" xfId="25434"/>
    <cellStyle name="Normal 896 2 2" xfId="25435"/>
    <cellStyle name="Normal 896 2 2 2" xfId="58918"/>
    <cellStyle name="Normal 896 2 2 3" xfId="58919"/>
    <cellStyle name="Normal 896 2 3" xfId="25436"/>
    <cellStyle name="Normal 896 2 3 2" xfId="58920"/>
    <cellStyle name="Normal 896 2 3 3" xfId="58921"/>
    <cellStyle name="Normal 896 2 4" xfId="58922"/>
    <cellStyle name="Normal 896 2 5" xfId="58923"/>
    <cellStyle name="Normal 896 2 6" xfId="58924"/>
    <cellStyle name="Normal 896 2 7" xfId="58925"/>
    <cellStyle name="Normal 896 2 8" xfId="58926"/>
    <cellStyle name="Normal 896 3" xfId="25437"/>
    <cellStyle name="Normal 896 3 2" xfId="58927"/>
    <cellStyle name="Normal 896 3 2 2" xfId="58928"/>
    <cellStyle name="Normal 896 3 2 3" xfId="58929"/>
    <cellStyle name="Normal 896 3 3" xfId="58930"/>
    <cellStyle name="Normal 896 3 3 2" xfId="58931"/>
    <cellStyle name="Normal 896 3 3 3" xfId="58932"/>
    <cellStyle name="Normal 896 3 4" xfId="58933"/>
    <cellStyle name="Normal 896 3 5" xfId="58934"/>
    <cellStyle name="Normal 896 4" xfId="25438"/>
    <cellStyle name="Normal 896 4 2" xfId="58935"/>
    <cellStyle name="Normal 896 4 3" xfId="58936"/>
    <cellStyle name="Normal 896 5" xfId="25439"/>
    <cellStyle name="Normal 896 5 2" xfId="58937"/>
    <cellStyle name="Normal 896 5 3" xfId="58938"/>
    <cellStyle name="Normal 896 6" xfId="58939"/>
    <cellStyle name="Normal 896 7" xfId="58940"/>
    <cellStyle name="Normal 896 8" xfId="58941"/>
    <cellStyle name="Normal 896 9" xfId="58942"/>
    <cellStyle name="Normal 897" xfId="25440"/>
    <cellStyle name="Normal 897 10" xfId="58943"/>
    <cellStyle name="Normal 897 2" xfId="25441"/>
    <cellStyle name="Normal 897 2 2" xfId="25442"/>
    <cellStyle name="Normal 897 2 2 2" xfId="58944"/>
    <cellStyle name="Normal 897 2 2 3" xfId="58945"/>
    <cellStyle name="Normal 897 2 3" xfId="25443"/>
    <cellStyle name="Normal 897 2 3 2" xfId="58946"/>
    <cellStyle name="Normal 897 2 3 3" xfId="58947"/>
    <cellStyle name="Normal 897 2 4" xfId="58948"/>
    <cellStyle name="Normal 897 2 5" xfId="58949"/>
    <cellStyle name="Normal 897 2 6" xfId="58950"/>
    <cellStyle name="Normal 897 2 7" xfId="58951"/>
    <cellStyle name="Normal 897 2 8" xfId="58952"/>
    <cellStyle name="Normal 897 3" xfId="25444"/>
    <cellStyle name="Normal 897 3 2" xfId="58953"/>
    <cellStyle name="Normal 897 3 2 2" xfId="58954"/>
    <cellStyle name="Normal 897 3 2 3" xfId="58955"/>
    <cellStyle name="Normal 897 3 3" xfId="58956"/>
    <cellStyle name="Normal 897 3 3 2" xfId="58957"/>
    <cellStyle name="Normal 897 3 3 3" xfId="58958"/>
    <cellStyle name="Normal 897 3 4" xfId="58959"/>
    <cellStyle name="Normal 897 3 5" xfId="58960"/>
    <cellStyle name="Normal 897 4" xfId="25445"/>
    <cellStyle name="Normal 897 4 2" xfId="58961"/>
    <cellStyle name="Normal 897 4 3" xfId="58962"/>
    <cellStyle name="Normal 897 5" xfId="25446"/>
    <cellStyle name="Normal 897 5 2" xfId="58963"/>
    <cellStyle name="Normal 897 5 3" xfId="58964"/>
    <cellStyle name="Normal 897 6" xfId="58965"/>
    <cellStyle name="Normal 897 7" xfId="58966"/>
    <cellStyle name="Normal 897 8" xfId="58967"/>
    <cellStyle name="Normal 897 9" xfId="58968"/>
    <cellStyle name="Normal 898" xfId="25447"/>
    <cellStyle name="Normal 898 10" xfId="58969"/>
    <cellStyle name="Normal 898 2" xfId="25448"/>
    <cellStyle name="Normal 898 2 2" xfId="25449"/>
    <cellStyle name="Normal 898 2 2 2" xfId="58970"/>
    <cellStyle name="Normal 898 2 2 3" xfId="58971"/>
    <cellStyle name="Normal 898 2 3" xfId="25450"/>
    <cellStyle name="Normal 898 2 3 2" xfId="58972"/>
    <cellStyle name="Normal 898 2 3 3" xfId="58973"/>
    <cellStyle name="Normal 898 2 4" xfId="58974"/>
    <cellStyle name="Normal 898 2 5" xfId="58975"/>
    <cellStyle name="Normal 898 2 6" xfId="58976"/>
    <cellStyle name="Normal 898 2 7" xfId="58977"/>
    <cellStyle name="Normal 898 2 8" xfId="58978"/>
    <cellStyle name="Normal 898 3" xfId="25451"/>
    <cellStyle name="Normal 898 3 2" xfId="58979"/>
    <cellStyle name="Normal 898 3 2 2" xfId="58980"/>
    <cellStyle name="Normal 898 3 2 3" xfId="58981"/>
    <cellStyle name="Normal 898 3 3" xfId="58982"/>
    <cellStyle name="Normal 898 3 3 2" xfId="58983"/>
    <cellStyle name="Normal 898 3 3 3" xfId="58984"/>
    <cellStyle name="Normal 898 3 4" xfId="58985"/>
    <cellStyle name="Normal 898 3 5" xfId="58986"/>
    <cellStyle name="Normal 898 4" xfId="25452"/>
    <cellStyle name="Normal 898 4 2" xfId="58987"/>
    <cellStyle name="Normal 898 4 3" xfId="58988"/>
    <cellStyle name="Normal 898 5" xfId="25453"/>
    <cellStyle name="Normal 898 5 2" xfId="58989"/>
    <cellStyle name="Normal 898 5 3" xfId="58990"/>
    <cellStyle name="Normal 898 6" xfId="58991"/>
    <cellStyle name="Normal 898 7" xfId="58992"/>
    <cellStyle name="Normal 898 8" xfId="58993"/>
    <cellStyle name="Normal 898 9" xfId="58994"/>
    <cellStyle name="Normal 899" xfId="25454"/>
    <cellStyle name="Normal 899 10" xfId="58995"/>
    <cellStyle name="Normal 899 2" xfId="25455"/>
    <cellStyle name="Normal 899 2 2" xfId="25456"/>
    <cellStyle name="Normal 899 2 2 2" xfId="58996"/>
    <cellStyle name="Normal 899 2 2 3" xfId="58997"/>
    <cellStyle name="Normal 899 2 3" xfId="25457"/>
    <cellStyle name="Normal 899 2 3 2" xfId="58998"/>
    <cellStyle name="Normal 899 2 3 3" xfId="58999"/>
    <cellStyle name="Normal 899 2 4" xfId="59000"/>
    <cellStyle name="Normal 899 2 5" xfId="59001"/>
    <cellStyle name="Normal 899 2 6" xfId="59002"/>
    <cellStyle name="Normal 899 2 7" xfId="59003"/>
    <cellStyle name="Normal 899 2 8" xfId="59004"/>
    <cellStyle name="Normal 899 3" xfId="25458"/>
    <cellStyle name="Normal 899 3 2" xfId="59005"/>
    <cellStyle name="Normal 899 3 2 2" xfId="59006"/>
    <cellStyle name="Normal 899 3 2 3" xfId="59007"/>
    <cellStyle name="Normal 899 3 3" xfId="59008"/>
    <cellStyle name="Normal 899 3 3 2" xfId="59009"/>
    <cellStyle name="Normal 899 3 3 3" xfId="59010"/>
    <cellStyle name="Normal 899 3 4" xfId="59011"/>
    <cellStyle name="Normal 899 3 5" xfId="59012"/>
    <cellStyle name="Normal 899 4" xfId="25459"/>
    <cellStyle name="Normal 899 4 2" xfId="59013"/>
    <cellStyle name="Normal 899 4 3" xfId="59014"/>
    <cellStyle name="Normal 899 5" xfId="25460"/>
    <cellStyle name="Normal 899 5 2" xfId="59015"/>
    <cellStyle name="Normal 899 5 3" xfId="59016"/>
    <cellStyle name="Normal 899 6" xfId="59017"/>
    <cellStyle name="Normal 899 7" xfId="59018"/>
    <cellStyle name="Normal 899 8" xfId="59019"/>
    <cellStyle name="Normal 899 9" xfId="59020"/>
    <cellStyle name="Normal 9" xfId="25461"/>
    <cellStyle name="Normal 9 10" xfId="59021"/>
    <cellStyle name="Normal 9 2" xfId="25462"/>
    <cellStyle name="Normal 9 2 2" xfId="25463"/>
    <cellStyle name="Normal 9 2 2 2" xfId="25464"/>
    <cellStyle name="Normal 9 2 2 3" xfId="25465"/>
    <cellStyle name="Normal 9 2 3" xfId="25466"/>
    <cellStyle name="Normal 9 2 3 2" xfId="59022"/>
    <cellStyle name="Normal 9 2 3 3" xfId="59023"/>
    <cellStyle name="Normal 9 2 4" xfId="25467"/>
    <cellStyle name="Normal 9 2 5" xfId="59024"/>
    <cellStyle name="Normal 9 2 6" xfId="59025"/>
    <cellStyle name="Normal 9 2 7" xfId="59026"/>
    <cellStyle name="Normal 9 2 8" xfId="59027"/>
    <cellStyle name="Normal 9 3" xfId="25468"/>
    <cellStyle name="Normal 9 3 2" xfId="25469"/>
    <cellStyle name="Normal 9 3 2 2" xfId="59028"/>
    <cellStyle name="Normal 9 3 2 3" xfId="59029"/>
    <cellStyle name="Normal 9 3 3" xfId="25470"/>
    <cellStyle name="Normal 9 3 3 2" xfId="59030"/>
    <cellStyle name="Normal 9 3 3 3" xfId="59031"/>
    <cellStyle name="Normal 9 3 4" xfId="59032"/>
    <cellStyle name="Normal 9 3 5" xfId="59033"/>
    <cellStyle name="Normal 9 4" xfId="25471"/>
    <cellStyle name="Normal 9 4 2" xfId="59034"/>
    <cellStyle name="Normal 9 4 3" xfId="59035"/>
    <cellStyle name="Normal 9 5" xfId="25472"/>
    <cellStyle name="Normal 9 5 2" xfId="59036"/>
    <cellStyle name="Normal 9 5 3" xfId="59037"/>
    <cellStyle name="Normal 9 6" xfId="59038"/>
    <cellStyle name="Normal 9 7" xfId="59039"/>
    <cellStyle name="Normal 9 8" xfId="59040"/>
    <cellStyle name="Normal 9 9" xfId="59041"/>
    <cellStyle name="Normal 90" xfId="25473"/>
    <cellStyle name="Normal 90 10" xfId="59042"/>
    <cellStyle name="Normal 90 2" xfId="25474"/>
    <cellStyle name="Normal 90 2 2" xfId="25475"/>
    <cellStyle name="Normal 90 2 2 2" xfId="25476"/>
    <cellStyle name="Normal 90 2 2 3" xfId="25477"/>
    <cellStyle name="Normal 90 2 2 4" xfId="59043"/>
    <cellStyle name="Normal 90 2 2 5" xfId="59044"/>
    <cellStyle name="Normal 90 2 2 6" xfId="59045"/>
    <cellStyle name="Normal 90 2 3" xfId="25478"/>
    <cellStyle name="Normal 90 2 3 2" xfId="59046"/>
    <cellStyle name="Normal 90 2 3 3" xfId="59047"/>
    <cellStyle name="Normal 90 2 4" xfId="25479"/>
    <cellStyle name="Normal 90 2 5" xfId="25480"/>
    <cellStyle name="Normal 90 2 6" xfId="59048"/>
    <cellStyle name="Normal 90 2 7" xfId="59049"/>
    <cellStyle name="Normal 90 2 8" xfId="59050"/>
    <cellStyle name="Normal 90 3" xfId="25481"/>
    <cellStyle name="Normal 90 3 2" xfId="25482"/>
    <cellStyle name="Normal 90 3 2 2" xfId="59051"/>
    <cellStyle name="Normal 90 3 2 3" xfId="59052"/>
    <cellStyle name="Normal 90 3 3" xfId="25483"/>
    <cellStyle name="Normal 90 3 3 2" xfId="59053"/>
    <cellStyle name="Normal 90 3 3 3" xfId="59054"/>
    <cellStyle name="Normal 90 3 4" xfId="59055"/>
    <cellStyle name="Normal 90 3 5" xfId="59056"/>
    <cellStyle name="Normal 90 4" xfId="25484"/>
    <cellStyle name="Normal 90 4 2" xfId="59057"/>
    <cellStyle name="Normal 90 4 3" xfId="59058"/>
    <cellStyle name="Normal 90 5" xfId="25485"/>
    <cellStyle name="Normal 90 5 2" xfId="59059"/>
    <cellStyle name="Normal 90 5 3" xfId="59060"/>
    <cellStyle name="Normal 90 6" xfId="25486"/>
    <cellStyle name="Normal 90 7" xfId="59061"/>
    <cellStyle name="Normal 90 8" xfId="59062"/>
    <cellStyle name="Normal 90 9" xfId="59063"/>
    <cellStyle name="Normal 900" xfId="25487"/>
    <cellStyle name="Normal 900 10" xfId="59064"/>
    <cellStyle name="Normal 900 2" xfId="25488"/>
    <cellStyle name="Normal 900 2 2" xfId="25489"/>
    <cellStyle name="Normal 900 2 2 2" xfId="59065"/>
    <cellStyle name="Normal 900 2 2 3" xfId="59066"/>
    <cellStyle name="Normal 900 2 3" xfId="25490"/>
    <cellStyle name="Normal 900 2 3 2" xfId="59067"/>
    <cellStyle name="Normal 900 2 3 3" xfId="59068"/>
    <cellStyle name="Normal 900 2 4" xfId="59069"/>
    <cellStyle name="Normal 900 2 5" xfId="59070"/>
    <cellStyle name="Normal 900 2 6" xfId="59071"/>
    <cellStyle name="Normal 900 2 7" xfId="59072"/>
    <cellStyle name="Normal 900 2 8" xfId="59073"/>
    <cellStyle name="Normal 900 3" xfId="25491"/>
    <cellStyle name="Normal 900 3 2" xfId="59074"/>
    <cellStyle name="Normal 900 3 2 2" xfId="59075"/>
    <cellStyle name="Normal 900 3 2 3" xfId="59076"/>
    <cellStyle name="Normal 900 3 3" xfId="59077"/>
    <cellStyle name="Normal 900 3 3 2" xfId="59078"/>
    <cellStyle name="Normal 900 3 3 3" xfId="59079"/>
    <cellStyle name="Normal 900 3 4" xfId="59080"/>
    <cellStyle name="Normal 900 3 5" xfId="59081"/>
    <cellStyle name="Normal 900 4" xfId="25492"/>
    <cellStyle name="Normal 900 4 2" xfId="59082"/>
    <cellStyle name="Normal 900 4 3" xfId="59083"/>
    <cellStyle name="Normal 900 5" xfId="25493"/>
    <cellStyle name="Normal 900 5 2" xfId="59084"/>
    <cellStyle name="Normal 900 5 3" xfId="59085"/>
    <cellStyle name="Normal 900 6" xfId="59086"/>
    <cellStyle name="Normal 900 7" xfId="59087"/>
    <cellStyle name="Normal 900 8" xfId="59088"/>
    <cellStyle name="Normal 900 9" xfId="59089"/>
    <cellStyle name="Normal 901" xfId="25494"/>
    <cellStyle name="Normal 901 10" xfId="59090"/>
    <cellStyle name="Normal 901 2" xfId="25495"/>
    <cellStyle name="Normal 901 2 2" xfId="25496"/>
    <cellStyle name="Normal 901 2 2 2" xfId="59091"/>
    <cellStyle name="Normal 901 2 2 3" xfId="59092"/>
    <cellStyle name="Normal 901 2 3" xfId="25497"/>
    <cellStyle name="Normal 901 2 3 2" xfId="59093"/>
    <cellStyle name="Normal 901 2 3 3" xfId="59094"/>
    <cellStyle name="Normal 901 2 4" xfId="59095"/>
    <cellStyle name="Normal 901 2 5" xfId="59096"/>
    <cellStyle name="Normal 901 2 6" xfId="59097"/>
    <cellStyle name="Normal 901 2 7" xfId="59098"/>
    <cellStyle name="Normal 901 2 8" xfId="59099"/>
    <cellStyle name="Normal 901 3" xfId="25498"/>
    <cellStyle name="Normal 901 3 2" xfId="59100"/>
    <cellStyle name="Normal 901 3 2 2" xfId="59101"/>
    <cellStyle name="Normal 901 3 2 3" xfId="59102"/>
    <cellStyle name="Normal 901 3 3" xfId="59103"/>
    <cellStyle name="Normal 901 3 3 2" xfId="59104"/>
    <cellStyle name="Normal 901 3 3 3" xfId="59105"/>
    <cellStyle name="Normal 901 3 4" xfId="59106"/>
    <cellStyle name="Normal 901 3 5" xfId="59107"/>
    <cellStyle name="Normal 901 4" xfId="25499"/>
    <cellStyle name="Normal 901 4 2" xfId="59108"/>
    <cellStyle name="Normal 901 4 3" xfId="59109"/>
    <cellStyle name="Normal 901 5" xfId="25500"/>
    <cellStyle name="Normal 901 5 2" xfId="59110"/>
    <cellStyle name="Normal 901 5 3" xfId="59111"/>
    <cellStyle name="Normal 901 6" xfId="59112"/>
    <cellStyle name="Normal 901 7" xfId="59113"/>
    <cellStyle name="Normal 901 8" xfId="59114"/>
    <cellStyle name="Normal 901 9" xfId="59115"/>
    <cellStyle name="Normal 902" xfId="25501"/>
    <cellStyle name="Normal 902 10" xfId="59116"/>
    <cellStyle name="Normal 902 2" xfId="25502"/>
    <cellStyle name="Normal 902 2 2" xfId="25503"/>
    <cellStyle name="Normal 902 2 2 2" xfId="59117"/>
    <cellStyle name="Normal 902 2 2 3" xfId="59118"/>
    <cellStyle name="Normal 902 2 3" xfId="25504"/>
    <cellStyle name="Normal 902 2 3 2" xfId="59119"/>
    <cellStyle name="Normal 902 2 3 3" xfId="59120"/>
    <cellStyle name="Normal 902 2 4" xfId="59121"/>
    <cellStyle name="Normal 902 2 5" xfId="59122"/>
    <cellStyle name="Normal 902 2 6" xfId="59123"/>
    <cellStyle name="Normal 902 2 7" xfId="59124"/>
    <cellStyle name="Normal 902 2 8" xfId="59125"/>
    <cellStyle name="Normal 902 3" xfId="25505"/>
    <cellStyle name="Normal 902 3 2" xfId="59126"/>
    <cellStyle name="Normal 902 3 2 2" xfId="59127"/>
    <cellStyle name="Normal 902 3 2 3" xfId="59128"/>
    <cellStyle name="Normal 902 3 3" xfId="59129"/>
    <cellStyle name="Normal 902 3 3 2" xfId="59130"/>
    <cellStyle name="Normal 902 3 3 3" xfId="59131"/>
    <cellStyle name="Normal 902 3 4" xfId="59132"/>
    <cellStyle name="Normal 902 3 5" xfId="59133"/>
    <cellStyle name="Normal 902 4" xfId="25506"/>
    <cellStyle name="Normal 902 4 2" xfId="59134"/>
    <cellStyle name="Normal 902 4 3" xfId="59135"/>
    <cellStyle name="Normal 902 5" xfId="25507"/>
    <cellStyle name="Normal 902 5 2" xfId="59136"/>
    <cellStyle name="Normal 902 5 3" xfId="59137"/>
    <cellStyle name="Normal 902 6" xfId="59138"/>
    <cellStyle name="Normal 902 7" xfId="59139"/>
    <cellStyle name="Normal 902 8" xfId="59140"/>
    <cellStyle name="Normal 902 9" xfId="59141"/>
    <cellStyle name="Normal 903" xfId="25508"/>
    <cellStyle name="Normal 903 10" xfId="59142"/>
    <cellStyle name="Normal 903 2" xfId="25509"/>
    <cellStyle name="Normal 903 2 2" xfId="25510"/>
    <cellStyle name="Normal 903 2 2 2" xfId="59143"/>
    <cellStyle name="Normal 903 2 2 3" xfId="59144"/>
    <cellStyle name="Normal 903 2 3" xfId="25511"/>
    <cellStyle name="Normal 903 2 3 2" xfId="59145"/>
    <cellStyle name="Normal 903 2 3 3" xfId="59146"/>
    <cellStyle name="Normal 903 2 4" xfId="59147"/>
    <cellStyle name="Normal 903 2 5" xfId="59148"/>
    <cellStyle name="Normal 903 2 6" xfId="59149"/>
    <cellStyle name="Normal 903 2 7" xfId="59150"/>
    <cellStyle name="Normal 903 2 8" xfId="59151"/>
    <cellStyle name="Normal 903 3" xfId="25512"/>
    <cellStyle name="Normal 903 3 2" xfId="59152"/>
    <cellStyle name="Normal 903 3 2 2" xfId="59153"/>
    <cellStyle name="Normal 903 3 2 3" xfId="59154"/>
    <cellStyle name="Normal 903 3 3" xfId="59155"/>
    <cellStyle name="Normal 903 3 3 2" xfId="59156"/>
    <cellStyle name="Normal 903 3 3 3" xfId="59157"/>
    <cellStyle name="Normal 903 3 4" xfId="59158"/>
    <cellStyle name="Normal 903 3 5" xfId="59159"/>
    <cellStyle name="Normal 903 4" xfId="25513"/>
    <cellStyle name="Normal 903 4 2" xfId="59160"/>
    <cellStyle name="Normal 903 4 3" xfId="59161"/>
    <cellStyle name="Normal 903 5" xfId="25514"/>
    <cellStyle name="Normal 903 5 2" xfId="59162"/>
    <cellStyle name="Normal 903 5 3" xfId="59163"/>
    <cellStyle name="Normal 903 6" xfId="59164"/>
    <cellStyle name="Normal 903 7" xfId="59165"/>
    <cellStyle name="Normal 903 8" xfId="59166"/>
    <cellStyle name="Normal 903 9" xfId="59167"/>
    <cellStyle name="Normal 904" xfId="25515"/>
    <cellStyle name="Normal 904 10" xfId="59168"/>
    <cellStyle name="Normal 904 2" xfId="25516"/>
    <cellStyle name="Normal 904 2 2" xfId="25517"/>
    <cellStyle name="Normal 904 2 2 2" xfId="59169"/>
    <cellStyle name="Normal 904 2 2 3" xfId="59170"/>
    <cellStyle name="Normal 904 2 3" xfId="25518"/>
    <cellStyle name="Normal 904 2 3 2" xfId="59171"/>
    <cellStyle name="Normal 904 2 3 3" xfId="59172"/>
    <cellStyle name="Normal 904 2 4" xfId="59173"/>
    <cellStyle name="Normal 904 2 5" xfId="59174"/>
    <cellStyle name="Normal 904 2 6" xfId="59175"/>
    <cellStyle name="Normal 904 2 7" xfId="59176"/>
    <cellStyle name="Normal 904 2 8" xfId="59177"/>
    <cellStyle name="Normal 904 3" xfId="25519"/>
    <cellStyle name="Normal 904 3 2" xfId="59178"/>
    <cellStyle name="Normal 904 3 2 2" xfId="59179"/>
    <cellStyle name="Normal 904 3 2 3" xfId="59180"/>
    <cellStyle name="Normal 904 3 3" xfId="59181"/>
    <cellStyle name="Normal 904 3 3 2" xfId="59182"/>
    <cellStyle name="Normal 904 3 3 3" xfId="59183"/>
    <cellStyle name="Normal 904 3 4" xfId="59184"/>
    <cellStyle name="Normal 904 3 5" xfId="59185"/>
    <cellStyle name="Normal 904 4" xfId="25520"/>
    <cellStyle name="Normal 904 4 2" xfId="59186"/>
    <cellStyle name="Normal 904 4 3" xfId="59187"/>
    <cellStyle name="Normal 904 5" xfId="25521"/>
    <cellStyle name="Normal 904 5 2" xfId="59188"/>
    <cellStyle name="Normal 904 5 3" xfId="59189"/>
    <cellStyle name="Normal 904 6" xfId="59190"/>
    <cellStyle name="Normal 904 7" xfId="59191"/>
    <cellStyle name="Normal 904 8" xfId="59192"/>
    <cellStyle name="Normal 904 9" xfId="59193"/>
    <cellStyle name="Normal 905" xfId="25522"/>
    <cellStyle name="Normal 905 10" xfId="59194"/>
    <cellStyle name="Normal 905 2" xfId="25523"/>
    <cellStyle name="Normal 905 2 2" xfId="25524"/>
    <cellStyle name="Normal 905 2 2 2" xfId="59195"/>
    <cellStyle name="Normal 905 2 2 3" xfId="59196"/>
    <cellStyle name="Normal 905 2 3" xfId="25525"/>
    <cellStyle name="Normal 905 2 3 2" xfId="59197"/>
    <cellStyle name="Normal 905 2 3 3" xfId="59198"/>
    <cellStyle name="Normal 905 2 4" xfId="59199"/>
    <cellStyle name="Normal 905 2 5" xfId="59200"/>
    <cellStyle name="Normal 905 2 6" xfId="59201"/>
    <cellStyle name="Normal 905 2 7" xfId="59202"/>
    <cellStyle name="Normal 905 2 8" xfId="59203"/>
    <cellStyle name="Normal 905 3" xfId="25526"/>
    <cellStyle name="Normal 905 3 2" xfId="59204"/>
    <cellStyle name="Normal 905 3 2 2" xfId="59205"/>
    <cellStyle name="Normal 905 3 2 3" xfId="59206"/>
    <cellStyle name="Normal 905 3 3" xfId="59207"/>
    <cellStyle name="Normal 905 3 3 2" xfId="59208"/>
    <cellStyle name="Normal 905 3 3 3" xfId="59209"/>
    <cellStyle name="Normal 905 3 4" xfId="59210"/>
    <cellStyle name="Normal 905 3 5" xfId="59211"/>
    <cellStyle name="Normal 905 4" xfId="25527"/>
    <cellStyle name="Normal 905 4 2" xfId="59212"/>
    <cellStyle name="Normal 905 4 3" xfId="59213"/>
    <cellStyle name="Normal 905 5" xfId="25528"/>
    <cellStyle name="Normal 905 5 2" xfId="59214"/>
    <cellStyle name="Normal 905 5 3" xfId="59215"/>
    <cellStyle name="Normal 905 6" xfId="59216"/>
    <cellStyle name="Normal 905 7" xfId="59217"/>
    <cellStyle name="Normal 905 8" xfId="59218"/>
    <cellStyle name="Normal 905 9" xfId="59219"/>
    <cellStyle name="Normal 906" xfId="25529"/>
    <cellStyle name="Normal 906 10" xfId="59220"/>
    <cellStyle name="Normal 906 2" xfId="25530"/>
    <cellStyle name="Normal 906 2 2" xfId="25531"/>
    <cellStyle name="Normal 906 2 2 2" xfId="59221"/>
    <cellStyle name="Normal 906 2 2 3" xfId="59222"/>
    <cellStyle name="Normal 906 2 3" xfId="25532"/>
    <cellStyle name="Normal 906 2 3 2" xfId="59223"/>
    <cellStyle name="Normal 906 2 3 3" xfId="59224"/>
    <cellStyle name="Normal 906 2 4" xfId="59225"/>
    <cellStyle name="Normal 906 2 5" xfId="59226"/>
    <cellStyle name="Normal 906 2 6" xfId="59227"/>
    <cellStyle name="Normal 906 2 7" xfId="59228"/>
    <cellStyle name="Normal 906 2 8" xfId="59229"/>
    <cellStyle name="Normal 906 3" xfId="25533"/>
    <cellStyle name="Normal 906 3 2" xfId="59230"/>
    <cellStyle name="Normal 906 3 2 2" xfId="59231"/>
    <cellStyle name="Normal 906 3 2 3" xfId="59232"/>
    <cellStyle name="Normal 906 3 3" xfId="59233"/>
    <cellStyle name="Normal 906 3 3 2" xfId="59234"/>
    <cellStyle name="Normal 906 3 3 3" xfId="59235"/>
    <cellStyle name="Normal 906 3 4" xfId="59236"/>
    <cellStyle name="Normal 906 3 5" xfId="59237"/>
    <cellStyle name="Normal 906 4" xfId="25534"/>
    <cellStyle name="Normal 906 4 2" xfId="59238"/>
    <cellStyle name="Normal 906 4 3" xfId="59239"/>
    <cellStyle name="Normal 906 5" xfId="25535"/>
    <cellStyle name="Normal 906 5 2" xfId="59240"/>
    <cellStyle name="Normal 906 5 3" xfId="59241"/>
    <cellStyle name="Normal 906 6" xfId="59242"/>
    <cellStyle name="Normal 906 7" xfId="59243"/>
    <cellStyle name="Normal 906 8" xfId="59244"/>
    <cellStyle name="Normal 906 9" xfId="59245"/>
    <cellStyle name="Normal 907" xfId="25536"/>
    <cellStyle name="Normal 907 10" xfId="59246"/>
    <cellStyle name="Normal 907 2" xfId="25537"/>
    <cellStyle name="Normal 907 2 2" xfId="25538"/>
    <cellStyle name="Normal 907 2 2 2" xfId="59247"/>
    <cellStyle name="Normal 907 2 2 3" xfId="59248"/>
    <cellStyle name="Normal 907 2 3" xfId="25539"/>
    <cellStyle name="Normal 907 2 3 2" xfId="59249"/>
    <cellStyle name="Normal 907 2 3 3" xfId="59250"/>
    <cellStyle name="Normal 907 2 4" xfId="59251"/>
    <cellStyle name="Normal 907 2 5" xfId="59252"/>
    <cellStyle name="Normal 907 2 6" xfId="59253"/>
    <cellStyle name="Normal 907 2 7" xfId="59254"/>
    <cellStyle name="Normal 907 2 8" xfId="59255"/>
    <cellStyle name="Normal 907 3" xfId="25540"/>
    <cellStyle name="Normal 907 3 2" xfId="59256"/>
    <cellStyle name="Normal 907 3 2 2" xfId="59257"/>
    <cellStyle name="Normal 907 3 2 3" xfId="59258"/>
    <cellStyle name="Normal 907 3 3" xfId="59259"/>
    <cellStyle name="Normal 907 3 3 2" xfId="59260"/>
    <cellStyle name="Normal 907 3 3 3" xfId="59261"/>
    <cellStyle name="Normal 907 3 4" xfId="59262"/>
    <cellStyle name="Normal 907 3 5" xfId="59263"/>
    <cellStyle name="Normal 907 4" xfId="25541"/>
    <cellStyle name="Normal 907 4 2" xfId="59264"/>
    <cellStyle name="Normal 907 4 3" xfId="59265"/>
    <cellStyle name="Normal 907 5" xfId="25542"/>
    <cellStyle name="Normal 907 5 2" xfId="59266"/>
    <cellStyle name="Normal 907 5 3" xfId="59267"/>
    <cellStyle name="Normal 907 6" xfId="59268"/>
    <cellStyle name="Normal 907 7" xfId="59269"/>
    <cellStyle name="Normal 907 8" xfId="59270"/>
    <cellStyle name="Normal 907 9" xfId="59271"/>
    <cellStyle name="Normal 908" xfId="25543"/>
    <cellStyle name="Normal 908 10" xfId="59272"/>
    <cellStyle name="Normal 908 2" xfId="25544"/>
    <cellStyle name="Normal 908 2 2" xfId="25545"/>
    <cellStyle name="Normal 908 2 2 2" xfId="59273"/>
    <cellStyle name="Normal 908 2 2 3" xfId="59274"/>
    <cellStyle name="Normal 908 2 3" xfId="25546"/>
    <cellStyle name="Normal 908 2 3 2" xfId="59275"/>
    <cellStyle name="Normal 908 2 3 3" xfId="59276"/>
    <cellStyle name="Normal 908 2 4" xfId="59277"/>
    <cellStyle name="Normal 908 2 5" xfId="59278"/>
    <cellStyle name="Normal 908 2 6" xfId="59279"/>
    <cellStyle name="Normal 908 2 7" xfId="59280"/>
    <cellStyle name="Normal 908 2 8" xfId="59281"/>
    <cellStyle name="Normal 908 3" xfId="25547"/>
    <cellStyle name="Normal 908 3 2" xfId="59282"/>
    <cellStyle name="Normal 908 3 2 2" xfId="59283"/>
    <cellStyle name="Normal 908 3 2 3" xfId="59284"/>
    <cellStyle name="Normal 908 3 3" xfId="59285"/>
    <cellStyle name="Normal 908 3 3 2" xfId="59286"/>
    <cellStyle name="Normal 908 3 3 3" xfId="59287"/>
    <cellStyle name="Normal 908 3 4" xfId="59288"/>
    <cellStyle name="Normal 908 3 5" xfId="59289"/>
    <cellStyle name="Normal 908 4" xfId="25548"/>
    <cellStyle name="Normal 908 4 2" xfId="59290"/>
    <cellStyle name="Normal 908 4 3" xfId="59291"/>
    <cellStyle name="Normal 908 5" xfId="25549"/>
    <cellStyle name="Normal 908 5 2" xfId="59292"/>
    <cellStyle name="Normal 908 5 3" xfId="59293"/>
    <cellStyle name="Normal 908 6" xfId="59294"/>
    <cellStyle name="Normal 908 7" xfId="59295"/>
    <cellStyle name="Normal 908 8" xfId="59296"/>
    <cellStyle name="Normal 908 9" xfId="59297"/>
    <cellStyle name="Normal 909" xfId="25550"/>
    <cellStyle name="Normal 909 10" xfId="59298"/>
    <cellStyle name="Normal 909 2" xfId="25551"/>
    <cellStyle name="Normal 909 2 2" xfId="25552"/>
    <cellStyle name="Normal 909 2 2 2" xfId="59299"/>
    <cellStyle name="Normal 909 2 2 3" xfId="59300"/>
    <cellStyle name="Normal 909 2 3" xfId="25553"/>
    <cellStyle name="Normal 909 2 3 2" xfId="59301"/>
    <cellStyle name="Normal 909 2 3 3" xfId="59302"/>
    <cellStyle name="Normal 909 2 4" xfId="59303"/>
    <cellStyle name="Normal 909 2 5" xfId="59304"/>
    <cellStyle name="Normal 909 2 6" xfId="59305"/>
    <cellStyle name="Normal 909 2 7" xfId="59306"/>
    <cellStyle name="Normal 909 2 8" xfId="59307"/>
    <cellStyle name="Normal 909 3" xfId="25554"/>
    <cellStyle name="Normal 909 3 2" xfId="59308"/>
    <cellStyle name="Normal 909 3 2 2" xfId="59309"/>
    <cellStyle name="Normal 909 3 2 3" xfId="59310"/>
    <cellStyle name="Normal 909 3 3" xfId="59311"/>
    <cellStyle name="Normal 909 3 3 2" xfId="59312"/>
    <cellStyle name="Normal 909 3 3 3" xfId="59313"/>
    <cellStyle name="Normal 909 3 4" xfId="59314"/>
    <cellStyle name="Normal 909 3 5" xfId="59315"/>
    <cellStyle name="Normal 909 4" xfId="25555"/>
    <cellStyle name="Normal 909 4 2" xfId="59316"/>
    <cellStyle name="Normal 909 4 3" xfId="59317"/>
    <cellStyle name="Normal 909 5" xfId="25556"/>
    <cellStyle name="Normal 909 5 2" xfId="59318"/>
    <cellStyle name="Normal 909 5 3" xfId="59319"/>
    <cellStyle name="Normal 909 6" xfId="59320"/>
    <cellStyle name="Normal 909 7" xfId="59321"/>
    <cellStyle name="Normal 909 8" xfId="59322"/>
    <cellStyle name="Normal 909 9" xfId="59323"/>
    <cellStyle name="Normal 91" xfId="25557"/>
    <cellStyle name="Normal 91 10" xfId="59324"/>
    <cellStyle name="Normal 91 2" xfId="25558"/>
    <cellStyle name="Normal 91 2 2" xfId="25559"/>
    <cellStyle name="Normal 91 2 2 2" xfId="25560"/>
    <cellStyle name="Normal 91 2 2 3" xfId="25561"/>
    <cellStyle name="Normal 91 2 2 4" xfId="59325"/>
    <cellStyle name="Normal 91 2 2 5" xfId="59326"/>
    <cellStyle name="Normal 91 2 2 6" xfId="59327"/>
    <cellStyle name="Normal 91 2 3" xfId="25562"/>
    <cellStyle name="Normal 91 2 3 2" xfId="59328"/>
    <cellStyle name="Normal 91 2 3 3" xfId="59329"/>
    <cellStyle name="Normal 91 2 4" xfId="25563"/>
    <cellStyle name="Normal 91 2 5" xfId="25564"/>
    <cellStyle name="Normal 91 2 6" xfId="59330"/>
    <cellStyle name="Normal 91 2 7" xfId="59331"/>
    <cellStyle name="Normal 91 2 8" xfId="59332"/>
    <cellStyle name="Normal 91 3" xfId="25565"/>
    <cellStyle name="Normal 91 3 2" xfId="25566"/>
    <cellStyle name="Normal 91 3 2 2" xfId="59333"/>
    <cellStyle name="Normal 91 3 2 3" xfId="59334"/>
    <cellStyle name="Normal 91 3 3" xfId="25567"/>
    <cellStyle name="Normal 91 3 3 2" xfId="59335"/>
    <cellStyle name="Normal 91 3 3 3" xfId="59336"/>
    <cellStyle name="Normal 91 3 4" xfId="59337"/>
    <cellStyle name="Normal 91 3 5" xfId="59338"/>
    <cellStyle name="Normal 91 4" xfId="25568"/>
    <cellStyle name="Normal 91 4 2" xfId="59339"/>
    <cellStyle name="Normal 91 4 3" xfId="59340"/>
    <cellStyle name="Normal 91 5" xfId="25569"/>
    <cellStyle name="Normal 91 5 2" xfId="59341"/>
    <cellStyle name="Normal 91 5 3" xfId="59342"/>
    <cellStyle name="Normal 91 6" xfId="25570"/>
    <cellStyle name="Normal 91 7" xfId="59343"/>
    <cellStyle name="Normal 91 8" xfId="59344"/>
    <cellStyle name="Normal 91 9" xfId="59345"/>
    <cellStyle name="Normal 910" xfId="25571"/>
    <cellStyle name="Normal 910 10" xfId="59346"/>
    <cellStyle name="Normal 910 2" xfId="25572"/>
    <cellStyle name="Normal 910 2 2" xfId="25573"/>
    <cellStyle name="Normal 910 2 2 2" xfId="59347"/>
    <cellStyle name="Normal 910 2 2 3" xfId="59348"/>
    <cellStyle name="Normal 910 2 3" xfId="25574"/>
    <cellStyle name="Normal 910 2 3 2" xfId="59349"/>
    <cellStyle name="Normal 910 2 3 3" xfId="59350"/>
    <cellStyle name="Normal 910 2 4" xfId="59351"/>
    <cellStyle name="Normal 910 2 5" xfId="59352"/>
    <cellStyle name="Normal 910 2 6" xfId="59353"/>
    <cellStyle name="Normal 910 2 7" xfId="59354"/>
    <cellStyle name="Normal 910 2 8" xfId="59355"/>
    <cellStyle name="Normal 910 3" xfId="25575"/>
    <cellStyle name="Normal 910 3 2" xfId="59356"/>
    <cellStyle name="Normal 910 3 2 2" xfId="59357"/>
    <cellStyle name="Normal 910 3 2 3" xfId="59358"/>
    <cellStyle name="Normal 910 3 3" xfId="59359"/>
    <cellStyle name="Normal 910 3 3 2" xfId="59360"/>
    <cellStyle name="Normal 910 3 3 3" xfId="59361"/>
    <cellStyle name="Normal 910 3 4" xfId="59362"/>
    <cellStyle name="Normal 910 3 5" xfId="59363"/>
    <cellStyle name="Normal 910 4" xfId="25576"/>
    <cellStyle name="Normal 910 4 2" xfId="59364"/>
    <cellStyle name="Normal 910 4 3" xfId="59365"/>
    <cellStyle name="Normal 910 5" xfId="25577"/>
    <cellStyle name="Normal 910 5 2" xfId="59366"/>
    <cellStyle name="Normal 910 5 3" xfId="59367"/>
    <cellStyle name="Normal 910 6" xfId="59368"/>
    <cellStyle name="Normal 910 7" xfId="59369"/>
    <cellStyle name="Normal 910 8" xfId="59370"/>
    <cellStyle name="Normal 910 9" xfId="59371"/>
    <cellStyle name="Normal 911" xfId="25578"/>
    <cellStyle name="Normal 911 10" xfId="59372"/>
    <cellStyle name="Normal 911 2" xfId="25579"/>
    <cellStyle name="Normal 911 2 2" xfId="25580"/>
    <cellStyle name="Normal 911 2 2 2" xfId="59373"/>
    <cellStyle name="Normal 911 2 2 3" xfId="59374"/>
    <cellStyle name="Normal 911 2 3" xfId="25581"/>
    <cellStyle name="Normal 911 2 3 2" xfId="59375"/>
    <cellStyle name="Normal 911 2 3 3" xfId="59376"/>
    <cellStyle name="Normal 911 2 4" xfId="59377"/>
    <cellStyle name="Normal 911 2 5" xfId="59378"/>
    <cellStyle name="Normal 911 2 6" xfId="59379"/>
    <cellStyle name="Normal 911 2 7" xfId="59380"/>
    <cellStyle name="Normal 911 2 8" xfId="59381"/>
    <cellStyle name="Normal 911 3" xfId="25582"/>
    <cellStyle name="Normal 911 3 2" xfId="59382"/>
    <cellStyle name="Normal 911 3 2 2" xfId="59383"/>
    <cellStyle name="Normal 911 3 2 3" xfId="59384"/>
    <cellStyle name="Normal 911 3 3" xfId="59385"/>
    <cellStyle name="Normal 911 3 3 2" xfId="59386"/>
    <cellStyle name="Normal 911 3 3 3" xfId="59387"/>
    <cellStyle name="Normal 911 3 4" xfId="59388"/>
    <cellStyle name="Normal 911 3 5" xfId="59389"/>
    <cellStyle name="Normal 911 4" xfId="25583"/>
    <cellStyle name="Normal 911 4 2" xfId="59390"/>
    <cellStyle name="Normal 911 4 3" xfId="59391"/>
    <cellStyle name="Normal 911 5" xfId="25584"/>
    <cellStyle name="Normal 911 5 2" xfId="59392"/>
    <cellStyle name="Normal 911 5 3" xfId="59393"/>
    <cellStyle name="Normal 911 6" xfId="59394"/>
    <cellStyle name="Normal 911 7" xfId="59395"/>
    <cellStyle name="Normal 911 8" xfId="59396"/>
    <cellStyle name="Normal 911 9" xfId="59397"/>
    <cellStyle name="Normal 912" xfId="25585"/>
    <cellStyle name="Normal 912 10" xfId="59398"/>
    <cellStyle name="Normal 912 2" xfId="25586"/>
    <cellStyle name="Normal 912 2 2" xfId="25587"/>
    <cellStyle name="Normal 912 2 2 2" xfId="59399"/>
    <cellStyle name="Normal 912 2 2 3" xfId="59400"/>
    <cellStyle name="Normal 912 2 3" xfId="25588"/>
    <cellStyle name="Normal 912 2 3 2" xfId="59401"/>
    <cellStyle name="Normal 912 2 3 3" xfId="59402"/>
    <cellStyle name="Normal 912 2 4" xfId="59403"/>
    <cellStyle name="Normal 912 2 5" xfId="59404"/>
    <cellStyle name="Normal 912 2 6" xfId="59405"/>
    <cellStyle name="Normal 912 2 7" xfId="59406"/>
    <cellStyle name="Normal 912 2 8" xfId="59407"/>
    <cellStyle name="Normal 912 3" xfId="25589"/>
    <cellStyle name="Normal 912 3 2" xfId="59408"/>
    <cellStyle name="Normal 912 3 2 2" xfId="59409"/>
    <cellStyle name="Normal 912 3 2 3" xfId="59410"/>
    <cellStyle name="Normal 912 3 3" xfId="59411"/>
    <cellStyle name="Normal 912 3 3 2" xfId="59412"/>
    <cellStyle name="Normal 912 3 3 3" xfId="59413"/>
    <cellStyle name="Normal 912 3 4" xfId="59414"/>
    <cellStyle name="Normal 912 3 5" xfId="59415"/>
    <cellStyle name="Normal 912 4" xfId="25590"/>
    <cellStyle name="Normal 912 4 2" xfId="59416"/>
    <cellStyle name="Normal 912 4 3" xfId="59417"/>
    <cellStyle name="Normal 912 5" xfId="25591"/>
    <cellStyle name="Normal 912 5 2" xfId="59418"/>
    <cellStyle name="Normal 912 5 3" xfId="59419"/>
    <cellStyle name="Normal 912 6" xfId="59420"/>
    <cellStyle name="Normal 912 7" xfId="59421"/>
    <cellStyle name="Normal 912 8" xfId="59422"/>
    <cellStyle name="Normal 912 9" xfId="59423"/>
    <cellStyle name="Normal 913" xfId="25592"/>
    <cellStyle name="Normal 913 10" xfId="59424"/>
    <cellStyle name="Normal 913 2" xfId="25593"/>
    <cellStyle name="Normal 913 2 2" xfId="25594"/>
    <cellStyle name="Normal 913 2 2 2" xfId="59425"/>
    <cellStyle name="Normal 913 2 2 3" xfId="59426"/>
    <cellStyle name="Normal 913 2 3" xfId="25595"/>
    <cellStyle name="Normal 913 2 3 2" xfId="59427"/>
    <cellStyle name="Normal 913 2 3 3" xfId="59428"/>
    <cellStyle name="Normal 913 2 4" xfId="59429"/>
    <cellStyle name="Normal 913 2 5" xfId="59430"/>
    <cellStyle name="Normal 913 2 6" xfId="59431"/>
    <cellStyle name="Normal 913 2 7" xfId="59432"/>
    <cellStyle name="Normal 913 2 8" xfId="59433"/>
    <cellStyle name="Normal 913 3" xfId="25596"/>
    <cellStyle name="Normal 913 3 2" xfId="59434"/>
    <cellStyle name="Normal 913 3 2 2" xfId="59435"/>
    <cellStyle name="Normal 913 3 2 3" xfId="59436"/>
    <cellStyle name="Normal 913 3 3" xfId="59437"/>
    <cellStyle name="Normal 913 3 3 2" xfId="59438"/>
    <cellStyle name="Normal 913 3 3 3" xfId="59439"/>
    <cellStyle name="Normal 913 3 4" xfId="59440"/>
    <cellStyle name="Normal 913 3 5" xfId="59441"/>
    <cellStyle name="Normal 913 4" xfId="25597"/>
    <cellStyle name="Normal 913 4 2" xfId="59442"/>
    <cellStyle name="Normal 913 4 3" xfId="59443"/>
    <cellStyle name="Normal 913 5" xfId="25598"/>
    <cellStyle name="Normal 913 5 2" xfId="59444"/>
    <cellStyle name="Normal 913 5 3" xfId="59445"/>
    <cellStyle name="Normal 913 6" xfId="59446"/>
    <cellStyle name="Normal 913 7" xfId="59447"/>
    <cellStyle name="Normal 913 8" xfId="59448"/>
    <cellStyle name="Normal 913 9" xfId="59449"/>
    <cellStyle name="Normal 914" xfId="25599"/>
    <cellStyle name="Normal 914 10" xfId="59450"/>
    <cellStyle name="Normal 914 2" xfId="25600"/>
    <cellStyle name="Normal 914 2 2" xfId="25601"/>
    <cellStyle name="Normal 914 2 2 2" xfId="59451"/>
    <cellStyle name="Normal 914 2 2 3" xfId="59452"/>
    <cellStyle name="Normal 914 2 3" xfId="25602"/>
    <cellStyle name="Normal 914 2 3 2" xfId="59453"/>
    <cellStyle name="Normal 914 2 3 3" xfId="59454"/>
    <cellStyle name="Normal 914 2 4" xfId="59455"/>
    <cellStyle name="Normal 914 2 5" xfId="59456"/>
    <cellStyle name="Normal 914 2 6" xfId="59457"/>
    <cellStyle name="Normal 914 2 7" xfId="59458"/>
    <cellStyle name="Normal 914 2 8" xfId="59459"/>
    <cellStyle name="Normal 914 3" xfId="25603"/>
    <cellStyle name="Normal 914 3 2" xfId="59460"/>
    <cellStyle name="Normal 914 3 2 2" xfId="59461"/>
    <cellStyle name="Normal 914 3 2 3" xfId="59462"/>
    <cellStyle name="Normal 914 3 3" xfId="59463"/>
    <cellStyle name="Normal 914 3 3 2" xfId="59464"/>
    <cellStyle name="Normal 914 3 3 3" xfId="59465"/>
    <cellStyle name="Normal 914 3 4" xfId="59466"/>
    <cellStyle name="Normal 914 3 5" xfId="59467"/>
    <cellStyle name="Normal 914 4" xfId="25604"/>
    <cellStyle name="Normal 914 4 2" xfId="59468"/>
    <cellStyle name="Normal 914 4 3" xfId="59469"/>
    <cellStyle name="Normal 914 5" xfId="25605"/>
    <cellStyle name="Normal 914 5 2" xfId="59470"/>
    <cellStyle name="Normal 914 5 3" xfId="59471"/>
    <cellStyle name="Normal 914 6" xfId="59472"/>
    <cellStyle name="Normal 914 7" xfId="59473"/>
    <cellStyle name="Normal 914 8" xfId="59474"/>
    <cellStyle name="Normal 914 9" xfId="59475"/>
    <cellStyle name="Normal 915" xfId="25606"/>
    <cellStyle name="Normal 915 10" xfId="59476"/>
    <cellStyle name="Normal 915 2" xfId="25607"/>
    <cellStyle name="Normal 915 2 2" xfId="25608"/>
    <cellStyle name="Normal 915 2 2 2" xfId="59477"/>
    <cellStyle name="Normal 915 2 2 3" xfId="59478"/>
    <cellStyle name="Normal 915 2 3" xfId="25609"/>
    <cellStyle name="Normal 915 2 3 2" xfId="59479"/>
    <cellStyle name="Normal 915 2 3 3" xfId="59480"/>
    <cellStyle name="Normal 915 2 4" xfId="59481"/>
    <cellStyle name="Normal 915 2 5" xfId="59482"/>
    <cellStyle name="Normal 915 2 6" xfId="59483"/>
    <cellStyle name="Normal 915 2 7" xfId="59484"/>
    <cellStyle name="Normal 915 2 8" xfId="59485"/>
    <cellStyle name="Normal 915 3" xfId="25610"/>
    <cellStyle name="Normal 915 3 2" xfId="59486"/>
    <cellStyle name="Normal 915 3 2 2" xfId="59487"/>
    <cellStyle name="Normal 915 3 2 3" xfId="59488"/>
    <cellStyle name="Normal 915 3 3" xfId="59489"/>
    <cellStyle name="Normal 915 3 3 2" xfId="59490"/>
    <cellStyle name="Normal 915 3 3 3" xfId="59491"/>
    <cellStyle name="Normal 915 3 4" xfId="59492"/>
    <cellStyle name="Normal 915 3 5" xfId="59493"/>
    <cellStyle name="Normal 915 4" xfId="25611"/>
    <cellStyle name="Normal 915 4 2" xfId="59494"/>
    <cellStyle name="Normal 915 4 3" xfId="59495"/>
    <cellStyle name="Normal 915 5" xfId="25612"/>
    <cellStyle name="Normal 915 5 2" xfId="59496"/>
    <cellStyle name="Normal 915 5 3" xfId="59497"/>
    <cellStyle name="Normal 915 6" xfId="59498"/>
    <cellStyle name="Normal 915 7" xfId="59499"/>
    <cellStyle name="Normal 915 8" xfId="59500"/>
    <cellStyle name="Normal 915 9" xfId="59501"/>
    <cellStyle name="Normal 916" xfId="25613"/>
    <cellStyle name="Normal 916 10" xfId="59502"/>
    <cellStyle name="Normal 916 2" xfId="25614"/>
    <cellStyle name="Normal 916 2 2" xfId="25615"/>
    <cellStyle name="Normal 916 2 2 2" xfId="59503"/>
    <cellStyle name="Normal 916 2 2 3" xfId="59504"/>
    <cellStyle name="Normal 916 2 3" xfId="25616"/>
    <cellStyle name="Normal 916 2 3 2" xfId="59505"/>
    <cellStyle name="Normal 916 2 3 3" xfId="59506"/>
    <cellStyle name="Normal 916 2 4" xfId="59507"/>
    <cellStyle name="Normal 916 2 5" xfId="59508"/>
    <cellStyle name="Normal 916 2 6" xfId="59509"/>
    <cellStyle name="Normal 916 2 7" xfId="59510"/>
    <cellStyle name="Normal 916 2 8" xfId="59511"/>
    <cellStyle name="Normal 916 3" xfId="25617"/>
    <cellStyle name="Normal 916 3 2" xfId="59512"/>
    <cellStyle name="Normal 916 3 2 2" xfId="59513"/>
    <cellStyle name="Normal 916 3 2 3" xfId="59514"/>
    <cellStyle name="Normal 916 3 3" xfId="59515"/>
    <cellStyle name="Normal 916 3 3 2" xfId="59516"/>
    <cellStyle name="Normal 916 3 3 3" xfId="59517"/>
    <cellStyle name="Normal 916 3 4" xfId="59518"/>
    <cellStyle name="Normal 916 3 5" xfId="59519"/>
    <cellStyle name="Normal 916 4" xfId="25618"/>
    <cellStyle name="Normal 916 4 2" xfId="59520"/>
    <cellStyle name="Normal 916 4 3" xfId="59521"/>
    <cellStyle name="Normal 916 5" xfId="25619"/>
    <cellStyle name="Normal 916 5 2" xfId="59522"/>
    <cellStyle name="Normal 916 5 3" xfId="59523"/>
    <cellStyle name="Normal 916 6" xfId="59524"/>
    <cellStyle name="Normal 916 7" xfId="59525"/>
    <cellStyle name="Normal 916 8" xfId="59526"/>
    <cellStyle name="Normal 916 9" xfId="59527"/>
    <cellStyle name="Normal 917" xfId="25620"/>
    <cellStyle name="Normal 917 10" xfId="59528"/>
    <cellStyle name="Normal 917 2" xfId="25621"/>
    <cellStyle name="Normal 917 2 2" xfId="25622"/>
    <cellStyle name="Normal 917 2 2 2" xfId="59529"/>
    <cellStyle name="Normal 917 2 2 3" xfId="59530"/>
    <cellStyle name="Normal 917 2 3" xfId="25623"/>
    <cellStyle name="Normal 917 2 3 2" xfId="59531"/>
    <cellStyle name="Normal 917 2 3 3" xfId="59532"/>
    <cellStyle name="Normal 917 2 4" xfId="59533"/>
    <cellStyle name="Normal 917 2 5" xfId="59534"/>
    <cellStyle name="Normal 917 2 6" xfId="59535"/>
    <cellStyle name="Normal 917 2 7" xfId="59536"/>
    <cellStyle name="Normal 917 2 8" xfId="59537"/>
    <cellStyle name="Normal 917 3" xfId="25624"/>
    <cellStyle name="Normal 917 3 2" xfId="59538"/>
    <cellStyle name="Normal 917 3 2 2" xfId="59539"/>
    <cellStyle name="Normal 917 3 2 3" xfId="59540"/>
    <cellStyle name="Normal 917 3 3" xfId="59541"/>
    <cellStyle name="Normal 917 3 3 2" xfId="59542"/>
    <cellStyle name="Normal 917 3 3 3" xfId="59543"/>
    <cellStyle name="Normal 917 3 4" xfId="59544"/>
    <cellStyle name="Normal 917 3 5" xfId="59545"/>
    <cellStyle name="Normal 917 4" xfId="25625"/>
    <cellStyle name="Normal 917 4 2" xfId="59546"/>
    <cellStyle name="Normal 917 4 3" xfId="59547"/>
    <cellStyle name="Normal 917 5" xfId="25626"/>
    <cellStyle name="Normal 917 5 2" xfId="59548"/>
    <cellStyle name="Normal 917 5 3" xfId="59549"/>
    <cellStyle name="Normal 917 6" xfId="59550"/>
    <cellStyle name="Normal 917 7" xfId="59551"/>
    <cellStyle name="Normal 917 8" xfId="59552"/>
    <cellStyle name="Normal 917 9" xfId="59553"/>
    <cellStyle name="Normal 918" xfId="25627"/>
    <cellStyle name="Normal 918 10" xfId="59554"/>
    <cellStyle name="Normal 918 2" xfId="25628"/>
    <cellStyle name="Normal 918 2 2" xfId="25629"/>
    <cellStyle name="Normal 918 2 2 2" xfId="59555"/>
    <cellStyle name="Normal 918 2 2 3" xfId="59556"/>
    <cellStyle name="Normal 918 2 3" xfId="25630"/>
    <cellStyle name="Normal 918 2 3 2" xfId="59557"/>
    <cellStyle name="Normal 918 2 3 3" xfId="59558"/>
    <cellStyle name="Normal 918 2 4" xfId="59559"/>
    <cellStyle name="Normal 918 2 5" xfId="59560"/>
    <cellStyle name="Normal 918 2 6" xfId="59561"/>
    <cellStyle name="Normal 918 2 7" xfId="59562"/>
    <cellStyle name="Normal 918 2 8" xfId="59563"/>
    <cellStyle name="Normal 918 3" xfId="25631"/>
    <cellStyle name="Normal 918 3 2" xfId="59564"/>
    <cellStyle name="Normal 918 3 2 2" xfId="59565"/>
    <cellStyle name="Normal 918 3 2 3" xfId="59566"/>
    <cellStyle name="Normal 918 3 3" xfId="59567"/>
    <cellStyle name="Normal 918 3 3 2" xfId="59568"/>
    <cellStyle name="Normal 918 3 3 3" xfId="59569"/>
    <cellStyle name="Normal 918 3 4" xfId="59570"/>
    <cellStyle name="Normal 918 3 5" xfId="59571"/>
    <cellStyle name="Normal 918 4" xfId="25632"/>
    <cellStyle name="Normal 918 4 2" xfId="59572"/>
    <cellStyle name="Normal 918 4 3" xfId="59573"/>
    <cellStyle name="Normal 918 5" xfId="25633"/>
    <cellStyle name="Normal 918 5 2" xfId="59574"/>
    <cellStyle name="Normal 918 5 3" xfId="59575"/>
    <cellStyle name="Normal 918 6" xfId="59576"/>
    <cellStyle name="Normal 918 7" xfId="59577"/>
    <cellStyle name="Normal 918 8" xfId="59578"/>
    <cellStyle name="Normal 918 9" xfId="59579"/>
    <cellStyle name="Normal 919" xfId="25634"/>
    <cellStyle name="Normal 919 10" xfId="59580"/>
    <cellStyle name="Normal 919 2" xfId="25635"/>
    <cellStyle name="Normal 919 2 2" xfId="25636"/>
    <cellStyle name="Normal 919 2 2 2" xfId="59581"/>
    <cellStyle name="Normal 919 2 2 3" xfId="59582"/>
    <cellStyle name="Normal 919 2 3" xfId="25637"/>
    <cellStyle name="Normal 919 2 3 2" xfId="59583"/>
    <cellStyle name="Normal 919 2 3 3" xfId="59584"/>
    <cellStyle name="Normal 919 2 4" xfId="59585"/>
    <cellStyle name="Normal 919 2 5" xfId="59586"/>
    <cellStyle name="Normal 919 2 6" xfId="59587"/>
    <cellStyle name="Normal 919 2 7" xfId="59588"/>
    <cellStyle name="Normal 919 2 8" xfId="59589"/>
    <cellStyle name="Normal 919 3" xfId="25638"/>
    <cellStyle name="Normal 919 3 2" xfId="59590"/>
    <cellStyle name="Normal 919 3 2 2" xfId="59591"/>
    <cellStyle name="Normal 919 3 2 3" xfId="59592"/>
    <cellStyle name="Normal 919 3 3" xfId="59593"/>
    <cellStyle name="Normal 919 3 3 2" xfId="59594"/>
    <cellStyle name="Normal 919 3 3 3" xfId="59595"/>
    <cellStyle name="Normal 919 3 4" xfId="59596"/>
    <cellStyle name="Normal 919 3 5" xfId="59597"/>
    <cellStyle name="Normal 919 4" xfId="25639"/>
    <cellStyle name="Normal 919 4 2" xfId="59598"/>
    <cellStyle name="Normal 919 4 3" xfId="59599"/>
    <cellStyle name="Normal 919 5" xfId="25640"/>
    <cellStyle name="Normal 919 5 2" xfId="59600"/>
    <cellStyle name="Normal 919 5 3" xfId="59601"/>
    <cellStyle name="Normal 919 6" xfId="59602"/>
    <cellStyle name="Normal 919 7" xfId="59603"/>
    <cellStyle name="Normal 919 8" xfId="59604"/>
    <cellStyle name="Normal 919 9" xfId="59605"/>
    <cellStyle name="Normal 92" xfId="25641"/>
    <cellStyle name="Normal 92 10" xfId="59606"/>
    <cellStyle name="Normal 92 2" xfId="25642"/>
    <cellStyle name="Normal 92 2 2" xfId="25643"/>
    <cellStyle name="Normal 92 2 2 2" xfId="25644"/>
    <cellStyle name="Normal 92 2 2 3" xfId="25645"/>
    <cellStyle name="Normal 92 2 2 4" xfId="59607"/>
    <cellStyle name="Normal 92 2 2 5" xfId="59608"/>
    <cellStyle name="Normal 92 2 2 6" xfId="59609"/>
    <cellStyle name="Normal 92 2 3" xfId="25646"/>
    <cellStyle name="Normal 92 2 3 2" xfId="59610"/>
    <cellStyle name="Normal 92 2 3 3" xfId="59611"/>
    <cellStyle name="Normal 92 2 4" xfId="25647"/>
    <cellStyle name="Normal 92 2 5" xfId="25648"/>
    <cellStyle name="Normal 92 2 6" xfId="59612"/>
    <cellStyle name="Normal 92 2 7" xfId="59613"/>
    <cellStyle name="Normal 92 2 8" xfId="59614"/>
    <cellStyle name="Normal 92 3" xfId="25649"/>
    <cellStyle name="Normal 92 3 2" xfId="25650"/>
    <cellStyle name="Normal 92 3 2 2" xfId="59615"/>
    <cellStyle name="Normal 92 3 2 3" xfId="59616"/>
    <cellStyle name="Normal 92 3 3" xfId="25651"/>
    <cellStyle name="Normal 92 3 3 2" xfId="59617"/>
    <cellStyle name="Normal 92 3 3 3" xfId="59618"/>
    <cellStyle name="Normal 92 3 4" xfId="59619"/>
    <cellStyle name="Normal 92 3 5" xfId="59620"/>
    <cellStyle name="Normal 92 4" xfId="25652"/>
    <cellStyle name="Normal 92 4 2" xfId="59621"/>
    <cellStyle name="Normal 92 4 3" xfId="59622"/>
    <cellStyle name="Normal 92 5" xfId="25653"/>
    <cellStyle name="Normal 92 5 2" xfId="59623"/>
    <cellStyle name="Normal 92 5 3" xfId="59624"/>
    <cellStyle name="Normal 92 6" xfId="25654"/>
    <cellStyle name="Normal 92 7" xfId="59625"/>
    <cellStyle name="Normal 92 8" xfId="59626"/>
    <cellStyle name="Normal 92 9" xfId="59627"/>
    <cellStyle name="Normal 920" xfId="25655"/>
    <cellStyle name="Normal 920 10" xfId="59628"/>
    <cellStyle name="Normal 920 2" xfId="25656"/>
    <cellStyle name="Normal 920 2 2" xfId="25657"/>
    <cellStyle name="Normal 920 2 2 2" xfId="59629"/>
    <cellStyle name="Normal 920 2 2 3" xfId="59630"/>
    <cellStyle name="Normal 920 2 3" xfId="25658"/>
    <cellStyle name="Normal 920 2 3 2" xfId="59631"/>
    <cellStyle name="Normal 920 2 3 3" xfId="59632"/>
    <cellStyle name="Normal 920 2 4" xfId="59633"/>
    <cellStyle name="Normal 920 2 5" xfId="59634"/>
    <cellStyle name="Normal 920 2 6" xfId="59635"/>
    <cellStyle name="Normal 920 2 7" xfId="59636"/>
    <cellStyle name="Normal 920 2 8" xfId="59637"/>
    <cellStyle name="Normal 920 3" xfId="25659"/>
    <cellStyle name="Normal 920 3 2" xfId="59638"/>
    <cellStyle name="Normal 920 3 2 2" xfId="59639"/>
    <cellStyle name="Normal 920 3 2 3" xfId="59640"/>
    <cellStyle name="Normal 920 3 3" xfId="59641"/>
    <cellStyle name="Normal 920 3 3 2" xfId="59642"/>
    <cellStyle name="Normal 920 3 3 3" xfId="59643"/>
    <cellStyle name="Normal 920 3 4" xfId="59644"/>
    <cellStyle name="Normal 920 3 5" xfId="59645"/>
    <cellStyle name="Normal 920 4" xfId="25660"/>
    <cellStyle name="Normal 920 4 2" xfId="59646"/>
    <cellStyle name="Normal 920 4 3" xfId="59647"/>
    <cellStyle name="Normal 920 5" xfId="25661"/>
    <cellStyle name="Normal 920 5 2" xfId="59648"/>
    <cellStyle name="Normal 920 5 3" xfId="59649"/>
    <cellStyle name="Normal 920 6" xfId="59650"/>
    <cellStyle name="Normal 920 7" xfId="59651"/>
    <cellStyle name="Normal 920 8" xfId="59652"/>
    <cellStyle name="Normal 920 9" xfId="59653"/>
    <cellStyle name="Normal 921" xfId="25662"/>
    <cellStyle name="Normal 921 10" xfId="59654"/>
    <cellStyle name="Normal 921 2" xfId="25663"/>
    <cellStyle name="Normal 921 2 2" xfId="25664"/>
    <cellStyle name="Normal 921 2 2 2" xfId="59655"/>
    <cellStyle name="Normal 921 2 2 3" xfId="59656"/>
    <cellStyle name="Normal 921 2 3" xfId="25665"/>
    <cellStyle name="Normal 921 2 3 2" xfId="59657"/>
    <cellStyle name="Normal 921 2 3 3" xfId="59658"/>
    <cellStyle name="Normal 921 2 4" xfId="59659"/>
    <cellStyle name="Normal 921 2 5" xfId="59660"/>
    <cellStyle name="Normal 921 2 6" xfId="59661"/>
    <cellStyle name="Normal 921 2 7" xfId="59662"/>
    <cellStyle name="Normal 921 2 8" xfId="59663"/>
    <cellStyle name="Normal 921 3" xfId="25666"/>
    <cellStyle name="Normal 921 3 2" xfId="59664"/>
    <cellStyle name="Normal 921 3 2 2" xfId="59665"/>
    <cellStyle name="Normal 921 3 2 3" xfId="59666"/>
    <cellStyle name="Normal 921 3 3" xfId="59667"/>
    <cellStyle name="Normal 921 3 3 2" xfId="59668"/>
    <cellStyle name="Normal 921 3 3 3" xfId="59669"/>
    <cellStyle name="Normal 921 3 4" xfId="59670"/>
    <cellStyle name="Normal 921 3 5" xfId="59671"/>
    <cellStyle name="Normal 921 4" xfId="25667"/>
    <cellStyle name="Normal 921 4 2" xfId="59672"/>
    <cellStyle name="Normal 921 4 3" xfId="59673"/>
    <cellStyle name="Normal 921 5" xfId="25668"/>
    <cellStyle name="Normal 921 5 2" xfId="59674"/>
    <cellStyle name="Normal 921 5 3" xfId="59675"/>
    <cellStyle name="Normal 921 6" xfId="59676"/>
    <cellStyle name="Normal 921 7" xfId="59677"/>
    <cellStyle name="Normal 921 8" xfId="59678"/>
    <cellStyle name="Normal 921 9" xfId="59679"/>
    <cellStyle name="Normal 922" xfId="25669"/>
    <cellStyle name="Normal 922 10" xfId="59680"/>
    <cellStyle name="Normal 922 2" xfId="25670"/>
    <cellStyle name="Normal 922 2 2" xfId="25671"/>
    <cellStyle name="Normal 922 2 2 2" xfId="59681"/>
    <cellStyle name="Normal 922 2 2 3" xfId="59682"/>
    <cellStyle name="Normal 922 2 3" xfId="25672"/>
    <cellStyle name="Normal 922 2 3 2" xfId="59683"/>
    <cellStyle name="Normal 922 2 3 3" xfId="59684"/>
    <cellStyle name="Normal 922 2 4" xfId="59685"/>
    <cellStyle name="Normal 922 2 5" xfId="59686"/>
    <cellStyle name="Normal 922 2 6" xfId="59687"/>
    <cellStyle name="Normal 922 2 7" xfId="59688"/>
    <cellStyle name="Normal 922 2 8" xfId="59689"/>
    <cellStyle name="Normal 922 3" xfId="25673"/>
    <cellStyle name="Normal 922 3 2" xfId="59690"/>
    <cellStyle name="Normal 922 3 2 2" xfId="59691"/>
    <cellStyle name="Normal 922 3 2 3" xfId="59692"/>
    <cellStyle name="Normal 922 3 3" xfId="59693"/>
    <cellStyle name="Normal 922 3 3 2" xfId="59694"/>
    <cellStyle name="Normal 922 3 3 3" xfId="59695"/>
    <cellStyle name="Normal 922 3 4" xfId="59696"/>
    <cellStyle name="Normal 922 3 5" xfId="59697"/>
    <cellStyle name="Normal 922 4" xfId="25674"/>
    <cellStyle name="Normal 922 4 2" xfId="59698"/>
    <cellStyle name="Normal 922 4 3" xfId="59699"/>
    <cellStyle name="Normal 922 5" xfId="25675"/>
    <cellStyle name="Normal 922 5 2" xfId="59700"/>
    <cellStyle name="Normal 922 5 3" xfId="59701"/>
    <cellStyle name="Normal 922 6" xfId="59702"/>
    <cellStyle name="Normal 922 7" xfId="59703"/>
    <cellStyle name="Normal 922 8" xfId="59704"/>
    <cellStyle name="Normal 922 9" xfId="59705"/>
    <cellStyle name="Normal 923" xfId="25676"/>
    <cellStyle name="Normal 923 10" xfId="59706"/>
    <cellStyle name="Normal 923 2" xfId="25677"/>
    <cellStyle name="Normal 923 2 2" xfId="25678"/>
    <cellStyle name="Normal 923 2 2 2" xfId="59707"/>
    <cellStyle name="Normal 923 2 2 3" xfId="59708"/>
    <cellStyle name="Normal 923 2 3" xfId="25679"/>
    <cellStyle name="Normal 923 2 3 2" xfId="59709"/>
    <cellStyle name="Normal 923 2 3 3" xfId="59710"/>
    <cellStyle name="Normal 923 2 4" xfId="59711"/>
    <cellStyle name="Normal 923 2 5" xfId="59712"/>
    <cellStyle name="Normal 923 2 6" xfId="59713"/>
    <cellStyle name="Normal 923 2 7" xfId="59714"/>
    <cellStyle name="Normal 923 2 8" xfId="59715"/>
    <cellStyle name="Normal 923 3" xfId="25680"/>
    <cellStyle name="Normal 923 3 2" xfId="59716"/>
    <cellStyle name="Normal 923 3 2 2" xfId="59717"/>
    <cellStyle name="Normal 923 3 2 3" xfId="59718"/>
    <cellStyle name="Normal 923 3 3" xfId="59719"/>
    <cellStyle name="Normal 923 3 3 2" xfId="59720"/>
    <cellStyle name="Normal 923 3 3 3" xfId="59721"/>
    <cellStyle name="Normal 923 3 4" xfId="59722"/>
    <cellStyle name="Normal 923 3 5" xfId="59723"/>
    <cellStyle name="Normal 923 4" xfId="25681"/>
    <cellStyle name="Normal 923 4 2" xfId="59724"/>
    <cellStyle name="Normal 923 4 3" xfId="59725"/>
    <cellStyle name="Normal 923 5" xfId="25682"/>
    <cellStyle name="Normal 923 5 2" xfId="59726"/>
    <cellStyle name="Normal 923 5 3" xfId="59727"/>
    <cellStyle name="Normal 923 6" xfId="59728"/>
    <cellStyle name="Normal 923 7" xfId="59729"/>
    <cellStyle name="Normal 923 8" xfId="59730"/>
    <cellStyle name="Normal 923 9" xfId="59731"/>
    <cellStyle name="Normal 924" xfId="25683"/>
    <cellStyle name="Normal 924 10" xfId="59732"/>
    <cellStyle name="Normal 924 2" xfId="25684"/>
    <cellStyle name="Normal 924 2 2" xfId="25685"/>
    <cellStyle name="Normal 924 2 2 2" xfId="59733"/>
    <cellStyle name="Normal 924 2 2 3" xfId="59734"/>
    <cellStyle name="Normal 924 2 3" xfId="25686"/>
    <cellStyle name="Normal 924 2 3 2" xfId="59735"/>
    <cellStyle name="Normal 924 2 3 3" xfId="59736"/>
    <cellStyle name="Normal 924 2 4" xfId="59737"/>
    <cellStyle name="Normal 924 2 5" xfId="59738"/>
    <cellStyle name="Normal 924 2 6" xfId="59739"/>
    <cellStyle name="Normal 924 2 7" xfId="59740"/>
    <cellStyle name="Normal 924 2 8" xfId="59741"/>
    <cellStyle name="Normal 924 3" xfId="25687"/>
    <cellStyle name="Normal 924 3 2" xfId="59742"/>
    <cellStyle name="Normal 924 3 2 2" xfId="59743"/>
    <cellStyle name="Normal 924 3 2 3" xfId="59744"/>
    <cellStyle name="Normal 924 3 3" xfId="59745"/>
    <cellStyle name="Normal 924 3 3 2" xfId="59746"/>
    <cellStyle name="Normal 924 3 3 3" xfId="59747"/>
    <cellStyle name="Normal 924 3 4" xfId="59748"/>
    <cellStyle name="Normal 924 3 5" xfId="59749"/>
    <cellStyle name="Normal 924 4" xfId="25688"/>
    <cellStyle name="Normal 924 4 2" xfId="59750"/>
    <cellStyle name="Normal 924 4 3" xfId="59751"/>
    <cellStyle name="Normal 924 5" xfId="25689"/>
    <cellStyle name="Normal 924 5 2" xfId="59752"/>
    <cellStyle name="Normal 924 5 3" xfId="59753"/>
    <cellStyle name="Normal 924 6" xfId="59754"/>
    <cellStyle name="Normal 924 7" xfId="59755"/>
    <cellStyle name="Normal 924 8" xfId="59756"/>
    <cellStyle name="Normal 924 9" xfId="59757"/>
    <cellStyle name="Normal 925" xfId="25690"/>
    <cellStyle name="Normal 925 10" xfId="59758"/>
    <cellStyle name="Normal 925 2" xfId="25691"/>
    <cellStyle name="Normal 925 2 2" xfId="25692"/>
    <cellStyle name="Normal 925 2 2 2" xfId="59759"/>
    <cellStyle name="Normal 925 2 2 3" xfId="59760"/>
    <cellStyle name="Normal 925 2 3" xfId="25693"/>
    <cellStyle name="Normal 925 2 3 2" xfId="59761"/>
    <cellStyle name="Normal 925 2 3 3" xfId="59762"/>
    <cellStyle name="Normal 925 2 4" xfId="59763"/>
    <cellStyle name="Normal 925 2 5" xfId="59764"/>
    <cellStyle name="Normal 925 2 6" xfId="59765"/>
    <cellStyle name="Normal 925 2 7" xfId="59766"/>
    <cellStyle name="Normal 925 2 8" xfId="59767"/>
    <cellStyle name="Normal 925 3" xfId="25694"/>
    <cellStyle name="Normal 925 3 2" xfId="59768"/>
    <cellStyle name="Normal 925 3 2 2" xfId="59769"/>
    <cellStyle name="Normal 925 3 2 3" xfId="59770"/>
    <cellStyle name="Normal 925 3 3" xfId="59771"/>
    <cellStyle name="Normal 925 3 3 2" xfId="59772"/>
    <cellStyle name="Normal 925 3 3 3" xfId="59773"/>
    <cellStyle name="Normal 925 3 4" xfId="59774"/>
    <cellStyle name="Normal 925 3 5" xfId="59775"/>
    <cellStyle name="Normal 925 4" xfId="25695"/>
    <cellStyle name="Normal 925 4 2" xfId="59776"/>
    <cellStyle name="Normal 925 4 3" xfId="59777"/>
    <cellStyle name="Normal 925 5" xfId="25696"/>
    <cellStyle name="Normal 925 5 2" xfId="59778"/>
    <cellStyle name="Normal 925 5 3" xfId="59779"/>
    <cellStyle name="Normal 925 6" xfId="59780"/>
    <cellStyle name="Normal 925 7" xfId="59781"/>
    <cellStyle name="Normal 925 8" xfId="59782"/>
    <cellStyle name="Normal 925 9" xfId="59783"/>
    <cellStyle name="Normal 926" xfId="25697"/>
    <cellStyle name="Normal 926 10" xfId="59784"/>
    <cellStyle name="Normal 926 2" xfId="25698"/>
    <cellStyle name="Normal 926 2 2" xfId="25699"/>
    <cellStyle name="Normal 926 2 2 2" xfId="59785"/>
    <cellStyle name="Normal 926 2 2 3" xfId="59786"/>
    <cellStyle name="Normal 926 2 3" xfId="25700"/>
    <cellStyle name="Normal 926 2 3 2" xfId="59787"/>
    <cellStyle name="Normal 926 2 3 3" xfId="59788"/>
    <cellStyle name="Normal 926 2 4" xfId="59789"/>
    <cellStyle name="Normal 926 2 5" xfId="59790"/>
    <cellStyle name="Normal 926 2 6" xfId="59791"/>
    <cellStyle name="Normal 926 2 7" xfId="59792"/>
    <cellStyle name="Normal 926 2 8" xfId="59793"/>
    <cellStyle name="Normal 926 3" xfId="25701"/>
    <cellStyle name="Normal 926 3 2" xfId="59794"/>
    <cellStyle name="Normal 926 3 2 2" xfId="59795"/>
    <cellStyle name="Normal 926 3 2 3" xfId="59796"/>
    <cellStyle name="Normal 926 3 3" xfId="59797"/>
    <cellStyle name="Normal 926 3 3 2" xfId="59798"/>
    <cellStyle name="Normal 926 3 3 3" xfId="59799"/>
    <cellStyle name="Normal 926 3 4" xfId="59800"/>
    <cellStyle name="Normal 926 3 5" xfId="59801"/>
    <cellStyle name="Normal 926 4" xfId="25702"/>
    <cellStyle name="Normal 926 4 2" xfId="59802"/>
    <cellStyle name="Normal 926 4 3" xfId="59803"/>
    <cellStyle name="Normal 926 5" xfId="25703"/>
    <cellStyle name="Normal 926 5 2" xfId="59804"/>
    <cellStyle name="Normal 926 5 3" xfId="59805"/>
    <cellStyle name="Normal 926 6" xfId="59806"/>
    <cellStyle name="Normal 926 7" xfId="59807"/>
    <cellStyle name="Normal 926 8" xfId="59808"/>
    <cellStyle name="Normal 926 9" xfId="59809"/>
    <cellStyle name="Normal 927" xfId="25704"/>
    <cellStyle name="Normal 927 10" xfId="59810"/>
    <cellStyle name="Normal 927 2" xfId="25705"/>
    <cellStyle name="Normal 927 2 2" xfId="25706"/>
    <cellStyle name="Normal 927 2 2 2" xfId="59811"/>
    <cellStyle name="Normal 927 2 2 3" xfId="59812"/>
    <cellStyle name="Normal 927 2 3" xfId="25707"/>
    <cellStyle name="Normal 927 2 3 2" xfId="59813"/>
    <cellStyle name="Normal 927 2 3 3" xfId="59814"/>
    <cellStyle name="Normal 927 2 4" xfId="59815"/>
    <cellStyle name="Normal 927 2 5" xfId="59816"/>
    <cellStyle name="Normal 927 2 6" xfId="59817"/>
    <cellStyle name="Normal 927 2 7" xfId="59818"/>
    <cellStyle name="Normal 927 2 8" xfId="59819"/>
    <cellStyle name="Normal 927 3" xfId="25708"/>
    <cellStyle name="Normal 927 3 2" xfId="59820"/>
    <cellStyle name="Normal 927 3 2 2" xfId="59821"/>
    <cellStyle name="Normal 927 3 2 3" xfId="59822"/>
    <cellStyle name="Normal 927 3 3" xfId="59823"/>
    <cellStyle name="Normal 927 3 3 2" xfId="59824"/>
    <cellStyle name="Normal 927 3 3 3" xfId="59825"/>
    <cellStyle name="Normal 927 3 4" xfId="59826"/>
    <cellStyle name="Normal 927 3 5" xfId="59827"/>
    <cellStyle name="Normal 927 4" xfId="25709"/>
    <cellStyle name="Normal 927 4 2" xfId="59828"/>
    <cellStyle name="Normal 927 4 3" xfId="59829"/>
    <cellStyle name="Normal 927 5" xfId="25710"/>
    <cellStyle name="Normal 927 5 2" xfId="59830"/>
    <cellStyle name="Normal 927 5 3" xfId="59831"/>
    <cellStyle name="Normal 927 6" xfId="59832"/>
    <cellStyle name="Normal 927 7" xfId="59833"/>
    <cellStyle name="Normal 927 8" xfId="59834"/>
    <cellStyle name="Normal 927 9" xfId="59835"/>
    <cellStyle name="Normal 928" xfId="25711"/>
    <cellStyle name="Normal 928 10" xfId="59836"/>
    <cellStyle name="Normal 928 2" xfId="25712"/>
    <cellStyle name="Normal 928 2 2" xfId="25713"/>
    <cellStyle name="Normal 928 2 2 2" xfId="59837"/>
    <cellStyle name="Normal 928 2 2 3" xfId="59838"/>
    <cellStyle name="Normal 928 2 3" xfId="25714"/>
    <cellStyle name="Normal 928 2 3 2" xfId="59839"/>
    <cellStyle name="Normal 928 2 3 3" xfId="59840"/>
    <cellStyle name="Normal 928 2 4" xfId="59841"/>
    <cellStyle name="Normal 928 2 5" xfId="59842"/>
    <cellStyle name="Normal 928 2 6" xfId="59843"/>
    <cellStyle name="Normal 928 2 7" xfId="59844"/>
    <cellStyle name="Normal 928 2 8" xfId="59845"/>
    <cellStyle name="Normal 928 3" xfId="25715"/>
    <cellStyle name="Normal 928 3 2" xfId="59846"/>
    <cellStyle name="Normal 928 3 2 2" xfId="59847"/>
    <cellStyle name="Normal 928 3 2 3" xfId="59848"/>
    <cellStyle name="Normal 928 3 3" xfId="59849"/>
    <cellStyle name="Normal 928 3 3 2" xfId="59850"/>
    <cellStyle name="Normal 928 3 3 3" xfId="59851"/>
    <cellStyle name="Normal 928 3 4" xfId="59852"/>
    <cellStyle name="Normal 928 3 5" xfId="59853"/>
    <cellStyle name="Normal 928 4" xfId="25716"/>
    <cellStyle name="Normal 928 4 2" xfId="59854"/>
    <cellStyle name="Normal 928 4 3" xfId="59855"/>
    <cellStyle name="Normal 928 5" xfId="25717"/>
    <cellStyle name="Normal 928 5 2" xfId="59856"/>
    <cellStyle name="Normal 928 5 3" xfId="59857"/>
    <cellStyle name="Normal 928 6" xfId="59858"/>
    <cellStyle name="Normal 928 7" xfId="59859"/>
    <cellStyle name="Normal 928 8" xfId="59860"/>
    <cellStyle name="Normal 928 9" xfId="59861"/>
    <cellStyle name="Normal 929" xfId="25718"/>
    <cellStyle name="Normal 929 10" xfId="59862"/>
    <cellStyle name="Normal 929 2" xfId="25719"/>
    <cellStyle name="Normal 929 2 2" xfId="25720"/>
    <cellStyle name="Normal 929 2 2 2" xfId="59863"/>
    <cellStyle name="Normal 929 2 2 3" xfId="59864"/>
    <cellStyle name="Normal 929 2 3" xfId="25721"/>
    <cellStyle name="Normal 929 2 3 2" xfId="59865"/>
    <cellStyle name="Normal 929 2 3 3" xfId="59866"/>
    <cellStyle name="Normal 929 2 4" xfId="59867"/>
    <cellStyle name="Normal 929 2 5" xfId="59868"/>
    <cellStyle name="Normal 929 2 6" xfId="59869"/>
    <cellStyle name="Normal 929 2 7" xfId="59870"/>
    <cellStyle name="Normal 929 2 8" xfId="59871"/>
    <cellStyle name="Normal 929 3" xfId="25722"/>
    <cellStyle name="Normal 929 3 2" xfId="59872"/>
    <cellStyle name="Normal 929 3 2 2" xfId="59873"/>
    <cellStyle name="Normal 929 3 2 3" xfId="59874"/>
    <cellStyle name="Normal 929 3 3" xfId="59875"/>
    <cellStyle name="Normal 929 3 3 2" xfId="59876"/>
    <cellStyle name="Normal 929 3 3 3" xfId="59877"/>
    <cellStyle name="Normal 929 3 4" xfId="59878"/>
    <cellStyle name="Normal 929 3 5" xfId="59879"/>
    <cellStyle name="Normal 929 4" xfId="25723"/>
    <cellStyle name="Normal 929 4 2" xfId="59880"/>
    <cellStyle name="Normal 929 4 3" xfId="59881"/>
    <cellStyle name="Normal 929 5" xfId="25724"/>
    <cellStyle name="Normal 929 5 2" xfId="59882"/>
    <cellStyle name="Normal 929 5 3" xfId="59883"/>
    <cellStyle name="Normal 929 6" xfId="59884"/>
    <cellStyle name="Normal 929 7" xfId="59885"/>
    <cellStyle name="Normal 929 8" xfId="59886"/>
    <cellStyle name="Normal 929 9" xfId="59887"/>
    <cellStyle name="Normal 93" xfId="25725"/>
    <cellStyle name="Normal 93 10" xfId="59888"/>
    <cellStyle name="Normal 93 2" xfId="25726"/>
    <cellStyle name="Normal 93 2 2" xfId="25727"/>
    <cellStyle name="Normal 93 2 2 2" xfId="25728"/>
    <cellStyle name="Normal 93 2 2 3" xfId="25729"/>
    <cellStyle name="Normal 93 2 2 4" xfId="59889"/>
    <cellStyle name="Normal 93 2 2 5" xfId="59890"/>
    <cellStyle name="Normal 93 2 2 6" xfId="59891"/>
    <cellStyle name="Normal 93 2 3" xfId="25730"/>
    <cellStyle name="Normal 93 2 3 2" xfId="59892"/>
    <cellStyle name="Normal 93 2 3 3" xfId="59893"/>
    <cellStyle name="Normal 93 2 4" xfId="25731"/>
    <cellStyle name="Normal 93 2 5" xfId="25732"/>
    <cellStyle name="Normal 93 2 6" xfId="59894"/>
    <cellStyle name="Normal 93 2 7" xfId="59895"/>
    <cellStyle name="Normal 93 2 8" xfId="59896"/>
    <cellStyle name="Normal 93 3" xfId="25733"/>
    <cellStyle name="Normal 93 3 2" xfId="25734"/>
    <cellStyle name="Normal 93 3 2 2" xfId="59897"/>
    <cellStyle name="Normal 93 3 2 3" xfId="59898"/>
    <cellStyle name="Normal 93 3 3" xfId="25735"/>
    <cellStyle name="Normal 93 3 3 2" xfId="59899"/>
    <cellStyle name="Normal 93 3 3 3" xfId="59900"/>
    <cellStyle name="Normal 93 3 4" xfId="59901"/>
    <cellStyle name="Normal 93 3 5" xfId="59902"/>
    <cellStyle name="Normal 93 4" xfId="25736"/>
    <cellStyle name="Normal 93 4 2" xfId="59903"/>
    <cellStyle name="Normal 93 4 3" xfId="59904"/>
    <cellStyle name="Normal 93 5" xfId="25737"/>
    <cellStyle name="Normal 93 5 2" xfId="59905"/>
    <cellStyle name="Normal 93 5 3" xfId="59906"/>
    <cellStyle name="Normal 93 6" xfId="25738"/>
    <cellStyle name="Normal 93 7" xfId="59907"/>
    <cellStyle name="Normal 93 8" xfId="59908"/>
    <cellStyle name="Normal 93 9" xfId="59909"/>
    <cellStyle name="Normal 930" xfId="25739"/>
    <cellStyle name="Normal 930 10" xfId="59910"/>
    <cellStyle name="Normal 930 2" xfId="25740"/>
    <cellStyle name="Normal 930 2 2" xfId="25741"/>
    <cellStyle name="Normal 930 2 2 2" xfId="59911"/>
    <cellStyle name="Normal 930 2 2 3" xfId="59912"/>
    <cellStyle name="Normal 930 2 3" xfId="25742"/>
    <cellStyle name="Normal 930 2 3 2" xfId="59913"/>
    <cellStyle name="Normal 930 2 3 3" xfId="59914"/>
    <cellStyle name="Normal 930 2 4" xfId="59915"/>
    <cellStyle name="Normal 930 2 5" xfId="59916"/>
    <cellStyle name="Normal 930 2 6" xfId="59917"/>
    <cellStyle name="Normal 930 2 7" xfId="59918"/>
    <cellStyle name="Normal 930 2 8" xfId="59919"/>
    <cellStyle name="Normal 930 3" xfId="25743"/>
    <cellStyle name="Normal 930 3 2" xfId="59920"/>
    <cellStyle name="Normal 930 3 2 2" xfId="59921"/>
    <cellStyle name="Normal 930 3 2 3" xfId="59922"/>
    <cellStyle name="Normal 930 3 3" xfId="59923"/>
    <cellStyle name="Normal 930 3 3 2" xfId="59924"/>
    <cellStyle name="Normal 930 3 3 3" xfId="59925"/>
    <cellStyle name="Normal 930 3 4" xfId="59926"/>
    <cellStyle name="Normal 930 3 5" xfId="59927"/>
    <cellStyle name="Normal 930 4" xfId="25744"/>
    <cellStyle name="Normal 930 4 2" xfId="59928"/>
    <cellStyle name="Normal 930 4 3" xfId="59929"/>
    <cellStyle name="Normal 930 5" xfId="25745"/>
    <cellStyle name="Normal 930 5 2" xfId="59930"/>
    <cellStyle name="Normal 930 5 3" xfId="59931"/>
    <cellStyle name="Normal 930 6" xfId="59932"/>
    <cellStyle name="Normal 930 7" xfId="59933"/>
    <cellStyle name="Normal 930 8" xfId="59934"/>
    <cellStyle name="Normal 930 9" xfId="59935"/>
    <cellStyle name="Normal 931" xfId="25746"/>
    <cellStyle name="Normal 931 10" xfId="59936"/>
    <cellStyle name="Normal 931 2" xfId="25747"/>
    <cellStyle name="Normal 931 2 2" xfId="25748"/>
    <cellStyle name="Normal 931 2 2 2" xfId="59937"/>
    <cellStyle name="Normal 931 2 2 3" xfId="59938"/>
    <cellStyle name="Normal 931 2 3" xfId="25749"/>
    <cellStyle name="Normal 931 2 3 2" xfId="59939"/>
    <cellStyle name="Normal 931 2 3 3" xfId="59940"/>
    <cellStyle name="Normal 931 2 4" xfId="59941"/>
    <cellStyle name="Normal 931 2 5" xfId="59942"/>
    <cellStyle name="Normal 931 2 6" xfId="59943"/>
    <cellStyle name="Normal 931 2 7" xfId="59944"/>
    <cellStyle name="Normal 931 2 8" xfId="59945"/>
    <cellStyle name="Normal 931 3" xfId="25750"/>
    <cellStyle name="Normal 931 3 2" xfId="59946"/>
    <cellStyle name="Normal 931 3 2 2" xfId="59947"/>
    <cellStyle name="Normal 931 3 2 3" xfId="59948"/>
    <cellStyle name="Normal 931 3 3" xfId="59949"/>
    <cellStyle name="Normal 931 3 3 2" xfId="59950"/>
    <cellStyle name="Normal 931 3 3 3" xfId="59951"/>
    <cellStyle name="Normal 931 3 4" xfId="59952"/>
    <cellStyle name="Normal 931 3 5" xfId="59953"/>
    <cellStyle name="Normal 931 4" xfId="25751"/>
    <cellStyle name="Normal 931 4 2" xfId="59954"/>
    <cellStyle name="Normal 931 4 3" xfId="59955"/>
    <cellStyle name="Normal 931 5" xfId="25752"/>
    <cellStyle name="Normal 931 5 2" xfId="59956"/>
    <cellStyle name="Normal 931 5 3" xfId="59957"/>
    <cellStyle name="Normal 931 6" xfId="59958"/>
    <cellStyle name="Normal 931 7" xfId="59959"/>
    <cellStyle name="Normal 931 8" xfId="59960"/>
    <cellStyle name="Normal 931 9" xfId="59961"/>
    <cellStyle name="Normal 932" xfId="25753"/>
    <cellStyle name="Normal 932 10" xfId="59962"/>
    <cellStyle name="Normal 932 2" xfId="25754"/>
    <cellStyle name="Normal 932 2 2" xfId="25755"/>
    <cellStyle name="Normal 932 2 2 2" xfId="59963"/>
    <cellStyle name="Normal 932 2 2 3" xfId="59964"/>
    <cellStyle name="Normal 932 2 3" xfId="25756"/>
    <cellStyle name="Normal 932 2 3 2" xfId="59965"/>
    <cellStyle name="Normal 932 2 3 3" xfId="59966"/>
    <cellStyle name="Normal 932 2 4" xfId="59967"/>
    <cellStyle name="Normal 932 2 5" xfId="59968"/>
    <cellStyle name="Normal 932 2 6" xfId="59969"/>
    <cellStyle name="Normal 932 2 7" xfId="59970"/>
    <cellStyle name="Normal 932 2 8" xfId="59971"/>
    <cellStyle name="Normal 932 3" xfId="25757"/>
    <cellStyle name="Normal 932 3 2" xfId="59972"/>
    <cellStyle name="Normal 932 3 2 2" xfId="59973"/>
    <cellStyle name="Normal 932 3 2 3" xfId="59974"/>
    <cellStyle name="Normal 932 3 3" xfId="59975"/>
    <cellStyle name="Normal 932 3 3 2" xfId="59976"/>
    <cellStyle name="Normal 932 3 3 3" xfId="59977"/>
    <cellStyle name="Normal 932 3 4" xfId="59978"/>
    <cellStyle name="Normal 932 3 5" xfId="59979"/>
    <cellStyle name="Normal 932 4" xfId="25758"/>
    <cellStyle name="Normal 932 4 2" xfId="59980"/>
    <cellStyle name="Normal 932 4 3" xfId="59981"/>
    <cellStyle name="Normal 932 5" xfId="25759"/>
    <cellStyle name="Normal 932 5 2" xfId="59982"/>
    <cellStyle name="Normal 932 5 3" xfId="59983"/>
    <cellStyle name="Normal 932 6" xfId="59984"/>
    <cellStyle name="Normal 932 7" xfId="59985"/>
    <cellStyle name="Normal 932 8" xfId="59986"/>
    <cellStyle name="Normal 932 9" xfId="59987"/>
    <cellStyle name="Normal 933" xfId="25760"/>
    <cellStyle name="Normal 933 10" xfId="59988"/>
    <cellStyle name="Normal 933 2" xfId="25761"/>
    <cellStyle name="Normal 933 2 2" xfId="25762"/>
    <cellStyle name="Normal 933 2 2 2" xfId="59989"/>
    <cellStyle name="Normal 933 2 2 3" xfId="59990"/>
    <cellStyle name="Normal 933 2 3" xfId="25763"/>
    <cellStyle name="Normal 933 2 3 2" xfId="59991"/>
    <cellStyle name="Normal 933 2 3 3" xfId="59992"/>
    <cellStyle name="Normal 933 2 4" xfId="59993"/>
    <cellStyle name="Normal 933 2 5" xfId="59994"/>
    <cellStyle name="Normal 933 2 6" xfId="59995"/>
    <cellStyle name="Normal 933 2 7" xfId="59996"/>
    <cellStyle name="Normal 933 2 8" xfId="59997"/>
    <cellStyle name="Normal 933 3" xfId="25764"/>
    <cellStyle name="Normal 933 3 2" xfId="59998"/>
    <cellStyle name="Normal 933 3 2 2" xfId="59999"/>
    <cellStyle name="Normal 933 3 2 3" xfId="60000"/>
    <cellStyle name="Normal 933 3 3" xfId="60001"/>
    <cellStyle name="Normal 933 3 3 2" xfId="60002"/>
    <cellStyle name="Normal 933 3 3 3" xfId="60003"/>
    <cellStyle name="Normal 933 3 4" xfId="60004"/>
    <cellStyle name="Normal 933 3 5" xfId="60005"/>
    <cellStyle name="Normal 933 4" xfId="25765"/>
    <cellStyle name="Normal 933 4 2" xfId="60006"/>
    <cellStyle name="Normal 933 4 3" xfId="60007"/>
    <cellStyle name="Normal 933 5" xfId="25766"/>
    <cellStyle name="Normal 933 5 2" xfId="60008"/>
    <cellStyle name="Normal 933 5 3" xfId="60009"/>
    <cellStyle name="Normal 933 6" xfId="60010"/>
    <cellStyle name="Normal 933 7" xfId="60011"/>
    <cellStyle name="Normal 933 8" xfId="60012"/>
    <cellStyle name="Normal 933 9" xfId="60013"/>
    <cellStyle name="Normal 934" xfId="25767"/>
    <cellStyle name="Normal 934 10" xfId="60014"/>
    <cellStyle name="Normal 934 2" xfId="25768"/>
    <cellStyle name="Normal 934 2 2" xfId="25769"/>
    <cellStyle name="Normal 934 2 2 2" xfId="60015"/>
    <cellStyle name="Normal 934 2 2 3" xfId="60016"/>
    <cellStyle name="Normal 934 2 3" xfId="25770"/>
    <cellStyle name="Normal 934 2 3 2" xfId="60017"/>
    <cellStyle name="Normal 934 2 3 3" xfId="60018"/>
    <cellStyle name="Normal 934 2 4" xfId="60019"/>
    <cellStyle name="Normal 934 2 5" xfId="60020"/>
    <cellStyle name="Normal 934 2 6" xfId="60021"/>
    <cellStyle name="Normal 934 2 7" xfId="60022"/>
    <cellStyle name="Normal 934 2 8" xfId="60023"/>
    <cellStyle name="Normal 934 3" xfId="25771"/>
    <cellStyle name="Normal 934 3 2" xfId="60024"/>
    <cellStyle name="Normal 934 3 2 2" xfId="60025"/>
    <cellStyle name="Normal 934 3 2 3" xfId="60026"/>
    <cellStyle name="Normal 934 3 3" xfId="60027"/>
    <cellStyle name="Normal 934 3 3 2" xfId="60028"/>
    <cellStyle name="Normal 934 3 3 3" xfId="60029"/>
    <cellStyle name="Normal 934 3 4" xfId="60030"/>
    <cellStyle name="Normal 934 3 5" xfId="60031"/>
    <cellStyle name="Normal 934 4" xfId="25772"/>
    <cellStyle name="Normal 934 4 2" xfId="60032"/>
    <cellStyle name="Normal 934 4 3" xfId="60033"/>
    <cellStyle name="Normal 934 5" xfId="25773"/>
    <cellStyle name="Normal 934 5 2" xfId="60034"/>
    <cellStyle name="Normal 934 5 3" xfId="60035"/>
    <cellStyle name="Normal 934 6" xfId="60036"/>
    <cellStyle name="Normal 934 7" xfId="60037"/>
    <cellStyle name="Normal 934 8" xfId="60038"/>
    <cellStyle name="Normal 934 9" xfId="60039"/>
    <cellStyle name="Normal 935" xfId="25774"/>
    <cellStyle name="Normal 935 10" xfId="60040"/>
    <cellStyle name="Normal 935 2" xfId="25775"/>
    <cellStyle name="Normal 935 2 2" xfId="25776"/>
    <cellStyle name="Normal 935 2 2 2" xfId="60041"/>
    <cellStyle name="Normal 935 2 2 3" xfId="60042"/>
    <cellStyle name="Normal 935 2 3" xfId="25777"/>
    <cellStyle name="Normal 935 2 3 2" xfId="60043"/>
    <cellStyle name="Normal 935 2 3 3" xfId="60044"/>
    <cellStyle name="Normal 935 2 4" xfId="60045"/>
    <cellStyle name="Normal 935 2 5" xfId="60046"/>
    <cellStyle name="Normal 935 2 6" xfId="60047"/>
    <cellStyle name="Normal 935 2 7" xfId="60048"/>
    <cellStyle name="Normal 935 2 8" xfId="60049"/>
    <cellStyle name="Normal 935 3" xfId="25778"/>
    <cellStyle name="Normal 935 3 2" xfId="60050"/>
    <cellStyle name="Normal 935 3 2 2" xfId="60051"/>
    <cellStyle name="Normal 935 3 2 3" xfId="60052"/>
    <cellStyle name="Normal 935 3 3" xfId="60053"/>
    <cellStyle name="Normal 935 3 3 2" xfId="60054"/>
    <cellStyle name="Normal 935 3 3 3" xfId="60055"/>
    <cellStyle name="Normal 935 3 4" xfId="60056"/>
    <cellStyle name="Normal 935 3 5" xfId="60057"/>
    <cellStyle name="Normal 935 4" xfId="25779"/>
    <cellStyle name="Normal 935 4 2" xfId="60058"/>
    <cellStyle name="Normal 935 4 3" xfId="60059"/>
    <cellStyle name="Normal 935 5" xfId="25780"/>
    <cellStyle name="Normal 935 5 2" xfId="60060"/>
    <cellStyle name="Normal 935 5 3" xfId="60061"/>
    <cellStyle name="Normal 935 6" xfId="60062"/>
    <cellStyle name="Normal 935 7" xfId="60063"/>
    <cellStyle name="Normal 935 8" xfId="60064"/>
    <cellStyle name="Normal 935 9" xfId="60065"/>
    <cellStyle name="Normal 936" xfId="25781"/>
    <cellStyle name="Normal 936 10" xfId="60066"/>
    <cellStyle name="Normal 936 2" xfId="25782"/>
    <cellStyle name="Normal 936 2 2" xfId="25783"/>
    <cellStyle name="Normal 936 2 2 2" xfId="60067"/>
    <cellStyle name="Normal 936 2 2 3" xfId="60068"/>
    <cellStyle name="Normal 936 2 3" xfId="25784"/>
    <cellStyle name="Normal 936 2 3 2" xfId="60069"/>
    <cellStyle name="Normal 936 2 3 3" xfId="60070"/>
    <cellStyle name="Normal 936 2 4" xfId="60071"/>
    <cellStyle name="Normal 936 2 5" xfId="60072"/>
    <cellStyle name="Normal 936 2 6" xfId="60073"/>
    <cellStyle name="Normal 936 2 7" xfId="60074"/>
    <cellStyle name="Normal 936 2 8" xfId="60075"/>
    <cellStyle name="Normal 936 3" xfId="25785"/>
    <cellStyle name="Normal 936 3 2" xfId="60076"/>
    <cellStyle name="Normal 936 3 2 2" xfId="60077"/>
    <cellStyle name="Normal 936 3 2 3" xfId="60078"/>
    <cellStyle name="Normal 936 3 3" xfId="60079"/>
    <cellStyle name="Normal 936 3 3 2" xfId="60080"/>
    <cellStyle name="Normal 936 3 3 3" xfId="60081"/>
    <cellStyle name="Normal 936 3 4" xfId="60082"/>
    <cellStyle name="Normal 936 3 5" xfId="60083"/>
    <cellStyle name="Normal 936 4" xfId="25786"/>
    <cellStyle name="Normal 936 4 2" xfId="60084"/>
    <cellStyle name="Normal 936 4 3" xfId="60085"/>
    <cellStyle name="Normal 936 5" xfId="25787"/>
    <cellStyle name="Normal 936 5 2" xfId="60086"/>
    <cellStyle name="Normal 936 5 3" xfId="60087"/>
    <cellStyle name="Normal 936 6" xfId="60088"/>
    <cellStyle name="Normal 936 7" xfId="60089"/>
    <cellStyle name="Normal 936 8" xfId="60090"/>
    <cellStyle name="Normal 936 9" xfId="60091"/>
    <cellStyle name="Normal 937" xfId="25788"/>
    <cellStyle name="Normal 937 10" xfId="60092"/>
    <cellStyle name="Normal 937 2" xfId="25789"/>
    <cellStyle name="Normal 937 2 2" xfId="25790"/>
    <cellStyle name="Normal 937 2 2 2" xfId="60093"/>
    <cellStyle name="Normal 937 2 2 3" xfId="60094"/>
    <cellStyle name="Normal 937 2 3" xfId="25791"/>
    <cellStyle name="Normal 937 2 3 2" xfId="60095"/>
    <cellStyle name="Normal 937 2 3 3" xfId="60096"/>
    <cellStyle name="Normal 937 2 4" xfId="60097"/>
    <cellStyle name="Normal 937 2 5" xfId="60098"/>
    <cellStyle name="Normal 937 2 6" xfId="60099"/>
    <cellStyle name="Normal 937 2 7" xfId="60100"/>
    <cellStyle name="Normal 937 2 8" xfId="60101"/>
    <cellStyle name="Normal 937 3" xfId="25792"/>
    <cellStyle name="Normal 937 3 2" xfId="60102"/>
    <cellStyle name="Normal 937 3 2 2" xfId="60103"/>
    <cellStyle name="Normal 937 3 2 3" xfId="60104"/>
    <cellStyle name="Normal 937 3 3" xfId="60105"/>
    <cellStyle name="Normal 937 3 3 2" xfId="60106"/>
    <cellStyle name="Normal 937 3 3 3" xfId="60107"/>
    <cellStyle name="Normal 937 3 4" xfId="60108"/>
    <cellStyle name="Normal 937 3 5" xfId="60109"/>
    <cellStyle name="Normal 937 4" xfId="25793"/>
    <cellStyle name="Normal 937 4 2" xfId="60110"/>
    <cellStyle name="Normal 937 4 3" xfId="60111"/>
    <cellStyle name="Normal 937 5" xfId="25794"/>
    <cellStyle name="Normal 937 5 2" xfId="60112"/>
    <cellStyle name="Normal 937 5 3" xfId="60113"/>
    <cellStyle name="Normal 937 6" xfId="60114"/>
    <cellStyle name="Normal 937 7" xfId="60115"/>
    <cellStyle name="Normal 937 8" xfId="60116"/>
    <cellStyle name="Normal 937 9" xfId="60117"/>
    <cellStyle name="Normal 938" xfId="25795"/>
    <cellStyle name="Normal 938 10" xfId="60118"/>
    <cellStyle name="Normal 938 2" xfId="25796"/>
    <cellStyle name="Normal 938 2 2" xfId="25797"/>
    <cellStyle name="Normal 938 2 2 2" xfId="60119"/>
    <cellStyle name="Normal 938 2 2 3" xfId="60120"/>
    <cellStyle name="Normal 938 2 3" xfId="25798"/>
    <cellStyle name="Normal 938 2 3 2" xfId="60121"/>
    <cellStyle name="Normal 938 2 3 3" xfId="60122"/>
    <cellStyle name="Normal 938 2 4" xfId="60123"/>
    <cellStyle name="Normal 938 2 5" xfId="60124"/>
    <cellStyle name="Normal 938 2 6" xfId="60125"/>
    <cellStyle name="Normal 938 2 7" xfId="60126"/>
    <cellStyle name="Normal 938 2 8" xfId="60127"/>
    <cellStyle name="Normal 938 3" xfId="25799"/>
    <cellStyle name="Normal 938 3 2" xfId="60128"/>
    <cellStyle name="Normal 938 3 2 2" xfId="60129"/>
    <cellStyle name="Normal 938 3 2 3" xfId="60130"/>
    <cellStyle name="Normal 938 3 3" xfId="60131"/>
    <cellStyle name="Normal 938 3 3 2" xfId="60132"/>
    <cellStyle name="Normal 938 3 3 3" xfId="60133"/>
    <cellStyle name="Normal 938 3 4" xfId="60134"/>
    <cellStyle name="Normal 938 3 5" xfId="60135"/>
    <cellStyle name="Normal 938 4" xfId="25800"/>
    <cellStyle name="Normal 938 4 2" xfId="60136"/>
    <cellStyle name="Normal 938 4 3" xfId="60137"/>
    <cellStyle name="Normal 938 5" xfId="25801"/>
    <cellStyle name="Normal 938 5 2" xfId="60138"/>
    <cellStyle name="Normal 938 5 3" xfId="60139"/>
    <cellStyle name="Normal 938 6" xfId="60140"/>
    <cellStyle name="Normal 938 7" xfId="60141"/>
    <cellStyle name="Normal 938 8" xfId="60142"/>
    <cellStyle name="Normal 938 9" xfId="60143"/>
    <cellStyle name="Normal 939" xfId="25802"/>
    <cellStyle name="Normal 939 10" xfId="60144"/>
    <cellStyle name="Normal 939 2" xfId="25803"/>
    <cellStyle name="Normal 939 2 2" xfId="25804"/>
    <cellStyle name="Normal 939 2 2 2" xfId="60145"/>
    <cellStyle name="Normal 939 2 2 3" xfId="60146"/>
    <cellStyle name="Normal 939 2 3" xfId="25805"/>
    <cellStyle name="Normal 939 2 3 2" xfId="60147"/>
    <cellStyle name="Normal 939 2 3 3" xfId="60148"/>
    <cellStyle name="Normal 939 2 4" xfId="60149"/>
    <cellStyle name="Normal 939 2 5" xfId="60150"/>
    <cellStyle name="Normal 939 2 6" xfId="60151"/>
    <cellStyle name="Normal 939 2 7" xfId="60152"/>
    <cellStyle name="Normal 939 2 8" xfId="60153"/>
    <cellStyle name="Normal 939 3" xfId="25806"/>
    <cellStyle name="Normal 939 3 2" xfId="60154"/>
    <cellStyle name="Normal 939 3 2 2" xfId="60155"/>
    <cellStyle name="Normal 939 3 2 3" xfId="60156"/>
    <cellStyle name="Normal 939 3 3" xfId="60157"/>
    <cellStyle name="Normal 939 3 3 2" xfId="60158"/>
    <cellStyle name="Normal 939 3 3 3" xfId="60159"/>
    <cellStyle name="Normal 939 3 4" xfId="60160"/>
    <cellStyle name="Normal 939 3 5" xfId="60161"/>
    <cellStyle name="Normal 939 4" xfId="25807"/>
    <cellStyle name="Normal 939 4 2" xfId="60162"/>
    <cellStyle name="Normal 939 4 3" xfId="60163"/>
    <cellStyle name="Normal 939 5" xfId="25808"/>
    <cellStyle name="Normal 939 5 2" xfId="60164"/>
    <cellStyle name="Normal 939 5 3" xfId="60165"/>
    <cellStyle name="Normal 939 6" xfId="60166"/>
    <cellStyle name="Normal 939 7" xfId="60167"/>
    <cellStyle name="Normal 939 8" xfId="60168"/>
    <cellStyle name="Normal 939 9" xfId="60169"/>
    <cellStyle name="Normal 94" xfId="25809"/>
    <cellStyle name="Normal 94 10" xfId="60170"/>
    <cellStyle name="Normal 94 2" xfId="25810"/>
    <cellStyle name="Normal 94 2 2" xfId="25811"/>
    <cellStyle name="Normal 94 2 2 2" xfId="25812"/>
    <cellStyle name="Normal 94 2 2 3" xfId="25813"/>
    <cellStyle name="Normal 94 2 2 4" xfId="60171"/>
    <cellStyle name="Normal 94 2 2 5" xfId="60172"/>
    <cellStyle name="Normal 94 2 2 6" xfId="60173"/>
    <cellStyle name="Normal 94 2 3" xfId="25814"/>
    <cellStyle name="Normal 94 2 3 2" xfId="60174"/>
    <cellStyle name="Normal 94 2 3 3" xfId="60175"/>
    <cellStyle name="Normal 94 2 4" xfId="25815"/>
    <cellStyle name="Normal 94 2 5" xfId="25816"/>
    <cellStyle name="Normal 94 2 6" xfId="60176"/>
    <cellStyle name="Normal 94 2 7" xfId="60177"/>
    <cellStyle name="Normal 94 2 8" xfId="60178"/>
    <cellStyle name="Normal 94 3" xfId="25817"/>
    <cellStyle name="Normal 94 3 2" xfId="25818"/>
    <cellStyle name="Normal 94 3 2 2" xfId="60179"/>
    <cellStyle name="Normal 94 3 2 3" xfId="60180"/>
    <cellStyle name="Normal 94 3 3" xfId="25819"/>
    <cellStyle name="Normal 94 3 3 2" xfId="60181"/>
    <cellStyle name="Normal 94 3 3 3" xfId="60182"/>
    <cellStyle name="Normal 94 3 4" xfId="60183"/>
    <cellStyle name="Normal 94 3 5" xfId="60184"/>
    <cellStyle name="Normal 94 4" xfId="25820"/>
    <cellStyle name="Normal 94 4 2" xfId="60185"/>
    <cellStyle name="Normal 94 4 3" xfId="60186"/>
    <cellStyle name="Normal 94 5" xfId="25821"/>
    <cellStyle name="Normal 94 5 2" xfId="60187"/>
    <cellStyle name="Normal 94 5 3" xfId="60188"/>
    <cellStyle name="Normal 94 6" xfId="25822"/>
    <cellStyle name="Normal 94 7" xfId="60189"/>
    <cellStyle name="Normal 94 8" xfId="60190"/>
    <cellStyle name="Normal 94 9" xfId="60191"/>
    <cellStyle name="Normal 940" xfId="25823"/>
    <cellStyle name="Normal 940 10" xfId="60192"/>
    <cellStyle name="Normal 940 2" xfId="25824"/>
    <cellStyle name="Normal 940 2 2" xfId="25825"/>
    <cellStyle name="Normal 940 2 2 2" xfId="60193"/>
    <cellStyle name="Normal 940 2 2 3" xfId="60194"/>
    <cellStyle name="Normal 940 2 3" xfId="25826"/>
    <cellStyle name="Normal 940 2 3 2" xfId="60195"/>
    <cellStyle name="Normal 940 2 3 3" xfId="60196"/>
    <cellStyle name="Normal 940 2 4" xfId="60197"/>
    <cellStyle name="Normal 940 2 5" xfId="60198"/>
    <cellStyle name="Normal 940 2 6" xfId="60199"/>
    <cellStyle name="Normal 940 2 7" xfId="60200"/>
    <cellStyle name="Normal 940 2 8" xfId="60201"/>
    <cellStyle name="Normal 940 3" xfId="25827"/>
    <cellStyle name="Normal 940 3 2" xfId="60202"/>
    <cellStyle name="Normal 940 3 2 2" xfId="60203"/>
    <cellStyle name="Normal 940 3 2 3" xfId="60204"/>
    <cellStyle name="Normal 940 3 3" xfId="60205"/>
    <cellStyle name="Normal 940 3 3 2" xfId="60206"/>
    <cellStyle name="Normal 940 3 3 3" xfId="60207"/>
    <cellStyle name="Normal 940 3 4" xfId="60208"/>
    <cellStyle name="Normal 940 3 5" xfId="60209"/>
    <cellStyle name="Normal 940 4" xfId="25828"/>
    <cellStyle name="Normal 940 4 2" xfId="60210"/>
    <cellStyle name="Normal 940 4 3" xfId="60211"/>
    <cellStyle name="Normal 940 5" xfId="25829"/>
    <cellStyle name="Normal 940 5 2" xfId="60212"/>
    <cellStyle name="Normal 940 5 3" xfId="60213"/>
    <cellStyle name="Normal 940 6" xfId="60214"/>
    <cellStyle name="Normal 940 7" xfId="60215"/>
    <cellStyle name="Normal 940 8" xfId="60216"/>
    <cellStyle name="Normal 940 9" xfId="60217"/>
    <cellStyle name="Normal 941" xfId="25830"/>
    <cellStyle name="Normal 941 10" xfId="60218"/>
    <cellStyle name="Normal 941 2" xfId="25831"/>
    <cellStyle name="Normal 941 2 2" xfId="25832"/>
    <cellStyle name="Normal 941 2 2 2" xfId="60219"/>
    <cellStyle name="Normal 941 2 2 3" xfId="60220"/>
    <cellStyle name="Normal 941 2 3" xfId="25833"/>
    <cellStyle name="Normal 941 2 3 2" xfId="60221"/>
    <cellStyle name="Normal 941 2 3 3" xfId="60222"/>
    <cellStyle name="Normal 941 2 4" xfId="60223"/>
    <cellStyle name="Normal 941 2 5" xfId="60224"/>
    <cellStyle name="Normal 941 2 6" xfId="60225"/>
    <cellStyle name="Normal 941 2 7" xfId="60226"/>
    <cellStyle name="Normal 941 2 8" xfId="60227"/>
    <cellStyle name="Normal 941 3" xfId="25834"/>
    <cellStyle name="Normal 941 3 2" xfId="60228"/>
    <cellStyle name="Normal 941 3 2 2" xfId="60229"/>
    <cellStyle name="Normal 941 3 2 3" xfId="60230"/>
    <cellStyle name="Normal 941 3 3" xfId="60231"/>
    <cellStyle name="Normal 941 3 3 2" xfId="60232"/>
    <cellStyle name="Normal 941 3 3 3" xfId="60233"/>
    <cellStyle name="Normal 941 3 4" xfId="60234"/>
    <cellStyle name="Normal 941 3 5" xfId="60235"/>
    <cellStyle name="Normal 941 4" xfId="25835"/>
    <cellStyle name="Normal 941 4 2" xfId="60236"/>
    <cellStyle name="Normal 941 4 3" xfId="60237"/>
    <cellStyle name="Normal 941 5" xfId="25836"/>
    <cellStyle name="Normal 941 5 2" xfId="60238"/>
    <cellStyle name="Normal 941 5 3" xfId="60239"/>
    <cellStyle name="Normal 941 6" xfId="60240"/>
    <cellStyle name="Normal 941 7" xfId="60241"/>
    <cellStyle name="Normal 941 8" xfId="60242"/>
    <cellStyle name="Normal 941 9" xfId="60243"/>
    <cellStyle name="Normal 942" xfId="25837"/>
    <cellStyle name="Normal 942 10" xfId="60244"/>
    <cellStyle name="Normal 942 2" xfId="25838"/>
    <cellStyle name="Normal 942 2 2" xfId="25839"/>
    <cellStyle name="Normal 942 2 2 2" xfId="60245"/>
    <cellStyle name="Normal 942 2 2 3" xfId="60246"/>
    <cellStyle name="Normal 942 2 3" xfId="25840"/>
    <cellStyle name="Normal 942 2 3 2" xfId="60247"/>
    <cellStyle name="Normal 942 2 3 3" xfId="60248"/>
    <cellStyle name="Normal 942 2 4" xfId="60249"/>
    <cellStyle name="Normal 942 2 5" xfId="60250"/>
    <cellStyle name="Normal 942 2 6" xfId="60251"/>
    <cellStyle name="Normal 942 2 7" xfId="60252"/>
    <cellStyle name="Normal 942 2 8" xfId="60253"/>
    <cellStyle name="Normal 942 3" xfId="25841"/>
    <cellStyle name="Normal 942 3 2" xfId="60254"/>
    <cellStyle name="Normal 942 3 2 2" xfId="60255"/>
    <cellStyle name="Normal 942 3 2 3" xfId="60256"/>
    <cellStyle name="Normal 942 3 3" xfId="60257"/>
    <cellStyle name="Normal 942 3 3 2" xfId="60258"/>
    <cellStyle name="Normal 942 3 3 3" xfId="60259"/>
    <cellStyle name="Normal 942 3 4" xfId="60260"/>
    <cellStyle name="Normal 942 3 5" xfId="60261"/>
    <cellStyle name="Normal 942 4" xfId="25842"/>
    <cellStyle name="Normal 942 4 2" xfId="60262"/>
    <cellStyle name="Normal 942 4 3" xfId="60263"/>
    <cellStyle name="Normal 942 5" xfId="25843"/>
    <cellStyle name="Normal 942 5 2" xfId="60264"/>
    <cellStyle name="Normal 942 5 3" xfId="60265"/>
    <cellStyle name="Normal 942 6" xfId="60266"/>
    <cellStyle name="Normal 942 7" xfId="60267"/>
    <cellStyle name="Normal 942 8" xfId="60268"/>
    <cellStyle name="Normal 942 9" xfId="60269"/>
    <cellStyle name="Normal 943" xfId="25844"/>
    <cellStyle name="Normal 943 10" xfId="60270"/>
    <cellStyle name="Normal 943 2" xfId="25845"/>
    <cellStyle name="Normal 943 2 2" xfId="25846"/>
    <cellStyle name="Normal 943 2 2 2" xfId="60271"/>
    <cellStyle name="Normal 943 2 2 3" xfId="60272"/>
    <cellStyle name="Normal 943 2 3" xfId="25847"/>
    <cellStyle name="Normal 943 2 3 2" xfId="60273"/>
    <cellStyle name="Normal 943 2 3 3" xfId="60274"/>
    <cellStyle name="Normal 943 2 4" xfId="60275"/>
    <cellStyle name="Normal 943 2 5" xfId="60276"/>
    <cellStyle name="Normal 943 2 6" xfId="60277"/>
    <cellStyle name="Normal 943 2 7" xfId="60278"/>
    <cellStyle name="Normal 943 2 8" xfId="60279"/>
    <cellStyle name="Normal 943 3" xfId="25848"/>
    <cellStyle name="Normal 943 3 2" xfId="60280"/>
    <cellStyle name="Normal 943 3 2 2" xfId="60281"/>
    <cellStyle name="Normal 943 3 2 3" xfId="60282"/>
    <cellStyle name="Normal 943 3 3" xfId="60283"/>
    <cellStyle name="Normal 943 3 3 2" xfId="60284"/>
    <cellStyle name="Normal 943 3 3 3" xfId="60285"/>
    <cellStyle name="Normal 943 3 4" xfId="60286"/>
    <cellStyle name="Normal 943 3 5" xfId="60287"/>
    <cellStyle name="Normal 943 4" xfId="25849"/>
    <cellStyle name="Normal 943 4 2" xfId="60288"/>
    <cellStyle name="Normal 943 4 3" xfId="60289"/>
    <cellStyle name="Normal 943 5" xfId="25850"/>
    <cellStyle name="Normal 943 5 2" xfId="60290"/>
    <cellStyle name="Normal 943 5 3" xfId="60291"/>
    <cellStyle name="Normal 943 6" xfId="60292"/>
    <cellStyle name="Normal 943 7" xfId="60293"/>
    <cellStyle name="Normal 943 8" xfId="60294"/>
    <cellStyle name="Normal 943 9" xfId="60295"/>
    <cellStyle name="Normal 944" xfId="25851"/>
    <cellStyle name="Normal 944 10" xfId="60296"/>
    <cellStyle name="Normal 944 2" xfId="25852"/>
    <cellStyle name="Normal 944 2 2" xfId="25853"/>
    <cellStyle name="Normal 944 2 2 2" xfId="60297"/>
    <cellStyle name="Normal 944 2 2 3" xfId="60298"/>
    <cellStyle name="Normal 944 2 3" xfId="25854"/>
    <cellStyle name="Normal 944 2 3 2" xfId="60299"/>
    <cellStyle name="Normal 944 2 3 3" xfId="60300"/>
    <cellStyle name="Normal 944 2 4" xfId="60301"/>
    <cellStyle name="Normal 944 2 5" xfId="60302"/>
    <cellStyle name="Normal 944 2 6" xfId="60303"/>
    <cellStyle name="Normal 944 2 7" xfId="60304"/>
    <cellStyle name="Normal 944 2 8" xfId="60305"/>
    <cellStyle name="Normal 944 3" xfId="25855"/>
    <cellStyle name="Normal 944 3 2" xfId="60306"/>
    <cellStyle name="Normal 944 3 2 2" xfId="60307"/>
    <cellStyle name="Normal 944 3 2 3" xfId="60308"/>
    <cellStyle name="Normal 944 3 3" xfId="60309"/>
    <cellStyle name="Normal 944 3 3 2" xfId="60310"/>
    <cellStyle name="Normal 944 3 3 3" xfId="60311"/>
    <cellStyle name="Normal 944 3 4" xfId="60312"/>
    <cellStyle name="Normal 944 3 5" xfId="60313"/>
    <cellStyle name="Normal 944 4" xfId="25856"/>
    <cellStyle name="Normal 944 4 2" xfId="60314"/>
    <cellStyle name="Normal 944 4 3" xfId="60315"/>
    <cellStyle name="Normal 944 5" xfId="25857"/>
    <cellStyle name="Normal 944 5 2" xfId="60316"/>
    <cellStyle name="Normal 944 5 3" xfId="60317"/>
    <cellStyle name="Normal 944 6" xfId="60318"/>
    <cellStyle name="Normal 944 7" xfId="60319"/>
    <cellStyle name="Normal 944 8" xfId="60320"/>
    <cellStyle name="Normal 944 9" xfId="60321"/>
    <cellStyle name="Normal 945" xfId="25858"/>
    <cellStyle name="Normal 945 10" xfId="60322"/>
    <cellStyle name="Normal 945 2" xfId="25859"/>
    <cellStyle name="Normal 945 2 2" xfId="25860"/>
    <cellStyle name="Normal 945 2 2 2" xfId="60323"/>
    <cellStyle name="Normal 945 2 2 3" xfId="60324"/>
    <cellStyle name="Normal 945 2 3" xfId="25861"/>
    <cellStyle name="Normal 945 2 3 2" xfId="60325"/>
    <cellStyle name="Normal 945 2 3 3" xfId="60326"/>
    <cellStyle name="Normal 945 2 4" xfId="60327"/>
    <cellStyle name="Normal 945 2 5" xfId="60328"/>
    <cellStyle name="Normal 945 2 6" xfId="60329"/>
    <cellStyle name="Normal 945 2 7" xfId="60330"/>
    <cellStyle name="Normal 945 2 8" xfId="60331"/>
    <cellStyle name="Normal 945 3" xfId="25862"/>
    <cellStyle name="Normal 945 3 2" xfId="60332"/>
    <cellStyle name="Normal 945 3 2 2" xfId="60333"/>
    <cellStyle name="Normal 945 3 2 3" xfId="60334"/>
    <cellStyle name="Normal 945 3 3" xfId="60335"/>
    <cellStyle name="Normal 945 3 3 2" xfId="60336"/>
    <cellStyle name="Normal 945 3 3 3" xfId="60337"/>
    <cellStyle name="Normal 945 3 4" xfId="60338"/>
    <cellStyle name="Normal 945 3 5" xfId="60339"/>
    <cellStyle name="Normal 945 4" xfId="25863"/>
    <cellStyle name="Normal 945 4 2" xfId="60340"/>
    <cellStyle name="Normal 945 4 3" xfId="60341"/>
    <cellStyle name="Normal 945 5" xfId="25864"/>
    <cellStyle name="Normal 945 5 2" xfId="60342"/>
    <cellStyle name="Normal 945 5 3" xfId="60343"/>
    <cellStyle name="Normal 945 6" xfId="60344"/>
    <cellStyle name="Normal 945 7" xfId="60345"/>
    <cellStyle name="Normal 945 8" xfId="60346"/>
    <cellStyle name="Normal 945 9" xfId="60347"/>
    <cellStyle name="Normal 946" xfId="25865"/>
    <cellStyle name="Normal 946 10" xfId="60348"/>
    <cellStyle name="Normal 946 2" xfId="25866"/>
    <cellStyle name="Normal 946 2 2" xfId="25867"/>
    <cellStyle name="Normal 946 2 2 2" xfId="60349"/>
    <cellStyle name="Normal 946 2 2 3" xfId="60350"/>
    <cellStyle name="Normal 946 2 3" xfId="25868"/>
    <cellStyle name="Normal 946 2 3 2" xfId="60351"/>
    <cellStyle name="Normal 946 2 3 3" xfId="60352"/>
    <cellStyle name="Normal 946 2 4" xfId="60353"/>
    <cellStyle name="Normal 946 2 5" xfId="60354"/>
    <cellStyle name="Normal 946 2 6" xfId="60355"/>
    <cellStyle name="Normal 946 2 7" xfId="60356"/>
    <cellStyle name="Normal 946 2 8" xfId="60357"/>
    <cellStyle name="Normal 946 3" xfId="25869"/>
    <cellStyle name="Normal 946 3 2" xfId="60358"/>
    <cellStyle name="Normal 946 3 2 2" xfId="60359"/>
    <cellStyle name="Normal 946 3 2 3" xfId="60360"/>
    <cellStyle name="Normal 946 3 3" xfId="60361"/>
    <cellStyle name="Normal 946 3 3 2" xfId="60362"/>
    <cellStyle name="Normal 946 3 3 3" xfId="60363"/>
    <cellStyle name="Normal 946 3 4" xfId="60364"/>
    <cellStyle name="Normal 946 3 5" xfId="60365"/>
    <cellStyle name="Normal 946 4" xfId="25870"/>
    <cellStyle name="Normal 946 4 2" xfId="60366"/>
    <cellStyle name="Normal 946 4 3" xfId="60367"/>
    <cellStyle name="Normal 946 5" xfId="25871"/>
    <cellStyle name="Normal 946 5 2" xfId="60368"/>
    <cellStyle name="Normal 946 5 3" xfId="60369"/>
    <cellStyle name="Normal 946 6" xfId="60370"/>
    <cellStyle name="Normal 946 7" xfId="60371"/>
    <cellStyle name="Normal 946 8" xfId="60372"/>
    <cellStyle name="Normal 946 9" xfId="60373"/>
    <cellStyle name="Normal 947" xfId="25872"/>
    <cellStyle name="Normal 947 10" xfId="60374"/>
    <cellStyle name="Normal 947 2" xfId="25873"/>
    <cellStyle name="Normal 947 2 2" xfId="25874"/>
    <cellStyle name="Normal 947 2 2 2" xfId="60375"/>
    <cellStyle name="Normal 947 2 2 3" xfId="60376"/>
    <cellStyle name="Normal 947 2 3" xfId="25875"/>
    <cellStyle name="Normal 947 2 3 2" xfId="60377"/>
    <cellStyle name="Normal 947 2 3 3" xfId="60378"/>
    <cellStyle name="Normal 947 2 4" xfId="60379"/>
    <cellStyle name="Normal 947 2 5" xfId="60380"/>
    <cellStyle name="Normal 947 2 6" xfId="60381"/>
    <cellStyle name="Normal 947 2 7" xfId="60382"/>
    <cellStyle name="Normal 947 2 8" xfId="60383"/>
    <cellStyle name="Normal 947 3" xfId="25876"/>
    <cellStyle name="Normal 947 3 2" xfId="60384"/>
    <cellStyle name="Normal 947 3 2 2" xfId="60385"/>
    <cellStyle name="Normal 947 3 2 3" xfId="60386"/>
    <cellStyle name="Normal 947 3 3" xfId="60387"/>
    <cellStyle name="Normal 947 3 3 2" xfId="60388"/>
    <cellStyle name="Normal 947 3 3 3" xfId="60389"/>
    <cellStyle name="Normal 947 3 4" xfId="60390"/>
    <cellStyle name="Normal 947 3 5" xfId="60391"/>
    <cellStyle name="Normal 947 4" xfId="25877"/>
    <cellStyle name="Normal 947 4 2" xfId="60392"/>
    <cellStyle name="Normal 947 4 3" xfId="60393"/>
    <cellStyle name="Normal 947 5" xfId="25878"/>
    <cellStyle name="Normal 947 5 2" xfId="60394"/>
    <cellStyle name="Normal 947 5 3" xfId="60395"/>
    <cellStyle name="Normal 947 6" xfId="60396"/>
    <cellStyle name="Normal 947 7" xfId="60397"/>
    <cellStyle name="Normal 947 8" xfId="60398"/>
    <cellStyle name="Normal 947 9" xfId="60399"/>
    <cellStyle name="Normal 948" xfId="25879"/>
    <cellStyle name="Normal 948 10" xfId="60400"/>
    <cellStyle name="Normal 948 2" xfId="25880"/>
    <cellStyle name="Normal 948 2 2" xfId="25881"/>
    <cellStyle name="Normal 948 2 2 2" xfId="60401"/>
    <cellStyle name="Normal 948 2 2 3" xfId="60402"/>
    <cellStyle name="Normal 948 2 3" xfId="25882"/>
    <cellStyle name="Normal 948 2 3 2" xfId="60403"/>
    <cellStyle name="Normal 948 2 3 3" xfId="60404"/>
    <cellStyle name="Normal 948 2 4" xfId="60405"/>
    <cellStyle name="Normal 948 2 5" xfId="60406"/>
    <cellStyle name="Normal 948 2 6" xfId="60407"/>
    <cellStyle name="Normal 948 2 7" xfId="60408"/>
    <cellStyle name="Normal 948 2 8" xfId="60409"/>
    <cellStyle name="Normal 948 3" xfId="25883"/>
    <cellStyle name="Normal 948 3 2" xfId="60410"/>
    <cellStyle name="Normal 948 3 2 2" xfId="60411"/>
    <cellStyle name="Normal 948 3 2 3" xfId="60412"/>
    <cellStyle name="Normal 948 3 3" xfId="60413"/>
    <cellStyle name="Normal 948 3 3 2" xfId="60414"/>
    <cellStyle name="Normal 948 3 3 3" xfId="60415"/>
    <cellStyle name="Normal 948 3 4" xfId="60416"/>
    <cellStyle name="Normal 948 3 5" xfId="60417"/>
    <cellStyle name="Normal 948 4" xfId="25884"/>
    <cellStyle name="Normal 948 4 2" xfId="60418"/>
    <cellStyle name="Normal 948 4 3" xfId="60419"/>
    <cellStyle name="Normal 948 5" xfId="25885"/>
    <cellStyle name="Normal 948 5 2" xfId="60420"/>
    <cellStyle name="Normal 948 5 3" xfId="60421"/>
    <cellStyle name="Normal 948 6" xfId="60422"/>
    <cellStyle name="Normal 948 7" xfId="60423"/>
    <cellStyle name="Normal 948 8" xfId="60424"/>
    <cellStyle name="Normal 948 9" xfId="60425"/>
    <cellStyle name="Normal 949" xfId="25886"/>
    <cellStyle name="Normal 949 10" xfId="60426"/>
    <cellStyle name="Normal 949 2" xfId="25887"/>
    <cellStyle name="Normal 949 2 2" xfId="25888"/>
    <cellStyle name="Normal 949 2 2 2" xfId="60427"/>
    <cellStyle name="Normal 949 2 2 3" xfId="60428"/>
    <cellStyle name="Normal 949 2 3" xfId="25889"/>
    <cellStyle name="Normal 949 2 3 2" xfId="60429"/>
    <cellStyle name="Normal 949 2 3 3" xfId="60430"/>
    <cellStyle name="Normal 949 2 4" xfId="60431"/>
    <cellStyle name="Normal 949 2 5" xfId="60432"/>
    <cellStyle name="Normal 949 2 6" xfId="60433"/>
    <cellStyle name="Normal 949 2 7" xfId="60434"/>
    <cellStyle name="Normal 949 2 8" xfId="60435"/>
    <cellStyle name="Normal 949 3" xfId="25890"/>
    <cellStyle name="Normal 949 3 2" xfId="60436"/>
    <cellStyle name="Normal 949 3 2 2" xfId="60437"/>
    <cellStyle name="Normal 949 3 2 3" xfId="60438"/>
    <cellStyle name="Normal 949 3 3" xfId="60439"/>
    <cellStyle name="Normal 949 3 3 2" xfId="60440"/>
    <cellStyle name="Normal 949 3 3 3" xfId="60441"/>
    <cellStyle name="Normal 949 3 4" xfId="60442"/>
    <cellStyle name="Normal 949 3 5" xfId="60443"/>
    <cellStyle name="Normal 949 4" xfId="25891"/>
    <cellStyle name="Normal 949 4 2" xfId="60444"/>
    <cellStyle name="Normal 949 4 3" xfId="60445"/>
    <cellStyle name="Normal 949 5" xfId="25892"/>
    <cellStyle name="Normal 949 5 2" xfId="60446"/>
    <cellStyle name="Normal 949 5 3" xfId="60447"/>
    <cellStyle name="Normal 949 6" xfId="60448"/>
    <cellStyle name="Normal 949 7" xfId="60449"/>
    <cellStyle name="Normal 949 8" xfId="60450"/>
    <cellStyle name="Normal 949 9" xfId="60451"/>
    <cellStyle name="Normal 95" xfId="25893"/>
    <cellStyle name="Normal 95 10" xfId="60452"/>
    <cellStyle name="Normal 95 2" xfId="25894"/>
    <cellStyle name="Normal 95 2 2" xfId="25895"/>
    <cellStyle name="Normal 95 2 2 2" xfId="25896"/>
    <cellStyle name="Normal 95 2 2 3" xfId="25897"/>
    <cellStyle name="Normal 95 2 2 4" xfId="60453"/>
    <cellStyle name="Normal 95 2 2 5" xfId="60454"/>
    <cellStyle name="Normal 95 2 2 6" xfId="60455"/>
    <cellStyle name="Normal 95 2 3" xfId="25898"/>
    <cellStyle name="Normal 95 2 3 2" xfId="60456"/>
    <cellStyle name="Normal 95 2 3 3" xfId="60457"/>
    <cellStyle name="Normal 95 2 4" xfId="25899"/>
    <cellStyle name="Normal 95 2 5" xfId="25900"/>
    <cellStyle name="Normal 95 2 6" xfId="60458"/>
    <cellStyle name="Normal 95 2 7" xfId="60459"/>
    <cellStyle name="Normal 95 2 8" xfId="60460"/>
    <cellStyle name="Normal 95 3" xfId="25901"/>
    <cellStyle name="Normal 95 3 2" xfId="25902"/>
    <cellStyle name="Normal 95 3 2 2" xfId="60461"/>
    <cellStyle name="Normal 95 3 2 3" xfId="60462"/>
    <cellStyle name="Normal 95 3 3" xfId="25903"/>
    <cellStyle name="Normal 95 3 3 2" xfId="60463"/>
    <cellStyle name="Normal 95 3 3 3" xfId="60464"/>
    <cellStyle name="Normal 95 3 4" xfId="60465"/>
    <cellStyle name="Normal 95 3 5" xfId="60466"/>
    <cellStyle name="Normal 95 4" xfId="25904"/>
    <cellStyle name="Normal 95 4 2" xfId="60467"/>
    <cellStyle name="Normal 95 4 3" xfId="60468"/>
    <cellStyle name="Normal 95 5" xfId="25905"/>
    <cellStyle name="Normal 95 5 2" xfId="60469"/>
    <cellStyle name="Normal 95 5 3" xfId="60470"/>
    <cellStyle name="Normal 95 6" xfId="25906"/>
    <cellStyle name="Normal 95 7" xfId="60471"/>
    <cellStyle name="Normal 95 8" xfId="60472"/>
    <cellStyle name="Normal 95 9" xfId="60473"/>
    <cellStyle name="Normal 950" xfId="25907"/>
    <cellStyle name="Normal 950 10" xfId="60474"/>
    <cellStyle name="Normal 950 2" xfId="25908"/>
    <cellStyle name="Normal 950 2 2" xfId="25909"/>
    <cellStyle name="Normal 950 2 2 2" xfId="60475"/>
    <cellStyle name="Normal 950 2 2 3" xfId="60476"/>
    <cellStyle name="Normal 950 2 3" xfId="25910"/>
    <cellStyle name="Normal 950 2 3 2" xfId="60477"/>
    <cellStyle name="Normal 950 2 3 3" xfId="60478"/>
    <cellStyle name="Normal 950 2 4" xfId="60479"/>
    <cellStyle name="Normal 950 2 5" xfId="60480"/>
    <cellStyle name="Normal 950 2 6" xfId="60481"/>
    <cellStyle name="Normal 950 2 7" xfId="60482"/>
    <cellStyle name="Normal 950 2 8" xfId="60483"/>
    <cellStyle name="Normal 950 3" xfId="25911"/>
    <cellStyle name="Normal 950 3 2" xfId="60484"/>
    <cellStyle name="Normal 950 3 2 2" xfId="60485"/>
    <cellStyle name="Normal 950 3 2 3" xfId="60486"/>
    <cellStyle name="Normal 950 3 3" xfId="60487"/>
    <cellStyle name="Normal 950 3 3 2" xfId="60488"/>
    <cellStyle name="Normal 950 3 3 3" xfId="60489"/>
    <cellStyle name="Normal 950 3 4" xfId="60490"/>
    <cellStyle name="Normal 950 3 5" xfId="60491"/>
    <cellStyle name="Normal 950 4" xfId="25912"/>
    <cellStyle name="Normal 950 4 2" xfId="60492"/>
    <cellStyle name="Normal 950 4 3" xfId="60493"/>
    <cellStyle name="Normal 950 5" xfId="25913"/>
    <cellStyle name="Normal 950 5 2" xfId="60494"/>
    <cellStyle name="Normal 950 5 3" xfId="60495"/>
    <cellStyle name="Normal 950 6" xfId="60496"/>
    <cellStyle name="Normal 950 7" xfId="60497"/>
    <cellStyle name="Normal 950 8" xfId="60498"/>
    <cellStyle name="Normal 950 9" xfId="60499"/>
    <cellStyle name="Normal 951" xfId="25914"/>
    <cellStyle name="Normal 951 10" xfId="60500"/>
    <cellStyle name="Normal 951 2" xfId="25915"/>
    <cellStyle name="Normal 951 2 2" xfId="25916"/>
    <cellStyle name="Normal 951 2 2 2" xfId="60501"/>
    <cellStyle name="Normal 951 2 2 3" xfId="60502"/>
    <cellStyle name="Normal 951 2 3" xfId="25917"/>
    <cellStyle name="Normal 951 2 3 2" xfId="60503"/>
    <cellStyle name="Normal 951 2 3 3" xfId="60504"/>
    <cellStyle name="Normal 951 2 4" xfId="60505"/>
    <cellStyle name="Normal 951 2 5" xfId="60506"/>
    <cellStyle name="Normal 951 2 6" xfId="60507"/>
    <cellStyle name="Normal 951 2 7" xfId="60508"/>
    <cellStyle name="Normal 951 2 8" xfId="60509"/>
    <cellStyle name="Normal 951 3" xfId="25918"/>
    <cellStyle name="Normal 951 3 2" xfId="60510"/>
    <cellStyle name="Normal 951 3 2 2" xfId="60511"/>
    <cellStyle name="Normal 951 3 2 3" xfId="60512"/>
    <cellStyle name="Normal 951 3 3" xfId="60513"/>
    <cellStyle name="Normal 951 3 3 2" xfId="60514"/>
    <cellStyle name="Normal 951 3 3 3" xfId="60515"/>
    <cellStyle name="Normal 951 3 4" xfId="60516"/>
    <cellStyle name="Normal 951 3 5" xfId="60517"/>
    <cellStyle name="Normal 951 4" xfId="25919"/>
    <cellStyle name="Normal 951 4 2" xfId="60518"/>
    <cellStyle name="Normal 951 4 3" xfId="60519"/>
    <cellStyle name="Normal 951 5" xfId="25920"/>
    <cellStyle name="Normal 951 5 2" xfId="60520"/>
    <cellStyle name="Normal 951 5 3" xfId="60521"/>
    <cellStyle name="Normal 951 6" xfId="60522"/>
    <cellStyle name="Normal 951 7" xfId="60523"/>
    <cellStyle name="Normal 951 8" xfId="60524"/>
    <cellStyle name="Normal 951 9" xfId="60525"/>
    <cellStyle name="Normal 952" xfId="25921"/>
    <cellStyle name="Normal 952 10" xfId="60526"/>
    <cellStyle name="Normal 952 2" xfId="25922"/>
    <cellStyle name="Normal 952 2 2" xfId="25923"/>
    <cellStyle name="Normal 952 2 2 2" xfId="60527"/>
    <cellStyle name="Normal 952 2 2 3" xfId="60528"/>
    <cellStyle name="Normal 952 2 3" xfId="25924"/>
    <cellStyle name="Normal 952 2 3 2" xfId="60529"/>
    <cellStyle name="Normal 952 2 3 3" xfId="60530"/>
    <cellStyle name="Normal 952 2 4" xfId="60531"/>
    <cellStyle name="Normal 952 2 5" xfId="60532"/>
    <cellStyle name="Normal 952 2 6" xfId="60533"/>
    <cellStyle name="Normal 952 2 7" xfId="60534"/>
    <cellStyle name="Normal 952 2 8" xfId="60535"/>
    <cellStyle name="Normal 952 3" xfId="25925"/>
    <cellStyle name="Normal 952 3 2" xfId="60536"/>
    <cellStyle name="Normal 952 3 2 2" xfId="60537"/>
    <cellStyle name="Normal 952 3 2 3" xfId="60538"/>
    <cellStyle name="Normal 952 3 3" xfId="60539"/>
    <cellStyle name="Normal 952 3 3 2" xfId="60540"/>
    <cellStyle name="Normal 952 3 3 3" xfId="60541"/>
    <cellStyle name="Normal 952 3 4" xfId="60542"/>
    <cellStyle name="Normal 952 3 5" xfId="60543"/>
    <cellStyle name="Normal 952 4" xfId="25926"/>
    <cellStyle name="Normal 952 4 2" xfId="60544"/>
    <cellStyle name="Normal 952 4 3" xfId="60545"/>
    <cellStyle name="Normal 952 5" xfId="25927"/>
    <cellStyle name="Normal 952 5 2" xfId="60546"/>
    <cellStyle name="Normal 952 5 3" xfId="60547"/>
    <cellStyle name="Normal 952 6" xfId="60548"/>
    <cellStyle name="Normal 952 7" xfId="60549"/>
    <cellStyle name="Normal 952 8" xfId="60550"/>
    <cellStyle name="Normal 952 9" xfId="60551"/>
    <cellStyle name="Normal 953" xfId="25928"/>
    <cellStyle name="Normal 953 10" xfId="60552"/>
    <cellStyle name="Normal 953 2" xfId="25929"/>
    <cellStyle name="Normal 953 2 2" xfId="25930"/>
    <cellStyle name="Normal 953 2 2 2" xfId="60553"/>
    <cellStyle name="Normal 953 2 2 3" xfId="60554"/>
    <cellStyle name="Normal 953 2 3" xfId="25931"/>
    <cellStyle name="Normal 953 2 3 2" xfId="60555"/>
    <cellStyle name="Normal 953 2 3 3" xfId="60556"/>
    <cellStyle name="Normal 953 2 4" xfId="60557"/>
    <cellStyle name="Normal 953 2 5" xfId="60558"/>
    <cellStyle name="Normal 953 2 6" xfId="60559"/>
    <cellStyle name="Normal 953 2 7" xfId="60560"/>
    <cellStyle name="Normal 953 2 8" xfId="60561"/>
    <cellStyle name="Normal 953 3" xfId="25932"/>
    <cellStyle name="Normal 953 3 2" xfId="60562"/>
    <cellStyle name="Normal 953 3 2 2" xfId="60563"/>
    <cellStyle name="Normal 953 3 2 3" xfId="60564"/>
    <cellStyle name="Normal 953 3 3" xfId="60565"/>
    <cellStyle name="Normal 953 3 3 2" xfId="60566"/>
    <cellStyle name="Normal 953 3 3 3" xfId="60567"/>
    <cellStyle name="Normal 953 3 4" xfId="60568"/>
    <cellStyle name="Normal 953 3 5" xfId="60569"/>
    <cellStyle name="Normal 953 4" xfId="25933"/>
    <cellStyle name="Normal 953 4 2" xfId="60570"/>
    <cellStyle name="Normal 953 4 3" xfId="60571"/>
    <cellStyle name="Normal 953 5" xfId="25934"/>
    <cellStyle name="Normal 953 5 2" xfId="60572"/>
    <cellStyle name="Normal 953 5 3" xfId="60573"/>
    <cellStyle name="Normal 953 6" xfId="60574"/>
    <cellStyle name="Normal 953 7" xfId="60575"/>
    <cellStyle name="Normal 953 8" xfId="60576"/>
    <cellStyle name="Normal 953 9" xfId="60577"/>
    <cellStyle name="Normal 954" xfId="25935"/>
    <cellStyle name="Normal 954 10" xfId="60578"/>
    <cellStyle name="Normal 954 2" xfId="25936"/>
    <cellStyle name="Normal 954 2 2" xfId="25937"/>
    <cellStyle name="Normal 954 2 2 2" xfId="60579"/>
    <cellStyle name="Normal 954 2 2 3" xfId="60580"/>
    <cellStyle name="Normal 954 2 3" xfId="25938"/>
    <cellStyle name="Normal 954 2 3 2" xfId="60581"/>
    <cellStyle name="Normal 954 2 3 3" xfId="60582"/>
    <cellStyle name="Normal 954 2 4" xfId="60583"/>
    <cellStyle name="Normal 954 2 5" xfId="60584"/>
    <cellStyle name="Normal 954 2 6" xfId="60585"/>
    <cellStyle name="Normal 954 2 7" xfId="60586"/>
    <cellStyle name="Normal 954 2 8" xfId="60587"/>
    <cellStyle name="Normal 954 3" xfId="25939"/>
    <cellStyle name="Normal 954 3 2" xfId="60588"/>
    <cellStyle name="Normal 954 3 2 2" xfId="60589"/>
    <cellStyle name="Normal 954 3 2 3" xfId="60590"/>
    <cellStyle name="Normal 954 3 3" xfId="60591"/>
    <cellStyle name="Normal 954 3 3 2" xfId="60592"/>
    <cellStyle name="Normal 954 3 3 3" xfId="60593"/>
    <cellStyle name="Normal 954 3 4" xfId="60594"/>
    <cellStyle name="Normal 954 3 5" xfId="60595"/>
    <cellStyle name="Normal 954 4" xfId="25940"/>
    <cellStyle name="Normal 954 4 2" xfId="60596"/>
    <cellStyle name="Normal 954 4 3" xfId="60597"/>
    <cellStyle name="Normal 954 5" xfId="25941"/>
    <cellStyle name="Normal 954 5 2" xfId="60598"/>
    <cellStyle name="Normal 954 5 3" xfId="60599"/>
    <cellStyle name="Normal 954 6" xfId="60600"/>
    <cellStyle name="Normal 954 7" xfId="60601"/>
    <cellStyle name="Normal 954 8" xfId="60602"/>
    <cellStyle name="Normal 954 9" xfId="60603"/>
    <cellStyle name="Normal 955" xfId="25942"/>
    <cellStyle name="Normal 955 10" xfId="60604"/>
    <cellStyle name="Normal 955 2" xfId="25943"/>
    <cellStyle name="Normal 955 2 2" xfId="25944"/>
    <cellStyle name="Normal 955 2 2 2" xfId="60605"/>
    <cellStyle name="Normal 955 2 2 3" xfId="60606"/>
    <cellStyle name="Normal 955 2 3" xfId="25945"/>
    <cellStyle name="Normal 955 2 3 2" xfId="60607"/>
    <cellStyle name="Normal 955 2 3 3" xfId="60608"/>
    <cellStyle name="Normal 955 2 4" xfId="60609"/>
    <cellStyle name="Normal 955 2 5" xfId="60610"/>
    <cellStyle name="Normal 955 2 6" xfId="60611"/>
    <cellStyle name="Normal 955 2 7" xfId="60612"/>
    <cellStyle name="Normal 955 2 8" xfId="60613"/>
    <cellStyle name="Normal 955 3" xfId="25946"/>
    <cellStyle name="Normal 955 3 2" xfId="60614"/>
    <cellStyle name="Normal 955 3 2 2" xfId="60615"/>
    <cellStyle name="Normal 955 3 2 3" xfId="60616"/>
    <cellStyle name="Normal 955 3 3" xfId="60617"/>
    <cellStyle name="Normal 955 3 3 2" xfId="60618"/>
    <cellStyle name="Normal 955 3 3 3" xfId="60619"/>
    <cellStyle name="Normal 955 3 4" xfId="60620"/>
    <cellStyle name="Normal 955 3 5" xfId="60621"/>
    <cellStyle name="Normal 955 4" xfId="25947"/>
    <cellStyle name="Normal 955 4 2" xfId="60622"/>
    <cellStyle name="Normal 955 4 3" xfId="60623"/>
    <cellStyle name="Normal 955 5" xfId="25948"/>
    <cellStyle name="Normal 955 5 2" xfId="60624"/>
    <cellStyle name="Normal 955 5 3" xfId="60625"/>
    <cellStyle name="Normal 955 6" xfId="60626"/>
    <cellStyle name="Normal 955 7" xfId="60627"/>
    <cellStyle name="Normal 955 8" xfId="60628"/>
    <cellStyle name="Normal 955 9" xfId="60629"/>
    <cellStyle name="Normal 956" xfId="25949"/>
    <cellStyle name="Normal 956 10" xfId="60630"/>
    <cellStyle name="Normal 956 2" xfId="25950"/>
    <cellStyle name="Normal 956 2 2" xfId="25951"/>
    <cellStyle name="Normal 956 2 2 2" xfId="60631"/>
    <cellStyle name="Normal 956 2 2 3" xfId="60632"/>
    <cellStyle name="Normal 956 2 3" xfId="25952"/>
    <cellStyle name="Normal 956 2 3 2" xfId="60633"/>
    <cellStyle name="Normal 956 2 3 3" xfId="60634"/>
    <cellStyle name="Normal 956 2 4" xfId="60635"/>
    <cellStyle name="Normal 956 2 5" xfId="60636"/>
    <cellStyle name="Normal 956 2 6" xfId="60637"/>
    <cellStyle name="Normal 956 2 7" xfId="60638"/>
    <cellStyle name="Normal 956 2 8" xfId="60639"/>
    <cellStyle name="Normal 956 3" xfId="25953"/>
    <cellStyle name="Normal 956 3 2" xfId="60640"/>
    <cellStyle name="Normal 956 3 2 2" xfId="60641"/>
    <cellStyle name="Normal 956 3 2 3" xfId="60642"/>
    <cellStyle name="Normal 956 3 3" xfId="60643"/>
    <cellStyle name="Normal 956 3 3 2" xfId="60644"/>
    <cellStyle name="Normal 956 3 3 3" xfId="60645"/>
    <cellStyle name="Normal 956 3 4" xfId="60646"/>
    <cellStyle name="Normal 956 3 5" xfId="60647"/>
    <cellStyle name="Normal 956 4" xfId="25954"/>
    <cellStyle name="Normal 956 4 2" xfId="60648"/>
    <cellStyle name="Normal 956 4 3" xfId="60649"/>
    <cellStyle name="Normal 956 5" xfId="25955"/>
    <cellStyle name="Normal 956 5 2" xfId="60650"/>
    <cellStyle name="Normal 956 5 3" xfId="60651"/>
    <cellStyle name="Normal 956 6" xfId="60652"/>
    <cellStyle name="Normal 956 7" xfId="60653"/>
    <cellStyle name="Normal 956 8" xfId="60654"/>
    <cellStyle name="Normal 956 9" xfId="60655"/>
    <cellStyle name="Normal 957" xfId="25956"/>
    <cellStyle name="Normal 957 10" xfId="60656"/>
    <cellStyle name="Normal 957 2" xfId="25957"/>
    <cellStyle name="Normal 957 2 2" xfId="25958"/>
    <cellStyle name="Normal 957 2 2 2" xfId="60657"/>
    <cellStyle name="Normal 957 2 2 3" xfId="60658"/>
    <cellStyle name="Normal 957 2 3" xfId="25959"/>
    <cellStyle name="Normal 957 2 3 2" xfId="60659"/>
    <cellStyle name="Normal 957 2 3 3" xfId="60660"/>
    <cellStyle name="Normal 957 2 4" xfId="60661"/>
    <cellStyle name="Normal 957 2 5" xfId="60662"/>
    <cellStyle name="Normal 957 2 6" xfId="60663"/>
    <cellStyle name="Normal 957 2 7" xfId="60664"/>
    <cellStyle name="Normal 957 2 8" xfId="60665"/>
    <cellStyle name="Normal 957 3" xfId="25960"/>
    <cellStyle name="Normal 957 3 2" xfId="60666"/>
    <cellStyle name="Normal 957 3 2 2" xfId="60667"/>
    <cellStyle name="Normal 957 3 2 3" xfId="60668"/>
    <cellStyle name="Normal 957 3 3" xfId="60669"/>
    <cellStyle name="Normal 957 3 3 2" xfId="60670"/>
    <cellStyle name="Normal 957 3 3 3" xfId="60671"/>
    <cellStyle name="Normal 957 3 4" xfId="60672"/>
    <cellStyle name="Normal 957 3 5" xfId="60673"/>
    <cellStyle name="Normal 957 4" xfId="25961"/>
    <cellStyle name="Normal 957 4 2" xfId="60674"/>
    <cellStyle name="Normal 957 4 3" xfId="60675"/>
    <cellStyle name="Normal 957 5" xfId="25962"/>
    <cellStyle name="Normal 957 5 2" xfId="60676"/>
    <cellStyle name="Normal 957 5 3" xfId="60677"/>
    <cellStyle name="Normal 957 6" xfId="60678"/>
    <cellStyle name="Normal 957 7" xfId="60679"/>
    <cellStyle name="Normal 957 8" xfId="60680"/>
    <cellStyle name="Normal 957 9" xfId="60681"/>
    <cellStyle name="Normal 958" xfId="25963"/>
    <cellStyle name="Normal 958 10" xfId="60682"/>
    <cellStyle name="Normal 958 2" xfId="25964"/>
    <cellStyle name="Normal 958 2 2" xfId="25965"/>
    <cellStyle name="Normal 958 2 2 2" xfId="60683"/>
    <cellStyle name="Normal 958 2 2 3" xfId="60684"/>
    <cellStyle name="Normal 958 2 3" xfId="25966"/>
    <cellStyle name="Normal 958 2 3 2" xfId="60685"/>
    <cellStyle name="Normal 958 2 3 3" xfId="60686"/>
    <cellStyle name="Normal 958 2 4" xfId="60687"/>
    <cellStyle name="Normal 958 2 5" xfId="60688"/>
    <cellStyle name="Normal 958 2 6" xfId="60689"/>
    <cellStyle name="Normal 958 2 7" xfId="60690"/>
    <cellStyle name="Normal 958 2 8" xfId="60691"/>
    <cellStyle name="Normal 958 3" xfId="25967"/>
    <cellStyle name="Normal 958 3 2" xfId="60692"/>
    <cellStyle name="Normal 958 3 2 2" xfId="60693"/>
    <cellStyle name="Normal 958 3 2 3" xfId="60694"/>
    <cellStyle name="Normal 958 3 3" xfId="60695"/>
    <cellStyle name="Normal 958 3 3 2" xfId="60696"/>
    <cellStyle name="Normal 958 3 3 3" xfId="60697"/>
    <cellStyle name="Normal 958 3 4" xfId="60698"/>
    <cellStyle name="Normal 958 3 5" xfId="60699"/>
    <cellStyle name="Normal 958 4" xfId="25968"/>
    <cellStyle name="Normal 958 4 2" xfId="60700"/>
    <cellStyle name="Normal 958 4 3" xfId="60701"/>
    <cellStyle name="Normal 958 5" xfId="25969"/>
    <cellStyle name="Normal 958 5 2" xfId="60702"/>
    <cellStyle name="Normal 958 5 3" xfId="60703"/>
    <cellStyle name="Normal 958 6" xfId="60704"/>
    <cellStyle name="Normal 958 7" xfId="60705"/>
    <cellStyle name="Normal 958 8" xfId="60706"/>
    <cellStyle name="Normal 958 9" xfId="60707"/>
    <cellStyle name="Normal 959" xfId="25970"/>
    <cellStyle name="Normal 959 10" xfId="60708"/>
    <cellStyle name="Normal 959 2" xfId="25971"/>
    <cellStyle name="Normal 959 2 2" xfId="25972"/>
    <cellStyle name="Normal 959 2 2 2" xfId="60709"/>
    <cellStyle name="Normal 959 2 2 3" xfId="60710"/>
    <cellStyle name="Normal 959 2 3" xfId="25973"/>
    <cellStyle name="Normal 959 2 3 2" xfId="60711"/>
    <cellStyle name="Normal 959 2 3 3" xfId="60712"/>
    <cellStyle name="Normal 959 2 4" xfId="60713"/>
    <cellStyle name="Normal 959 2 5" xfId="60714"/>
    <cellStyle name="Normal 959 2 6" xfId="60715"/>
    <cellStyle name="Normal 959 2 7" xfId="60716"/>
    <cellStyle name="Normal 959 2 8" xfId="60717"/>
    <cellStyle name="Normal 959 3" xfId="25974"/>
    <cellStyle name="Normal 959 3 2" xfId="60718"/>
    <cellStyle name="Normal 959 3 2 2" xfId="60719"/>
    <cellStyle name="Normal 959 3 2 3" xfId="60720"/>
    <cellStyle name="Normal 959 3 3" xfId="60721"/>
    <cellStyle name="Normal 959 3 3 2" xfId="60722"/>
    <cellStyle name="Normal 959 3 3 3" xfId="60723"/>
    <cellStyle name="Normal 959 3 4" xfId="60724"/>
    <cellStyle name="Normal 959 3 5" xfId="60725"/>
    <cellStyle name="Normal 959 4" xfId="25975"/>
    <cellStyle name="Normal 959 4 2" xfId="60726"/>
    <cellStyle name="Normal 959 4 3" xfId="60727"/>
    <cellStyle name="Normal 959 5" xfId="25976"/>
    <cellStyle name="Normal 959 5 2" xfId="60728"/>
    <cellStyle name="Normal 959 5 3" xfId="60729"/>
    <cellStyle name="Normal 959 6" xfId="60730"/>
    <cellStyle name="Normal 959 7" xfId="60731"/>
    <cellStyle name="Normal 959 8" xfId="60732"/>
    <cellStyle name="Normal 959 9" xfId="60733"/>
    <cellStyle name="Normal 96" xfId="25977"/>
    <cellStyle name="Normal 96 10" xfId="60734"/>
    <cellStyle name="Normal 96 2" xfId="25978"/>
    <cellStyle name="Normal 96 2 2" xfId="25979"/>
    <cellStyle name="Normal 96 2 2 2" xfId="25980"/>
    <cellStyle name="Normal 96 2 2 3" xfId="25981"/>
    <cellStyle name="Normal 96 2 3" xfId="25982"/>
    <cellStyle name="Normal 96 2 3 2" xfId="60735"/>
    <cellStyle name="Normal 96 2 3 3" xfId="60736"/>
    <cellStyle name="Normal 96 2 4" xfId="25983"/>
    <cellStyle name="Normal 96 2 5" xfId="25984"/>
    <cellStyle name="Normal 96 2 6" xfId="60737"/>
    <cellStyle name="Normal 96 2 7" xfId="60738"/>
    <cellStyle name="Normal 96 2 8" xfId="60739"/>
    <cellStyle name="Normal 96 3" xfId="25985"/>
    <cellStyle name="Normal 96 3 2" xfId="25986"/>
    <cellStyle name="Normal 96 3 2 2" xfId="60740"/>
    <cellStyle name="Normal 96 3 2 3" xfId="60741"/>
    <cellStyle name="Normal 96 3 3" xfId="25987"/>
    <cellStyle name="Normal 96 3 3 2" xfId="60742"/>
    <cellStyle name="Normal 96 3 3 3" xfId="60743"/>
    <cellStyle name="Normal 96 3 4" xfId="60744"/>
    <cellStyle name="Normal 96 3 5" xfId="60745"/>
    <cellStyle name="Normal 96 4" xfId="25988"/>
    <cellStyle name="Normal 96 4 2" xfId="60746"/>
    <cellStyle name="Normal 96 4 3" xfId="60747"/>
    <cellStyle name="Normal 96 5" xfId="25989"/>
    <cellStyle name="Normal 96 5 2" xfId="60748"/>
    <cellStyle name="Normal 96 5 3" xfId="60749"/>
    <cellStyle name="Normal 96 6" xfId="25990"/>
    <cellStyle name="Normal 96 7" xfId="60750"/>
    <cellStyle name="Normal 96 8" xfId="60751"/>
    <cellStyle name="Normal 96 9" xfId="60752"/>
    <cellStyle name="Normal 960" xfId="25991"/>
    <cellStyle name="Normal 960 10" xfId="60753"/>
    <cellStyle name="Normal 960 2" xfId="25992"/>
    <cellStyle name="Normal 960 2 2" xfId="25993"/>
    <cellStyle name="Normal 960 2 2 2" xfId="60754"/>
    <cellStyle name="Normal 960 2 2 3" xfId="60755"/>
    <cellStyle name="Normal 960 2 3" xfId="25994"/>
    <cellStyle name="Normal 960 2 3 2" xfId="60756"/>
    <cellStyle name="Normal 960 2 3 3" xfId="60757"/>
    <cellStyle name="Normal 960 2 4" xfId="60758"/>
    <cellStyle name="Normal 960 2 5" xfId="60759"/>
    <cellStyle name="Normal 960 2 6" xfId="60760"/>
    <cellStyle name="Normal 960 2 7" xfId="60761"/>
    <cellStyle name="Normal 960 2 8" xfId="60762"/>
    <cellStyle name="Normal 960 3" xfId="25995"/>
    <cellStyle name="Normal 960 3 2" xfId="60763"/>
    <cellStyle name="Normal 960 3 2 2" xfId="60764"/>
    <cellStyle name="Normal 960 3 2 3" xfId="60765"/>
    <cellStyle name="Normal 960 3 3" xfId="60766"/>
    <cellStyle name="Normal 960 3 3 2" xfId="60767"/>
    <cellStyle name="Normal 960 3 3 3" xfId="60768"/>
    <cellStyle name="Normal 960 3 4" xfId="60769"/>
    <cellStyle name="Normal 960 3 5" xfId="60770"/>
    <cellStyle name="Normal 960 4" xfId="25996"/>
    <cellStyle name="Normal 960 4 2" xfId="60771"/>
    <cellStyle name="Normal 960 4 3" xfId="60772"/>
    <cellStyle name="Normal 960 5" xfId="25997"/>
    <cellStyle name="Normal 960 5 2" xfId="60773"/>
    <cellStyle name="Normal 960 5 3" xfId="60774"/>
    <cellStyle name="Normal 960 6" xfId="60775"/>
    <cellStyle name="Normal 960 7" xfId="60776"/>
    <cellStyle name="Normal 960 8" xfId="60777"/>
    <cellStyle name="Normal 960 9" xfId="60778"/>
    <cellStyle name="Normal 961" xfId="25998"/>
    <cellStyle name="Normal 961 10" xfId="60779"/>
    <cellStyle name="Normal 961 2" xfId="25999"/>
    <cellStyle name="Normal 961 2 2" xfId="26000"/>
    <cellStyle name="Normal 961 2 2 2" xfId="60780"/>
    <cellStyle name="Normal 961 2 2 3" xfId="60781"/>
    <cellStyle name="Normal 961 2 3" xfId="26001"/>
    <cellStyle name="Normal 961 2 3 2" xfId="60782"/>
    <cellStyle name="Normal 961 2 3 3" xfId="60783"/>
    <cellStyle name="Normal 961 2 4" xfId="60784"/>
    <cellStyle name="Normal 961 2 5" xfId="60785"/>
    <cellStyle name="Normal 961 2 6" xfId="60786"/>
    <cellStyle name="Normal 961 2 7" xfId="60787"/>
    <cellStyle name="Normal 961 2 8" xfId="60788"/>
    <cellStyle name="Normal 961 3" xfId="26002"/>
    <cellStyle name="Normal 961 3 2" xfId="60789"/>
    <cellStyle name="Normal 961 3 2 2" xfId="60790"/>
    <cellStyle name="Normal 961 3 2 3" xfId="60791"/>
    <cellStyle name="Normal 961 3 3" xfId="60792"/>
    <cellStyle name="Normal 961 3 3 2" xfId="60793"/>
    <cellStyle name="Normal 961 3 3 3" xfId="60794"/>
    <cellStyle name="Normal 961 3 4" xfId="60795"/>
    <cellStyle name="Normal 961 3 5" xfId="60796"/>
    <cellStyle name="Normal 961 4" xfId="26003"/>
    <cellStyle name="Normal 961 4 2" xfId="60797"/>
    <cellStyle name="Normal 961 4 3" xfId="60798"/>
    <cellStyle name="Normal 961 5" xfId="26004"/>
    <cellStyle name="Normal 961 5 2" xfId="60799"/>
    <cellStyle name="Normal 961 5 3" xfId="60800"/>
    <cellStyle name="Normal 961 6" xfId="60801"/>
    <cellStyle name="Normal 961 7" xfId="60802"/>
    <cellStyle name="Normal 961 8" xfId="60803"/>
    <cellStyle name="Normal 961 9" xfId="60804"/>
    <cellStyle name="Normal 962" xfId="26005"/>
    <cellStyle name="Normal 962 10" xfId="60805"/>
    <cellStyle name="Normal 962 2" xfId="26006"/>
    <cellStyle name="Normal 962 2 2" xfId="26007"/>
    <cellStyle name="Normal 962 2 2 2" xfId="60806"/>
    <cellStyle name="Normal 962 2 2 3" xfId="60807"/>
    <cellStyle name="Normal 962 2 3" xfId="26008"/>
    <cellStyle name="Normal 962 2 3 2" xfId="60808"/>
    <cellStyle name="Normal 962 2 3 3" xfId="60809"/>
    <cellStyle name="Normal 962 2 4" xfId="60810"/>
    <cellStyle name="Normal 962 2 5" xfId="60811"/>
    <cellStyle name="Normal 962 2 6" xfId="60812"/>
    <cellStyle name="Normal 962 2 7" xfId="60813"/>
    <cellStyle name="Normal 962 2 8" xfId="60814"/>
    <cellStyle name="Normal 962 3" xfId="26009"/>
    <cellStyle name="Normal 962 3 2" xfId="60815"/>
    <cellStyle name="Normal 962 3 2 2" xfId="60816"/>
    <cellStyle name="Normal 962 3 2 3" xfId="60817"/>
    <cellStyle name="Normal 962 3 3" xfId="60818"/>
    <cellStyle name="Normal 962 3 3 2" xfId="60819"/>
    <cellStyle name="Normal 962 3 3 3" xfId="60820"/>
    <cellStyle name="Normal 962 3 4" xfId="60821"/>
    <cellStyle name="Normal 962 3 5" xfId="60822"/>
    <cellStyle name="Normal 962 4" xfId="26010"/>
    <cellStyle name="Normal 962 4 2" xfId="60823"/>
    <cellStyle name="Normal 962 4 3" xfId="60824"/>
    <cellStyle name="Normal 962 5" xfId="26011"/>
    <cellStyle name="Normal 962 5 2" xfId="60825"/>
    <cellStyle name="Normal 962 5 3" xfId="60826"/>
    <cellStyle name="Normal 962 6" xfId="60827"/>
    <cellStyle name="Normal 962 7" xfId="60828"/>
    <cellStyle name="Normal 962 8" xfId="60829"/>
    <cellStyle name="Normal 962 9" xfId="60830"/>
    <cellStyle name="Normal 963" xfId="26012"/>
    <cellStyle name="Normal 963 10" xfId="60831"/>
    <cellStyle name="Normal 963 2" xfId="26013"/>
    <cellStyle name="Normal 963 2 2" xfId="26014"/>
    <cellStyle name="Normal 963 2 2 2" xfId="60832"/>
    <cellStyle name="Normal 963 2 2 3" xfId="60833"/>
    <cellStyle name="Normal 963 2 3" xfId="26015"/>
    <cellStyle name="Normal 963 2 3 2" xfId="60834"/>
    <cellStyle name="Normal 963 2 3 3" xfId="60835"/>
    <cellStyle name="Normal 963 2 4" xfId="60836"/>
    <cellStyle name="Normal 963 2 5" xfId="60837"/>
    <cellStyle name="Normal 963 2 6" xfId="60838"/>
    <cellStyle name="Normal 963 2 7" xfId="60839"/>
    <cellStyle name="Normal 963 2 8" xfId="60840"/>
    <cellStyle name="Normal 963 3" xfId="26016"/>
    <cellStyle name="Normal 963 3 2" xfId="60841"/>
    <cellStyle name="Normal 963 3 2 2" xfId="60842"/>
    <cellStyle name="Normal 963 3 2 3" xfId="60843"/>
    <cellStyle name="Normal 963 3 3" xfId="60844"/>
    <cellStyle name="Normal 963 3 3 2" xfId="60845"/>
    <cellStyle name="Normal 963 3 3 3" xfId="60846"/>
    <cellStyle name="Normal 963 3 4" xfId="60847"/>
    <cellStyle name="Normal 963 3 5" xfId="60848"/>
    <cellStyle name="Normal 963 4" xfId="26017"/>
    <cellStyle name="Normal 963 4 2" xfId="60849"/>
    <cellStyle name="Normal 963 4 3" xfId="60850"/>
    <cellStyle name="Normal 963 5" xfId="26018"/>
    <cellStyle name="Normal 963 5 2" xfId="60851"/>
    <cellStyle name="Normal 963 5 3" xfId="60852"/>
    <cellStyle name="Normal 963 6" xfId="60853"/>
    <cellStyle name="Normal 963 7" xfId="60854"/>
    <cellStyle name="Normal 963 8" xfId="60855"/>
    <cellStyle name="Normal 963 9" xfId="60856"/>
    <cellStyle name="Normal 964" xfId="26019"/>
    <cellStyle name="Normal 964 10" xfId="60857"/>
    <cellStyle name="Normal 964 2" xfId="26020"/>
    <cellStyle name="Normal 964 2 2" xfId="26021"/>
    <cellStyle name="Normal 964 2 2 2" xfId="60858"/>
    <cellStyle name="Normal 964 2 2 3" xfId="60859"/>
    <cellStyle name="Normal 964 2 3" xfId="26022"/>
    <cellStyle name="Normal 964 2 3 2" xfId="60860"/>
    <cellStyle name="Normal 964 2 3 3" xfId="60861"/>
    <cellStyle name="Normal 964 2 4" xfId="60862"/>
    <cellStyle name="Normal 964 2 5" xfId="60863"/>
    <cellStyle name="Normal 964 2 6" xfId="60864"/>
    <cellStyle name="Normal 964 2 7" xfId="60865"/>
    <cellStyle name="Normal 964 2 8" xfId="60866"/>
    <cellStyle name="Normal 964 3" xfId="26023"/>
    <cellStyle name="Normal 964 3 2" xfId="60867"/>
    <cellStyle name="Normal 964 3 2 2" xfId="60868"/>
    <cellStyle name="Normal 964 3 2 3" xfId="60869"/>
    <cellStyle name="Normal 964 3 3" xfId="60870"/>
    <cellStyle name="Normal 964 3 3 2" xfId="60871"/>
    <cellStyle name="Normal 964 3 3 3" xfId="60872"/>
    <cellStyle name="Normal 964 3 4" xfId="60873"/>
    <cellStyle name="Normal 964 3 5" xfId="60874"/>
    <cellStyle name="Normal 964 4" xfId="26024"/>
    <cellStyle name="Normal 964 4 2" xfId="60875"/>
    <cellStyle name="Normal 964 4 3" xfId="60876"/>
    <cellStyle name="Normal 964 5" xfId="26025"/>
    <cellStyle name="Normal 964 5 2" xfId="60877"/>
    <cellStyle name="Normal 964 5 3" xfId="60878"/>
    <cellStyle name="Normal 964 6" xfId="60879"/>
    <cellStyle name="Normal 964 7" xfId="60880"/>
    <cellStyle name="Normal 964 8" xfId="60881"/>
    <cellStyle name="Normal 964 9" xfId="60882"/>
    <cellStyle name="Normal 965" xfId="26026"/>
    <cellStyle name="Normal 965 10" xfId="60883"/>
    <cellStyle name="Normal 965 2" xfId="26027"/>
    <cellStyle name="Normal 965 2 2" xfId="26028"/>
    <cellStyle name="Normal 965 2 2 2" xfId="60884"/>
    <cellStyle name="Normal 965 2 2 3" xfId="60885"/>
    <cellStyle name="Normal 965 2 3" xfId="26029"/>
    <cellStyle name="Normal 965 2 3 2" xfId="60886"/>
    <cellStyle name="Normal 965 2 3 3" xfId="60887"/>
    <cellStyle name="Normal 965 2 4" xfId="60888"/>
    <cellStyle name="Normal 965 2 5" xfId="60889"/>
    <cellStyle name="Normal 965 2 6" xfId="60890"/>
    <cellStyle name="Normal 965 2 7" xfId="60891"/>
    <cellStyle name="Normal 965 2 8" xfId="60892"/>
    <cellStyle name="Normal 965 3" xfId="26030"/>
    <cellStyle name="Normal 965 3 2" xfId="60893"/>
    <cellStyle name="Normal 965 3 2 2" xfId="60894"/>
    <cellStyle name="Normal 965 3 2 3" xfId="60895"/>
    <cellStyle name="Normal 965 3 3" xfId="60896"/>
    <cellStyle name="Normal 965 3 3 2" xfId="60897"/>
    <cellStyle name="Normal 965 3 3 3" xfId="60898"/>
    <cellStyle name="Normal 965 3 4" xfId="60899"/>
    <cellStyle name="Normal 965 3 5" xfId="60900"/>
    <cellStyle name="Normal 965 4" xfId="26031"/>
    <cellStyle name="Normal 965 4 2" xfId="60901"/>
    <cellStyle name="Normal 965 4 3" xfId="60902"/>
    <cellStyle name="Normal 965 5" xfId="26032"/>
    <cellStyle name="Normal 965 5 2" xfId="60903"/>
    <cellStyle name="Normal 965 5 3" xfId="60904"/>
    <cellStyle name="Normal 965 6" xfId="60905"/>
    <cellStyle name="Normal 965 7" xfId="60906"/>
    <cellStyle name="Normal 965 8" xfId="60907"/>
    <cellStyle name="Normal 965 9" xfId="60908"/>
    <cellStyle name="Normal 966" xfId="26033"/>
    <cellStyle name="Normal 966 10" xfId="60909"/>
    <cellStyle name="Normal 966 2" xfId="26034"/>
    <cellStyle name="Normal 966 2 2" xfId="26035"/>
    <cellStyle name="Normal 966 2 2 2" xfId="60910"/>
    <cellStyle name="Normal 966 2 2 3" xfId="60911"/>
    <cellStyle name="Normal 966 2 3" xfId="26036"/>
    <cellStyle name="Normal 966 2 3 2" xfId="60912"/>
    <cellStyle name="Normal 966 2 3 3" xfId="60913"/>
    <cellStyle name="Normal 966 2 4" xfId="60914"/>
    <cellStyle name="Normal 966 2 5" xfId="60915"/>
    <cellStyle name="Normal 966 2 6" xfId="60916"/>
    <cellStyle name="Normal 966 2 7" xfId="60917"/>
    <cellStyle name="Normal 966 2 8" xfId="60918"/>
    <cellStyle name="Normal 966 3" xfId="26037"/>
    <cellStyle name="Normal 966 3 2" xfId="60919"/>
    <cellStyle name="Normal 966 3 2 2" xfId="60920"/>
    <cellStyle name="Normal 966 3 2 3" xfId="60921"/>
    <cellStyle name="Normal 966 3 3" xfId="60922"/>
    <cellStyle name="Normal 966 3 3 2" xfId="60923"/>
    <cellStyle name="Normal 966 3 3 3" xfId="60924"/>
    <cellStyle name="Normal 966 3 4" xfId="60925"/>
    <cellStyle name="Normal 966 3 5" xfId="60926"/>
    <cellStyle name="Normal 966 4" xfId="26038"/>
    <cellStyle name="Normal 966 4 2" xfId="60927"/>
    <cellStyle name="Normal 966 4 3" xfId="60928"/>
    <cellStyle name="Normal 966 5" xfId="26039"/>
    <cellStyle name="Normal 966 5 2" xfId="60929"/>
    <cellStyle name="Normal 966 5 3" xfId="60930"/>
    <cellStyle name="Normal 966 6" xfId="60931"/>
    <cellStyle name="Normal 966 7" xfId="60932"/>
    <cellStyle name="Normal 966 8" xfId="60933"/>
    <cellStyle name="Normal 966 9" xfId="60934"/>
    <cellStyle name="Normal 967" xfId="26040"/>
    <cellStyle name="Normal 967 10" xfId="60935"/>
    <cellStyle name="Normal 967 2" xfId="26041"/>
    <cellStyle name="Normal 967 2 2" xfId="26042"/>
    <cellStyle name="Normal 967 2 2 2" xfId="60936"/>
    <cellStyle name="Normal 967 2 2 3" xfId="60937"/>
    <cellStyle name="Normal 967 2 3" xfId="26043"/>
    <cellStyle name="Normal 967 2 3 2" xfId="60938"/>
    <cellStyle name="Normal 967 2 3 3" xfId="60939"/>
    <cellStyle name="Normal 967 2 4" xfId="60940"/>
    <cellStyle name="Normal 967 2 5" xfId="60941"/>
    <cellStyle name="Normal 967 2 6" xfId="60942"/>
    <cellStyle name="Normal 967 2 7" xfId="60943"/>
    <cellStyle name="Normal 967 2 8" xfId="60944"/>
    <cellStyle name="Normal 967 3" xfId="26044"/>
    <cellStyle name="Normal 967 3 2" xfId="60945"/>
    <cellStyle name="Normal 967 3 2 2" xfId="60946"/>
    <cellStyle name="Normal 967 3 2 3" xfId="60947"/>
    <cellStyle name="Normal 967 3 3" xfId="60948"/>
    <cellStyle name="Normal 967 3 3 2" xfId="60949"/>
    <cellStyle name="Normal 967 3 3 3" xfId="60950"/>
    <cellStyle name="Normal 967 3 4" xfId="60951"/>
    <cellStyle name="Normal 967 3 5" xfId="60952"/>
    <cellStyle name="Normal 967 4" xfId="26045"/>
    <cellStyle name="Normal 967 4 2" xfId="60953"/>
    <cellStyle name="Normal 967 4 3" xfId="60954"/>
    <cellStyle name="Normal 967 5" xfId="26046"/>
    <cellStyle name="Normal 967 5 2" xfId="60955"/>
    <cellStyle name="Normal 967 5 3" xfId="60956"/>
    <cellStyle name="Normal 967 6" xfId="60957"/>
    <cellStyle name="Normal 967 7" xfId="60958"/>
    <cellStyle name="Normal 967 8" xfId="60959"/>
    <cellStyle name="Normal 967 9" xfId="60960"/>
    <cellStyle name="Normal 968" xfId="26047"/>
    <cellStyle name="Normal 968 10" xfId="60961"/>
    <cellStyle name="Normal 968 2" xfId="26048"/>
    <cellStyle name="Normal 968 2 2" xfId="26049"/>
    <cellStyle name="Normal 968 2 2 2" xfId="60962"/>
    <cellStyle name="Normal 968 2 2 3" xfId="60963"/>
    <cellStyle name="Normal 968 2 3" xfId="26050"/>
    <cellStyle name="Normal 968 2 3 2" xfId="60964"/>
    <cellStyle name="Normal 968 2 3 3" xfId="60965"/>
    <cellStyle name="Normal 968 2 4" xfId="60966"/>
    <cellStyle name="Normal 968 2 5" xfId="60967"/>
    <cellStyle name="Normal 968 2 6" xfId="60968"/>
    <cellStyle name="Normal 968 2 7" xfId="60969"/>
    <cellStyle name="Normal 968 2 8" xfId="60970"/>
    <cellStyle name="Normal 968 3" xfId="26051"/>
    <cellStyle name="Normal 968 3 2" xfId="60971"/>
    <cellStyle name="Normal 968 3 2 2" xfId="60972"/>
    <cellStyle name="Normal 968 3 2 3" xfId="60973"/>
    <cellStyle name="Normal 968 3 3" xfId="60974"/>
    <cellStyle name="Normal 968 3 3 2" xfId="60975"/>
    <cellStyle name="Normal 968 3 3 3" xfId="60976"/>
    <cellStyle name="Normal 968 3 4" xfId="60977"/>
    <cellStyle name="Normal 968 3 5" xfId="60978"/>
    <cellStyle name="Normal 968 4" xfId="26052"/>
    <cellStyle name="Normal 968 4 2" xfId="60979"/>
    <cellStyle name="Normal 968 4 3" xfId="60980"/>
    <cellStyle name="Normal 968 5" xfId="26053"/>
    <cellStyle name="Normal 968 5 2" xfId="60981"/>
    <cellStyle name="Normal 968 5 3" xfId="60982"/>
    <cellStyle name="Normal 968 6" xfId="60983"/>
    <cellStyle name="Normal 968 7" xfId="60984"/>
    <cellStyle name="Normal 968 8" xfId="60985"/>
    <cellStyle name="Normal 968 9" xfId="60986"/>
    <cellStyle name="Normal 969" xfId="26054"/>
    <cellStyle name="Normal 969 10" xfId="60987"/>
    <cellStyle name="Normal 969 2" xfId="26055"/>
    <cellStyle name="Normal 969 2 2" xfId="26056"/>
    <cellStyle name="Normal 969 2 2 2" xfId="60988"/>
    <cellStyle name="Normal 969 2 2 3" xfId="60989"/>
    <cellStyle name="Normal 969 2 3" xfId="26057"/>
    <cellStyle name="Normal 969 2 3 2" xfId="60990"/>
    <cellStyle name="Normal 969 2 3 3" xfId="60991"/>
    <cellStyle name="Normal 969 2 4" xfId="60992"/>
    <cellStyle name="Normal 969 2 5" xfId="60993"/>
    <cellStyle name="Normal 969 2 6" xfId="60994"/>
    <cellStyle name="Normal 969 2 7" xfId="60995"/>
    <cellStyle name="Normal 969 2 8" xfId="60996"/>
    <cellStyle name="Normal 969 3" xfId="26058"/>
    <cellStyle name="Normal 969 3 2" xfId="60997"/>
    <cellStyle name="Normal 969 3 2 2" xfId="60998"/>
    <cellStyle name="Normal 969 3 2 3" xfId="60999"/>
    <cellStyle name="Normal 969 3 3" xfId="61000"/>
    <cellStyle name="Normal 969 3 3 2" xfId="61001"/>
    <cellStyle name="Normal 969 3 3 3" xfId="61002"/>
    <cellStyle name="Normal 969 3 4" xfId="61003"/>
    <cellStyle name="Normal 969 3 5" xfId="61004"/>
    <cellStyle name="Normal 969 4" xfId="26059"/>
    <cellStyle name="Normal 969 4 2" xfId="61005"/>
    <cellStyle name="Normal 969 4 3" xfId="61006"/>
    <cellStyle name="Normal 969 5" xfId="26060"/>
    <cellStyle name="Normal 969 5 2" xfId="61007"/>
    <cellStyle name="Normal 969 5 3" xfId="61008"/>
    <cellStyle name="Normal 969 6" xfId="61009"/>
    <cellStyle name="Normal 969 7" xfId="61010"/>
    <cellStyle name="Normal 969 8" xfId="61011"/>
    <cellStyle name="Normal 969 9" xfId="61012"/>
    <cellStyle name="Normal 97" xfId="26061"/>
    <cellStyle name="Normal 97 10" xfId="61013"/>
    <cellStyle name="Normal 97 2" xfId="26062"/>
    <cellStyle name="Normal 97 2 2" xfId="26063"/>
    <cellStyle name="Normal 97 2 2 2" xfId="26064"/>
    <cellStyle name="Normal 97 2 2 3" xfId="26065"/>
    <cellStyle name="Normal 97 2 3" xfId="26066"/>
    <cellStyle name="Normal 97 2 3 2" xfId="61014"/>
    <cellStyle name="Normal 97 2 3 3" xfId="61015"/>
    <cellStyle name="Normal 97 2 4" xfId="26067"/>
    <cellStyle name="Normal 97 2 5" xfId="26068"/>
    <cellStyle name="Normal 97 2 6" xfId="61016"/>
    <cellStyle name="Normal 97 2 7" xfId="61017"/>
    <cellStyle name="Normal 97 2 8" xfId="61018"/>
    <cellStyle name="Normal 97 3" xfId="26069"/>
    <cellStyle name="Normal 97 3 2" xfId="26070"/>
    <cellStyle name="Normal 97 3 2 2" xfId="61019"/>
    <cellStyle name="Normal 97 3 2 3" xfId="61020"/>
    <cellStyle name="Normal 97 3 3" xfId="26071"/>
    <cellStyle name="Normal 97 3 3 2" xfId="61021"/>
    <cellStyle name="Normal 97 3 3 3" xfId="61022"/>
    <cellStyle name="Normal 97 3 4" xfId="61023"/>
    <cellStyle name="Normal 97 3 5" xfId="61024"/>
    <cellStyle name="Normal 97 4" xfId="26072"/>
    <cellStyle name="Normal 97 4 2" xfId="61025"/>
    <cellStyle name="Normal 97 4 3" xfId="61026"/>
    <cellStyle name="Normal 97 5" xfId="26073"/>
    <cellStyle name="Normal 97 5 2" xfId="61027"/>
    <cellStyle name="Normal 97 5 3" xfId="61028"/>
    <cellStyle name="Normal 97 6" xfId="26074"/>
    <cellStyle name="Normal 97 7" xfId="61029"/>
    <cellStyle name="Normal 97 8" xfId="61030"/>
    <cellStyle name="Normal 97 9" xfId="61031"/>
    <cellStyle name="Normal 970" xfId="26075"/>
    <cellStyle name="Normal 970 10" xfId="61032"/>
    <cellStyle name="Normal 970 2" xfId="26076"/>
    <cellStyle name="Normal 970 2 2" xfId="26077"/>
    <cellStyle name="Normal 970 2 2 2" xfId="61033"/>
    <cellStyle name="Normal 970 2 2 3" xfId="61034"/>
    <cellStyle name="Normal 970 2 3" xfId="26078"/>
    <cellStyle name="Normal 970 2 3 2" xfId="61035"/>
    <cellStyle name="Normal 970 2 3 3" xfId="61036"/>
    <cellStyle name="Normal 970 2 4" xfId="61037"/>
    <cellStyle name="Normal 970 2 5" xfId="61038"/>
    <cellStyle name="Normal 970 2 6" xfId="61039"/>
    <cellStyle name="Normal 970 2 7" xfId="61040"/>
    <cellStyle name="Normal 970 2 8" xfId="61041"/>
    <cellStyle name="Normal 970 3" xfId="26079"/>
    <cellStyle name="Normal 970 3 2" xfId="61042"/>
    <cellStyle name="Normal 970 3 2 2" xfId="61043"/>
    <cellStyle name="Normal 970 3 2 3" xfId="61044"/>
    <cellStyle name="Normal 970 3 3" xfId="61045"/>
    <cellStyle name="Normal 970 3 3 2" xfId="61046"/>
    <cellStyle name="Normal 970 3 3 3" xfId="61047"/>
    <cellStyle name="Normal 970 3 4" xfId="61048"/>
    <cellStyle name="Normal 970 3 5" xfId="61049"/>
    <cellStyle name="Normal 970 4" xfId="26080"/>
    <cellStyle name="Normal 970 4 2" xfId="61050"/>
    <cellStyle name="Normal 970 4 3" xfId="61051"/>
    <cellStyle name="Normal 970 5" xfId="26081"/>
    <cellStyle name="Normal 970 5 2" xfId="61052"/>
    <cellStyle name="Normal 970 5 3" xfId="61053"/>
    <cellStyle name="Normal 970 6" xfId="61054"/>
    <cellStyle name="Normal 970 7" xfId="61055"/>
    <cellStyle name="Normal 970 8" xfId="61056"/>
    <cellStyle name="Normal 970 9" xfId="61057"/>
    <cellStyle name="Normal 971" xfId="26082"/>
    <cellStyle name="Normal 971 10" xfId="61058"/>
    <cellStyle name="Normal 971 2" xfId="26083"/>
    <cellStyle name="Normal 971 2 2" xfId="26084"/>
    <cellStyle name="Normal 971 2 2 2" xfId="61059"/>
    <cellStyle name="Normal 971 2 2 3" xfId="61060"/>
    <cellStyle name="Normal 971 2 3" xfId="26085"/>
    <cellStyle name="Normal 971 2 3 2" xfId="61061"/>
    <cellStyle name="Normal 971 2 3 3" xfId="61062"/>
    <cellStyle name="Normal 971 2 4" xfId="61063"/>
    <cellStyle name="Normal 971 2 5" xfId="61064"/>
    <cellStyle name="Normal 971 2 6" xfId="61065"/>
    <cellStyle name="Normal 971 2 7" xfId="61066"/>
    <cellStyle name="Normal 971 2 8" xfId="61067"/>
    <cellStyle name="Normal 971 3" xfId="26086"/>
    <cellStyle name="Normal 971 3 2" xfId="61068"/>
    <cellStyle name="Normal 971 3 2 2" xfId="61069"/>
    <cellStyle name="Normal 971 3 2 3" xfId="61070"/>
    <cellStyle name="Normal 971 3 3" xfId="61071"/>
    <cellStyle name="Normal 971 3 3 2" xfId="61072"/>
    <cellStyle name="Normal 971 3 3 3" xfId="61073"/>
    <cellStyle name="Normal 971 3 4" xfId="61074"/>
    <cellStyle name="Normal 971 3 5" xfId="61075"/>
    <cellStyle name="Normal 971 4" xfId="26087"/>
    <cellStyle name="Normal 971 4 2" xfId="61076"/>
    <cellStyle name="Normal 971 4 3" xfId="61077"/>
    <cellStyle name="Normal 971 5" xfId="26088"/>
    <cellStyle name="Normal 971 5 2" xfId="61078"/>
    <cellStyle name="Normal 971 5 3" xfId="61079"/>
    <cellStyle name="Normal 971 6" xfId="61080"/>
    <cellStyle name="Normal 971 7" xfId="61081"/>
    <cellStyle name="Normal 971 8" xfId="61082"/>
    <cellStyle name="Normal 971 9" xfId="61083"/>
    <cellStyle name="Normal 972" xfId="26089"/>
    <cellStyle name="Normal 972 10" xfId="61084"/>
    <cellStyle name="Normal 972 2" xfId="26090"/>
    <cellStyle name="Normal 972 2 2" xfId="26091"/>
    <cellStyle name="Normal 972 2 2 2" xfId="61085"/>
    <cellStyle name="Normal 972 2 2 3" xfId="61086"/>
    <cellStyle name="Normal 972 2 3" xfId="26092"/>
    <cellStyle name="Normal 972 2 3 2" xfId="61087"/>
    <cellStyle name="Normal 972 2 3 3" xfId="61088"/>
    <cellStyle name="Normal 972 2 4" xfId="61089"/>
    <cellStyle name="Normal 972 2 5" xfId="61090"/>
    <cellStyle name="Normal 972 2 6" xfId="61091"/>
    <cellStyle name="Normal 972 2 7" xfId="61092"/>
    <cellStyle name="Normal 972 2 8" xfId="61093"/>
    <cellStyle name="Normal 972 3" xfId="26093"/>
    <cellStyle name="Normal 972 3 2" xfId="61094"/>
    <cellStyle name="Normal 972 3 2 2" xfId="61095"/>
    <cellStyle name="Normal 972 3 2 3" xfId="61096"/>
    <cellStyle name="Normal 972 3 3" xfId="61097"/>
    <cellStyle name="Normal 972 3 3 2" xfId="61098"/>
    <cellStyle name="Normal 972 3 3 3" xfId="61099"/>
    <cellStyle name="Normal 972 3 4" xfId="61100"/>
    <cellStyle name="Normal 972 3 5" xfId="61101"/>
    <cellStyle name="Normal 972 4" xfId="26094"/>
    <cellStyle name="Normal 972 4 2" xfId="61102"/>
    <cellStyle name="Normal 972 4 3" xfId="61103"/>
    <cellStyle name="Normal 972 5" xfId="26095"/>
    <cellStyle name="Normal 972 5 2" xfId="61104"/>
    <cellStyle name="Normal 972 5 3" xfId="61105"/>
    <cellStyle name="Normal 972 6" xfId="61106"/>
    <cellStyle name="Normal 972 7" xfId="61107"/>
    <cellStyle name="Normal 972 8" xfId="61108"/>
    <cellStyle name="Normal 972 9" xfId="61109"/>
    <cellStyle name="Normal 973" xfId="26096"/>
    <cellStyle name="Normal 973 10" xfId="61110"/>
    <cellStyle name="Normal 973 2" xfId="26097"/>
    <cellStyle name="Normal 973 2 2" xfId="26098"/>
    <cellStyle name="Normal 973 2 2 2" xfId="61111"/>
    <cellStyle name="Normal 973 2 2 3" xfId="61112"/>
    <cellStyle name="Normal 973 2 3" xfId="26099"/>
    <cellStyle name="Normal 973 2 3 2" xfId="61113"/>
    <cellStyle name="Normal 973 2 3 3" xfId="61114"/>
    <cellStyle name="Normal 973 2 4" xfId="61115"/>
    <cellStyle name="Normal 973 2 5" xfId="61116"/>
    <cellStyle name="Normal 973 2 6" xfId="61117"/>
    <cellStyle name="Normal 973 2 7" xfId="61118"/>
    <cellStyle name="Normal 973 2 8" xfId="61119"/>
    <cellStyle name="Normal 973 3" xfId="26100"/>
    <cellStyle name="Normal 973 3 2" xfId="61120"/>
    <cellStyle name="Normal 973 3 2 2" xfId="61121"/>
    <cellStyle name="Normal 973 3 2 3" xfId="61122"/>
    <cellStyle name="Normal 973 3 3" xfId="61123"/>
    <cellStyle name="Normal 973 3 3 2" xfId="61124"/>
    <cellStyle name="Normal 973 3 3 3" xfId="61125"/>
    <cellStyle name="Normal 973 3 4" xfId="61126"/>
    <cellStyle name="Normal 973 3 5" xfId="61127"/>
    <cellStyle name="Normal 973 4" xfId="26101"/>
    <cellStyle name="Normal 973 4 2" xfId="61128"/>
    <cellStyle name="Normal 973 4 3" xfId="61129"/>
    <cellStyle name="Normal 973 5" xfId="26102"/>
    <cellStyle name="Normal 973 5 2" xfId="61130"/>
    <cellStyle name="Normal 973 5 3" xfId="61131"/>
    <cellStyle name="Normal 973 6" xfId="61132"/>
    <cellStyle name="Normal 973 7" xfId="61133"/>
    <cellStyle name="Normal 973 8" xfId="61134"/>
    <cellStyle name="Normal 973 9" xfId="61135"/>
    <cellStyle name="Normal 974" xfId="26103"/>
    <cellStyle name="Normal 974 10" xfId="61136"/>
    <cellStyle name="Normal 974 2" xfId="26104"/>
    <cellStyle name="Normal 974 2 2" xfId="26105"/>
    <cellStyle name="Normal 974 2 2 2" xfId="61137"/>
    <cellStyle name="Normal 974 2 2 3" xfId="61138"/>
    <cellStyle name="Normal 974 2 3" xfId="26106"/>
    <cellStyle name="Normal 974 2 3 2" xfId="61139"/>
    <cellStyle name="Normal 974 2 3 3" xfId="61140"/>
    <cellStyle name="Normal 974 2 4" xfId="61141"/>
    <cellStyle name="Normal 974 2 5" xfId="61142"/>
    <cellStyle name="Normal 974 2 6" xfId="61143"/>
    <cellStyle name="Normal 974 2 7" xfId="61144"/>
    <cellStyle name="Normal 974 2 8" xfId="61145"/>
    <cellStyle name="Normal 974 3" xfId="26107"/>
    <cellStyle name="Normal 974 3 2" xfId="61146"/>
    <cellStyle name="Normal 974 3 2 2" xfId="61147"/>
    <cellStyle name="Normal 974 3 2 3" xfId="61148"/>
    <cellStyle name="Normal 974 3 3" xfId="61149"/>
    <cellStyle name="Normal 974 3 3 2" xfId="61150"/>
    <cellStyle name="Normal 974 3 3 3" xfId="61151"/>
    <cellStyle name="Normal 974 3 4" xfId="61152"/>
    <cellStyle name="Normal 974 3 5" xfId="61153"/>
    <cellStyle name="Normal 974 4" xfId="26108"/>
    <cellStyle name="Normal 974 4 2" xfId="61154"/>
    <cellStyle name="Normal 974 4 3" xfId="61155"/>
    <cellStyle name="Normal 974 5" xfId="26109"/>
    <cellStyle name="Normal 974 5 2" xfId="61156"/>
    <cellStyle name="Normal 974 5 3" xfId="61157"/>
    <cellStyle name="Normal 974 6" xfId="61158"/>
    <cellStyle name="Normal 974 7" xfId="61159"/>
    <cellStyle name="Normal 974 8" xfId="61160"/>
    <cellStyle name="Normal 974 9" xfId="61161"/>
    <cellStyle name="Normal 975" xfId="26110"/>
    <cellStyle name="Normal 975 10" xfId="61162"/>
    <cellStyle name="Normal 975 2" xfId="26111"/>
    <cellStyle name="Normal 975 2 2" xfId="26112"/>
    <cellStyle name="Normal 975 2 2 2" xfId="61163"/>
    <cellStyle name="Normal 975 2 2 3" xfId="61164"/>
    <cellStyle name="Normal 975 2 3" xfId="26113"/>
    <cellStyle name="Normal 975 2 3 2" xfId="61165"/>
    <cellStyle name="Normal 975 2 3 3" xfId="61166"/>
    <cellStyle name="Normal 975 2 4" xfId="61167"/>
    <cellStyle name="Normal 975 2 5" xfId="61168"/>
    <cellStyle name="Normal 975 2 6" xfId="61169"/>
    <cellStyle name="Normal 975 2 7" xfId="61170"/>
    <cellStyle name="Normal 975 2 8" xfId="61171"/>
    <cellStyle name="Normal 975 3" xfId="26114"/>
    <cellStyle name="Normal 975 3 2" xfId="61172"/>
    <cellStyle name="Normal 975 3 2 2" xfId="61173"/>
    <cellStyle name="Normal 975 3 2 3" xfId="61174"/>
    <cellStyle name="Normal 975 3 3" xfId="61175"/>
    <cellStyle name="Normal 975 3 3 2" xfId="61176"/>
    <cellStyle name="Normal 975 3 3 3" xfId="61177"/>
    <cellStyle name="Normal 975 3 4" xfId="61178"/>
    <cellStyle name="Normal 975 3 5" xfId="61179"/>
    <cellStyle name="Normal 975 4" xfId="26115"/>
    <cellStyle name="Normal 975 4 2" xfId="61180"/>
    <cellStyle name="Normal 975 4 3" xfId="61181"/>
    <cellStyle name="Normal 975 5" xfId="26116"/>
    <cellStyle name="Normal 975 5 2" xfId="61182"/>
    <cellStyle name="Normal 975 5 3" xfId="61183"/>
    <cellStyle name="Normal 975 6" xfId="61184"/>
    <cellStyle name="Normal 975 7" xfId="61185"/>
    <cellStyle name="Normal 975 8" xfId="61186"/>
    <cellStyle name="Normal 975 9" xfId="61187"/>
    <cellStyle name="Normal 976" xfId="26117"/>
    <cellStyle name="Normal 976 10" xfId="61188"/>
    <cellStyle name="Normal 976 2" xfId="26118"/>
    <cellStyle name="Normal 976 2 2" xfId="26119"/>
    <cellStyle name="Normal 976 2 2 2" xfId="61189"/>
    <cellStyle name="Normal 976 2 2 3" xfId="61190"/>
    <cellStyle name="Normal 976 2 3" xfId="26120"/>
    <cellStyle name="Normal 976 2 3 2" xfId="61191"/>
    <cellStyle name="Normal 976 2 3 3" xfId="61192"/>
    <cellStyle name="Normal 976 2 4" xfId="61193"/>
    <cellStyle name="Normal 976 2 5" xfId="61194"/>
    <cellStyle name="Normal 976 2 6" xfId="61195"/>
    <cellStyle name="Normal 976 2 7" xfId="61196"/>
    <cellStyle name="Normal 976 2 8" xfId="61197"/>
    <cellStyle name="Normal 976 3" xfId="26121"/>
    <cellStyle name="Normal 976 3 2" xfId="61198"/>
    <cellStyle name="Normal 976 3 2 2" xfId="61199"/>
    <cellStyle name="Normal 976 3 2 3" xfId="61200"/>
    <cellStyle name="Normal 976 3 3" xfId="61201"/>
    <cellStyle name="Normal 976 3 3 2" xfId="61202"/>
    <cellStyle name="Normal 976 3 3 3" xfId="61203"/>
    <cellStyle name="Normal 976 3 4" xfId="61204"/>
    <cellStyle name="Normal 976 3 5" xfId="61205"/>
    <cellStyle name="Normal 976 4" xfId="26122"/>
    <cellStyle name="Normal 976 4 2" xfId="61206"/>
    <cellStyle name="Normal 976 4 3" xfId="61207"/>
    <cellStyle name="Normal 976 5" xfId="26123"/>
    <cellStyle name="Normal 976 5 2" xfId="61208"/>
    <cellStyle name="Normal 976 5 3" xfId="61209"/>
    <cellStyle name="Normal 976 6" xfId="61210"/>
    <cellStyle name="Normal 976 7" xfId="61211"/>
    <cellStyle name="Normal 976 8" xfId="61212"/>
    <cellStyle name="Normal 976 9" xfId="61213"/>
    <cellStyle name="Normal 977" xfId="26124"/>
    <cellStyle name="Normal 977 10" xfId="61214"/>
    <cellStyle name="Normal 977 2" xfId="26125"/>
    <cellStyle name="Normal 977 2 2" xfId="26126"/>
    <cellStyle name="Normal 977 2 2 2" xfId="61215"/>
    <cellStyle name="Normal 977 2 2 3" xfId="61216"/>
    <cellStyle name="Normal 977 2 3" xfId="26127"/>
    <cellStyle name="Normal 977 2 3 2" xfId="61217"/>
    <cellStyle name="Normal 977 2 3 3" xfId="61218"/>
    <cellStyle name="Normal 977 2 4" xfId="61219"/>
    <cellStyle name="Normal 977 2 5" xfId="61220"/>
    <cellStyle name="Normal 977 2 6" xfId="61221"/>
    <cellStyle name="Normal 977 2 7" xfId="61222"/>
    <cellStyle name="Normal 977 2 8" xfId="61223"/>
    <cellStyle name="Normal 977 3" xfId="26128"/>
    <cellStyle name="Normal 977 3 2" xfId="61224"/>
    <cellStyle name="Normal 977 3 2 2" xfId="61225"/>
    <cellStyle name="Normal 977 3 2 3" xfId="61226"/>
    <cellStyle name="Normal 977 3 3" xfId="61227"/>
    <cellStyle name="Normal 977 3 3 2" xfId="61228"/>
    <cellStyle name="Normal 977 3 3 3" xfId="61229"/>
    <cellStyle name="Normal 977 3 4" xfId="61230"/>
    <cellStyle name="Normal 977 3 5" xfId="61231"/>
    <cellStyle name="Normal 977 4" xfId="26129"/>
    <cellStyle name="Normal 977 4 2" xfId="61232"/>
    <cellStyle name="Normal 977 4 3" xfId="61233"/>
    <cellStyle name="Normal 977 5" xfId="26130"/>
    <cellStyle name="Normal 977 5 2" xfId="61234"/>
    <cellStyle name="Normal 977 5 3" xfId="61235"/>
    <cellStyle name="Normal 977 6" xfId="61236"/>
    <cellStyle name="Normal 977 7" xfId="61237"/>
    <cellStyle name="Normal 977 8" xfId="61238"/>
    <cellStyle name="Normal 977 9" xfId="61239"/>
    <cellStyle name="Normal 978" xfId="26131"/>
    <cellStyle name="Normal 978 10" xfId="61240"/>
    <cellStyle name="Normal 978 2" xfId="26132"/>
    <cellStyle name="Normal 978 2 2" xfId="26133"/>
    <cellStyle name="Normal 978 2 2 2" xfId="61241"/>
    <cellStyle name="Normal 978 2 2 3" xfId="61242"/>
    <cellStyle name="Normal 978 2 3" xfId="26134"/>
    <cellStyle name="Normal 978 2 3 2" xfId="61243"/>
    <cellStyle name="Normal 978 2 3 3" xfId="61244"/>
    <cellStyle name="Normal 978 2 4" xfId="61245"/>
    <cellStyle name="Normal 978 2 5" xfId="61246"/>
    <cellStyle name="Normal 978 2 6" xfId="61247"/>
    <cellStyle name="Normal 978 2 7" xfId="61248"/>
    <cellStyle name="Normal 978 2 8" xfId="61249"/>
    <cellStyle name="Normal 978 3" xfId="26135"/>
    <cellStyle name="Normal 978 3 2" xfId="61250"/>
    <cellStyle name="Normal 978 3 2 2" xfId="61251"/>
    <cellStyle name="Normal 978 3 2 3" xfId="61252"/>
    <cellStyle name="Normal 978 3 3" xfId="61253"/>
    <cellStyle name="Normal 978 3 3 2" xfId="61254"/>
    <cellStyle name="Normal 978 3 3 3" xfId="61255"/>
    <cellStyle name="Normal 978 3 4" xfId="61256"/>
    <cellStyle name="Normal 978 3 5" xfId="61257"/>
    <cellStyle name="Normal 978 4" xfId="26136"/>
    <cellStyle name="Normal 978 4 2" xfId="61258"/>
    <cellStyle name="Normal 978 4 3" xfId="61259"/>
    <cellStyle name="Normal 978 5" xfId="26137"/>
    <cellStyle name="Normal 978 5 2" xfId="61260"/>
    <cellStyle name="Normal 978 5 3" xfId="61261"/>
    <cellStyle name="Normal 978 6" xfId="61262"/>
    <cellStyle name="Normal 978 7" xfId="61263"/>
    <cellStyle name="Normal 978 8" xfId="61264"/>
    <cellStyle name="Normal 978 9" xfId="61265"/>
    <cellStyle name="Normal 979" xfId="26138"/>
    <cellStyle name="Normal 979 10" xfId="61266"/>
    <cellStyle name="Normal 979 2" xfId="26139"/>
    <cellStyle name="Normal 979 2 2" xfId="26140"/>
    <cellStyle name="Normal 979 2 2 2" xfId="61267"/>
    <cellStyle name="Normal 979 2 2 3" xfId="61268"/>
    <cellStyle name="Normal 979 2 3" xfId="26141"/>
    <cellStyle name="Normal 979 2 3 2" xfId="61269"/>
    <cellStyle name="Normal 979 2 3 3" xfId="61270"/>
    <cellStyle name="Normal 979 2 4" xfId="61271"/>
    <cellStyle name="Normal 979 2 5" xfId="61272"/>
    <cellStyle name="Normal 979 2 6" xfId="61273"/>
    <cellStyle name="Normal 979 2 7" xfId="61274"/>
    <cellStyle name="Normal 979 2 8" xfId="61275"/>
    <cellStyle name="Normal 979 3" xfId="26142"/>
    <cellStyle name="Normal 979 3 2" xfId="61276"/>
    <cellStyle name="Normal 979 3 2 2" xfId="61277"/>
    <cellStyle name="Normal 979 3 2 3" xfId="61278"/>
    <cellStyle name="Normal 979 3 3" xfId="61279"/>
    <cellStyle name="Normal 979 3 3 2" xfId="61280"/>
    <cellStyle name="Normal 979 3 3 3" xfId="61281"/>
    <cellStyle name="Normal 979 3 4" xfId="61282"/>
    <cellStyle name="Normal 979 3 5" xfId="61283"/>
    <cellStyle name="Normal 979 4" xfId="26143"/>
    <cellStyle name="Normal 979 4 2" xfId="61284"/>
    <cellStyle name="Normal 979 4 3" xfId="61285"/>
    <cellStyle name="Normal 979 5" xfId="26144"/>
    <cellStyle name="Normal 979 5 2" xfId="61286"/>
    <cellStyle name="Normal 979 5 3" xfId="61287"/>
    <cellStyle name="Normal 979 6" xfId="61288"/>
    <cellStyle name="Normal 979 7" xfId="61289"/>
    <cellStyle name="Normal 979 8" xfId="61290"/>
    <cellStyle name="Normal 979 9" xfId="61291"/>
    <cellStyle name="Normal 98" xfId="26145"/>
    <cellStyle name="Normal 98 10" xfId="61292"/>
    <cellStyle name="Normal 98 2" xfId="26146"/>
    <cellStyle name="Normal 98 2 2" xfId="26147"/>
    <cellStyle name="Normal 98 2 2 2" xfId="26148"/>
    <cellStyle name="Normal 98 2 2 3" xfId="26149"/>
    <cellStyle name="Normal 98 2 3" xfId="26150"/>
    <cellStyle name="Normal 98 2 3 2" xfId="61293"/>
    <cellStyle name="Normal 98 2 3 3" xfId="61294"/>
    <cellStyle name="Normal 98 2 4" xfId="26151"/>
    <cellStyle name="Normal 98 2 5" xfId="26152"/>
    <cellStyle name="Normal 98 2 6" xfId="61295"/>
    <cellStyle name="Normal 98 2 7" xfId="61296"/>
    <cellStyle name="Normal 98 2 8" xfId="61297"/>
    <cellStyle name="Normal 98 3" xfId="26153"/>
    <cellStyle name="Normal 98 3 2" xfId="26154"/>
    <cellStyle name="Normal 98 3 2 2" xfId="61298"/>
    <cellStyle name="Normal 98 3 2 3" xfId="61299"/>
    <cellStyle name="Normal 98 3 3" xfId="26155"/>
    <cellStyle name="Normal 98 3 3 2" xfId="61300"/>
    <cellStyle name="Normal 98 3 3 3" xfId="61301"/>
    <cellStyle name="Normal 98 3 4" xfId="61302"/>
    <cellStyle name="Normal 98 3 5" xfId="61303"/>
    <cellStyle name="Normal 98 4" xfId="26156"/>
    <cellStyle name="Normal 98 4 2" xfId="61304"/>
    <cellStyle name="Normal 98 4 3" xfId="61305"/>
    <cellStyle name="Normal 98 5" xfId="26157"/>
    <cellStyle name="Normal 98 5 2" xfId="61306"/>
    <cellStyle name="Normal 98 5 3" xfId="61307"/>
    <cellStyle name="Normal 98 6" xfId="26158"/>
    <cellStyle name="Normal 98 7" xfId="61308"/>
    <cellStyle name="Normal 98 8" xfId="61309"/>
    <cellStyle name="Normal 98 9" xfId="61310"/>
    <cellStyle name="Normal 980" xfId="26159"/>
    <cellStyle name="Normal 980 10" xfId="61311"/>
    <cellStyle name="Normal 980 2" xfId="26160"/>
    <cellStyle name="Normal 980 2 2" xfId="26161"/>
    <cellStyle name="Normal 980 2 2 2" xfId="61312"/>
    <cellStyle name="Normal 980 2 2 3" xfId="61313"/>
    <cellStyle name="Normal 980 2 3" xfId="26162"/>
    <cellStyle name="Normal 980 2 3 2" xfId="61314"/>
    <cellStyle name="Normal 980 2 3 3" xfId="61315"/>
    <cellStyle name="Normal 980 2 4" xfId="61316"/>
    <cellStyle name="Normal 980 2 5" xfId="61317"/>
    <cellStyle name="Normal 980 2 6" xfId="61318"/>
    <cellStyle name="Normal 980 2 7" xfId="61319"/>
    <cellStyle name="Normal 980 2 8" xfId="61320"/>
    <cellStyle name="Normal 980 3" xfId="26163"/>
    <cellStyle name="Normal 980 3 2" xfId="61321"/>
    <cellStyle name="Normal 980 3 2 2" xfId="61322"/>
    <cellStyle name="Normal 980 3 2 3" xfId="61323"/>
    <cellStyle name="Normal 980 3 3" xfId="61324"/>
    <cellStyle name="Normal 980 3 3 2" xfId="61325"/>
    <cellStyle name="Normal 980 3 3 3" xfId="61326"/>
    <cellStyle name="Normal 980 3 4" xfId="61327"/>
    <cellStyle name="Normal 980 3 5" xfId="61328"/>
    <cellStyle name="Normal 980 4" xfId="26164"/>
    <cellStyle name="Normal 980 4 2" xfId="61329"/>
    <cellStyle name="Normal 980 4 3" xfId="61330"/>
    <cellStyle name="Normal 980 5" xfId="26165"/>
    <cellStyle name="Normal 980 5 2" xfId="61331"/>
    <cellStyle name="Normal 980 5 3" xfId="61332"/>
    <cellStyle name="Normal 980 6" xfId="61333"/>
    <cellStyle name="Normal 980 7" xfId="61334"/>
    <cellStyle name="Normal 980 8" xfId="61335"/>
    <cellStyle name="Normal 980 9" xfId="61336"/>
    <cellStyle name="Normal 981" xfId="26166"/>
    <cellStyle name="Normal 981 10" xfId="61337"/>
    <cellStyle name="Normal 981 2" xfId="26167"/>
    <cellStyle name="Normal 981 2 2" xfId="26168"/>
    <cellStyle name="Normal 981 2 2 2" xfId="61338"/>
    <cellStyle name="Normal 981 2 2 3" xfId="61339"/>
    <cellStyle name="Normal 981 2 3" xfId="26169"/>
    <cellStyle name="Normal 981 2 3 2" xfId="61340"/>
    <cellStyle name="Normal 981 2 3 3" xfId="61341"/>
    <cellStyle name="Normal 981 2 4" xfId="61342"/>
    <cellStyle name="Normal 981 2 5" xfId="61343"/>
    <cellStyle name="Normal 981 2 6" xfId="61344"/>
    <cellStyle name="Normal 981 2 7" xfId="61345"/>
    <cellStyle name="Normal 981 2 8" xfId="61346"/>
    <cellStyle name="Normal 981 3" xfId="26170"/>
    <cellStyle name="Normal 981 3 2" xfId="61347"/>
    <cellStyle name="Normal 981 3 2 2" xfId="61348"/>
    <cellStyle name="Normal 981 3 2 3" xfId="61349"/>
    <cellStyle name="Normal 981 3 3" xfId="61350"/>
    <cellStyle name="Normal 981 3 3 2" xfId="61351"/>
    <cellStyle name="Normal 981 3 3 3" xfId="61352"/>
    <cellStyle name="Normal 981 3 4" xfId="61353"/>
    <cellStyle name="Normal 981 3 5" xfId="61354"/>
    <cellStyle name="Normal 981 4" xfId="26171"/>
    <cellStyle name="Normal 981 4 2" xfId="61355"/>
    <cellStyle name="Normal 981 4 3" xfId="61356"/>
    <cellStyle name="Normal 981 5" xfId="26172"/>
    <cellStyle name="Normal 981 5 2" xfId="61357"/>
    <cellStyle name="Normal 981 5 3" xfId="61358"/>
    <cellStyle name="Normal 981 6" xfId="61359"/>
    <cellStyle name="Normal 981 7" xfId="61360"/>
    <cellStyle name="Normal 981 8" xfId="61361"/>
    <cellStyle name="Normal 981 9" xfId="61362"/>
    <cellStyle name="Normal 982" xfId="26173"/>
    <cellStyle name="Normal 982 10" xfId="61363"/>
    <cellStyle name="Normal 982 2" xfId="26174"/>
    <cellStyle name="Normal 982 2 2" xfId="26175"/>
    <cellStyle name="Normal 982 2 2 2" xfId="61364"/>
    <cellStyle name="Normal 982 2 2 3" xfId="61365"/>
    <cellStyle name="Normal 982 2 3" xfId="26176"/>
    <cellStyle name="Normal 982 2 3 2" xfId="61366"/>
    <cellStyle name="Normal 982 2 3 3" xfId="61367"/>
    <cellStyle name="Normal 982 2 4" xfId="61368"/>
    <cellStyle name="Normal 982 2 5" xfId="61369"/>
    <cellStyle name="Normal 982 2 6" xfId="61370"/>
    <cellStyle name="Normal 982 2 7" xfId="61371"/>
    <cellStyle name="Normal 982 2 8" xfId="61372"/>
    <cellStyle name="Normal 982 3" xfId="26177"/>
    <cellStyle name="Normal 982 3 2" xfId="61373"/>
    <cellStyle name="Normal 982 3 2 2" xfId="61374"/>
    <cellStyle name="Normal 982 3 2 3" xfId="61375"/>
    <cellStyle name="Normal 982 3 3" xfId="61376"/>
    <cellStyle name="Normal 982 3 3 2" xfId="61377"/>
    <cellStyle name="Normal 982 3 3 3" xfId="61378"/>
    <cellStyle name="Normal 982 3 4" xfId="61379"/>
    <cellStyle name="Normal 982 3 5" xfId="61380"/>
    <cellStyle name="Normal 982 4" xfId="26178"/>
    <cellStyle name="Normal 982 4 2" xfId="61381"/>
    <cellStyle name="Normal 982 4 3" xfId="61382"/>
    <cellStyle name="Normal 982 5" xfId="26179"/>
    <cellStyle name="Normal 982 5 2" xfId="61383"/>
    <cellStyle name="Normal 982 5 3" xfId="61384"/>
    <cellStyle name="Normal 982 6" xfId="61385"/>
    <cellStyle name="Normal 982 7" xfId="61386"/>
    <cellStyle name="Normal 982 8" xfId="61387"/>
    <cellStyle name="Normal 982 9" xfId="61388"/>
    <cellStyle name="Normal 983" xfId="26180"/>
    <cellStyle name="Normal 983 10" xfId="61389"/>
    <cellStyle name="Normal 983 2" xfId="26181"/>
    <cellStyle name="Normal 983 2 2" xfId="26182"/>
    <cellStyle name="Normal 983 2 2 2" xfId="61390"/>
    <cellStyle name="Normal 983 2 2 3" xfId="61391"/>
    <cellStyle name="Normal 983 2 3" xfId="26183"/>
    <cellStyle name="Normal 983 2 3 2" xfId="61392"/>
    <cellStyle name="Normal 983 2 3 3" xfId="61393"/>
    <cellStyle name="Normal 983 2 4" xfId="61394"/>
    <cellStyle name="Normal 983 2 5" xfId="61395"/>
    <cellStyle name="Normal 983 2 6" xfId="61396"/>
    <cellStyle name="Normal 983 2 7" xfId="61397"/>
    <cellStyle name="Normal 983 2 8" xfId="61398"/>
    <cellStyle name="Normal 983 3" xfId="26184"/>
    <cellStyle name="Normal 983 3 2" xfId="61399"/>
    <cellStyle name="Normal 983 3 2 2" xfId="61400"/>
    <cellStyle name="Normal 983 3 2 3" xfId="61401"/>
    <cellStyle name="Normal 983 3 3" xfId="61402"/>
    <cellStyle name="Normal 983 3 3 2" xfId="61403"/>
    <cellStyle name="Normal 983 3 3 3" xfId="61404"/>
    <cellStyle name="Normal 983 3 4" xfId="61405"/>
    <cellStyle name="Normal 983 3 5" xfId="61406"/>
    <cellStyle name="Normal 983 4" xfId="26185"/>
    <cellStyle name="Normal 983 4 2" xfId="61407"/>
    <cellStyle name="Normal 983 4 3" xfId="61408"/>
    <cellStyle name="Normal 983 5" xfId="26186"/>
    <cellStyle name="Normal 983 5 2" xfId="61409"/>
    <cellStyle name="Normal 983 5 3" xfId="61410"/>
    <cellStyle name="Normal 983 6" xfId="61411"/>
    <cellStyle name="Normal 983 7" xfId="61412"/>
    <cellStyle name="Normal 983 8" xfId="61413"/>
    <cellStyle name="Normal 983 9" xfId="61414"/>
    <cellStyle name="Normal 984" xfId="26187"/>
    <cellStyle name="Normal 984 10" xfId="61415"/>
    <cellStyle name="Normal 984 2" xfId="26188"/>
    <cellStyle name="Normal 984 2 2" xfId="26189"/>
    <cellStyle name="Normal 984 2 2 2" xfId="61416"/>
    <cellStyle name="Normal 984 2 2 3" xfId="61417"/>
    <cellStyle name="Normal 984 2 3" xfId="26190"/>
    <cellStyle name="Normal 984 2 3 2" xfId="61418"/>
    <cellStyle name="Normal 984 2 3 3" xfId="61419"/>
    <cellStyle name="Normal 984 2 4" xfId="61420"/>
    <cellStyle name="Normal 984 2 5" xfId="61421"/>
    <cellStyle name="Normal 984 2 6" xfId="61422"/>
    <cellStyle name="Normal 984 2 7" xfId="61423"/>
    <cellStyle name="Normal 984 2 8" xfId="61424"/>
    <cellStyle name="Normal 984 3" xfId="26191"/>
    <cellStyle name="Normal 984 3 2" xfId="61425"/>
    <cellStyle name="Normal 984 3 2 2" xfId="61426"/>
    <cellStyle name="Normal 984 3 2 3" xfId="61427"/>
    <cellStyle name="Normal 984 3 3" xfId="61428"/>
    <cellStyle name="Normal 984 3 3 2" xfId="61429"/>
    <cellStyle name="Normal 984 3 3 3" xfId="61430"/>
    <cellStyle name="Normal 984 3 4" xfId="61431"/>
    <cellStyle name="Normal 984 3 5" xfId="61432"/>
    <cellStyle name="Normal 984 4" xfId="26192"/>
    <cellStyle name="Normal 984 4 2" xfId="61433"/>
    <cellStyle name="Normal 984 4 3" xfId="61434"/>
    <cellStyle name="Normal 984 5" xfId="26193"/>
    <cellStyle name="Normal 984 5 2" xfId="61435"/>
    <cellStyle name="Normal 984 5 3" xfId="61436"/>
    <cellStyle name="Normal 984 6" xfId="61437"/>
    <cellStyle name="Normal 984 7" xfId="61438"/>
    <cellStyle name="Normal 984 8" xfId="61439"/>
    <cellStyle name="Normal 984 9" xfId="61440"/>
    <cellStyle name="Normal 985" xfId="26194"/>
    <cellStyle name="Normal 985 10" xfId="61441"/>
    <cellStyle name="Normal 985 2" xfId="26195"/>
    <cellStyle name="Normal 985 2 2" xfId="26196"/>
    <cellStyle name="Normal 985 2 2 2" xfId="61442"/>
    <cellStyle name="Normal 985 2 2 3" xfId="61443"/>
    <cellStyle name="Normal 985 2 3" xfId="26197"/>
    <cellStyle name="Normal 985 2 3 2" xfId="61444"/>
    <cellStyle name="Normal 985 2 3 3" xfId="61445"/>
    <cellStyle name="Normal 985 2 4" xfId="61446"/>
    <cellStyle name="Normal 985 2 5" xfId="61447"/>
    <cellStyle name="Normal 985 2 6" xfId="61448"/>
    <cellStyle name="Normal 985 2 7" xfId="61449"/>
    <cellStyle name="Normal 985 2 8" xfId="61450"/>
    <cellStyle name="Normal 985 3" xfId="26198"/>
    <cellStyle name="Normal 985 3 2" xfId="61451"/>
    <cellStyle name="Normal 985 3 2 2" xfId="61452"/>
    <cellStyle name="Normal 985 3 2 3" xfId="61453"/>
    <cellStyle name="Normal 985 3 3" xfId="61454"/>
    <cellStyle name="Normal 985 3 3 2" xfId="61455"/>
    <cellStyle name="Normal 985 3 3 3" xfId="61456"/>
    <cellStyle name="Normal 985 3 4" xfId="61457"/>
    <cellStyle name="Normal 985 3 5" xfId="61458"/>
    <cellStyle name="Normal 985 4" xfId="26199"/>
    <cellStyle name="Normal 985 4 2" xfId="61459"/>
    <cellStyle name="Normal 985 4 3" xfId="61460"/>
    <cellStyle name="Normal 985 5" xfId="26200"/>
    <cellStyle name="Normal 985 5 2" xfId="61461"/>
    <cellStyle name="Normal 985 5 3" xfId="61462"/>
    <cellStyle name="Normal 985 6" xfId="61463"/>
    <cellStyle name="Normal 985 7" xfId="61464"/>
    <cellStyle name="Normal 985 8" xfId="61465"/>
    <cellStyle name="Normal 985 9" xfId="61466"/>
    <cellStyle name="Normal 986" xfId="26201"/>
    <cellStyle name="Normal 986 10" xfId="61467"/>
    <cellStyle name="Normal 986 2" xfId="26202"/>
    <cellStyle name="Normal 986 2 2" xfId="26203"/>
    <cellStyle name="Normal 986 2 2 2" xfId="61468"/>
    <cellStyle name="Normal 986 2 2 3" xfId="61469"/>
    <cellStyle name="Normal 986 2 3" xfId="26204"/>
    <cellStyle name="Normal 986 2 3 2" xfId="61470"/>
    <cellStyle name="Normal 986 2 3 3" xfId="61471"/>
    <cellStyle name="Normal 986 2 4" xfId="61472"/>
    <cellStyle name="Normal 986 2 5" xfId="61473"/>
    <cellStyle name="Normal 986 2 6" xfId="61474"/>
    <cellStyle name="Normal 986 2 7" xfId="61475"/>
    <cellStyle name="Normal 986 2 8" xfId="61476"/>
    <cellStyle name="Normal 986 3" xfId="26205"/>
    <cellStyle name="Normal 986 3 2" xfId="61477"/>
    <cellStyle name="Normal 986 3 2 2" xfId="61478"/>
    <cellStyle name="Normal 986 3 2 3" xfId="61479"/>
    <cellStyle name="Normal 986 3 3" xfId="61480"/>
    <cellStyle name="Normal 986 3 3 2" xfId="61481"/>
    <cellStyle name="Normal 986 3 3 3" xfId="61482"/>
    <cellStyle name="Normal 986 3 4" xfId="61483"/>
    <cellStyle name="Normal 986 3 5" xfId="61484"/>
    <cellStyle name="Normal 986 4" xfId="26206"/>
    <cellStyle name="Normal 986 4 2" xfId="61485"/>
    <cellStyle name="Normal 986 4 3" xfId="61486"/>
    <cellStyle name="Normal 986 5" xfId="26207"/>
    <cellStyle name="Normal 986 5 2" xfId="61487"/>
    <cellStyle name="Normal 986 5 3" xfId="61488"/>
    <cellStyle name="Normal 986 6" xfId="61489"/>
    <cellStyle name="Normal 986 7" xfId="61490"/>
    <cellStyle name="Normal 986 8" xfId="61491"/>
    <cellStyle name="Normal 986 9" xfId="61492"/>
    <cellStyle name="Normal 987" xfId="26208"/>
    <cellStyle name="Normal 987 10" xfId="61493"/>
    <cellStyle name="Normal 987 2" xfId="26209"/>
    <cellStyle name="Normal 987 2 2" xfId="26210"/>
    <cellStyle name="Normal 987 2 2 2" xfId="61494"/>
    <cellStyle name="Normal 987 2 2 3" xfId="61495"/>
    <cellStyle name="Normal 987 2 3" xfId="26211"/>
    <cellStyle name="Normal 987 2 3 2" xfId="61496"/>
    <cellStyle name="Normal 987 2 3 3" xfId="61497"/>
    <cellStyle name="Normal 987 2 4" xfId="61498"/>
    <cellStyle name="Normal 987 2 5" xfId="61499"/>
    <cellStyle name="Normal 987 2 6" xfId="61500"/>
    <cellStyle name="Normal 987 2 7" xfId="61501"/>
    <cellStyle name="Normal 987 2 8" xfId="61502"/>
    <cellStyle name="Normal 987 3" xfId="26212"/>
    <cellStyle name="Normal 987 3 2" xfId="61503"/>
    <cellStyle name="Normal 987 3 2 2" xfId="61504"/>
    <cellStyle name="Normal 987 3 2 3" xfId="61505"/>
    <cellStyle name="Normal 987 3 3" xfId="61506"/>
    <cellStyle name="Normal 987 3 3 2" xfId="61507"/>
    <cellStyle name="Normal 987 3 3 3" xfId="61508"/>
    <cellStyle name="Normal 987 3 4" xfId="61509"/>
    <cellStyle name="Normal 987 3 5" xfId="61510"/>
    <cellStyle name="Normal 987 4" xfId="26213"/>
    <cellStyle name="Normal 987 4 2" xfId="61511"/>
    <cellStyle name="Normal 987 4 3" xfId="61512"/>
    <cellStyle name="Normal 987 5" xfId="26214"/>
    <cellStyle name="Normal 987 5 2" xfId="61513"/>
    <cellStyle name="Normal 987 5 3" xfId="61514"/>
    <cellStyle name="Normal 987 6" xfId="61515"/>
    <cellStyle name="Normal 987 7" xfId="61516"/>
    <cellStyle name="Normal 987 8" xfId="61517"/>
    <cellStyle name="Normal 987 9" xfId="61518"/>
    <cellStyle name="Normal 988" xfId="26215"/>
    <cellStyle name="Normal 988 10" xfId="61519"/>
    <cellStyle name="Normal 988 2" xfId="26216"/>
    <cellStyle name="Normal 988 2 2" xfId="26217"/>
    <cellStyle name="Normal 988 2 2 2" xfId="61520"/>
    <cellStyle name="Normal 988 2 2 3" xfId="61521"/>
    <cellStyle name="Normal 988 2 3" xfId="26218"/>
    <cellStyle name="Normal 988 2 3 2" xfId="61522"/>
    <cellStyle name="Normal 988 2 3 3" xfId="61523"/>
    <cellStyle name="Normal 988 2 4" xfId="61524"/>
    <cellStyle name="Normal 988 2 5" xfId="61525"/>
    <cellStyle name="Normal 988 2 6" xfId="61526"/>
    <cellStyle name="Normal 988 2 7" xfId="61527"/>
    <cellStyle name="Normal 988 2 8" xfId="61528"/>
    <cellStyle name="Normal 988 3" xfId="26219"/>
    <cellStyle name="Normal 988 3 2" xfId="61529"/>
    <cellStyle name="Normal 988 3 2 2" xfId="61530"/>
    <cellStyle name="Normal 988 3 2 3" xfId="61531"/>
    <cellStyle name="Normal 988 3 3" xfId="61532"/>
    <cellStyle name="Normal 988 3 3 2" xfId="61533"/>
    <cellStyle name="Normal 988 3 3 3" xfId="61534"/>
    <cellStyle name="Normal 988 3 4" xfId="61535"/>
    <cellStyle name="Normal 988 3 5" xfId="61536"/>
    <cellStyle name="Normal 988 4" xfId="26220"/>
    <cellStyle name="Normal 988 4 2" xfId="61537"/>
    <cellStyle name="Normal 988 4 3" xfId="61538"/>
    <cellStyle name="Normal 988 5" xfId="26221"/>
    <cellStyle name="Normal 988 5 2" xfId="61539"/>
    <cellStyle name="Normal 988 5 3" xfId="61540"/>
    <cellStyle name="Normal 988 6" xfId="61541"/>
    <cellStyle name="Normal 988 7" xfId="61542"/>
    <cellStyle name="Normal 988 8" xfId="61543"/>
    <cellStyle name="Normal 988 9" xfId="61544"/>
    <cellStyle name="Normal 989" xfId="26222"/>
    <cellStyle name="Normal 989 10" xfId="61545"/>
    <cellStyle name="Normal 989 2" xfId="26223"/>
    <cellStyle name="Normal 989 2 2" xfId="26224"/>
    <cellStyle name="Normal 989 2 2 2" xfId="61546"/>
    <cellStyle name="Normal 989 2 2 3" xfId="61547"/>
    <cellStyle name="Normal 989 2 3" xfId="26225"/>
    <cellStyle name="Normal 989 2 3 2" xfId="61548"/>
    <cellStyle name="Normal 989 2 3 3" xfId="61549"/>
    <cellStyle name="Normal 989 2 4" xfId="61550"/>
    <cellStyle name="Normal 989 2 5" xfId="61551"/>
    <cellStyle name="Normal 989 2 6" xfId="61552"/>
    <cellStyle name="Normal 989 2 7" xfId="61553"/>
    <cellStyle name="Normal 989 2 8" xfId="61554"/>
    <cellStyle name="Normal 989 3" xfId="26226"/>
    <cellStyle name="Normal 989 3 2" xfId="61555"/>
    <cellStyle name="Normal 989 3 2 2" xfId="61556"/>
    <cellStyle name="Normal 989 3 2 3" xfId="61557"/>
    <cellStyle name="Normal 989 3 3" xfId="61558"/>
    <cellStyle name="Normal 989 3 3 2" xfId="61559"/>
    <cellStyle name="Normal 989 3 3 3" xfId="61560"/>
    <cellStyle name="Normal 989 3 4" xfId="61561"/>
    <cellStyle name="Normal 989 3 5" xfId="61562"/>
    <cellStyle name="Normal 989 4" xfId="26227"/>
    <cellStyle name="Normal 989 4 2" xfId="61563"/>
    <cellStyle name="Normal 989 4 3" xfId="61564"/>
    <cellStyle name="Normal 989 5" xfId="26228"/>
    <cellStyle name="Normal 989 5 2" xfId="61565"/>
    <cellStyle name="Normal 989 5 3" xfId="61566"/>
    <cellStyle name="Normal 989 6" xfId="61567"/>
    <cellStyle name="Normal 989 7" xfId="61568"/>
    <cellStyle name="Normal 989 8" xfId="61569"/>
    <cellStyle name="Normal 989 9" xfId="61570"/>
    <cellStyle name="Normal 99" xfId="26229"/>
    <cellStyle name="Normal 99 10" xfId="61571"/>
    <cellStyle name="Normal 99 2" xfId="26230"/>
    <cellStyle name="Normal 99 2 2" xfId="26231"/>
    <cellStyle name="Normal 99 2 2 2" xfId="26232"/>
    <cellStyle name="Normal 99 2 2 3" xfId="26233"/>
    <cellStyle name="Normal 99 2 3" xfId="26234"/>
    <cellStyle name="Normal 99 2 3 2" xfId="61572"/>
    <cellStyle name="Normal 99 2 3 3" xfId="61573"/>
    <cellStyle name="Normal 99 2 4" xfId="26235"/>
    <cellStyle name="Normal 99 2 5" xfId="26236"/>
    <cellStyle name="Normal 99 2 6" xfId="61574"/>
    <cellStyle name="Normal 99 2 7" xfId="61575"/>
    <cellStyle name="Normal 99 2 8" xfId="61576"/>
    <cellStyle name="Normal 99 3" xfId="26237"/>
    <cellStyle name="Normal 99 3 2" xfId="26238"/>
    <cellStyle name="Normal 99 3 2 2" xfId="61577"/>
    <cellStyle name="Normal 99 3 2 3" xfId="61578"/>
    <cellStyle name="Normal 99 3 3" xfId="26239"/>
    <cellStyle name="Normal 99 3 3 2" xfId="61579"/>
    <cellStyle name="Normal 99 3 3 3" xfId="61580"/>
    <cellStyle name="Normal 99 3 4" xfId="61581"/>
    <cellStyle name="Normal 99 3 5" xfId="61582"/>
    <cellStyle name="Normal 99 4" xfId="26240"/>
    <cellStyle name="Normal 99 4 2" xfId="61583"/>
    <cellStyle name="Normal 99 4 3" xfId="61584"/>
    <cellStyle name="Normal 99 5" xfId="26241"/>
    <cellStyle name="Normal 99 5 2" xfId="61585"/>
    <cellStyle name="Normal 99 5 3" xfId="61586"/>
    <cellStyle name="Normal 99 6" xfId="26242"/>
    <cellStyle name="Normal 99 7" xfId="61587"/>
    <cellStyle name="Normal 99 8" xfId="61588"/>
    <cellStyle name="Normal 99 9" xfId="61589"/>
    <cellStyle name="Normal 990" xfId="26243"/>
    <cellStyle name="Normal 990 10" xfId="61590"/>
    <cellStyle name="Normal 990 2" xfId="26244"/>
    <cellStyle name="Normal 990 2 2" xfId="26245"/>
    <cellStyle name="Normal 990 2 2 2" xfId="61591"/>
    <cellStyle name="Normal 990 2 2 3" xfId="61592"/>
    <cellStyle name="Normal 990 2 3" xfId="26246"/>
    <cellStyle name="Normal 990 2 3 2" xfId="61593"/>
    <cellStyle name="Normal 990 2 3 3" xfId="61594"/>
    <cellStyle name="Normal 990 2 4" xfId="61595"/>
    <cellStyle name="Normal 990 2 5" xfId="61596"/>
    <cellStyle name="Normal 990 2 6" xfId="61597"/>
    <cellStyle name="Normal 990 2 7" xfId="61598"/>
    <cellStyle name="Normal 990 2 8" xfId="61599"/>
    <cellStyle name="Normal 990 3" xfId="26247"/>
    <cellStyle name="Normal 990 3 2" xfId="61600"/>
    <cellStyle name="Normal 990 3 2 2" xfId="61601"/>
    <cellStyle name="Normal 990 3 2 3" xfId="61602"/>
    <cellStyle name="Normal 990 3 3" xfId="61603"/>
    <cellStyle name="Normal 990 3 3 2" xfId="61604"/>
    <cellStyle name="Normal 990 3 3 3" xfId="61605"/>
    <cellStyle name="Normal 990 3 4" xfId="61606"/>
    <cellStyle name="Normal 990 3 5" xfId="61607"/>
    <cellStyle name="Normal 990 4" xfId="26248"/>
    <cellStyle name="Normal 990 4 2" xfId="61608"/>
    <cellStyle name="Normal 990 4 3" xfId="61609"/>
    <cellStyle name="Normal 990 5" xfId="26249"/>
    <cellStyle name="Normal 990 5 2" xfId="61610"/>
    <cellStyle name="Normal 990 5 3" xfId="61611"/>
    <cellStyle name="Normal 990 6" xfId="61612"/>
    <cellStyle name="Normal 990 7" xfId="61613"/>
    <cellStyle name="Normal 990 8" xfId="61614"/>
    <cellStyle name="Normal 990 9" xfId="61615"/>
    <cellStyle name="Normal 991" xfId="26250"/>
    <cellStyle name="Normal 991 10" xfId="61616"/>
    <cellStyle name="Normal 991 2" xfId="26251"/>
    <cellStyle name="Normal 991 2 2" xfId="26252"/>
    <cellStyle name="Normal 991 2 2 2" xfId="61617"/>
    <cellStyle name="Normal 991 2 2 3" xfId="61618"/>
    <cellStyle name="Normal 991 2 3" xfId="26253"/>
    <cellStyle name="Normal 991 2 3 2" xfId="61619"/>
    <cellStyle name="Normal 991 2 3 3" xfId="61620"/>
    <cellStyle name="Normal 991 2 4" xfId="61621"/>
    <cellStyle name="Normal 991 2 5" xfId="61622"/>
    <cellStyle name="Normal 991 2 6" xfId="61623"/>
    <cellStyle name="Normal 991 2 7" xfId="61624"/>
    <cellStyle name="Normal 991 2 8" xfId="61625"/>
    <cellStyle name="Normal 991 3" xfId="26254"/>
    <cellStyle name="Normal 991 3 2" xfId="61626"/>
    <cellStyle name="Normal 991 3 2 2" xfId="61627"/>
    <cellStyle name="Normal 991 3 2 3" xfId="61628"/>
    <cellStyle name="Normal 991 3 3" xfId="61629"/>
    <cellStyle name="Normal 991 3 3 2" xfId="61630"/>
    <cellStyle name="Normal 991 3 3 3" xfId="61631"/>
    <cellStyle name="Normal 991 3 4" xfId="61632"/>
    <cellStyle name="Normal 991 3 5" xfId="61633"/>
    <cellStyle name="Normal 991 4" xfId="26255"/>
    <cellStyle name="Normal 991 4 2" xfId="61634"/>
    <cellStyle name="Normal 991 4 3" xfId="61635"/>
    <cellStyle name="Normal 991 5" xfId="26256"/>
    <cellStyle name="Normal 991 5 2" xfId="61636"/>
    <cellStyle name="Normal 991 5 3" xfId="61637"/>
    <cellStyle name="Normal 991 6" xfId="61638"/>
    <cellStyle name="Normal 991 7" xfId="61639"/>
    <cellStyle name="Normal 991 8" xfId="61640"/>
    <cellStyle name="Normal 991 9" xfId="61641"/>
    <cellStyle name="Normal 992" xfId="26257"/>
    <cellStyle name="Normal 992 10" xfId="61642"/>
    <cellStyle name="Normal 992 2" xfId="26258"/>
    <cellStyle name="Normal 992 2 2" xfId="26259"/>
    <cellStyle name="Normal 992 2 2 2" xfId="61643"/>
    <cellStyle name="Normal 992 2 2 3" xfId="61644"/>
    <cellStyle name="Normal 992 2 3" xfId="26260"/>
    <cellStyle name="Normal 992 2 3 2" xfId="61645"/>
    <cellStyle name="Normal 992 2 3 3" xfId="61646"/>
    <cellStyle name="Normal 992 2 4" xfId="61647"/>
    <cellStyle name="Normal 992 2 5" xfId="61648"/>
    <cellStyle name="Normal 992 2 6" xfId="61649"/>
    <cellStyle name="Normal 992 2 7" xfId="61650"/>
    <cellStyle name="Normal 992 2 8" xfId="61651"/>
    <cellStyle name="Normal 992 3" xfId="26261"/>
    <cellStyle name="Normal 992 3 2" xfId="61652"/>
    <cellStyle name="Normal 992 3 2 2" xfId="61653"/>
    <cellStyle name="Normal 992 3 2 3" xfId="61654"/>
    <cellStyle name="Normal 992 3 3" xfId="61655"/>
    <cellStyle name="Normal 992 3 3 2" xfId="61656"/>
    <cellStyle name="Normal 992 3 3 3" xfId="61657"/>
    <cellStyle name="Normal 992 3 4" xfId="61658"/>
    <cellStyle name="Normal 992 3 5" xfId="61659"/>
    <cellStyle name="Normal 992 4" xfId="26262"/>
    <cellStyle name="Normal 992 4 2" xfId="61660"/>
    <cellStyle name="Normal 992 4 3" xfId="61661"/>
    <cellStyle name="Normal 992 5" xfId="26263"/>
    <cellStyle name="Normal 992 5 2" xfId="61662"/>
    <cellStyle name="Normal 992 5 3" xfId="61663"/>
    <cellStyle name="Normal 992 6" xfId="61664"/>
    <cellStyle name="Normal 992 7" xfId="61665"/>
    <cellStyle name="Normal 992 8" xfId="61666"/>
    <cellStyle name="Normal 992 9" xfId="61667"/>
    <cellStyle name="Normal 993" xfId="26264"/>
    <cellStyle name="Normal 993 10" xfId="61668"/>
    <cellStyle name="Normal 993 2" xfId="26265"/>
    <cellStyle name="Normal 993 2 2" xfId="26266"/>
    <cellStyle name="Normal 993 2 2 2" xfId="61669"/>
    <cellStyle name="Normal 993 2 2 3" xfId="61670"/>
    <cellStyle name="Normal 993 2 3" xfId="26267"/>
    <cellStyle name="Normal 993 2 3 2" xfId="61671"/>
    <cellStyle name="Normal 993 2 3 3" xfId="61672"/>
    <cellStyle name="Normal 993 2 4" xfId="61673"/>
    <cellStyle name="Normal 993 2 5" xfId="61674"/>
    <cellStyle name="Normal 993 2 6" xfId="61675"/>
    <cellStyle name="Normal 993 2 7" xfId="61676"/>
    <cellStyle name="Normal 993 2 8" xfId="61677"/>
    <cellStyle name="Normal 993 3" xfId="26268"/>
    <cellStyle name="Normal 993 3 2" xfId="61678"/>
    <cellStyle name="Normal 993 3 2 2" xfId="61679"/>
    <cellStyle name="Normal 993 3 2 3" xfId="61680"/>
    <cellStyle name="Normal 993 3 3" xfId="61681"/>
    <cellStyle name="Normal 993 3 3 2" xfId="61682"/>
    <cellStyle name="Normal 993 3 3 3" xfId="61683"/>
    <cellStyle name="Normal 993 3 4" xfId="61684"/>
    <cellStyle name="Normal 993 3 5" xfId="61685"/>
    <cellStyle name="Normal 993 4" xfId="26269"/>
    <cellStyle name="Normal 993 4 2" xfId="61686"/>
    <cellStyle name="Normal 993 4 3" xfId="61687"/>
    <cellStyle name="Normal 993 5" xfId="26270"/>
    <cellStyle name="Normal 993 5 2" xfId="61688"/>
    <cellStyle name="Normal 993 5 3" xfId="61689"/>
    <cellStyle name="Normal 993 6" xfId="61690"/>
    <cellStyle name="Normal 993 7" xfId="61691"/>
    <cellStyle name="Normal 993 8" xfId="61692"/>
    <cellStyle name="Normal 993 9" xfId="61693"/>
    <cellStyle name="Normal 994" xfId="26271"/>
    <cellStyle name="Normal 994 10" xfId="61694"/>
    <cellStyle name="Normal 994 2" xfId="26272"/>
    <cellStyle name="Normal 994 2 2" xfId="26273"/>
    <cellStyle name="Normal 994 2 2 2" xfId="61695"/>
    <cellStyle name="Normal 994 2 2 3" xfId="61696"/>
    <cellStyle name="Normal 994 2 3" xfId="26274"/>
    <cellStyle name="Normal 994 2 3 2" xfId="61697"/>
    <cellStyle name="Normal 994 2 3 3" xfId="61698"/>
    <cellStyle name="Normal 994 2 4" xfId="61699"/>
    <cellStyle name="Normal 994 2 5" xfId="61700"/>
    <cellStyle name="Normal 994 2 6" xfId="61701"/>
    <cellStyle name="Normal 994 2 7" xfId="61702"/>
    <cellStyle name="Normal 994 2 8" xfId="61703"/>
    <cellStyle name="Normal 994 3" xfId="26275"/>
    <cellStyle name="Normal 994 3 2" xfId="61704"/>
    <cellStyle name="Normal 994 3 2 2" xfId="61705"/>
    <cellStyle name="Normal 994 3 2 3" xfId="61706"/>
    <cellStyle name="Normal 994 3 3" xfId="61707"/>
    <cellStyle name="Normal 994 3 3 2" xfId="61708"/>
    <cellStyle name="Normal 994 3 3 3" xfId="61709"/>
    <cellStyle name="Normal 994 3 4" xfId="61710"/>
    <cellStyle name="Normal 994 3 5" xfId="61711"/>
    <cellStyle name="Normal 994 4" xfId="26276"/>
    <cellStyle name="Normal 994 4 2" xfId="61712"/>
    <cellStyle name="Normal 994 4 3" xfId="61713"/>
    <cellStyle name="Normal 994 5" xfId="26277"/>
    <cellStyle name="Normal 994 5 2" xfId="61714"/>
    <cellStyle name="Normal 994 5 3" xfId="61715"/>
    <cellStyle name="Normal 994 6" xfId="61716"/>
    <cellStyle name="Normal 994 7" xfId="61717"/>
    <cellStyle name="Normal 994 8" xfId="61718"/>
    <cellStyle name="Normal 994 9" xfId="61719"/>
    <cellStyle name="Normal 995" xfId="26278"/>
    <cellStyle name="Normal 995 10" xfId="61720"/>
    <cellStyle name="Normal 995 2" xfId="26279"/>
    <cellStyle name="Normal 995 2 2" xfId="26280"/>
    <cellStyle name="Normal 995 2 2 2" xfId="61721"/>
    <cellStyle name="Normal 995 2 2 3" xfId="61722"/>
    <cellStyle name="Normal 995 2 3" xfId="26281"/>
    <cellStyle name="Normal 995 2 3 2" xfId="61723"/>
    <cellStyle name="Normal 995 2 3 3" xfId="61724"/>
    <cellStyle name="Normal 995 2 4" xfId="61725"/>
    <cellStyle name="Normal 995 2 5" xfId="61726"/>
    <cellStyle name="Normal 995 2 6" xfId="61727"/>
    <cellStyle name="Normal 995 2 7" xfId="61728"/>
    <cellStyle name="Normal 995 2 8" xfId="61729"/>
    <cellStyle name="Normal 995 3" xfId="26282"/>
    <cellStyle name="Normal 995 3 2" xfId="61730"/>
    <cellStyle name="Normal 995 3 2 2" xfId="61731"/>
    <cellStyle name="Normal 995 3 2 3" xfId="61732"/>
    <cellStyle name="Normal 995 3 3" xfId="61733"/>
    <cellStyle name="Normal 995 3 3 2" xfId="61734"/>
    <cellStyle name="Normal 995 3 3 3" xfId="61735"/>
    <cellStyle name="Normal 995 3 4" xfId="61736"/>
    <cellStyle name="Normal 995 3 5" xfId="61737"/>
    <cellStyle name="Normal 995 4" xfId="26283"/>
    <cellStyle name="Normal 995 4 2" xfId="61738"/>
    <cellStyle name="Normal 995 4 3" xfId="61739"/>
    <cellStyle name="Normal 995 5" xfId="26284"/>
    <cellStyle name="Normal 995 5 2" xfId="61740"/>
    <cellStyle name="Normal 995 5 3" xfId="61741"/>
    <cellStyle name="Normal 995 6" xfId="61742"/>
    <cellStyle name="Normal 995 7" xfId="61743"/>
    <cellStyle name="Normal 995 8" xfId="61744"/>
    <cellStyle name="Normal 995 9" xfId="61745"/>
    <cellStyle name="Normal 996" xfId="26285"/>
    <cellStyle name="Normal 996 10" xfId="61746"/>
    <cellStyle name="Normal 996 2" xfId="26286"/>
    <cellStyle name="Normal 996 2 2" xfId="26287"/>
    <cellStyle name="Normal 996 2 2 2" xfId="61747"/>
    <cellStyle name="Normal 996 2 2 3" xfId="61748"/>
    <cellStyle name="Normal 996 2 3" xfId="26288"/>
    <cellStyle name="Normal 996 2 3 2" xfId="61749"/>
    <cellStyle name="Normal 996 2 3 3" xfId="61750"/>
    <cellStyle name="Normal 996 2 4" xfId="61751"/>
    <cellStyle name="Normal 996 2 5" xfId="61752"/>
    <cellStyle name="Normal 996 2 6" xfId="61753"/>
    <cellStyle name="Normal 996 2 7" xfId="61754"/>
    <cellStyle name="Normal 996 2 8" xfId="61755"/>
    <cellStyle name="Normal 996 3" xfId="26289"/>
    <cellStyle name="Normal 996 3 2" xfId="61756"/>
    <cellStyle name="Normal 996 3 2 2" xfId="61757"/>
    <cellStyle name="Normal 996 3 2 3" xfId="61758"/>
    <cellStyle name="Normal 996 3 3" xfId="61759"/>
    <cellStyle name="Normal 996 3 3 2" xfId="61760"/>
    <cellStyle name="Normal 996 3 3 3" xfId="61761"/>
    <cellStyle name="Normal 996 3 4" xfId="61762"/>
    <cellStyle name="Normal 996 3 5" xfId="61763"/>
    <cellStyle name="Normal 996 4" xfId="26290"/>
    <cellStyle name="Normal 996 4 2" xfId="61764"/>
    <cellStyle name="Normal 996 4 3" xfId="61765"/>
    <cellStyle name="Normal 996 5" xfId="26291"/>
    <cellStyle name="Normal 996 5 2" xfId="61766"/>
    <cellStyle name="Normal 996 5 3" xfId="61767"/>
    <cellStyle name="Normal 996 6" xfId="61768"/>
    <cellStyle name="Normal 996 7" xfId="61769"/>
    <cellStyle name="Normal 996 8" xfId="61770"/>
    <cellStyle name="Normal 996 9" xfId="61771"/>
    <cellStyle name="Normal 997" xfId="26292"/>
    <cellStyle name="Normal 997 10" xfId="61772"/>
    <cellStyle name="Normal 997 2" xfId="26293"/>
    <cellStyle name="Normal 997 2 2" xfId="26294"/>
    <cellStyle name="Normal 997 2 2 2" xfId="61773"/>
    <cellStyle name="Normal 997 2 2 3" xfId="61774"/>
    <cellStyle name="Normal 997 2 3" xfId="26295"/>
    <cellStyle name="Normal 997 2 3 2" xfId="61775"/>
    <cellStyle name="Normal 997 2 3 3" xfId="61776"/>
    <cellStyle name="Normal 997 2 4" xfId="61777"/>
    <cellStyle name="Normal 997 2 5" xfId="61778"/>
    <cellStyle name="Normal 997 2 6" xfId="61779"/>
    <cellStyle name="Normal 997 2 7" xfId="61780"/>
    <cellStyle name="Normal 997 2 8" xfId="61781"/>
    <cellStyle name="Normal 997 3" xfId="26296"/>
    <cellStyle name="Normal 997 3 2" xfId="61782"/>
    <cellStyle name="Normal 997 3 2 2" xfId="61783"/>
    <cellStyle name="Normal 997 3 2 3" xfId="61784"/>
    <cellStyle name="Normal 997 3 3" xfId="61785"/>
    <cellStyle name="Normal 997 3 3 2" xfId="61786"/>
    <cellStyle name="Normal 997 3 3 3" xfId="61787"/>
    <cellStyle name="Normal 997 3 4" xfId="61788"/>
    <cellStyle name="Normal 997 3 5" xfId="61789"/>
    <cellStyle name="Normal 997 4" xfId="26297"/>
    <cellStyle name="Normal 997 4 2" xfId="61790"/>
    <cellStyle name="Normal 997 4 3" xfId="61791"/>
    <cellStyle name="Normal 997 5" xfId="26298"/>
    <cellStyle name="Normal 997 5 2" xfId="61792"/>
    <cellStyle name="Normal 997 5 3" xfId="61793"/>
    <cellStyle name="Normal 997 6" xfId="61794"/>
    <cellStyle name="Normal 997 7" xfId="61795"/>
    <cellStyle name="Normal 997 8" xfId="61796"/>
    <cellStyle name="Normal 997 9" xfId="61797"/>
    <cellStyle name="Normal 998" xfId="26299"/>
    <cellStyle name="Normal 998 10" xfId="61798"/>
    <cellStyle name="Normal 998 2" xfId="26300"/>
    <cellStyle name="Normal 998 2 2" xfId="26301"/>
    <cellStyle name="Normal 998 2 2 2" xfId="61799"/>
    <cellStyle name="Normal 998 2 2 3" xfId="61800"/>
    <cellStyle name="Normal 998 2 3" xfId="26302"/>
    <cellStyle name="Normal 998 2 3 2" xfId="61801"/>
    <cellStyle name="Normal 998 2 3 3" xfId="61802"/>
    <cellStyle name="Normal 998 2 4" xfId="61803"/>
    <cellStyle name="Normal 998 2 5" xfId="61804"/>
    <cellStyle name="Normal 998 2 6" xfId="61805"/>
    <cellStyle name="Normal 998 2 7" xfId="61806"/>
    <cellStyle name="Normal 998 2 8" xfId="61807"/>
    <cellStyle name="Normal 998 3" xfId="26303"/>
    <cellStyle name="Normal 998 3 2" xfId="61808"/>
    <cellStyle name="Normal 998 3 2 2" xfId="61809"/>
    <cellStyle name="Normal 998 3 2 3" xfId="61810"/>
    <cellStyle name="Normal 998 3 3" xfId="61811"/>
    <cellStyle name="Normal 998 3 3 2" xfId="61812"/>
    <cellStyle name="Normal 998 3 3 3" xfId="61813"/>
    <cellStyle name="Normal 998 3 4" xfId="61814"/>
    <cellStyle name="Normal 998 3 5" xfId="61815"/>
    <cellStyle name="Normal 998 4" xfId="26304"/>
    <cellStyle name="Normal 998 4 2" xfId="61816"/>
    <cellStyle name="Normal 998 4 3" xfId="61817"/>
    <cellStyle name="Normal 998 5" xfId="26305"/>
    <cellStyle name="Normal 998 5 2" xfId="61818"/>
    <cellStyle name="Normal 998 5 3" xfId="61819"/>
    <cellStyle name="Normal 998 6" xfId="61820"/>
    <cellStyle name="Normal 998 7" xfId="61821"/>
    <cellStyle name="Normal 998 8" xfId="61822"/>
    <cellStyle name="Normal 998 9" xfId="61823"/>
    <cellStyle name="Normal 999" xfId="26306"/>
    <cellStyle name="Normal 999 10" xfId="61824"/>
    <cellStyle name="Normal 999 2" xfId="26307"/>
    <cellStyle name="Normal 999 2 2" xfId="26308"/>
    <cellStyle name="Normal 999 2 2 2" xfId="61825"/>
    <cellStyle name="Normal 999 2 2 3" xfId="61826"/>
    <cellStyle name="Normal 999 2 3" xfId="26309"/>
    <cellStyle name="Normal 999 2 3 2" xfId="61827"/>
    <cellStyle name="Normal 999 2 3 3" xfId="61828"/>
    <cellStyle name="Normal 999 2 4" xfId="61829"/>
    <cellStyle name="Normal 999 2 5" xfId="61830"/>
    <cellStyle name="Normal 999 2 6" xfId="61831"/>
    <cellStyle name="Normal 999 2 7" xfId="61832"/>
    <cellStyle name="Normal 999 2 8" xfId="61833"/>
    <cellStyle name="Normal 999 3" xfId="26310"/>
    <cellStyle name="Normal 999 3 2" xfId="61834"/>
    <cellStyle name="Normal 999 3 2 2" xfId="61835"/>
    <cellStyle name="Normal 999 3 2 3" xfId="61836"/>
    <cellStyle name="Normal 999 3 3" xfId="61837"/>
    <cellStyle name="Normal 999 3 3 2" xfId="61838"/>
    <cellStyle name="Normal 999 3 3 3" xfId="61839"/>
    <cellStyle name="Normal 999 3 4" xfId="61840"/>
    <cellStyle name="Normal 999 3 5" xfId="61841"/>
    <cellStyle name="Normal 999 4" xfId="26311"/>
    <cellStyle name="Normal 999 4 2" xfId="61842"/>
    <cellStyle name="Normal 999 4 3" xfId="61843"/>
    <cellStyle name="Normal 999 5" xfId="26312"/>
    <cellStyle name="Normal 999 5 2" xfId="61844"/>
    <cellStyle name="Normal 999 5 3" xfId="61845"/>
    <cellStyle name="Normal 999 6" xfId="61846"/>
    <cellStyle name="Normal 999 7" xfId="61847"/>
    <cellStyle name="Normal 999 8" xfId="61848"/>
    <cellStyle name="Normal 999 9" xfId="61849"/>
    <cellStyle name="Normal_0913.0914beginning of lot check sheet" xfId="3"/>
    <cellStyle name="Normal_15material monitoring" xfId="1"/>
    <cellStyle name="Normal_New Production Plan 08" xfId="62596"/>
    <cellStyle name="Note 2" xfId="61850"/>
    <cellStyle name="Note 2 2" xfId="61851"/>
    <cellStyle name="Note 2 2 10" xfId="61852"/>
    <cellStyle name="Note 2 2 2" xfId="61853"/>
    <cellStyle name="Note 2 2 2 2" xfId="61854"/>
    <cellStyle name="Note 2 2 2 2 2" xfId="61855"/>
    <cellStyle name="Note 2 2 2 3" xfId="61856"/>
    <cellStyle name="Note 2 2 2 3 2" xfId="61857"/>
    <cellStyle name="Note 2 2 2 4" xfId="61858"/>
    <cellStyle name="Note 2 2 2 4 2" xfId="61859"/>
    <cellStyle name="Note 2 2 2 5" xfId="61860"/>
    <cellStyle name="Note 2 2 3" xfId="61861"/>
    <cellStyle name="Note 2 2 3 2" xfId="61862"/>
    <cellStyle name="Note 2 2 3 2 2" xfId="61863"/>
    <cellStyle name="Note 2 2 3 3" xfId="61864"/>
    <cellStyle name="Note 2 2 3 3 2" xfId="61865"/>
    <cellStyle name="Note 2 2 3 4" xfId="61866"/>
    <cellStyle name="Note 2 2 3 4 2" xfId="61867"/>
    <cellStyle name="Note 2 2 3 5" xfId="61868"/>
    <cellStyle name="Note 2 2 4" xfId="61869"/>
    <cellStyle name="Note 2 2 4 2" xfId="61870"/>
    <cellStyle name="Note 2 2 4 2 2" xfId="61871"/>
    <cellStyle name="Note 2 2 4 3" xfId="61872"/>
    <cellStyle name="Note 2 2 4 3 2" xfId="61873"/>
    <cellStyle name="Note 2 2 4 4" xfId="61874"/>
    <cellStyle name="Note 2 2 4 4 2" xfId="61875"/>
    <cellStyle name="Note 2 2 4 5" xfId="61876"/>
    <cellStyle name="Note 2 2 5" xfId="61877"/>
    <cellStyle name="Note 2 2 5 2" xfId="61878"/>
    <cellStyle name="Note 2 2 5 2 2" xfId="61879"/>
    <cellStyle name="Note 2 2 5 3" xfId="61880"/>
    <cellStyle name="Note 2 2 5 3 2" xfId="61881"/>
    <cellStyle name="Note 2 2 5 4" xfId="61882"/>
    <cellStyle name="Note 2 2 5 4 2" xfId="61883"/>
    <cellStyle name="Note 2 2 5 5" xfId="61884"/>
    <cellStyle name="Note 2 2 6" xfId="61885"/>
    <cellStyle name="Note 2 2 6 2" xfId="61886"/>
    <cellStyle name="Note 2 2 6 2 2" xfId="61887"/>
    <cellStyle name="Note 2 2 6 3" xfId="61888"/>
    <cellStyle name="Note 2 2 6 3 2" xfId="61889"/>
    <cellStyle name="Note 2 2 6 4" xfId="61890"/>
    <cellStyle name="Note 2 2 6 4 2" xfId="61891"/>
    <cellStyle name="Note 2 2 6 5" xfId="61892"/>
    <cellStyle name="Note 2 2 7" xfId="61893"/>
    <cellStyle name="Note 2 2 7 2" xfId="61894"/>
    <cellStyle name="Note 2 2 8" xfId="61895"/>
    <cellStyle name="Note 2 2 8 2" xfId="61896"/>
    <cellStyle name="Note 2 2 9" xfId="61897"/>
    <cellStyle name="Note 2 2 9 2" xfId="61898"/>
    <cellStyle name="Note 2 3" xfId="61899"/>
    <cellStyle name="Note 2 3 10" xfId="61900"/>
    <cellStyle name="Note 2 3 2" xfId="61901"/>
    <cellStyle name="Note 2 3 2 2" xfId="61902"/>
    <cellStyle name="Note 2 3 2 2 2" xfId="61903"/>
    <cellStyle name="Note 2 3 2 3" xfId="61904"/>
    <cellStyle name="Note 2 3 2 3 2" xfId="61905"/>
    <cellStyle name="Note 2 3 2 4" xfId="61906"/>
    <cellStyle name="Note 2 3 2 4 2" xfId="61907"/>
    <cellStyle name="Note 2 3 2 5" xfId="61908"/>
    <cellStyle name="Note 2 3 3" xfId="61909"/>
    <cellStyle name="Note 2 3 3 2" xfId="61910"/>
    <cellStyle name="Note 2 3 3 2 2" xfId="61911"/>
    <cellStyle name="Note 2 3 3 3" xfId="61912"/>
    <cellStyle name="Note 2 3 3 3 2" xfId="61913"/>
    <cellStyle name="Note 2 3 3 4" xfId="61914"/>
    <cellStyle name="Note 2 3 3 4 2" xfId="61915"/>
    <cellStyle name="Note 2 3 3 5" xfId="61916"/>
    <cellStyle name="Note 2 3 4" xfId="61917"/>
    <cellStyle name="Note 2 3 4 2" xfId="61918"/>
    <cellStyle name="Note 2 3 4 2 2" xfId="61919"/>
    <cellStyle name="Note 2 3 4 3" xfId="61920"/>
    <cellStyle name="Note 2 3 4 3 2" xfId="61921"/>
    <cellStyle name="Note 2 3 4 4" xfId="61922"/>
    <cellStyle name="Note 2 3 4 4 2" xfId="61923"/>
    <cellStyle name="Note 2 3 4 5" xfId="61924"/>
    <cellStyle name="Note 2 3 5" xfId="61925"/>
    <cellStyle name="Note 2 3 5 2" xfId="61926"/>
    <cellStyle name="Note 2 3 5 2 2" xfId="61927"/>
    <cellStyle name="Note 2 3 5 3" xfId="61928"/>
    <cellStyle name="Note 2 3 5 3 2" xfId="61929"/>
    <cellStyle name="Note 2 3 5 4" xfId="61930"/>
    <cellStyle name="Note 2 3 5 4 2" xfId="61931"/>
    <cellStyle name="Note 2 3 5 5" xfId="61932"/>
    <cellStyle name="Note 2 3 6" xfId="61933"/>
    <cellStyle name="Note 2 3 6 2" xfId="61934"/>
    <cellStyle name="Note 2 3 6 2 2" xfId="61935"/>
    <cellStyle name="Note 2 3 6 3" xfId="61936"/>
    <cellStyle name="Note 2 3 6 3 2" xfId="61937"/>
    <cellStyle name="Note 2 3 6 4" xfId="61938"/>
    <cellStyle name="Note 2 3 6 4 2" xfId="61939"/>
    <cellStyle name="Note 2 3 6 5" xfId="61940"/>
    <cellStyle name="Note 2 3 7" xfId="61941"/>
    <cellStyle name="Note 2 3 7 2" xfId="61942"/>
    <cellStyle name="Note 2 3 8" xfId="61943"/>
    <cellStyle name="Note 2 3 8 2" xfId="61944"/>
    <cellStyle name="Note 2 3 9" xfId="61945"/>
    <cellStyle name="Note 2 3 9 2" xfId="61946"/>
    <cellStyle name="Note 2 4" xfId="61947"/>
    <cellStyle name="Note 2 4 10" xfId="61948"/>
    <cellStyle name="Note 2 4 2" xfId="61949"/>
    <cellStyle name="Note 2 4 2 2" xfId="61950"/>
    <cellStyle name="Note 2 4 2 2 2" xfId="61951"/>
    <cellStyle name="Note 2 4 2 3" xfId="61952"/>
    <cellStyle name="Note 2 4 2 3 2" xfId="61953"/>
    <cellStyle name="Note 2 4 2 4" xfId="61954"/>
    <cellStyle name="Note 2 4 2 4 2" xfId="61955"/>
    <cellStyle name="Note 2 4 2 5" xfId="61956"/>
    <cellStyle name="Note 2 4 3" xfId="61957"/>
    <cellStyle name="Note 2 4 3 2" xfId="61958"/>
    <cellStyle name="Note 2 4 3 2 2" xfId="61959"/>
    <cellStyle name="Note 2 4 3 3" xfId="61960"/>
    <cellStyle name="Note 2 4 3 3 2" xfId="61961"/>
    <cellStyle name="Note 2 4 3 4" xfId="61962"/>
    <cellStyle name="Note 2 4 3 4 2" xfId="61963"/>
    <cellStyle name="Note 2 4 3 5" xfId="61964"/>
    <cellStyle name="Note 2 4 4" xfId="61965"/>
    <cellStyle name="Note 2 4 4 2" xfId="61966"/>
    <cellStyle name="Note 2 4 4 2 2" xfId="61967"/>
    <cellStyle name="Note 2 4 4 3" xfId="61968"/>
    <cellStyle name="Note 2 4 4 3 2" xfId="61969"/>
    <cellStyle name="Note 2 4 4 4" xfId="61970"/>
    <cellStyle name="Note 2 4 4 4 2" xfId="61971"/>
    <cellStyle name="Note 2 4 4 5" xfId="61972"/>
    <cellStyle name="Note 2 4 5" xfId="61973"/>
    <cellStyle name="Note 2 4 5 2" xfId="61974"/>
    <cellStyle name="Note 2 4 5 2 2" xfId="61975"/>
    <cellStyle name="Note 2 4 5 3" xfId="61976"/>
    <cellStyle name="Note 2 4 5 3 2" xfId="61977"/>
    <cellStyle name="Note 2 4 5 4" xfId="61978"/>
    <cellStyle name="Note 2 4 5 4 2" xfId="61979"/>
    <cellStyle name="Note 2 4 5 5" xfId="61980"/>
    <cellStyle name="Note 2 4 6" xfId="61981"/>
    <cellStyle name="Note 2 4 6 2" xfId="61982"/>
    <cellStyle name="Note 2 4 6 2 2" xfId="61983"/>
    <cellStyle name="Note 2 4 6 3" xfId="61984"/>
    <cellStyle name="Note 2 4 6 3 2" xfId="61985"/>
    <cellStyle name="Note 2 4 6 4" xfId="61986"/>
    <cellStyle name="Note 2 4 6 4 2" xfId="61987"/>
    <cellStyle name="Note 2 4 6 5" xfId="61988"/>
    <cellStyle name="Note 2 4 7" xfId="61989"/>
    <cellStyle name="Note 2 4 7 2" xfId="61990"/>
    <cellStyle name="Note 2 4 8" xfId="61991"/>
    <cellStyle name="Note 2 4 8 2" xfId="61992"/>
    <cellStyle name="Note 2 4 9" xfId="61993"/>
    <cellStyle name="Note 2 4 9 2" xfId="61994"/>
    <cellStyle name="Note 2 5" xfId="61995"/>
    <cellStyle name="Note 2 5 10" xfId="61996"/>
    <cellStyle name="Note 2 5 2" xfId="61997"/>
    <cellStyle name="Note 2 5 2 2" xfId="61998"/>
    <cellStyle name="Note 2 5 2 2 2" xfId="61999"/>
    <cellStyle name="Note 2 5 2 3" xfId="62000"/>
    <cellStyle name="Note 2 5 2 3 2" xfId="62001"/>
    <cellStyle name="Note 2 5 2 4" xfId="62002"/>
    <cellStyle name="Note 2 5 2 4 2" xfId="62003"/>
    <cellStyle name="Note 2 5 2 5" xfId="62004"/>
    <cellStyle name="Note 2 5 3" xfId="62005"/>
    <cellStyle name="Note 2 5 3 2" xfId="62006"/>
    <cellStyle name="Note 2 5 3 2 2" xfId="62007"/>
    <cellStyle name="Note 2 5 3 3" xfId="62008"/>
    <cellStyle name="Note 2 5 3 3 2" xfId="62009"/>
    <cellStyle name="Note 2 5 3 4" xfId="62010"/>
    <cellStyle name="Note 2 5 3 4 2" xfId="62011"/>
    <cellStyle name="Note 2 5 3 5" xfId="62012"/>
    <cellStyle name="Note 2 5 4" xfId="62013"/>
    <cellStyle name="Note 2 5 4 2" xfId="62014"/>
    <cellStyle name="Note 2 5 4 2 2" xfId="62015"/>
    <cellStyle name="Note 2 5 4 3" xfId="62016"/>
    <cellStyle name="Note 2 5 4 3 2" xfId="62017"/>
    <cellStyle name="Note 2 5 4 4" xfId="62018"/>
    <cellStyle name="Note 2 5 4 4 2" xfId="62019"/>
    <cellStyle name="Note 2 5 4 5" xfId="62020"/>
    <cellStyle name="Note 2 5 5" xfId="62021"/>
    <cellStyle name="Note 2 5 5 2" xfId="62022"/>
    <cellStyle name="Note 2 5 5 2 2" xfId="62023"/>
    <cellStyle name="Note 2 5 5 3" xfId="62024"/>
    <cellStyle name="Note 2 5 5 3 2" xfId="62025"/>
    <cellStyle name="Note 2 5 5 4" xfId="62026"/>
    <cellStyle name="Note 2 5 5 4 2" xfId="62027"/>
    <cellStyle name="Note 2 5 5 5" xfId="62028"/>
    <cellStyle name="Note 2 5 6" xfId="62029"/>
    <cellStyle name="Note 2 5 6 2" xfId="62030"/>
    <cellStyle name="Note 2 5 6 2 2" xfId="62031"/>
    <cellStyle name="Note 2 5 6 3" xfId="62032"/>
    <cellStyle name="Note 2 5 6 3 2" xfId="62033"/>
    <cellStyle name="Note 2 5 6 4" xfId="62034"/>
    <cellStyle name="Note 2 5 6 4 2" xfId="62035"/>
    <cellStyle name="Note 2 5 6 5" xfId="62036"/>
    <cellStyle name="Note 2 5 7" xfId="62037"/>
    <cellStyle name="Note 2 5 7 2" xfId="62038"/>
    <cellStyle name="Note 2 5 8" xfId="62039"/>
    <cellStyle name="Note 2 5 8 2" xfId="62040"/>
    <cellStyle name="Note 2 5 9" xfId="62041"/>
    <cellStyle name="Note 2 5 9 2" xfId="62042"/>
    <cellStyle name="Note 2 6" xfId="62043"/>
    <cellStyle name="Note 2 6 10" xfId="62044"/>
    <cellStyle name="Note 2 6 2" xfId="62045"/>
    <cellStyle name="Note 2 6 2 2" xfId="62046"/>
    <cellStyle name="Note 2 6 2 2 2" xfId="62047"/>
    <cellStyle name="Note 2 6 2 3" xfId="62048"/>
    <cellStyle name="Note 2 6 2 3 2" xfId="62049"/>
    <cellStyle name="Note 2 6 2 4" xfId="62050"/>
    <cellStyle name="Note 2 6 2 4 2" xfId="62051"/>
    <cellStyle name="Note 2 6 2 5" xfId="62052"/>
    <cellStyle name="Note 2 6 3" xfId="62053"/>
    <cellStyle name="Note 2 6 3 2" xfId="62054"/>
    <cellStyle name="Note 2 6 3 2 2" xfId="62055"/>
    <cellStyle name="Note 2 6 3 3" xfId="62056"/>
    <cellStyle name="Note 2 6 3 3 2" xfId="62057"/>
    <cellStyle name="Note 2 6 3 4" xfId="62058"/>
    <cellStyle name="Note 2 6 3 4 2" xfId="62059"/>
    <cellStyle name="Note 2 6 3 5" xfId="62060"/>
    <cellStyle name="Note 2 6 4" xfId="62061"/>
    <cellStyle name="Note 2 6 4 2" xfId="62062"/>
    <cellStyle name="Note 2 6 4 2 2" xfId="62063"/>
    <cellStyle name="Note 2 6 4 3" xfId="62064"/>
    <cellStyle name="Note 2 6 4 3 2" xfId="62065"/>
    <cellStyle name="Note 2 6 4 4" xfId="62066"/>
    <cellStyle name="Note 2 6 4 4 2" xfId="62067"/>
    <cellStyle name="Note 2 6 4 5" xfId="62068"/>
    <cellStyle name="Note 2 6 5" xfId="62069"/>
    <cellStyle name="Note 2 6 5 2" xfId="62070"/>
    <cellStyle name="Note 2 6 5 2 2" xfId="62071"/>
    <cellStyle name="Note 2 6 5 3" xfId="62072"/>
    <cellStyle name="Note 2 6 5 3 2" xfId="62073"/>
    <cellStyle name="Note 2 6 5 4" xfId="62074"/>
    <cellStyle name="Note 2 6 5 4 2" xfId="62075"/>
    <cellStyle name="Note 2 6 5 5" xfId="62076"/>
    <cellStyle name="Note 2 6 6" xfId="62077"/>
    <cellStyle name="Note 2 6 6 2" xfId="62078"/>
    <cellStyle name="Note 2 6 6 2 2" xfId="62079"/>
    <cellStyle name="Note 2 6 6 3" xfId="62080"/>
    <cellStyle name="Note 2 6 6 3 2" xfId="62081"/>
    <cellStyle name="Note 2 6 6 4" xfId="62082"/>
    <cellStyle name="Note 2 6 6 4 2" xfId="62083"/>
    <cellStyle name="Note 2 6 6 5" xfId="62084"/>
    <cellStyle name="Note 2 6 7" xfId="62085"/>
    <cellStyle name="Note 2 6 7 2" xfId="62086"/>
    <cellStyle name="Note 2 6 8" xfId="62087"/>
    <cellStyle name="Note 2 6 8 2" xfId="62088"/>
    <cellStyle name="Note 2 6 9" xfId="62089"/>
    <cellStyle name="Note 2 6 9 2" xfId="62090"/>
    <cellStyle name="Note 2 7" xfId="62091"/>
    <cellStyle name="Note 2 7 2" xfId="62092"/>
    <cellStyle name="Note 2 7 2 2" xfId="62093"/>
    <cellStyle name="Note 2 7 2 2 2" xfId="62094"/>
    <cellStyle name="Note 2 7 2 3" xfId="62095"/>
    <cellStyle name="Note 2 7 2 3 2" xfId="62096"/>
    <cellStyle name="Note 2 7 2 4" xfId="62097"/>
    <cellStyle name="Note 2 7 2 4 2" xfId="62098"/>
    <cellStyle name="Note 2 7 2 5" xfId="62099"/>
    <cellStyle name="Note 2 7 3" xfId="62100"/>
    <cellStyle name="Note 2 7 3 2" xfId="62101"/>
    <cellStyle name="Note 2 7 3 2 2" xfId="62102"/>
    <cellStyle name="Note 2 7 3 3" xfId="62103"/>
    <cellStyle name="Note 2 7 3 3 2" xfId="62104"/>
    <cellStyle name="Note 2 7 3 4" xfId="62105"/>
    <cellStyle name="Note 2 7 3 4 2" xfId="62106"/>
    <cellStyle name="Note 2 7 3 5" xfId="62107"/>
    <cellStyle name="Note 2 7 4" xfId="62108"/>
    <cellStyle name="Note 2 7 4 2" xfId="62109"/>
    <cellStyle name="Note 2 7 4 2 2" xfId="62110"/>
    <cellStyle name="Note 2 7 4 3" xfId="62111"/>
    <cellStyle name="Note 2 7 4 3 2" xfId="62112"/>
    <cellStyle name="Note 2 7 4 4" xfId="62113"/>
    <cellStyle name="Note 2 7 4 4 2" xfId="62114"/>
    <cellStyle name="Note 2 7 4 5" xfId="62115"/>
    <cellStyle name="Note 2 7 5" xfId="62116"/>
    <cellStyle name="Note 2 7 5 2" xfId="62117"/>
    <cellStyle name="Note 2 7 5 2 2" xfId="62118"/>
    <cellStyle name="Note 2 7 5 3" xfId="62119"/>
    <cellStyle name="Note 2 7 5 3 2" xfId="62120"/>
    <cellStyle name="Note 2 7 5 4" xfId="62121"/>
    <cellStyle name="Note 2 7 5 4 2" xfId="62122"/>
    <cellStyle name="Note 2 7 5 5" xfId="62123"/>
    <cellStyle name="Note 2 7 6" xfId="62124"/>
    <cellStyle name="Note 2 7 6 2" xfId="62125"/>
    <cellStyle name="Note 2 7 7" xfId="62126"/>
    <cellStyle name="Note 2 7 7 2" xfId="62127"/>
    <cellStyle name="Note 2 7 8" xfId="62128"/>
    <cellStyle name="Note 2 7 8 2" xfId="62129"/>
    <cellStyle name="Note 2 7 9" xfId="62130"/>
    <cellStyle name="Note 2 8" xfId="62131"/>
    <cellStyle name="Œ…‹æØ‚è [0.00]_DPCumSum" xfId="26313"/>
    <cellStyle name="Œ…‹æØ‚è_DPCumSum" xfId="26314"/>
    <cellStyle name="Output 2" xfId="62132"/>
    <cellStyle name="Output 2 10" xfId="62133"/>
    <cellStyle name="Output 2 10 2" xfId="62134"/>
    <cellStyle name="Output 2 11" xfId="62135"/>
    <cellStyle name="Output 2 2" xfId="62136"/>
    <cellStyle name="Output 2 2 2" xfId="62137"/>
    <cellStyle name="Output 2 2 2 2" xfId="62138"/>
    <cellStyle name="Output 2 2 2 2 2" xfId="62139"/>
    <cellStyle name="Output 2 2 2 3" xfId="62140"/>
    <cellStyle name="Output 2 2 2 3 2" xfId="62141"/>
    <cellStyle name="Output 2 2 2 4" xfId="62142"/>
    <cellStyle name="Output 2 2 3" xfId="62143"/>
    <cellStyle name="Output 2 2 3 2" xfId="62144"/>
    <cellStyle name="Output 2 2 3 2 2" xfId="62145"/>
    <cellStyle name="Output 2 2 3 3" xfId="62146"/>
    <cellStyle name="Output 2 2 3 3 2" xfId="62147"/>
    <cellStyle name="Output 2 2 3 4" xfId="62148"/>
    <cellStyle name="Output 2 2 4" xfId="62149"/>
    <cellStyle name="Output 2 2 4 2" xfId="62150"/>
    <cellStyle name="Output 2 2 4 2 2" xfId="62151"/>
    <cellStyle name="Output 2 2 4 3" xfId="62152"/>
    <cellStyle name="Output 2 2 4 3 2" xfId="62153"/>
    <cellStyle name="Output 2 2 4 4" xfId="62154"/>
    <cellStyle name="Output 2 2 5" xfId="62155"/>
    <cellStyle name="Output 2 2 5 2" xfId="62156"/>
    <cellStyle name="Output 2 2 6" xfId="62157"/>
    <cellStyle name="Output 2 2 6 2" xfId="62158"/>
    <cellStyle name="Output 2 2 7" xfId="62159"/>
    <cellStyle name="Output 2 3" xfId="62160"/>
    <cellStyle name="Output 2 3 2" xfId="62161"/>
    <cellStyle name="Output 2 3 2 2" xfId="62162"/>
    <cellStyle name="Output 2 3 3" xfId="62163"/>
    <cellStyle name="Output 2 3 3 2" xfId="62164"/>
    <cellStyle name="Output 2 3 4" xfId="62165"/>
    <cellStyle name="Output 2 4" xfId="62166"/>
    <cellStyle name="Output 2 4 2" xfId="62167"/>
    <cellStyle name="Output 2 4 2 2" xfId="62168"/>
    <cellStyle name="Output 2 4 3" xfId="62169"/>
    <cellStyle name="Output 2 4 3 2" xfId="62170"/>
    <cellStyle name="Output 2 4 4" xfId="62171"/>
    <cellStyle name="Output 2 5" xfId="62172"/>
    <cellStyle name="Output 2 5 2" xfId="62173"/>
    <cellStyle name="Output 2 5 2 2" xfId="62174"/>
    <cellStyle name="Output 2 5 3" xfId="62175"/>
    <cellStyle name="Output 2 5 3 2" xfId="62176"/>
    <cellStyle name="Output 2 5 4" xfId="62177"/>
    <cellStyle name="Output 2 6" xfId="62178"/>
    <cellStyle name="Output 2 6 2" xfId="62179"/>
    <cellStyle name="Output 2 6 2 2" xfId="62180"/>
    <cellStyle name="Output 2 6 3" xfId="62181"/>
    <cellStyle name="Output 2 6 3 2" xfId="62182"/>
    <cellStyle name="Output 2 6 4" xfId="62183"/>
    <cellStyle name="Output 2 7" xfId="62184"/>
    <cellStyle name="Output 2 7 2" xfId="62185"/>
    <cellStyle name="Output 2 7 2 2" xfId="62186"/>
    <cellStyle name="Output 2 7 3" xfId="62187"/>
    <cellStyle name="Output 2 7 3 2" xfId="62188"/>
    <cellStyle name="Output 2 7 4" xfId="62189"/>
    <cellStyle name="Output 2 8" xfId="62190"/>
    <cellStyle name="Output 2 8 2" xfId="62191"/>
    <cellStyle name="Output 2 9" xfId="62192"/>
    <cellStyle name="Output 2 9 2" xfId="62193"/>
    <cellStyle name="Output 3" xfId="62194"/>
    <cellStyle name="Output 3 10" xfId="62195"/>
    <cellStyle name="Output 3 10 2" xfId="62196"/>
    <cellStyle name="Output 3 11" xfId="62197"/>
    <cellStyle name="Output 3 2" xfId="62198"/>
    <cellStyle name="Output 3 2 2" xfId="62199"/>
    <cellStyle name="Output 3 2 2 2" xfId="62200"/>
    <cellStyle name="Output 3 2 2 2 2" xfId="62201"/>
    <cellStyle name="Output 3 2 2 3" xfId="62202"/>
    <cellStyle name="Output 3 2 2 3 2" xfId="62203"/>
    <cellStyle name="Output 3 2 2 4" xfId="62204"/>
    <cellStyle name="Output 3 2 3" xfId="62205"/>
    <cellStyle name="Output 3 2 3 2" xfId="62206"/>
    <cellStyle name="Output 3 2 3 2 2" xfId="62207"/>
    <cellStyle name="Output 3 2 3 3" xfId="62208"/>
    <cellStyle name="Output 3 2 3 3 2" xfId="62209"/>
    <cellStyle name="Output 3 2 3 4" xfId="62210"/>
    <cellStyle name="Output 3 2 4" xfId="62211"/>
    <cellStyle name="Output 3 2 4 2" xfId="62212"/>
    <cellStyle name="Output 3 2 4 2 2" xfId="62213"/>
    <cellStyle name="Output 3 2 4 3" xfId="62214"/>
    <cellStyle name="Output 3 2 4 3 2" xfId="62215"/>
    <cellStyle name="Output 3 2 4 4" xfId="62216"/>
    <cellStyle name="Output 3 2 5" xfId="62217"/>
    <cellStyle name="Output 3 2 5 2" xfId="62218"/>
    <cellStyle name="Output 3 2 6" xfId="62219"/>
    <cellStyle name="Output 3 2 6 2" xfId="62220"/>
    <cellStyle name="Output 3 2 7" xfId="62221"/>
    <cellStyle name="Output 3 3" xfId="62222"/>
    <cellStyle name="Output 3 3 2" xfId="62223"/>
    <cellStyle name="Output 3 3 2 2" xfId="62224"/>
    <cellStyle name="Output 3 3 3" xfId="62225"/>
    <cellStyle name="Output 3 3 3 2" xfId="62226"/>
    <cellStyle name="Output 3 3 4" xfId="62227"/>
    <cellStyle name="Output 3 4" xfId="62228"/>
    <cellStyle name="Output 3 4 2" xfId="62229"/>
    <cellStyle name="Output 3 4 2 2" xfId="62230"/>
    <cellStyle name="Output 3 4 3" xfId="62231"/>
    <cellStyle name="Output 3 4 3 2" xfId="62232"/>
    <cellStyle name="Output 3 4 4" xfId="62233"/>
    <cellStyle name="Output 3 5" xfId="62234"/>
    <cellStyle name="Output 3 5 2" xfId="62235"/>
    <cellStyle name="Output 3 5 2 2" xfId="62236"/>
    <cellStyle name="Output 3 5 3" xfId="62237"/>
    <cellStyle name="Output 3 5 3 2" xfId="62238"/>
    <cellStyle name="Output 3 5 4" xfId="62239"/>
    <cellStyle name="Output 3 6" xfId="62240"/>
    <cellStyle name="Output 3 6 2" xfId="62241"/>
    <cellStyle name="Output 3 6 2 2" xfId="62242"/>
    <cellStyle name="Output 3 6 3" xfId="62243"/>
    <cellStyle name="Output 3 6 3 2" xfId="62244"/>
    <cellStyle name="Output 3 6 4" xfId="62245"/>
    <cellStyle name="Output 3 7" xfId="62246"/>
    <cellStyle name="Output 3 7 2" xfId="62247"/>
    <cellStyle name="Output 3 7 2 2" xfId="62248"/>
    <cellStyle name="Output 3 7 3" xfId="62249"/>
    <cellStyle name="Output 3 7 3 2" xfId="62250"/>
    <cellStyle name="Output 3 7 4" xfId="62251"/>
    <cellStyle name="Output 3 8" xfId="62252"/>
    <cellStyle name="Output 3 8 2" xfId="62253"/>
    <cellStyle name="Output 3 9" xfId="62254"/>
    <cellStyle name="Output 3 9 2" xfId="62255"/>
    <cellStyle name="Output 4" xfId="62256"/>
    <cellStyle name="Output 4 10" xfId="62257"/>
    <cellStyle name="Output 4 10 2" xfId="62258"/>
    <cellStyle name="Output 4 11" xfId="62259"/>
    <cellStyle name="Output 4 2" xfId="62260"/>
    <cellStyle name="Output 4 2 2" xfId="62261"/>
    <cellStyle name="Output 4 2 2 2" xfId="62262"/>
    <cellStyle name="Output 4 2 2 2 2" xfId="62263"/>
    <cellStyle name="Output 4 2 2 3" xfId="62264"/>
    <cellStyle name="Output 4 2 2 3 2" xfId="62265"/>
    <cellStyle name="Output 4 2 2 4" xfId="62266"/>
    <cellStyle name="Output 4 2 3" xfId="62267"/>
    <cellStyle name="Output 4 2 3 2" xfId="62268"/>
    <cellStyle name="Output 4 2 3 2 2" xfId="62269"/>
    <cellStyle name="Output 4 2 3 3" xfId="62270"/>
    <cellStyle name="Output 4 2 3 3 2" xfId="62271"/>
    <cellStyle name="Output 4 2 3 4" xfId="62272"/>
    <cellStyle name="Output 4 2 4" xfId="62273"/>
    <cellStyle name="Output 4 2 4 2" xfId="62274"/>
    <cellStyle name="Output 4 2 4 2 2" xfId="62275"/>
    <cellStyle name="Output 4 2 4 3" xfId="62276"/>
    <cellStyle name="Output 4 2 4 3 2" xfId="62277"/>
    <cellStyle name="Output 4 2 4 4" xfId="62278"/>
    <cellStyle name="Output 4 2 5" xfId="62279"/>
    <cellStyle name="Output 4 2 5 2" xfId="62280"/>
    <cellStyle name="Output 4 2 6" xfId="62281"/>
    <cellStyle name="Output 4 2 6 2" xfId="62282"/>
    <cellStyle name="Output 4 2 7" xfId="62283"/>
    <cellStyle name="Output 4 3" xfId="62284"/>
    <cellStyle name="Output 4 3 2" xfId="62285"/>
    <cellStyle name="Output 4 3 2 2" xfId="62286"/>
    <cellStyle name="Output 4 3 3" xfId="62287"/>
    <cellStyle name="Output 4 3 3 2" xfId="62288"/>
    <cellStyle name="Output 4 3 4" xfId="62289"/>
    <cellStyle name="Output 4 4" xfId="62290"/>
    <cellStyle name="Output 4 4 2" xfId="62291"/>
    <cellStyle name="Output 4 4 2 2" xfId="62292"/>
    <cellStyle name="Output 4 4 3" xfId="62293"/>
    <cellStyle name="Output 4 4 3 2" xfId="62294"/>
    <cellStyle name="Output 4 4 4" xfId="62295"/>
    <cellStyle name="Output 4 5" xfId="62296"/>
    <cellStyle name="Output 4 5 2" xfId="62297"/>
    <cellStyle name="Output 4 5 2 2" xfId="62298"/>
    <cellStyle name="Output 4 5 3" xfId="62299"/>
    <cellStyle name="Output 4 5 3 2" xfId="62300"/>
    <cellStyle name="Output 4 5 4" xfId="62301"/>
    <cellStyle name="Output 4 6" xfId="62302"/>
    <cellStyle name="Output 4 6 2" xfId="62303"/>
    <cellStyle name="Output 4 6 2 2" xfId="62304"/>
    <cellStyle name="Output 4 6 3" xfId="62305"/>
    <cellStyle name="Output 4 6 3 2" xfId="62306"/>
    <cellStyle name="Output 4 6 4" xfId="62307"/>
    <cellStyle name="Output 4 7" xfId="62308"/>
    <cellStyle name="Output 4 7 2" xfId="62309"/>
    <cellStyle name="Output 4 7 2 2" xfId="62310"/>
    <cellStyle name="Output 4 7 3" xfId="62311"/>
    <cellStyle name="Output 4 7 3 2" xfId="62312"/>
    <cellStyle name="Output 4 7 4" xfId="62313"/>
    <cellStyle name="Output 4 8" xfId="62314"/>
    <cellStyle name="Output 4 8 2" xfId="62315"/>
    <cellStyle name="Output 4 9" xfId="62316"/>
    <cellStyle name="Output 4 9 2" xfId="62317"/>
    <cellStyle name="Output 5" xfId="62318"/>
    <cellStyle name="Output 5 2" xfId="62319"/>
    <cellStyle name="Percent [2]" xfId="7"/>
    <cellStyle name="Percent [2] 2" xfId="62320"/>
    <cellStyle name="Percent 10" xfId="62321"/>
    <cellStyle name="Percent 11" xfId="62322"/>
    <cellStyle name="Percent 12" xfId="62323"/>
    <cellStyle name="Percent 13" xfId="62324"/>
    <cellStyle name="Percent 14" xfId="62325"/>
    <cellStyle name="Percent 2" xfId="26315"/>
    <cellStyle name="Percent 2 2" xfId="62326"/>
    <cellStyle name="Percent 2 2 2" xfId="62327"/>
    <cellStyle name="Percent 2 2 2 2" xfId="62328"/>
    <cellStyle name="Percent 2 2 2 3" xfId="62329"/>
    <cellStyle name="Percent 2 2 3" xfId="62330"/>
    <cellStyle name="Percent 2 2 3 2" xfId="62331"/>
    <cellStyle name="Percent 2 2 3 3" xfId="62332"/>
    <cellStyle name="Percent 2 2 4" xfId="62333"/>
    <cellStyle name="Percent 2 2 5" xfId="62334"/>
    <cellStyle name="Percent 2 3" xfId="62335"/>
    <cellStyle name="Percent 2 3 2" xfId="62336"/>
    <cellStyle name="Percent 2 3 2 2" xfId="62337"/>
    <cellStyle name="Percent 2 3 2 3" xfId="62338"/>
    <cellStyle name="Percent 2 3 3" xfId="62339"/>
    <cellStyle name="Percent 2 3 3 2" xfId="62340"/>
    <cellStyle name="Percent 2 3 3 3" xfId="62341"/>
    <cellStyle name="Percent 2 3 4" xfId="62342"/>
    <cellStyle name="Percent 2 3 5" xfId="62343"/>
    <cellStyle name="Percent 2 4" xfId="62344"/>
    <cellStyle name="Percent 2 4 2" xfId="62345"/>
    <cellStyle name="Percent 2 4 3" xfId="62346"/>
    <cellStyle name="Percent 2 5" xfId="62347"/>
    <cellStyle name="Percent 2 5 2" xfId="62348"/>
    <cellStyle name="Percent 2 5 3" xfId="62349"/>
    <cellStyle name="Percent 2 6" xfId="62350"/>
    <cellStyle name="Percent 2 7" xfId="62351"/>
    <cellStyle name="Percent 2 8" xfId="62352"/>
    <cellStyle name="Percent 3" xfId="26316"/>
    <cellStyle name="Percent 4" xfId="62353"/>
    <cellStyle name="Percent 5" xfId="62354"/>
    <cellStyle name="Percent 6" xfId="62355"/>
    <cellStyle name="Percent 7" xfId="62356"/>
    <cellStyle name="Percent 8" xfId="62357"/>
    <cellStyle name="Percent 9" xfId="62358"/>
    <cellStyle name="price" xfId="62359"/>
    <cellStyle name="revised" xfId="62360"/>
    <cellStyle name="section" xfId="62361"/>
    <cellStyle name="section 2" xfId="62362"/>
    <cellStyle name="section 3" xfId="62363"/>
    <cellStyle name="Style 1" xfId="8"/>
    <cellStyle name="Style 1 2" xfId="26318"/>
    <cellStyle name="Style 1 2 2" xfId="62364"/>
    <cellStyle name="Style 1 3" xfId="26319"/>
    <cellStyle name="Style 1 4" xfId="62365"/>
    <cellStyle name="Style 1 5" xfId="62366"/>
    <cellStyle name="Style 1 6" xfId="62367"/>
    <cellStyle name="Style 1 7" xfId="26317"/>
    <cellStyle name="Title 2" xfId="62368"/>
    <cellStyle name="Title 2 2" xfId="62369"/>
    <cellStyle name="Title 3" xfId="62370"/>
    <cellStyle name="Title 3 2" xfId="62371"/>
    <cellStyle name="Total 2" xfId="62372"/>
    <cellStyle name="Total 2 10" xfId="62373"/>
    <cellStyle name="Total 2 2" xfId="62374"/>
    <cellStyle name="Total 2 2 2" xfId="62375"/>
    <cellStyle name="Total 2 2 2 2" xfId="62376"/>
    <cellStyle name="Total 2 2 3" xfId="62377"/>
    <cellStyle name="Total 2 2 3 2" xfId="62378"/>
    <cellStyle name="Total 2 2 4" xfId="62379"/>
    <cellStyle name="Total 2 2 4 2" xfId="62380"/>
    <cellStyle name="Total 2 2 5" xfId="62381"/>
    <cellStyle name="Total 2 3" xfId="62382"/>
    <cellStyle name="Total 2 3 2" xfId="62383"/>
    <cellStyle name="Total 2 3 2 2" xfId="62384"/>
    <cellStyle name="Total 2 3 3" xfId="62385"/>
    <cellStyle name="Total 2 3 3 2" xfId="62386"/>
    <cellStyle name="Total 2 3 4" xfId="62387"/>
    <cellStyle name="Total 2 3 4 2" xfId="62388"/>
    <cellStyle name="Total 2 3 5" xfId="62389"/>
    <cellStyle name="Total 2 4" xfId="62390"/>
    <cellStyle name="Total 2 4 2" xfId="62391"/>
    <cellStyle name="Total 2 4 2 2" xfId="62392"/>
    <cellStyle name="Total 2 4 3" xfId="62393"/>
    <cellStyle name="Total 2 4 3 2" xfId="62394"/>
    <cellStyle name="Total 2 4 4" xfId="62395"/>
    <cellStyle name="Total 2 4 4 2" xfId="62396"/>
    <cellStyle name="Total 2 4 5" xfId="62397"/>
    <cellStyle name="Total 2 5" xfId="62398"/>
    <cellStyle name="Total 2 5 2" xfId="62399"/>
    <cellStyle name="Total 2 5 2 2" xfId="62400"/>
    <cellStyle name="Total 2 5 3" xfId="62401"/>
    <cellStyle name="Total 2 5 3 2" xfId="62402"/>
    <cellStyle name="Total 2 5 4" xfId="62403"/>
    <cellStyle name="Total 2 5 4 2" xfId="62404"/>
    <cellStyle name="Total 2 5 5" xfId="62405"/>
    <cellStyle name="Total 2 6" xfId="62406"/>
    <cellStyle name="Total 2 6 2" xfId="62407"/>
    <cellStyle name="Total 2 6 2 2" xfId="62408"/>
    <cellStyle name="Total 2 6 3" xfId="62409"/>
    <cellStyle name="Total 2 6 3 2" xfId="62410"/>
    <cellStyle name="Total 2 6 4" xfId="62411"/>
    <cellStyle name="Total 2 6 4 2" xfId="62412"/>
    <cellStyle name="Total 2 6 5" xfId="62413"/>
    <cellStyle name="Total 2 7" xfId="62414"/>
    <cellStyle name="Total 2 7 2" xfId="62415"/>
    <cellStyle name="Total 2 8" xfId="62416"/>
    <cellStyle name="Total 2 8 2" xfId="62417"/>
    <cellStyle name="Total 2 9" xfId="62418"/>
    <cellStyle name="Total 2 9 2" xfId="62419"/>
    <cellStyle name="Total 3" xfId="62420"/>
    <cellStyle name="Total 3 10" xfId="62421"/>
    <cellStyle name="Total 3 2" xfId="62422"/>
    <cellStyle name="Total 3 2 2" xfId="62423"/>
    <cellStyle name="Total 3 2 2 2" xfId="62424"/>
    <cellStyle name="Total 3 2 3" xfId="62425"/>
    <cellStyle name="Total 3 2 3 2" xfId="62426"/>
    <cellStyle name="Total 3 2 4" xfId="62427"/>
    <cellStyle name="Total 3 2 4 2" xfId="62428"/>
    <cellStyle name="Total 3 2 5" xfId="62429"/>
    <cellStyle name="Total 3 3" xfId="62430"/>
    <cellStyle name="Total 3 3 2" xfId="62431"/>
    <cellStyle name="Total 3 3 2 2" xfId="62432"/>
    <cellStyle name="Total 3 3 3" xfId="62433"/>
    <cellStyle name="Total 3 3 3 2" xfId="62434"/>
    <cellStyle name="Total 3 3 4" xfId="62435"/>
    <cellStyle name="Total 3 3 4 2" xfId="62436"/>
    <cellStyle name="Total 3 3 5" xfId="62437"/>
    <cellStyle name="Total 3 4" xfId="62438"/>
    <cellStyle name="Total 3 4 2" xfId="62439"/>
    <cellStyle name="Total 3 4 2 2" xfId="62440"/>
    <cellStyle name="Total 3 4 3" xfId="62441"/>
    <cellStyle name="Total 3 4 3 2" xfId="62442"/>
    <cellStyle name="Total 3 4 4" xfId="62443"/>
    <cellStyle name="Total 3 4 4 2" xfId="62444"/>
    <cellStyle name="Total 3 4 5" xfId="62445"/>
    <cellStyle name="Total 3 5" xfId="62446"/>
    <cellStyle name="Total 3 5 2" xfId="62447"/>
    <cellStyle name="Total 3 5 2 2" xfId="62448"/>
    <cellStyle name="Total 3 5 3" xfId="62449"/>
    <cellStyle name="Total 3 5 3 2" xfId="62450"/>
    <cellStyle name="Total 3 5 4" xfId="62451"/>
    <cellStyle name="Total 3 5 4 2" xfId="62452"/>
    <cellStyle name="Total 3 5 5" xfId="62453"/>
    <cellStyle name="Total 3 6" xfId="62454"/>
    <cellStyle name="Total 3 6 2" xfId="62455"/>
    <cellStyle name="Total 3 6 2 2" xfId="62456"/>
    <cellStyle name="Total 3 6 3" xfId="62457"/>
    <cellStyle name="Total 3 6 3 2" xfId="62458"/>
    <cellStyle name="Total 3 6 4" xfId="62459"/>
    <cellStyle name="Total 3 6 4 2" xfId="62460"/>
    <cellStyle name="Total 3 6 5" xfId="62461"/>
    <cellStyle name="Total 3 7" xfId="62462"/>
    <cellStyle name="Total 3 7 2" xfId="62463"/>
    <cellStyle name="Total 3 8" xfId="62464"/>
    <cellStyle name="Total 3 8 2" xfId="62465"/>
    <cellStyle name="Total 3 9" xfId="62466"/>
    <cellStyle name="Total 3 9 2" xfId="62467"/>
    <cellStyle name="Total 4" xfId="62468"/>
    <cellStyle name="Total 4 10" xfId="62469"/>
    <cellStyle name="Total 4 2" xfId="62470"/>
    <cellStyle name="Total 4 2 2" xfId="62471"/>
    <cellStyle name="Total 4 2 2 2" xfId="62472"/>
    <cellStyle name="Total 4 2 3" xfId="62473"/>
    <cellStyle name="Total 4 2 3 2" xfId="62474"/>
    <cellStyle name="Total 4 2 4" xfId="62475"/>
    <cellStyle name="Total 4 2 4 2" xfId="62476"/>
    <cellStyle name="Total 4 2 5" xfId="62477"/>
    <cellStyle name="Total 4 3" xfId="62478"/>
    <cellStyle name="Total 4 3 2" xfId="62479"/>
    <cellStyle name="Total 4 3 2 2" xfId="62480"/>
    <cellStyle name="Total 4 3 3" xfId="62481"/>
    <cellStyle name="Total 4 3 3 2" xfId="62482"/>
    <cellStyle name="Total 4 3 4" xfId="62483"/>
    <cellStyle name="Total 4 3 4 2" xfId="62484"/>
    <cellStyle name="Total 4 3 5" xfId="62485"/>
    <cellStyle name="Total 4 4" xfId="62486"/>
    <cellStyle name="Total 4 4 2" xfId="62487"/>
    <cellStyle name="Total 4 4 2 2" xfId="62488"/>
    <cellStyle name="Total 4 4 3" xfId="62489"/>
    <cellStyle name="Total 4 4 3 2" xfId="62490"/>
    <cellStyle name="Total 4 4 4" xfId="62491"/>
    <cellStyle name="Total 4 4 4 2" xfId="62492"/>
    <cellStyle name="Total 4 4 5" xfId="62493"/>
    <cellStyle name="Total 4 5" xfId="62494"/>
    <cellStyle name="Total 4 5 2" xfId="62495"/>
    <cellStyle name="Total 4 5 2 2" xfId="62496"/>
    <cellStyle name="Total 4 5 3" xfId="62497"/>
    <cellStyle name="Total 4 5 3 2" xfId="62498"/>
    <cellStyle name="Total 4 5 4" xfId="62499"/>
    <cellStyle name="Total 4 5 4 2" xfId="62500"/>
    <cellStyle name="Total 4 5 5" xfId="62501"/>
    <cellStyle name="Total 4 6" xfId="62502"/>
    <cellStyle name="Total 4 6 2" xfId="62503"/>
    <cellStyle name="Total 4 6 2 2" xfId="62504"/>
    <cellStyle name="Total 4 6 3" xfId="62505"/>
    <cellStyle name="Total 4 6 3 2" xfId="62506"/>
    <cellStyle name="Total 4 6 4" xfId="62507"/>
    <cellStyle name="Total 4 6 4 2" xfId="62508"/>
    <cellStyle name="Total 4 6 5" xfId="62509"/>
    <cellStyle name="Total 4 7" xfId="62510"/>
    <cellStyle name="Total 4 7 2" xfId="62511"/>
    <cellStyle name="Total 4 8" xfId="62512"/>
    <cellStyle name="Total 4 8 2" xfId="62513"/>
    <cellStyle name="Total 4 9" xfId="62514"/>
    <cellStyle name="Total 4 9 2" xfId="62515"/>
    <cellStyle name="Total 5" xfId="62516"/>
    <cellStyle name="Total 5 2" xfId="62517"/>
    <cellStyle name="Warning Text 2" xfId="62518"/>
    <cellStyle name="Warning Text 2 2" xfId="62519"/>
    <cellStyle name="Warning Text 3" xfId="62520"/>
    <cellStyle name="Warning Text 3 2" xfId="62521"/>
    <cellStyle name="アクセント 1" xfId="62522"/>
    <cellStyle name="アクセント 1 2" xfId="62523"/>
    <cellStyle name="アクセント 1 3" xfId="62524"/>
    <cellStyle name="アクセント 2" xfId="62525"/>
    <cellStyle name="アクセント 2 2" xfId="62526"/>
    <cellStyle name="アクセント 2 3" xfId="62527"/>
    <cellStyle name="アクセント 3" xfId="62528"/>
    <cellStyle name="アクセント 3 2" xfId="62529"/>
    <cellStyle name="アクセント 3 3" xfId="62530"/>
    <cellStyle name="アクセント 4" xfId="62531"/>
    <cellStyle name="アクセント 4 2" xfId="62532"/>
    <cellStyle name="アクセント 4 3" xfId="62533"/>
    <cellStyle name="アクセント 5" xfId="62534"/>
    <cellStyle name="アクセント 5 2" xfId="62535"/>
    <cellStyle name="アクセント 5 3" xfId="62536"/>
    <cellStyle name="アクセント 6" xfId="62537"/>
    <cellStyle name="アクセント 6 2" xfId="62538"/>
    <cellStyle name="アクセント 6 3" xfId="62539"/>
    <cellStyle name="タイトル" xfId="26320"/>
    <cellStyle name="タイトル 2" xfId="26321"/>
    <cellStyle name="タイトル 3" xfId="26322"/>
    <cellStyle name="タイトル 4" xfId="62540"/>
    <cellStyle name="タイトル 5" xfId="62541"/>
    <cellStyle name="チェック セル" xfId="62542"/>
    <cellStyle name="チェック セル 2" xfId="62543"/>
    <cellStyle name="チェック セル 2 2" xfId="62544"/>
    <cellStyle name="チェック セル 2 3" xfId="62545"/>
    <cellStyle name="チェック セル 3" xfId="62546"/>
    <cellStyle name="チェック セル 4" xfId="62547"/>
    <cellStyle name="どちらでもない" xfId="62548"/>
    <cellStyle name="どちらでもない 2" xfId="62549"/>
    <cellStyle name="どちらでもない 3" xfId="62550"/>
    <cellStyle name="メモ" xfId="62551"/>
    <cellStyle name="メモ 2" xfId="62552"/>
    <cellStyle name="メモ 3" xfId="62553"/>
    <cellStyle name="リンク セル" xfId="62554"/>
    <cellStyle name="リンク セル 2" xfId="62555"/>
    <cellStyle name="リンク セル 3" xfId="62556"/>
    <cellStyle name="入力" xfId="62557"/>
    <cellStyle name="入力 2" xfId="62558"/>
    <cellStyle name="入力 3" xfId="62559"/>
    <cellStyle name="出力" xfId="62560"/>
    <cellStyle name="出力 2" xfId="62561"/>
    <cellStyle name="出力 3" xfId="62562"/>
    <cellStyle name="悪い" xfId="62563"/>
    <cellStyle name="悪い 2" xfId="62564"/>
    <cellStyle name="悪い 3" xfId="62565"/>
    <cellStyle name="桁区切り [0.00]_01) January 2009 (latest)" xfId="26323"/>
    <cellStyle name="桁区切り_01) January 2009 (latest)" xfId="26324"/>
    <cellStyle name="標準_~0724000" xfId="26325"/>
    <cellStyle name="標準_MAGNETIZE_0931MagnetismCheck(HP)" xfId="2"/>
    <cellStyle name="良い" xfId="62566"/>
    <cellStyle name="良い 2" xfId="62567"/>
    <cellStyle name="良い 3" xfId="62568"/>
    <cellStyle name="見出し 1" xfId="62569"/>
    <cellStyle name="見出し 1 2" xfId="62570"/>
    <cellStyle name="見出し 1 3" xfId="62571"/>
    <cellStyle name="見出し 2" xfId="62572"/>
    <cellStyle name="見出し 2 2" xfId="62573"/>
    <cellStyle name="見出し 2 3" xfId="62574"/>
    <cellStyle name="見出し 3" xfId="62575"/>
    <cellStyle name="見出し 3 2" xfId="62576"/>
    <cellStyle name="見出し 3 3" xfId="62577"/>
    <cellStyle name="見出し 4" xfId="62578"/>
    <cellStyle name="見出し 4 2" xfId="62579"/>
    <cellStyle name="見出し 4 3" xfId="62580"/>
    <cellStyle name="計算" xfId="62581"/>
    <cellStyle name="計算 2" xfId="62582"/>
    <cellStyle name="計算 3" xfId="62583"/>
    <cellStyle name="説明文" xfId="62584"/>
    <cellStyle name="説明文 2" xfId="62585"/>
    <cellStyle name="説明文 3" xfId="62586"/>
    <cellStyle name="警告文" xfId="62587"/>
    <cellStyle name="警告文 2" xfId="62588"/>
    <cellStyle name="警告文 3" xfId="62589"/>
    <cellStyle name="通貨 [0.00]_MATERIAL ASSESMENT" xfId="9"/>
    <cellStyle name="通貨_Nov. '09 INVENTORY PRICE MASTER" xfId="62590"/>
    <cellStyle name="集計" xfId="62591"/>
    <cellStyle name="集計 2" xfId="62592"/>
    <cellStyle name="集計 3" xfId="62593"/>
  </cellStyles>
  <dxfs count="26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9FFCC"/>
        </patternFill>
      </fill>
    </dxf>
    <dxf>
      <fill>
        <patternFill>
          <bgColor rgb="FF92D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99FF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9FF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42"/>
  <sheetViews>
    <sheetView view="pageBreakPreview" topLeftCell="A103" zoomScaleNormal="100" zoomScaleSheetLayoutView="100" workbookViewId="0">
      <selection activeCell="A9" sqref="A9:Q142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14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/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26"/>
    </row>
    <row r="10" spans="1:17" ht="17.100000000000001" customHeight="1">
      <c r="A10" s="17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26"/>
    </row>
    <row r="11" spans="1:17" ht="17.100000000000001" customHeight="1">
      <c r="A11" s="17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26"/>
    </row>
    <row r="12" spans="1:17" ht="17.100000000000001" customHeight="1">
      <c r="A12" s="17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26"/>
    </row>
    <row r="13" spans="1:17" ht="17.100000000000001" customHeight="1">
      <c r="A13" s="17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26"/>
    </row>
    <row r="14" spans="1:17" ht="17.100000000000001" customHeight="1">
      <c r="A14" s="17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26"/>
    </row>
    <row r="15" spans="1:17" ht="17.100000000000001" customHeight="1">
      <c r="A15" s="17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26"/>
    </row>
    <row r="16" spans="1:17" ht="17.100000000000001" customHeight="1">
      <c r="A16" s="17"/>
      <c r="B16" s="21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26"/>
    </row>
    <row r="17" spans="1:17" ht="17.100000000000001" customHeight="1">
      <c r="A17" s="17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26"/>
    </row>
    <row r="18" spans="1:17" ht="17.100000000000001" customHeight="1">
      <c r="A18" s="21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26"/>
    </row>
    <row r="19" spans="1:17" ht="17.100000000000001" customHeight="1">
      <c r="A19" s="17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26"/>
    </row>
    <row r="20" spans="1:17" ht="17.100000000000001" customHeight="1">
      <c r="A20" s="1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26"/>
    </row>
    <row r="21" spans="1:17" ht="17.100000000000001" customHeight="1">
      <c r="A21" s="17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26"/>
    </row>
    <row r="22" spans="1:17" ht="17.100000000000001" customHeight="1">
      <c r="A22" s="17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26"/>
    </row>
    <row r="23" spans="1:17" ht="17.100000000000001" customHeight="1">
      <c r="A23" s="17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26"/>
    </row>
    <row r="24" spans="1:17" ht="17.100000000000001" customHeight="1">
      <c r="A24" s="17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26"/>
    </row>
    <row r="25" spans="1:17" ht="17.100000000000001" customHeight="1">
      <c r="A25" s="17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26"/>
    </row>
    <row r="26" spans="1:17" ht="17.100000000000001" customHeight="1">
      <c r="A26" s="17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8"/>
      <c r="Q26" s="29"/>
    </row>
    <row r="27" spans="1:17" ht="17.100000000000001" customHeight="1">
      <c r="A27" s="17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30"/>
    </row>
    <row r="28" spans="1:17" ht="17.100000000000001" customHeight="1">
      <c r="A28" s="21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31"/>
    </row>
    <row r="29" spans="1:17" ht="17.100000000000001" customHeight="1">
      <c r="A29" s="17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31"/>
    </row>
    <row r="30" spans="1:17" ht="17.100000000000001" customHeight="1">
      <c r="A30" s="17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31"/>
    </row>
    <row r="31" spans="1:17" ht="17.100000000000001" customHeight="1">
      <c r="A31" s="17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31"/>
    </row>
    <row r="32" spans="1:17" ht="17.100000000000001" customHeight="1">
      <c r="A32" s="17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31"/>
    </row>
    <row r="33" spans="1:17" ht="17.100000000000001" customHeight="1">
      <c r="A33" s="17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31"/>
    </row>
    <row r="34" spans="1:17" ht="17.100000000000001" customHeight="1">
      <c r="A34" s="17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31"/>
    </row>
    <row r="35" spans="1:17" ht="17.100000000000001" customHeight="1">
      <c r="A35" s="17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31"/>
    </row>
    <row r="36" spans="1:17" ht="17.100000000000001" customHeight="1">
      <c r="A36" s="21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31"/>
    </row>
    <row r="37" spans="1:17" ht="17.100000000000001" customHeight="1">
      <c r="A37" s="17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31"/>
    </row>
    <row r="38" spans="1:17" ht="17.100000000000001" customHeight="1">
      <c r="A38" s="17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31"/>
    </row>
    <row r="39" spans="1:17" ht="17.100000000000001" customHeight="1">
      <c r="A39" s="17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31"/>
    </row>
    <row r="40" spans="1:17" ht="17.100000000000001" customHeight="1">
      <c r="A40" s="17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31"/>
    </row>
    <row r="41" spans="1:17" ht="17.100000000000001" customHeight="1">
      <c r="A41" s="17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31"/>
    </row>
    <row r="42" spans="1:17" ht="17.100000000000001" customHeight="1">
      <c r="A42" s="17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31"/>
    </row>
    <row r="43" spans="1:17" ht="17.100000000000001" customHeight="1">
      <c r="A43" s="17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31"/>
    </row>
    <row r="44" spans="1:17" ht="17.100000000000001" customHeight="1">
      <c r="A44" s="17"/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31"/>
    </row>
    <row r="45" spans="1:17" ht="17.100000000000001" customHeight="1">
      <c r="A45" s="17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31"/>
    </row>
    <row r="46" spans="1:17" ht="17.100000000000001" customHeight="1">
      <c r="A46" s="17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31"/>
    </row>
    <row r="47" spans="1:17" ht="17.100000000000001" customHeight="1">
      <c r="A47" s="17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31"/>
    </row>
    <row r="48" spans="1:17" ht="17.100000000000001" customHeight="1">
      <c r="A48" s="17"/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31"/>
    </row>
    <row r="49" spans="1:17" ht="17.100000000000001" customHeight="1">
      <c r="A49" s="17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31"/>
    </row>
    <row r="50" spans="1:17" ht="17.100000000000001" customHeight="1">
      <c r="A50" s="17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31"/>
    </row>
    <row r="51" spans="1:17" ht="17.100000000000001" customHeight="1">
      <c r="A51" s="17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31"/>
    </row>
    <row r="52" spans="1:17" ht="17.100000000000001" customHeight="1">
      <c r="A52" s="17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31"/>
    </row>
    <row r="53" spans="1:17" ht="17.100000000000001" customHeight="1">
      <c r="A53" s="17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31"/>
    </row>
    <row r="54" spans="1:17" ht="17.100000000000001" customHeight="1">
      <c r="A54" s="17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31"/>
    </row>
    <row r="55" spans="1:17" ht="17.100000000000001" customHeight="1">
      <c r="A55" s="17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31"/>
    </row>
    <row r="56" spans="1:17" ht="17.100000000000001" customHeight="1">
      <c r="A56" s="17"/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31"/>
    </row>
    <row r="57" spans="1:17" ht="17.100000000000001" customHeight="1">
      <c r="A57" s="17"/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31"/>
    </row>
    <row r="58" spans="1:17" ht="17.100000000000001" customHeight="1">
      <c r="A58" s="22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31"/>
    </row>
    <row r="59" spans="1:17" ht="17.100000000000001" customHeight="1">
      <c r="A59" s="17"/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31"/>
    </row>
    <row r="60" spans="1:17" ht="17.100000000000001" customHeight="1">
      <c r="A60" s="17"/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31"/>
    </row>
    <row r="61" spans="1:17" ht="17.100000000000001" customHeight="1">
      <c r="A61" s="17"/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31"/>
    </row>
    <row r="62" spans="1:17" ht="17.100000000000001" customHeight="1">
      <c r="A62" s="17"/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31"/>
    </row>
    <row r="63" spans="1:17" ht="17.100000000000001" customHeight="1">
      <c r="A63" s="17"/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31"/>
    </row>
    <row r="64" spans="1:17" ht="17.100000000000001" customHeight="1">
      <c r="A64" s="17"/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31"/>
    </row>
    <row r="65" spans="1:17" ht="17.100000000000001" customHeight="1">
      <c r="A65" s="17"/>
      <c r="B65" s="1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31"/>
    </row>
    <row r="66" spans="1:17" ht="17.100000000000001" customHeight="1">
      <c r="A66" s="17"/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31"/>
    </row>
    <row r="67" spans="1:17" ht="17.100000000000001" customHeight="1">
      <c r="A67" s="17"/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31"/>
    </row>
    <row r="68" spans="1:17" ht="17.100000000000001" customHeight="1">
      <c r="A68" s="17"/>
      <c r="B68" s="15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31"/>
    </row>
    <row r="69" spans="1:17" ht="17.100000000000001" customHeight="1">
      <c r="A69" s="17"/>
      <c r="B69" s="1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31"/>
    </row>
    <row r="70" spans="1:17" ht="17.100000000000001" customHeight="1">
      <c r="A70" s="17"/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31"/>
    </row>
    <row r="71" spans="1:17" ht="17.100000000000001" customHeight="1">
      <c r="A71" s="17"/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31"/>
    </row>
    <row r="72" spans="1:17" ht="17.100000000000001" customHeight="1">
      <c r="A72" s="17"/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31"/>
    </row>
    <row r="73" spans="1:17" ht="17.100000000000001" customHeight="1">
      <c r="A73" s="17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31"/>
    </row>
    <row r="74" spans="1:17" ht="17.100000000000001" customHeight="1">
      <c r="A74" s="17"/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31"/>
    </row>
    <row r="75" spans="1:17" ht="17.100000000000001" customHeight="1">
      <c r="A75" s="17"/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31"/>
    </row>
    <row r="76" spans="1:17" ht="17.100000000000001" customHeight="1">
      <c r="A76" s="17"/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31"/>
    </row>
    <row r="77" spans="1:17" ht="17.100000000000001" customHeight="1">
      <c r="A77" s="17"/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31"/>
    </row>
    <row r="78" spans="1:17" ht="17.100000000000001" customHeight="1">
      <c r="A78" s="17"/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31"/>
    </row>
    <row r="79" spans="1:17" ht="17.100000000000001" customHeight="1">
      <c r="A79" s="17"/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31"/>
    </row>
    <row r="80" spans="1:17" ht="17.100000000000001" customHeight="1">
      <c r="A80" s="17"/>
      <c r="B80" s="1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31"/>
    </row>
    <row r="81" spans="1:17" ht="17.100000000000001" customHeight="1">
      <c r="A81" s="17"/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31"/>
    </row>
    <row r="82" spans="1:17" ht="17.100000000000001" customHeight="1">
      <c r="A82" s="17"/>
      <c r="B82" s="1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31"/>
    </row>
    <row r="83" spans="1:17" ht="17.100000000000001" customHeight="1">
      <c r="A83" s="17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31"/>
    </row>
    <row r="84" spans="1:17" ht="17.100000000000001" customHeight="1">
      <c r="A84" s="17"/>
      <c r="B84" s="15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31"/>
    </row>
    <row r="85" spans="1:17" ht="17.100000000000001" customHeight="1">
      <c r="A85" s="17"/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31"/>
    </row>
    <row r="86" spans="1:17" ht="17.100000000000001" customHeight="1">
      <c r="A86" s="17"/>
      <c r="B86" s="15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31"/>
    </row>
    <row r="87" spans="1:17" ht="17.100000000000001" customHeight="1">
      <c r="A87" s="17"/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31"/>
    </row>
    <row r="88" spans="1:17" ht="17.100000000000001" customHeight="1">
      <c r="A88" s="17"/>
      <c r="B88" s="1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31"/>
    </row>
    <row r="89" spans="1:17" ht="17.100000000000001" customHeight="1">
      <c r="A89" s="17"/>
      <c r="B89" s="1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31"/>
    </row>
    <row r="90" spans="1:17" ht="17.100000000000001" customHeight="1">
      <c r="A90" s="17"/>
      <c r="B90" s="15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31"/>
    </row>
    <row r="91" spans="1:17" ht="17.100000000000001" customHeight="1">
      <c r="A91" s="17"/>
      <c r="B91" s="15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31"/>
    </row>
    <row r="92" spans="1:17" ht="17.100000000000001" customHeight="1">
      <c r="A92" s="17"/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31"/>
    </row>
    <row r="93" spans="1:17" ht="17.100000000000001" customHeight="1">
      <c r="A93" s="17"/>
      <c r="B93" s="1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31"/>
    </row>
    <row r="94" spans="1:17" ht="17.100000000000001" customHeight="1">
      <c r="A94" s="17"/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31"/>
    </row>
    <row r="95" spans="1:17" ht="17.100000000000001" customHeight="1">
      <c r="A95" s="17"/>
      <c r="B95" s="15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31"/>
    </row>
    <row r="96" spans="1:17" ht="17.100000000000001" customHeight="1">
      <c r="A96" s="17"/>
      <c r="B96" s="15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31"/>
    </row>
    <row r="97" spans="1:17" ht="17.100000000000001" customHeight="1">
      <c r="A97" s="17"/>
      <c r="B97" s="15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31"/>
    </row>
    <row r="98" spans="1:17" ht="17.100000000000001" customHeight="1">
      <c r="A98" s="17"/>
      <c r="B98" s="15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31"/>
    </row>
    <row r="99" spans="1:17" ht="17.100000000000001" customHeight="1">
      <c r="A99" s="17"/>
      <c r="B99" s="15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31"/>
    </row>
    <row r="100" spans="1:17" ht="17.100000000000001" customHeight="1">
      <c r="A100" s="17"/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31"/>
    </row>
    <row r="101" spans="1:17" ht="17.100000000000001" customHeight="1">
      <c r="A101" s="17"/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31"/>
    </row>
    <row r="102" spans="1:17" ht="17.100000000000001" customHeight="1">
      <c r="A102" s="17"/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31"/>
    </row>
    <row r="103" spans="1:17" ht="17.100000000000001" customHeight="1">
      <c r="A103" s="17"/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31"/>
    </row>
    <row r="104" spans="1:17" ht="17.100000000000001" customHeight="1">
      <c r="A104" s="17"/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31"/>
    </row>
    <row r="105" spans="1:17" ht="17.100000000000001" customHeight="1">
      <c r="A105" s="17"/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31"/>
    </row>
    <row r="106" spans="1:17" ht="17.100000000000001" customHeight="1">
      <c r="A106" s="17"/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31"/>
    </row>
    <row r="107" spans="1:17" ht="17.100000000000001" customHeight="1">
      <c r="A107" s="17"/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31"/>
    </row>
    <row r="108" spans="1:17" ht="17.100000000000001" customHeight="1">
      <c r="A108" s="17"/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31"/>
    </row>
    <row r="109" spans="1:17" ht="17.100000000000001" customHeight="1">
      <c r="A109" s="17"/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31"/>
    </row>
    <row r="110" spans="1:17" ht="17.100000000000001" customHeight="1">
      <c r="A110" s="17"/>
      <c r="B110" s="15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31"/>
    </row>
    <row r="111" spans="1:17" ht="17.100000000000001" customHeight="1">
      <c r="A111" s="17"/>
      <c r="B111" s="15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31"/>
    </row>
    <row r="112" spans="1:17" ht="17.100000000000001" customHeight="1">
      <c r="A112" s="17"/>
      <c r="B112" s="1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31"/>
    </row>
    <row r="113" spans="1:17" ht="17.100000000000001" customHeight="1">
      <c r="A113" s="17"/>
      <c r="B113" s="15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31"/>
    </row>
    <row r="114" spans="1:17" ht="17.100000000000001" customHeight="1">
      <c r="A114" s="17"/>
      <c r="B114" s="15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31"/>
    </row>
    <row r="115" spans="1:17" ht="17.100000000000001" customHeight="1">
      <c r="A115" s="17"/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31"/>
    </row>
    <row r="116" spans="1:17" ht="17.100000000000001" customHeight="1">
      <c r="A116" s="17"/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31"/>
    </row>
    <row r="117" spans="1:17" ht="17.100000000000001" customHeight="1">
      <c r="A117" s="17"/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31"/>
    </row>
    <row r="118" spans="1:17" ht="17.100000000000001" customHeight="1">
      <c r="A118" s="17"/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31"/>
    </row>
    <row r="119" spans="1:17" ht="17.100000000000001" customHeight="1">
      <c r="A119" s="17"/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31"/>
    </row>
    <row r="120" spans="1:17" ht="17.100000000000001" customHeight="1">
      <c r="A120" s="17"/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31"/>
    </row>
    <row r="121" spans="1:17" ht="17.100000000000001" customHeight="1">
      <c r="A121" s="17"/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31"/>
    </row>
    <row r="122" spans="1:17" ht="17.100000000000001" customHeight="1">
      <c r="A122" s="17"/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31"/>
    </row>
    <row r="123" spans="1:17" ht="17.100000000000001" customHeight="1" thickBot="1">
      <c r="A123" s="18"/>
      <c r="B123" s="19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20"/>
      <c r="O123" s="16"/>
      <c r="P123" s="16"/>
      <c r="Q123" s="31"/>
    </row>
    <row r="124" spans="1:17" ht="17.100000000000001" customHeight="1" thickBot="1">
      <c r="A124" s="17"/>
      <c r="B124" s="15"/>
      <c r="C124" s="16"/>
      <c r="D124" s="20"/>
      <c r="E124" s="16"/>
      <c r="F124" s="16"/>
      <c r="G124" s="16"/>
      <c r="H124" s="16"/>
      <c r="I124" s="16"/>
      <c r="J124" s="16"/>
      <c r="K124" s="16"/>
      <c r="L124" s="16"/>
      <c r="M124" s="16"/>
      <c r="N124" s="20"/>
      <c r="O124" s="16"/>
      <c r="P124" s="16"/>
      <c r="Q124" s="31"/>
    </row>
    <row r="125" spans="1:17" ht="17.100000000000001" customHeight="1">
      <c r="A125" s="17"/>
      <c r="B125" s="15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31"/>
    </row>
    <row r="126" spans="1:17" ht="17.100000000000001" customHeight="1">
      <c r="A126" s="17"/>
      <c r="B126" s="15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31"/>
    </row>
    <row r="127" spans="1:17" ht="17.100000000000001" customHeight="1">
      <c r="A127" s="17"/>
      <c r="B127" s="15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31"/>
    </row>
    <row r="128" spans="1:17" ht="17.100000000000001" customHeight="1">
      <c r="A128" s="17"/>
      <c r="B128" s="15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31"/>
    </row>
    <row r="129" spans="1:17" ht="17.100000000000001" customHeight="1">
      <c r="A129" s="17"/>
      <c r="B129" s="15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31"/>
    </row>
    <row r="130" spans="1:17" ht="17.100000000000001" customHeight="1">
      <c r="A130" s="17"/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31"/>
    </row>
    <row r="131" spans="1:17" ht="17.100000000000001" customHeight="1" thickBot="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16"/>
      <c r="Q131" s="31"/>
    </row>
    <row r="132" spans="1:17" ht="17.100000000000001" customHeight="1">
      <c r="A132" s="17"/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31"/>
    </row>
    <row r="133" spans="1:17" ht="17.100000000000001" customHeight="1">
      <c r="A133" s="17"/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31"/>
    </row>
    <row r="134" spans="1:17" ht="17.100000000000001" customHeight="1">
      <c r="A134" s="17"/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31"/>
    </row>
    <row r="135" spans="1:17" ht="17.100000000000001" customHeight="1">
      <c r="A135" s="17"/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31"/>
    </row>
    <row r="136" spans="1:17" ht="17.100000000000001" customHeight="1">
      <c r="A136" s="17"/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31"/>
    </row>
    <row r="137" spans="1:17" ht="17.100000000000001" customHeight="1" thickBot="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16"/>
      <c r="Q137" s="31"/>
    </row>
    <row r="138" spans="1:17">
      <c r="A138" s="25" t="s">
        <v>352</v>
      </c>
      <c r="B138" s="13"/>
      <c r="C138" s="13"/>
      <c r="D138" s="12"/>
      <c r="E138" s="13"/>
      <c r="H138" s="13"/>
      <c r="I138" s="13"/>
      <c r="J138" s="12"/>
      <c r="K138" s="13"/>
      <c r="L138" s="12" t="s">
        <v>18</v>
      </c>
      <c r="M138" s="12"/>
      <c r="N138" s="14"/>
    </row>
    <row r="139" spans="1:17">
      <c r="M139" s="2" t="s">
        <v>19</v>
      </c>
    </row>
    <row r="140" spans="1:17">
      <c r="M140" s="2" t="s">
        <v>20</v>
      </c>
    </row>
    <row r="141" spans="1:17">
      <c r="M141" s="2" t="s">
        <v>21</v>
      </c>
    </row>
    <row r="142" spans="1:17">
      <c r="M142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honeticPr fontId="60" type="noConversion"/>
  <printOptions horizontalCentered="1" verticalCentered="1"/>
  <pageMargins left="0.01" right="0.01" top="0.25" bottom="0.25" header="0.25" footer="0.25"/>
  <pageSetup paperSize="9" scale="2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Q175"/>
  <sheetViews>
    <sheetView view="pageBreakPreview" zoomScaleNormal="100" zoomScaleSheetLayoutView="100" workbookViewId="0">
      <selection activeCell="B5" sqref="B5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5" width="20.42578125" style="2" customWidth="1"/>
    <col min="6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18.7109375" style="2" customWidth="1"/>
    <col min="16" max="16" width="13.85546875" style="2" customWidth="1"/>
    <col min="17" max="17" width="14.855468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 t="s">
        <v>2016</v>
      </c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21">
        <v>45660</v>
      </c>
      <c r="B9" s="15" t="s">
        <v>24</v>
      </c>
      <c r="C9" s="16" t="s">
        <v>47</v>
      </c>
      <c r="D9" s="16" t="s">
        <v>48</v>
      </c>
      <c r="E9" s="16" t="s">
        <v>48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43</v>
      </c>
      <c r="N9" s="16">
        <v>100</v>
      </c>
      <c r="O9" s="16" t="s">
        <v>54</v>
      </c>
      <c r="P9" s="16" t="s">
        <v>23</v>
      </c>
      <c r="Q9" s="31"/>
    </row>
    <row r="10" spans="1:17" ht="17.100000000000001" customHeight="1">
      <c r="A10" s="21">
        <v>45660</v>
      </c>
      <c r="B10" s="15" t="s">
        <v>25</v>
      </c>
      <c r="C10" s="16" t="s">
        <v>47</v>
      </c>
      <c r="D10" s="16" t="s">
        <v>48</v>
      </c>
      <c r="E10" s="16" t="s">
        <v>48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1</v>
      </c>
      <c r="O10" s="16" t="s">
        <v>55</v>
      </c>
      <c r="P10" s="16" t="s">
        <v>26</v>
      </c>
      <c r="Q10" s="31"/>
    </row>
    <row r="11" spans="1:17" ht="17.100000000000001" customHeight="1">
      <c r="A11" s="21">
        <v>45660</v>
      </c>
      <c r="B11" s="15" t="s">
        <v>28</v>
      </c>
      <c r="C11" s="16" t="s">
        <v>47</v>
      </c>
      <c r="D11" s="16" t="s">
        <v>45</v>
      </c>
      <c r="E11" s="16" t="s">
        <v>46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40</v>
      </c>
      <c r="O11" s="16" t="s">
        <v>56</v>
      </c>
      <c r="P11" s="16" t="s">
        <v>27</v>
      </c>
      <c r="Q11" s="31"/>
    </row>
    <row r="12" spans="1:17" ht="17.100000000000001" customHeight="1">
      <c r="A12" s="21">
        <v>45660</v>
      </c>
      <c r="B12" s="15" t="s">
        <v>29</v>
      </c>
      <c r="C12" s="16" t="s">
        <v>47</v>
      </c>
      <c r="D12" s="16" t="s">
        <v>53</v>
      </c>
      <c r="E12" s="16" t="s">
        <v>48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100</v>
      </c>
      <c r="O12" s="16" t="s">
        <v>56</v>
      </c>
      <c r="P12" s="16" t="s">
        <v>30</v>
      </c>
      <c r="Q12" s="31"/>
    </row>
    <row r="13" spans="1:17" ht="17.100000000000001" customHeight="1">
      <c r="A13" s="21">
        <v>45660</v>
      </c>
      <c r="B13" s="15" t="s">
        <v>31</v>
      </c>
      <c r="C13" s="16" t="s">
        <v>47</v>
      </c>
      <c r="D13" s="16" t="s">
        <v>48</v>
      </c>
      <c r="E13" s="16" t="s">
        <v>48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400</v>
      </c>
      <c r="O13" s="16" t="s">
        <v>54</v>
      </c>
      <c r="P13" s="16" t="s">
        <v>32</v>
      </c>
      <c r="Q13" s="31"/>
    </row>
    <row r="14" spans="1:17" ht="17.100000000000001" customHeight="1">
      <c r="A14" s="21">
        <v>45660</v>
      </c>
      <c r="B14" s="15" t="s">
        <v>37</v>
      </c>
      <c r="C14" s="16" t="s">
        <v>47</v>
      </c>
      <c r="D14" s="16" t="s">
        <v>48</v>
      </c>
      <c r="E14" s="16" t="s">
        <v>48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100</v>
      </c>
      <c r="O14" s="16" t="s">
        <v>57</v>
      </c>
      <c r="P14" s="16" t="s">
        <v>33</v>
      </c>
      <c r="Q14" s="31"/>
    </row>
    <row r="15" spans="1:17" ht="17.100000000000001" customHeight="1">
      <c r="A15" s="21">
        <v>45660</v>
      </c>
      <c r="B15" s="15" t="s">
        <v>38</v>
      </c>
      <c r="C15" s="16" t="s">
        <v>47</v>
      </c>
      <c r="D15" s="16" t="s">
        <v>48</v>
      </c>
      <c r="E15" s="16" t="s">
        <v>48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>
        <v>24725</v>
      </c>
      <c r="N15" s="16">
        <v>200</v>
      </c>
      <c r="O15" s="16" t="s">
        <v>58</v>
      </c>
      <c r="P15" s="16" t="s">
        <v>34</v>
      </c>
      <c r="Q15" s="31"/>
    </row>
    <row r="16" spans="1:17" ht="17.100000000000001" customHeight="1">
      <c r="A16" s="21">
        <v>45660</v>
      </c>
      <c r="B16" s="15" t="s">
        <v>39</v>
      </c>
      <c r="C16" s="16" t="s">
        <v>47</v>
      </c>
      <c r="D16" s="16" t="s">
        <v>48</v>
      </c>
      <c r="E16" s="16" t="s">
        <v>48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44</v>
      </c>
      <c r="N16" s="16">
        <v>50</v>
      </c>
      <c r="O16" s="16" t="s">
        <v>54</v>
      </c>
      <c r="P16" s="16" t="s">
        <v>35</v>
      </c>
      <c r="Q16" s="31"/>
    </row>
    <row r="17" spans="1:17" ht="17.100000000000001" customHeight="1">
      <c r="A17" s="21">
        <v>45660</v>
      </c>
      <c r="B17" s="15" t="s">
        <v>40</v>
      </c>
      <c r="C17" s="16" t="s">
        <v>47</v>
      </c>
      <c r="D17" s="16" t="s">
        <v>48</v>
      </c>
      <c r="E17" s="16" t="s">
        <v>48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1</v>
      </c>
      <c r="O17" s="16" t="s">
        <v>54</v>
      </c>
      <c r="P17" s="16" t="s">
        <v>36</v>
      </c>
      <c r="Q17" s="31"/>
    </row>
    <row r="18" spans="1:17" ht="17.100000000000001" customHeight="1">
      <c r="A18" s="21">
        <v>45660</v>
      </c>
      <c r="B18" s="15" t="s">
        <v>41</v>
      </c>
      <c r="C18" s="16" t="s">
        <v>47</v>
      </c>
      <c r="D18" s="16" t="s">
        <v>49</v>
      </c>
      <c r="E18" s="16" t="s">
        <v>51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100</v>
      </c>
      <c r="O18" s="16" t="s">
        <v>56</v>
      </c>
      <c r="P18" s="16" t="s">
        <v>42</v>
      </c>
      <c r="Q18" s="31"/>
    </row>
    <row r="19" spans="1:17" ht="17.100000000000001" customHeight="1">
      <c r="A19" s="21">
        <v>45660</v>
      </c>
      <c r="B19" s="15" t="s">
        <v>41</v>
      </c>
      <c r="C19" s="16" t="s">
        <v>47</v>
      </c>
      <c r="D19" s="16" t="s">
        <v>50</v>
      </c>
      <c r="E19" s="16" t="s">
        <v>51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92</v>
      </c>
      <c r="O19" s="16" t="s">
        <v>56</v>
      </c>
      <c r="P19" s="16" t="s">
        <v>42</v>
      </c>
      <c r="Q19" s="31"/>
    </row>
    <row r="20" spans="1:17" ht="17.100000000000001" customHeight="1">
      <c r="A20" s="21">
        <v>45660</v>
      </c>
      <c r="B20" s="15" t="s">
        <v>41</v>
      </c>
      <c r="C20" s="16" t="s">
        <v>47</v>
      </c>
      <c r="D20" s="16" t="s">
        <v>50</v>
      </c>
      <c r="E20" s="16" t="s">
        <v>51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8</v>
      </c>
      <c r="O20" s="16" t="s">
        <v>56</v>
      </c>
      <c r="P20" s="16" t="s">
        <v>42</v>
      </c>
      <c r="Q20" s="31"/>
    </row>
    <row r="21" spans="1:17" ht="17.100000000000001" customHeight="1">
      <c r="A21" s="21">
        <v>45661</v>
      </c>
      <c r="B21" s="15" t="s">
        <v>41</v>
      </c>
      <c r="C21" s="16" t="s">
        <v>61</v>
      </c>
      <c r="D21" s="16" t="s">
        <v>52</v>
      </c>
      <c r="E21" s="16" t="s">
        <v>51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40</v>
      </c>
      <c r="O21" s="16" t="s">
        <v>56</v>
      </c>
      <c r="P21" s="16" t="s">
        <v>42</v>
      </c>
      <c r="Q21" s="31"/>
    </row>
    <row r="22" spans="1:17" ht="17.100000000000001" customHeight="1">
      <c r="A22" s="21">
        <v>45661</v>
      </c>
      <c r="B22" s="15" t="s">
        <v>59</v>
      </c>
      <c r="C22" s="16" t="s">
        <v>61</v>
      </c>
      <c r="D22" s="16" t="s">
        <v>52</v>
      </c>
      <c r="E22" s="16">
        <v>2411071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136</v>
      </c>
      <c r="O22" s="16" t="s">
        <v>60</v>
      </c>
      <c r="P22" s="16" t="s">
        <v>63</v>
      </c>
      <c r="Q22" s="31"/>
    </row>
    <row r="23" spans="1:17" ht="17.100000000000001" customHeight="1">
      <c r="A23" s="21">
        <v>45661</v>
      </c>
      <c r="B23" s="15" t="s">
        <v>59</v>
      </c>
      <c r="C23" s="16" t="s">
        <v>61</v>
      </c>
      <c r="D23" s="16" t="s">
        <v>49</v>
      </c>
      <c r="E23" s="16">
        <v>2411071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4</v>
      </c>
      <c r="O23" s="16" t="s">
        <v>60</v>
      </c>
      <c r="P23" s="16" t="s">
        <v>63</v>
      </c>
      <c r="Q23" s="31"/>
    </row>
    <row r="24" spans="1:17" ht="17.100000000000001" customHeight="1">
      <c r="A24" s="21">
        <v>45661</v>
      </c>
      <c r="B24" s="15" t="s">
        <v>62</v>
      </c>
      <c r="C24" s="16" t="s">
        <v>61</v>
      </c>
      <c r="D24" s="16" t="s">
        <v>49</v>
      </c>
      <c r="E24" s="16" t="s">
        <v>48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20</v>
      </c>
      <c r="O24" s="16" t="s">
        <v>60</v>
      </c>
      <c r="P24" s="16" t="s">
        <v>64</v>
      </c>
      <c r="Q24" s="31"/>
    </row>
    <row r="25" spans="1:17" ht="17.100000000000001" customHeight="1">
      <c r="A25" s="21">
        <v>45661</v>
      </c>
      <c r="B25" s="15" t="s">
        <v>65</v>
      </c>
      <c r="C25" s="16" t="s">
        <v>61</v>
      </c>
      <c r="D25" s="16" t="s">
        <v>48</v>
      </c>
      <c r="E25" s="16" t="s">
        <v>48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50</v>
      </c>
      <c r="O25" s="16" t="s">
        <v>54</v>
      </c>
      <c r="P25" s="16" t="s">
        <v>66</v>
      </c>
      <c r="Q25" s="31"/>
    </row>
    <row r="26" spans="1:17" ht="17.100000000000001" customHeight="1">
      <c r="A26" s="21">
        <v>45661</v>
      </c>
      <c r="B26" s="15" t="s">
        <v>68</v>
      </c>
      <c r="C26" s="16" t="s">
        <v>61</v>
      </c>
      <c r="D26" s="16" t="s">
        <v>48</v>
      </c>
      <c r="E26" s="16" t="s">
        <v>48</v>
      </c>
      <c r="F26" s="16" t="s">
        <v>82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75</v>
      </c>
      <c r="O26" s="16" t="s">
        <v>80</v>
      </c>
      <c r="P26" s="16" t="s">
        <v>67</v>
      </c>
      <c r="Q26" s="31"/>
    </row>
    <row r="27" spans="1:17" ht="17.100000000000001" customHeight="1">
      <c r="A27" s="21">
        <v>45661</v>
      </c>
      <c r="B27" s="15" t="s">
        <v>71</v>
      </c>
      <c r="C27" s="16" t="s">
        <v>61</v>
      </c>
      <c r="D27" s="16" t="s">
        <v>48</v>
      </c>
      <c r="E27" s="16" t="s">
        <v>48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84</v>
      </c>
      <c r="N27" s="16">
        <v>100</v>
      </c>
      <c r="O27" s="16" t="s">
        <v>81</v>
      </c>
      <c r="P27" s="16" t="s">
        <v>69</v>
      </c>
      <c r="Q27" s="30"/>
    </row>
    <row r="28" spans="1:17" ht="17.100000000000001" customHeight="1">
      <c r="A28" s="21">
        <v>45661</v>
      </c>
      <c r="B28" s="15" t="s">
        <v>72</v>
      </c>
      <c r="C28" s="16" t="s">
        <v>61</v>
      </c>
      <c r="D28" s="16" t="s">
        <v>48</v>
      </c>
      <c r="E28" s="16" t="s">
        <v>48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10</v>
      </c>
      <c r="O28" s="16" t="s">
        <v>55</v>
      </c>
      <c r="P28" s="16" t="s">
        <v>70</v>
      </c>
      <c r="Q28" s="31"/>
    </row>
    <row r="29" spans="1:17" ht="17.100000000000001" customHeight="1">
      <c r="A29" s="21">
        <v>45661</v>
      </c>
      <c r="B29" s="15" t="s">
        <v>38</v>
      </c>
      <c r="C29" s="16" t="s">
        <v>61</v>
      </c>
      <c r="D29" s="16" t="s">
        <v>48</v>
      </c>
      <c r="E29" s="16" t="s">
        <v>48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200</v>
      </c>
      <c r="O29" s="16" t="s">
        <v>58</v>
      </c>
      <c r="P29" s="16" t="s">
        <v>73</v>
      </c>
      <c r="Q29" s="31"/>
    </row>
    <row r="30" spans="1:17" ht="17.100000000000001" customHeight="1">
      <c r="A30" s="21">
        <v>45661</v>
      </c>
      <c r="B30" s="15" t="s">
        <v>74</v>
      </c>
      <c r="C30" s="16" t="s">
        <v>61</v>
      </c>
      <c r="D30" s="16" t="s">
        <v>48</v>
      </c>
      <c r="E30" s="16" t="s">
        <v>48</v>
      </c>
      <c r="F30" s="16" t="s">
        <v>83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10</v>
      </c>
      <c r="O30" s="16" t="s">
        <v>55</v>
      </c>
      <c r="P30" s="16" t="s">
        <v>75</v>
      </c>
      <c r="Q30" s="31"/>
    </row>
    <row r="31" spans="1:17" ht="17.100000000000001" customHeight="1">
      <c r="A31" s="21">
        <v>45661</v>
      </c>
      <c r="B31" s="15" t="s">
        <v>78</v>
      </c>
      <c r="C31" s="16" t="s">
        <v>61</v>
      </c>
      <c r="D31" s="16" t="s">
        <v>48</v>
      </c>
      <c r="E31" s="16" t="s">
        <v>48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10</v>
      </c>
      <c r="O31" s="16" t="s">
        <v>55</v>
      </c>
      <c r="P31" s="16" t="s">
        <v>76</v>
      </c>
      <c r="Q31" s="31"/>
    </row>
    <row r="32" spans="1:17" ht="17.100000000000001" customHeight="1">
      <c r="A32" s="21">
        <v>45661</v>
      </c>
      <c r="B32" s="15" t="s">
        <v>79</v>
      </c>
      <c r="C32" s="16" t="s">
        <v>61</v>
      </c>
      <c r="D32" s="16" t="s">
        <v>85</v>
      </c>
      <c r="E32" s="16" t="s">
        <v>86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19</v>
      </c>
      <c r="O32" s="16" t="s">
        <v>56</v>
      </c>
      <c r="P32" s="16" t="s">
        <v>77</v>
      </c>
      <c r="Q32" s="31"/>
    </row>
    <row r="33" spans="1:17" ht="17.100000000000001" customHeight="1">
      <c r="A33" s="21">
        <v>45661</v>
      </c>
      <c r="B33" s="15" t="s">
        <v>79</v>
      </c>
      <c r="C33" s="16" t="s">
        <v>61</v>
      </c>
      <c r="D33" s="16" t="s">
        <v>85</v>
      </c>
      <c r="E33" s="16" t="s">
        <v>87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54</v>
      </c>
      <c r="O33" s="16" t="s">
        <v>56</v>
      </c>
      <c r="P33" s="16" t="s">
        <v>77</v>
      </c>
      <c r="Q33" s="31"/>
    </row>
    <row r="34" spans="1:17" ht="17.100000000000001" customHeight="1">
      <c r="A34" s="21">
        <v>45661</v>
      </c>
      <c r="B34" s="15" t="s">
        <v>79</v>
      </c>
      <c r="C34" s="16" t="s">
        <v>61</v>
      </c>
      <c r="D34" s="16" t="s">
        <v>85</v>
      </c>
      <c r="E34" s="16" t="s">
        <v>89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27</v>
      </c>
      <c r="O34" s="16" t="s">
        <v>56</v>
      </c>
      <c r="P34" s="16" t="s">
        <v>77</v>
      </c>
      <c r="Q34" s="31"/>
    </row>
    <row r="35" spans="1:17" ht="17.100000000000001" customHeight="1">
      <c r="A35" s="21">
        <v>45663</v>
      </c>
      <c r="B35" s="15" t="s">
        <v>79</v>
      </c>
      <c r="C35" s="16" t="s">
        <v>88</v>
      </c>
      <c r="D35" s="16" t="s">
        <v>92</v>
      </c>
      <c r="E35" s="16" t="s">
        <v>89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34</v>
      </c>
      <c r="O35" s="16" t="s">
        <v>56</v>
      </c>
      <c r="P35" s="16" t="s">
        <v>77</v>
      </c>
      <c r="Q35" s="31"/>
    </row>
    <row r="36" spans="1:17" ht="17.100000000000001" customHeight="1">
      <c r="A36" s="21">
        <v>45663</v>
      </c>
      <c r="B36" s="15" t="s">
        <v>79</v>
      </c>
      <c r="C36" s="16" t="s">
        <v>88</v>
      </c>
      <c r="D36" s="16" t="s">
        <v>92</v>
      </c>
      <c r="E36" s="16" t="s">
        <v>86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27</v>
      </c>
      <c r="O36" s="16" t="s">
        <v>56</v>
      </c>
      <c r="P36" s="16" t="s">
        <v>77</v>
      </c>
      <c r="Q36" s="31"/>
    </row>
    <row r="37" spans="1:17" ht="17.100000000000001" customHeight="1">
      <c r="A37" s="21">
        <v>45663</v>
      </c>
      <c r="B37" s="15" t="s">
        <v>79</v>
      </c>
      <c r="C37" s="16" t="s">
        <v>88</v>
      </c>
      <c r="D37" s="16" t="s">
        <v>92</v>
      </c>
      <c r="E37" s="16" t="s">
        <v>90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27</v>
      </c>
      <c r="O37" s="16" t="s">
        <v>56</v>
      </c>
      <c r="P37" s="16" t="s">
        <v>77</v>
      </c>
      <c r="Q37" s="31"/>
    </row>
    <row r="38" spans="1:17" ht="17.100000000000001" customHeight="1">
      <c r="A38" s="21">
        <v>45663</v>
      </c>
      <c r="B38" s="15" t="s">
        <v>79</v>
      </c>
      <c r="C38" s="16" t="s">
        <v>88</v>
      </c>
      <c r="D38" s="16" t="s">
        <v>92</v>
      </c>
      <c r="E38" s="16" t="s">
        <v>91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27</v>
      </c>
      <c r="O38" s="16" t="s">
        <v>56</v>
      </c>
      <c r="P38" s="16" t="s">
        <v>77</v>
      </c>
      <c r="Q38" s="31"/>
    </row>
    <row r="39" spans="1:17" ht="17.100000000000001" customHeight="1">
      <c r="A39" s="21">
        <v>45663</v>
      </c>
      <c r="B39" s="15" t="s">
        <v>79</v>
      </c>
      <c r="C39" s="16" t="s">
        <v>88</v>
      </c>
      <c r="D39" s="16" t="s">
        <v>96</v>
      </c>
      <c r="E39" s="16" t="s">
        <v>90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27</v>
      </c>
      <c r="O39" s="16" t="s">
        <v>56</v>
      </c>
      <c r="P39" s="16" t="s">
        <v>77</v>
      </c>
      <c r="Q39" s="31"/>
    </row>
    <row r="40" spans="1:17" ht="17.100000000000001" customHeight="1">
      <c r="A40" s="21">
        <v>45663</v>
      </c>
      <c r="B40" s="15" t="s">
        <v>79</v>
      </c>
      <c r="C40" s="16" t="s">
        <v>88</v>
      </c>
      <c r="D40" s="16" t="s">
        <v>96</v>
      </c>
      <c r="E40" s="16" t="s">
        <v>93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27</v>
      </c>
      <c r="O40" s="16" t="s">
        <v>56</v>
      </c>
      <c r="P40" s="16" t="s">
        <v>77</v>
      </c>
      <c r="Q40" s="31"/>
    </row>
    <row r="41" spans="1:17" ht="17.100000000000001" customHeight="1">
      <c r="A41" s="21">
        <v>45663</v>
      </c>
      <c r="B41" s="15" t="s">
        <v>79</v>
      </c>
      <c r="C41" s="16" t="s">
        <v>88</v>
      </c>
      <c r="D41" s="16" t="s">
        <v>96</v>
      </c>
      <c r="E41" s="16" t="s">
        <v>94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27</v>
      </c>
      <c r="O41" s="16" t="s">
        <v>56</v>
      </c>
      <c r="P41" s="16" t="s">
        <v>77</v>
      </c>
      <c r="Q41" s="31"/>
    </row>
    <row r="42" spans="1:17" ht="17.100000000000001" customHeight="1">
      <c r="A42" s="21">
        <v>45663</v>
      </c>
      <c r="B42" s="15" t="s">
        <v>79</v>
      </c>
      <c r="C42" s="16" t="s">
        <v>88</v>
      </c>
      <c r="D42" s="16" t="s">
        <v>96</v>
      </c>
      <c r="E42" s="16" t="s">
        <v>95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4</v>
      </c>
      <c r="O42" s="16" t="s">
        <v>56</v>
      </c>
      <c r="P42" s="16" t="s">
        <v>77</v>
      </c>
      <c r="Q42" s="31"/>
    </row>
    <row r="43" spans="1:17" ht="17.100000000000001" customHeight="1">
      <c r="A43" s="21">
        <v>45663</v>
      </c>
      <c r="B43" s="15" t="s">
        <v>29</v>
      </c>
      <c r="C43" s="16" t="s">
        <v>88</v>
      </c>
      <c r="D43" s="16" t="s">
        <v>97</v>
      </c>
      <c r="E43" s="16" t="s">
        <v>48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500</v>
      </c>
      <c r="O43" s="16" t="s">
        <v>56</v>
      </c>
      <c r="P43" s="16" t="s">
        <v>99</v>
      </c>
      <c r="Q43" s="31"/>
    </row>
    <row r="44" spans="1:17" ht="17.100000000000001" customHeight="1">
      <c r="A44" s="21">
        <v>45663</v>
      </c>
      <c r="B44" s="15" t="s">
        <v>29</v>
      </c>
      <c r="C44" s="16" t="s">
        <v>88</v>
      </c>
      <c r="D44" s="16" t="s">
        <v>98</v>
      </c>
      <c r="E44" s="16" t="s">
        <v>48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100</v>
      </c>
      <c r="O44" s="16" t="s">
        <v>56</v>
      </c>
      <c r="P44" s="16" t="s">
        <v>99</v>
      </c>
      <c r="Q44" s="31"/>
    </row>
    <row r="45" spans="1:17" ht="17.100000000000001" customHeight="1">
      <c r="A45" s="21">
        <v>45664</v>
      </c>
      <c r="B45" s="15" t="s">
        <v>101</v>
      </c>
      <c r="C45" s="16" t="s">
        <v>102</v>
      </c>
      <c r="D45" s="16" t="s">
        <v>48</v>
      </c>
      <c r="E45" s="16" t="s">
        <v>48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468</v>
      </c>
      <c r="O45" s="16" t="s">
        <v>103</v>
      </c>
      <c r="P45" s="16" t="s">
        <v>105</v>
      </c>
      <c r="Q45" s="31"/>
    </row>
    <row r="46" spans="1:17" ht="17.100000000000001" customHeight="1">
      <c r="A46" s="21">
        <v>45664</v>
      </c>
      <c r="B46" s="15" t="s">
        <v>104</v>
      </c>
      <c r="C46" s="16" t="s">
        <v>102</v>
      </c>
      <c r="D46" s="16" t="s">
        <v>48</v>
      </c>
      <c r="E46" s="16" t="s">
        <v>48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50</v>
      </c>
      <c r="O46" s="16" t="s">
        <v>58</v>
      </c>
      <c r="P46" s="16" t="s">
        <v>100</v>
      </c>
      <c r="Q46" s="31"/>
    </row>
    <row r="47" spans="1:17" ht="17.100000000000001" customHeight="1">
      <c r="A47" s="21">
        <v>45664</v>
      </c>
      <c r="B47" s="15" t="s">
        <v>107</v>
      </c>
      <c r="C47" s="16" t="s">
        <v>102</v>
      </c>
      <c r="D47" s="16" t="s">
        <v>48</v>
      </c>
      <c r="E47" s="16" t="s">
        <v>48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10</v>
      </c>
      <c r="O47" s="16" t="s">
        <v>54</v>
      </c>
      <c r="P47" s="16" t="s">
        <v>106</v>
      </c>
      <c r="Q47" s="31"/>
    </row>
    <row r="48" spans="1:17" ht="17.100000000000001" customHeight="1">
      <c r="A48" s="21">
        <v>45664</v>
      </c>
      <c r="B48" s="15" t="s">
        <v>108</v>
      </c>
      <c r="C48" s="16" t="s">
        <v>102</v>
      </c>
      <c r="D48" s="16" t="s">
        <v>48</v>
      </c>
      <c r="E48" s="16" t="s">
        <v>48</v>
      </c>
      <c r="F48" s="16" t="s">
        <v>142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40</v>
      </c>
      <c r="O48" s="16" t="s">
        <v>54</v>
      </c>
      <c r="P48" s="16" t="s">
        <v>109</v>
      </c>
      <c r="Q48" s="31"/>
    </row>
    <row r="49" spans="1:17" ht="17.100000000000001" customHeight="1">
      <c r="A49" s="21">
        <v>45664</v>
      </c>
      <c r="B49" s="15" t="s">
        <v>110</v>
      </c>
      <c r="C49" s="16" t="s">
        <v>102</v>
      </c>
      <c r="D49" s="16" t="s">
        <v>48</v>
      </c>
      <c r="E49" s="16" t="s">
        <v>48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135</v>
      </c>
      <c r="N49" s="16">
        <v>10</v>
      </c>
      <c r="O49" s="16" t="s">
        <v>54</v>
      </c>
      <c r="P49" s="16" t="s">
        <v>111</v>
      </c>
      <c r="Q49" s="31"/>
    </row>
    <row r="50" spans="1:17" ht="17.100000000000001" customHeight="1">
      <c r="A50" s="21">
        <v>45664</v>
      </c>
      <c r="B50" s="15" t="s">
        <v>112</v>
      </c>
      <c r="C50" s="16" t="s">
        <v>102</v>
      </c>
      <c r="D50" s="16" t="s">
        <v>48</v>
      </c>
      <c r="E50" s="16" t="s">
        <v>48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10</v>
      </c>
      <c r="O50" s="16" t="s">
        <v>54</v>
      </c>
      <c r="P50" s="16" t="s">
        <v>113</v>
      </c>
      <c r="Q50" s="31"/>
    </row>
    <row r="51" spans="1:17" ht="17.100000000000001" customHeight="1">
      <c r="A51" s="21">
        <v>45664</v>
      </c>
      <c r="B51" s="15" t="s">
        <v>114</v>
      </c>
      <c r="C51" s="16" t="s">
        <v>102</v>
      </c>
      <c r="D51" s="16" t="s">
        <v>48</v>
      </c>
      <c r="E51" s="16" t="s">
        <v>48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9</v>
      </c>
      <c r="O51" s="16" t="s">
        <v>55</v>
      </c>
      <c r="P51" s="16" t="s">
        <v>115</v>
      </c>
      <c r="Q51" s="31"/>
    </row>
    <row r="52" spans="1:17" ht="17.100000000000001" customHeight="1">
      <c r="A52" s="21">
        <v>45664</v>
      </c>
      <c r="B52" s="15" t="s">
        <v>59</v>
      </c>
      <c r="C52" s="16" t="s">
        <v>102</v>
      </c>
      <c r="D52" s="16" t="s">
        <v>118</v>
      </c>
      <c r="E52" s="16" t="s">
        <v>48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120</v>
      </c>
      <c r="O52" s="16" t="s">
        <v>117</v>
      </c>
      <c r="P52" s="16" t="s">
        <v>116</v>
      </c>
      <c r="Q52" s="31"/>
    </row>
    <row r="53" spans="1:17" ht="17.100000000000001" customHeight="1">
      <c r="A53" s="21">
        <v>45664</v>
      </c>
      <c r="B53" s="15" t="s">
        <v>119</v>
      </c>
      <c r="C53" s="16" t="s">
        <v>102</v>
      </c>
      <c r="D53" s="16" t="s">
        <v>121</v>
      </c>
      <c r="E53" s="16" t="s">
        <v>122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96</v>
      </c>
      <c r="O53" s="16" t="s">
        <v>117</v>
      </c>
      <c r="P53" s="16" t="s">
        <v>120</v>
      </c>
      <c r="Q53" s="31"/>
    </row>
    <row r="54" spans="1:17" ht="17.100000000000001" customHeight="1">
      <c r="A54" s="21">
        <v>45665</v>
      </c>
      <c r="B54" s="15" t="s">
        <v>119</v>
      </c>
      <c r="C54" s="16" t="s">
        <v>123</v>
      </c>
      <c r="D54" s="16" t="s">
        <v>121</v>
      </c>
      <c r="E54" s="16" t="s">
        <v>122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14</v>
      </c>
      <c r="O54" s="16" t="s">
        <v>117</v>
      </c>
      <c r="P54" s="16" t="s">
        <v>120</v>
      </c>
      <c r="Q54" s="31"/>
    </row>
    <row r="55" spans="1:17" ht="17.100000000000001" customHeight="1">
      <c r="A55" s="21">
        <v>45665</v>
      </c>
      <c r="B55" s="15" t="s">
        <v>119</v>
      </c>
      <c r="C55" s="16" t="s">
        <v>123</v>
      </c>
      <c r="D55" s="16" t="s">
        <v>124</v>
      </c>
      <c r="E55" s="16" t="s">
        <v>122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130</v>
      </c>
      <c r="O55" s="16" t="s">
        <v>117</v>
      </c>
      <c r="P55" s="16" t="s">
        <v>120</v>
      </c>
      <c r="Q55" s="31"/>
    </row>
    <row r="56" spans="1:17" ht="17.100000000000001" customHeight="1">
      <c r="A56" s="21">
        <v>45665</v>
      </c>
      <c r="B56" s="15" t="s">
        <v>125</v>
      </c>
      <c r="C56" s="16" t="s">
        <v>123</v>
      </c>
      <c r="D56" s="16" t="s">
        <v>124</v>
      </c>
      <c r="E56" s="16" t="s">
        <v>122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9</v>
      </c>
      <c r="O56" s="16" t="s">
        <v>117</v>
      </c>
      <c r="P56" s="16" t="s">
        <v>120</v>
      </c>
      <c r="Q56" s="31"/>
    </row>
    <row r="57" spans="1:17" ht="17.100000000000001" customHeight="1">
      <c r="A57" s="21">
        <v>45665</v>
      </c>
      <c r="B57" s="15" t="s">
        <v>125</v>
      </c>
      <c r="C57" s="16" t="s">
        <v>123</v>
      </c>
      <c r="D57" s="16" t="s">
        <v>126</v>
      </c>
      <c r="E57" s="16" t="s">
        <v>122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147</v>
      </c>
      <c r="O57" s="16" t="s">
        <v>117</v>
      </c>
      <c r="P57" s="16" t="s">
        <v>127</v>
      </c>
      <c r="Q57" s="31"/>
    </row>
    <row r="58" spans="1:17" ht="17.100000000000001" customHeight="1">
      <c r="A58" s="21">
        <v>45666</v>
      </c>
      <c r="B58" s="15" t="s">
        <v>125</v>
      </c>
      <c r="C58" s="16" t="s">
        <v>128</v>
      </c>
      <c r="D58" s="16" t="s">
        <v>126</v>
      </c>
      <c r="E58" s="16" t="s">
        <v>122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3</v>
      </c>
      <c r="O58" s="16" t="s">
        <v>117</v>
      </c>
      <c r="P58" s="16" t="s">
        <v>127</v>
      </c>
      <c r="Q58" s="31"/>
    </row>
    <row r="59" spans="1:17" ht="17.100000000000001" customHeight="1">
      <c r="A59" s="21">
        <v>45666</v>
      </c>
      <c r="B59" s="15" t="s">
        <v>125</v>
      </c>
      <c r="C59" s="16" t="s">
        <v>128</v>
      </c>
      <c r="D59" s="16" t="s">
        <v>130</v>
      </c>
      <c r="E59" s="16" t="s">
        <v>122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81</v>
      </c>
      <c r="O59" s="16" t="s">
        <v>117</v>
      </c>
      <c r="P59" s="16" t="s">
        <v>127</v>
      </c>
      <c r="Q59" s="31"/>
    </row>
    <row r="60" spans="1:17" ht="17.100000000000001" customHeight="1">
      <c r="A60" s="21">
        <v>45666</v>
      </c>
      <c r="B60" s="15" t="s">
        <v>131</v>
      </c>
      <c r="C60" s="16" t="s">
        <v>128</v>
      </c>
      <c r="D60" s="16" t="s">
        <v>130</v>
      </c>
      <c r="E60" s="16" t="s">
        <v>133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48</v>
      </c>
      <c r="O60" s="16" t="s">
        <v>117</v>
      </c>
      <c r="P60" s="16" t="s">
        <v>132</v>
      </c>
      <c r="Q60" s="31"/>
    </row>
    <row r="61" spans="1:17" ht="17.100000000000001" customHeight="1">
      <c r="A61" s="21">
        <v>45666</v>
      </c>
      <c r="B61" s="15" t="s">
        <v>131</v>
      </c>
      <c r="C61" s="16" t="s">
        <v>128</v>
      </c>
      <c r="D61" s="16" t="s">
        <v>129</v>
      </c>
      <c r="E61" s="16" t="s">
        <v>133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140</v>
      </c>
      <c r="O61" s="16" t="s">
        <v>117</v>
      </c>
      <c r="P61" s="16" t="s">
        <v>132</v>
      </c>
      <c r="Q61" s="31"/>
    </row>
    <row r="62" spans="1:17" ht="17.100000000000001" customHeight="1">
      <c r="A62" s="21">
        <v>45666</v>
      </c>
      <c r="B62" s="15" t="s">
        <v>131</v>
      </c>
      <c r="C62" s="16" t="s">
        <v>128</v>
      </c>
      <c r="D62" s="16" t="s">
        <v>134</v>
      </c>
      <c r="E62" s="16" t="s">
        <v>133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52</v>
      </c>
      <c r="O62" s="16" t="s">
        <v>117</v>
      </c>
      <c r="P62" s="16" t="s">
        <v>132</v>
      </c>
      <c r="Q62" s="31"/>
    </row>
    <row r="63" spans="1:17" ht="17.100000000000001" customHeight="1">
      <c r="A63" s="21">
        <v>45666</v>
      </c>
      <c r="B63" s="15" t="s">
        <v>136</v>
      </c>
      <c r="C63" s="16" t="s">
        <v>128</v>
      </c>
      <c r="D63" s="16" t="s">
        <v>137</v>
      </c>
      <c r="E63" s="16" t="s">
        <v>48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50</v>
      </c>
      <c r="O63" s="16" t="s">
        <v>138</v>
      </c>
      <c r="P63" s="16" t="s">
        <v>139</v>
      </c>
      <c r="Q63" s="31"/>
    </row>
    <row r="64" spans="1:17" ht="17.100000000000001" customHeight="1">
      <c r="A64" s="22">
        <v>45667</v>
      </c>
      <c r="B64" s="15" t="s">
        <v>140</v>
      </c>
      <c r="C64" s="16" t="s">
        <v>144</v>
      </c>
      <c r="D64" s="16" t="s">
        <v>129</v>
      </c>
      <c r="E64" s="16" t="s">
        <v>48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10</v>
      </c>
      <c r="O64" s="16" t="s">
        <v>57</v>
      </c>
      <c r="P64" s="16" t="s">
        <v>141</v>
      </c>
      <c r="Q64" s="31"/>
    </row>
    <row r="65" spans="1:17" ht="17.100000000000001" customHeight="1">
      <c r="A65" s="22">
        <v>45667</v>
      </c>
      <c r="B65" s="15" t="s">
        <v>143</v>
      </c>
      <c r="C65" s="16" t="s">
        <v>144</v>
      </c>
      <c r="D65" s="16" t="s">
        <v>145</v>
      </c>
      <c r="E65" s="16" t="s">
        <v>48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87</v>
      </c>
      <c r="O65" s="16" t="s">
        <v>147</v>
      </c>
      <c r="P65" s="16" t="s">
        <v>148</v>
      </c>
      <c r="Q65" s="31"/>
    </row>
    <row r="66" spans="1:17" ht="17.100000000000001" customHeight="1">
      <c r="A66" s="22">
        <v>45667</v>
      </c>
      <c r="B66" s="15" t="s">
        <v>143</v>
      </c>
      <c r="C66" s="16" t="s">
        <v>144</v>
      </c>
      <c r="D66" s="16" t="s">
        <v>146</v>
      </c>
      <c r="E66" s="16" t="s">
        <v>48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115</v>
      </c>
      <c r="O66" s="16" t="s">
        <v>147</v>
      </c>
      <c r="P66" s="16" t="s">
        <v>148</v>
      </c>
      <c r="Q66" s="31"/>
    </row>
    <row r="67" spans="1:17" ht="17.100000000000001" customHeight="1">
      <c r="A67" s="22">
        <v>45667</v>
      </c>
      <c r="B67" s="15" t="s">
        <v>143</v>
      </c>
      <c r="C67" s="16" t="s">
        <v>144</v>
      </c>
      <c r="D67" s="16" t="s">
        <v>149</v>
      </c>
      <c r="E67" s="16" t="s">
        <v>48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40</v>
      </c>
      <c r="O67" s="16" t="s">
        <v>147</v>
      </c>
      <c r="P67" s="16" t="s">
        <v>148</v>
      </c>
      <c r="Q67" s="31"/>
    </row>
    <row r="68" spans="1:17" ht="17.100000000000001" customHeight="1">
      <c r="A68" s="22">
        <v>45670</v>
      </c>
      <c r="B68" s="15" t="s">
        <v>59</v>
      </c>
      <c r="C68" s="16" t="s">
        <v>151</v>
      </c>
      <c r="D68" s="15" t="s">
        <v>152</v>
      </c>
      <c r="E68" s="16" t="s">
        <v>48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60</v>
      </c>
      <c r="O68" s="16" t="s">
        <v>147</v>
      </c>
      <c r="P68" s="16" t="s">
        <v>153</v>
      </c>
      <c r="Q68" s="31"/>
    </row>
    <row r="69" spans="1:17" ht="17.100000000000001" customHeight="1">
      <c r="A69" s="22">
        <v>45670</v>
      </c>
      <c r="B69" s="15" t="s">
        <v>154</v>
      </c>
      <c r="C69" s="16" t="s">
        <v>151</v>
      </c>
      <c r="D69" s="16" t="s">
        <v>48</v>
      </c>
      <c r="E69" s="16" t="s">
        <v>48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50</v>
      </c>
      <c r="O69" s="16" t="s">
        <v>155</v>
      </c>
      <c r="P69" s="16" t="s">
        <v>156</v>
      </c>
      <c r="Q69" s="31"/>
    </row>
    <row r="70" spans="1:17" ht="17.100000000000001" customHeight="1">
      <c r="A70" s="22">
        <v>45670</v>
      </c>
      <c r="B70" s="15" t="s">
        <v>157</v>
      </c>
      <c r="C70" s="16" t="s">
        <v>151</v>
      </c>
      <c r="D70" s="16" t="s">
        <v>48</v>
      </c>
      <c r="E70" s="16"/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35</v>
      </c>
      <c r="O70" s="16" t="s">
        <v>158</v>
      </c>
      <c r="P70" s="16" t="s">
        <v>159</v>
      </c>
      <c r="Q70" s="31"/>
    </row>
    <row r="71" spans="1:17" ht="17.100000000000001" customHeight="1">
      <c r="A71" s="22">
        <v>45670</v>
      </c>
      <c r="B71" s="15" t="s">
        <v>161</v>
      </c>
      <c r="C71" s="16" t="s">
        <v>151</v>
      </c>
      <c r="D71" s="16" t="s">
        <v>48</v>
      </c>
      <c r="E71" s="16" t="s">
        <v>48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50</v>
      </c>
      <c r="O71" s="16" t="s">
        <v>58</v>
      </c>
      <c r="P71" s="16" t="s">
        <v>160</v>
      </c>
      <c r="Q71" s="31"/>
    </row>
    <row r="72" spans="1:17" ht="17.100000000000001" customHeight="1">
      <c r="A72" s="22">
        <v>45670</v>
      </c>
      <c r="B72" s="15" t="s">
        <v>162</v>
      </c>
      <c r="C72" s="16" t="s">
        <v>151</v>
      </c>
      <c r="D72" s="16" t="s">
        <v>164</v>
      </c>
      <c r="E72" s="16" t="s">
        <v>163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40</v>
      </c>
      <c r="O72" s="16" t="s">
        <v>166</v>
      </c>
      <c r="P72" s="16" t="s">
        <v>167</v>
      </c>
      <c r="Q72" s="31"/>
    </row>
    <row r="73" spans="1:17" ht="17.100000000000001" customHeight="1">
      <c r="A73" s="22">
        <v>45670</v>
      </c>
      <c r="B73" s="15" t="s">
        <v>162</v>
      </c>
      <c r="C73" s="16" t="s">
        <v>151</v>
      </c>
      <c r="D73" s="16" t="s">
        <v>165</v>
      </c>
      <c r="E73" s="16" t="s">
        <v>46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40</v>
      </c>
      <c r="O73" s="16" t="s">
        <v>166</v>
      </c>
      <c r="P73" s="16" t="s">
        <v>167</v>
      </c>
      <c r="Q73" s="31"/>
    </row>
    <row r="74" spans="1:17" ht="17.100000000000001" customHeight="1">
      <c r="A74" s="22">
        <v>45670</v>
      </c>
      <c r="B74" s="15" t="s">
        <v>168</v>
      </c>
      <c r="C74" s="16" t="s">
        <v>151</v>
      </c>
      <c r="D74" s="16" t="s">
        <v>48</v>
      </c>
      <c r="E74" s="16" t="s">
        <v>48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170</v>
      </c>
      <c r="N74" s="16">
        <v>250</v>
      </c>
      <c r="O74" s="16" t="s">
        <v>58</v>
      </c>
      <c r="P74" s="16" t="s">
        <v>169</v>
      </c>
      <c r="Q74" s="31"/>
    </row>
    <row r="75" spans="1:17" ht="17.100000000000001" customHeight="1">
      <c r="A75" s="22">
        <v>45671</v>
      </c>
      <c r="B75" s="15" t="s">
        <v>59</v>
      </c>
      <c r="C75" s="16" t="s">
        <v>172</v>
      </c>
      <c r="D75" s="15" t="s">
        <v>150</v>
      </c>
      <c r="E75" s="16" t="s">
        <v>48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20</v>
      </c>
      <c r="O75" s="16" t="s">
        <v>147</v>
      </c>
      <c r="P75" s="16" t="s">
        <v>153</v>
      </c>
      <c r="Q75" s="31"/>
    </row>
    <row r="76" spans="1:17" ht="17.100000000000001" customHeight="1">
      <c r="A76" s="22">
        <v>45671</v>
      </c>
      <c r="B76" s="15" t="s">
        <v>59</v>
      </c>
      <c r="C76" s="16" t="s">
        <v>172</v>
      </c>
      <c r="D76" s="15" t="s">
        <v>152</v>
      </c>
      <c r="E76" s="16" t="s">
        <v>48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40</v>
      </c>
      <c r="O76" s="16" t="s">
        <v>147</v>
      </c>
      <c r="P76" s="16" t="s">
        <v>153</v>
      </c>
      <c r="Q76" s="31"/>
    </row>
    <row r="77" spans="1:17" ht="17.100000000000001" customHeight="1">
      <c r="A77" s="22">
        <v>45671</v>
      </c>
      <c r="B77" s="15" t="s">
        <v>171</v>
      </c>
      <c r="C77" s="16" t="s">
        <v>172</v>
      </c>
      <c r="D77" s="16" t="s">
        <v>48</v>
      </c>
      <c r="E77" s="16" t="s">
        <v>48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250</v>
      </c>
      <c r="O77" s="16" t="s">
        <v>58</v>
      </c>
      <c r="P77" s="16" t="s">
        <v>173</v>
      </c>
      <c r="Q77" s="31"/>
    </row>
    <row r="78" spans="1:17" ht="17.100000000000001" customHeight="1">
      <c r="A78" s="22">
        <v>45671</v>
      </c>
      <c r="B78" s="15" t="s">
        <v>174</v>
      </c>
      <c r="C78" s="16" t="s">
        <v>172</v>
      </c>
      <c r="D78" s="16" t="s">
        <v>180</v>
      </c>
      <c r="E78" s="16" t="s">
        <v>176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27</v>
      </c>
      <c r="O78" s="16" t="s">
        <v>147</v>
      </c>
      <c r="P78" s="16" t="s">
        <v>175</v>
      </c>
      <c r="Q78" s="31"/>
    </row>
    <row r="79" spans="1:17" ht="17.100000000000001" customHeight="1">
      <c r="A79" s="22">
        <v>45671</v>
      </c>
      <c r="B79" s="15" t="s">
        <v>174</v>
      </c>
      <c r="C79" s="16" t="s">
        <v>172</v>
      </c>
      <c r="D79" s="16" t="s">
        <v>180</v>
      </c>
      <c r="E79" s="16" t="s">
        <v>177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54</v>
      </c>
      <c r="O79" s="16" t="s">
        <v>147</v>
      </c>
      <c r="P79" s="16" t="s">
        <v>175</v>
      </c>
      <c r="Q79" s="31"/>
    </row>
    <row r="80" spans="1:17" ht="17.100000000000001" customHeight="1">
      <c r="A80" s="22">
        <v>45671</v>
      </c>
      <c r="B80" s="15" t="s">
        <v>174</v>
      </c>
      <c r="C80" s="16" t="s">
        <v>172</v>
      </c>
      <c r="D80" s="16" t="s">
        <v>181</v>
      </c>
      <c r="E80" s="16" t="s">
        <v>178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27</v>
      </c>
      <c r="O80" s="16" t="s">
        <v>147</v>
      </c>
      <c r="P80" s="16" t="s">
        <v>175</v>
      </c>
      <c r="Q80" s="31"/>
    </row>
    <row r="81" spans="1:17" ht="17.100000000000001" customHeight="1">
      <c r="A81" s="22">
        <v>45671</v>
      </c>
      <c r="B81" s="15" t="s">
        <v>174</v>
      </c>
      <c r="C81" s="16" t="s">
        <v>172</v>
      </c>
      <c r="D81" s="16" t="s">
        <v>182</v>
      </c>
      <c r="E81" s="16" t="s">
        <v>179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54</v>
      </c>
      <c r="O81" s="16" t="s">
        <v>147</v>
      </c>
      <c r="P81" s="16" t="s">
        <v>175</v>
      </c>
      <c r="Q81" s="31"/>
    </row>
    <row r="82" spans="1:17" ht="17.100000000000001" customHeight="1">
      <c r="A82" s="22">
        <v>45671</v>
      </c>
      <c r="B82" s="15" t="s">
        <v>174</v>
      </c>
      <c r="C82" s="16" t="s">
        <v>172</v>
      </c>
      <c r="D82" s="16" t="s">
        <v>182</v>
      </c>
      <c r="E82" s="16" t="s">
        <v>183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27</v>
      </c>
      <c r="O82" s="16" t="s">
        <v>147</v>
      </c>
      <c r="P82" s="16" t="s">
        <v>175</v>
      </c>
      <c r="Q82" s="31"/>
    </row>
    <row r="83" spans="1:17" ht="17.100000000000001" customHeight="1">
      <c r="A83" s="22">
        <v>45671</v>
      </c>
      <c r="B83" s="15" t="s">
        <v>174</v>
      </c>
      <c r="C83" s="16" t="s">
        <v>172</v>
      </c>
      <c r="D83" s="16" t="s">
        <v>181</v>
      </c>
      <c r="E83" s="16" t="s">
        <v>184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54</v>
      </c>
      <c r="O83" s="16" t="s">
        <v>147</v>
      </c>
      <c r="P83" s="16" t="s">
        <v>175</v>
      </c>
      <c r="Q83" s="31"/>
    </row>
    <row r="84" spans="1:17" ht="17.100000000000001" customHeight="1">
      <c r="A84" s="22">
        <v>45671</v>
      </c>
      <c r="B84" s="15" t="s">
        <v>174</v>
      </c>
      <c r="C84" s="16" t="s">
        <v>172</v>
      </c>
      <c r="D84" s="16" t="s">
        <v>181</v>
      </c>
      <c r="E84" s="16" t="s">
        <v>185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27</v>
      </c>
      <c r="O84" s="16" t="s">
        <v>147</v>
      </c>
      <c r="P84" s="16" t="s">
        <v>175</v>
      </c>
      <c r="Q84" s="31"/>
    </row>
    <row r="85" spans="1:17" ht="17.100000000000001" customHeight="1">
      <c r="A85" s="22">
        <v>45671</v>
      </c>
      <c r="B85" s="15" t="s">
        <v>174</v>
      </c>
      <c r="C85" s="16" t="s">
        <v>172</v>
      </c>
      <c r="D85" s="16" t="s">
        <v>181</v>
      </c>
      <c r="E85" s="16" t="s">
        <v>186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53</v>
      </c>
      <c r="O85" s="16" t="s">
        <v>147</v>
      </c>
      <c r="P85" s="16" t="s">
        <v>175</v>
      </c>
      <c r="Q85" s="31"/>
    </row>
    <row r="86" spans="1:17" ht="17.100000000000001" customHeight="1">
      <c r="A86" s="22">
        <v>45671</v>
      </c>
      <c r="B86" s="15" t="s">
        <v>174</v>
      </c>
      <c r="C86" s="16" t="s">
        <v>172</v>
      </c>
      <c r="D86" s="16" t="s">
        <v>180</v>
      </c>
      <c r="E86" s="16" t="s">
        <v>187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54</v>
      </c>
      <c r="O86" s="16" t="s">
        <v>147</v>
      </c>
      <c r="P86" s="16" t="s">
        <v>175</v>
      </c>
      <c r="Q86" s="31"/>
    </row>
    <row r="87" spans="1:17" ht="17.100000000000001" customHeight="1">
      <c r="A87" s="22">
        <v>45671</v>
      </c>
      <c r="B87" s="15" t="s">
        <v>174</v>
      </c>
      <c r="C87" s="16" t="s">
        <v>172</v>
      </c>
      <c r="D87" s="16" t="s">
        <v>180</v>
      </c>
      <c r="E87" s="16" t="s">
        <v>188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27</v>
      </c>
      <c r="O87" s="16" t="s">
        <v>147</v>
      </c>
      <c r="P87" s="16" t="s">
        <v>175</v>
      </c>
      <c r="Q87" s="31"/>
    </row>
    <row r="88" spans="1:17" ht="17.100000000000001" customHeight="1">
      <c r="A88" s="22">
        <v>45671</v>
      </c>
      <c r="B88" s="15" t="s">
        <v>174</v>
      </c>
      <c r="C88" s="16" t="s">
        <v>172</v>
      </c>
      <c r="D88" s="16" t="s">
        <v>180</v>
      </c>
      <c r="E88" s="16" t="s">
        <v>189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46</v>
      </c>
      <c r="O88" s="16" t="s">
        <v>147</v>
      </c>
      <c r="P88" s="16" t="s">
        <v>175</v>
      </c>
      <c r="Q88" s="31"/>
    </row>
    <row r="89" spans="1:17" ht="17.100000000000001" customHeight="1">
      <c r="A89" s="22">
        <v>45672</v>
      </c>
      <c r="B89" s="15" t="s">
        <v>174</v>
      </c>
      <c r="C89" s="16" t="s">
        <v>190</v>
      </c>
      <c r="D89" s="16" t="s">
        <v>182</v>
      </c>
      <c r="E89" s="16" t="s">
        <v>191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27</v>
      </c>
      <c r="O89" s="16" t="s">
        <v>147</v>
      </c>
      <c r="P89" s="16" t="s">
        <v>175</v>
      </c>
      <c r="Q89" s="31"/>
    </row>
    <row r="90" spans="1:17" ht="17.100000000000001" customHeight="1">
      <c r="A90" s="22">
        <v>45672</v>
      </c>
      <c r="B90" s="15" t="s">
        <v>174</v>
      </c>
      <c r="C90" s="16" t="s">
        <v>190</v>
      </c>
      <c r="D90" s="16" t="s">
        <v>182</v>
      </c>
      <c r="E90" s="16" t="s">
        <v>189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4</v>
      </c>
      <c r="O90" s="16" t="s">
        <v>147</v>
      </c>
      <c r="P90" s="16" t="s">
        <v>175</v>
      </c>
      <c r="Q90" s="31"/>
    </row>
    <row r="91" spans="1:17" ht="17.100000000000001" customHeight="1">
      <c r="A91" s="22">
        <v>45672</v>
      </c>
      <c r="B91" s="15" t="s">
        <v>174</v>
      </c>
      <c r="C91" s="16" t="s">
        <v>190</v>
      </c>
      <c r="D91" s="16" t="s">
        <v>182</v>
      </c>
      <c r="E91" s="16" t="s">
        <v>192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19</v>
      </c>
      <c r="O91" s="16" t="s">
        <v>147</v>
      </c>
      <c r="P91" s="16" t="s">
        <v>175</v>
      </c>
      <c r="Q91" s="31"/>
    </row>
    <row r="92" spans="1:17" ht="17.100000000000001" customHeight="1">
      <c r="A92" s="22">
        <v>45672</v>
      </c>
      <c r="B92" s="15" t="s">
        <v>193</v>
      </c>
      <c r="C92" s="16" t="s">
        <v>190</v>
      </c>
      <c r="D92" s="16" t="s">
        <v>197</v>
      </c>
      <c r="E92" s="16" t="s">
        <v>192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8</v>
      </c>
      <c r="O92" s="16" t="s">
        <v>166</v>
      </c>
      <c r="P92" s="16" t="s">
        <v>194</v>
      </c>
      <c r="Q92" s="31"/>
    </row>
    <row r="93" spans="1:17" ht="17.100000000000001" customHeight="1">
      <c r="A93" s="22">
        <v>45672</v>
      </c>
      <c r="B93" s="15" t="s">
        <v>193</v>
      </c>
      <c r="C93" s="16" t="s">
        <v>190</v>
      </c>
      <c r="D93" s="16" t="s">
        <v>197</v>
      </c>
      <c r="E93" s="16" t="s">
        <v>195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54</v>
      </c>
      <c r="O93" s="16" t="s">
        <v>166</v>
      </c>
      <c r="P93" s="16" t="s">
        <v>194</v>
      </c>
      <c r="Q93" s="31"/>
    </row>
    <row r="94" spans="1:17" ht="17.100000000000001" customHeight="1">
      <c r="A94" s="22">
        <v>45672</v>
      </c>
      <c r="B94" s="15" t="s">
        <v>193</v>
      </c>
      <c r="C94" s="16" t="s">
        <v>190</v>
      </c>
      <c r="D94" s="16" t="s">
        <v>197</v>
      </c>
      <c r="E94" s="16" t="s">
        <v>196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54</v>
      </c>
      <c r="O94" s="16" t="s">
        <v>166</v>
      </c>
      <c r="P94" s="16" t="s">
        <v>194</v>
      </c>
      <c r="Q94" s="31"/>
    </row>
    <row r="95" spans="1:17" ht="17.100000000000001" customHeight="1">
      <c r="A95" s="22">
        <v>45672</v>
      </c>
      <c r="B95" s="15" t="s">
        <v>193</v>
      </c>
      <c r="C95" s="16" t="s">
        <v>190</v>
      </c>
      <c r="D95" s="16" t="s">
        <v>200</v>
      </c>
      <c r="E95" s="16" t="s">
        <v>198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54</v>
      </c>
      <c r="O95" s="16" t="s">
        <v>166</v>
      </c>
      <c r="P95" s="16" t="s">
        <v>194</v>
      </c>
      <c r="Q95" s="31"/>
    </row>
    <row r="96" spans="1:17" ht="17.100000000000001" customHeight="1">
      <c r="A96" s="22">
        <v>45672</v>
      </c>
      <c r="B96" s="15" t="s">
        <v>193</v>
      </c>
      <c r="C96" s="16" t="s">
        <v>190</v>
      </c>
      <c r="D96" s="16" t="s">
        <v>200</v>
      </c>
      <c r="E96" s="16" t="s">
        <v>199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54</v>
      </c>
      <c r="O96" s="16" t="s">
        <v>166</v>
      </c>
      <c r="P96" s="16" t="s">
        <v>194</v>
      </c>
      <c r="Q96" s="31"/>
    </row>
    <row r="97" spans="1:17" ht="17.100000000000001" customHeight="1">
      <c r="A97" s="22">
        <v>45672</v>
      </c>
      <c r="B97" s="15" t="s">
        <v>193</v>
      </c>
      <c r="C97" s="16" t="s">
        <v>190</v>
      </c>
      <c r="D97" s="16" t="s">
        <v>200</v>
      </c>
      <c r="E97" s="16" t="s">
        <v>201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54</v>
      </c>
      <c r="O97" s="16" t="s">
        <v>166</v>
      </c>
      <c r="P97" s="16" t="s">
        <v>194</v>
      </c>
      <c r="Q97" s="31"/>
    </row>
    <row r="98" spans="1:17" ht="17.100000000000001" customHeight="1">
      <c r="A98" s="22">
        <v>45672</v>
      </c>
      <c r="B98" s="15" t="s">
        <v>193</v>
      </c>
      <c r="C98" s="16" t="s">
        <v>190</v>
      </c>
      <c r="D98" s="16" t="s">
        <v>200</v>
      </c>
      <c r="E98" s="16" t="s">
        <v>202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54</v>
      </c>
      <c r="O98" s="16" t="s">
        <v>166</v>
      </c>
      <c r="P98" s="16" t="s">
        <v>194</v>
      </c>
      <c r="Q98" s="31"/>
    </row>
    <row r="99" spans="1:17" ht="17.100000000000001" customHeight="1">
      <c r="A99" s="22">
        <v>45672</v>
      </c>
      <c r="B99" s="15" t="s">
        <v>193</v>
      </c>
      <c r="C99" s="16" t="s">
        <v>190</v>
      </c>
      <c r="D99" s="16" t="s">
        <v>197</v>
      </c>
      <c r="E99" s="16" t="s">
        <v>203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27</v>
      </c>
      <c r="O99" s="16" t="s">
        <v>166</v>
      </c>
      <c r="P99" s="16" t="s">
        <v>194</v>
      </c>
      <c r="Q99" s="31"/>
    </row>
    <row r="100" spans="1:17" ht="17.100000000000001" customHeight="1">
      <c r="A100" s="22">
        <v>45672</v>
      </c>
      <c r="B100" s="15" t="s">
        <v>193</v>
      </c>
      <c r="C100" s="16" t="s">
        <v>190</v>
      </c>
      <c r="D100" s="16" t="s">
        <v>197</v>
      </c>
      <c r="E100" s="16" t="s">
        <v>204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27</v>
      </c>
      <c r="O100" s="16" t="s">
        <v>166</v>
      </c>
      <c r="P100" s="16" t="s">
        <v>194</v>
      </c>
      <c r="Q100" s="31"/>
    </row>
    <row r="101" spans="1:17" ht="17.100000000000001" customHeight="1">
      <c r="A101" s="22">
        <v>45672</v>
      </c>
      <c r="B101" s="15" t="s">
        <v>193</v>
      </c>
      <c r="C101" s="16" t="s">
        <v>190</v>
      </c>
      <c r="D101" s="16" t="s">
        <v>197</v>
      </c>
      <c r="E101" s="16" t="s">
        <v>205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27</v>
      </c>
      <c r="O101" s="16" t="s">
        <v>166</v>
      </c>
      <c r="P101" s="16" t="s">
        <v>194</v>
      </c>
      <c r="Q101" s="31"/>
    </row>
    <row r="102" spans="1:17" ht="17.100000000000001" customHeight="1">
      <c r="A102" s="22">
        <v>45672</v>
      </c>
      <c r="B102" s="15" t="s">
        <v>193</v>
      </c>
      <c r="C102" s="16" t="s">
        <v>190</v>
      </c>
      <c r="D102" s="16" t="s">
        <v>197</v>
      </c>
      <c r="E102" s="16" t="s">
        <v>206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27</v>
      </c>
      <c r="O102" s="16" t="s">
        <v>166</v>
      </c>
      <c r="P102" s="16" t="s">
        <v>194</v>
      </c>
      <c r="Q102" s="31"/>
    </row>
    <row r="103" spans="1:17" ht="17.100000000000001" customHeight="1">
      <c r="A103" s="22">
        <v>45672</v>
      </c>
      <c r="B103" s="15" t="s">
        <v>193</v>
      </c>
      <c r="C103" s="16" t="s">
        <v>190</v>
      </c>
      <c r="D103" s="16" t="s">
        <v>197</v>
      </c>
      <c r="E103" s="16" t="s">
        <v>207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20</v>
      </c>
      <c r="O103" s="16" t="s">
        <v>166</v>
      </c>
      <c r="P103" s="16" t="s">
        <v>194</v>
      </c>
      <c r="Q103" s="31"/>
    </row>
    <row r="104" spans="1:17" ht="17.100000000000001" customHeight="1">
      <c r="A104" s="22">
        <v>45673</v>
      </c>
      <c r="B104" s="15" t="s">
        <v>193</v>
      </c>
      <c r="C104" s="16" t="s">
        <v>209</v>
      </c>
      <c r="D104" s="16" t="s">
        <v>197</v>
      </c>
      <c r="E104" s="16" t="s">
        <v>207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17</v>
      </c>
      <c r="O104" s="16" t="s">
        <v>166</v>
      </c>
      <c r="P104" s="16" t="s">
        <v>194</v>
      </c>
      <c r="Q104" s="31"/>
    </row>
    <row r="105" spans="1:17" ht="17.100000000000001" customHeight="1">
      <c r="A105" s="22">
        <v>45673</v>
      </c>
      <c r="B105" s="15" t="s">
        <v>193</v>
      </c>
      <c r="C105" s="16" t="s">
        <v>209</v>
      </c>
      <c r="D105" s="16" t="s">
        <v>197</v>
      </c>
      <c r="E105" s="16" t="s">
        <v>206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27</v>
      </c>
      <c r="O105" s="16" t="s">
        <v>166</v>
      </c>
      <c r="P105" s="16" t="s">
        <v>194</v>
      </c>
      <c r="Q105" s="31"/>
    </row>
    <row r="106" spans="1:17" ht="17.100000000000001" customHeight="1">
      <c r="A106" s="22">
        <v>45673</v>
      </c>
      <c r="B106" s="15" t="s">
        <v>193</v>
      </c>
      <c r="C106" s="16" t="s">
        <v>209</v>
      </c>
      <c r="D106" s="16" t="s">
        <v>197</v>
      </c>
      <c r="E106" s="16" t="s">
        <v>208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6</v>
      </c>
      <c r="O106" s="16" t="s">
        <v>166</v>
      </c>
      <c r="P106" s="16" t="s">
        <v>194</v>
      </c>
      <c r="Q106" s="31"/>
    </row>
    <row r="107" spans="1:17" ht="17.100000000000001" customHeight="1">
      <c r="A107" s="22">
        <v>45673</v>
      </c>
      <c r="B107" s="15" t="s">
        <v>68</v>
      </c>
      <c r="C107" s="16" t="s">
        <v>209</v>
      </c>
      <c r="D107" s="16" t="s">
        <v>48</v>
      </c>
      <c r="E107" s="16" t="s">
        <v>48</v>
      </c>
      <c r="F107" s="16" t="s">
        <v>210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75</v>
      </c>
      <c r="O107" s="16" t="s">
        <v>211</v>
      </c>
      <c r="P107" s="16"/>
      <c r="Q107" s="31"/>
    </row>
    <row r="108" spans="1:17" ht="17.100000000000001" customHeight="1">
      <c r="A108" s="22">
        <v>45673</v>
      </c>
      <c r="B108" s="15" t="s">
        <v>71</v>
      </c>
      <c r="C108" s="16" t="s">
        <v>209</v>
      </c>
      <c r="D108" s="16" t="s">
        <v>48</v>
      </c>
      <c r="E108" s="16" t="s">
        <v>48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400</v>
      </c>
      <c r="O108" s="16" t="s">
        <v>81</v>
      </c>
      <c r="P108" s="16" t="s">
        <v>212</v>
      </c>
      <c r="Q108" s="31"/>
    </row>
    <row r="109" spans="1:17" ht="17.100000000000001" customHeight="1">
      <c r="A109" s="22">
        <v>45673</v>
      </c>
      <c r="B109" s="15" t="s">
        <v>214</v>
      </c>
      <c r="C109" s="16" t="s">
        <v>209</v>
      </c>
      <c r="D109" s="16" t="s">
        <v>48</v>
      </c>
      <c r="E109" s="16" t="s">
        <v>48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750</v>
      </c>
      <c r="O109" s="16" t="s">
        <v>211</v>
      </c>
      <c r="P109" s="16" t="s">
        <v>213</v>
      </c>
      <c r="Q109" s="31"/>
    </row>
    <row r="110" spans="1:17" ht="17.100000000000001" customHeight="1">
      <c r="A110" s="22">
        <v>45674</v>
      </c>
      <c r="B110" s="15" t="s">
        <v>214</v>
      </c>
      <c r="C110" s="16" t="s">
        <v>215</v>
      </c>
      <c r="D110" s="16" t="s">
        <v>48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850</v>
      </c>
      <c r="O110" s="16" t="s">
        <v>166</v>
      </c>
      <c r="P110" s="16" t="s">
        <v>213</v>
      </c>
      <c r="Q110" s="31"/>
    </row>
    <row r="111" spans="1:17" ht="17.100000000000001" customHeight="1">
      <c r="A111" s="22">
        <v>45674</v>
      </c>
      <c r="B111" s="15" t="s">
        <v>217</v>
      </c>
      <c r="C111" s="16" t="s">
        <v>215</v>
      </c>
      <c r="D111" s="16" t="s">
        <v>48</v>
      </c>
      <c r="E111" s="16" t="s">
        <v>48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1500</v>
      </c>
      <c r="O111" s="16" t="s">
        <v>166</v>
      </c>
      <c r="P111" s="16" t="s">
        <v>216</v>
      </c>
      <c r="Q111" s="31"/>
    </row>
    <row r="112" spans="1:17" ht="17.100000000000001" customHeight="1">
      <c r="A112" s="22">
        <v>45674</v>
      </c>
      <c r="B112" s="15" t="s">
        <v>39</v>
      </c>
      <c r="C112" s="16" t="s">
        <v>215</v>
      </c>
      <c r="D112" s="16" t="s">
        <v>48</v>
      </c>
      <c r="E112" s="16" t="s">
        <v>48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48</v>
      </c>
      <c r="N112" s="16">
        <v>100</v>
      </c>
      <c r="O112" s="16" t="s">
        <v>55</v>
      </c>
      <c r="P112" s="16" t="s">
        <v>218</v>
      </c>
      <c r="Q112" s="31"/>
    </row>
    <row r="113" spans="1:17" ht="17.100000000000001" customHeight="1">
      <c r="A113" s="22">
        <v>45674</v>
      </c>
      <c r="B113" s="15" t="s">
        <v>220</v>
      </c>
      <c r="C113" s="16" t="s">
        <v>215</v>
      </c>
      <c r="D113" s="16" t="s">
        <v>48</v>
      </c>
      <c r="E113" s="16" t="s">
        <v>48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90</v>
      </c>
      <c r="O113" s="16" t="s">
        <v>166</v>
      </c>
      <c r="P113" s="16" t="s">
        <v>219</v>
      </c>
      <c r="Q113" s="31"/>
    </row>
    <row r="114" spans="1:17" ht="17.100000000000001" customHeight="1">
      <c r="A114" s="22">
        <v>45674</v>
      </c>
      <c r="B114" s="15" t="s">
        <v>222</v>
      </c>
      <c r="C114" s="16" t="s">
        <v>215</v>
      </c>
      <c r="D114" s="16" t="s">
        <v>48</v>
      </c>
      <c r="E114" s="16" t="s">
        <v>48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56</v>
      </c>
      <c r="O114" s="16" t="s">
        <v>55</v>
      </c>
      <c r="P114" s="16" t="s">
        <v>221</v>
      </c>
      <c r="Q114" s="31"/>
    </row>
    <row r="115" spans="1:17" ht="17.100000000000001" customHeight="1">
      <c r="A115" s="22">
        <v>45674</v>
      </c>
      <c r="B115" s="15" t="s">
        <v>224</v>
      </c>
      <c r="C115" s="16" t="s">
        <v>215</v>
      </c>
      <c r="D115" s="16" t="s">
        <v>48</v>
      </c>
      <c r="E115" s="16" t="s">
        <v>48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30</v>
      </c>
      <c r="O115" s="16" t="s">
        <v>55</v>
      </c>
      <c r="P115" s="16" t="s">
        <v>223</v>
      </c>
      <c r="Q115" s="31"/>
    </row>
    <row r="116" spans="1:17" ht="17.100000000000001" customHeight="1">
      <c r="A116" s="22">
        <v>45681</v>
      </c>
      <c r="B116" s="15" t="s">
        <v>222</v>
      </c>
      <c r="C116" s="16" t="s">
        <v>225</v>
      </c>
      <c r="D116" s="16" t="s">
        <v>48</v>
      </c>
      <c r="E116" s="16" t="s">
        <v>48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226</v>
      </c>
      <c r="N116" s="16">
        <v>73</v>
      </c>
      <c r="O116" s="16" t="s">
        <v>211</v>
      </c>
      <c r="P116" s="16" t="s">
        <v>228</v>
      </c>
      <c r="Q116" s="31"/>
    </row>
    <row r="117" spans="1:17" ht="17.100000000000001" customHeight="1">
      <c r="A117" s="22">
        <v>45681</v>
      </c>
      <c r="B117" s="15" t="s">
        <v>222</v>
      </c>
      <c r="C117" s="16" t="s">
        <v>225</v>
      </c>
      <c r="D117" s="16" t="s">
        <v>48</v>
      </c>
      <c r="E117" s="16" t="s">
        <v>48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227</v>
      </c>
      <c r="N117" s="16">
        <v>37</v>
      </c>
      <c r="O117" s="16" t="s">
        <v>211</v>
      </c>
      <c r="P117" s="16" t="s">
        <v>228</v>
      </c>
      <c r="Q117" s="31"/>
    </row>
    <row r="118" spans="1:17" ht="17.100000000000001" customHeight="1">
      <c r="A118" s="22">
        <v>45681</v>
      </c>
      <c r="B118" s="15" t="s">
        <v>59</v>
      </c>
      <c r="C118" s="16" t="s">
        <v>225</v>
      </c>
      <c r="D118" s="16" t="s">
        <v>142</v>
      </c>
      <c r="E118" s="16" t="s">
        <v>48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20</v>
      </c>
      <c r="O118" s="16" t="s">
        <v>230</v>
      </c>
      <c r="P118" s="16" t="s">
        <v>229</v>
      </c>
      <c r="Q118" s="31"/>
    </row>
    <row r="119" spans="1:17" ht="17.100000000000001" customHeight="1">
      <c r="A119" s="22">
        <v>45681</v>
      </c>
      <c r="B119" s="15" t="s">
        <v>59</v>
      </c>
      <c r="C119" s="16" t="s">
        <v>225</v>
      </c>
      <c r="D119" s="16" t="s">
        <v>227</v>
      </c>
      <c r="E119" s="16" t="s">
        <v>48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100</v>
      </c>
      <c r="O119" s="16" t="s">
        <v>230</v>
      </c>
      <c r="P119" s="16" t="s">
        <v>229</v>
      </c>
      <c r="Q119" s="31"/>
    </row>
    <row r="120" spans="1:17" ht="17.100000000000001" customHeight="1">
      <c r="A120" s="22">
        <v>45681</v>
      </c>
      <c r="B120" s="15" t="s">
        <v>71</v>
      </c>
      <c r="C120" s="16" t="s">
        <v>225</v>
      </c>
      <c r="D120" s="16" t="s">
        <v>48</v>
      </c>
      <c r="E120" s="16" t="s">
        <v>48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100</v>
      </c>
      <c r="O120" s="16" t="s">
        <v>230</v>
      </c>
      <c r="P120" s="16" t="s">
        <v>231</v>
      </c>
      <c r="Q120" s="31"/>
    </row>
    <row r="121" spans="1:17" ht="17.100000000000001" customHeight="1">
      <c r="A121" s="22">
        <v>45681</v>
      </c>
      <c r="B121" s="15" t="s">
        <v>234</v>
      </c>
      <c r="C121" s="16" t="s">
        <v>225</v>
      </c>
      <c r="D121" s="16" t="s">
        <v>48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4</v>
      </c>
      <c r="O121" s="16" t="s">
        <v>233</v>
      </c>
      <c r="P121" s="16" t="s">
        <v>232</v>
      </c>
      <c r="Q121" s="31"/>
    </row>
    <row r="122" spans="1:17" ht="17.100000000000001" customHeight="1">
      <c r="A122" s="22">
        <v>45681</v>
      </c>
      <c r="B122" s="15" t="s">
        <v>235</v>
      </c>
      <c r="C122" s="16" t="s">
        <v>225</v>
      </c>
      <c r="D122" s="16" t="s">
        <v>48</v>
      </c>
      <c r="E122" s="16" t="s">
        <v>48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237</v>
      </c>
      <c r="N122" s="16">
        <v>120</v>
      </c>
      <c r="O122" s="16" t="s">
        <v>230</v>
      </c>
      <c r="P122" s="16" t="s">
        <v>236</v>
      </c>
      <c r="Q122" s="31"/>
    </row>
    <row r="123" spans="1:17" ht="17.100000000000001" customHeight="1" thickBot="1">
      <c r="A123" s="22">
        <v>45681</v>
      </c>
      <c r="B123" s="19" t="s">
        <v>239</v>
      </c>
      <c r="C123" s="16" t="s">
        <v>225</v>
      </c>
      <c r="D123" s="16" t="s">
        <v>48</v>
      </c>
      <c r="E123" s="16" t="s">
        <v>48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240</v>
      </c>
      <c r="N123" s="20">
        <v>10</v>
      </c>
      <c r="O123" s="16" t="s">
        <v>55</v>
      </c>
      <c r="P123" s="16" t="s">
        <v>238</v>
      </c>
      <c r="Q123" s="31"/>
    </row>
    <row r="124" spans="1:17" ht="17.100000000000001" customHeight="1">
      <c r="A124" s="21">
        <v>45684</v>
      </c>
      <c r="B124" s="15" t="s">
        <v>174</v>
      </c>
      <c r="C124" s="16" t="s">
        <v>241</v>
      </c>
      <c r="D124" s="16" t="s">
        <v>253</v>
      </c>
      <c r="E124" s="16" t="s">
        <v>242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54</v>
      </c>
      <c r="O124" s="16" t="s">
        <v>255</v>
      </c>
      <c r="P124" s="16" t="s">
        <v>256</v>
      </c>
      <c r="Q124" s="31"/>
    </row>
    <row r="125" spans="1:17" ht="17.100000000000001" customHeight="1">
      <c r="A125" s="21">
        <v>45684</v>
      </c>
      <c r="B125" s="15" t="s">
        <v>174</v>
      </c>
      <c r="C125" s="16" t="s">
        <v>241</v>
      </c>
      <c r="D125" s="16" t="s">
        <v>253</v>
      </c>
      <c r="E125" s="16" t="s">
        <v>243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54</v>
      </c>
      <c r="O125" s="16" t="s">
        <v>255</v>
      </c>
      <c r="P125" s="16" t="s">
        <v>256</v>
      </c>
      <c r="Q125" s="31"/>
    </row>
    <row r="126" spans="1:17" ht="17.100000000000001" customHeight="1">
      <c r="A126" s="21">
        <v>45684</v>
      </c>
      <c r="B126" s="15" t="s">
        <v>174</v>
      </c>
      <c r="C126" s="16" t="s">
        <v>241</v>
      </c>
      <c r="D126" s="16" t="s">
        <v>253</v>
      </c>
      <c r="E126" s="16" t="s">
        <v>244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54</v>
      </c>
      <c r="O126" s="16" t="s">
        <v>255</v>
      </c>
      <c r="P126" s="16" t="s">
        <v>256</v>
      </c>
      <c r="Q126" s="31"/>
    </row>
    <row r="127" spans="1:17" ht="17.100000000000001" customHeight="1">
      <c r="A127" s="21">
        <v>45684</v>
      </c>
      <c r="B127" s="15" t="s">
        <v>174</v>
      </c>
      <c r="C127" s="16" t="s">
        <v>241</v>
      </c>
      <c r="D127" s="16" t="s">
        <v>253</v>
      </c>
      <c r="E127" s="16" t="s">
        <v>245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54</v>
      </c>
      <c r="O127" s="16" t="s">
        <v>255</v>
      </c>
      <c r="P127" s="16" t="s">
        <v>256</v>
      </c>
      <c r="Q127" s="31"/>
    </row>
    <row r="128" spans="1:17" ht="17.100000000000001" customHeight="1">
      <c r="A128" s="21">
        <v>45684</v>
      </c>
      <c r="B128" s="15" t="s">
        <v>174</v>
      </c>
      <c r="C128" s="16" t="s">
        <v>241</v>
      </c>
      <c r="D128" s="16" t="s">
        <v>253</v>
      </c>
      <c r="E128" s="16" t="s">
        <v>246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54</v>
      </c>
      <c r="O128" s="16" t="s">
        <v>255</v>
      </c>
      <c r="P128" s="16" t="s">
        <v>256</v>
      </c>
      <c r="Q128" s="31"/>
    </row>
    <row r="129" spans="1:17" ht="17.100000000000001" customHeight="1">
      <c r="A129" s="21">
        <v>45684</v>
      </c>
      <c r="B129" s="15" t="s">
        <v>174</v>
      </c>
      <c r="C129" s="16" t="s">
        <v>241</v>
      </c>
      <c r="D129" s="16" t="s">
        <v>253</v>
      </c>
      <c r="E129" s="16" t="s">
        <v>247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27</v>
      </c>
      <c r="O129" s="16" t="s">
        <v>255</v>
      </c>
      <c r="P129" s="16" t="s">
        <v>256</v>
      </c>
      <c r="Q129" s="31"/>
    </row>
    <row r="130" spans="1:17" ht="17.100000000000001" customHeight="1">
      <c r="A130" s="21">
        <v>45684</v>
      </c>
      <c r="B130" s="15" t="s">
        <v>174</v>
      </c>
      <c r="C130" s="16" t="s">
        <v>241</v>
      </c>
      <c r="D130" s="16" t="s">
        <v>253</v>
      </c>
      <c r="E130" s="16" t="s">
        <v>249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54</v>
      </c>
      <c r="O130" s="16" t="s">
        <v>255</v>
      </c>
      <c r="P130" s="16" t="s">
        <v>256</v>
      </c>
      <c r="Q130" s="31"/>
    </row>
    <row r="131" spans="1:17" ht="17.100000000000001" customHeight="1">
      <c r="A131" s="21">
        <v>45684</v>
      </c>
      <c r="B131" s="15" t="s">
        <v>174</v>
      </c>
      <c r="C131" s="16" t="s">
        <v>241</v>
      </c>
      <c r="D131" s="16" t="s">
        <v>254</v>
      </c>
      <c r="E131" s="16" t="s">
        <v>248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54</v>
      </c>
      <c r="O131" s="16" t="s">
        <v>255</v>
      </c>
      <c r="P131" s="16" t="s">
        <v>256</v>
      </c>
      <c r="Q131" s="31"/>
    </row>
    <row r="132" spans="1:17" ht="17.100000000000001" customHeight="1">
      <c r="A132" s="21">
        <v>45684</v>
      </c>
      <c r="B132" s="15" t="s">
        <v>174</v>
      </c>
      <c r="C132" s="16" t="s">
        <v>241</v>
      </c>
      <c r="D132" s="16" t="s">
        <v>254</v>
      </c>
      <c r="E132" s="16" t="s">
        <v>250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54</v>
      </c>
      <c r="O132" s="16" t="s">
        <v>255</v>
      </c>
      <c r="P132" s="16" t="s">
        <v>256</v>
      </c>
      <c r="Q132" s="31"/>
    </row>
    <row r="133" spans="1:17" ht="17.100000000000001" customHeight="1">
      <c r="A133" s="21">
        <v>45684</v>
      </c>
      <c r="B133" s="15" t="s">
        <v>174</v>
      </c>
      <c r="C133" s="16" t="s">
        <v>241</v>
      </c>
      <c r="D133" s="16" t="s">
        <v>254</v>
      </c>
      <c r="E133" s="16" t="s">
        <v>251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27</v>
      </c>
      <c r="O133" s="16" t="s">
        <v>255</v>
      </c>
      <c r="P133" s="16" t="s">
        <v>256</v>
      </c>
      <c r="Q133" s="31"/>
    </row>
    <row r="134" spans="1:17" ht="17.100000000000001" customHeight="1">
      <c r="A134" s="21">
        <v>45684</v>
      </c>
      <c r="B134" s="15" t="s">
        <v>174</v>
      </c>
      <c r="C134" s="16" t="s">
        <v>241</v>
      </c>
      <c r="D134" s="16" t="s">
        <v>254</v>
      </c>
      <c r="E134" s="16" t="s">
        <v>252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14</v>
      </c>
      <c r="O134" s="16" t="s">
        <v>255</v>
      </c>
      <c r="P134" s="16" t="s">
        <v>256</v>
      </c>
      <c r="Q134" s="31"/>
    </row>
    <row r="135" spans="1:17" ht="17.100000000000001" customHeight="1">
      <c r="A135" s="21">
        <v>45684</v>
      </c>
      <c r="B135" s="15" t="s">
        <v>257</v>
      </c>
      <c r="C135" s="16" t="s">
        <v>241</v>
      </c>
      <c r="D135" s="16" t="s">
        <v>48</v>
      </c>
      <c r="E135" s="16" t="s">
        <v>48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258</v>
      </c>
      <c r="N135" s="16">
        <v>1</v>
      </c>
      <c r="O135" s="16" t="s">
        <v>259</v>
      </c>
      <c r="P135" s="16" t="s">
        <v>260</v>
      </c>
      <c r="Q135" s="31"/>
    </row>
    <row r="136" spans="1:17" ht="17.100000000000001" customHeight="1">
      <c r="A136" s="21">
        <v>45684</v>
      </c>
      <c r="B136" s="15" t="s">
        <v>261</v>
      </c>
      <c r="C136" s="16" t="s">
        <v>241</v>
      </c>
      <c r="D136" s="16" t="s">
        <v>262</v>
      </c>
      <c r="E136" s="16" t="s">
        <v>48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75</v>
      </c>
      <c r="O136" s="16" t="s">
        <v>263</v>
      </c>
      <c r="P136" s="16"/>
      <c r="Q136" s="31"/>
    </row>
    <row r="137" spans="1:17" ht="17.100000000000001" customHeight="1">
      <c r="A137" s="21">
        <v>45685</v>
      </c>
      <c r="B137" s="15" t="s">
        <v>261</v>
      </c>
      <c r="C137" s="16" t="s">
        <v>264</v>
      </c>
      <c r="D137" s="16" t="s">
        <v>262</v>
      </c>
      <c r="E137" s="16" t="s">
        <v>48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v>25</v>
      </c>
      <c r="O137" s="16" t="s">
        <v>267</v>
      </c>
      <c r="P137" s="16"/>
      <c r="Q137" s="31"/>
    </row>
    <row r="138" spans="1:17" ht="17.100000000000001" customHeight="1">
      <c r="A138" s="21">
        <v>45685</v>
      </c>
      <c r="B138" s="15" t="s">
        <v>261</v>
      </c>
      <c r="C138" s="16" t="s">
        <v>264</v>
      </c>
      <c r="D138" s="16" t="s">
        <v>265</v>
      </c>
      <c r="E138" s="16" t="s">
        <v>48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100</v>
      </c>
      <c r="O138" s="16" t="s">
        <v>267</v>
      </c>
      <c r="P138" s="16"/>
      <c r="Q138" s="31"/>
    </row>
    <row r="139" spans="1:17" ht="17.100000000000001" customHeight="1">
      <c r="A139" s="21">
        <v>45685</v>
      </c>
      <c r="B139" s="15" t="s">
        <v>261</v>
      </c>
      <c r="C139" s="16" t="s">
        <v>264</v>
      </c>
      <c r="D139" s="16" t="s">
        <v>266</v>
      </c>
      <c r="E139" s="16" t="s">
        <v>48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100</v>
      </c>
      <c r="O139" s="16" t="s">
        <v>267</v>
      </c>
      <c r="P139" s="16"/>
      <c r="Q139" s="31"/>
    </row>
    <row r="140" spans="1:17" ht="17.100000000000001" customHeight="1">
      <c r="A140" s="21">
        <v>45685</v>
      </c>
      <c r="B140" s="15" t="s">
        <v>261</v>
      </c>
      <c r="C140" s="16" t="s">
        <v>264</v>
      </c>
      <c r="D140" s="16" t="s">
        <v>262</v>
      </c>
      <c r="E140" s="16" t="s">
        <v>48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100</v>
      </c>
      <c r="O140" s="16" t="s">
        <v>267</v>
      </c>
      <c r="P140" s="16"/>
      <c r="Q140" s="31"/>
    </row>
    <row r="141" spans="1:17" ht="17.100000000000001" customHeight="1">
      <c r="A141" s="21">
        <v>45685</v>
      </c>
      <c r="B141" s="15" t="s">
        <v>268</v>
      </c>
      <c r="C141" s="16" t="s">
        <v>264</v>
      </c>
      <c r="D141" s="16" t="s">
        <v>269</v>
      </c>
      <c r="E141" s="16" t="s">
        <v>48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100</v>
      </c>
      <c r="O141" s="16" t="s">
        <v>267</v>
      </c>
      <c r="P141" s="16"/>
      <c r="Q141" s="31"/>
    </row>
    <row r="142" spans="1:17" ht="17.100000000000001" customHeight="1">
      <c r="A142" s="21">
        <v>45686</v>
      </c>
      <c r="B142" s="15" t="s">
        <v>29</v>
      </c>
      <c r="C142" s="16" t="s">
        <v>270</v>
      </c>
      <c r="D142" s="16" t="s">
        <v>271</v>
      </c>
      <c r="E142" s="16" t="s">
        <v>48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100</v>
      </c>
      <c r="O142" s="16" t="s">
        <v>273</v>
      </c>
      <c r="P142" s="16" t="s">
        <v>274</v>
      </c>
      <c r="Q142" s="31"/>
    </row>
    <row r="143" spans="1:17" ht="17.100000000000001" customHeight="1">
      <c r="A143" s="21">
        <v>45686</v>
      </c>
      <c r="B143" s="15" t="s">
        <v>29</v>
      </c>
      <c r="C143" s="16" t="s">
        <v>270</v>
      </c>
      <c r="D143" s="16" t="s">
        <v>272</v>
      </c>
      <c r="E143" s="16" t="s">
        <v>48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50</v>
      </c>
      <c r="O143" s="16" t="s">
        <v>273</v>
      </c>
      <c r="P143" s="16" t="s">
        <v>274</v>
      </c>
      <c r="Q143" s="31"/>
    </row>
    <row r="144" spans="1:17" ht="17.100000000000001" customHeight="1">
      <c r="A144" s="21">
        <v>45686</v>
      </c>
      <c r="B144" s="15" t="s">
        <v>174</v>
      </c>
      <c r="C144" s="16" t="s">
        <v>270</v>
      </c>
      <c r="D144" s="16" t="s">
        <v>266</v>
      </c>
      <c r="E144" s="16" t="s">
        <v>252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>
        <v>54</v>
      </c>
      <c r="O144" s="16" t="s">
        <v>230</v>
      </c>
      <c r="P144" s="16" t="s">
        <v>286</v>
      </c>
      <c r="Q144" s="31"/>
    </row>
    <row r="145" spans="1:17" ht="17.100000000000001" customHeight="1">
      <c r="A145" s="21">
        <v>45686</v>
      </c>
      <c r="B145" s="15" t="s">
        <v>174</v>
      </c>
      <c r="C145" s="16" t="s">
        <v>270</v>
      </c>
      <c r="D145" s="16" t="s">
        <v>266</v>
      </c>
      <c r="E145" s="16" t="s">
        <v>275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16">
        <v>54</v>
      </c>
      <c r="O145" s="16" t="s">
        <v>230</v>
      </c>
      <c r="P145" s="16" t="s">
        <v>286</v>
      </c>
      <c r="Q145" s="31"/>
    </row>
    <row r="146" spans="1:17" ht="17.100000000000001" customHeight="1">
      <c r="A146" s="21">
        <v>45686</v>
      </c>
      <c r="B146" s="15" t="s">
        <v>174</v>
      </c>
      <c r="C146" s="16" t="s">
        <v>270</v>
      </c>
      <c r="D146" s="16" t="s">
        <v>284</v>
      </c>
      <c r="E146" s="16" t="s">
        <v>276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27</v>
      </c>
      <c r="O146" s="16" t="s">
        <v>230</v>
      </c>
      <c r="P146" s="16" t="s">
        <v>286</v>
      </c>
      <c r="Q146" s="31"/>
    </row>
    <row r="147" spans="1:17" ht="17.100000000000001" customHeight="1">
      <c r="A147" s="21">
        <v>45686</v>
      </c>
      <c r="B147" s="15" t="s">
        <v>174</v>
      </c>
      <c r="C147" s="16" t="s">
        <v>270</v>
      </c>
      <c r="D147" s="16" t="s">
        <v>284</v>
      </c>
      <c r="E147" s="16" t="s">
        <v>277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54</v>
      </c>
      <c r="O147" s="16" t="s">
        <v>230</v>
      </c>
      <c r="P147" s="16" t="s">
        <v>286</v>
      </c>
      <c r="Q147" s="31"/>
    </row>
    <row r="148" spans="1:17" ht="17.100000000000001" customHeight="1">
      <c r="A148" s="21">
        <v>45686</v>
      </c>
      <c r="B148" s="15" t="s">
        <v>174</v>
      </c>
      <c r="C148" s="16" t="s">
        <v>270</v>
      </c>
      <c r="D148" s="16" t="s">
        <v>284</v>
      </c>
      <c r="E148" s="16" t="s">
        <v>278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27</v>
      </c>
      <c r="O148" s="16" t="s">
        <v>230</v>
      </c>
      <c r="P148" s="16" t="s">
        <v>286</v>
      </c>
      <c r="Q148" s="31"/>
    </row>
    <row r="149" spans="1:17" ht="17.100000000000001" customHeight="1">
      <c r="A149" s="21">
        <v>45686</v>
      </c>
      <c r="B149" s="15" t="s">
        <v>174</v>
      </c>
      <c r="C149" s="16" t="s">
        <v>270</v>
      </c>
      <c r="D149" s="16" t="s">
        <v>265</v>
      </c>
      <c r="E149" s="16" t="s">
        <v>279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48</v>
      </c>
      <c r="N149" s="16">
        <v>54</v>
      </c>
      <c r="O149" s="16" t="s">
        <v>230</v>
      </c>
      <c r="P149" s="16" t="s">
        <v>286</v>
      </c>
      <c r="Q149" s="31"/>
    </row>
    <row r="150" spans="1:17" ht="17.100000000000001" customHeight="1">
      <c r="A150" s="21">
        <v>45686</v>
      </c>
      <c r="B150" s="15" t="s">
        <v>174</v>
      </c>
      <c r="C150" s="16" t="s">
        <v>270</v>
      </c>
      <c r="D150" s="16" t="s">
        <v>265</v>
      </c>
      <c r="E150" s="16" t="s">
        <v>245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27</v>
      </c>
      <c r="O150" s="16" t="s">
        <v>230</v>
      </c>
      <c r="P150" s="16" t="s">
        <v>286</v>
      </c>
      <c r="Q150" s="31"/>
    </row>
    <row r="151" spans="1:17" ht="17.100000000000001" customHeight="1">
      <c r="A151" s="21">
        <v>45686</v>
      </c>
      <c r="B151" s="15" t="s">
        <v>174</v>
      </c>
      <c r="C151" s="16" t="s">
        <v>270</v>
      </c>
      <c r="D151" s="16" t="s">
        <v>265</v>
      </c>
      <c r="E151" s="16" t="s">
        <v>280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54</v>
      </c>
      <c r="O151" s="16" t="s">
        <v>230</v>
      </c>
      <c r="P151" s="16" t="s">
        <v>286</v>
      </c>
      <c r="Q151" s="31"/>
    </row>
    <row r="152" spans="1:17" ht="17.100000000000001" customHeight="1">
      <c r="A152" s="21">
        <v>45686</v>
      </c>
      <c r="B152" s="15" t="s">
        <v>174</v>
      </c>
      <c r="C152" s="16" t="s">
        <v>270</v>
      </c>
      <c r="D152" s="16" t="s">
        <v>265</v>
      </c>
      <c r="E152" s="16" t="s">
        <v>281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27</v>
      </c>
      <c r="O152" s="16" t="s">
        <v>230</v>
      </c>
      <c r="P152" s="16" t="s">
        <v>286</v>
      </c>
      <c r="Q152" s="31"/>
    </row>
    <row r="153" spans="1:17" ht="17.100000000000001" customHeight="1">
      <c r="A153" s="21">
        <v>45686</v>
      </c>
      <c r="B153" s="15" t="s">
        <v>174</v>
      </c>
      <c r="C153" s="16" t="s">
        <v>270</v>
      </c>
      <c r="D153" s="16" t="s">
        <v>265</v>
      </c>
      <c r="E153" s="16" t="s">
        <v>276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v>27</v>
      </c>
      <c r="O153" s="16" t="s">
        <v>285</v>
      </c>
      <c r="P153" s="16" t="s">
        <v>286</v>
      </c>
      <c r="Q153" s="31"/>
    </row>
    <row r="154" spans="1:17" ht="17.100000000000001" customHeight="1">
      <c r="A154" s="21">
        <v>45686</v>
      </c>
      <c r="B154" s="15" t="s">
        <v>174</v>
      </c>
      <c r="C154" s="16" t="s">
        <v>270</v>
      </c>
      <c r="D154" s="16" t="s">
        <v>266</v>
      </c>
      <c r="E154" s="16" t="s">
        <v>282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54</v>
      </c>
      <c r="O154" s="16" t="s">
        <v>285</v>
      </c>
      <c r="P154" s="16" t="s">
        <v>286</v>
      </c>
      <c r="Q154" s="31"/>
    </row>
    <row r="155" spans="1:17" ht="17.100000000000001" customHeight="1">
      <c r="A155" s="21">
        <v>45686</v>
      </c>
      <c r="B155" s="15" t="s">
        <v>174</v>
      </c>
      <c r="C155" s="16" t="s">
        <v>270</v>
      </c>
      <c r="D155" s="16" t="s">
        <v>266</v>
      </c>
      <c r="E155" s="16" t="s">
        <v>281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27</v>
      </c>
      <c r="O155" s="16" t="s">
        <v>285</v>
      </c>
      <c r="P155" s="16" t="s">
        <v>286</v>
      </c>
      <c r="Q155" s="31"/>
    </row>
    <row r="156" spans="1:17" ht="17.100000000000001" customHeight="1">
      <c r="A156" s="21">
        <v>45686</v>
      </c>
      <c r="B156" s="15" t="s">
        <v>174</v>
      </c>
      <c r="C156" s="16" t="s">
        <v>270</v>
      </c>
      <c r="D156" s="16" t="s">
        <v>266</v>
      </c>
      <c r="E156" s="16" t="s">
        <v>283</v>
      </c>
      <c r="F156" s="16" t="s">
        <v>48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14</v>
      </c>
      <c r="O156" s="16" t="s">
        <v>285</v>
      </c>
      <c r="P156" s="16" t="s">
        <v>297</v>
      </c>
      <c r="Q156" s="31"/>
    </row>
    <row r="157" spans="1:17" ht="15.75" customHeight="1">
      <c r="A157" s="21">
        <v>45687</v>
      </c>
      <c r="B157" s="15" t="s">
        <v>174</v>
      </c>
      <c r="C157" s="16" t="s">
        <v>287</v>
      </c>
      <c r="D157" s="16" t="s">
        <v>266</v>
      </c>
      <c r="E157" s="16" t="s">
        <v>283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13</v>
      </c>
      <c r="O157" s="16" t="s">
        <v>230</v>
      </c>
      <c r="P157" s="16" t="s">
        <v>297</v>
      </c>
      <c r="Q157" s="31"/>
    </row>
    <row r="158" spans="1:17">
      <c r="A158" s="21">
        <v>45687</v>
      </c>
      <c r="B158" s="15" t="s">
        <v>174</v>
      </c>
      <c r="C158" s="16" t="s">
        <v>287</v>
      </c>
      <c r="D158" s="16" t="s">
        <v>272</v>
      </c>
      <c r="E158" s="16" t="s">
        <v>288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54</v>
      </c>
      <c r="O158" s="16" t="s">
        <v>230</v>
      </c>
      <c r="P158" s="16" t="s">
        <v>297</v>
      </c>
      <c r="Q158" s="31"/>
    </row>
    <row r="159" spans="1:17">
      <c r="A159" s="21">
        <v>45687</v>
      </c>
      <c r="B159" s="15" t="s">
        <v>174</v>
      </c>
      <c r="C159" s="16" t="s">
        <v>287</v>
      </c>
      <c r="D159" s="16" t="s">
        <v>272</v>
      </c>
      <c r="E159" s="16" t="s">
        <v>289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53</v>
      </c>
      <c r="O159" s="16" t="s">
        <v>230</v>
      </c>
      <c r="P159" s="16" t="s">
        <v>297</v>
      </c>
      <c r="Q159" s="31"/>
    </row>
    <row r="160" spans="1:17">
      <c r="A160" s="21">
        <v>45687</v>
      </c>
      <c r="B160" s="15" t="s">
        <v>174</v>
      </c>
      <c r="C160" s="16" t="s">
        <v>287</v>
      </c>
      <c r="D160" s="16" t="s">
        <v>272</v>
      </c>
      <c r="E160" s="16" t="s">
        <v>290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54</v>
      </c>
      <c r="O160" s="16" t="s">
        <v>230</v>
      </c>
      <c r="P160" s="16" t="s">
        <v>297</v>
      </c>
      <c r="Q160" s="31"/>
    </row>
    <row r="161" spans="1:17">
      <c r="A161" s="21">
        <v>45687</v>
      </c>
      <c r="B161" s="15" t="s">
        <v>174</v>
      </c>
      <c r="C161" s="16" t="s">
        <v>287</v>
      </c>
      <c r="D161" s="16" t="s">
        <v>272</v>
      </c>
      <c r="E161" s="16" t="s">
        <v>291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54</v>
      </c>
      <c r="O161" s="16" t="s">
        <v>230</v>
      </c>
      <c r="P161" s="16" t="s">
        <v>297</v>
      </c>
      <c r="Q161" s="31"/>
    </row>
    <row r="162" spans="1:17">
      <c r="A162" s="21">
        <v>45687</v>
      </c>
      <c r="B162" s="15" t="s">
        <v>174</v>
      </c>
      <c r="C162" s="16" t="s">
        <v>287</v>
      </c>
      <c r="D162" s="16" t="s">
        <v>272</v>
      </c>
      <c r="E162" s="16" t="s">
        <v>292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v>27</v>
      </c>
      <c r="O162" s="16" t="s">
        <v>230</v>
      </c>
      <c r="P162" s="16" t="s">
        <v>297</v>
      </c>
      <c r="Q162" s="31"/>
    </row>
    <row r="163" spans="1:17">
      <c r="A163" s="21">
        <v>45687</v>
      </c>
      <c r="B163" s="15" t="s">
        <v>174</v>
      </c>
      <c r="C163" s="16" t="s">
        <v>287</v>
      </c>
      <c r="D163" s="16" t="s">
        <v>272</v>
      </c>
      <c r="E163" s="16" t="s">
        <v>293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29</v>
      </c>
      <c r="O163" s="16" t="s">
        <v>230</v>
      </c>
      <c r="P163" s="16" t="s">
        <v>297</v>
      </c>
      <c r="Q163" s="31"/>
    </row>
    <row r="164" spans="1:17">
      <c r="A164" s="21">
        <v>45687</v>
      </c>
      <c r="B164" s="15" t="s">
        <v>174</v>
      </c>
      <c r="C164" s="16" t="s">
        <v>287</v>
      </c>
      <c r="D164" s="16" t="s">
        <v>271</v>
      </c>
      <c r="E164" s="16" t="s">
        <v>294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54</v>
      </c>
      <c r="O164" s="16" t="s">
        <v>230</v>
      </c>
      <c r="P164" s="16" t="s">
        <v>297</v>
      </c>
      <c r="Q164" s="31"/>
    </row>
    <row r="165" spans="1:17">
      <c r="A165" s="21">
        <v>45687</v>
      </c>
      <c r="B165" s="15" t="s">
        <v>174</v>
      </c>
      <c r="C165" s="16" t="s">
        <v>287</v>
      </c>
      <c r="D165" s="16" t="s">
        <v>271</v>
      </c>
      <c r="E165" s="16" t="s">
        <v>295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54</v>
      </c>
      <c r="O165" s="16" t="s">
        <v>230</v>
      </c>
      <c r="P165" s="16" t="s">
        <v>297</v>
      </c>
      <c r="Q165" s="31"/>
    </row>
    <row r="166" spans="1:17">
      <c r="A166" s="21">
        <v>45687</v>
      </c>
      <c r="B166" s="15" t="s">
        <v>174</v>
      </c>
      <c r="C166" s="16" t="s">
        <v>287</v>
      </c>
      <c r="D166" s="16" t="s">
        <v>298</v>
      </c>
      <c r="E166" s="16" t="s">
        <v>296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54</v>
      </c>
      <c r="O166" s="16" t="s">
        <v>230</v>
      </c>
      <c r="P166" s="16" t="s">
        <v>297</v>
      </c>
      <c r="Q166" s="31"/>
    </row>
    <row r="167" spans="1:17">
      <c r="A167" s="21">
        <v>45687</v>
      </c>
      <c r="B167" s="15" t="s">
        <v>29</v>
      </c>
      <c r="C167" s="16" t="s">
        <v>287</v>
      </c>
      <c r="D167" s="16" t="s">
        <v>271</v>
      </c>
      <c r="E167" s="16" t="s">
        <v>48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54</v>
      </c>
      <c r="O167" s="16" t="s">
        <v>299</v>
      </c>
      <c r="P167" s="16"/>
      <c r="Q167" s="31"/>
    </row>
    <row r="168" spans="1:17">
      <c r="A168" s="21">
        <v>45688</v>
      </c>
      <c r="B168" s="15" t="s">
        <v>29</v>
      </c>
      <c r="C168" s="16" t="s">
        <v>301</v>
      </c>
      <c r="D168" s="16" t="s">
        <v>272</v>
      </c>
      <c r="E168" s="16" t="s">
        <v>48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50</v>
      </c>
      <c r="O168" s="16" t="s">
        <v>300</v>
      </c>
      <c r="P168" s="16"/>
      <c r="Q168" s="31"/>
    </row>
    <row r="169" spans="1:17">
      <c r="A169" s="21">
        <v>45688</v>
      </c>
      <c r="B169" s="15" t="s">
        <v>29</v>
      </c>
      <c r="C169" s="16" t="s">
        <v>301</v>
      </c>
      <c r="D169" s="16" t="s">
        <v>298</v>
      </c>
      <c r="E169" s="16" t="s">
        <v>48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100</v>
      </c>
      <c r="O169" s="16" t="s">
        <v>300</v>
      </c>
      <c r="P169" s="16"/>
      <c r="Q169" s="31"/>
    </row>
    <row r="170" spans="1:17">
      <c r="A170" s="21">
        <v>45688</v>
      </c>
      <c r="B170" s="15" t="s">
        <v>29</v>
      </c>
      <c r="C170" s="16" t="s">
        <v>301</v>
      </c>
      <c r="D170" s="16" t="s">
        <v>302</v>
      </c>
      <c r="E170" s="16" t="s">
        <v>48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100</v>
      </c>
      <c r="O170" s="16" t="s">
        <v>300</v>
      </c>
      <c r="P170" s="16"/>
      <c r="Q170" s="31"/>
    </row>
    <row r="171" spans="1:17">
      <c r="A171" s="25" t="s">
        <v>352</v>
      </c>
      <c r="B171" s="13"/>
      <c r="C171" s="13"/>
      <c r="D171" s="12"/>
      <c r="E171" s="13"/>
      <c r="H171" s="13"/>
      <c r="I171" s="13"/>
      <c r="J171" s="12"/>
      <c r="K171" s="13"/>
      <c r="L171" s="12" t="s">
        <v>18</v>
      </c>
      <c r="M171" s="12"/>
      <c r="N171" s="14"/>
    </row>
    <row r="172" spans="1:17">
      <c r="M172" s="2" t="s">
        <v>19</v>
      </c>
    </row>
    <row r="173" spans="1:17">
      <c r="M173" s="2" t="s">
        <v>20</v>
      </c>
    </row>
    <row r="174" spans="1:17">
      <c r="M174" s="2" t="s">
        <v>21</v>
      </c>
    </row>
    <row r="175" spans="1:17">
      <c r="M175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9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R157"/>
  <sheetViews>
    <sheetView view="pageBreakPreview" zoomScaleNormal="100" zoomScaleSheetLayoutView="100" workbookViewId="0">
      <selection activeCell="B5" sqref="B5"/>
    </sheetView>
  </sheetViews>
  <sheetFormatPr defaultColWidth="10.28515625" defaultRowHeight="14.25"/>
  <cols>
    <col min="1" max="1" width="15.2851562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22.42578125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 t="s">
        <v>2017</v>
      </c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21">
        <v>45691</v>
      </c>
      <c r="B9" s="15" t="s">
        <v>174</v>
      </c>
      <c r="C9" s="16" t="s">
        <v>303</v>
      </c>
      <c r="D9" s="16" t="s">
        <v>304</v>
      </c>
      <c r="E9" s="16" t="s">
        <v>305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27</v>
      </c>
      <c r="O9" s="16" t="s">
        <v>267</v>
      </c>
      <c r="P9" s="15" t="s">
        <v>328</v>
      </c>
      <c r="Q9" s="31"/>
    </row>
    <row r="10" spans="1:17" ht="17.100000000000001" customHeight="1">
      <c r="A10" s="21">
        <v>45691</v>
      </c>
      <c r="B10" s="15" t="s">
        <v>174</v>
      </c>
      <c r="C10" s="16" t="s">
        <v>303</v>
      </c>
      <c r="D10" s="16" t="s">
        <v>304</v>
      </c>
      <c r="E10" s="16" t="s">
        <v>306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54</v>
      </c>
      <c r="O10" s="16" t="s">
        <v>267</v>
      </c>
      <c r="P10" s="15" t="s">
        <v>328</v>
      </c>
      <c r="Q10" s="31"/>
    </row>
    <row r="11" spans="1:17" ht="17.100000000000001" customHeight="1">
      <c r="A11" s="21">
        <v>45691</v>
      </c>
      <c r="B11" s="15" t="s">
        <v>174</v>
      </c>
      <c r="C11" s="16" t="s">
        <v>303</v>
      </c>
      <c r="D11" s="16" t="s">
        <v>304</v>
      </c>
      <c r="E11" s="16" t="s">
        <v>307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19</v>
      </c>
      <c r="O11" s="16" t="s">
        <v>267</v>
      </c>
      <c r="P11" s="15" t="s">
        <v>328</v>
      </c>
      <c r="Q11" s="31"/>
    </row>
    <row r="12" spans="1:17" ht="17.100000000000001" customHeight="1">
      <c r="A12" s="21">
        <v>45691</v>
      </c>
      <c r="B12" s="15" t="s">
        <v>174</v>
      </c>
      <c r="C12" s="16" t="s">
        <v>303</v>
      </c>
      <c r="D12" s="16" t="s">
        <v>308</v>
      </c>
      <c r="E12" s="16" t="s">
        <v>307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f>8+27</f>
        <v>35</v>
      </c>
      <c r="O12" s="16" t="s">
        <v>267</v>
      </c>
      <c r="P12" s="15" t="s">
        <v>328</v>
      </c>
      <c r="Q12" s="31"/>
    </row>
    <row r="13" spans="1:17" ht="17.100000000000001" customHeight="1">
      <c r="A13" s="21">
        <v>45691</v>
      </c>
      <c r="B13" s="15" t="s">
        <v>174</v>
      </c>
      <c r="C13" s="16" t="s">
        <v>303</v>
      </c>
      <c r="D13" s="16" t="s">
        <v>308</v>
      </c>
      <c r="E13" s="16" t="s">
        <v>309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54</v>
      </c>
      <c r="O13" s="16" t="s">
        <v>267</v>
      </c>
      <c r="P13" s="15" t="s">
        <v>328</v>
      </c>
      <c r="Q13" s="31"/>
    </row>
    <row r="14" spans="1:17" ht="17.100000000000001" customHeight="1">
      <c r="A14" s="21">
        <v>45691</v>
      </c>
      <c r="B14" s="15" t="s">
        <v>174</v>
      </c>
      <c r="C14" s="16" t="s">
        <v>303</v>
      </c>
      <c r="D14" s="16" t="s">
        <v>308</v>
      </c>
      <c r="E14" s="16" t="s">
        <v>310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11</v>
      </c>
      <c r="O14" s="16" t="s">
        <v>267</v>
      </c>
      <c r="P14" s="15" t="s">
        <v>328</v>
      </c>
      <c r="Q14" s="31"/>
    </row>
    <row r="15" spans="1:17" ht="17.100000000000001" customHeight="1">
      <c r="A15" s="21">
        <v>45691</v>
      </c>
      <c r="B15" s="15" t="s">
        <v>174</v>
      </c>
      <c r="C15" s="16" t="s">
        <v>303</v>
      </c>
      <c r="D15" s="16" t="s">
        <v>311</v>
      </c>
      <c r="E15" s="16" t="s">
        <v>310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f>16+27</f>
        <v>43</v>
      </c>
      <c r="O15" s="16" t="s">
        <v>267</v>
      </c>
      <c r="P15" s="15" t="s">
        <v>328</v>
      </c>
      <c r="Q15" s="31"/>
    </row>
    <row r="16" spans="1:17" ht="17.100000000000001" customHeight="1">
      <c r="A16" s="21">
        <v>45691</v>
      </c>
      <c r="B16" s="15" t="s">
        <v>174</v>
      </c>
      <c r="C16" s="16" t="s">
        <v>303</v>
      </c>
      <c r="D16" s="16" t="s">
        <v>311</v>
      </c>
      <c r="E16" s="16" t="s">
        <v>312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54</v>
      </c>
      <c r="O16" s="16" t="s">
        <v>267</v>
      </c>
      <c r="P16" s="15" t="s">
        <v>328</v>
      </c>
      <c r="Q16" s="31"/>
    </row>
    <row r="17" spans="1:17" ht="17.100000000000001" customHeight="1">
      <c r="A17" s="21">
        <v>45691</v>
      </c>
      <c r="B17" s="15" t="s">
        <v>174</v>
      </c>
      <c r="C17" s="16" t="s">
        <v>303</v>
      </c>
      <c r="D17" s="16" t="s">
        <v>311</v>
      </c>
      <c r="E17" s="16" t="s">
        <v>313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3</v>
      </c>
      <c r="O17" s="16" t="s">
        <v>267</v>
      </c>
      <c r="P17" s="15" t="s">
        <v>328</v>
      </c>
      <c r="Q17" s="31"/>
    </row>
    <row r="18" spans="1:17" ht="17.100000000000001" customHeight="1">
      <c r="A18" s="21">
        <v>45691</v>
      </c>
      <c r="B18" s="15" t="s">
        <v>174</v>
      </c>
      <c r="C18" s="16" t="s">
        <v>303</v>
      </c>
      <c r="D18" s="16" t="s">
        <v>314</v>
      </c>
      <c r="E18" s="16" t="s">
        <v>313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24</v>
      </c>
      <c r="O18" s="16" t="s">
        <v>267</v>
      </c>
      <c r="P18" s="15" t="s">
        <v>328</v>
      </c>
      <c r="Q18" s="31"/>
    </row>
    <row r="19" spans="1:17" ht="17.100000000000001" customHeight="1">
      <c r="A19" s="21">
        <v>45691</v>
      </c>
      <c r="B19" s="15" t="s">
        <v>174</v>
      </c>
      <c r="C19" s="16" t="s">
        <v>303</v>
      </c>
      <c r="D19" s="16" t="s">
        <v>314</v>
      </c>
      <c r="E19" s="16" t="s">
        <v>315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27</v>
      </c>
      <c r="O19" s="16" t="s">
        <v>267</v>
      </c>
      <c r="P19" s="15" t="s">
        <v>328</v>
      </c>
      <c r="Q19" s="31"/>
    </row>
    <row r="20" spans="1:17" ht="17.100000000000001" customHeight="1">
      <c r="A20" s="21">
        <v>45691</v>
      </c>
      <c r="B20" s="15" t="s">
        <v>174</v>
      </c>
      <c r="C20" s="16" t="s">
        <v>303</v>
      </c>
      <c r="D20" s="16" t="s">
        <v>314</v>
      </c>
      <c r="E20" s="16" t="s">
        <v>316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27</v>
      </c>
      <c r="O20" s="16" t="s">
        <v>267</v>
      </c>
      <c r="P20" s="15" t="s">
        <v>328</v>
      </c>
      <c r="Q20" s="31"/>
    </row>
    <row r="21" spans="1:17" ht="17.100000000000001" customHeight="1">
      <c r="A21" s="21">
        <v>45691</v>
      </c>
      <c r="B21" s="15" t="s">
        <v>174</v>
      </c>
      <c r="C21" s="16" t="s">
        <v>303</v>
      </c>
      <c r="D21" s="16" t="s">
        <v>314</v>
      </c>
      <c r="E21" s="16" t="s">
        <v>206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22</v>
      </c>
      <c r="O21" s="16" t="s">
        <v>267</v>
      </c>
      <c r="P21" s="15" t="s">
        <v>328</v>
      </c>
      <c r="Q21" s="31"/>
    </row>
    <row r="22" spans="1:17" ht="17.100000000000001" customHeight="1">
      <c r="A22" s="21">
        <v>45691</v>
      </c>
      <c r="B22" s="15" t="s">
        <v>174</v>
      </c>
      <c r="C22" s="16" t="s">
        <v>303</v>
      </c>
      <c r="D22" s="16" t="s">
        <v>314</v>
      </c>
      <c r="E22" s="16" t="s">
        <v>206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5</v>
      </c>
      <c r="O22" s="16" t="s">
        <v>267</v>
      </c>
      <c r="P22" s="15" t="s">
        <v>328</v>
      </c>
      <c r="Q22" s="31"/>
    </row>
    <row r="23" spans="1:17" ht="17.100000000000001" customHeight="1">
      <c r="A23" s="21">
        <v>45691</v>
      </c>
      <c r="B23" s="15" t="s">
        <v>174</v>
      </c>
      <c r="C23" s="16" t="s">
        <v>303</v>
      </c>
      <c r="D23" s="16" t="s">
        <v>314</v>
      </c>
      <c r="E23" s="16" t="s">
        <v>317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54</v>
      </c>
      <c r="O23" s="16" t="s">
        <v>267</v>
      </c>
      <c r="P23" s="15" t="s">
        <v>328</v>
      </c>
      <c r="Q23" s="31"/>
    </row>
    <row r="24" spans="1:17" ht="17.100000000000001" customHeight="1">
      <c r="A24" s="21">
        <v>45691</v>
      </c>
      <c r="B24" s="15" t="s">
        <v>174</v>
      </c>
      <c r="C24" s="16" t="s">
        <v>303</v>
      </c>
      <c r="D24" s="16" t="s">
        <v>314</v>
      </c>
      <c r="E24" s="16" t="s">
        <v>318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41</v>
      </c>
      <c r="O24" s="16" t="s">
        <v>267</v>
      </c>
      <c r="P24" s="15" t="s">
        <v>328</v>
      </c>
      <c r="Q24" s="31"/>
    </row>
    <row r="25" spans="1:17" ht="17.100000000000001" customHeight="1">
      <c r="A25" s="21">
        <v>45691</v>
      </c>
      <c r="B25" s="15" t="s">
        <v>29</v>
      </c>
      <c r="C25" s="16" t="s">
        <v>303</v>
      </c>
      <c r="D25" s="16" t="s">
        <v>319</v>
      </c>
      <c r="E25" s="16" t="s">
        <v>48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50</v>
      </c>
      <c r="O25" s="16" t="s">
        <v>320</v>
      </c>
      <c r="P25" s="15" t="s">
        <v>329</v>
      </c>
      <c r="Q25" s="31"/>
    </row>
    <row r="26" spans="1:17" ht="17.100000000000001" customHeight="1">
      <c r="A26" s="21">
        <v>45691</v>
      </c>
      <c r="B26" s="15" t="s">
        <v>321</v>
      </c>
      <c r="C26" s="16" t="s">
        <v>303</v>
      </c>
      <c r="D26" s="16" t="s">
        <v>48</v>
      </c>
      <c r="E26" s="16" t="s">
        <v>48</v>
      </c>
      <c r="F26" s="16" t="s">
        <v>322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20</v>
      </c>
      <c r="O26" s="16" t="s">
        <v>211</v>
      </c>
      <c r="P26" s="15" t="s">
        <v>330</v>
      </c>
      <c r="Q26" s="31"/>
    </row>
    <row r="27" spans="1:17" ht="17.100000000000001" customHeight="1">
      <c r="A27" s="21">
        <v>45691</v>
      </c>
      <c r="B27" s="15" t="s">
        <v>323</v>
      </c>
      <c r="C27" s="16" t="s">
        <v>303</v>
      </c>
      <c r="D27" s="16" t="s">
        <v>48</v>
      </c>
      <c r="E27" s="16" t="s">
        <v>324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4</v>
      </c>
      <c r="O27" s="16" t="s">
        <v>55</v>
      </c>
      <c r="P27" s="15" t="s">
        <v>331</v>
      </c>
      <c r="Q27" s="30"/>
    </row>
    <row r="28" spans="1:17" ht="17.100000000000001" customHeight="1">
      <c r="A28" s="21">
        <v>45691</v>
      </c>
      <c r="B28" s="15" t="s">
        <v>37</v>
      </c>
      <c r="C28" s="16" t="s">
        <v>303</v>
      </c>
      <c r="D28" s="16" t="s">
        <v>48</v>
      </c>
      <c r="E28" s="16" t="s">
        <v>48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325</v>
      </c>
      <c r="N28" s="16">
        <v>100</v>
      </c>
      <c r="O28" s="16" t="s">
        <v>230</v>
      </c>
      <c r="P28" s="15" t="s">
        <v>332</v>
      </c>
      <c r="Q28" s="31"/>
    </row>
    <row r="29" spans="1:17" ht="17.100000000000001" customHeight="1">
      <c r="A29" s="21">
        <v>45691</v>
      </c>
      <c r="B29" s="15" t="s">
        <v>326</v>
      </c>
      <c r="C29" s="16" t="s">
        <v>303</v>
      </c>
      <c r="D29" s="16" t="s">
        <v>48</v>
      </c>
      <c r="E29" s="16" t="s">
        <v>48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30</v>
      </c>
      <c r="O29" s="16" t="s">
        <v>233</v>
      </c>
      <c r="P29" s="15" t="s">
        <v>333</v>
      </c>
      <c r="Q29" s="31"/>
    </row>
    <row r="30" spans="1:17" ht="17.100000000000001" customHeight="1">
      <c r="A30" s="21">
        <v>45691</v>
      </c>
      <c r="B30" s="15" t="s">
        <v>39</v>
      </c>
      <c r="C30" s="16" t="s">
        <v>303</v>
      </c>
      <c r="D30" s="16" t="s">
        <v>48</v>
      </c>
      <c r="E30" s="16" t="s">
        <v>48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50</v>
      </c>
      <c r="O30" s="16" t="s">
        <v>233</v>
      </c>
      <c r="P30" s="15" t="s">
        <v>334</v>
      </c>
      <c r="Q30" s="31"/>
    </row>
    <row r="31" spans="1:17" ht="17.100000000000001" customHeight="1">
      <c r="A31" s="21">
        <v>45691</v>
      </c>
      <c r="B31" s="15" t="s">
        <v>222</v>
      </c>
      <c r="C31" s="16" t="s">
        <v>303</v>
      </c>
      <c r="D31" s="16" t="s">
        <v>48</v>
      </c>
      <c r="E31" s="16" t="s">
        <v>48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327</v>
      </c>
      <c r="N31" s="16">
        <v>38</v>
      </c>
      <c r="O31" s="16" t="s">
        <v>55</v>
      </c>
      <c r="P31" s="15" t="s">
        <v>335</v>
      </c>
      <c r="Q31" s="31"/>
    </row>
    <row r="32" spans="1:17" ht="17.100000000000001" customHeight="1">
      <c r="A32" s="21">
        <v>45691</v>
      </c>
      <c r="B32" s="15" t="s">
        <v>104</v>
      </c>
      <c r="C32" s="16" t="s">
        <v>303</v>
      </c>
      <c r="D32" s="16" t="s">
        <v>48</v>
      </c>
      <c r="E32" s="16" t="s">
        <v>48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4</v>
      </c>
      <c r="O32" s="16" t="s">
        <v>55</v>
      </c>
      <c r="P32" s="15" t="s">
        <v>336</v>
      </c>
      <c r="Q32" s="31"/>
    </row>
    <row r="33" spans="1:17" ht="17.100000000000001" customHeight="1">
      <c r="A33" s="21">
        <v>45698</v>
      </c>
      <c r="B33" s="15" t="s">
        <v>143</v>
      </c>
      <c r="C33" s="16" t="s">
        <v>339</v>
      </c>
      <c r="D33" s="16" t="s">
        <v>340</v>
      </c>
      <c r="E33" s="16" t="s">
        <v>48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60</v>
      </c>
      <c r="O33" s="16" t="s">
        <v>211</v>
      </c>
      <c r="P33" s="15" t="s">
        <v>343</v>
      </c>
      <c r="Q33" s="32" t="s">
        <v>356</v>
      </c>
    </row>
    <row r="34" spans="1:17" ht="17.100000000000001" customHeight="1">
      <c r="A34" s="21">
        <v>45698</v>
      </c>
      <c r="B34" s="15" t="s">
        <v>29</v>
      </c>
      <c r="C34" s="16" t="s">
        <v>339</v>
      </c>
      <c r="D34" s="16" t="s">
        <v>341</v>
      </c>
      <c r="E34" s="16" t="s">
        <v>48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100</v>
      </c>
      <c r="O34" s="16" t="s">
        <v>211</v>
      </c>
      <c r="P34" s="15" t="s">
        <v>344</v>
      </c>
      <c r="Q34" s="32" t="s">
        <v>357</v>
      </c>
    </row>
    <row r="35" spans="1:17" ht="17.100000000000001" customHeight="1">
      <c r="A35" s="21">
        <v>45698</v>
      </c>
      <c r="B35" s="15" t="s">
        <v>31</v>
      </c>
      <c r="C35" s="16" t="s">
        <v>339</v>
      </c>
      <c r="D35" s="16" t="s">
        <v>48</v>
      </c>
      <c r="E35" s="16" t="s">
        <v>48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200</v>
      </c>
      <c r="O35" s="16" t="s">
        <v>55</v>
      </c>
      <c r="P35" s="15" t="s">
        <v>345</v>
      </c>
      <c r="Q35" s="32" t="s">
        <v>358</v>
      </c>
    </row>
    <row r="36" spans="1:17" ht="17.100000000000001" customHeight="1">
      <c r="A36" s="21">
        <v>45698</v>
      </c>
      <c r="B36" s="15" t="s">
        <v>337</v>
      </c>
      <c r="C36" s="16" t="s">
        <v>339</v>
      </c>
      <c r="D36" s="16" t="s">
        <v>48</v>
      </c>
      <c r="E36" s="16" t="s">
        <v>48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100</v>
      </c>
      <c r="O36" s="16" t="s">
        <v>233</v>
      </c>
      <c r="P36" s="15" t="s">
        <v>346</v>
      </c>
      <c r="Q36" s="32" t="s">
        <v>359</v>
      </c>
    </row>
    <row r="37" spans="1:17" ht="17.100000000000001" customHeight="1">
      <c r="A37" s="21">
        <v>45698</v>
      </c>
      <c r="B37" s="15" t="s">
        <v>338</v>
      </c>
      <c r="C37" s="16" t="s">
        <v>339</v>
      </c>
      <c r="D37" s="16" t="s">
        <v>48</v>
      </c>
      <c r="E37" s="16" t="s">
        <v>48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600</v>
      </c>
      <c r="O37" s="16" t="s">
        <v>233</v>
      </c>
      <c r="P37" s="15" t="s">
        <v>347</v>
      </c>
      <c r="Q37" s="32" t="s">
        <v>360</v>
      </c>
    </row>
    <row r="38" spans="1:17" ht="17.100000000000001" customHeight="1">
      <c r="A38" s="21">
        <v>45698</v>
      </c>
      <c r="B38" s="15" t="s">
        <v>39</v>
      </c>
      <c r="C38" s="16" t="s">
        <v>339</v>
      </c>
      <c r="D38" s="16" t="s">
        <v>48</v>
      </c>
      <c r="E38" s="16" t="s">
        <v>48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50</v>
      </c>
      <c r="O38" s="16" t="s">
        <v>233</v>
      </c>
      <c r="P38" s="15" t="s">
        <v>348</v>
      </c>
      <c r="Q38" s="32" t="s">
        <v>361</v>
      </c>
    </row>
    <row r="39" spans="1:17" ht="17.100000000000001" customHeight="1">
      <c r="A39" s="21">
        <v>45698</v>
      </c>
      <c r="B39" s="15" t="s">
        <v>214</v>
      </c>
      <c r="C39" s="16" t="s">
        <v>339</v>
      </c>
      <c r="D39" s="16" t="s">
        <v>48</v>
      </c>
      <c r="E39" s="16" t="s">
        <v>48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100</v>
      </c>
      <c r="O39" s="16" t="s">
        <v>233</v>
      </c>
      <c r="P39" s="15" t="s">
        <v>349</v>
      </c>
      <c r="Q39" s="32" t="s">
        <v>362</v>
      </c>
    </row>
    <row r="40" spans="1:17" ht="17.100000000000001" customHeight="1">
      <c r="A40" s="21">
        <v>45698</v>
      </c>
      <c r="B40" s="15" t="s">
        <v>222</v>
      </c>
      <c r="C40" s="16" t="s">
        <v>339</v>
      </c>
      <c r="D40" s="16" t="s">
        <v>48</v>
      </c>
      <c r="E40" s="16" t="s">
        <v>48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342</v>
      </c>
      <c r="N40" s="16">
        <v>4</v>
      </c>
      <c r="O40" s="16" t="s">
        <v>55</v>
      </c>
      <c r="P40" s="15" t="s">
        <v>350</v>
      </c>
      <c r="Q40" s="32" t="s">
        <v>363</v>
      </c>
    </row>
    <row r="41" spans="1:17" ht="17.100000000000001" customHeight="1">
      <c r="A41" s="21">
        <v>45698</v>
      </c>
      <c r="B41" s="15" t="s">
        <v>104</v>
      </c>
      <c r="C41" s="16" t="s">
        <v>339</v>
      </c>
      <c r="D41" s="16" t="s">
        <v>48</v>
      </c>
      <c r="E41" s="16" t="s">
        <v>48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31</v>
      </c>
      <c r="O41" s="16" t="s">
        <v>55</v>
      </c>
      <c r="P41" s="15" t="s">
        <v>351</v>
      </c>
      <c r="Q41" s="32" t="s">
        <v>364</v>
      </c>
    </row>
    <row r="42" spans="1:17" ht="17.100000000000001" customHeight="1">
      <c r="A42" s="21">
        <v>45701</v>
      </c>
      <c r="B42" s="15" t="s">
        <v>365</v>
      </c>
      <c r="C42" s="16" t="s">
        <v>388</v>
      </c>
      <c r="D42" s="16" t="s">
        <v>366</v>
      </c>
      <c r="E42" s="16" t="s">
        <v>48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100</v>
      </c>
      <c r="O42" s="16" t="s">
        <v>368</v>
      </c>
      <c r="P42" s="15" t="s">
        <v>369</v>
      </c>
      <c r="Q42" s="32" t="s">
        <v>370</v>
      </c>
    </row>
    <row r="43" spans="1:17" ht="17.100000000000001" customHeight="1">
      <c r="A43" s="21">
        <v>45701</v>
      </c>
      <c r="B43" s="15" t="s">
        <v>365</v>
      </c>
      <c r="C43" s="16" t="s">
        <v>388</v>
      </c>
      <c r="D43" s="16" t="s">
        <v>367</v>
      </c>
      <c r="E43" s="16" t="s">
        <v>48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20</v>
      </c>
      <c r="O43" s="16" t="s">
        <v>368</v>
      </c>
      <c r="P43" s="15" t="s">
        <v>369</v>
      </c>
      <c r="Q43" s="32" t="s">
        <v>370</v>
      </c>
    </row>
    <row r="44" spans="1:17" ht="17.100000000000001" customHeight="1">
      <c r="A44" s="21">
        <v>45701</v>
      </c>
      <c r="B44" s="15" t="s">
        <v>143</v>
      </c>
      <c r="C44" s="16" t="s">
        <v>388</v>
      </c>
      <c r="D44" s="16" t="s">
        <v>372</v>
      </c>
      <c r="E44" s="16" t="s">
        <v>48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40</v>
      </c>
      <c r="O44" s="16" t="s">
        <v>368</v>
      </c>
      <c r="P44" s="15" t="s">
        <v>373</v>
      </c>
      <c r="Q44" s="32" t="s">
        <v>371</v>
      </c>
    </row>
    <row r="45" spans="1:17" ht="17.100000000000001" customHeight="1">
      <c r="A45" s="21">
        <v>45701</v>
      </c>
      <c r="B45" s="15" t="s">
        <v>143</v>
      </c>
      <c r="C45" s="16" t="s">
        <v>388</v>
      </c>
      <c r="D45" s="16" t="s">
        <v>340</v>
      </c>
      <c r="E45" s="16" t="s">
        <v>48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80</v>
      </c>
      <c r="O45" s="16" t="s">
        <v>368</v>
      </c>
      <c r="P45" s="15" t="s">
        <v>373</v>
      </c>
      <c r="Q45" s="32" t="s">
        <v>371</v>
      </c>
    </row>
    <row r="46" spans="1:17" ht="17.100000000000001" customHeight="1">
      <c r="A46" s="21">
        <v>45701</v>
      </c>
      <c r="B46" s="15" t="s">
        <v>374</v>
      </c>
      <c r="C46" s="16" t="s">
        <v>388</v>
      </c>
      <c r="D46" s="16" t="s">
        <v>366</v>
      </c>
      <c r="E46" s="16" t="s">
        <v>48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125</v>
      </c>
      <c r="O46" s="16" t="s">
        <v>368</v>
      </c>
      <c r="P46" s="15" t="s">
        <v>375</v>
      </c>
      <c r="Q46" s="32" t="s">
        <v>376</v>
      </c>
    </row>
    <row r="47" spans="1:17" ht="17.100000000000001" customHeight="1">
      <c r="A47" s="21">
        <v>45701</v>
      </c>
      <c r="B47" s="15" t="s">
        <v>383</v>
      </c>
      <c r="C47" s="16" t="s">
        <v>388</v>
      </c>
      <c r="D47" s="16" t="s">
        <v>384</v>
      </c>
      <c r="E47" s="16" t="s">
        <v>48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125</v>
      </c>
      <c r="O47" s="16" t="s">
        <v>368</v>
      </c>
      <c r="P47" s="15" t="s">
        <v>377</v>
      </c>
      <c r="Q47" s="32" t="s">
        <v>378</v>
      </c>
    </row>
    <row r="48" spans="1:17" ht="17.100000000000001" customHeight="1">
      <c r="A48" s="21">
        <v>45701</v>
      </c>
      <c r="B48" s="15" t="s">
        <v>114</v>
      </c>
      <c r="C48" s="16" t="s">
        <v>388</v>
      </c>
      <c r="D48" s="16" t="s">
        <v>48</v>
      </c>
      <c r="E48" s="16" t="s">
        <v>48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15</v>
      </c>
      <c r="O48" s="16" t="s">
        <v>368</v>
      </c>
      <c r="P48" s="15" t="s">
        <v>379</v>
      </c>
      <c r="Q48" s="32" t="s">
        <v>380</v>
      </c>
    </row>
    <row r="49" spans="1:18" ht="17.100000000000001" customHeight="1">
      <c r="A49" s="21">
        <v>45701</v>
      </c>
      <c r="B49" s="15" t="s">
        <v>222</v>
      </c>
      <c r="C49" s="16" t="s">
        <v>388</v>
      </c>
      <c r="D49" s="16" t="s">
        <v>48</v>
      </c>
      <c r="E49" s="16" t="s">
        <v>48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385</v>
      </c>
      <c r="N49" s="16">
        <v>94</v>
      </c>
      <c r="O49" s="16" t="s">
        <v>368</v>
      </c>
      <c r="P49" s="15" t="s">
        <v>381</v>
      </c>
      <c r="Q49" s="32" t="s">
        <v>382</v>
      </c>
    </row>
    <row r="50" spans="1:18" ht="17.100000000000001" customHeight="1">
      <c r="A50" s="21">
        <v>45702</v>
      </c>
      <c r="B50" s="15" t="s">
        <v>386</v>
      </c>
      <c r="C50" s="16" t="s">
        <v>389</v>
      </c>
      <c r="D50" s="16" t="s">
        <v>392</v>
      </c>
      <c r="E50" s="16" t="s">
        <v>387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25</v>
      </c>
      <c r="O50" s="16" t="s">
        <v>368</v>
      </c>
      <c r="P50" s="15" t="s">
        <v>395</v>
      </c>
      <c r="Q50" s="32" t="s">
        <v>394</v>
      </c>
    </row>
    <row r="51" spans="1:18" ht="17.100000000000001" customHeight="1">
      <c r="A51" s="21">
        <v>45702</v>
      </c>
      <c r="B51" s="15" t="s">
        <v>386</v>
      </c>
      <c r="C51" s="16" t="s">
        <v>389</v>
      </c>
      <c r="D51" s="16" t="s">
        <v>392</v>
      </c>
      <c r="E51" s="16" t="s">
        <v>390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54</v>
      </c>
      <c r="O51" s="16" t="s">
        <v>368</v>
      </c>
      <c r="P51" s="15" t="s">
        <v>395</v>
      </c>
      <c r="Q51" s="32" t="s">
        <v>394</v>
      </c>
      <c r="R51" s="32"/>
    </row>
    <row r="52" spans="1:18" ht="17.100000000000001" customHeight="1">
      <c r="A52" s="21">
        <v>45702</v>
      </c>
      <c r="B52" s="15" t="s">
        <v>386</v>
      </c>
      <c r="C52" s="16" t="s">
        <v>389</v>
      </c>
      <c r="D52" s="16" t="s">
        <v>392</v>
      </c>
      <c r="E52" s="16" t="s">
        <v>391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21</v>
      </c>
      <c r="O52" s="16" t="s">
        <v>368</v>
      </c>
      <c r="P52" s="15" t="s">
        <v>395</v>
      </c>
      <c r="Q52" s="32" t="s">
        <v>394</v>
      </c>
      <c r="R52" s="32"/>
    </row>
    <row r="53" spans="1:18" ht="17.100000000000001" customHeight="1">
      <c r="A53" s="21">
        <v>45702</v>
      </c>
      <c r="B53" s="15" t="s">
        <v>386</v>
      </c>
      <c r="C53" s="16" t="s">
        <v>389</v>
      </c>
      <c r="D53" s="16" t="s">
        <v>393</v>
      </c>
      <c r="E53" s="16" t="s">
        <v>391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6</v>
      </c>
      <c r="O53" s="16" t="s">
        <v>368</v>
      </c>
      <c r="P53" s="15" t="s">
        <v>395</v>
      </c>
      <c r="Q53" s="32" t="s">
        <v>394</v>
      </c>
      <c r="R53" s="32"/>
    </row>
    <row r="54" spans="1:18" ht="17.100000000000001" customHeight="1">
      <c r="A54" s="21">
        <v>45702</v>
      </c>
      <c r="B54" s="15" t="s">
        <v>386</v>
      </c>
      <c r="C54" s="16" t="s">
        <v>389</v>
      </c>
      <c r="D54" s="16" t="s">
        <v>393</v>
      </c>
      <c r="E54" s="16" t="s">
        <v>396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54</v>
      </c>
      <c r="O54" s="16" t="s">
        <v>368</v>
      </c>
      <c r="P54" s="15" t="s">
        <v>395</v>
      </c>
      <c r="Q54" s="32" t="s">
        <v>394</v>
      </c>
      <c r="R54" s="32"/>
    </row>
    <row r="55" spans="1:18" ht="17.100000000000001" customHeight="1">
      <c r="A55" s="21">
        <v>45702</v>
      </c>
      <c r="B55" s="15" t="s">
        <v>386</v>
      </c>
      <c r="C55" s="16" t="s">
        <v>389</v>
      </c>
      <c r="D55" s="16" t="s">
        <v>393</v>
      </c>
      <c r="E55" s="16" t="s">
        <v>398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40</v>
      </c>
      <c r="O55" s="16" t="s">
        <v>368</v>
      </c>
      <c r="P55" s="15" t="s">
        <v>395</v>
      </c>
      <c r="Q55" s="32" t="s">
        <v>394</v>
      </c>
    </row>
    <row r="56" spans="1:18" ht="17.100000000000001" customHeight="1">
      <c r="A56" s="21">
        <v>45702</v>
      </c>
      <c r="B56" s="15" t="s">
        <v>386</v>
      </c>
      <c r="C56" s="16" t="s">
        <v>389</v>
      </c>
      <c r="D56" s="16" t="s">
        <v>400</v>
      </c>
      <c r="E56" s="16" t="s">
        <v>398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14</v>
      </c>
      <c r="O56" s="16" t="s">
        <v>368</v>
      </c>
      <c r="P56" s="15" t="s">
        <v>395</v>
      </c>
      <c r="Q56" s="32" t="s">
        <v>394</v>
      </c>
    </row>
    <row r="57" spans="1:18" ht="17.100000000000001" customHeight="1">
      <c r="A57" s="21">
        <v>45702</v>
      </c>
      <c r="B57" s="15" t="s">
        <v>386</v>
      </c>
      <c r="C57" s="16" t="s">
        <v>389</v>
      </c>
      <c r="D57" s="16" t="s">
        <v>400</v>
      </c>
      <c r="E57" s="16" t="s">
        <v>397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54</v>
      </c>
      <c r="O57" s="16" t="s">
        <v>368</v>
      </c>
      <c r="P57" s="15" t="s">
        <v>395</v>
      </c>
      <c r="Q57" s="32" t="s">
        <v>394</v>
      </c>
    </row>
    <row r="58" spans="1:18" ht="17.100000000000001" customHeight="1">
      <c r="A58" s="21">
        <v>45702</v>
      </c>
      <c r="B58" s="15" t="s">
        <v>386</v>
      </c>
      <c r="C58" s="16" t="s">
        <v>389</v>
      </c>
      <c r="D58" s="16" t="s">
        <v>400</v>
      </c>
      <c r="E58" s="16" t="s">
        <v>401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27</v>
      </c>
      <c r="O58" s="16" t="s">
        <v>368</v>
      </c>
      <c r="P58" s="15" t="s">
        <v>395</v>
      </c>
      <c r="Q58" s="32" t="s">
        <v>394</v>
      </c>
    </row>
    <row r="59" spans="1:18" ht="17.100000000000001" customHeight="1">
      <c r="A59" s="21">
        <v>45702</v>
      </c>
      <c r="B59" s="15" t="s">
        <v>386</v>
      </c>
      <c r="C59" s="16" t="s">
        <v>389</v>
      </c>
      <c r="D59" s="16" t="s">
        <v>400</v>
      </c>
      <c r="E59" s="16" t="s">
        <v>399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5</v>
      </c>
      <c r="O59" s="16" t="s">
        <v>368</v>
      </c>
      <c r="P59" s="15" t="s">
        <v>395</v>
      </c>
      <c r="Q59" s="32" t="s">
        <v>394</v>
      </c>
    </row>
    <row r="60" spans="1:18" ht="17.100000000000001" customHeight="1">
      <c r="A60" s="21">
        <v>45702</v>
      </c>
      <c r="B60" s="15" t="s">
        <v>386</v>
      </c>
      <c r="C60" s="16" t="s">
        <v>389</v>
      </c>
      <c r="D60" s="16" t="s">
        <v>402</v>
      </c>
      <c r="E60" s="16" t="s">
        <v>399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49</v>
      </c>
      <c r="O60" s="16" t="s">
        <v>368</v>
      </c>
      <c r="P60" s="15" t="s">
        <v>395</v>
      </c>
      <c r="Q60" s="32" t="s">
        <v>394</v>
      </c>
    </row>
    <row r="61" spans="1:18" ht="17.100000000000001" customHeight="1">
      <c r="A61" s="21">
        <v>45702</v>
      </c>
      <c r="B61" s="15" t="s">
        <v>386</v>
      </c>
      <c r="C61" s="16" t="s">
        <v>389</v>
      </c>
      <c r="D61" s="16" t="s">
        <v>402</v>
      </c>
      <c r="E61" s="16" t="s">
        <v>403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27</v>
      </c>
      <c r="O61" s="16" t="s">
        <v>368</v>
      </c>
      <c r="P61" s="15" t="s">
        <v>395</v>
      </c>
      <c r="Q61" s="32" t="s">
        <v>394</v>
      </c>
    </row>
    <row r="62" spans="1:18" ht="17.100000000000001" customHeight="1">
      <c r="A62" s="21">
        <v>45702</v>
      </c>
      <c r="B62" s="15" t="s">
        <v>386</v>
      </c>
      <c r="C62" s="16" t="s">
        <v>389</v>
      </c>
      <c r="D62" s="16" t="s">
        <v>402</v>
      </c>
      <c r="E62" s="16" t="s">
        <v>404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24</v>
      </c>
      <c r="O62" s="16" t="s">
        <v>368</v>
      </c>
      <c r="P62" s="15" t="s">
        <v>395</v>
      </c>
      <c r="Q62" s="32" t="s">
        <v>394</v>
      </c>
    </row>
    <row r="63" spans="1:18" ht="17.100000000000001" customHeight="1">
      <c r="A63" s="21">
        <v>45702</v>
      </c>
      <c r="B63" s="15" t="s">
        <v>386</v>
      </c>
      <c r="C63" s="16" t="s">
        <v>389</v>
      </c>
      <c r="D63" s="16" t="s">
        <v>406</v>
      </c>
      <c r="E63" s="16" t="s">
        <v>404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3</v>
      </c>
      <c r="O63" s="16" t="s">
        <v>368</v>
      </c>
      <c r="P63" s="15" t="s">
        <v>395</v>
      </c>
      <c r="Q63" s="32" t="s">
        <v>394</v>
      </c>
    </row>
    <row r="64" spans="1:18" ht="17.100000000000001" customHeight="1">
      <c r="A64" s="21">
        <v>45702</v>
      </c>
      <c r="B64" s="15" t="s">
        <v>386</v>
      </c>
      <c r="C64" s="16" t="s">
        <v>389</v>
      </c>
      <c r="D64" s="16" t="s">
        <v>406</v>
      </c>
      <c r="E64" s="16" t="s">
        <v>405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22</v>
      </c>
      <c r="O64" s="16" t="s">
        <v>368</v>
      </c>
      <c r="P64" s="15" t="s">
        <v>395</v>
      </c>
      <c r="Q64" s="32" t="s">
        <v>394</v>
      </c>
    </row>
    <row r="65" spans="1:17" ht="17.100000000000001" customHeight="1">
      <c r="A65" s="21">
        <v>45705</v>
      </c>
      <c r="B65" s="15" t="s">
        <v>386</v>
      </c>
      <c r="C65" s="16" t="s">
        <v>407</v>
      </c>
      <c r="D65" s="16" t="s">
        <v>411</v>
      </c>
      <c r="E65" s="16" t="s">
        <v>405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5</v>
      </c>
      <c r="O65" s="16" t="s">
        <v>368</v>
      </c>
      <c r="P65" s="15" t="s">
        <v>395</v>
      </c>
      <c r="Q65" s="32" t="s">
        <v>394</v>
      </c>
    </row>
    <row r="66" spans="1:17" ht="17.100000000000001" customHeight="1">
      <c r="A66" s="21">
        <v>45705</v>
      </c>
      <c r="B66" s="15" t="s">
        <v>386</v>
      </c>
      <c r="C66" s="16" t="s">
        <v>407</v>
      </c>
      <c r="D66" s="16" t="s">
        <v>411</v>
      </c>
      <c r="E66" s="16" t="s">
        <v>408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40</v>
      </c>
      <c r="O66" s="16" t="s">
        <v>368</v>
      </c>
      <c r="P66" s="15" t="s">
        <v>395</v>
      </c>
      <c r="Q66" s="32" t="s">
        <v>394</v>
      </c>
    </row>
    <row r="67" spans="1:17" ht="17.100000000000001" customHeight="1">
      <c r="A67" s="21">
        <v>45705</v>
      </c>
      <c r="B67" s="15" t="s">
        <v>386</v>
      </c>
      <c r="C67" s="16" t="s">
        <v>407</v>
      </c>
      <c r="D67" s="16" t="s">
        <v>411</v>
      </c>
      <c r="E67" s="16" t="s">
        <v>409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27</v>
      </c>
      <c r="O67" s="16" t="s">
        <v>368</v>
      </c>
      <c r="P67" s="15" t="s">
        <v>395</v>
      </c>
      <c r="Q67" s="32" t="s">
        <v>394</v>
      </c>
    </row>
    <row r="68" spans="1:17" ht="17.100000000000001" customHeight="1">
      <c r="A68" s="21">
        <v>45705</v>
      </c>
      <c r="B68" s="15" t="s">
        <v>386</v>
      </c>
      <c r="C68" s="16" t="s">
        <v>407</v>
      </c>
      <c r="D68" s="16" t="s">
        <v>411</v>
      </c>
      <c r="E68" s="16" t="s">
        <v>410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3</v>
      </c>
      <c r="O68" s="16" t="s">
        <v>368</v>
      </c>
      <c r="P68" s="15" t="s">
        <v>395</v>
      </c>
      <c r="Q68" s="32" t="s">
        <v>394</v>
      </c>
    </row>
    <row r="69" spans="1:17" ht="17.100000000000001" customHeight="1">
      <c r="A69" s="21">
        <v>45706</v>
      </c>
      <c r="B69" s="15" t="s">
        <v>29</v>
      </c>
      <c r="C69" s="16" t="s">
        <v>422</v>
      </c>
      <c r="D69" s="16" t="s">
        <v>412</v>
      </c>
      <c r="E69" s="16" t="s">
        <v>48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100</v>
      </c>
      <c r="O69" s="16" t="s">
        <v>368</v>
      </c>
      <c r="P69" s="15" t="s">
        <v>416</v>
      </c>
      <c r="Q69" s="32" t="s">
        <v>430</v>
      </c>
    </row>
    <row r="70" spans="1:17" ht="17.100000000000001" customHeight="1">
      <c r="A70" s="21">
        <v>45706</v>
      </c>
      <c r="B70" s="15" t="s">
        <v>29</v>
      </c>
      <c r="C70" s="16" t="s">
        <v>422</v>
      </c>
      <c r="D70" s="16" t="s">
        <v>413</v>
      </c>
      <c r="E70" s="16" t="s">
        <v>48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100</v>
      </c>
      <c r="O70" s="16" t="s">
        <v>368</v>
      </c>
      <c r="P70" s="15" t="s">
        <v>416</v>
      </c>
      <c r="Q70" s="32" t="s">
        <v>430</v>
      </c>
    </row>
    <row r="71" spans="1:17" ht="17.100000000000001" customHeight="1">
      <c r="A71" s="21">
        <v>45706</v>
      </c>
      <c r="B71" s="15" t="s">
        <v>29</v>
      </c>
      <c r="C71" s="16" t="s">
        <v>422</v>
      </c>
      <c r="D71" s="16" t="s">
        <v>414</v>
      </c>
      <c r="E71" s="16" t="s">
        <v>48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100</v>
      </c>
      <c r="O71" s="16" t="s">
        <v>368</v>
      </c>
      <c r="P71" s="15" t="s">
        <v>416</v>
      </c>
      <c r="Q71" s="32" t="s">
        <v>430</v>
      </c>
    </row>
    <row r="72" spans="1:17" ht="17.100000000000001" customHeight="1">
      <c r="A72" s="21">
        <v>45706</v>
      </c>
      <c r="B72" s="15" t="s">
        <v>29</v>
      </c>
      <c r="C72" s="16" t="s">
        <v>422</v>
      </c>
      <c r="D72" s="16" t="s">
        <v>262</v>
      </c>
      <c r="E72" s="16" t="s">
        <v>48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100</v>
      </c>
      <c r="O72" s="16" t="s">
        <v>368</v>
      </c>
      <c r="P72" s="15" t="s">
        <v>416</v>
      </c>
      <c r="Q72" s="32" t="s">
        <v>430</v>
      </c>
    </row>
    <row r="73" spans="1:17" ht="17.100000000000001" customHeight="1">
      <c r="A73" s="21">
        <v>45706</v>
      </c>
      <c r="B73" s="15" t="s">
        <v>29</v>
      </c>
      <c r="C73" s="16" t="s">
        <v>422</v>
      </c>
      <c r="D73" s="16" t="s">
        <v>415</v>
      </c>
      <c r="E73" s="16" t="s">
        <v>48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100</v>
      </c>
      <c r="O73" s="16" t="s">
        <v>368</v>
      </c>
      <c r="P73" s="15" t="s">
        <v>416</v>
      </c>
      <c r="Q73" s="32" t="s">
        <v>430</v>
      </c>
    </row>
    <row r="74" spans="1:17" ht="17.100000000000001" customHeight="1">
      <c r="A74" s="21">
        <v>45706</v>
      </c>
      <c r="B74" s="15" t="s">
        <v>29</v>
      </c>
      <c r="C74" s="16" t="s">
        <v>422</v>
      </c>
      <c r="D74" s="16"/>
      <c r="E74" s="16" t="s">
        <v>48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25</v>
      </c>
      <c r="O74" s="16" t="s">
        <v>368</v>
      </c>
      <c r="P74" s="15" t="s">
        <v>416</v>
      </c>
      <c r="Q74" s="32" t="s">
        <v>430</v>
      </c>
    </row>
    <row r="75" spans="1:17" ht="17.100000000000001" customHeight="1">
      <c r="A75" s="21">
        <v>45706</v>
      </c>
      <c r="B75" s="15" t="s">
        <v>417</v>
      </c>
      <c r="C75" s="16" t="s">
        <v>422</v>
      </c>
      <c r="D75" s="16" t="s">
        <v>48</v>
      </c>
      <c r="E75" s="16" t="s">
        <v>48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40</v>
      </c>
      <c r="O75" s="16" t="s">
        <v>368</v>
      </c>
      <c r="P75" s="15" t="s">
        <v>418</v>
      </c>
      <c r="Q75" s="32" t="s">
        <v>431</v>
      </c>
    </row>
    <row r="76" spans="1:17" ht="17.100000000000001" customHeight="1">
      <c r="A76" s="21">
        <v>45706</v>
      </c>
      <c r="B76" s="15" t="s">
        <v>419</v>
      </c>
      <c r="C76" s="16" t="s">
        <v>422</v>
      </c>
      <c r="D76" s="16" t="s">
        <v>48</v>
      </c>
      <c r="E76" s="16" t="s">
        <v>48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20</v>
      </c>
      <c r="O76" s="16" t="s">
        <v>55</v>
      </c>
      <c r="P76" s="15" t="s">
        <v>425</v>
      </c>
      <c r="Q76" s="32" t="s">
        <v>432</v>
      </c>
    </row>
    <row r="77" spans="1:17" ht="17.100000000000001" customHeight="1">
      <c r="A77" s="21">
        <v>45706</v>
      </c>
      <c r="B77" s="15" t="s">
        <v>222</v>
      </c>
      <c r="C77" s="16" t="s">
        <v>422</v>
      </c>
      <c r="D77" s="16" t="s">
        <v>48</v>
      </c>
      <c r="E77" s="16" t="s">
        <v>48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423</v>
      </c>
      <c r="N77" s="16">
        <v>4</v>
      </c>
      <c r="O77" s="16" t="s">
        <v>55</v>
      </c>
      <c r="P77" s="15" t="s">
        <v>426</v>
      </c>
      <c r="Q77" s="32" t="s">
        <v>433</v>
      </c>
    </row>
    <row r="78" spans="1:17" ht="17.100000000000001" customHeight="1">
      <c r="A78" s="21">
        <v>45706</v>
      </c>
      <c r="B78" s="15" t="s">
        <v>420</v>
      </c>
      <c r="C78" s="16" t="s">
        <v>422</v>
      </c>
      <c r="D78" s="16" t="s">
        <v>48</v>
      </c>
      <c r="E78" s="16" t="s">
        <v>48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424</v>
      </c>
      <c r="N78" s="16">
        <v>50</v>
      </c>
      <c r="O78" s="16" t="s">
        <v>55</v>
      </c>
      <c r="P78" s="15" t="s">
        <v>427</v>
      </c>
      <c r="Q78" s="32" t="s">
        <v>436</v>
      </c>
    </row>
    <row r="79" spans="1:17" ht="17.100000000000001" customHeight="1">
      <c r="A79" s="21">
        <v>45706</v>
      </c>
      <c r="B79" s="15" t="s">
        <v>421</v>
      </c>
      <c r="C79" s="16" t="s">
        <v>422</v>
      </c>
      <c r="D79" s="16" t="s">
        <v>48</v>
      </c>
      <c r="E79" s="16" t="s">
        <v>48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100</v>
      </c>
      <c r="O79" s="16" t="s">
        <v>55</v>
      </c>
      <c r="P79" s="15" t="s">
        <v>428</v>
      </c>
      <c r="Q79" s="32" t="s">
        <v>435</v>
      </c>
    </row>
    <row r="80" spans="1:17" ht="17.100000000000001" customHeight="1">
      <c r="A80" s="21">
        <v>45706</v>
      </c>
      <c r="B80" s="15" t="s">
        <v>41</v>
      </c>
      <c r="C80" s="16" t="s">
        <v>422</v>
      </c>
      <c r="D80" s="16" t="s">
        <v>367</v>
      </c>
      <c r="E80" s="16" t="s">
        <v>48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96</v>
      </c>
      <c r="O80" s="16" t="s">
        <v>368</v>
      </c>
      <c r="P80" s="16" t="s">
        <v>429</v>
      </c>
      <c r="Q80" s="32" t="s">
        <v>434</v>
      </c>
    </row>
    <row r="81" spans="1:17" ht="17.100000000000001" customHeight="1">
      <c r="A81" s="21">
        <v>45707</v>
      </c>
      <c r="B81" s="15" t="s">
        <v>41</v>
      </c>
      <c r="C81" s="16" t="s">
        <v>422</v>
      </c>
      <c r="D81" s="16" t="s">
        <v>367</v>
      </c>
      <c r="E81" s="16" t="s">
        <v>48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144</v>
      </c>
      <c r="O81" s="16" t="s">
        <v>368</v>
      </c>
      <c r="P81" s="16" t="s">
        <v>429</v>
      </c>
      <c r="Q81" s="32" t="s">
        <v>434</v>
      </c>
    </row>
    <row r="82" spans="1:17">
      <c r="A82" s="21">
        <v>45707</v>
      </c>
      <c r="B82" s="15" t="s">
        <v>28</v>
      </c>
      <c r="C82" s="16" t="s">
        <v>422</v>
      </c>
      <c r="D82" s="16" t="s">
        <v>437</v>
      </c>
      <c r="E82" s="16" t="s">
        <v>438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25</v>
      </c>
      <c r="O82" s="16" t="s">
        <v>368</v>
      </c>
      <c r="P82" s="16" t="s">
        <v>439</v>
      </c>
      <c r="Q82" s="32" t="s">
        <v>432</v>
      </c>
    </row>
    <row r="83" spans="1:17">
      <c r="A83" s="21">
        <v>45707</v>
      </c>
      <c r="B83" s="15" t="s">
        <v>28</v>
      </c>
      <c r="C83" s="16" t="s">
        <v>422</v>
      </c>
      <c r="D83" s="16" t="s">
        <v>366</v>
      </c>
      <c r="E83" s="16" t="s">
        <v>438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15</v>
      </c>
      <c r="O83" s="16" t="s">
        <v>368</v>
      </c>
      <c r="P83" s="16" t="s">
        <v>439</v>
      </c>
      <c r="Q83" s="32" t="s">
        <v>432</v>
      </c>
    </row>
    <row r="84" spans="1:17">
      <c r="A84" s="21">
        <v>45707</v>
      </c>
      <c r="B84" s="17" t="s">
        <v>440</v>
      </c>
      <c r="C84" s="16" t="s">
        <v>441</v>
      </c>
      <c r="D84" s="16" t="s">
        <v>455</v>
      </c>
      <c r="E84" s="16" t="s">
        <v>424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500</v>
      </c>
      <c r="O84" s="16" t="s">
        <v>368</v>
      </c>
      <c r="P84" s="16" t="s">
        <v>442</v>
      </c>
      <c r="Q84" s="32" t="s">
        <v>436</v>
      </c>
    </row>
    <row r="85" spans="1:17">
      <c r="A85" s="21">
        <v>45708</v>
      </c>
      <c r="B85" s="15" t="s">
        <v>29</v>
      </c>
      <c r="C85" s="16" t="s">
        <v>443</v>
      </c>
      <c r="D85" s="16" t="s">
        <v>444</v>
      </c>
      <c r="E85" s="16" t="s">
        <v>48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75</v>
      </c>
      <c r="O85" s="16" t="s">
        <v>368</v>
      </c>
      <c r="P85" s="16" t="s">
        <v>453</v>
      </c>
      <c r="Q85" s="32" t="s">
        <v>454</v>
      </c>
    </row>
    <row r="86" spans="1:17">
      <c r="A86" s="21">
        <v>45708</v>
      </c>
      <c r="B86" s="15" t="s">
        <v>29</v>
      </c>
      <c r="C86" s="16" t="s">
        <v>443</v>
      </c>
      <c r="D86" s="16" t="s">
        <v>445</v>
      </c>
      <c r="E86" s="16" t="s">
        <v>48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200</v>
      </c>
      <c r="O86" s="16" t="s">
        <v>368</v>
      </c>
      <c r="P86" s="16" t="s">
        <v>453</v>
      </c>
      <c r="Q86" s="32" t="s">
        <v>454</v>
      </c>
    </row>
    <row r="87" spans="1:17">
      <c r="A87" s="21">
        <v>45708</v>
      </c>
      <c r="B87" s="15" t="s">
        <v>29</v>
      </c>
      <c r="C87" s="16" t="s">
        <v>443</v>
      </c>
      <c r="D87" s="16" t="s">
        <v>446</v>
      </c>
      <c r="E87" s="16" t="s">
        <v>48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100</v>
      </c>
      <c r="O87" s="16" t="s">
        <v>368</v>
      </c>
      <c r="P87" s="16" t="s">
        <v>453</v>
      </c>
      <c r="Q87" s="32" t="s">
        <v>454</v>
      </c>
    </row>
    <row r="88" spans="1:17">
      <c r="A88" s="21">
        <v>45708</v>
      </c>
      <c r="B88" s="15" t="s">
        <v>29</v>
      </c>
      <c r="C88" s="16" t="s">
        <v>443</v>
      </c>
      <c r="D88" s="16" t="s">
        <v>447</v>
      </c>
      <c r="E88" s="16" t="s">
        <v>48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100</v>
      </c>
      <c r="O88" s="16" t="s">
        <v>368</v>
      </c>
      <c r="P88" s="16" t="s">
        <v>453</v>
      </c>
      <c r="Q88" s="32" t="s">
        <v>454</v>
      </c>
    </row>
    <row r="89" spans="1:17">
      <c r="A89" s="21">
        <v>45708</v>
      </c>
      <c r="B89" s="15" t="s">
        <v>29</v>
      </c>
      <c r="C89" s="16" t="s">
        <v>443</v>
      </c>
      <c r="D89" s="16" t="s">
        <v>448</v>
      </c>
      <c r="E89" s="16" t="s">
        <v>48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100</v>
      </c>
      <c r="O89" s="16" t="s">
        <v>368</v>
      </c>
      <c r="P89" s="16" t="s">
        <v>453</v>
      </c>
      <c r="Q89" s="32" t="s">
        <v>454</v>
      </c>
    </row>
    <row r="90" spans="1:17">
      <c r="A90" s="21">
        <v>45708</v>
      </c>
      <c r="B90" s="15" t="s">
        <v>29</v>
      </c>
      <c r="C90" s="16" t="s">
        <v>443</v>
      </c>
      <c r="D90" s="16" t="s">
        <v>449</v>
      </c>
      <c r="E90" s="16" t="s">
        <v>48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50</v>
      </c>
      <c r="O90" s="16" t="s">
        <v>368</v>
      </c>
      <c r="P90" s="16" t="s">
        <v>453</v>
      </c>
      <c r="Q90" s="32" t="s">
        <v>454</v>
      </c>
    </row>
    <row r="91" spans="1:17">
      <c r="A91" s="21">
        <v>45708</v>
      </c>
      <c r="B91" s="15" t="s">
        <v>29</v>
      </c>
      <c r="C91" s="16" t="s">
        <v>443</v>
      </c>
      <c r="D91" s="16" t="s">
        <v>450</v>
      </c>
      <c r="E91" s="16" t="s">
        <v>48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100</v>
      </c>
      <c r="O91" s="16" t="s">
        <v>368</v>
      </c>
      <c r="P91" s="16" t="s">
        <v>453</v>
      </c>
      <c r="Q91" s="32" t="s">
        <v>454</v>
      </c>
    </row>
    <row r="92" spans="1:17">
      <c r="A92" s="21">
        <v>45708</v>
      </c>
      <c r="B92" s="15" t="s">
        <v>29</v>
      </c>
      <c r="C92" s="16" t="s">
        <v>443</v>
      </c>
      <c r="D92" s="16" t="s">
        <v>451</v>
      </c>
      <c r="E92" s="16" t="s">
        <v>48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100</v>
      </c>
      <c r="O92" s="16" t="s">
        <v>368</v>
      </c>
      <c r="P92" s="16" t="s">
        <v>453</v>
      </c>
      <c r="Q92" s="32" t="s">
        <v>454</v>
      </c>
    </row>
    <row r="93" spans="1:17">
      <c r="A93" s="21">
        <v>45708</v>
      </c>
      <c r="B93" s="15" t="s">
        <v>29</v>
      </c>
      <c r="C93" s="16" t="s">
        <v>443</v>
      </c>
      <c r="D93" s="16" t="s">
        <v>452</v>
      </c>
      <c r="E93" s="16" t="s">
        <v>48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100</v>
      </c>
      <c r="O93" s="16" t="s">
        <v>368</v>
      </c>
      <c r="P93" s="16" t="s">
        <v>453</v>
      </c>
      <c r="Q93" s="32" t="s">
        <v>454</v>
      </c>
    </row>
    <row r="94" spans="1:17">
      <c r="A94" s="21">
        <v>45708</v>
      </c>
      <c r="B94" s="15" t="s">
        <v>29</v>
      </c>
      <c r="C94" s="16" t="s">
        <v>443</v>
      </c>
      <c r="D94" s="16" t="s">
        <v>444</v>
      </c>
      <c r="E94" s="16" t="s">
        <v>48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200</v>
      </c>
      <c r="O94" s="16" t="s">
        <v>368</v>
      </c>
      <c r="P94" s="16" t="s">
        <v>453</v>
      </c>
      <c r="Q94" s="32" t="s">
        <v>454</v>
      </c>
    </row>
    <row r="95" spans="1:17">
      <c r="A95" s="21">
        <v>45712</v>
      </c>
      <c r="B95" s="15" t="s">
        <v>79</v>
      </c>
      <c r="C95" s="16" t="s">
        <v>456</v>
      </c>
      <c r="D95" s="16" t="s">
        <v>457</v>
      </c>
      <c r="E95" s="16" t="s">
        <v>458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54</v>
      </c>
      <c r="O95" s="16" t="s">
        <v>368</v>
      </c>
      <c r="P95" s="16" t="s">
        <v>480</v>
      </c>
      <c r="Q95" s="32" t="s">
        <v>481</v>
      </c>
    </row>
    <row r="96" spans="1:17">
      <c r="A96" s="21">
        <v>45712</v>
      </c>
      <c r="B96" s="15" t="s">
        <v>79</v>
      </c>
      <c r="C96" s="16" t="s">
        <v>456</v>
      </c>
      <c r="D96" s="16" t="s">
        <v>457</v>
      </c>
      <c r="E96" s="16" t="s">
        <v>459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46</v>
      </c>
      <c r="O96" s="16" t="s">
        <v>368</v>
      </c>
      <c r="P96" s="16" t="s">
        <v>480</v>
      </c>
      <c r="Q96" s="32" t="s">
        <v>481</v>
      </c>
    </row>
    <row r="97" spans="1:17">
      <c r="A97" s="21">
        <v>45712</v>
      </c>
      <c r="B97" s="15" t="s">
        <v>79</v>
      </c>
      <c r="C97" s="16" t="s">
        <v>456</v>
      </c>
      <c r="D97" s="16" t="s">
        <v>460</v>
      </c>
      <c r="E97" s="16" t="s">
        <v>459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8</v>
      </c>
      <c r="O97" s="16" t="s">
        <v>368</v>
      </c>
      <c r="P97" s="16" t="s">
        <v>480</v>
      </c>
      <c r="Q97" s="32" t="s">
        <v>481</v>
      </c>
    </row>
    <row r="98" spans="1:17">
      <c r="A98" s="21">
        <v>45712</v>
      </c>
      <c r="B98" s="15" t="s">
        <v>79</v>
      </c>
      <c r="C98" s="16" t="s">
        <v>456</v>
      </c>
      <c r="D98" s="16" t="s">
        <v>460</v>
      </c>
      <c r="E98" s="16" t="s">
        <v>461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54</v>
      </c>
      <c r="O98" s="16" t="s">
        <v>368</v>
      </c>
      <c r="P98" s="16" t="s">
        <v>480</v>
      </c>
      <c r="Q98" s="32" t="s">
        <v>481</v>
      </c>
    </row>
    <row r="99" spans="1:17">
      <c r="A99" s="21">
        <v>45712</v>
      </c>
      <c r="B99" s="15" t="s">
        <v>79</v>
      </c>
      <c r="C99" s="16" t="s">
        <v>456</v>
      </c>
      <c r="D99" s="16" t="s">
        <v>460</v>
      </c>
      <c r="E99" s="16" t="s">
        <v>462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27</v>
      </c>
      <c r="O99" s="16" t="s">
        <v>368</v>
      </c>
      <c r="P99" s="16" t="s">
        <v>480</v>
      </c>
      <c r="Q99" s="32" t="s">
        <v>481</v>
      </c>
    </row>
    <row r="100" spans="1:17">
      <c r="A100" s="21">
        <v>45712</v>
      </c>
      <c r="B100" s="15" t="s">
        <v>79</v>
      </c>
      <c r="C100" s="16" t="s">
        <v>456</v>
      </c>
      <c r="D100" s="16" t="s">
        <v>460</v>
      </c>
      <c r="E100" s="16" t="s">
        <v>463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11</v>
      </c>
      <c r="O100" s="16" t="s">
        <v>368</v>
      </c>
      <c r="P100" s="16" t="s">
        <v>480</v>
      </c>
      <c r="Q100" s="32" t="s">
        <v>481</v>
      </c>
    </row>
    <row r="101" spans="1:17">
      <c r="A101" s="21">
        <v>45712</v>
      </c>
      <c r="B101" s="15" t="s">
        <v>79</v>
      </c>
      <c r="C101" s="16" t="s">
        <v>456</v>
      </c>
      <c r="D101" s="16" t="s">
        <v>448</v>
      </c>
      <c r="E101" s="16" t="s">
        <v>463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16</v>
      </c>
      <c r="O101" s="16" t="s">
        <v>368</v>
      </c>
      <c r="P101" s="16" t="s">
        <v>480</v>
      </c>
      <c r="Q101" s="32" t="s">
        <v>481</v>
      </c>
    </row>
    <row r="102" spans="1:17">
      <c r="A102" s="21">
        <v>45712</v>
      </c>
      <c r="B102" s="15" t="s">
        <v>79</v>
      </c>
      <c r="C102" s="16" t="s">
        <v>456</v>
      </c>
      <c r="D102" s="16" t="s">
        <v>448</v>
      </c>
      <c r="E102" s="16" t="s">
        <v>462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27</v>
      </c>
      <c r="O102" s="16" t="s">
        <v>368</v>
      </c>
      <c r="P102" s="16" t="s">
        <v>480</v>
      </c>
      <c r="Q102" s="32" t="s">
        <v>481</v>
      </c>
    </row>
    <row r="103" spans="1:17">
      <c r="A103" s="21">
        <v>45712</v>
      </c>
      <c r="B103" s="15" t="s">
        <v>79</v>
      </c>
      <c r="C103" s="16" t="s">
        <v>456</v>
      </c>
      <c r="D103" s="16" t="s">
        <v>448</v>
      </c>
      <c r="E103" s="16" t="s">
        <v>464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57</v>
      </c>
      <c r="O103" s="16" t="s">
        <v>368</v>
      </c>
      <c r="P103" s="16" t="s">
        <v>480</v>
      </c>
      <c r="Q103" s="32" t="s">
        <v>481</v>
      </c>
    </row>
    <row r="104" spans="1:17">
      <c r="A104" s="21">
        <v>45712</v>
      </c>
      <c r="B104" s="15" t="s">
        <v>62</v>
      </c>
      <c r="C104" s="16" t="s">
        <v>456</v>
      </c>
      <c r="D104" s="16" t="s">
        <v>465</v>
      </c>
      <c r="E104" s="16" t="s">
        <v>464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60</v>
      </c>
      <c r="O104" s="16" t="s">
        <v>468</v>
      </c>
      <c r="P104" s="16" t="s">
        <v>483</v>
      </c>
      <c r="Q104" s="32" t="s">
        <v>500</v>
      </c>
    </row>
    <row r="105" spans="1:17">
      <c r="A105" s="21">
        <v>45712</v>
      </c>
      <c r="B105" s="15" t="s">
        <v>374</v>
      </c>
      <c r="C105" s="16" t="s">
        <v>456</v>
      </c>
      <c r="D105" s="16" t="s">
        <v>465</v>
      </c>
      <c r="E105" s="16" t="s">
        <v>464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125</v>
      </c>
      <c r="O105" s="16" t="s">
        <v>368</v>
      </c>
      <c r="P105" s="16" t="s">
        <v>484</v>
      </c>
      <c r="Q105" s="32" t="s">
        <v>482</v>
      </c>
    </row>
    <row r="106" spans="1:17">
      <c r="A106" s="21">
        <v>45712</v>
      </c>
      <c r="B106" s="15" t="s">
        <v>143</v>
      </c>
      <c r="C106" s="16" t="s">
        <v>456</v>
      </c>
      <c r="D106" s="16" t="s">
        <v>467</v>
      </c>
      <c r="E106" s="16" t="s">
        <v>464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100</v>
      </c>
      <c r="O106" s="16" t="s">
        <v>368</v>
      </c>
      <c r="P106" s="16" t="s">
        <v>484</v>
      </c>
      <c r="Q106" s="32" t="s">
        <v>490</v>
      </c>
    </row>
    <row r="107" spans="1:17">
      <c r="A107" s="21">
        <v>45712</v>
      </c>
      <c r="B107" s="15" t="s">
        <v>143</v>
      </c>
      <c r="C107" s="16" t="s">
        <v>456</v>
      </c>
      <c r="D107" s="16" t="s">
        <v>466</v>
      </c>
      <c r="E107" s="16" t="s">
        <v>464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80</v>
      </c>
      <c r="O107" s="16" t="s">
        <v>368</v>
      </c>
      <c r="P107" s="16" t="s">
        <v>484</v>
      </c>
      <c r="Q107" s="32" t="s">
        <v>490</v>
      </c>
    </row>
    <row r="108" spans="1:17">
      <c r="A108" s="21">
        <v>45713</v>
      </c>
      <c r="B108" s="15" t="s">
        <v>24</v>
      </c>
      <c r="C108" s="16" t="s">
        <v>472</v>
      </c>
      <c r="D108" s="16" t="s">
        <v>48</v>
      </c>
      <c r="E108" s="16" t="s">
        <v>48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100</v>
      </c>
      <c r="O108" s="16" t="s">
        <v>233</v>
      </c>
      <c r="P108" s="16" t="s">
        <v>487</v>
      </c>
      <c r="Q108" s="32" t="s">
        <v>486</v>
      </c>
    </row>
    <row r="109" spans="1:17">
      <c r="A109" s="21">
        <v>45713</v>
      </c>
      <c r="B109" s="15" t="s">
        <v>469</v>
      </c>
      <c r="C109" s="16" t="s">
        <v>472</v>
      </c>
      <c r="D109" s="16" t="s">
        <v>48</v>
      </c>
      <c r="E109" s="16" t="s">
        <v>467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4</v>
      </c>
      <c r="O109" s="16" t="s">
        <v>479</v>
      </c>
      <c r="P109" s="16" t="s">
        <v>488</v>
      </c>
      <c r="Q109" s="32" t="s">
        <v>491</v>
      </c>
    </row>
    <row r="110" spans="1:17">
      <c r="A110" s="21">
        <v>45713</v>
      </c>
      <c r="B110" s="15" t="s">
        <v>140</v>
      </c>
      <c r="C110" s="16" t="s">
        <v>472</v>
      </c>
      <c r="D110" s="16" t="s">
        <v>473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10</v>
      </c>
      <c r="O110" s="16" t="s">
        <v>479</v>
      </c>
      <c r="P110" s="16" t="s">
        <v>489</v>
      </c>
      <c r="Q110" s="32" t="s">
        <v>485</v>
      </c>
    </row>
    <row r="111" spans="1:17">
      <c r="A111" s="21">
        <v>45713</v>
      </c>
      <c r="B111" s="15" t="s">
        <v>112</v>
      </c>
      <c r="C111" s="16" t="s">
        <v>472</v>
      </c>
      <c r="D111" s="16" t="s">
        <v>48</v>
      </c>
      <c r="E111" s="16" t="s">
        <v>48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10</v>
      </c>
      <c r="O111" s="16" t="s">
        <v>233</v>
      </c>
      <c r="P111" s="16" t="s">
        <v>492</v>
      </c>
      <c r="Q111" s="32" t="s">
        <v>493</v>
      </c>
    </row>
    <row r="112" spans="1:17">
      <c r="A112" s="21">
        <v>45713</v>
      </c>
      <c r="B112" s="15" t="s">
        <v>222</v>
      </c>
      <c r="C112" s="16" t="s">
        <v>472</v>
      </c>
      <c r="D112" s="16" t="s">
        <v>48</v>
      </c>
      <c r="E112" s="16" t="s">
        <v>48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474</v>
      </c>
      <c r="N112" s="16">
        <v>77</v>
      </c>
      <c r="O112" s="16" t="s">
        <v>233</v>
      </c>
      <c r="P112" s="16" t="s">
        <v>494</v>
      </c>
      <c r="Q112" s="32" t="s">
        <v>495</v>
      </c>
    </row>
    <row r="113" spans="1:17">
      <c r="A113" s="21">
        <v>45713</v>
      </c>
      <c r="B113" s="15" t="s">
        <v>470</v>
      </c>
      <c r="C113" s="16" t="s">
        <v>472</v>
      </c>
      <c r="D113" s="16" t="s">
        <v>48</v>
      </c>
      <c r="E113" s="16" t="s">
        <v>48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10</v>
      </c>
      <c r="O113" s="16" t="s">
        <v>233</v>
      </c>
      <c r="P113" s="16" t="s">
        <v>496</v>
      </c>
      <c r="Q113" s="32" t="s">
        <v>497</v>
      </c>
    </row>
    <row r="114" spans="1:17">
      <c r="A114" s="21">
        <v>45713</v>
      </c>
      <c r="B114" s="15" t="s">
        <v>471</v>
      </c>
      <c r="C114" s="16" t="s">
        <v>472</v>
      </c>
      <c r="D114" s="16" t="s">
        <v>501</v>
      </c>
      <c r="E114" s="16" t="s">
        <v>475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200</v>
      </c>
      <c r="O114" s="16" t="s">
        <v>368</v>
      </c>
      <c r="P114" s="16" t="s">
        <v>499</v>
      </c>
      <c r="Q114" s="32" t="s">
        <v>498</v>
      </c>
    </row>
    <row r="115" spans="1:17">
      <c r="A115" s="21">
        <v>45713</v>
      </c>
      <c r="B115" s="15" t="s">
        <v>471</v>
      </c>
      <c r="C115" s="16" t="s">
        <v>472</v>
      </c>
      <c r="D115" s="16" t="s">
        <v>501</v>
      </c>
      <c r="E115" s="16" t="s">
        <v>476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100</v>
      </c>
      <c r="O115" s="16" t="s">
        <v>368</v>
      </c>
      <c r="P115" s="16" t="s">
        <v>499</v>
      </c>
      <c r="Q115" s="32" t="s">
        <v>498</v>
      </c>
    </row>
    <row r="116" spans="1:17">
      <c r="A116" s="21">
        <v>45713</v>
      </c>
      <c r="B116" s="15" t="s">
        <v>471</v>
      </c>
      <c r="C116" s="16" t="s">
        <v>472</v>
      </c>
      <c r="D116" s="16" t="s">
        <v>502</v>
      </c>
      <c r="E116" s="16" t="s">
        <v>477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v>100</v>
      </c>
      <c r="O116" s="16" t="s">
        <v>368</v>
      </c>
      <c r="P116" s="16" t="s">
        <v>499</v>
      </c>
      <c r="Q116" s="32" t="s">
        <v>498</v>
      </c>
    </row>
    <row r="117" spans="1:17">
      <c r="A117" s="21">
        <v>45713</v>
      </c>
      <c r="B117" s="15" t="s">
        <v>471</v>
      </c>
      <c r="C117" s="16" t="s">
        <v>472</v>
      </c>
      <c r="D117" s="16" t="s">
        <v>503</v>
      </c>
      <c r="E117" s="16" t="s">
        <v>478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25</v>
      </c>
      <c r="O117" s="16" t="s">
        <v>368</v>
      </c>
      <c r="P117" s="16" t="s">
        <v>499</v>
      </c>
      <c r="Q117" s="32" t="s">
        <v>498</v>
      </c>
    </row>
    <row r="118" spans="1:17">
      <c r="A118" s="21">
        <v>45714</v>
      </c>
      <c r="B118" s="15" t="s">
        <v>471</v>
      </c>
      <c r="C118" s="16" t="s">
        <v>505</v>
      </c>
      <c r="D118" s="16" t="s">
        <v>504</v>
      </c>
      <c r="E118" s="16" t="s">
        <v>475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75</v>
      </c>
      <c r="O118" s="16" t="s">
        <v>506</v>
      </c>
      <c r="P118" s="16" t="s">
        <v>499</v>
      </c>
      <c r="Q118" s="32" t="s">
        <v>498</v>
      </c>
    </row>
    <row r="119" spans="1:17">
      <c r="A119" s="21">
        <v>45714</v>
      </c>
      <c r="B119" s="15" t="s">
        <v>29</v>
      </c>
      <c r="C119" s="16" t="s">
        <v>505</v>
      </c>
      <c r="D119" s="16" t="s">
        <v>509</v>
      </c>
      <c r="E119" s="16" t="s">
        <v>48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100</v>
      </c>
      <c r="O119" s="16" t="s">
        <v>510</v>
      </c>
      <c r="P119" s="15" t="s">
        <v>507</v>
      </c>
      <c r="Q119" s="32" t="s">
        <v>508</v>
      </c>
    </row>
    <row r="120" spans="1:17">
      <c r="A120" s="21">
        <v>45714</v>
      </c>
      <c r="B120" s="15" t="s">
        <v>29</v>
      </c>
      <c r="C120" s="16" t="s">
        <v>505</v>
      </c>
      <c r="D120" s="16" t="s">
        <v>452</v>
      </c>
      <c r="E120" s="16" t="s">
        <v>48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100</v>
      </c>
      <c r="O120" s="16" t="s">
        <v>510</v>
      </c>
      <c r="P120" s="15" t="s">
        <v>507</v>
      </c>
      <c r="Q120" s="32" t="s">
        <v>508</v>
      </c>
    </row>
    <row r="121" spans="1:17">
      <c r="A121" s="21">
        <v>45714</v>
      </c>
      <c r="B121" s="15" t="s">
        <v>29</v>
      </c>
      <c r="C121" s="16" t="s">
        <v>505</v>
      </c>
      <c r="D121" s="16" t="s">
        <v>511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100</v>
      </c>
      <c r="O121" s="16" t="s">
        <v>510</v>
      </c>
      <c r="P121" s="15" t="s">
        <v>507</v>
      </c>
      <c r="Q121" s="32" t="s">
        <v>508</v>
      </c>
    </row>
    <row r="122" spans="1:17">
      <c r="A122" s="21">
        <v>45714</v>
      </c>
      <c r="B122" s="15" t="s">
        <v>29</v>
      </c>
      <c r="C122" s="16" t="s">
        <v>505</v>
      </c>
      <c r="D122" s="16" t="s">
        <v>460</v>
      </c>
      <c r="E122" s="16" t="s">
        <v>48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75</v>
      </c>
      <c r="O122" s="16" t="s">
        <v>510</v>
      </c>
      <c r="P122" s="15" t="s">
        <v>507</v>
      </c>
      <c r="Q122" s="32" t="s">
        <v>508</v>
      </c>
    </row>
    <row r="123" spans="1:17">
      <c r="A123" s="21">
        <v>45714</v>
      </c>
      <c r="B123" s="15" t="s">
        <v>29</v>
      </c>
      <c r="C123" s="16" t="s">
        <v>505</v>
      </c>
      <c r="D123" s="16" t="s">
        <v>415</v>
      </c>
      <c r="E123" s="16" t="s">
        <v>48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250</v>
      </c>
      <c r="O123" s="16" t="s">
        <v>512</v>
      </c>
      <c r="P123" s="15" t="s">
        <v>507</v>
      </c>
      <c r="Q123" s="32" t="s">
        <v>508</v>
      </c>
    </row>
    <row r="124" spans="1:17">
      <c r="A124" s="21">
        <v>45715</v>
      </c>
      <c r="B124" s="15" t="s">
        <v>29</v>
      </c>
      <c r="C124" s="16" t="s">
        <v>513</v>
      </c>
      <c r="D124" s="16" t="s">
        <v>460</v>
      </c>
      <c r="E124" s="16" t="s">
        <v>48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25</v>
      </c>
      <c r="O124" s="16" t="s">
        <v>516</v>
      </c>
      <c r="P124" s="15" t="s">
        <v>507</v>
      </c>
      <c r="Q124" s="32" t="s">
        <v>508</v>
      </c>
    </row>
    <row r="125" spans="1:17">
      <c r="A125" s="21">
        <v>45715</v>
      </c>
      <c r="B125" s="15" t="s">
        <v>29</v>
      </c>
      <c r="C125" s="16" t="s">
        <v>513</v>
      </c>
      <c r="D125" s="16" t="s">
        <v>514</v>
      </c>
      <c r="E125" s="16" t="s">
        <v>48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250</v>
      </c>
      <c r="O125" s="16" t="s">
        <v>516</v>
      </c>
      <c r="P125" s="15" t="s">
        <v>507</v>
      </c>
      <c r="Q125" s="32" t="s">
        <v>508</v>
      </c>
    </row>
    <row r="126" spans="1:17">
      <c r="A126" s="21">
        <v>45715</v>
      </c>
      <c r="B126" s="15" t="s">
        <v>29</v>
      </c>
      <c r="C126" s="16" t="s">
        <v>513</v>
      </c>
      <c r="D126" s="16" t="s">
        <v>415</v>
      </c>
      <c r="E126" s="16" t="s">
        <v>48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100</v>
      </c>
      <c r="O126" s="16" t="s">
        <v>516</v>
      </c>
      <c r="P126" s="15" t="s">
        <v>507</v>
      </c>
      <c r="Q126" s="32" t="s">
        <v>508</v>
      </c>
    </row>
    <row r="127" spans="1:17">
      <c r="A127" s="21">
        <v>45715</v>
      </c>
      <c r="B127" s="15" t="s">
        <v>29</v>
      </c>
      <c r="C127" s="16" t="s">
        <v>513</v>
      </c>
      <c r="D127" s="16" t="s">
        <v>509</v>
      </c>
      <c r="E127" s="16" t="s">
        <v>48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100</v>
      </c>
      <c r="O127" s="16" t="s">
        <v>516</v>
      </c>
      <c r="P127" s="15" t="s">
        <v>507</v>
      </c>
      <c r="Q127" s="32" t="s">
        <v>508</v>
      </c>
    </row>
    <row r="128" spans="1:17">
      <c r="A128" s="21">
        <v>45715</v>
      </c>
      <c r="B128" s="15" t="s">
        <v>29</v>
      </c>
      <c r="C128" s="16" t="s">
        <v>513</v>
      </c>
      <c r="D128" s="16" t="s">
        <v>412</v>
      </c>
      <c r="E128" s="16" t="s">
        <v>48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25</v>
      </c>
      <c r="O128" s="16" t="s">
        <v>515</v>
      </c>
      <c r="P128" s="15" t="s">
        <v>507</v>
      </c>
      <c r="Q128" s="32" t="s">
        <v>508</v>
      </c>
    </row>
    <row r="129" spans="1:17">
      <c r="A129" s="21">
        <v>45715</v>
      </c>
      <c r="B129" s="15" t="s">
        <v>531</v>
      </c>
      <c r="C129" s="16" t="s">
        <v>513</v>
      </c>
      <c r="D129" s="16" t="s">
        <v>438</v>
      </c>
      <c r="E129" s="16" t="s">
        <v>517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54</v>
      </c>
      <c r="O129" s="16" t="s">
        <v>529</v>
      </c>
      <c r="P129" s="15" t="s">
        <v>530</v>
      </c>
      <c r="Q129" s="32" t="s">
        <v>532</v>
      </c>
    </row>
    <row r="130" spans="1:17">
      <c r="A130" s="21">
        <v>45715</v>
      </c>
      <c r="B130" s="15" t="s">
        <v>531</v>
      </c>
      <c r="C130" s="16" t="s">
        <v>513</v>
      </c>
      <c r="D130" s="16" t="s">
        <v>438</v>
      </c>
      <c r="E130" s="16" t="s">
        <v>524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54</v>
      </c>
      <c r="O130" s="16" t="s">
        <v>529</v>
      </c>
      <c r="P130" s="15" t="s">
        <v>530</v>
      </c>
      <c r="Q130" s="32" t="s">
        <v>532</v>
      </c>
    </row>
    <row r="131" spans="1:17">
      <c r="A131" s="21">
        <v>45715</v>
      </c>
      <c r="B131" s="15" t="s">
        <v>531</v>
      </c>
      <c r="C131" s="16" t="s">
        <v>513</v>
      </c>
      <c r="D131" s="16" t="s">
        <v>526</v>
      </c>
      <c r="E131" s="16" t="s">
        <v>525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27</v>
      </c>
      <c r="O131" s="16" t="s">
        <v>529</v>
      </c>
      <c r="P131" s="15" t="s">
        <v>530</v>
      </c>
      <c r="Q131" s="32" t="s">
        <v>532</v>
      </c>
    </row>
    <row r="132" spans="1:17">
      <c r="A132" s="21">
        <v>45715</v>
      </c>
      <c r="B132" s="15" t="s">
        <v>531</v>
      </c>
      <c r="C132" s="16" t="s">
        <v>513</v>
      </c>
      <c r="D132" s="16" t="s">
        <v>526</v>
      </c>
      <c r="E132" s="16" t="s">
        <v>522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27</v>
      </c>
      <c r="O132" s="16" t="s">
        <v>529</v>
      </c>
      <c r="P132" s="15" t="s">
        <v>530</v>
      </c>
      <c r="Q132" s="32" t="s">
        <v>532</v>
      </c>
    </row>
    <row r="133" spans="1:17">
      <c r="A133" s="21">
        <v>45715</v>
      </c>
      <c r="B133" s="15" t="s">
        <v>531</v>
      </c>
      <c r="C133" s="16" t="s">
        <v>513</v>
      </c>
      <c r="D133" s="16" t="s">
        <v>526</v>
      </c>
      <c r="E133" s="16" t="s">
        <v>520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27</v>
      </c>
      <c r="O133" s="16" t="s">
        <v>529</v>
      </c>
      <c r="P133" s="15" t="s">
        <v>530</v>
      </c>
      <c r="Q133" s="32" t="s">
        <v>532</v>
      </c>
    </row>
    <row r="134" spans="1:17">
      <c r="A134" s="21">
        <v>45715</v>
      </c>
      <c r="B134" s="15" t="s">
        <v>531</v>
      </c>
      <c r="C134" s="16" t="s">
        <v>513</v>
      </c>
      <c r="D134" s="16" t="s">
        <v>509</v>
      </c>
      <c r="E134" s="16" t="s">
        <v>518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27</v>
      </c>
      <c r="O134" s="16" t="s">
        <v>529</v>
      </c>
      <c r="P134" s="15" t="s">
        <v>530</v>
      </c>
      <c r="Q134" s="32" t="s">
        <v>532</v>
      </c>
    </row>
    <row r="135" spans="1:17">
      <c r="A135" s="21">
        <v>45715</v>
      </c>
      <c r="B135" s="15" t="s">
        <v>531</v>
      </c>
      <c r="C135" s="16" t="s">
        <v>513</v>
      </c>
      <c r="D135" s="16" t="s">
        <v>509</v>
      </c>
      <c r="E135" s="16" t="s">
        <v>519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27</v>
      </c>
      <c r="O135" s="16" t="s">
        <v>529</v>
      </c>
      <c r="P135" s="15" t="s">
        <v>530</v>
      </c>
      <c r="Q135" s="32" t="s">
        <v>532</v>
      </c>
    </row>
    <row r="136" spans="1:17">
      <c r="A136" s="21">
        <v>45715</v>
      </c>
      <c r="B136" s="15" t="s">
        <v>531</v>
      </c>
      <c r="C136" s="16" t="s">
        <v>513</v>
      </c>
      <c r="D136" s="16" t="s">
        <v>509</v>
      </c>
      <c r="E136" s="16" t="s">
        <v>523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22</v>
      </c>
      <c r="O136" s="16" t="s">
        <v>529</v>
      </c>
      <c r="P136" s="15" t="s">
        <v>530</v>
      </c>
      <c r="Q136" s="32" t="s">
        <v>532</v>
      </c>
    </row>
    <row r="137" spans="1:17">
      <c r="A137" s="21">
        <v>45715</v>
      </c>
      <c r="B137" s="15" t="s">
        <v>531</v>
      </c>
      <c r="C137" s="16" t="s">
        <v>513</v>
      </c>
      <c r="D137" s="16" t="s">
        <v>509</v>
      </c>
      <c r="E137" s="16" t="s">
        <v>522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v>24</v>
      </c>
      <c r="O137" s="16" t="s">
        <v>529</v>
      </c>
      <c r="P137" s="15" t="s">
        <v>530</v>
      </c>
      <c r="Q137" s="32" t="s">
        <v>532</v>
      </c>
    </row>
    <row r="138" spans="1:17">
      <c r="A138" s="21">
        <v>45715</v>
      </c>
      <c r="B138" s="15" t="s">
        <v>531</v>
      </c>
      <c r="C138" s="16" t="s">
        <v>513</v>
      </c>
      <c r="D138" s="16" t="s">
        <v>527</v>
      </c>
      <c r="E138" s="16" t="s">
        <v>521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27</v>
      </c>
      <c r="O138" s="16" t="s">
        <v>529</v>
      </c>
      <c r="P138" s="15" t="s">
        <v>530</v>
      </c>
      <c r="Q138" s="32" t="s">
        <v>532</v>
      </c>
    </row>
    <row r="139" spans="1:17">
      <c r="A139" s="21">
        <v>45715</v>
      </c>
      <c r="B139" s="15" t="s">
        <v>531</v>
      </c>
      <c r="C139" s="16" t="s">
        <v>513</v>
      </c>
      <c r="D139" s="16" t="s">
        <v>527</v>
      </c>
      <c r="E139" s="16" t="s">
        <v>528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9</v>
      </c>
      <c r="O139" s="16" t="s">
        <v>529</v>
      </c>
      <c r="P139" s="15" t="s">
        <v>530</v>
      </c>
      <c r="Q139" s="32" t="s">
        <v>532</v>
      </c>
    </row>
    <row r="140" spans="1:17">
      <c r="A140" s="21">
        <v>45716</v>
      </c>
      <c r="B140" s="15" t="s">
        <v>531</v>
      </c>
      <c r="C140" s="16" t="s">
        <v>533</v>
      </c>
      <c r="D140" s="16" t="s">
        <v>527</v>
      </c>
      <c r="E140" s="16" t="s">
        <v>528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39</v>
      </c>
      <c r="O140" s="16" t="s">
        <v>543</v>
      </c>
      <c r="P140" s="15" t="s">
        <v>530</v>
      </c>
      <c r="Q140" s="32" t="s">
        <v>532</v>
      </c>
    </row>
    <row r="141" spans="1:17">
      <c r="A141" s="21">
        <v>45716</v>
      </c>
      <c r="B141" s="15" t="s">
        <v>531</v>
      </c>
      <c r="C141" s="16" t="s">
        <v>533</v>
      </c>
      <c r="D141" s="16" t="s">
        <v>537</v>
      </c>
      <c r="E141" s="16" t="s">
        <v>534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27</v>
      </c>
      <c r="O141" s="16" t="s">
        <v>543</v>
      </c>
      <c r="P141" s="15" t="s">
        <v>530</v>
      </c>
      <c r="Q141" s="32" t="s">
        <v>532</v>
      </c>
    </row>
    <row r="142" spans="1:17">
      <c r="A142" s="21">
        <v>45716</v>
      </c>
      <c r="B142" s="15" t="s">
        <v>531</v>
      </c>
      <c r="C142" s="16" t="s">
        <v>533</v>
      </c>
      <c r="D142" s="16" t="s">
        <v>537</v>
      </c>
      <c r="E142" s="16" t="s">
        <v>534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27</v>
      </c>
      <c r="O142" s="16" t="s">
        <v>543</v>
      </c>
      <c r="P142" s="15" t="s">
        <v>530</v>
      </c>
      <c r="Q142" s="32" t="s">
        <v>532</v>
      </c>
    </row>
    <row r="143" spans="1:17">
      <c r="A143" s="21">
        <v>45716</v>
      </c>
      <c r="B143" s="15" t="s">
        <v>531</v>
      </c>
      <c r="C143" s="16" t="s">
        <v>533</v>
      </c>
      <c r="D143" s="16" t="s">
        <v>537</v>
      </c>
      <c r="E143" s="16" t="s">
        <v>535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27</v>
      </c>
      <c r="O143" s="16" t="s">
        <v>543</v>
      </c>
      <c r="P143" s="15" t="s">
        <v>530</v>
      </c>
      <c r="Q143" s="32" t="s">
        <v>532</v>
      </c>
    </row>
    <row r="144" spans="1:17">
      <c r="A144" s="21">
        <v>45716</v>
      </c>
      <c r="B144" s="15" t="s">
        <v>531</v>
      </c>
      <c r="C144" s="16" t="s">
        <v>533</v>
      </c>
      <c r="D144" s="16" t="s">
        <v>537</v>
      </c>
      <c r="E144" s="16" t="s">
        <v>536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>
        <v>18</v>
      </c>
      <c r="O144" s="16" t="s">
        <v>543</v>
      </c>
      <c r="P144" s="15" t="s">
        <v>530</v>
      </c>
      <c r="Q144" s="32" t="s">
        <v>532</v>
      </c>
    </row>
    <row r="145" spans="1:17">
      <c r="A145" s="21">
        <v>45716</v>
      </c>
      <c r="B145" s="15" t="s">
        <v>531</v>
      </c>
      <c r="C145" s="16" t="s">
        <v>533</v>
      </c>
      <c r="D145" s="16" t="s">
        <v>537</v>
      </c>
      <c r="E145" s="16" t="s">
        <v>538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16">
        <v>54</v>
      </c>
      <c r="O145" s="16" t="s">
        <v>543</v>
      </c>
      <c r="P145" s="15" t="s">
        <v>530</v>
      </c>
      <c r="Q145" s="32" t="s">
        <v>532</v>
      </c>
    </row>
    <row r="146" spans="1:17">
      <c r="A146" s="21">
        <v>45716</v>
      </c>
      <c r="B146" s="15" t="s">
        <v>531</v>
      </c>
      <c r="C146" s="16" t="s">
        <v>533</v>
      </c>
      <c r="D146" s="16" t="s">
        <v>540</v>
      </c>
      <c r="E146" s="16" t="s">
        <v>539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54</v>
      </c>
      <c r="O146" s="16" t="s">
        <v>543</v>
      </c>
      <c r="P146" s="15" t="s">
        <v>530</v>
      </c>
      <c r="Q146" s="32" t="s">
        <v>532</v>
      </c>
    </row>
    <row r="147" spans="1:17">
      <c r="A147" s="21">
        <v>45716</v>
      </c>
      <c r="B147" s="15" t="s">
        <v>531</v>
      </c>
      <c r="C147" s="16" t="s">
        <v>533</v>
      </c>
      <c r="D147" s="16" t="s">
        <v>542</v>
      </c>
      <c r="E147" s="16" t="s">
        <v>541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27</v>
      </c>
      <c r="O147" s="16" t="s">
        <v>543</v>
      </c>
      <c r="P147" s="15" t="s">
        <v>530</v>
      </c>
      <c r="Q147" s="32" t="s">
        <v>532</v>
      </c>
    </row>
    <row r="148" spans="1:17">
      <c r="A148" s="21">
        <v>45716</v>
      </c>
      <c r="B148" s="15" t="s">
        <v>531</v>
      </c>
      <c r="C148" s="16" t="s">
        <v>533</v>
      </c>
      <c r="D148" s="16" t="s">
        <v>542</v>
      </c>
      <c r="E148" s="16" t="s">
        <v>542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27</v>
      </c>
      <c r="O148" s="16" t="s">
        <v>543</v>
      </c>
      <c r="P148" s="15" t="s">
        <v>530</v>
      </c>
      <c r="Q148" s="32" t="s">
        <v>532</v>
      </c>
    </row>
    <row r="149" spans="1:17">
      <c r="A149" s="21">
        <v>45716</v>
      </c>
      <c r="B149" s="15" t="s">
        <v>531</v>
      </c>
      <c r="C149" s="16" t="s">
        <v>533</v>
      </c>
      <c r="D149" s="16" t="s">
        <v>542</v>
      </c>
      <c r="E149" s="16" t="s">
        <v>541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48</v>
      </c>
      <c r="N149" s="16">
        <v>27</v>
      </c>
      <c r="O149" s="16" t="s">
        <v>543</v>
      </c>
      <c r="P149" s="15" t="s">
        <v>530</v>
      </c>
      <c r="Q149" s="32" t="s">
        <v>532</v>
      </c>
    </row>
    <row r="150" spans="1:17">
      <c r="A150" s="21">
        <v>45716</v>
      </c>
      <c r="B150" s="15" t="s">
        <v>531</v>
      </c>
      <c r="C150" s="16" t="s">
        <v>533</v>
      </c>
      <c r="D150" s="16" t="s">
        <v>542</v>
      </c>
      <c r="E150" s="16" t="s">
        <v>523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27</v>
      </c>
      <c r="O150" s="16" t="s">
        <v>543</v>
      </c>
      <c r="P150" s="15" t="s">
        <v>530</v>
      </c>
      <c r="Q150" s="32" t="s">
        <v>532</v>
      </c>
    </row>
    <row r="151" spans="1:17">
      <c r="A151" s="21">
        <v>45716</v>
      </c>
      <c r="B151" s="15" t="s">
        <v>531</v>
      </c>
      <c r="C151" s="16" t="s">
        <v>533</v>
      </c>
      <c r="D151" s="16" t="s">
        <v>542</v>
      </c>
      <c r="E151" s="16" t="s">
        <v>542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21</v>
      </c>
      <c r="O151" s="16" t="s">
        <v>543</v>
      </c>
      <c r="P151" s="15" t="s">
        <v>530</v>
      </c>
      <c r="Q151" s="32" t="s">
        <v>532</v>
      </c>
    </row>
    <row r="152" spans="1:17">
      <c r="A152" s="21"/>
      <c r="B152" s="15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5"/>
      <c r="Q152" s="31"/>
    </row>
    <row r="153" spans="1:17">
      <c r="A153" s="21"/>
      <c r="B153" s="15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5"/>
      <c r="Q153" s="31"/>
    </row>
    <row r="154" spans="1:17">
      <c r="M154" s="2" t="s">
        <v>19</v>
      </c>
    </row>
    <row r="155" spans="1:17">
      <c r="M155" s="2" t="s">
        <v>20</v>
      </c>
    </row>
    <row r="156" spans="1:17">
      <c r="M156" s="2" t="s">
        <v>21</v>
      </c>
    </row>
    <row r="157" spans="1:17">
      <c r="M157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2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Q598"/>
  <sheetViews>
    <sheetView view="pageBreakPreview" topLeftCell="A486" zoomScaleNormal="100" zoomScaleSheetLayoutView="100" workbookViewId="0">
      <selection activeCell="C523" sqref="C523"/>
    </sheetView>
  </sheetViews>
  <sheetFormatPr defaultColWidth="10.28515625" defaultRowHeight="14.25"/>
  <cols>
    <col min="1" max="1" width="14.7109375" style="31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21.42578125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37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38" t="s">
        <v>355</v>
      </c>
      <c r="B4" s="49">
        <v>45717</v>
      </c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39"/>
      <c r="B5" s="8"/>
    </row>
    <row r="6" spans="1:17" ht="8.1" customHeight="1" thickBot="1"/>
    <row r="7" spans="1:17" ht="17.100000000000001" customHeight="1">
      <c r="A7" s="76" t="s">
        <v>2</v>
      </c>
      <c r="B7" s="77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76"/>
      <c r="B8" s="78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35">
        <v>45719</v>
      </c>
      <c r="B9" s="36" t="s">
        <v>531</v>
      </c>
      <c r="C9" s="16" t="s">
        <v>545</v>
      </c>
      <c r="D9" s="16" t="s">
        <v>547</v>
      </c>
      <c r="E9" s="16" t="s">
        <v>541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21</v>
      </c>
      <c r="O9" s="16" t="s">
        <v>546</v>
      </c>
      <c r="P9" s="15" t="s">
        <v>544</v>
      </c>
      <c r="Q9" s="33" t="s">
        <v>532</v>
      </c>
    </row>
    <row r="10" spans="1:17" ht="17.100000000000001" customHeight="1">
      <c r="A10" s="35">
        <v>45719</v>
      </c>
      <c r="B10" s="36" t="s">
        <v>531</v>
      </c>
      <c r="C10" s="16" t="s">
        <v>545</v>
      </c>
      <c r="D10" s="16" t="s">
        <v>547</v>
      </c>
      <c r="E10" s="16" t="s">
        <v>548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24</v>
      </c>
      <c r="O10" s="16" t="s">
        <v>546</v>
      </c>
      <c r="P10" s="15" t="s">
        <v>544</v>
      </c>
      <c r="Q10" s="33" t="s">
        <v>532</v>
      </c>
    </row>
    <row r="11" spans="1:17" ht="17.100000000000001" customHeight="1">
      <c r="A11" s="35">
        <v>45719</v>
      </c>
      <c r="B11" s="36" t="s">
        <v>531</v>
      </c>
      <c r="C11" s="16" t="s">
        <v>545</v>
      </c>
      <c r="D11" s="16" t="s">
        <v>547</v>
      </c>
      <c r="E11" s="16" t="s">
        <v>542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27</v>
      </c>
      <c r="O11" s="16" t="s">
        <v>546</v>
      </c>
      <c r="P11" s="15" t="s">
        <v>544</v>
      </c>
      <c r="Q11" s="33" t="s">
        <v>532</v>
      </c>
    </row>
    <row r="12" spans="1:17" ht="17.100000000000001" customHeight="1">
      <c r="A12" s="35">
        <v>45719</v>
      </c>
      <c r="B12" s="36" t="s">
        <v>531</v>
      </c>
      <c r="C12" s="16" t="s">
        <v>545</v>
      </c>
      <c r="D12" s="16" t="s">
        <v>547</v>
      </c>
      <c r="E12" s="16" t="s">
        <v>549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1</v>
      </c>
      <c r="O12" s="16" t="s">
        <v>546</v>
      </c>
      <c r="P12" s="15" t="s">
        <v>544</v>
      </c>
      <c r="Q12" s="33" t="s">
        <v>532</v>
      </c>
    </row>
    <row r="13" spans="1:17" ht="17.100000000000001" customHeight="1">
      <c r="A13" s="35">
        <v>45719</v>
      </c>
      <c r="B13" s="36" t="s">
        <v>531</v>
      </c>
      <c r="C13" s="16" t="s">
        <v>545</v>
      </c>
      <c r="D13" s="16" t="s">
        <v>550</v>
      </c>
      <c r="E13" s="16" t="s">
        <v>549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29</v>
      </c>
      <c r="O13" s="16" t="s">
        <v>546</v>
      </c>
      <c r="P13" s="15" t="s">
        <v>544</v>
      </c>
      <c r="Q13" s="33" t="s">
        <v>532</v>
      </c>
    </row>
    <row r="14" spans="1:17" ht="17.100000000000001" customHeight="1">
      <c r="A14" s="35">
        <v>45719</v>
      </c>
      <c r="B14" s="36" t="s">
        <v>531</v>
      </c>
      <c r="C14" s="16" t="s">
        <v>545</v>
      </c>
      <c r="D14" s="16" t="s">
        <v>550</v>
      </c>
      <c r="E14" s="16" t="s">
        <v>551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21</v>
      </c>
      <c r="O14" s="16" t="s">
        <v>546</v>
      </c>
      <c r="P14" s="15" t="s">
        <v>544</v>
      </c>
      <c r="Q14" s="33" t="s">
        <v>532</v>
      </c>
    </row>
    <row r="15" spans="1:17" ht="17.100000000000001" customHeight="1">
      <c r="A15" s="35">
        <v>45719</v>
      </c>
      <c r="B15" s="36" t="s">
        <v>531</v>
      </c>
      <c r="C15" s="16" t="s">
        <v>545</v>
      </c>
      <c r="D15" s="16" t="s">
        <v>550</v>
      </c>
      <c r="E15" s="16" t="s">
        <v>552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27</v>
      </c>
      <c r="O15" s="16" t="s">
        <v>546</v>
      </c>
      <c r="P15" s="15" t="s">
        <v>544</v>
      </c>
      <c r="Q15" s="33" t="s">
        <v>532</v>
      </c>
    </row>
    <row r="16" spans="1:17" ht="17.100000000000001" customHeight="1">
      <c r="A16" s="35">
        <v>45719</v>
      </c>
      <c r="B16" s="36" t="s">
        <v>531</v>
      </c>
      <c r="C16" s="16" t="s">
        <v>545</v>
      </c>
      <c r="D16" s="16" t="s">
        <v>550</v>
      </c>
      <c r="E16" s="16" t="s">
        <v>553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27</v>
      </c>
      <c r="O16" s="16" t="s">
        <v>546</v>
      </c>
      <c r="P16" s="15" t="s">
        <v>544</v>
      </c>
      <c r="Q16" s="33" t="s">
        <v>532</v>
      </c>
    </row>
    <row r="17" spans="1:17" ht="17.100000000000001" customHeight="1">
      <c r="A17" s="35">
        <v>45719</v>
      </c>
      <c r="B17" s="36" t="s">
        <v>531</v>
      </c>
      <c r="C17" s="16" t="s">
        <v>545</v>
      </c>
      <c r="D17" s="16" t="s">
        <v>547</v>
      </c>
      <c r="E17" s="16" t="s">
        <v>553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27</v>
      </c>
      <c r="O17" s="16" t="s">
        <v>546</v>
      </c>
      <c r="P17" s="15" t="s">
        <v>544</v>
      </c>
      <c r="Q17" s="33" t="s">
        <v>532</v>
      </c>
    </row>
    <row r="18" spans="1:17" ht="17.100000000000001" customHeight="1">
      <c r="A18" s="35">
        <v>45719</v>
      </c>
      <c r="B18" s="36" t="s">
        <v>531</v>
      </c>
      <c r="C18" s="16" t="s">
        <v>545</v>
      </c>
      <c r="D18" s="16" t="s">
        <v>547</v>
      </c>
      <c r="E18" s="16" t="s">
        <v>554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27</v>
      </c>
      <c r="O18" s="16" t="s">
        <v>546</v>
      </c>
      <c r="P18" s="15" t="s">
        <v>544</v>
      </c>
      <c r="Q18" s="33" t="s">
        <v>532</v>
      </c>
    </row>
    <row r="19" spans="1:17" ht="17.100000000000001" customHeight="1">
      <c r="A19" s="35">
        <v>45719</v>
      </c>
      <c r="B19" s="36" t="s">
        <v>531</v>
      </c>
      <c r="C19" s="16" t="s">
        <v>545</v>
      </c>
      <c r="D19" s="16" t="s">
        <v>547</v>
      </c>
      <c r="E19" s="16" t="s">
        <v>555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30</v>
      </c>
      <c r="O19" s="16" t="s">
        <v>546</v>
      </c>
      <c r="P19" s="15" t="s">
        <v>544</v>
      </c>
      <c r="Q19" s="33" t="s">
        <v>532</v>
      </c>
    </row>
    <row r="20" spans="1:17" ht="17.100000000000001" customHeight="1">
      <c r="A20" s="35">
        <v>45719</v>
      </c>
      <c r="B20" s="36" t="s">
        <v>531</v>
      </c>
      <c r="C20" s="16" t="s">
        <v>545</v>
      </c>
      <c r="D20" s="16" t="s">
        <v>547</v>
      </c>
      <c r="E20" s="16" t="s">
        <v>556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25</v>
      </c>
      <c r="O20" s="16" t="s">
        <v>546</v>
      </c>
      <c r="P20" s="15" t="s">
        <v>544</v>
      </c>
      <c r="Q20" s="33" t="s">
        <v>532</v>
      </c>
    </row>
    <row r="21" spans="1:17" ht="17.100000000000001" customHeight="1">
      <c r="A21" s="35">
        <v>45719</v>
      </c>
      <c r="B21" s="36" t="s">
        <v>531</v>
      </c>
      <c r="C21" s="16" t="s">
        <v>545</v>
      </c>
      <c r="D21" s="16" t="s">
        <v>557</v>
      </c>
      <c r="E21" s="16" t="s">
        <v>555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27</v>
      </c>
      <c r="O21" s="16" t="s">
        <v>546</v>
      </c>
      <c r="P21" s="15" t="s">
        <v>544</v>
      </c>
      <c r="Q21" s="33" t="s">
        <v>532</v>
      </c>
    </row>
    <row r="22" spans="1:17" ht="17.100000000000001" customHeight="1">
      <c r="A22" s="35">
        <v>45719</v>
      </c>
      <c r="B22" s="36" t="s">
        <v>531</v>
      </c>
      <c r="C22" s="16" t="s">
        <v>545</v>
      </c>
      <c r="D22" s="16" t="s">
        <v>557</v>
      </c>
      <c r="E22" s="16" t="s">
        <v>558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54</v>
      </c>
      <c r="O22" s="16" t="s">
        <v>546</v>
      </c>
      <c r="P22" s="15" t="s">
        <v>544</v>
      </c>
      <c r="Q22" s="33" t="s">
        <v>532</v>
      </c>
    </row>
    <row r="23" spans="1:17" ht="17.100000000000001" customHeight="1">
      <c r="A23" s="35">
        <v>45719</v>
      </c>
      <c r="B23" s="36" t="s">
        <v>531</v>
      </c>
      <c r="C23" s="16" t="s">
        <v>545</v>
      </c>
      <c r="D23" s="16" t="s">
        <v>557</v>
      </c>
      <c r="E23" s="16" t="s">
        <v>559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54</v>
      </c>
      <c r="O23" s="16" t="s">
        <v>546</v>
      </c>
      <c r="P23" s="15" t="s">
        <v>544</v>
      </c>
      <c r="Q23" s="33" t="s">
        <v>532</v>
      </c>
    </row>
    <row r="24" spans="1:17" ht="17.100000000000001" customHeight="1">
      <c r="A24" s="35">
        <v>45719</v>
      </c>
      <c r="B24" s="36" t="s">
        <v>531</v>
      </c>
      <c r="C24" s="16" t="s">
        <v>545</v>
      </c>
      <c r="D24" s="16" t="s">
        <v>557</v>
      </c>
      <c r="E24" s="16" t="s">
        <v>560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54</v>
      </c>
      <c r="O24" s="16" t="s">
        <v>546</v>
      </c>
      <c r="P24" s="15" t="s">
        <v>544</v>
      </c>
      <c r="Q24" s="33" t="s">
        <v>532</v>
      </c>
    </row>
    <row r="25" spans="1:17" ht="17.100000000000001" customHeight="1">
      <c r="A25" s="35">
        <v>45719</v>
      </c>
      <c r="B25" s="36" t="s">
        <v>531</v>
      </c>
      <c r="C25" s="16" t="s">
        <v>545</v>
      </c>
      <c r="D25" s="16" t="s">
        <v>557</v>
      </c>
      <c r="E25" s="16" t="s">
        <v>561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54</v>
      </c>
      <c r="O25" s="16" t="s">
        <v>546</v>
      </c>
      <c r="P25" s="15" t="s">
        <v>544</v>
      </c>
      <c r="Q25" s="33" t="s">
        <v>532</v>
      </c>
    </row>
    <row r="26" spans="1:17" ht="17.100000000000001" customHeight="1">
      <c r="A26" s="35">
        <v>45719</v>
      </c>
      <c r="B26" s="36" t="s">
        <v>531</v>
      </c>
      <c r="C26" s="16" t="s">
        <v>545</v>
      </c>
      <c r="D26" s="16" t="s">
        <v>557</v>
      </c>
      <c r="E26" s="16" t="s">
        <v>562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54</v>
      </c>
      <c r="O26" s="16" t="s">
        <v>546</v>
      </c>
      <c r="P26" s="15" t="s">
        <v>544</v>
      </c>
      <c r="Q26" s="33" t="s">
        <v>532</v>
      </c>
    </row>
    <row r="27" spans="1:17" ht="17.100000000000001" customHeight="1">
      <c r="A27" s="35">
        <v>45719</v>
      </c>
      <c r="B27" s="36" t="s">
        <v>531</v>
      </c>
      <c r="C27" s="16" t="s">
        <v>545</v>
      </c>
      <c r="D27" s="16" t="s">
        <v>563</v>
      </c>
      <c r="E27" s="16" t="s">
        <v>564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54</v>
      </c>
      <c r="O27" s="16" t="s">
        <v>546</v>
      </c>
      <c r="P27" s="15" t="s">
        <v>544</v>
      </c>
      <c r="Q27" s="33" t="s">
        <v>532</v>
      </c>
    </row>
    <row r="28" spans="1:17" ht="17.100000000000001" customHeight="1">
      <c r="A28" s="35">
        <v>45719</v>
      </c>
      <c r="B28" s="36" t="s">
        <v>531</v>
      </c>
      <c r="C28" s="16" t="s">
        <v>545</v>
      </c>
      <c r="D28" s="16" t="s">
        <v>563</v>
      </c>
      <c r="E28" s="16" t="s">
        <v>565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27</v>
      </c>
      <c r="O28" s="16" t="s">
        <v>546</v>
      </c>
      <c r="P28" s="15" t="s">
        <v>544</v>
      </c>
      <c r="Q28" s="33" t="s">
        <v>532</v>
      </c>
    </row>
    <row r="29" spans="1:17" ht="17.100000000000001" customHeight="1">
      <c r="A29" s="35">
        <v>45719</v>
      </c>
      <c r="B29" s="36" t="s">
        <v>531</v>
      </c>
      <c r="C29" s="16" t="s">
        <v>545</v>
      </c>
      <c r="D29" s="16" t="s">
        <v>563</v>
      </c>
      <c r="E29" s="16" t="s">
        <v>566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11</v>
      </c>
      <c r="O29" s="16" t="s">
        <v>546</v>
      </c>
      <c r="P29" s="15" t="s">
        <v>544</v>
      </c>
      <c r="Q29" s="33" t="s">
        <v>532</v>
      </c>
    </row>
    <row r="30" spans="1:17" ht="17.100000000000001" customHeight="1">
      <c r="A30" s="35">
        <v>45720</v>
      </c>
      <c r="B30" s="36" t="s">
        <v>531</v>
      </c>
      <c r="C30" s="16" t="s">
        <v>567</v>
      </c>
      <c r="D30" s="16" t="s">
        <v>571</v>
      </c>
      <c r="E30" s="16" t="s">
        <v>566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9</v>
      </c>
      <c r="O30" s="16" t="s">
        <v>546</v>
      </c>
      <c r="P30" s="15" t="s">
        <v>544</v>
      </c>
      <c r="Q30" s="33" t="s">
        <v>532</v>
      </c>
    </row>
    <row r="31" spans="1:17" ht="17.100000000000001" customHeight="1">
      <c r="A31" s="35">
        <v>45720</v>
      </c>
      <c r="B31" s="36" t="s">
        <v>531</v>
      </c>
      <c r="C31" s="16" t="s">
        <v>567</v>
      </c>
      <c r="D31" s="16" t="s">
        <v>571</v>
      </c>
      <c r="E31" s="16" t="s">
        <v>568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27</v>
      </c>
      <c r="O31" s="16" t="s">
        <v>546</v>
      </c>
      <c r="P31" s="15" t="s">
        <v>544</v>
      </c>
      <c r="Q31" s="33" t="s">
        <v>532</v>
      </c>
    </row>
    <row r="32" spans="1:17" ht="17.100000000000001" customHeight="1">
      <c r="A32" s="35">
        <v>45720</v>
      </c>
      <c r="B32" s="36" t="s">
        <v>531</v>
      </c>
      <c r="C32" s="16" t="s">
        <v>567</v>
      </c>
      <c r="D32" s="16" t="s">
        <v>571</v>
      </c>
      <c r="E32" s="16" t="s">
        <v>569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27</v>
      </c>
      <c r="O32" s="16" t="s">
        <v>546</v>
      </c>
      <c r="P32" s="15" t="s">
        <v>544</v>
      </c>
      <c r="Q32" s="33" t="s">
        <v>532</v>
      </c>
    </row>
    <row r="33" spans="1:17" ht="17.100000000000001" customHeight="1">
      <c r="A33" s="35">
        <v>45720</v>
      </c>
      <c r="B33" s="36" t="s">
        <v>531</v>
      </c>
      <c r="C33" s="16" t="s">
        <v>567</v>
      </c>
      <c r="D33" s="16" t="s">
        <v>571</v>
      </c>
      <c r="E33" s="16" t="s">
        <v>570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27</v>
      </c>
      <c r="O33" s="16" t="s">
        <v>546</v>
      </c>
      <c r="P33" s="15" t="s">
        <v>544</v>
      </c>
      <c r="Q33" s="33" t="s">
        <v>532</v>
      </c>
    </row>
    <row r="34" spans="1:17" ht="17.100000000000001" customHeight="1">
      <c r="A34" s="35">
        <v>45720</v>
      </c>
      <c r="B34" s="36" t="s">
        <v>531</v>
      </c>
      <c r="C34" s="16" t="s">
        <v>567</v>
      </c>
      <c r="D34" s="16" t="s">
        <v>571</v>
      </c>
      <c r="E34" s="16" t="s">
        <v>568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27</v>
      </c>
      <c r="O34" s="16" t="s">
        <v>546</v>
      </c>
      <c r="P34" s="15" t="s">
        <v>544</v>
      </c>
      <c r="Q34" s="33" t="s">
        <v>532</v>
      </c>
    </row>
    <row r="35" spans="1:17" ht="17.100000000000001" customHeight="1">
      <c r="A35" s="35">
        <v>45720</v>
      </c>
      <c r="B35" s="36" t="s">
        <v>531</v>
      </c>
      <c r="C35" s="16" t="s">
        <v>567</v>
      </c>
      <c r="D35" s="16" t="s">
        <v>572</v>
      </c>
      <c r="E35" s="16" t="s">
        <v>573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8</v>
      </c>
      <c r="O35" s="16" t="s">
        <v>546</v>
      </c>
      <c r="P35" s="15" t="s">
        <v>544</v>
      </c>
      <c r="Q35" s="33" t="s">
        <v>532</v>
      </c>
    </row>
    <row r="36" spans="1:17" ht="17.100000000000001" customHeight="1">
      <c r="A36" s="35">
        <v>45720</v>
      </c>
      <c r="B36" s="36" t="s">
        <v>575</v>
      </c>
      <c r="C36" s="16" t="s">
        <v>567</v>
      </c>
      <c r="D36" s="16" t="s">
        <v>578</v>
      </c>
      <c r="E36" s="16" t="s">
        <v>573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19</v>
      </c>
      <c r="O36" s="16" t="s">
        <v>546</v>
      </c>
      <c r="P36" s="16" t="s">
        <v>576</v>
      </c>
      <c r="Q36" s="33" t="s">
        <v>574</v>
      </c>
    </row>
    <row r="37" spans="1:17" ht="17.100000000000001" customHeight="1">
      <c r="A37" s="35">
        <v>45720</v>
      </c>
      <c r="B37" s="36" t="s">
        <v>575</v>
      </c>
      <c r="C37" s="16" t="s">
        <v>567</v>
      </c>
      <c r="D37" s="16" t="s">
        <v>578</v>
      </c>
      <c r="E37" s="16" t="s">
        <v>570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27</v>
      </c>
      <c r="O37" s="16" t="s">
        <v>546</v>
      </c>
      <c r="P37" s="16" t="s">
        <v>576</v>
      </c>
      <c r="Q37" s="33" t="s">
        <v>574</v>
      </c>
    </row>
    <row r="38" spans="1:17" ht="17.100000000000001" customHeight="1">
      <c r="A38" s="35">
        <v>45720</v>
      </c>
      <c r="B38" s="36" t="s">
        <v>575</v>
      </c>
      <c r="C38" s="16" t="s">
        <v>567</v>
      </c>
      <c r="D38" s="16" t="s">
        <v>578</v>
      </c>
      <c r="E38" s="16" t="s">
        <v>577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27</v>
      </c>
      <c r="O38" s="16" t="s">
        <v>546</v>
      </c>
      <c r="P38" s="16" t="s">
        <v>576</v>
      </c>
      <c r="Q38" s="33" t="s">
        <v>574</v>
      </c>
    </row>
    <row r="39" spans="1:17" ht="17.100000000000001" customHeight="1">
      <c r="A39" s="35">
        <v>45720</v>
      </c>
      <c r="B39" s="36" t="s">
        <v>575</v>
      </c>
      <c r="C39" s="16" t="s">
        <v>567</v>
      </c>
      <c r="D39" s="16" t="s">
        <v>578</v>
      </c>
      <c r="E39" s="16" t="s">
        <v>573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27</v>
      </c>
      <c r="O39" s="16" t="s">
        <v>546</v>
      </c>
      <c r="P39" s="16" t="s">
        <v>576</v>
      </c>
      <c r="Q39" s="33" t="s">
        <v>574</v>
      </c>
    </row>
    <row r="40" spans="1:17" ht="17.100000000000001" customHeight="1">
      <c r="A40" s="35">
        <v>45720</v>
      </c>
      <c r="B40" s="36" t="s">
        <v>575</v>
      </c>
      <c r="C40" s="16" t="s">
        <v>567</v>
      </c>
      <c r="D40" s="16" t="s">
        <v>578</v>
      </c>
      <c r="E40" s="16" t="s">
        <v>579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27</v>
      </c>
      <c r="O40" s="16" t="s">
        <v>546</v>
      </c>
      <c r="P40" s="16" t="s">
        <v>576</v>
      </c>
      <c r="Q40" s="33" t="s">
        <v>574</v>
      </c>
    </row>
    <row r="41" spans="1:17" ht="17.100000000000001" customHeight="1">
      <c r="A41" s="35">
        <v>45720</v>
      </c>
      <c r="B41" s="36" t="s">
        <v>575</v>
      </c>
      <c r="C41" s="16" t="s">
        <v>567</v>
      </c>
      <c r="D41" s="16" t="s">
        <v>578</v>
      </c>
      <c r="E41" s="16" t="s">
        <v>580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27</v>
      </c>
      <c r="O41" s="16" t="s">
        <v>546</v>
      </c>
      <c r="P41" s="16" t="s">
        <v>576</v>
      </c>
      <c r="Q41" s="33" t="s">
        <v>574</v>
      </c>
    </row>
    <row r="42" spans="1:17" ht="17.100000000000001" customHeight="1">
      <c r="A42" s="35">
        <v>45720</v>
      </c>
      <c r="B42" s="36" t="s">
        <v>575</v>
      </c>
      <c r="C42" s="16" t="s">
        <v>567</v>
      </c>
      <c r="D42" s="16" t="s">
        <v>578</v>
      </c>
      <c r="E42" s="16" t="s">
        <v>581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54</v>
      </c>
      <c r="O42" s="16" t="s">
        <v>546</v>
      </c>
      <c r="P42" s="16" t="s">
        <v>576</v>
      </c>
      <c r="Q42" s="33" t="s">
        <v>574</v>
      </c>
    </row>
    <row r="43" spans="1:17" ht="17.100000000000001" customHeight="1">
      <c r="A43" s="35">
        <v>45720</v>
      </c>
      <c r="B43" s="36" t="s">
        <v>575</v>
      </c>
      <c r="C43" s="16" t="s">
        <v>567</v>
      </c>
      <c r="D43" s="16" t="s">
        <v>585</v>
      </c>
      <c r="E43" s="16" t="s">
        <v>582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27</v>
      </c>
      <c r="O43" s="16" t="s">
        <v>546</v>
      </c>
      <c r="P43" s="16" t="s">
        <v>576</v>
      </c>
      <c r="Q43" s="33" t="s">
        <v>574</v>
      </c>
    </row>
    <row r="44" spans="1:17" ht="17.100000000000001" customHeight="1">
      <c r="A44" s="35">
        <v>45720</v>
      </c>
      <c r="B44" s="36" t="s">
        <v>575</v>
      </c>
      <c r="C44" s="16" t="s">
        <v>567</v>
      </c>
      <c r="D44" s="16" t="s">
        <v>585</v>
      </c>
      <c r="E44" s="16" t="s">
        <v>583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27</v>
      </c>
      <c r="O44" s="16" t="s">
        <v>546</v>
      </c>
      <c r="P44" s="16" t="s">
        <v>576</v>
      </c>
      <c r="Q44" s="33" t="s">
        <v>574</v>
      </c>
    </row>
    <row r="45" spans="1:17" ht="17.100000000000001" customHeight="1">
      <c r="A45" s="35">
        <v>45720</v>
      </c>
      <c r="B45" s="36" t="s">
        <v>575</v>
      </c>
      <c r="C45" s="16" t="s">
        <v>567</v>
      </c>
      <c r="D45" s="16" t="s">
        <v>585</v>
      </c>
      <c r="E45" s="16" t="s">
        <v>584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27</v>
      </c>
      <c r="O45" s="16" t="s">
        <v>546</v>
      </c>
      <c r="P45" s="16" t="s">
        <v>576</v>
      </c>
      <c r="Q45" s="33" t="s">
        <v>574</v>
      </c>
    </row>
    <row r="46" spans="1:17" ht="17.100000000000001" customHeight="1">
      <c r="A46" s="35">
        <v>45720</v>
      </c>
      <c r="B46" s="36" t="s">
        <v>575</v>
      </c>
      <c r="C46" s="16" t="s">
        <v>567</v>
      </c>
      <c r="D46" s="16" t="s">
        <v>585</v>
      </c>
      <c r="E46" s="16" t="s">
        <v>582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11</v>
      </c>
      <c r="O46" s="16" t="s">
        <v>546</v>
      </c>
      <c r="P46" s="16" t="s">
        <v>576</v>
      </c>
      <c r="Q46" s="33" t="s">
        <v>574</v>
      </c>
    </row>
    <row r="47" spans="1:17" ht="17.100000000000001" customHeight="1">
      <c r="A47" s="35">
        <v>45720</v>
      </c>
      <c r="B47" s="36" t="s">
        <v>575</v>
      </c>
      <c r="C47" s="16" t="s">
        <v>567</v>
      </c>
      <c r="D47" s="16" t="s">
        <v>585</v>
      </c>
      <c r="E47" s="16" t="s">
        <v>582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4</v>
      </c>
      <c r="O47" s="16" t="s">
        <v>546</v>
      </c>
      <c r="P47" s="16" t="s">
        <v>576</v>
      </c>
      <c r="Q47" s="33" t="s">
        <v>574</v>
      </c>
    </row>
    <row r="48" spans="1:17" ht="17.100000000000001" customHeight="1">
      <c r="A48" s="35">
        <v>45720</v>
      </c>
      <c r="B48" s="36" t="s">
        <v>575</v>
      </c>
      <c r="C48" s="16" t="s">
        <v>567</v>
      </c>
      <c r="D48" s="16" t="s">
        <v>585</v>
      </c>
      <c r="E48" s="16" t="s">
        <v>586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27</v>
      </c>
      <c r="O48" s="16" t="s">
        <v>546</v>
      </c>
      <c r="P48" s="16" t="s">
        <v>576</v>
      </c>
      <c r="Q48" s="33" t="s">
        <v>574</v>
      </c>
    </row>
    <row r="49" spans="1:17" ht="17.100000000000001" customHeight="1">
      <c r="A49" s="35">
        <v>45720</v>
      </c>
      <c r="B49" s="36" t="s">
        <v>575</v>
      </c>
      <c r="C49" s="16" t="s">
        <v>567</v>
      </c>
      <c r="D49" s="16" t="s">
        <v>585</v>
      </c>
      <c r="E49" s="16" t="s">
        <v>587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54</v>
      </c>
      <c r="O49" s="16" t="s">
        <v>546</v>
      </c>
      <c r="P49" s="16" t="s">
        <v>576</v>
      </c>
      <c r="Q49" s="33" t="s">
        <v>574</v>
      </c>
    </row>
    <row r="50" spans="1:17" ht="17.100000000000001" customHeight="1">
      <c r="A50" s="35">
        <v>45720</v>
      </c>
      <c r="B50" s="36" t="s">
        <v>575</v>
      </c>
      <c r="C50" s="16" t="s">
        <v>567</v>
      </c>
      <c r="D50" s="16" t="s">
        <v>585</v>
      </c>
      <c r="E50" s="16" t="s">
        <v>588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15</v>
      </c>
      <c r="O50" s="16" t="s">
        <v>546</v>
      </c>
      <c r="P50" s="16" t="s">
        <v>576</v>
      </c>
      <c r="Q50" s="33" t="s">
        <v>574</v>
      </c>
    </row>
    <row r="51" spans="1:17" ht="17.100000000000001" customHeight="1">
      <c r="A51" s="35">
        <v>45720</v>
      </c>
      <c r="B51" s="36" t="s">
        <v>575</v>
      </c>
      <c r="C51" s="16" t="s">
        <v>567</v>
      </c>
      <c r="D51" s="16" t="s">
        <v>585</v>
      </c>
      <c r="E51" s="16" t="s">
        <v>588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12</v>
      </c>
      <c r="O51" s="16" t="s">
        <v>546</v>
      </c>
      <c r="P51" s="16" t="s">
        <v>576</v>
      </c>
      <c r="Q51" s="33" t="s">
        <v>574</v>
      </c>
    </row>
    <row r="52" spans="1:17" ht="17.100000000000001" customHeight="1">
      <c r="A52" s="35">
        <v>45720</v>
      </c>
      <c r="B52" s="36" t="s">
        <v>575</v>
      </c>
      <c r="C52" s="16" t="s">
        <v>567</v>
      </c>
      <c r="D52" s="16" t="s">
        <v>527</v>
      </c>
      <c r="E52" s="16" t="s">
        <v>588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27</v>
      </c>
      <c r="O52" s="16" t="s">
        <v>546</v>
      </c>
      <c r="P52" s="16" t="s">
        <v>576</v>
      </c>
      <c r="Q52" s="33" t="s">
        <v>574</v>
      </c>
    </row>
    <row r="53" spans="1:17" ht="17.100000000000001" customHeight="1">
      <c r="A53" s="35">
        <v>45720</v>
      </c>
      <c r="B53" s="36" t="s">
        <v>575</v>
      </c>
      <c r="C53" s="16" t="s">
        <v>567</v>
      </c>
      <c r="D53" s="16" t="s">
        <v>527</v>
      </c>
      <c r="E53" s="16" t="s">
        <v>589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27</v>
      </c>
      <c r="O53" s="16" t="s">
        <v>546</v>
      </c>
      <c r="P53" s="16" t="s">
        <v>576</v>
      </c>
      <c r="Q53" s="33" t="s">
        <v>574</v>
      </c>
    </row>
    <row r="54" spans="1:17" ht="17.100000000000001" customHeight="1">
      <c r="A54" s="35">
        <v>45720</v>
      </c>
      <c r="B54" s="36" t="s">
        <v>575</v>
      </c>
      <c r="C54" s="16" t="s">
        <v>567</v>
      </c>
      <c r="D54" s="16" t="s">
        <v>527</v>
      </c>
      <c r="E54" s="16" t="s">
        <v>590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27</v>
      </c>
      <c r="O54" s="16" t="s">
        <v>546</v>
      </c>
      <c r="P54" s="16" t="s">
        <v>576</v>
      </c>
      <c r="Q54" s="33" t="s">
        <v>574</v>
      </c>
    </row>
    <row r="55" spans="1:17" ht="17.100000000000001" customHeight="1">
      <c r="A55" s="35">
        <v>45720</v>
      </c>
      <c r="B55" s="36" t="s">
        <v>575</v>
      </c>
      <c r="C55" s="16" t="s">
        <v>567</v>
      </c>
      <c r="D55" s="16" t="s">
        <v>527</v>
      </c>
      <c r="E55" s="16" t="s">
        <v>591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7</v>
      </c>
      <c r="O55" s="16" t="s">
        <v>546</v>
      </c>
      <c r="P55" s="16" t="s">
        <v>576</v>
      </c>
      <c r="Q55" s="33" t="s">
        <v>574</v>
      </c>
    </row>
    <row r="56" spans="1:17" ht="17.100000000000001" customHeight="1">
      <c r="A56" s="35">
        <v>45720</v>
      </c>
      <c r="B56" s="36" t="s">
        <v>174</v>
      </c>
      <c r="C56" s="34" t="s">
        <v>567</v>
      </c>
      <c r="D56" s="16" t="s">
        <v>585</v>
      </c>
      <c r="E56" s="16" t="s">
        <v>591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20</v>
      </c>
      <c r="O56" s="16" t="s">
        <v>546</v>
      </c>
      <c r="P56" s="16" t="s">
        <v>618</v>
      </c>
      <c r="Q56" s="32" t="s">
        <v>617</v>
      </c>
    </row>
    <row r="57" spans="1:17" ht="17.100000000000001" customHeight="1">
      <c r="A57" s="35">
        <v>45720</v>
      </c>
      <c r="B57" s="36" t="s">
        <v>174</v>
      </c>
      <c r="C57" s="34" t="s">
        <v>567</v>
      </c>
      <c r="D57" s="16" t="s">
        <v>585</v>
      </c>
      <c r="E57" s="16" t="s">
        <v>548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30</v>
      </c>
      <c r="O57" s="16" t="s">
        <v>546</v>
      </c>
      <c r="P57" s="16" t="s">
        <v>618</v>
      </c>
      <c r="Q57" s="32" t="s">
        <v>617</v>
      </c>
    </row>
    <row r="58" spans="1:17" ht="17.100000000000001" customHeight="1">
      <c r="A58" s="35">
        <v>45720</v>
      </c>
      <c r="B58" s="36" t="s">
        <v>174</v>
      </c>
      <c r="C58" s="34" t="s">
        <v>567</v>
      </c>
      <c r="D58" s="16" t="s">
        <v>585</v>
      </c>
      <c r="E58" s="16" t="s">
        <v>592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25</v>
      </c>
      <c r="O58" s="16" t="s">
        <v>546</v>
      </c>
      <c r="P58" s="16" t="s">
        <v>618</v>
      </c>
      <c r="Q58" s="32" t="s">
        <v>617</v>
      </c>
    </row>
    <row r="59" spans="1:17" ht="17.100000000000001" customHeight="1">
      <c r="A59" s="35">
        <v>45721</v>
      </c>
      <c r="B59" s="36" t="s">
        <v>174</v>
      </c>
      <c r="C59" s="34" t="s">
        <v>596</v>
      </c>
      <c r="D59" s="16" t="s">
        <v>571</v>
      </c>
      <c r="E59" s="16" t="s">
        <v>595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4</v>
      </c>
      <c r="O59" s="16" t="s">
        <v>546</v>
      </c>
      <c r="P59" s="16" t="s">
        <v>618</v>
      </c>
      <c r="Q59" s="32" t="s">
        <v>617</v>
      </c>
    </row>
    <row r="60" spans="1:17" ht="17.100000000000001" customHeight="1">
      <c r="A60" s="35">
        <v>45721</v>
      </c>
      <c r="B60" s="36" t="s">
        <v>174</v>
      </c>
      <c r="C60" s="34" t="s">
        <v>596</v>
      </c>
      <c r="D60" s="16" t="s">
        <v>571</v>
      </c>
      <c r="E60" s="16" t="s">
        <v>593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27</v>
      </c>
      <c r="O60" s="16" t="s">
        <v>546</v>
      </c>
      <c r="P60" s="16" t="s">
        <v>618</v>
      </c>
      <c r="Q60" s="32" t="s">
        <v>617</v>
      </c>
    </row>
    <row r="61" spans="1:17" ht="17.100000000000001" customHeight="1">
      <c r="A61" s="35">
        <v>45721</v>
      </c>
      <c r="B61" s="36" t="s">
        <v>174</v>
      </c>
      <c r="C61" s="34" t="s">
        <v>596</v>
      </c>
      <c r="D61" s="16" t="s">
        <v>571</v>
      </c>
      <c r="E61" s="16" t="s">
        <v>594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27</v>
      </c>
      <c r="O61" s="16" t="s">
        <v>546</v>
      </c>
      <c r="P61" s="16" t="s">
        <v>618</v>
      </c>
      <c r="Q61" s="32" t="s">
        <v>617</v>
      </c>
    </row>
    <row r="62" spans="1:17" ht="17.100000000000001" customHeight="1">
      <c r="A62" s="35">
        <v>45721</v>
      </c>
      <c r="B62" s="36" t="s">
        <v>174</v>
      </c>
      <c r="C62" s="34" t="s">
        <v>596</v>
      </c>
      <c r="D62" s="16" t="s">
        <v>571</v>
      </c>
      <c r="E62" s="16" t="s">
        <v>592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27</v>
      </c>
      <c r="O62" s="16" t="s">
        <v>546</v>
      </c>
      <c r="P62" s="16" t="s">
        <v>618</v>
      </c>
      <c r="Q62" s="32" t="s">
        <v>617</v>
      </c>
    </row>
    <row r="63" spans="1:17" ht="17.100000000000001" customHeight="1">
      <c r="A63" s="35">
        <v>45721</v>
      </c>
      <c r="B63" s="36" t="s">
        <v>174</v>
      </c>
      <c r="C63" s="34" t="s">
        <v>596</v>
      </c>
      <c r="D63" s="16" t="s">
        <v>571</v>
      </c>
      <c r="E63" s="16" t="s">
        <v>594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54</v>
      </c>
      <c r="O63" s="16" t="s">
        <v>546</v>
      </c>
      <c r="P63" s="16" t="s">
        <v>618</v>
      </c>
      <c r="Q63" s="32" t="s">
        <v>617</v>
      </c>
    </row>
    <row r="64" spans="1:17" ht="17.100000000000001" customHeight="1">
      <c r="A64" s="35">
        <v>45721</v>
      </c>
      <c r="B64" s="36" t="s">
        <v>174</v>
      </c>
      <c r="C64" s="34" t="s">
        <v>596</v>
      </c>
      <c r="D64" s="16" t="s">
        <v>597</v>
      </c>
      <c r="E64" s="16" t="s">
        <v>598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27</v>
      </c>
      <c r="O64" s="16" t="s">
        <v>546</v>
      </c>
      <c r="P64" s="16" t="s">
        <v>618</v>
      </c>
      <c r="Q64" s="32" t="s">
        <v>617</v>
      </c>
    </row>
    <row r="65" spans="1:17" ht="17.100000000000001" customHeight="1">
      <c r="A65" s="35">
        <v>45721</v>
      </c>
      <c r="B65" s="36" t="s">
        <v>174</v>
      </c>
      <c r="C65" s="34" t="s">
        <v>596</v>
      </c>
      <c r="D65" s="16" t="s">
        <v>597</v>
      </c>
      <c r="E65" s="16" t="s">
        <v>586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27</v>
      </c>
      <c r="O65" s="16" t="s">
        <v>546</v>
      </c>
      <c r="P65" s="16" t="s">
        <v>618</v>
      </c>
      <c r="Q65" s="32" t="s">
        <v>617</v>
      </c>
    </row>
    <row r="66" spans="1:17" ht="17.100000000000001" customHeight="1">
      <c r="A66" s="35">
        <v>45721</v>
      </c>
      <c r="B66" s="36" t="s">
        <v>174</v>
      </c>
      <c r="C66" s="34" t="s">
        <v>596</v>
      </c>
      <c r="D66" s="16" t="s">
        <v>597</v>
      </c>
      <c r="E66" s="16" t="s">
        <v>599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27</v>
      </c>
      <c r="O66" s="16" t="s">
        <v>546</v>
      </c>
      <c r="P66" s="16" t="s">
        <v>618</v>
      </c>
      <c r="Q66" s="32" t="s">
        <v>617</v>
      </c>
    </row>
    <row r="67" spans="1:17" ht="17.100000000000001" customHeight="1">
      <c r="A67" s="35">
        <v>45721</v>
      </c>
      <c r="B67" s="36" t="s">
        <v>174</v>
      </c>
      <c r="C67" s="34" t="s">
        <v>596</v>
      </c>
      <c r="D67" s="16" t="s">
        <v>597</v>
      </c>
      <c r="E67" s="16" t="s">
        <v>600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7</v>
      </c>
      <c r="O67" s="16" t="s">
        <v>546</v>
      </c>
      <c r="P67" s="16" t="s">
        <v>618</v>
      </c>
      <c r="Q67" s="32" t="s">
        <v>617</v>
      </c>
    </row>
    <row r="68" spans="1:17" ht="17.100000000000001" customHeight="1">
      <c r="A68" s="35">
        <v>45721</v>
      </c>
      <c r="B68" s="36" t="s">
        <v>174</v>
      </c>
      <c r="C68" s="34" t="s">
        <v>596</v>
      </c>
      <c r="D68" s="16" t="s">
        <v>527</v>
      </c>
      <c r="E68" s="16" t="s">
        <v>600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20</v>
      </c>
      <c r="O68" s="16" t="s">
        <v>546</v>
      </c>
      <c r="P68" s="16" t="s">
        <v>618</v>
      </c>
      <c r="Q68" s="32" t="s">
        <v>617</v>
      </c>
    </row>
    <row r="69" spans="1:17" ht="17.100000000000001" customHeight="1">
      <c r="A69" s="35">
        <v>45721</v>
      </c>
      <c r="B69" s="36" t="s">
        <v>174</v>
      </c>
      <c r="C69" s="34" t="s">
        <v>596</v>
      </c>
      <c r="D69" s="16" t="s">
        <v>527</v>
      </c>
      <c r="E69" s="16" t="s">
        <v>602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27</v>
      </c>
      <c r="O69" s="16" t="s">
        <v>546</v>
      </c>
      <c r="P69" s="16" t="s">
        <v>618</v>
      </c>
      <c r="Q69" s="32" t="s">
        <v>617</v>
      </c>
    </row>
    <row r="70" spans="1:17" ht="17.100000000000001" customHeight="1">
      <c r="A70" s="35">
        <v>45721</v>
      </c>
      <c r="B70" s="36" t="s">
        <v>174</v>
      </c>
      <c r="C70" s="34" t="s">
        <v>596</v>
      </c>
      <c r="D70" s="16" t="s">
        <v>527</v>
      </c>
      <c r="E70" s="16" t="s">
        <v>603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27</v>
      </c>
      <c r="O70" s="16" t="s">
        <v>546</v>
      </c>
      <c r="P70" s="16" t="s">
        <v>618</v>
      </c>
      <c r="Q70" s="32" t="s">
        <v>617</v>
      </c>
    </row>
    <row r="71" spans="1:17" ht="17.100000000000001" customHeight="1">
      <c r="A71" s="35">
        <v>45721</v>
      </c>
      <c r="B71" s="36" t="s">
        <v>174</v>
      </c>
      <c r="C71" s="34" t="s">
        <v>596</v>
      </c>
      <c r="D71" s="16" t="s">
        <v>527</v>
      </c>
      <c r="E71" s="16" t="s">
        <v>604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32</v>
      </c>
      <c r="O71" s="16" t="s">
        <v>546</v>
      </c>
      <c r="P71" s="16" t="s">
        <v>618</v>
      </c>
      <c r="Q71" s="32" t="s">
        <v>617</v>
      </c>
    </row>
    <row r="72" spans="1:17" ht="17.100000000000001" customHeight="1">
      <c r="A72" s="35">
        <v>45721</v>
      </c>
      <c r="B72" s="36" t="s">
        <v>174</v>
      </c>
      <c r="C72" s="34" t="s">
        <v>596</v>
      </c>
      <c r="D72" s="16" t="s">
        <v>601</v>
      </c>
      <c r="E72" s="16" t="s">
        <v>605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27</v>
      </c>
      <c r="O72" s="16" t="s">
        <v>546</v>
      </c>
      <c r="P72" s="16" t="s">
        <v>618</v>
      </c>
      <c r="Q72" s="32" t="s">
        <v>617</v>
      </c>
    </row>
    <row r="73" spans="1:17" ht="17.100000000000001" customHeight="1">
      <c r="A73" s="35">
        <v>45721</v>
      </c>
      <c r="B73" s="36" t="s">
        <v>174</v>
      </c>
      <c r="C73" s="34" t="s">
        <v>596</v>
      </c>
      <c r="D73" s="16" t="s">
        <v>601</v>
      </c>
      <c r="E73" s="16" t="s">
        <v>603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27</v>
      </c>
      <c r="O73" s="16" t="s">
        <v>546</v>
      </c>
      <c r="P73" s="16" t="s">
        <v>618</v>
      </c>
      <c r="Q73" s="32" t="s">
        <v>617</v>
      </c>
    </row>
    <row r="74" spans="1:17" ht="17.100000000000001" customHeight="1">
      <c r="A74" s="35">
        <v>45721</v>
      </c>
      <c r="B74" s="36" t="s">
        <v>174</v>
      </c>
      <c r="C74" s="34" t="s">
        <v>596</v>
      </c>
      <c r="D74" s="16" t="s">
        <v>601</v>
      </c>
      <c r="E74" s="16" t="s">
        <v>606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27</v>
      </c>
      <c r="O74" s="16" t="s">
        <v>546</v>
      </c>
      <c r="P74" s="16" t="s">
        <v>618</v>
      </c>
      <c r="Q74" s="32" t="s">
        <v>617</v>
      </c>
    </row>
    <row r="75" spans="1:17" ht="17.100000000000001" customHeight="1">
      <c r="A75" s="35">
        <v>45721</v>
      </c>
      <c r="B75" s="36" t="s">
        <v>174</v>
      </c>
      <c r="C75" s="34" t="s">
        <v>596</v>
      </c>
      <c r="D75" s="16" t="s">
        <v>601</v>
      </c>
      <c r="E75" s="16" t="s">
        <v>607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11</v>
      </c>
      <c r="O75" s="16" t="s">
        <v>546</v>
      </c>
      <c r="P75" s="16" t="s">
        <v>618</v>
      </c>
      <c r="Q75" s="32" t="s">
        <v>617</v>
      </c>
    </row>
    <row r="76" spans="1:17" ht="17.100000000000001" customHeight="1">
      <c r="A76" s="35">
        <v>45721</v>
      </c>
      <c r="B76" s="36" t="s">
        <v>174</v>
      </c>
      <c r="C76" s="34" t="s">
        <v>596</v>
      </c>
      <c r="D76" s="16" t="s">
        <v>547</v>
      </c>
      <c r="E76" s="16" t="s">
        <v>608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18</v>
      </c>
      <c r="O76" s="16" t="s">
        <v>546</v>
      </c>
      <c r="P76" s="16" t="s">
        <v>619</v>
      </c>
      <c r="Q76" s="32" t="s">
        <v>617</v>
      </c>
    </row>
    <row r="77" spans="1:17" ht="17.100000000000001" customHeight="1">
      <c r="A77" s="35">
        <v>45721</v>
      </c>
      <c r="B77" s="36" t="s">
        <v>174</v>
      </c>
      <c r="C77" s="34" t="s">
        <v>596</v>
      </c>
      <c r="D77" s="16" t="s">
        <v>547</v>
      </c>
      <c r="E77" s="16" t="s">
        <v>607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40</v>
      </c>
      <c r="O77" s="16" t="s">
        <v>546</v>
      </c>
      <c r="P77" s="16" t="s">
        <v>619</v>
      </c>
      <c r="Q77" s="32" t="s">
        <v>617</v>
      </c>
    </row>
    <row r="78" spans="1:17" ht="17.100000000000001" customHeight="1">
      <c r="A78" s="35">
        <v>45721</v>
      </c>
      <c r="B78" s="36" t="s">
        <v>174</v>
      </c>
      <c r="C78" s="34" t="s">
        <v>596</v>
      </c>
      <c r="D78" s="16" t="s">
        <v>547</v>
      </c>
      <c r="E78" s="16" t="s">
        <v>609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27</v>
      </c>
      <c r="O78" s="16" t="s">
        <v>546</v>
      </c>
      <c r="P78" s="16" t="s">
        <v>619</v>
      </c>
      <c r="Q78" s="32" t="s">
        <v>617</v>
      </c>
    </row>
    <row r="79" spans="1:17" ht="17.100000000000001" customHeight="1">
      <c r="A79" s="35">
        <v>45721</v>
      </c>
      <c r="B79" s="36" t="s">
        <v>174</v>
      </c>
      <c r="C79" s="34" t="s">
        <v>596</v>
      </c>
      <c r="D79" s="16" t="s">
        <v>547</v>
      </c>
      <c r="E79" s="16" t="s">
        <v>610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27</v>
      </c>
      <c r="O79" s="16" t="s">
        <v>546</v>
      </c>
      <c r="P79" s="16" t="s">
        <v>619</v>
      </c>
      <c r="Q79" s="32" t="s">
        <v>617</v>
      </c>
    </row>
    <row r="80" spans="1:17" ht="17.100000000000001" customHeight="1">
      <c r="A80" s="35">
        <v>45721</v>
      </c>
      <c r="B80" s="36" t="s">
        <v>174</v>
      </c>
      <c r="C80" s="34" t="s">
        <v>596</v>
      </c>
      <c r="D80" s="16" t="s">
        <v>611</v>
      </c>
      <c r="E80" s="16" t="s">
        <v>612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54</v>
      </c>
      <c r="O80" s="16" t="s">
        <v>546</v>
      </c>
      <c r="P80" s="16" t="s">
        <v>619</v>
      </c>
      <c r="Q80" s="32" t="s">
        <v>617</v>
      </c>
    </row>
    <row r="81" spans="1:17" ht="17.100000000000001" customHeight="1">
      <c r="A81" s="35">
        <v>45721</v>
      </c>
      <c r="B81" s="36" t="s">
        <v>174</v>
      </c>
      <c r="C81" s="34" t="s">
        <v>596</v>
      </c>
      <c r="D81" s="16" t="s">
        <v>611</v>
      </c>
      <c r="E81" s="16" t="s">
        <v>613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54</v>
      </c>
      <c r="O81" s="16" t="s">
        <v>546</v>
      </c>
      <c r="P81" s="16" t="s">
        <v>619</v>
      </c>
      <c r="Q81" s="32" t="s">
        <v>617</v>
      </c>
    </row>
    <row r="82" spans="1:17" ht="17.100000000000001" customHeight="1">
      <c r="A82" s="35">
        <v>45721</v>
      </c>
      <c r="B82" s="36" t="s">
        <v>174</v>
      </c>
      <c r="C82" s="34" t="s">
        <v>596</v>
      </c>
      <c r="D82" s="16" t="s">
        <v>614</v>
      </c>
      <c r="E82" s="16" t="s">
        <v>615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27</v>
      </c>
      <c r="O82" s="16" t="s">
        <v>546</v>
      </c>
      <c r="P82" s="16" t="s">
        <v>619</v>
      </c>
      <c r="Q82" s="32" t="s">
        <v>617</v>
      </c>
    </row>
    <row r="83" spans="1:17" ht="17.100000000000001" customHeight="1">
      <c r="A83" s="35">
        <v>45721</v>
      </c>
      <c r="B83" s="36" t="s">
        <v>174</v>
      </c>
      <c r="C83" s="34" t="s">
        <v>596</v>
      </c>
      <c r="D83" s="16" t="s">
        <v>614</v>
      </c>
      <c r="E83" s="16" t="s">
        <v>538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21</v>
      </c>
      <c r="O83" s="16" t="s">
        <v>546</v>
      </c>
      <c r="P83" s="16" t="s">
        <v>619</v>
      </c>
      <c r="Q83" s="32" t="s">
        <v>617</v>
      </c>
    </row>
    <row r="84" spans="1:17" ht="17.100000000000001" customHeight="1">
      <c r="A84" s="35">
        <v>45721</v>
      </c>
      <c r="B84" s="36" t="s">
        <v>174</v>
      </c>
      <c r="C84" s="34" t="s">
        <v>596</v>
      </c>
      <c r="D84" s="16" t="s">
        <v>614</v>
      </c>
      <c r="E84" s="16" t="s">
        <v>616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27</v>
      </c>
      <c r="O84" s="16" t="s">
        <v>546</v>
      </c>
      <c r="P84" s="16" t="s">
        <v>619</v>
      </c>
      <c r="Q84" s="32" t="s">
        <v>617</v>
      </c>
    </row>
    <row r="85" spans="1:17" ht="17.100000000000001" customHeight="1">
      <c r="A85" s="35">
        <v>45721</v>
      </c>
      <c r="B85" s="36" t="s">
        <v>174</v>
      </c>
      <c r="C85" s="34" t="s">
        <v>596</v>
      </c>
      <c r="D85" s="16" t="s">
        <v>614</v>
      </c>
      <c r="E85" s="16" t="s">
        <v>616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5</v>
      </c>
      <c r="O85" s="16" t="s">
        <v>546</v>
      </c>
      <c r="P85" s="16" t="s">
        <v>619</v>
      </c>
      <c r="Q85" s="32" t="s">
        <v>617</v>
      </c>
    </row>
    <row r="86" spans="1:17" ht="17.100000000000001" customHeight="1">
      <c r="A86" s="35">
        <v>45722</v>
      </c>
      <c r="B86" s="36" t="s">
        <v>174</v>
      </c>
      <c r="C86" s="34" t="s">
        <v>625</v>
      </c>
      <c r="D86" s="16" t="s">
        <v>614</v>
      </c>
      <c r="E86" s="16" t="s">
        <v>616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22</v>
      </c>
      <c r="O86" s="16" t="s">
        <v>546</v>
      </c>
      <c r="P86" s="16" t="s">
        <v>619</v>
      </c>
      <c r="Q86" s="32" t="s">
        <v>617</v>
      </c>
    </row>
    <row r="87" spans="1:17" ht="17.100000000000001" customHeight="1">
      <c r="A87" s="35">
        <v>45722</v>
      </c>
      <c r="B87" s="36" t="s">
        <v>174</v>
      </c>
      <c r="C87" s="34" t="s">
        <v>625</v>
      </c>
      <c r="D87" s="16" t="s">
        <v>614</v>
      </c>
      <c r="E87" s="16" t="s">
        <v>620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27</v>
      </c>
      <c r="O87" s="16" t="s">
        <v>546</v>
      </c>
      <c r="P87" s="16" t="s">
        <v>619</v>
      </c>
      <c r="Q87" s="32" t="s">
        <v>617</v>
      </c>
    </row>
    <row r="88" spans="1:17" ht="17.100000000000001" customHeight="1">
      <c r="A88" s="35">
        <v>45722</v>
      </c>
      <c r="B88" s="36" t="s">
        <v>174</v>
      </c>
      <c r="C88" s="34" t="s">
        <v>625</v>
      </c>
      <c r="D88" s="16" t="s">
        <v>614</v>
      </c>
      <c r="E88" s="16" t="s">
        <v>621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27</v>
      </c>
      <c r="O88" s="16" t="s">
        <v>546</v>
      </c>
      <c r="P88" s="16" t="s">
        <v>619</v>
      </c>
      <c r="Q88" s="32" t="s">
        <v>617</v>
      </c>
    </row>
    <row r="89" spans="1:17" ht="17.100000000000001" customHeight="1">
      <c r="A89" s="35">
        <v>45722</v>
      </c>
      <c r="B89" s="36" t="s">
        <v>174</v>
      </c>
      <c r="C89" s="34" t="s">
        <v>625</v>
      </c>
      <c r="D89" s="16" t="s">
        <v>614</v>
      </c>
      <c r="E89" s="16" t="s">
        <v>622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27</v>
      </c>
      <c r="O89" s="16" t="s">
        <v>546</v>
      </c>
      <c r="P89" s="16" t="s">
        <v>619</v>
      </c>
      <c r="Q89" s="32" t="s">
        <v>617</v>
      </c>
    </row>
    <row r="90" spans="1:17" ht="17.100000000000001" customHeight="1">
      <c r="A90" s="35">
        <v>45722</v>
      </c>
      <c r="B90" s="36" t="s">
        <v>174</v>
      </c>
      <c r="C90" s="34" t="s">
        <v>625</v>
      </c>
      <c r="D90" s="16" t="s">
        <v>550</v>
      </c>
      <c r="E90" s="16" t="s">
        <v>620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22</v>
      </c>
      <c r="O90" s="16" t="s">
        <v>546</v>
      </c>
      <c r="P90" s="16" t="s">
        <v>619</v>
      </c>
      <c r="Q90" s="32" t="s">
        <v>617</v>
      </c>
    </row>
    <row r="91" spans="1:17" ht="17.100000000000001" customHeight="1">
      <c r="A91" s="35">
        <v>45722</v>
      </c>
      <c r="B91" s="36" t="s">
        <v>174</v>
      </c>
      <c r="C91" s="34" t="s">
        <v>625</v>
      </c>
      <c r="D91" s="16" t="s">
        <v>550</v>
      </c>
      <c r="E91" s="16" t="s">
        <v>620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5</v>
      </c>
      <c r="O91" s="16" t="s">
        <v>546</v>
      </c>
      <c r="P91" s="16" t="s">
        <v>619</v>
      </c>
      <c r="Q91" s="32" t="s">
        <v>617</v>
      </c>
    </row>
    <row r="92" spans="1:17" ht="17.100000000000001" customHeight="1">
      <c r="A92" s="35">
        <v>45722</v>
      </c>
      <c r="B92" s="36" t="s">
        <v>174</v>
      </c>
      <c r="C92" s="34" t="s">
        <v>625</v>
      </c>
      <c r="D92" s="16" t="s">
        <v>550</v>
      </c>
      <c r="E92" s="16" t="s">
        <v>623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27</v>
      </c>
      <c r="O92" s="16" t="s">
        <v>546</v>
      </c>
      <c r="P92" s="16" t="s">
        <v>619</v>
      </c>
      <c r="Q92" s="32" t="s">
        <v>617</v>
      </c>
    </row>
    <row r="93" spans="1:17" ht="17.100000000000001" customHeight="1">
      <c r="A93" s="35">
        <v>45722</v>
      </c>
      <c r="B93" s="36" t="s">
        <v>174</v>
      </c>
      <c r="C93" s="34" t="s">
        <v>625</v>
      </c>
      <c r="D93" s="16" t="s">
        <v>550</v>
      </c>
      <c r="E93" s="16" t="s">
        <v>622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27</v>
      </c>
      <c r="O93" s="16" t="s">
        <v>546</v>
      </c>
      <c r="P93" s="16" t="s">
        <v>619</v>
      </c>
      <c r="Q93" s="32" t="s">
        <v>617</v>
      </c>
    </row>
    <row r="94" spans="1:17" ht="17.100000000000001" customHeight="1">
      <c r="A94" s="35">
        <v>45722</v>
      </c>
      <c r="B94" s="36" t="s">
        <v>174</v>
      </c>
      <c r="C94" s="34" t="s">
        <v>625</v>
      </c>
      <c r="D94" s="16" t="s">
        <v>550</v>
      </c>
      <c r="E94" s="16" t="s">
        <v>624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16</v>
      </c>
      <c r="O94" s="16" t="s">
        <v>546</v>
      </c>
      <c r="P94" s="16" t="s">
        <v>619</v>
      </c>
      <c r="Q94" s="32" t="s">
        <v>617</v>
      </c>
    </row>
    <row r="95" spans="1:17" ht="17.100000000000001" customHeight="1">
      <c r="A95" s="35">
        <v>45722</v>
      </c>
      <c r="B95" s="36" t="s">
        <v>174</v>
      </c>
      <c r="C95" s="34" t="s">
        <v>625</v>
      </c>
      <c r="D95" s="16" t="s">
        <v>614</v>
      </c>
      <c r="E95" s="16" t="s">
        <v>624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11</v>
      </c>
      <c r="O95" s="16" t="s">
        <v>546</v>
      </c>
      <c r="P95" s="16" t="s">
        <v>629</v>
      </c>
      <c r="Q95" s="32" t="s">
        <v>617</v>
      </c>
    </row>
    <row r="96" spans="1:17" ht="17.100000000000001" customHeight="1">
      <c r="A96" s="35">
        <v>45722</v>
      </c>
      <c r="B96" s="36" t="s">
        <v>174</v>
      </c>
      <c r="C96" s="34" t="s">
        <v>625</v>
      </c>
      <c r="D96" s="16" t="s">
        <v>614</v>
      </c>
      <c r="E96" s="16" t="s">
        <v>626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27</v>
      </c>
      <c r="O96" s="16" t="s">
        <v>546</v>
      </c>
      <c r="P96" s="16" t="s">
        <v>629</v>
      </c>
      <c r="Q96" s="32" t="s">
        <v>617</v>
      </c>
    </row>
    <row r="97" spans="1:17" ht="17.100000000000001" customHeight="1">
      <c r="A97" s="35">
        <v>45722</v>
      </c>
      <c r="B97" s="36" t="s">
        <v>174</v>
      </c>
      <c r="C97" s="34" t="s">
        <v>625</v>
      </c>
      <c r="D97" s="16" t="s">
        <v>614</v>
      </c>
      <c r="E97" s="16" t="s">
        <v>627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54</v>
      </c>
      <c r="O97" s="16" t="s">
        <v>546</v>
      </c>
      <c r="P97" s="16" t="s">
        <v>629</v>
      </c>
      <c r="Q97" s="32" t="s">
        <v>617</v>
      </c>
    </row>
    <row r="98" spans="1:17" ht="17.100000000000001" customHeight="1">
      <c r="A98" s="35">
        <v>45722</v>
      </c>
      <c r="B98" s="36" t="s">
        <v>174</v>
      </c>
      <c r="C98" s="34" t="s">
        <v>625</v>
      </c>
      <c r="D98" s="16" t="s">
        <v>614</v>
      </c>
      <c r="E98" s="16" t="s">
        <v>628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18</v>
      </c>
      <c r="O98" s="16" t="s">
        <v>546</v>
      </c>
      <c r="P98" s="16" t="s">
        <v>629</v>
      </c>
      <c r="Q98" s="32" t="s">
        <v>617</v>
      </c>
    </row>
    <row r="99" spans="1:17" ht="17.100000000000001" customHeight="1">
      <c r="A99" s="35">
        <v>45722</v>
      </c>
      <c r="B99" s="36" t="s">
        <v>174</v>
      </c>
      <c r="C99" s="34" t="s">
        <v>625</v>
      </c>
      <c r="D99" s="16" t="s">
        <v>633</v>
      </c>
      <c r="E99" s="16" t="s">
        <v>630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54</v>
      </c>
      <c r="O99" s="16" t="s">
        <v>546</v>
      </c>
      <c r="P99" s="16" t="s">
        <v>629</v>
      </c>
      <c r="Q99" s="32" t="s">
        <v>617</v>
      </c>
    </row>
    <row r="100" spans="1:17" ht="17.100000000000001" customHeight="1">
      <c r="A100" s="35">
        <v>45722</v>
      </c>
      <c r="B100" s="36" t="s">
        <v>174</v>
      </c>
      <c r="C100" s="34" t="s">
        <v>625</v>
      </c>
      <c r="D100" s="16" t="s">
        <v>633</v>
      </c>
      <c r="E100" s="16" t="s">
        <v>631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27</v>
      </c>
      <c r="O100" s="16" t="s">
        <v>546</v>
      </c>
      <c r="P100" s="16" t="s">
        <v>629</v>
      </c>
      <c r="Q100" s="32" t="s">
        <v>617</v>
      </c>
    </row>
    <row r="101" spans="1:17" ht="17.100000000000001" customHeight="1">
      <c r="A101" s="35">
        <v>45722</v>
      </c>
      <c r="B101" s="36" t="s">
        <v>174</v>
      </c>
      <c r="C101" s="34" t="s">
        <v>625</v>
      </c>
      <c r="D101" s="16" t="s">
        <v>633</v>
      </c>
      <c r="E101" s="16" t="s">
        <v>632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27</v>
      </c>
      <c r="O101" s="16" t="s">
        <v>546</v>
      </c>
      <c r="P101" s="16" t="s">
        <v>629</v>
      </c>
      <c r="Q101" s="32" t="s">
        <v>617</v>
      </c>
    </row>
    <row r="102" spans="1:17" ht="17.100000000000001" customHeight="1">
      <c r="A102" s="35">
        <v>45722</v>
      </c>
      <c r="B102" s="36" t="s">
        <v>174</v>
      </c>
      <c r="C102" s="34" t="s">
        <v>625</v>
      </c>
      <c r="D102" s="16" t="s">
        <v>614</v>
      </c>
      <c r="E102" s="16" t="s">
        <v>634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27</v>
      </c>
      <c r="O102" s="16" t="s">
        <v>546</v>
      </c>
      <c r="P102" s="16" t="s">
        <v>629</v>
      </c>
      <c r="Q102" s="32" t="s">
        <v>617</v>
      </c>
    </row>
    <row r="103" spans="1:17" ht="17.100000000000001" customHeight="1">
      <c r="A103" s="35">
        <v>45722</v>
      </c>
      <c r="B103" s="36" t="s">
        <v>174</v>
      </c>
      <c r="C103" s="34" t="s">
        <v>625</v>
      </c>
      <c r="D103" s="16" t="s">
        <v>614</v>
      </c>
      <c r="E103" s="16" t="s">
        <v>518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27</v>
      </c>
      <c r="O103" s="16" t="s">
        <v>546</v>
      </c>
      <c r="P103" s="16" t="s">
        <v>629</v>
      </c>
      <c r="Q103" s="32" t="s">
        <v>617</v>
      </c>
    </row>
    <row r="104" spans="1:17" ht="17.100000000000001" customHeight="1">
      <c r="A104" s="35">
        <v>45722</v>
      </c>
      <c r="B104" s="36" t="s">
        <v>174</v>
      </c>
      <c r="C104" s="34" t="s">
        <v>625</v>
      </c>
      <c r="D104" s="16" t="s">
        <v>614</v>
      </c>
      <c r="E104" s="16" t="s">
        <v>635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27</v>
      </c>
      <c r="O104" s="16" t="s">
        <v>546</v>
      </c>
      <c r="P104" s="16" t="s">
        <v>629</v>
      </c>
      <c r="Q104" s="32" t="s">
        <v>617</v>
      </c>
    </row>
    <row r="105" spans="1:17" ht="17.100000000000001" customHeight="1">
      <c r="A105" s="35">
        <v>45722</v>
      </c>
      <c r="B105" s="36" t="s">
        <v>174</v>
      </c>
      <c r="C105" s="34" t="s">
        <v>625</v>
      </c>
      <c r="D105" s="16" t="s">
        <v>633</v>
      </c>
      <c r="E105" s="16" t="s">
        <v>636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29</v>
      </c>
      <c r="O105" s="16" t="s">
        <v>546</v>
      </c>
      <c r="P105" s="16" t="s">
        <v>629</v>
      </c>
      <c r="Q105" s="32" t="s">
        <v>617</v>
      </c>
    </row>
    <row r="106" spans="1:17" ht="17.100000000000001" customHeight="1">
      <c r="A106" s="35">
        <v>45722</v>
      </c>
      <c r="B106" s="36" t="s">
        <v>174</v>
      </c>
      <c r="C106" s="34" t="s">
        <v>625</v>
      </c>
      <c r="D106" s="16" t="s">
        <v>633</v>
      </c>
      <c r="E106" s="16" t="s">
        <v>637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54</v>
      </c>
      <c r="O106" s="16" t="s">
        <v>546</v>
      </c>
      <c r="P106" s="16" t="s">
        <v>629</v>
      </c>
      <c r="Q106" s="32" t="s">
        <v>617</v>
      </c>
    </row>
    <row r="107" spans="1:17" ht="17.100000000000001" customHeight="1">
      <c r="A107" s="35">
        <v>45722</v>
      </c>
      <c r="B107" s="36" t="s">
        <v>174</v>
      </c>
      <c r="C107" s="34" t="s">
        <v>625</v>
      </c>
      <c r="D107" s="16" t="s">
        <v>633</v>
      </c>
      <c r="E107" s="16" t="s">
        <v>638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27</v>
      </c>
      <c r="O107" s="16" t="s">
        <v>546</v>
      </c>
      <c r="P107" s="16" t="s">
        <v>629</v>
      </c>
      <c r="Q107" s="32" t="s">
        <v>617</v>
      </c>
    </row>
    <row r="108" spans="1:17" ht="17.100000000000001" customHeight="1">
      <c r="A108" s="35">
        <v>45722</v>
      </c>
      <c r="B108" s="36" t="s">
        <v>174</v>
      </c>
      <c r="C108" s="34" t="s">
        <v>625</v>
      </c>
      <c r="D108" s="16" t="s">
        <v>639</v>
      </c>
      <c r="E108" s="16" t="s">
        <v>638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27</v>
      </c>
      <c r="O108" s="16" t="s">
        <v>546</v>
      </c>
      <c r="P108" s="16" t="s">
        <v>629</v>
      </c>
      <c r="Q108" s="32" t="s">
        <v>617</v>
      </c>
    </row>
    <row r="109" spans="1:17" ht="17.100000000000001" customHeight="1">
      <c r="A109" s="35">
        <v>45722</v>
      </c>
      <c r="B109" s="36" t="s">
        <v>174</v>
      </c>
      <c r="C109" s="34" t="s">
        <v>625</v>
      </c>
      <c r="D109" s="16" t="s">
        <v>639</v>
      </c>
      <c r="E109" s="16" t="s">
        <v>640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27</v>
      </c>
      <c r="O109" s="16" t="s">
        <v>546</v>
      </c>
      <c r="P109" s="16" t="s">
        <v>629</v>
      </c>
      <c r="Q109" s="32" t="s">
        <v>617</v>
      </c>
    </row>
    <row r="110" spans="1:17" ht="17.100000000000001" customHeight="1">
      <c r="A110" s="35">
        <v>45722</v>
      </c>
      <c r="B110" s="36" t="s">
        <v>174</v>
      </c>
      <c r="C110" s="34" t="s">
        <v>625</v>
      </c>
      <c r="D110" s="16" t="s">
        <v>639</v>
      </c>
      <c r="E110" s="16" t="s">
        <v>641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27</v>
      </c>
      <c r="O110" s="16" t="s">
        <v>546</v>
      </c>
      <c r="P110" s="16" t="s">
        <v>629</v>
      </c>
      <c r="Q110" s="32" t="s">
        <v>617</v>
      </c>
    </row>
    <row r="111" spans="1:17" ht="17.100000000000001" customHeight="1">
      <c r="A111" s="35">
        <v>45722</v>
      </c>
      <c r="B111" s="36" t="s">
        <v>174</v>
      </c>
      <c r="C111" s="34" t="s">
        <v>625</v>
      </c>
      <c r="D111" s="16" t="s">
        <v>639</v>
      </c>
      <c r="E111" s="16" t="s">
        <v>642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10</v>
      </c>
      <c r="O111" s="16" t="s">
        <v>546</v>
      </c>
      <c r="P111" s="16" t="s">
        <v>629</v>
      </c>
      <c r="Q111" s="32" t="s">
        <v>617</v>
      </c>
    </row>
    <row r="112" spans="1:17" ht="17.100000000000001" customHeight="1">
      <c r="A112" s="35">
        <v>45723</v>
      </c>
      <c r="B112" s="36" t="s">
        <v>174</v>
      </c>
      <c r="C112" s="34" t="s">
        <v>644</v>
      </c>
      <c r="D112" s="16" t="s">
        <v>645</v>
      </c>
      <c r="E112" s="16" t="s">
        <v>642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48</v>
      </c>
      <c r="N112" s="16">
        <v>17</v>
      </c>
      <c r="O112" s="16" t="s">
        <v>546</v>
      </c>
      <c r="P112" s="16" t="s">
        <v>643</v>
      </c>
      <c r="Q112" s="32" t="s">
        <v>617</v>
      </c>
    </row>
    <row r="113" spans="1:17" ht="17.100000000000001" customHeight="1">
      <c r="A113" s="35">
        <v>45723</v>
      </c>
      <c r="B113" s="36" t="s">
        <v>174</v>
      </c>
      <c r="C113" s="34" t="s">
        <v>644</v>
      </c>
      <c r="D113" s="16" t="s">
        <v>645</v>
      </c>
      <c r="E113" s="16" t="s">
        <v>552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8</v>
      </c>
      <c r="O113" s="16" t="s">
        <v>546</v>
      </c>
      <c r="P113" s="16" t="s">
        <v>643</v>
      </c>
      <c r="Q113" s="32" t="s">
        <v>617</v>
      </c>
    </row>
    <row r="114" spans="1:17" ht="17.100000000000001" customHeight="1">
      <c r="A114" s="35">
        <v>45723</v>
      </c>
      <c r="B114" s="36" t="s">
        <v>174</v>
      </c>
      <c r="C114" s="34" t="s">
        <v>644</v>
      </c>
      <c r="D114" s="16" t="s">
        <v>645</v>
      </c>
      <c r="E114" s="16" t="s">
        <v>641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27</v>
      </c>
      <c r="O114" s="16" t="s">
        <v>546</v>
      </c>
      <c r="P114" s="16" t="s">
        <v>643</v>
      </c>
      <c r="Q114" s="32" t="s">
        <v>617</v>
      </c>
    </row>
    <row r="115" spans="1:17" ht="17.100000000000001" customHeight="1">
      <c r="A115" s="35">
        <v>45723</v>
      </c>
      <c r="B115" s="36" t="s">
        <v>174</v>
      </c>
      <c r="C115" s="34" t="s">
        <v>644</v>
      </c>
      <c r="D115" s="16" t="s">
        <v>645</v>
      </c>
      <c r="E115" s="16" t="s">
        <v>642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27</v>
      </c>
      <c r="O115" s="16" t="s">
        <v>546</v>
      </c>
      <c r="P115" s="16" t="s">
        <v>643</v>
      </c>
      <c r="Q115" s="32" t="s">
        <v>617</v>
      </c>
    </row>
    <row r="116" spans="1:17" ht="17.100000000000001" customHeight="1">
      <c r="A116" s="35">
        <v>45723</v>
      </c>
      <c r="B116" s="36" t="s">
        <v>174</v>
      </c>
      <c r="C116" s="34" t="s">
        <v>644</v>
      </c>
      <c r="D116" s="16" t="s">
        <v>645</v>
      </c>
      <c r="E116" s="16" t="s">
        <v>646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v>54</v>
      </c>
      <c r="O116" s="16" t="s">
        <v>546</v>
      </c>
      <c r="P116" s="16" t="s">
        <v>643</v>
      </c>
      <c r="Q116" s="32" t="s">
        <v>617</v>
      </c>
    </row>
    <row r="117" spans="1:17" ht="17.100000000000001" customHeight="1">
      <c r="A117" s="35">
        <v>45723</v>
      </c>
      <c r="B117" s="36" t="s">
        <v>174</v>
      </c>
      <c r="C117" s="34" t="s">
        <v>644</v>
      </c>
      <c r="D117" s="16" t="s">
        <v>645</v>
      </c>
      <c r="E117" s="16" t="s">
        <v>610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27</v>
      </c>
      <c r="O117" s="16" t="s">
        <v>546</v>
      </c>
      <c r="P117" s="16" t="s">
        <v>643</v>
      </c>
      <c r="Q117" s="32" t="s">
        <v>617</v>
      </c>
    </row>
    <row r="118" spans="1:17" ht="17.100000000000001" customHeight="1">
      <c r="A118" s="35">
        <v>45723</v>
      </c>
      <c r="B118" s="36" t="s">
        <v>174</v>
      </c>
      <c r="C118" s="34" t="s">
        <v>644</v>
      </c>
      <c r="D118" s="16" t="s">
        <v>645</v>
      </c>
      <c r="E118" s="16" t="s">
        <v>647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27</v>
      </c>
      <c r="O118" s="16" t="s">
        <v>546</v>
      </c>
      <c r="P118" s="16" t="s">
        <v>643</v>
      </c>
      <c r="Q118" s="32" t="s">
        <v>617</v>
      </c>
    </row>
    <row r="119" spans="1:17" ht="17.100000000000001" customHeight="1">
      <c r="A119" s="35">
        <v>45723</v>
      </c>
      <c r="B119" s="36" t="s">
        <v>174</v>
      </c>
      <c r="C119" s="34" t="s">
        <v>644</v>
      </c>
      <c r="D119" s="16" t="s">
        <v>645</v>
      </c>
      <c r="E119" s="16" t="s">
        <v>609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13</v>
      </c>
      <c r="O119" s="16" t="s">
        <v>546</v>
      </c>
      <c r="P119" s="16" t="s">
        <v>643</v>
      </c>
      <c r="Q119" s="32" t="s">
        <v>617</v>
      </c>
    </row>
    <row r="120" spans="1:17" ht="17.100000000000001" customHeight="1">
      <c r="A120" s="35">
        <v>45723</v>
      </c>
      <c r="B120" s="36" t="s">
        <v>174</v>
      </c>
      <c r="C120" s="34" t="s">
        <v>644</v>
      </c>
      <c r="D120" s="16" t="s">
        <v>648</v>
      </c>
      <c r="E120" s="16" t="s">
        <v>609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14</v>
      </c>
      <c r="O120" s="16" t="s">
        <v>546</v>
      </c>
      <c r="P120" s="16" t="s">
        <v>643</v>
      </c>
      <c r="Q120" s="32" t="s">
        <v>617</v>
      </c>
    </row>
    <row r="121" spans="1:17" ht="17.100000000000001" customHeight="1">
      <c r="A121" s="35">
        <v>45723</v>
      </c>
      <c r="B121" s="36" t="s">
        <v>174</v>
      </c>
      <c r="C121" s="34" t="s">
        <v>644</v>
      </c>
      <c r="D121" s="16" t="s">
        <v>648</v>
      </c>
      <c r="E121" s="16" t="s">
        <v>640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27</v>
      </c>
      <c r="O121" s="16" t="s">
        <v>546</v>
      </c>
      <c r="P121" s="16" t="s">
        <v>643</v>
      </c>
      <c r="Q121" s="32" t="s">
        <v>617</v>
      </c>
    </row>
    <row r="122" spans="1:17" ht="17.100000000000001" customHeight="1">
      <c r="A122" s="35">
        <v>45723</v>
      </c>
      <c r="B122" s="36" t="s">
        <v>174</v>
      </c>
      <c r="C122" s="34" t="s">
        <v>644</v>
      </c>
      <c r="D122" s="16" t="s">
        <v>648</v>
      </c>
      <c r="E122" s="16" t="s">
        <v>649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54</v>
      </c>
      <c r="O122" s="16" t="s">
        <v>546</v>
      </c>
      <c r="P122" s="16" t="s">
        <v>643</v>
      </c>
      <c r="Q122" s="32" t="s">
        <v>617</v>
      </c>
    </row>
    <row r="123" spans="1:17" ht="17.100000000000001" customHeight="1">
      <c r="A123" s="35">
        <v>45723</v>
      </c>
      <c r="B123" s="36" t="s">
        <v>174</v>
      </c>
      <c r="C123" s="34" t="s">
        <v>644</v>
      </c>
      <c r="D123" s="16" t="s">
        <v>648</v>
      </c>
      <c r="E123" s="16" t="s">
        <v>650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54</v>
      </c>
      <c r="O123" s="16" t="s">
        <v>546</v>
      </c>
      <c r="P123" s="16" t="s">
        <v>643</v>
      </c>
      <c r="Q123" s="32" t="s">
        <v>617</v>
      </c>
    </row>
    <row r="124" spans="1:17" ht="17.100000000000001" customHeight="1">
      <c r="A124" s="35">
        <v>45723</v>
      </c>
      <c r="B124" s="36" t="s">
        <v>174</v>
      </c>
      <c r="C124" s="34" t="s">
        <v>644</v>
      </c>
      <c r="D124" s="16" t="s">
        <v>645</v>
      </c>
      <c r="E124" s="16" t="s">
        <v>651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27</v>
      </c>
      <c r="O124" s="16" t="s">
        <v>546</v>
      </c>
      <c r="P124" s="16" t="s">
        <v>643</v>
      </c>
      <c r="Q124" s="32" t="s">
        <v>617</v>
      </c>
    </row>
    <row r="125" spans="1:17" ht="17.100000000000001" customHeight="1">
      <c r="A125" s="35">
        <v>45723</v>
      </c>
      <c r="B125" s="36" t="s">
        <v>174</v>
      </c>
      <c r="C125" s="34" t="s">
        <v>644</v>
      </c>
      <c r="D125" s="16" t="s">
        <v>645</v>
      </c>
      <c r="E125" s="16" t="s">
        <v>651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24</v>
      </c>
      <c r="O125" s="16" t="s">
        <v>546</v>
      </c>
      <c r="P125" s="16" t="s">
        <v>643</v>
      </c>
      <c r="Q125" s="32" t="s">
        <v>617</v>
      </c>
    </row>
    <row r="126" spans="1:17" ht="17.100000000000001" customHeight="1">
      <c r="A126" s="35">
        <v>45723</v>
      </c>
      <c r="B126" s="36" t="s">
        <v>174</v>
      </c>
      <c r="C126" s="34" t="s">
        <v>644</v>
      </c>
      <c r="D126" s="16" t="s">
        <v>645</v>
      </c>
      <c r="E126" s="16" t="s">
        <v>651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3</v>
      </c>
      <c r="O126" s="16" t="s">
        <v>546</v>
      </c>
      <c r="P126" s="16" t="s">
        <v>643</v>
      </c>
      <c r="Q126" s="32" t="s">
        <v>617</v>
      </c>
    </row>
    <row r="127" spans="1:17" ht="17.100000000000001" customHeight="1">
      <c r="A127" s="35">
        <v>45723</v>
      </c>
      <c r="B127" s="36" t="s">
        <v>174</v>
      </c>
      <c r="C127" s="34" t="s">
        <v>644</v>
      </c>
      <c r="D127" s="16" t="s">
        <v>645</v>
      </c>
      <c r="E127" s="16" t="s">
        <v>652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54</v>
      </c>
      <c r="O127" s="16" t="s">
        <v>546</v>
      </c>
      <c r="P127" s="16" t="s">
        <v>643</v>
      </c>
      <c r="Q127" s="32" t="s">
        <v>617</v>
      </c>
    </row>
    <row r="128" spans="1:17" ht="17.100000000000001" customHeight="1">
      <c r="A128" s="35">
        <v>45723</v>
      </c>
      <c r="B128" s="36" t="s">
        <v>174</v>
      </c>
      <c r="C128" s="34" t="s">
        <v>644</v>
      </c>
      <c r="D128" s="16" t="s">
        <v>645</v>
      </c>
      <c r="E128" s="16" t="s">
        <v>653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22</v>
      </c>
      <c r="O128" s="16" t="s">
        <v>546</v>
      </c>
      <c r="P128" s="16" t="s">
        <v>643</v>
      </c>
      <c r="Q128" s="32" t="s">
        <v>617</v>
      </c>
    </row>
    <row r="129" spans="1:17" ht="17.100000000000001" customHeight="1">
      <c r="A129" s="35">
        <v>45723</v>
      </c>
      <c r="B129" s="36" t="s">
        <v>174</v>
      </c>
      <c r="C129" s="34" t="s">
        <v>644</v>
      </c>
      <c r="D129" s="16" t="s">
        <v>645</v>
      </c>
      <c r="E129" s="16" t="s">
        <v>653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21</v>
      </c>
      <c r="O129" s="16" t="s">
        <v>546</v>
      </c>
      <c r="P129" s="16" t="s">
        <v>643</v>
      </c>
      <c r="Q129" s="32" t="s">
        <v>617</v>
      </c>
    </row>
    <row r="130" spans="1:17" ht="17.100000000000001" customHeight="1">
      <c r="A130" s="35">
        <v>45726</v>
      </c>
      <c r="B130" s="36" t="s">
        <v>654</v>
      </c>
      <c r="C130" s="16" t="s">
        <v>655</v>
      </c>
      <c r="D130" s="16" t="s">
        <v>48</v>
      </c>
      <c r="E130" s="16"/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3</v>
      </c>
      <c r="O130" s="16" t="s">
        <v>55</v>
      </c>
      <c r="P130" s="16" t="s">
        <v>656</v>
      </c>
      <c r="Q130" s="32" t="s">
        <v>676</v>
      </c>
    </row>
    <row r="131" spans="1:17" ht="17.100000000000001" customHeight="1">
      <c r="A131" s="35">
        <v>45726</v>
      </c>
      <c r="B131" s="36" t="s">
        <v>24</v>
      </c>
      <c r="C131" s="16" t="s">
        <v>655</v>
      </c>
      <c r="D131" s="16" t="s">
        <v>48</v>
      </c>
      <c r="E131" s="16" t="s">
        <v>793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100</v>
      </c>
      <c r="O131" s="16" t="s">
        <v>657</v>
      </c>
      <c r="P131" s="16" t="s">
        <v>658</v>
      </c>
      <c r="Q131" s="32" t="s">
        <v>677</v>
      </c>
    </row>
    <row r="132" spans="1:17" ht="17.100000000000001" customHeight="1">
      <c r="A132" s="35">
        <v>45726</v>
      </c>
      <c r="B132" s="36" t="s">
        <v>59</v>
      </c>
      <c r="C132" s="16" t="s">
        <v>655</v>
      </c>
      <c r="D132" s="16" t="s">
        <v>659</v>
      </c>
      <c r="E132" s="16" t="s">
        <v>48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240</v>
      </c>
      <c r="O132" s="16" t="s">
        <v>666</v>
      </c>
      <c r="P132" s="16" t="s">
        <v>667</v>
      </c>
      <c r="Q132" s="32" t="s">
        <v>678</v>
      </c>
    </row>
    <row r="133" spans="1:17" ht="17.100000000000001" customHeight="1">
      <c r="A133" s="35">
        <v>45726</v>
      </c>
      <c r="B133" s="36" t="s">
        <v>660</v>
      </c>
      <c r="C133" s="16" t="s">
        <v>655</v>
      </c>
      <c r="D133" s="16" t="s">
        <v>661</v>
      </c>
      <c r="E133" s="16" t="s">
        <v>48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5</v>
      </c>
      <c r="O133" s="16" t="s">
        <v>55</v>
      </c>
      <c r="P133" s="16" t="s">
        <v>668</v>
      </c>
      <c r="Q133" s="32" t="s">
        <v>679</v>
      </c>
    </row>
    <row r="134" spans="1:17" ht="17.100000000000001" customHeight="1">
      <c r="A134" s="35">
        <v>45726</v>
      </c>
      <c r="B134" s="36" t="s">
        <v>162</v>
      </c>
      <c r="C134" s="16" t="s">
        <v>655</v>
      </c>
      <c r="D134" s="16" t="s">
        <v>661</v>
      </c>
      <c r="E134" s="16" t="s">
        <v>662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80</v>
      </c>
      <c r="O134" s="16" t="s">
        <v>666</v>
      </c>
      <c r="P134" s="16" t="s">
        <v>669</v>
      </c>
      <c r="Q134" s="32" t="s">
        <v>680</v>
      </c>
    </row>
    <row r="135" spans="1:17" ht="17.100000000000001" customHeight="1">
      <c r="A135" s="35">
        <v>45726</v>
      </c>
      <c r="B135" s="36" t="s">
        <v>323</v>
      </c>
      <c r="C135" s="16" t="s">
        <v>655</v>
      </c>
      <c r="D135" s="16" t="s">
        <v>48</v>
      </c>
      <c r="E135" s="16" t="s">
        <v>662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2</v>
      </c>
      <c r="O135" s="16" t="s">
        <v>55</v>
      </c>
      <c r="P135" s="16" t="s">
        <v>670</v>
      </c>
      <c r="Q135" s="32" t="s">
        <v>681</v>
      </c>
    </row>
    <row r="136" spans="1:17" ht="17.100000000000001" customHeight="1">
      <c r="A136" s="35">
        <v>45726</v>
      </c>
      <c r="B136" s="36" t="s">
        <v>65</v>
      </c>
      <c r="C136" s="16" t="s">
        <v>655</v>
      </c>
      <c r="D136" s="16" t="s">
        <v>48</v>
      </c>
      <c r="E136" s="16" t="s">
        <v>48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100</v>
      </c>
      <c r="O136" s="16" t="s">
        <v>233</v>
      </c>
      <c r="P136" s="16" t="s">
        <v>671</v>
      </c>
      <c r="Q136" s="32" t="s">
        <v>682</v>
      </c>
    </row>
    <row r="137" spans="1:17" ht="17.100000000000001" customHeight="1">
      <c r="A137" s="35">
        <v>45726</v>
      </c>
      <c r="B137" s="36" t="s">
        <v>663</v>
      </c>
      <c r="C137" s="16" t="s">
        <v>655</v>
      </c>
      <c r="D137" s="16" t="s">
        <v>48</v>
      </c>
      <c r="E137" s="16" t="s">
        <v>653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v>4</v>
      </c>
      <c r="O137" s="16" t="s">
        <v>55</v>
      </c>
      <c r="P137" s="16" t="s">
        <v>672</v>
      </c>
      <c r="Q137" s="32" t="s">
        <v>683</v>
      </c>
    </row>
    <row r="138" spans="1:17">
      <c r="A138" s="35">
        <v>45726</v>
      </c>
      <c r="B138" s="36" t="s">
        <v>168</v>
      </c>
      <c r="C138" s="16" t="s">
        <v>655</v>
      </c>
      <c r="D138" s="16" t="s">
        <v>48</v>
      </c>
      <c r="E138" s="16" t="s">
        <v>48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250</v>
      </c>
      <c r="O138" s="16" t="s">
        <v>233</v>
      </c>
      <c r="P138" s="16" t="s">
        <v>673</v>
      </c>
      <c r="Q138" s="32" t="s">
        <v>684</v>
      </c>
    </row>
    <row r="139" spans="1:17">
      <c r="A139" s="35">
        <v>45726</v>
      </c>
      <c r="B139" s="36" t="s">
        <v>664</v>
      </c>
      <c r="C139" s="16" t="s">
        <v>655</v>
      </c>
      <c r="D139" s="16" t="s">
        <v>48</v>
      </c>
      <c r="E139" s="16" t="s">
        <v>48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50</v>
      </c>
      <c r="O139" s="16" t="s">
        <v>233</v>
      </c>
      <c r="P139" s="16" t="s">
        <v>674</v>
      </c>
      <c r="Q139" s="32" t="s">
        <v>685</v>
      </c>
    </row>
    <row r="140" spans="1:17">
      <c r="A140" s="35">
        <v>45726</v>
      </c>
      <c r="B140" s="36" t="s">
        <v>29</v>
      </c>
      <c r="C140" s="16" t="s">
        <v>655</v>
      </c>
      <c r="D140" s="16" t="s">
        <v>665</v>
      </c>
      <c r="E140" s="16" t="s">
        <v>48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125</v>
      </c>
      <c r="O140" s="16" t="s">
        <v>666</v>
      </c>
      <c r="P140" s="16" t="s">
        <v>675</v>
      </c>
      <c r="Q140" s="32" t="s">
        <v>686</v>
      </c>
    </row>
    <row r="141" spans="1:17">
      <c r="A141" s="35">
        <v>45727</v>
      </c>
      <c r="B141" s="36" t="s">
        <v>338</v>
      </c>
      <c r="C141" s="16" t="s">
        <v>687</v>
      </c>
      <c r="D141" s="16" t="s">
        <v>48</v>
      </c>
      <c r="E141" s="16" t="s">
        <v>48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1200</v>
      </c>
      <c r="O141" s="16" t="s">
        <v>233</v>
      </c>
      <c r="P141" s="16" t="s">
        <v>688</v>
      </c>
      <c r="Q141" s="32" t="s">
        <v>689</v>
      </c>
    </row>
    <row r="142" spans="1:17">
      <c r="A142" s="35">
        <v>45727</v>
      </c>
      <c r="B142" s="36" t="s">
        <v>268</v>
      </c>
      <c r="C142" s="16" t="s">
        <v>687</v>
      </c>
      <c r="D142" s="16"/>
      <c r="E142" s="16" t="s">
        <v>48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/>
      <c r="O142" s="16" t="s">
        <v>697</v>
      </c>
      <c r="P142" s="32" t="s">
        <v>691</v>
      </c>
      <c r="Q142" s="32" t="s">
        <v>699</v>
      </c>
    </row>
    <row r="143" spans="1:17">
      <c r="A143" s="35">
        <v>45727</v>
      </c>
      <c r="B143" s="36" t="s">
        <v>268</v>
      </c>
      <c r="C143" s="16" t="s">
        <v>687</v>
      </c>
      <c r="D143" s="16"/>
      <c r="E143" s="16" t="s">
        <v>48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/>
      <c r="O143" s="16" t="s">
        <v>697</v>
      </c>
      <c r="P143" s="32" t="s">
        <v>691</v>
      </c>
      <c r="Q143" s="32" t="s">
        <v>699</v>
      </c>
    </row>
    <row r="144" spans="1:17">
      <c r="A144" s="35">
        <v>45727</v>
      </c>
      <c r="B144" s="36" t="s">
        <v>268</v>
      </c>
      <c r="C144" s="16" t="s">
        <v>687</v>
      </c>
      <c r="D144" s="16"/>
      <c r="E144" s="16" t="s">
        <v>48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/>
      <c r="O144" s="16" t="s">
        <v>697</v>
      </c>
      <c r="P144" s="32" t="s">
        <v>691</v>
      </c>
      <c r="Q144" s="32" t="s">
        <v>699</v>
      </c>
    </row>
    <row r="145" spans="1:17">
      <c r="A145" s="35">
        <v>45727</v>
      </c>
      <c r="B145" s="36" t="s">
        <v>268</v>
      </c>
      <c r="C145" s="16" t="s">
        <v>687</v>
      </c>
      <c r="D145" s="16"/>
      <c r="E145" s="16" t="s">
        <v>48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16"/>
      <c r="O145" s="16" t="s">
        <v>697</v>
      </c>
      <c r="P145" s="32" t="s">
        <v>691</v>
      </c>
      <c r="Q145" s="32" t="s">
        <v>699</v>
      </c>
    </row>
    <row r="146" spans="1:17">
      <c r="A146" s="35">
        <v>45727</v>
      </c>
      <c r="B146" s="36" t="s">
        <v>261</v>
      </c>
      <c r="C146" s="16" t="s">
        <v>687</v>
      </c>
      <c r="D146" s="16" t="s">
        <v>665</v>
      </c>
      <c r="E146" s="16" t="s">
        <v>48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100</v>
      </c>
      <c r="O146" s="16" t="s">
        <v>693</v>
      </c>
      <c r="P146" s="32" t="s">
        <v>690</v>
      </c>
      <c r="Q146" s="32" t="s">
        <v>698</v>
      </c>
    </row>
    <row r="147" spans="1:17">
      <c r="A147" s="35">
        <v>45727</v>
      </c>
      <c r="B147" s="36" t="s">
        <v>261</v>
      </c>
      <c r="C147" s="16" t="s">
        <v>687</v>
      </c>
      <c r="D147" s="16" t="s">
        <v>692</v>
      </c>
      <c r="E147" s="16" t="s">
        <v>48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100</v>
      </c>
      <c r="O147" s="16" t="s">
        <v>693</v>
      </c>
      <c r="P147" s="32" t="s">
        <v>690</v>
      </c>
      <c r="Q147" s="32" t="s">
        <v>698</v>
      </c>
    </row>
    <row r="148" spans="1:17">
      <c r="A148" s="35">
        <v>45727</v>
      </c>
      <c r="B148" s="36" t="s">
        <v>261</v>
      </c>
      <c r="C148" s="16" t="s">
        <v>687</v>
      </c>
      <c r="D148" s="16" t="s">
        <v>692</v>
      </c>
      <c r="E148" s="16" t="s">
        <v>48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100</v>
      </c>
      <c r="O148" s="16" t="s">
        <v>694</v>
      </c>
      <c r="P148" s="32" t="s">
        <v>690</v>
      </c>
      <c r="Q148" s="32" t="s">
        <v>698</v>
      </c>
    </row>
    <row r="149" spans="1:17">
      <c r="A149" s="35">
        <v>45727</v>
      </c>
      <c r="B149" s="36" t="s">
        <v>261</v>
      </c>
      <c r="C149" s="16" t="s">
        <v>687</v>
      </c>
      <c r="D149" s="16" t="s">
        <v>665</v>
      </c>
      <c r="E149" s="16" t="s">
        <v>48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48</v>
      </c>
      <c r="N149" s="16">
        <v>200</v>
      </c>
      <c r="O149" s="16" t="s">
        <v>695</v>
      </c>
      <c r="P149" s="32" t="s">
        <v>690</v>
      </c>
      <c r="Q149" s="32" t="s">
        <v>698</v>
      </c>
    </row>
    <row r="150" spans="1:17">
      <c r="A150" s="35">
        <v>45727</v>
      </c>
      <c r="B150" s="36" t="s">
        <v>261</v>
      </c>
      <c r="C150" s="16" t="s">
        <v>687</v>
      </c>
      <c r="D150" s="16" t="s">
        <v>662</v>
      </c>
      <c r="E150" s="16" t="s">
        <v>48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100</v>
      </c>
      <c r="O150" s="16" t="s">
        <v>693</v>
      </c>
      <c r="P150" s="32" t="s">
        <v>690</v>
      </c>
      <c r="Q150" s="32" t="s">
        <v>698</v>
      </c>
    </row>
    <row r="151" spans="1:17">
      <c r="A151" s="35">
        <v>45727</v>
      </c>
      <c r="B151" s="36" t="s">
        <v>261</v>
      </c>
      <c r="C151" s="16" t="s">
        <v>687</v>
      </c>
      <c r="D151" s="16" t="s">
        <v>460</v>
      </c>
      <c r="E151" s="16" t="s">
        <v>48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100</v>
      </c>
      <c r="O151" s="16" t="s">
        <v>695</v>
      </c>
      <c r="P151" s="32" t="s">
        <v>690</v>
      </c>
      <c r="Q151" s="32" t="s">
        <v>698</v>
      </c>
    </row>
    <row r="152" spans="1:17">
      <c r="A152" s="35">
        <v>45727</v>
      </c>
      <c r="B152" s="36" t="s">
        <v>261</v>
      </c>
      <c r="C152" s="16" t="s">
        <v>687</v>
      </c>
      <c r="D152" s="16" t="s">
        <v>696</v>
      </c>
      <c r="E152" s="16" t="s">
        <v>48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75</v>
      </c>
      <c r="O152" s="16" t="s">
        <v>695</v>
      </c>
      <c r="P152" s="32" t="s">
        <v>690</v>
      </c>
      <c r="Q152" s="32" t="s">
        <v>698</v>
      </c>
    </row>
    <row r="153" spans="1:17">
      <c r="A153" s="35">
        <v>45727</v>
      </c>
      <c r="B153" s="36" t="s">
        <v>261</v>
      </c>
      <c r="C153" s="16" t="s">
        <v>687</v>
      </c>
      <c r="D153" s="16" t="s">
        <v>662</v>
      </c>
      <c r="E153" s="16" t="s">
        <v>48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v>100</v>
      </c>
      <c r="O153" s="16" t="s">
        <v>693</v>
      </c>
      <c r="P153" s="32" t="s">
        <v>690</v>
      </c>
      <c r="Q153" s="32" t="s">
        <v>698</v>
      </c>
    </row>
    <row r="154" spans="1:17">
      <c r="A154" s="35">
        <v>45728</v>
      </c>
      <c r="B154" s="36" t="s">
        <v>261</v>
      </c>
      <c r="C154" s="16" t="s">
        <v>700</v>
      </c>
      <c r="D154" s="16" t="s">
        <v>696</v>
      </c>
      <c r="E154" s="16" t="s">
        <v>48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25</v>
      </c>
      <c r="O154" s="16" t="s">
        <v>789</v>
      </c>
      <c r="P154" s="32" t="s">
        <v>690</v>
      </c>
      <c r="Q154" s="32" t="s">
        <v>698</v>
      </c>
    </row>
    <row r="155" spans="1:17">
      <c r="A155" s="35">
        <v>45728</v>
      </c>
      <c r="B155" s="36" t="s">
        <v>261</v>
      </c>
      <c r="C155" s="16" t="s">
        <v>700</v>
      </c>
      <c r="D155" s="16" t="s">
        <v>692</v>
      </c>
      <c r="E155" s="16" t="s">
        <v>48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100</v>
      </c>
      <c r="O155" s="16" t="s">
        <v>789</v>
      </c>
      <c r="P155" s="32" t="s">
        <v>690</v>
      </c>
      <c r="Q155" s="32" t="s">
        <v>698</v>
      </c>
    </row>
    <row r="156" spans="1:17">
      <c r="A156" s="35">
        <v>45728</v>
      </c>
      <c r="B156" s="36" t="s">
        <v>531</v>
      </c>
      <c r="C156" s="16" t="s">
        <v>700</v>
      </c>
      <c r="D156" s="16" t="s">
        <v>585</v>
      </c>
      <c r="E156" s="16" t="s">
        <v>703</v>
      </c>
      <c r="F156" s="16" t="s">
        <v>48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27</v>
      </c>
      <c r="O156" s="16" t="s">
        <v>789</v>
      </c>
      <c r="P156" s="16" t="s">
        <v>701</v>
      </c>
      <c r="Q156" s="32" t="s">
        <v>702</v>
      </c>
    </row>
    <row r="157" spans="1:17">
      <c r="A157" s="35">
        <v>45728</v>
      </c>
      <c r="B157" s="36" t="s">
        <v>531</v>
      </c>
      <c r="C157" s="16" t="s">
        <v>700</v>
      </c>
      <c r="D157" s="16" t="s">
        <v>585</v>
      </c>
      <c r="E157" s="16" t="s">
        <v>704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27</v>
      </c>
      <c r="O157" s="16" t="s">
        <v>789</v>
      </c>
      <c r="P157" s="16" t="s">
        <v>701</v>
      </c>
      <c r="Q157" s="32" t="s">
        <v>702</v>
      </c>
    </row>
    <row r="158" spans="1:17">
      <c r="A158" s="35">
        <v>45728</v>
      </c>
      <c r="B158" s="36" t="s">
        <v>531</v>
      </c>
      <c r="C158" s="16" t="s">
        <v>700</v>
      </c>
      <c r="D158" s="16" t="s">
        <v>585</v>
      </c>
      <c r="E158" s="16" t="s">
        <v>705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27</v>
      </c>
      <c r="O158" s="16" t="s">
        <v>789</v>
      </c>
      <c r="P158" s="16" t="s">
        <v>701</v>
      </c>
      <c r="Q158" s="32" t="s">
        <v>702</v>
      </c>
    </row>
    <row r="159" spans="1:17">
      <c r="A159" s="35">
        <v>45728</v>
      </c>
      <c r="B159" s="36" t="s">
        <v>531</v>
      </c>
      <c r="C159" s="16" t="s">
        <v>700</v>
      </c>
      <c r="D159" s="16" t="s">
        <v>585</v>
      </c>
      <c r="E159" s="16" t="s">
        <v>706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21</v>
      </c>
      <c r="O159" s="16" t="s">
        <v>789</v>
      </c>
      <c r="P159" s="16" t="s">
        <v>701</v>
      </c>
      <c r="Q159" s="32" t="s">
        <v>702</v>
      </c>
    </row>
    <row r="160" spans="1:17">
      <c r="A160" s="35">
        <v>45728</v>
      </c>
      <c r="B160" s="36" t="s">
        <v>531</v>
      </c>
      <c r="C160" s="16" t="s">
        <v>700</v>
      </c>
      <c r="D160" s="16" t="s">
        <v>571</v>
      </c>
      <c r="E160" s="16" t="s">
        <v>706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27</v>
      </c>
      <c r="O160" s="16" t="s">
        <v>789</v>
      </c>
      <c r="P160" s="16" t="s">
        <v>701</v>
      </c>
      <c r="Q160" s="32" t="s">
        <v>702</v>
      </c>
    </row>
    <row r="161" spans="1:17">
      <c r="A161" s="35">
        <v>45728</v>
      </c>
      <c r="B161" s="36" t="s">
        <v>531</v>
      </c>
      <c r="C161" s="16" t="s">
        <v>700</v>
      </c>
      <c r="D161" s="16" t="s">
        <v>571</v>
      </c>
      <c r="E161" s="16" t="s">
        <v>707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71</v>
      </c>
      <c r="O161" s="16" t="s">
        <v>789</v>
      </c>
      <c r="P161" s="16" t="s">
        <v>701</v>
      </c>
      <c r="Q161" s="32" t="s">
        <v>702</v>
      </c>
    </row>
    <row r="162" spans="1:17">
      <c r="A162" s="35">
        <v>45728</v>
      </c>
      <c r="B162" s="36" t="s">
        <v>531</v>
      </c>
      <c r="C162" s="16" t="s">
        <v>700</v>
      </c>
      <c r="D162" s="16" t="s">
        <v>571</v>
      </c>
      <c r="E162" s="16" t="s">
        <v>707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v>4</v>
      </c>
      <c r="O162" s="16" t="s">
        <v>789</v>
      </c>
      <c r="P162" s="16" t="s">
        <v>701</v>
      </c>
      <c r="Q162" s="32" t="s">
        <v>702</v>
      </c>
    </row>
    <row r="163" spans="1:17">
      <c r="A163" s="35">
        <v>45728</v>
      </c>
      <c r="B163" s="36" t="s">
        <v>531</v>
      </c>
      <c r="C163" s="16" t="s">
        <v>700</v>
      </c>
      <c r="D163" s="16" t="s">
        <v>571</v>
      </c>
      <c r="E163" s="16" t="s">
        <v>708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27</v>
      </c>
      <c r="O163" s="16" t="s">
        <v>789</v>
      </c>
      <c r="P163" s="16" t="s">
        <v>701</v>
      </c>
      <c r="Q163" s="32" t="s">
        <v>702</v>
      </c>
    </row>
    <row r="164" spans="1:17">
      <c r="A164" s="35">
        <v>45728</v>
      </c>
      <c r="B164" s="36" t="s">
        <v>531</v>
      </c>
      <c r="C164" s="16" t="s">
        <v>700</v>
      </c>
      <c r="D164" s="16" t="s">
        <v>571</v>
      </c>
      <c r="E164" s="16" t="s">
        <v>709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27</v>
      </c>
      <c r="O164" s="16" t="s">
        <v>789</v>
      </c>
      <c r="P164" s="16" t="s">
        <v>701</v>
      </c>
      <c r="Q164" s="32" t="s">
        <v>702</v>
      </c>
    </row>
    <row r="165" spans="1:17">
      <c r="A165" s="35">
        <v>45728</v>
      </c>
      <c r="B165" s="36" t="s">
        <v>531</v>
      </c>
      <c r="C165" s="16" t="s">
        <v>700</v>
      </c>
      <c r="D165" s="16" t="s">
        <v>571</v>
      </c>
      <c r="E165" s="16" t="s">
        <v>710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27</v>
      </c>
      <c r="O165" s="16" t="s">
        <v>789</v>
      </c>
      <c r="P165" s="16" t="s">
        <v>701</v>
      </c>
      <c r="Q165" s="32" t="s">
        <v>702</v>
      </c>
    </row>
    <row r="166" spans="1:17">
      <c r="A166" s="35">
        <v>45728</v>
      </c>
      <c r="B166" s="36" t="s">
        <v>531</v>
      </c>
      <c r="C166" s="16" t="s">
        <v>700</v>
      </c>
      <c r="D166" s="16" t="s">
        <v>571</v>
      </c>
      <c r="E166" s="16" t="s">
        <v>711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27</v>
      </c>
      <c r="O166" s="16" t="s">
        <v>789</v>
      </c>
      <c r="P166" s="16" t="s">
        <v>701</v>
      </c>
      <c r="Q166" s="32" t="s">
        <v>702</v>
      </c>
    </row>
    <row r="167" spans="1:17">
      <c r="A167" s="35">
        <v>45728</v>
      </c>
      <c r="B167" s="36" t="s">
        <v>531</v>
      </c>
      <c r="C167" s="16" t="s">
        <v>700</v>
      </c>
      <c r="D167" s="16" t="s">
        <v>714</v>
      </c>
      <c r="E167" s="16" t="s">
        <v>712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26</v>
      </c>
      <c r="O167" s="16" t="s">
        <v>789</v>
      </c>
      <c r="P167" s="16" t="s">
        <v>701</v>
      </c>
      <c r="Q167" s="32" t="s">
        <v>702</v>
      </c>
    </row>
    <row r="168" spans="1:17">
      <c r="A168" s="35">
        <v>45728</v>
      </c>
      <c r="B168" s="36" t="s">
        <v>531</v>
      </c>
      <c r="C168" s="16" t="s">
        <v>700</v>
      </c>
      <c r="D168" s="16" t="s">
        <v>714</v>
      </c>
      <c r="E168" s="16" t="s">
        <v>709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27</v>
      </c>
      <c r="O168" s="16" t="s">
        <v>789</v>
      </c>
      <c r="P168" s="16" t="s">
        <v>701</v>
      </c>
      <c r="Q168" s="32" t="s">
        <v>702</v>
      </c>
    </row>
    <row r="169" spans="1:17">
      <c r="A169" s="35">
        <v>45728</v>
      </c>
      <c r="B169" s="36" t="s">
        <v>531</v>
      </c>
      <c r="C169" s="16" t="s">
        <v>700</v>
      </c>
      <c r="D169" s="16" t="s">
        <v>714</v>
      </c>
      <c r="E169" s="16" t="s">
        <v>713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27</v>
      </c>
      <c r="O169" s="16" t="s">
        <v>789</v>
      </c>
      <c r="P169" s="16" t="s">
        <v>701</v>
      </c>
      <c r="Q169" s="32" t="s">
        <v>702</v>
      </c>
    </row>
    <row r="170" spans="1:17">
      <c r="A170" s="35">
        <v>45728</v>
      </c>
      <c r="B170" s="36" t="s">
        <v>531</v>
      </c>
      <c r="C170" s="16" t="s">
        <v>700</v>
      </c>
      <c r="D170" s="16" t="s">
        <v>714</v>
      </c>
      <c r="E170" s="16" t="s">
        <v>713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8</v>
      </c>
      <c r="O170" s="16" t="s">
        <v>789</v>
      </c>
      <c r="P170" s="16" t="s">
        <v>701</v>
      </c>
      <c r="Q170" s="32" t="s">
        <v>702</v>
      </c>
    </row>
    <row r="171" spans="1:17">
      <c r="A171" s="35">
        <v>45728</v>
      </c>
      <c r="B171" s="36" t="s">
        <v>531</v>
      </c>
      <c r="C171" s="16" t="s">
        <v>700</v>
      </c>
      <c r="D171" s="16" t="s">
        <v>714</v>
      </c>
      <c r="E171" s="16" t="s">
        <v>713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19</v>
      </c>
      <c r="O171" s="16" t="s">
        <v>789</v>
      </c>
      <c r="P171" s="16" t="s">
        <v>701</v>
      </c>
      <c r="Q171" s="32" t="s">
        <v>702</v>
      </c>
    </row>
    <row r="172" spans="1:17">
      <c r="A172" s="35">
        <v>45728</v>
      </c>
      <c r="B172" s="36" t="s">
        <v>531</v>
      </c>
      <c r="C172" s="16" t="s">
        <v>700</v>
      </c>
      <c r="D172" s="16" t="s">
        <v>696</v>
      </c>
      <c r="E172" s="16" t="s">
        <v>715</v>
      </c>
      <c r="F172" s="16" t="s">
        <v>48</v>
      </c>
      <c r="G172" s="16" t="s">
        <v>48</v>
      </c>
      <c r="H172" s="16" t="s">
        <v>48</v>
      </c>
      <c r="I172" s="16" t="s">
        <v>48</v>
      </c>
      <c r="J172" s="16" t="s">
        <v>48</v>
      </c>
      <c r="K172" s="16" t="s">
        <v>48</v>
      </c>
      <c r="L172" s="16" t="s">
        <v>48</v>
      </c>
      <c r="M172" s="16" t="s">
        <v>48</v>
      </c>
      <c r="N172" s="16">
        <v>27</v>
      </c>
      <c r="O172" s="16" t="s">
        <v>789</v>
      </c>
      <c r="P172" s="16" t="s">
        <v>701</v>
      </c>
      <c r="Q172" s="32" t="s">
        <v>702</v>
      </c>
    </row>
    <row r="173" spans="1:17">
      <c r="A173" s="35">
        <v>45728</v>
      </c>
      <c r="B173" s="36" t="s">
        <v>531</v>
      </c>
      <c r="C173" s="16" t="s">
        <v>700</v>
      </c>
      <c r="D173" s="16" t="s">
        <v>718</v>
      </c>
      <c r="E173" s="16" t="s">
        <v>713</v>
      </c>
      <c r="F173" s="16" t="s">
        <v>48</v>
      </c>
      <c r="G173" s="16" t="s">
        <v>48</v>
      </c>
      <c r="H173" s="16" t="s">
        <v>48</v>
      </c>
      <c r="I173" s="16" t="s">
        <v>48</v>
      </c>
      <c r="J173" s="16" t="s">
        <v>48</v>
      </c>
      <c r="K173" s="16" t="s">
        <v>48</v>
      </c>
      <c r="L173" s="16" t="s">
        <v>48</v>
      </c>
      <c r="M173" s="16" t="s">
        <v>48</v>
      </c>
      <c r="N173" s="16">
        <v>27</v>
      </c>
      <c r="O173" s="16" t="s">
        <v>789</v>
      </c>
      <c r="P173" s="16" t="s">
        <v>701</v>
      </c>
      <c r="Q173" s="32" t="s">
        <v>702</v>
      </c>
    </row>
    <row r="174" spans="1:17">
      <c r="A174" s="35">
        <v>45728</v>
      </c>
      <c r="B174" s="36" t="s">
        <v>531</v>
      </c>
      <c r="C174" s="16" t="s">
        <v>700</v>
      </c>
      <c r="D174" s="16" t="s">
        <v>718</v>
      </c>
      <c r="E174" s="16" t="s">
        <v>716</v>
      </c>
      <c r="F174" s="16" t="s">
        <v>48</v>
      </c>
      <c r="G174" s="16" t="s">
        <v>48</v>
      </c>
      <c r="H174" s="16" t="s">
        <v>48</v>
      </c>
      <c r="I174" s="16" t="s">
        <v>48</v>
      </c>
      <c r="J174" s="16" t="s">
        <v>48</v>
      </c>
      <c r="K174" s="16" t="s">
        <v>48</v>
      </c>
      <c r="L174" s="16" t="s">
        <v>48</v>
      </c>
      <c r="M174" s="16" t="s">
        <v>48</v>
      </c>
      <c r="N174" s="16">
        <v>27</v>
      </c>
      <c r="O174" s="16" t="s">
        <v>789</v>
      </c>
      <c r="P174" s="16" t="s">
        <v>701</v>
      </c>
      <c r="Q174" s="32" t="s">
        <v>702</v>
      </c>
    </row>
    <row r="175" spans="1:17">
      <c r="A175" s="35">
        <v>45728</v>
      </c>
      <c r="B175" s="36" t="s">
        <v>531</v>
      </c>
      <c r="C175" s="16" t="s">
        <v>700</v>
      </c>
      <c r="D175" s="16" t="s">
        <v>718</v>
      </c>
      <c r="E175" s="16" t="s">
        <v>717</v>
      </c>
      <c r="F175" s="16" t="s">
        <v>48</v>
      </c>
      <c r="G175" s="16" t="s">
        <v>48</v>
      </c>
      <c r="H175" s="16" t="s">
        <v>48</v>
      </c>
      <c r="I175" s="16" t="s">
        <v>48</v>
      </c>
      <c r="J175" s="16" t="s">
        <v>48</v>
      </c>
      <c r="K175" s="16" t="s">
        <v>48</v>
      </c>
      <c r="L175" s="16" t="s">
        <v>48</v>
      </c>
      <c r="M175" s="16" t="s">
        <v>48</v>
      </c>
      <c r="N175" s="16">
        <v>25</v>
      </c>
      <c r="O175" s="16" t="s">
        <v>789</v>
      </c>
      <c r="P175" s="16" t="s">
        <v>719</v>
      </c>
      <c r="Q175" s="32" t="s">
        <v>702</v>
      </c>
    </row>
    <row r="176" spans="1:17">
      <c r="A176" s="35">
        <v>45728</v>
      </c>
      <c r="B176" s="36" t="s">
        <v>531</v>
      </c>
      <c r="C176" s="16" t="s">
        <v>700</v>
      </c>
      <c r="D176" s="16" t="s">
        <v>720</v>
      </c>
      <c r="E176" s="16" t="s">
        <v>703</v>
      </c>
      <c r="F176" s="16" t="s">
        <v>48</v>
      </c>
      <c r="G176" s="16" t="s">
        <v>48</v>
      </c>
      <c r="H176" s="16" t="s">
        <v>48</v>
      </c>
      <c r="I176" s="16" t="s">
        <v>48</v>
      </c>
      <c r="J176" s="16" t="s">
        <v>48</v>
      </c>
      <c r="K176" s="16" t="s">
        <v>48</v>
      </c>
      <c r="L176" s="16" t="s">
        <v>48</v>
      </c>
      <c r="M176" s="16" t="s">
        <v>48</v>
      </c>
      <c r="N176" s="16">
        <v>21</v>
      </c>
      <c r="O176" s="16" t="s">
        <v>789</v>
      </c>
      <c r="P176" s="16" t="s">
        <v>719</v>
      </c>
      <c r="Q176" s="32" t="s">
        <v>702</v>
      </c>
    </row>
    <row r="177" spans="1:17">
      <c r="A177" s="35">
        <v>45728</v>
      </c>
      <c r="B177" s="36" t="s">
        <v>531</v>
      </c>
      <c r="C177" s="16" t="s">
        <v>700</v>
      </c>
      <c r="D177" s="16" t="s">
        <v>720</v>
      </c>
      <c r="E177" s="16" t="s">
        <v>717</v>
      </c>
      <c r="F177" s="16" t="s">
        <v>48</v>
      </c>
      <c r="G177" s="16" t="s">
        <v>48</v>
      </c>
      <c r="H177" s="16" t="s">
        <v>48</v>
      </c>
      <c r="I177" s="16" t="s">
        <v>48</v>
      </c>
      <c r="J177" s="16" t="s">
        <v>48</v>
      </c>
      <c r="K177" s="16" t="s">
        <v>48</v>
      </c>
      <c r="L177" s="16" t="s">
        <v>48</v>
      </c>
      <c r="M177" s="16" t="s">
        <v>48</v>
      </c>
      <c r="N177" s="16">
        <v>21</v>
      </c>
      <c r="O177" s="16" t="s">
        <v>789</v>
      </c>
      <c r="P177" s="16" t="s">
        <v>719</v>
      </c>
      <c r="Q177" s="32" t="s">
        <v>702</v>
      </c>
    </row>
    <row r="178" spans="1:17">
      <c r="A178" s="35">
        <v>45728</v>
      </c>
      <c r="B178" s="36" t="s">
        <v>531</v>
      </c>
      <c r="C178" s="16" t="s">
        <v>700</v>
      </c>
      <c r="D178" s="16" t="s">
        <v>720</v>
      </c>
      <c r="E178" s="16" t="s">
        <v>717</v>
      </c>
      <c r="F178" s="16" t="s">
        <v>48</v>
      </c>
      <c r="G178" s="16" t="s">
        <v>48</v>
      </c>
      <c r="H178" s="16" t="s">
        <v>48</v>
      </c>
      <c r="I178" s="16" t="s">
        <v>48</v>
      </c>
      <c r="J178" s="16" t="s">
        <v>48</v>
      </c>
      <c r="K178" s="16" t="s">
        <v>48</v>
      </c>
      <c r="L178" s="16" t="s">
        <v>48</v>
      </c>
      <c r="M178" s="16" t="s">
        <v>48</v>
      </c>
      <c r="N178" s="16">
        <v>27</v>
      </c>
      <c r="O178" s="16" t="s">
        <v>789</v>
      </c>
      <c r="P178" s="16" t="s">
        <v>719</v>
      </c>
      <c r="Q178" s="32" t="s">
        <v>702</v>
      </c>
    </row>
    <row r="179" spans="1:17">
      <c r="A179" s="35">
        <v>45728</v>
      </c>
      <c r="B179" s="36" t="s">
        <v>531</v>
      </c>
      <c r="C179" s="16" t="s">
        <v>700</v>
      </c>
      <c r="D179" s="16" t="s">
        <v>720</v>
      </c>
      <c r="E179" s="16" t="s">
        <v>721</v>
      </c>
      <c r="F179" s="16" t="s">
        <v>48</v>
      </c>
      <c r="G179" s="16" t="s">
        <v>48</v>
      </c>
      <c r="H179" s="16" t="s">
        <v>48</v>
      </c>
      <c r="I179" s="16" t="s">
        <v>48</v>
      </c>
      <c r="J179" s="16" t="s">
        <v>48</v>
      </c>
      <c r="K179" s="16" t="s">
        <v>48</v>
      </c>
      <c r="L179" s="16" t="s">
        <v>48</v>
      </c>
      <c r="M179" s="16" t="s">
        <v>48</v>
      </c>
      <c r="N179" s="16">
        <v>27</v>
      </c>
      <c r="O179" s="16" t="s">
        <v>789</v>
      </c>
      <c r="P179" s="16" t="s">
        <v>719</v>
      </c>
      <c r="Q179" s="32" t="s">
        <v>702</v>
      </c>
    </row>
    <row r="180" spans="1:17">
      <c r="A180" s="35">
        <v>45728</v>
      </c>
      <c r="B180" s="36" t="s">
        <v>531</v>
      </c>
      <c r="C180" s="16" t="s">
        <v>700</v>
      </c>
      <c r="D180" s="16" t="s">
        <v>720</v>
      </c>
      <c r="E180" s="16" t="s">
        <v>653</v>
      </c>
      <c r="F180" s="16" t="s">
        <v>48</v>
      </c>
      <c r="G180" s="16" t="s">
        <v>48</v>
      </c>
      <c r="H180" s="16" t="s">
        <v>48</v>
      </c>
      <c r="I180" s="16" t="s">
        <v>48</v>
      </c>
      <c r="J180" s="16" t="s">
        <v>48</v>
      </c>
      <c r="K180" s="16" t="s">
        <v>48</v>
      </c>
      <c r="L180" s="16" t="s">
        <v>48</v>
      </c>
      <c r="M180" s="16" t="s">
        <v>48</v>
      </c>
      <c r="N180" s="16">
        <v>2</v>
      </c>
      <c r="O180" s="16" t="s">
        <v>789</v>
      </c>
      <c r="P180" s="16" t="s">
        <v>719</v>
      </c>
      <c r="Q180" s="32" t="s">
        <v>702</v>
      </c>
    </row>
    <row r="181" spans="1:17">
      <c r="A181" s="35">
        <v>45728</v>
      </c>
      <c r="B181" s="36" t="s">
        <v>531</v>
      </c>
      <c r="C181" s="16" t="s">
        <v>700</v>
      </c>
      <c r="D181" s="16" t="s">
        <v>720</v>
      </c>
      <c r="E181" s="16" t="s">
        <v>721</v>
      </c>
      <c r="F181" s="16" t="s">
        <v>48</v>
      </c>
      <c r="G181" s="16" t="s">
        <v>48</v>
      </c>
      <c r="H181" s="16" t="s">
        <v>48</v>
      </c>
      <c r="I181" s="16" t="s">
        <v>48</v>
      </c>
      <c r="J181" s="16" t="s">
        <v>48</v>
      </c>
      <c r="K181" s="16" t="s">
        <v>48</v>
      </c>
      <c r="L181" s="16" t="s">
        <v>48</v>
      </c>
      <c r="M181" s="16" t="s">
        <v>48</v>
      </c>
      <c r="N181" s="16">
        <v>27</v>
      </c>
      <c r="O181" s="16" t="s">
        <v>789</v>
      </c>
      <c r="P181" s="16" t="s">
        <v>719</v>
      </c>
      <c r="Q181" s="32" t="s">
        <v>702</v>
      </c>
    </row>
    <row r="182" spans="1:17">
      <c r="A182" s="35">
        <v>45728</v>
      </c>
      <c r="B182" s="36" t="s">
        <v>531</v>
      </c>
      <c r="C182" s="16" t="s">
        <v>700</v>
      </c>
      <c r="D182" s="16" t="s">
        <v>720</v>
      </c>
      <c r="E182" s="16" t="s">
        <v>722</v>
      </c>
      <c r="F182" s="16" t="s">
        <v>48</v>
      </c>
      <c r="G182" s="16" t="s">
        <v>48</v>
      </c>
      <c r="H182" s="16" t="s">
        <v>48</v>
      </c>
      <c r="I182" s="16" t="s">
        <v>48</v>
      </c>
      <c r="J182" s="16" t="s">
        <v>48</v>
      </c>
      <c r="K182" s="16" t="s">
        <v>48</v>
      </c>
      <c r="L182" s="16" t="s">
        <v>48</v>
      </c>
      <c r="M182" s="16" t="s">
        <v>48</v>
      </c>
      <c r="N182" s="16">
        <v>54</v>
      </c>
      <c r="O182" s="16" t="s">
        <v>789</v>
      </c>
      <c r="P182" s="16" t="s">
        <v>719</v>
      </c>
      <c r="Q182" s="32" t="s">
        <v>702</v>
      </c>
    </row>
    <row r="183" spans="1:17">
      <c r="A183" s="35">
        <v>45728</v>
      </c>
      <c r="B183" s="36" t="s">
        <v>531</v>
      </c>
      <c r="C183" s="16" t="s">
        <v>700</v>
      </c>
      <c r="D183" s="16" t="s">
        <v>720</v>
      </c>
      <c r="E183" s="16" t="s">
        <v>723</v>
      </c>
      <c r="F183" s="16" t="s">
        <v>48</v>
      </c>
      <c r="G183" s="16" t="s">
        <v>48</v>
      </c>
      <c r="H183" s="16" t="s">
        <v>48</v>
      </c>
      <c r="I183" s="16" t="s">
        <v>48</v>
      </c>
      <c r="J183" s="16" t="s">
        <v>48</v>
      </c>
      <c r="K183" s="16" t="s">
        <v>48</v>
      </c>
      <c r="L183" s="16" t="s">
        <v>48</v>
      </c>
      <c r="M183" s="16" t="s">
        <v>48</v>
      </c>
      <c r="N183" s="16">
        <v>18</v>
      </c>
      <c r="O183" s="16" t="s">
        <v>789</v>
      </c>
      <c r="P183" s="16" t="s">
        <v>719</v>
      </c>
      <c r="Q183" s="32" t="s">
        <v>702</v>
      </c>
    </row>
    <row r="184" spans="1:17">
      <c r="A184" s="35">
        <v>45728</v>
      </c>
      <c r="B184" s="36" t="s">
        <v>531</v>
      </c>
      <c r="C184" s="16" t="s">
        <v>700</v>
      </c>
      <c r="D184" s="16" t="s">
        <v>720</v>
      </c>
      <c r="E184" s="16" t="s">
        <v>632</v>
      </c>
      <c r="F184" s="16" t="s">
        <v>48</v>
      </c>
      <c r="G184" s="16" t="s">
        <v>48</v>
      </c>
      <c r="H184" s="16" t="s">
        <v>48</v>
      </c>
      <c r="I184" s="16" t="s">
        <v>48</v>
      </c>
      <c r="J184" s="16" t="s">
        <v>48</v>
      </c>
      <c r="K184" s="16" t="s">
        <v>48</v>
      </c>
      <c r="L184" s="16" t="s">
        <v>48</v>
      </c>
      <c r="M184" s="16" t="s">
        <v>48</v>
      </c>
      <c r="N184" s="16">
        <v>27</v>
      </c>
      <c r="O184" s="16" t="s">
        <v>789</v>
      </c>
      <c r="P184" s="16" t="s">
        <v>719</v>
      </c>
      <c r="Q184" s="32" t="s">
        <v>702</v>
      </c>
    </row>
    <row r="185" spans="1:17">
      <c r="A185" s="35">
        <v>45728</v>
      </c>
      <c r="B185" s="36" t="s">
        <v>531</v>
      </c>
      <c r="C185" s="16" t="s">
        <v>700</v>
      </c>
      <c r="D185" s="16" t="s">
        <v>724</v>
      </c>
      <c r="E185" s="16" t="s">
        <v>715</v>
      </c>
      <c r="F185" s="16" t="s">
        <v>48</v>
      </c>
      <c r="G185" s="16" t="s">
        <v>48</v>
      </c>
      <c r="H185" s="16" t="s">
        <v>48</v>
      </c>
      <c r="I185" s="16" t="s">
        <v>48</v>
      </c>
      <c r="J185" s="16" t="s">
        <v>48</v>
      </c>
      <c r="K185" s="16" t="s">
        <v>48</v>
      </c>
      <c r="L185" s="16" t="s">
        <v>48</v>
      </c>
      <c r="M185" s="16" t="s">
        <v>48</v>
      </c>
      <c r="N185" s="16">
        <v>27</v>
      </c>
      <c r="O185" s="16" t="s">
        <v>789</v>
      </c>
      <c r="P185" s="16" t="s">
        <v>719</v>
      </c>
      <c r="Q185" s="32" t="s">
        <v>702</v>
      </c>
    </row>
    <row r="186" spans="1:17">
      <c r="A186" s="35">
        <v>45728</v>
      </c>
      <c r="B186" s="36" t="s">
        <v>531</v>
      </c>
      <c r="C186" s="16" t="s">
        <v>700</v>
      </c>
      <c r="D186" s="16" t="s">
        <v>724</v>
      </c>
      <c r="E186" s="16" t="s">
        <v>725</v>
      </c>
      <c r="F186" s="16" t="s">
        <v>48</v>
      </c>
      <c r="G186" s="16" t="s">
        <v>48</v>
      </c>
      <c r="H186" s="16" t="s">
        <v>48</v>
      </c>
      <c r="I186" s="16" t="s">
        <v>48</v>
      </c>
      <c r="J186" s="16" t="s">
        <v>48</v>
      </c>
      <c r="K186" s="16" t="s">
        <v>48</v>
      </c>
      <c r="L186" s="16" t="s">
        <v>48</v>
      </c>
      <c r="M186" s="16" t="s">
        <v>48</v>
      </c>
      <c r="N186" s="16">
        <v>54</v>
      </c>
      <c r="O186" s="16" t="s">
        <v>789</v>
      </c>
      <c r="P186" s="16" t="s">
        <v>719</v>
      </c>
      <c r="Q186" s="32" t="s">
        <v>702</v>
      </c>
    </row>
    <row r="187" spans="1:17">
      <c r="A187" s="35">
        <v>45728</v>
      </c>
      <c r="B187" s="36" t="s">
        <v>531</v>
      </c>
      <c r="C187" s="16" t="s">
        <v>700</v>
      </c>
      <c r="D187" s="16" t="s">
        <v>724</v>
      </c>
      <c r="E187" s="16" t="s">
        <v>726</v>
      </c>
      <c r="F187" s="16" t="s">
        <v>48</v>
      </c>
      <c r="G187" s="16" t="s">
        <v>48</v>
      </c>
      <c r="H187" s="16" t="s">
        <v>48</v>
      </c>
      <c r="I187" s="16" t="s">
        <v>48</v>
      </c>
      <c r="J187" s="16" t="s">
        <v>48</v>
      </c>
      <c r="K187" s="16" t="s">
        <v>48</v>
      </c>
      <c r="L187" s="16" t="s">
        <v>48</v>
      </c>
      <c r="M187" s="16" t="s">
        <v>48</v>
      </c>
      <c r="N187" s="16">
        <v>27</v>
      </c>
      <c r="O187" s="16" t="s">
        <v>789</v>
      </c>
      <c r="P187" s="16" t="s">
        <v>719</v>
      </c>
      <c r="Q187" s="32" t="s">
        <v>702</v>
      </c>
    </row>
    <row r="188" spans="1:17">
      <c r="A188" s="35">
        <v>45728</v>
      </c>
      <c r="B188" s="36" t="s">
        <v>531</v>
      </c>
      <c r="C188" s="16" t="s">
        <v>700</v>
      </c>
      <c r="D188" s="16" t="s">
        <v>724</v>
      </c>
      <c r="E188" s="16" t="s">
        <v>727</v>
      </c>
      <c r="F188" s="16" t="s">
        <v>48</v>
      </c>
      <c r="G188" s="16" t="s">
        <v>48</v>
      </c>
      <c r="H188" s="16" t="s">
        <v>48</v>
      </c>
      <c r="I188" s="16" t="s">
        <v>48</v>
      </c>
      <c r="J188" s="16" t="s">
        <v>48</v>
      </c>
      <c r="K188" s="16" t="s">
        <v>48</v>
      </c>
      <c r="L188" s="16" t="s">
        <v>48</v>
      </c>
      <c r="M188" s="16" t="s">
        <v>48</v>
      </c>
      <c r="N188" s="16">
        <v>18</v>
      </c>
      <c r="O188" s="16" t="s">
        <v>789</v>
      </c>
      <c r="P188" s="16" t="s">
        <v>719</v>
      </c>
      <c r="Q188" s="32" t="s">
        <v>702</v>
      </c>
    </row>
    <row r="189" spans="1:17">
      <c r="A189" s="35">
        <v>45729</v>
      </c>
      <c r="B189" s="36" t="s">
        <v>531</v>
      </c>
      <c r="C189" s="16" t="s">
        <v>728</v>
      </c>
      <c r="D189" s="16" t="s">
        <v>724</v>
      </c>
      <c r="E189" s="16" t="s">
        <v>727</v>
      </c>
      <c r="F189" s="16" t="s">
        <v>48</v>
      </c>
      <c r="G189" s="16" t="s">
        <v>48</v>
      </c>
      <c r="H189" s="16" t="s">
        <v>48</v>
      </c>
      <c r="I189" s="16" t="s">
        <v>48</v>
      </c>
      <c r="J189" s="16" t="s">
        <v>48</v>
      </c>
      <c r="K189" s="16" t="s">
        <v>48</v>
      </c>
      <c r="L189" s="16" t="s">
        <v>48</v>
      </c>
      <c r="M189" s="16" t="s">
        <v>48</v>
      </c>
      <c r="N189" s="16">
        <v>9</v>
      </c>
      <c r="O189" s="16" t="s">
        <v>789</v>
      </c>
      <c r="P189" s="16" t="s">
        <v>719</v>
      </c>
      <c r="Q189" s="32" t="s">
        <v>702</v>
      </c>
    </row>
    <row r="190" spans="1:17">
      <c r="A190" s="35">
        <v>45729</v>
      </c>
      <c r="B190" s="36" t="s">
        <v>531</v>
      </c>
      <c r="C190" s="16" t="s">
        <v>728</v>
      </c>
      <c r="D190" s="16" t="s">
        <v>611</v>
      </c>
      <c r="E190" s="16" t="s">
        <v>726</v>
      </c>
      <c r="F190" s="16" t="s">
        <v>48</v>
      </c>
      <c r="G190" s="16" t="s">
        <v>48</v>
      </c>
      <c r="H190" s="16" t="s">
        <v>48</v>
      </c>
      <c r="I190" s="16" t="s">
        <v>48</v>
      </c>
      <c r="J190" s="16" t="s">
        <v>48</v>
      </c>
      <c r="K190" s="16" t="s">
        <v>48</v>
      </c>
      <c r="L190" s="16" t="s">
        <v>48</v>
      </c>
      <c r="M190" s="16" t="s">
        <v>48</v>
      </c>
      <c r="N190" s="16">
        <v>27</v>
      </c>
      <c r="O190" s="16" t="s">
        <v>789</v>
      </c>
      <c r="P190" s="16" t="s">
        <v>719</v>
      </c>
      <c r="Q190" s="32" t="s">
        <v>702</v>
      </c>
    </row>
    <row r="191" spans="1:17">
      <c r="A191" s="35">
        <v>45729</v>
      </c>
      <c r="B191" s="36" t="s">
        <v>531</v>
      </c>
      <c r="C191" s="16" t="s">
        <v>728</v>
      </c>
      <c r="D191" s="16" t="s">
        <v>611</v>
      </c>
      <c r="E191" s="16" t="s">
        <v>729</v>
      </c>
      <c r="F191" s="16" t="s">
        <v>48</v>
      </c>
      <c r="G191" s="16" t="s">
        <v>48</v>
      </c>
      <c r="H191" s="16" t="s">
        <v>48</v>
      </c>
      <c r="I191" s="16" t="s">
        <v>48</v>
      </c>
      <c r="J191" s="16" t="s">
        <v>48</v>
      </c>
      <c r="K191" s="16" t="s">
        <v>48</v>
      </c>
      <c r="L191" s="16" t="s">
        <v>48</v>
      </c>
      <c r="M191" s="16" t="s">
        <v>48</v>
      </c>
      <c r="N191" s="16">
        <v>18</v>
      </c>
      <c r="O191" s="16" t="s">
        <v>789</v>
      </c>
      <c r="P191" s="16" t="s">
        <v>719</v>
      </c>
      <c r="Q191" s="32" t="s">
        <v>702</v>
      </c>
    </row>
    <row r="192" spans="1:17">
      <c r="A192" s="35">
        <v>45729</v>
      </c>
      <c r="B192" s="36" t="s">
        <v>531</v>
      </c>
      <c r="C192" s="16" t="s">
        <v>728</v>
      </c>
      <c r="D192" s="16" t="s">
        <v>611</v>
      </c>
      <c r="E192" s="16" t="s">
        <v>730</v>
      </c>
      <c r="F192" s="16" t="s">
        <v>48</v>
      </c>
      <c r="G192" s="16" t="s">
        <v>48</v>
      </c>
      <c r="H192" s="16" t="s">
        <v>48</v>
      </c>
      <c r="I192" s="16" t="s">
        <v>48</v>
      </c>
      <c r="J192" s="16" t="s">
        <v>48</v>
      </c>
      <c r="K192" s="16" t="s">
        <v>48</v>
      </c>
      <c r="L192" s="16" t="s">
        <v>48</v>
      </c>
      <c r="M192" s="16" t="s">
        <v>48</v>
      </c>
      <c r="N192" s="16">
        <v>27</v>
      </c>
      <c r="O192" s="16" t="s">
        <v>789</v>
      </c>
      <c r="P192" s="16" t="s">
        <v>719</v>
      </c>
      <c r="Q192" s="32" t="s">
        <v>702</v>
      </c>
    </row>
    <row r="193" spans="1:17">
      <c r="A193" s="35">
        <v>45729</v>
      </c>
      <c r="B193" s="36" t="s">
        <v>531</v>
      </c>
      <c r="C193" s="16" t="s">
        <v>728</v>
      </c>
      <c r="D193" s="16" t="s">
        <v>611</v>
      </c>
      <c r="E193" s="16" t="s">
        <v>731</v>
      </c>
      <c r="F193" s="16" t="s">
        <v>48</v>
      </c>
      <c r="G193" s="16" t="s">
        <v>48</v>
      </c>
      <c r="H193" s="16" t="s">
        <v>48</v>
      </c>
      <c r="I193" s="16" t="s">
        <v>48</v>
      </c>
      <c r="J193" s="16" t="s">
        <v>48</v>
      </c>
      <c r="K193" s="16" t="s">
        <v>48</v>
      </c>
      <c r="L193" s="16" t="s">
        <v>48</v>
      </c>
      <c r="M193" s="16" t="s">
        <v>48</v>
      </c>
      <c r="N193" s="16">
        <v>22</v>
      </c>
      <c r="O193" s="16" t="s">
        <v>789</v>
      </c>
      <c r="P193" s="16" t="s">
        <v>719</v>
      </c>
      <c r="Q193" s="32" t="s">
        <v>702</v>
      </c>
    </row>
    <row r="194" spans="1:17">
      <c r="A194" s="35">
        <v>45729</v>
      </c>
      <c r="B194" s="36" t="s">
        <v>531</v>
      </c>
      <c r="C194" s="16" t="s">
        <v>728</v>
      </c>
      <c r="D194" s="16" t="s">
        <v>611</v>
      </c>
      <c r="E194" s="16" t="s">
        <v>732</v>
      </c>
      <c r="F194" s="16" t="s">
        <v>48</v>
      </c>
      <c r="G194" s="16" t="s">
        <v>48</v>
      </c>
      <c r="H194" s="16" t="s">
        <v>48</v>
      </c>
      <c r="I194" s="16" t="s">
        <v>48</v>
      </c>
      <c r="J194" s="16" t="s">
        <v>48</v>
      </c>
      <c r="K194" s="16" t="s">
        <v>48</v>
      </c>
      <c r="L194" s="16" t="s">
        <v>48</v>
      </c>
      <c r="M194" s="16" t="s">
        <v>48</v>
      </c>
      <c r="N194" s="16">
        <v>22</v>
      </c>
      <c r="O194" s="16" t="s">
        <v>789</v>
      </c>
      <c r="P194" s="16" t="s">
        <v>719</v>
      </c>
      <c r="Q194" s="32" t="s">
        <v>702</v>
      </c>
    </row>
    <row r="195" spans="1:17">
      <c r="A195" s="35">
        <v>45729</v>
      </c>
      <c r="B195" s="36" t="s">
        <v>531</v>
      </c>
      <c r="C195" s="16" t="s">
        <v>728</v>
      </c>
      <c r="D195" s="16" t="s">
        <v>718</v>
      </c>
      <c r="E195" s="16" t="s">
        <v>732</v>
      </c>
      <c r="F195" s="16" t="s">
        <v>48</v>
      </c>
      <c r="G195" s="16" t="s">
        <v>48</v>
      </c>
      <c r="H195" s="16" t="s">
        <v>48</v>
      </c>
      <c r="I195" s="16" t="s">
        <v>48</v>
      </c>
      <c r="J195" s="16" t="s">
        <v>48</v>
      </c>
      <c r="K195" s="16" t="s">
        <v>48</v>
      </c>
      <c r="L195" s="16" t="s">
        <v>48</v>
      </c>
      <c r="M195" s="16" t="s">
        <v>48</v>
      </c>
      <c r="N195" s="16">
        <v>5</v>
      </c>
      <c r="O195" s="16" t="s">
        <v>789</v>
      </c>
      <c r="P195" s="16" t="s">
        <v>733</v>
      </c>
      <c r="Q195" s="32" t="s">
        <v>702</v>
      </c>
    </row>
    <row r="196" spans="1:17">
      <c r="A196" s="35">
        <v>45729</v>
      </c>
      <c r="B196" s="36" t="s">
        <v>531</v>
      </c>
      <c r="C196" s="16" t="s">
        <v>728</v>
      </c>
      <c r="D196" s="16" t="s">
        <v>734</v>
      </c>
      <c r="E196" s="16" t="s">
        <v>735</v>
      </c>
      <c r="F196" s="16" t="s">
        <v>48</v>
      </c>
      <c r="G196" s="16" t="s">
        <v>48</v>
      </c>
      <c r="H196" s="16" t="s">
        <v>48</v>
      </c>
      <c r="I196" s="16" t="s">
        <v>48</v>
      </c>
      <c r="J196" s="16" t="s">
        <v>48</v>
      </c>
      <c r="K196" s="16" t="s">
        <v>48</v>
      </c>
      <c r="L196" s="16" t="s">
        <v>48</v>
      </c>
      <c r="M196" s="16" t="s">
        <v>48</v>
      </c>
      <c r="N196" s="16">
        <v>27</v>
      </c>
      <c r="O196" s="16" t="s">
        <v>789</v>
      </c>
      <c r="P196" s="16" t="s">
        <v>733</v>
      </c>
      <c r="Q196" s="32" t="s">
        <v>702</v>
      </c>
    </row>
    <row r="197" spans="1:17">
      <c r="A197" s="35">
        <v>45729</v>
      </c>
      <c r="B197" s="36" t="s">
        <v>531</v>
      </c>
      <c r="C197" s="16" t="s">
        <v>728</v>
      </c>
      <c r="D197" s="16" t="s">
        <v>734</v>
      </c>
      <c r="E197" s="16" t="s">
        <v>624</v>
      </c>
      <c r="F197" s="16" t="s">
        <v>48</v>
      </c>
      <c r="G197" s="16" t="s">
        <v>48</v>
      </c>
      <c r="H197" s="16" t="s">
        <v>48</v>
      </c>
      <c r="I197" s="16" t="s">
        <v>48</v>
      </c>
      <c r="J197" s="16" t="s">
        <v>48</v>
      </c>
      <c r="K197" s="16" t="s">
        <v>48</v>
      </c>
      <c r="L197" s="16" t="s">
        <v>48</v>
      </c>
      <c r="M197" s="16" t="s">
        <v>48</v>
      </c>
      <c r="N197" s="16">
        <v>27</v>
      </c>
      <c r="O197" s="16" t="s">
        <v>789</v>
      </c>
      <c r="P197" s="16" t="s">
        <v>733</v>
      </c>
      <c r="Q197" s="32" t="s">
        <v>702</v>
      </c>
    </row>
    <row r="198" spans="1:17">
      <c r="A198" s="35">
        <v>45729</v>
      </c>
      <c r="B198" s="36" t="s">
        <v>531</v>
      </c>
      <c r="C198" s="16" t="s">
        <v>728</v>
      </c>
      <c r="D198" s="16" t="s">
        <v>734</v>
      </c>
      <c r="E198" s="16" t="s">
        <v>736</v>
      </c>
      <c r="F198" s="16" t="s">
        <v>48</v>
      </c>
      <c r="G198" s="16" t="s">
        <v>48</v>
      </c>
      <c r="H198" s="16" t="s">
        <v>48</v>
      </c>
      <c r="I198" s="16" t="s">
        <v>48</v>
      </c>
      <c r="J198" s="16" t="s">
        <v>48</v>
      </c>
      <c r="K198" s="16" t="s">
        <v>48</v>
      </c>
      <c r="L198" s="16" t="s">
        <v>48</v>
      </c>
      <c r="M198" s="16" t="s">
        <v>48</v>
      </c>
      <c r="N198" s="16">
        <v>27</v>
      </c>
      <c r="O198" s="16" t="s">
        <v>789</v>
      </c>
      <c r="P198" s="16" t="s">
        <v>733</v>
      </c>
      <c r="Q198" s="32" t="s">
        <v>702</v>
      </c>
    </row>
    <row r="199" spans="1:17">
      <c r="A199" s="35">
        <v>45729</v>
      </c>
      <c r="B199" s="36" t="s">
        <v>531</v>
      </c>
      <c r="C199" s="16" t="s">
        <v>728</v>
      </c>
      <c r="D199" s="16" t="s">
        <v>734</v>
      </c>
      <c r="E199" s="16" t="s">
        <v>737</v>
      </c>
      <c r="F199" s="16" t="s">
        <v>48</v>
      </c>
      <c r="G199" s="16" t="s">
        <v>48</v>
      </c>
      <c r="H199" s="16" t="s">
        <v>48</v>
      </c>
      <c r="I199" s="16" t="s">
        <v>48</v>
      </c>
      <c r="J199" s="16" t="s">
        <v>48</v>
      </c>
      <c r="K199" s="16" t="s">
        <v>48</v>
      </c>
      <c r="L199" s="16" t="s">
        <v>48</v>
      </c>
      <c r="M199" s="16" t="s">
        <v>48</v>
      </c>
      <c r="N199" s="16">
        <v>21</v>
      </c>
      <c r="O199" s="16" t="s">
        <v>789</v>
      </c>
      <c r="P199" s="16" t="s">
        <v>733</v>
      </c>
      <c r="Q199" s="32" t="s">
        <v>702</v>
      </c>
    </row>
    <row r="200" spans="1:17">
      <c r="A200" s="35">
        <v>45729</v>
      </c>
      <c r="B200" s="36" t="s">
        <v>531</v>
      </c>
      <c r="C200" s="16" t="s">
        <v>728</v>
      </c>
      <c r="D200" s="16" t="s">
        <v>734</v>
      </c>
      <c r="E200" s="16" t="s">
        <v>738</v>
      </c>
      <c r="F200" s="16" t="s">
        <v>48</v>
      </c>
      <c r="G200" s="16" t="s">
        <v>48</v>
      </c>
      <c r="H200" s="16" t="s">
        <v>48</v>
      </c>
      <c r="I200" s="16" t="s">
        <v>48</v>
      </c>
      <c r="J200" s="16" t="s">
        <v>48</v>
      </c>
      <c r="K200" s="16" t="s">
        <v>48</v>
      </c>
      <c r="L200" s="16" t="s">
        <v>48</v>
      </c>
      <c r="M200" s="16" t="s">
        <v>48</v>
      </c>
      <c r="N200" s="16">
        <v>54</v>
      </c>
      <c r="O200" s="16" t="s">
        <v>789</v>
      </c>
      <c r="P200" s="16" t="s">
        <v>733</v>
      </c>
      <c r="Q200" s="32" t="s">
        <v>702</v>
      </c>
    </row>
    <row r="201" spans="1:17">
      <c r="A201" s="35">
        <v>45729</v>
      </c>
      <c r="B201" s="36" t="s">
        <v>531</v>
      </c>
      <c r="C201" s="16" t="s">
        <v>728</v>
      </c>
      <c r="D201" s="16" t="s">
        <v>734</v>
      </c>
      <c r="E201" s="16" t="s">
        <v>704</v>
      </c>
      <c r="F201" s="16" t="s">
        <v>48</v>
      </c>
      <c r="G201" s="16" t="s">
        <v>48</v>
      </c>
      <c r="H201" s="16" t="s">
        <v>48</v>
      </c>
      <c r="I201" s="16" t="s">
        <v>48</v>
      </c>
      <c r="J201" s="16" t="s">
        <v>48</v>
      </c>
      <c r="K201" s="16" t="s">
        <v>48</v>
      </c>
      <c r="L201" s="16" t="s">
        <v>48</v>
      </c>
      <c r="M201" s="16" t="s">
        <v>48</v>
      </c>
      <c r="N201" s="16">
        <v>48</v>
      </c>
      <c r="O201" s="16" t="s">
        <v>789</v>
      </c>
      <c r="P201" s="16" t="s">
        <v>733</v>
      </c>
      <c r="Q201" s="32" t="s">
        <v>702</v>
      </c>
    </row>
    <row r="202" spans="1:17">
      <c r="A202" s="35">
        <v>45729</v>
      </c>
      <c r="B202" s="36" t="s">
        <v>531</v>
      </c>
      <c r="C202" s="16" t="s">
        <v>728</v>
      </c>
      <c r="D202" s="16" t="s">
        <v>734</v>
      </c>
      <c r="E202" s="16" t="s">
        <v>740</v>
      </c>
      <c r="F202" s="16" t="s">
        <v>48</v>
      </c>
      <c r="G202" s="16" t="s">
        <v>48</v>
      </c>
      <c r="H202" s="16" t="s">
        <v>48</v>
      </c>
      <c r="I202" s="16" t="s">
        <v>48</v>
      </c>
      <c r="J202" s="16" t="s">
        <v>48</v>
      </c>
      <c r="K202" s="16" t="s">
        <v>48</v>
      </c>
      <c r="L202" s="16" t="s">
        <v>48</v>
      </c>
      <c r="M202" s="16" t="s">
        <v>48</v>
      </c>
      <c r="N202" s="16">
        <v>21</v>
      </c>
      <c r="O202" s="16" t="s">
        <v>789</v>
      </c>
      <c r="P202" s="16" t="s">
        <v>733</v>
      </c>
      <c r="Q202" s="32" t="s">
        <v>702</v>
      </c>
    </row>
    <row r="203" spans="1:17">
      <c r="A203" s="35">
        <v>45729</v>
      </c>
      <c r="B203" s="36" t="s">
        <v>531</v>
      </c>
      <c r="C203" s="16" t="s">
        <v>728</v>
      </c>
      <c r="D203" s="16" t="s">
        <v>734</v>
      </c>
      <c r="E203" s="16" t="s">
        <v>741</v>
      </c>
      <c r="F203" s="16" t="s">
        <v>48</v>
      </c>
      <c r="G203" s="16" t="s">
        <v>48</v>
      </c>
      <c r="H203" s="16" t="s">
        <v>48</v>
      </c>
      <c r="I203" s="16" t="s">
        <v>48</v>
      </c>
      <c r="J203" s="16" t="s">
        <v>48</v>
      </c>
      <c r="K203" s="16" t="s">
        <v>48</v>
      </c>
      <c r="L203" s="16" t="s">
        <v>48</v>
      </c>
      <c r="M203" s="16" t="s">
        <v>48</v>
      </c>
      <c r="N203" s="16">
        <v>21</v>
      </c>
      <c r="O203" s="16" t="s">
        <v>789</v>
      </c>
      <c r="P203" s="16" t="s">
        <v>733</v>
      </c>
      <c r="Q203" s="32" t="s">
        <v>702</v>
      </c>
    </row>
    <row r="204" spans="1:17">
      <c r="A204" s="35">
        <v>45729</v>
      </c>
      <c r="B204" s="36" t="s">
        <v>531</v>
      </c>
      <c r="C204" s="16" t="s">
        <v>728</v>
      </c>
      <c r="D204" s="16" t="s">
        <v>734</v>
      </c>
      <c r="E204" s="16" t="s">
        <v>742</v>
      </c>
      <c r="F204" s="16" t="s">
        <v>48</v>
      </c>
      <c r="G204" s="16" t="s">
        <v>48</v>
      </c>
      <c r="H204" s="16" t="s">
        <v>48</v>
      </c>
      <c r="I204" s="16" t="s">
        <v>48</v>
      </c>
      <c r="J204" s="16" t="s">
        <v>48</v>
      </c>
      <c r="K204" s="16" t="s">
        <v>48</v>
      </c>
      <c r="L204" s="16" t="s">
        <v>48</v>
      </c>
      <c r="M204" s="16" t="s">
        <v>48</v>
      </c>
      <c r="N204" s="16">
        <v>54</v>
      </c>
      <c r="O204" s="16" t="s">
        <v>789</v>
      </c>
      <c r="P204" s="16" t="s">
        <v>733</v>
      </c>
      <c r="Q204" s="32" t="s">
        <v>702</v>
      </c>
    </row>
    <row r="205" spans="1:17">
      <c r="A205" s="35">
        <v>45729</v>
      </c>
      <c r="B205" s="36" t="s">
        <v>531</v>
      </c>
      <c r="C205" s="16" t="s">
        <v>728</v>
      </c>
      <c r="D205" s="16" t="s">
        <v>734</v>
      </c>
      <c r="E205" s="16" t="s">
        <v>743</v>
      </c>
      <c r="F205" s="16" t="s">
        <v>48</v>
      </c>
      <c r="G205" s="16" t="s">
        <v>48</v>
      </c>
      <c r="H205" s="16" t="s">
        <v>48</v>
      </c>
      <c r="I205" s="16" t="s">
        <v>48</v>
      </c>
      <c r="J205" s="16" t="s">
        <v>48</v>
      </c>
      <c r="K205" s="16" t="s">
        <v>48</v>
      </c>
      <c r="L205" s="16" t="s">
        <v>48</v>
      </c>
      <c r="M205" s="16" t="s">
        <v>48</v>
      </c>
      <c r="N205" s="16">
        <v>54</v>
      </c>
      <c r="O205" s="16" t="s">
        <v>789</v>
      </c>
      <c r="P205" s="16" t="s">
        <v>733</v>
      </c>
      <c r="Q205" s="32" t="s">
        <v>702</v>
      </c>
    </row>
    <row r="206" spans="1:17">
      <c r="A206" s="35">
        <v>45729</v>
      </c>
      <c r="B206" s="36" t="s">
        <v>531</v>
      </c>
      <c r="C206" s="16" t="s">
        <v>728</v>
      </c>
      <c r="D206" s="16" t="s">
        <v>739</v>
      </c>
      <c r="E206" s="16" t="s">
        <v>744</v>
      </c>
      <c r="F206" s="16" t="s">
        <v>48</v>
      </c>
      <c r="G206" s="16" t="s">
        <v>48</v>
      </c>
      <c r="H206" s="16" t="s">
        <v>48</v>
      </c>
      <c r="I206" s="16" t="s">
        <v>48</v>
      </c>
      <c r="J206" s="16" t="s">
        <v>48</v>
      </c>
      <c r="K206" s="16" t="s">
        <v>48</v>
      </c>
      <c r="L206" s="16" t="s">
        <v>48</v>
      </c>
      <c r="M206" s="16" t="s">
        <v>48</v>
      </c>
      <c r="N206" s="16">
        <v>27</v>
      </c>
      <c r="O206" s="16" t="s">
        <v>789</v>
      </c>
      <c r="P206" s="16" t="s">
        <v>733</v>
      </c>
      <c r="Q206" s="32" t="s">
        <v>702</v>
      </c>
    </row>
    <row r="207" spans="1:17">
      <c r="A207" s="35">
        <v>45729</v>
      </c>
      <c r="B207" s="36" t="s">
        <v>531</v>
      </c>
      <c r="C207" s="16" t="s">
        <v>728</v>
      </c>
      <c r="D207" s="16" t="s">
        <v>739</v>
      </c>
      <c r="E207" s="16" t="s">
        <v>745</v>
      </c>
      <c r="F207" s="16" t="s">
        <v>48</v>
      </c>
      <c r="G207" s="16" t="s">
        <v>48</v>
      </c>
      <c r="H207" s="16" t="s">
        <v>48</v>
      </c>
      <c r="I207" s="16" t="s">
        <v>48</v>
      </c>
      <c r="J207" s="16" t="s">
        <v>48</v>
      </c>
      <c r="K207" s="16" t="s">
        <v>48</v>
      </c>
      <c r="L207" s="16" t="s">
        <v>48</v>
      </c>
      <c r="M207" s="16" t="s">
        <v>48</v>
      </c>
      <c r="N207" s="16">
        <v>27</v>
      </c>
      <c r="O207" s="16" t="s">
        <v>789</v>
      </c>
      <c r="P207" s="16" t="s">
        <v>733</v>
      </c>
      <c r="Q207" s="32" t="s">
        <v>702</v>
      </c>
    </row>
    <row r="208" spans="1:17">
      <c r="A208" s="35">
        <v>45729</v>
      </c>
      <c r="B208" s="36" t="s">
        <v>531</v>
      </c>
      <c r="C208" s="16" t="s">
        <v>728</v>
      </c>
      <c r="D208" s="16" t="s">
        <v>739</v>
      </c>
      <c r="E208" s="16" t="s">
        <v>746</v>
      </c>
      <c r="F208" s="16" t="s">
        <v>48</v>
      </c>
      <c r="G208" s="16" t="s">
        <v>48</v>
      </c>
      <c r="H208" s="16" t="s">
        <v>48</v>
      </c>
      <c r="I208" s="16" t="s">
        <v>48</v>
      </c>
      <c r="J208" s="16" t="s">
        <v>48</v>
      </c>
      <c r="K208" s="16" t="s">
        <v>48</v>
      </c>
      <c r="L208" s="16" t="s">
        <v>48</v>
      </c>
      <c r="M208" s="16" t="s">
        <v>48</v>
      </c>
      <c r="N208" s="16">
        <v>27</v>
      </c>
      <c r="O208" s="16" t="s">
        <v>789</v>
      </c>
      <c r="P208" s="16" t="s">
        <v>733</v>
      </c>
      <c r="Q208" s="32" t="s">
        <v>702</v>
      </c>
    </row>
    <row r="209" spans="1:17">
      <c r="A209" s="35">
        <v>45729</v>
      </c>
      <c r="B209" s="36" t="s">
        <v>531</v>
      </c>
      <c r="C209" s="16" t="s">
        <v>728</v>
      </c>
      <c r="D209" s="16" t="s">
        <v>739</v>
      </c>
      <c r="E209" s="16" t="s">
        <v>747</v>
      </c>
      <c r="F209" s="16" t="s">
        <v>48</v>
      </c>
      <c r="G209" s="16" t="s">
        <v>48</v>
      </c>
      <c r="H209" s="16" t="s">
        <v>48</v>
      </c>
      <c r="I209" s="16" t="s">
        <v>48</v>
      </c>
      <c r="J209" s="16" t="s">
        <v>48</v>
      </c>
      <c r="K209" s="16" t="s">
        <v>48</v>
      </c>
      <c r="L209" s="16" t="s">
        <v>48</v>
      </c>
      <c r="M209" s="16" t="s">
        <v>48</v>
      </c>
      <c r="N209" s="16">
        <v>21</v>
      </c>
      <c r="O209" s="16" t="s">
        <v>789</v>
      </c>
      <c r="P209" s="16" t="s">
        <v>733</v>
      </c>
      <c r="Q209" s="32" t="s">
        <v>702</v>
      </c>
    </row>
    <row r="210" spans="1:17">
      <c r="A210" s="35">
        <v>45729</v>
      </c>
      <c r="B210" s="36" t="s">
        <v>531</v>
      </c>
      <c r="C210" s="16" t="s">
        <v>728</v>
      </c>
      <c r="D210" s="16" t="s">
        <v>750</v>
      </c>
      <c r="E210" s="16" t="s">
        <v>729</v>
      </c>
      <c r="F210" s="16" t="s">
        <v>48</v>
      </c>
      <c r="G210" s="16" t="s">
        <v>48</v>
      </c>
      <c r="H210" s="16" t="s">
        <v>48</v>
      </c>
      <c r="I210" s="16" t="s">
        <v>48</v>
      </c>
      <c r="J210" s="16" t="s">
        <v>48</v>
      </c>
      <c r="K210" s="16" t="s">
        <v>48</v>
      </c>
      <c r="L210" s="16" t="s">
        <v>48</v>
      </c>
      <c r="M210" s="16" t="s">
        <v>48</v>
      </c>
      <c r="N210" s="16">
        <v>27</v>
      </c>
      <c r="O210" s="16" t="s">
        <v>789</v>
      </c>
      <c r="P210" s="16" t="s">
        <v>733</v>
      </c>
      <c r="Q210" s="32" t="s">
        <v>702</v>
      </c>
    </row>
    <row r="211" spans="1:17">
      <c r="A211" s="35">
        <v>45729</v>
      </c>
      <c r="B211" s="36" t="s">
        <v>531</v>
      </c>
      <c r="C211" s="16" t="s">
        <v>728</v>
      </c>
      <c r="D211" s="16" t="s">
        <v>750</v>
      </c>
      <c r="E211" s="16" t="s">
        <v>748</v>
      </c>
      <c r="F211" s="16" t="s">
        <v>48</v>
      </c>
      <c r="G211" s="16" t="s">
        <v>48</v>
      </c>
      <c r="H211" s="16" t="s">
        <v>48</v>
      </c>
      <c r="I211" s="16" t="s">
        <v>48</v>
      </c>
      <c r="J211" s="16" t="s">
        <v>48</v>
      </c>
      <c r="K211" s="16" t="s">
        <v>48</v>
      </c>
      <c r="L211" s="16" t="s">
        <v>48</v>
      </c>
      <c r="M211" s="16" t="s">
        <v>48</v>
      </c>
      <c r="N211" s="16">
        <v>12</v>
      </c>
      <c r="O211" s="16" t="s">
        <v>789</v>
      </c>
      <c r="P211" s="16" t="s">
        <v>733</v>
      </c>
      <c r="Q211" s="32" t="s">
        <v>702</v>
      </c>
    </row>
    <row r="212" spans="1:17">
      <c r="A212" s="35">
        <v>45729</v>
      </c>
      <c r="B212" s="36" t="s">
        <v>531</v>
      </c>
      <c r="C212" s="16" t="s">
        <v>728</v>
      </c>
      <c r="D212" s="16" t="s">
        <v>750</v>
      </c>
      <c r="E212" s="16" t="s">
        <v>748</v>
      </c>
      <c r="F212" s="16" t="s">
        <v>48</v>
      </c>
      <c r="G212" s="16" t="s">
        <v>48</v>
      </c>
      <c r="H212" s="16" t="s">
        <v>48</v>
      </c>
      <c r="I212" s="16" t="s">
        <v>48</v>
      </c>
      <c r="J212" s="16" t="s">
        <v>48</v>
      </c>
      <c r="K212" s="16" t="s">
        <v>48</v>
      </c>
      <c r="L212" s="16" t="s">
        <v>48</v>
      </c>
      <c r="M212" s="16" t="s">
        <v>48</v>
      </c>
      <c r="N212" s="16">
        <v>15</v>
      </c>
      <c r="O212" s="16" t="s">
        <v>789</v>
      </c>
      <c r="P212" s="16" t="s">
        <v>749</v>
      </c>
      <c r="Q212" s="32" t="s">
        <v>702</v>
      </c>
    </row>
    <row r="213" spans="1:17">
      <c r="A213" s="35">
        <v>45729</v>
      </c>
      <c r="B213" s="36" t="s">
        <v>531</v>
      </c>
      <c r="C213" s="16" t="s">
        <v>728</v>
      </c>
      <c r="D213" s="16" t="s">
        <v>750</v>
      </c>
      <c r="E213" s="16" t="s">
        <v>751</v>
      </c>
      <c r="F213" s="16" t="s">
        <v>48</v>
      </c>
      <c r="G213" s="16" t="s">
        <v>48</v>
      </c>
      <c r="H213" s="16" t="s">
        <v>48</v>
      </c>
      <c r="I213" s="16" t="s">
        <v>48</v>
      </c>
      <c r="J213" s="16" t="s">
        <v>48</v>
      </c>
      <c r="K213" s="16" t="s">
        <v>48</v>
      </c>
      <c r="L213" s="16" t="s">
        <v>48</v>
      </c>
      <c r="M213" s="16" t="s">
        <v>48</v>
      </c>
      <c r="N213" s="16">
        <v>27</v>
      </c>
      <c r="O213" s="16" t="s">
        <v>789</v>
      </c>
      <c r="P213" s="16" t="s">
        <v>749</v>
      </c>
      <c r="Q213" s="32" t="s">
        <v>702</v>
      </c>
    </row>
    <row r="214" spans="1:17">
      <c r="A214" s="35">
        <v>45729</v>
      </c>
      <c r="B214" s="36" t="s">
        <v>531</v>
      </c>
      <c r="C214" s="16" t="s">
        <v>728</v>
      </c>
      <c r="D214" s="16" t="s">
        <v>750</v>
      </c>
      <c r="E214" s="16" t="s">
        <v>748</v>
      </c>
      <c r="F214" s="16" t="s">
        <v>48</v>
      </c>
      <c r="G214" s="16" t="s">
        <v>48</v>
      </c>
      <c r="H214" s="16" t="s">
        <v>48</v>
      </c>
      <c r="I214" s="16" t="s">
        <v>48</v>
      </c>
      <c r="J214" s="16" t="s">
        <v>48</v>
      </c>
      <c r="K214" s="16" t="s">
        <v>48</v>
      </c>
      <c r="L214" s="16" t="s">
        <v>48</v>
      </c>
      <c r="M214" s="16" t="s">
        <v>48</v>
      </c>
      <c r="N214" s="16">
        <v>26</v>
      </c>
      <c r="O214" s="16" t="s">
        <v>789</v>
      </c>
      <c r="P214" s="16" t="s">
        <v>749</v>
      </c>
      <c r="Q214" s="32" t="s">
        <v>702</v>
      </c>
    </row>
    <row r="215" spans="1:17">
      <c r="A215" s="35">
        <v>45729</v>
      </c>
      <c r="B215" s="36" t="s">
        <v>531</v>
      </c>
      <c r="C215" s="16" t="s">
        <v>728</v>
      </c>
      <c r="D215" s="16" t="s">
        <v>724</v>
      </c>
      <c r="E215" s="16" t="s">
        <v>752</v>
      </c>
      <c r="F215" s="16" t="s">
        <v>48</v>
      </c>
      <c r="G215" s="16" t="s">
        <v>48</v>
      </c>
      <c r="H215" s="16" t="s">
        <v>48</v>
      </c>
      <c r="I215" s="16" t="s">
        <v>48</v>
      </c>
      <c r="J215" s="16" t="s">
        <v>48</v>
      </c>
      <c r="K215" s="16" t="s">
        <v>48</v>
      </c>
      <c r="L215" s="16" t="s">
        <v>48</v>
      </c>
      <c r="M215" s="16" t="s">
        <v>48</v>
      </c>
      <c r="N215" s="16">
        <v>27</v>
      </c>
      <c r="O215" s="16" t="s">
        <v>789</v>
      </c>
      <c r="P215" s="16" t="s">
        <v>749</v>
      </c>
      <c r="Q215" s="32" t="s">
        <v>702</v>
      </c>
    </row>
    <row r="216" spans="1:17">
      <c r="A216" s="35">
        <v>45729</v>
      </c>
      <c r="B216" s="36" t="s">
        <v>531</v>
      </c>
      <c r="C216" s="16" t="s">
        <v>728</v>
      </c>
      <c r="D216" s="16" t="s">
        <v>724</v>
      </c>
      <c r="E216" s="16" t="s">
        <v>753</v>
      </c>
      <c r="F216" s="16" t="s">
        <v>48</v>
      </c>
      <c r="G216" s="16" t="s">
        <v>48</v>
      </c>
      <c r="H216" s="16" t="s">
        <v>48</v>
      </c>
      <c r="I216" s="16" t="s">
        <v>48</v>
      </c>
      <c r="J216" s="16" t="s">
        <v>48</v>
      </c>
      <c r="K216" s="16" t="s">
        <v>48</v>
      </c>
      <c r="L216" s="16" t="s">
        <v>48</v>
      </c>
      <c r="M216" s="16" t="s">
        <v>48</v>
      </c>
      <c r="N216" s="16">
        <v>21</v>
      </c>
      <c r="O216" s="16" t="s">
        <v>789</v>
      </c>
      <c r="P216" s="16" t="s">
        <v>749</v>
      </c>
      <c r="Q216" s="32" t="s">
        <v>702</v>
      </c>
    </row>
    <row r="217" spans="1:17">
      <c r="A217" s="35">
        <v>45729</v>
      </c>
      <c r="B217" s="36" t="s">
        <v>531</v>
      </c>
      <c r="C217" s="16" t="s">
        <v>728</v>
      </c>
      <c r="D217" s="16" t="s">
        <v>724</v>
      </c>
      <c r="E217" s="16" t="s">
        <v>752</v>
      </c>
      <c r="F217" s="16" t="s">
        <v>48</v>
      </c>
      <c r="G217" s="16" t="s">
        <v>48</v>
      </c>
      <c r="H217" s="16" t="s">
        <v>48</v>
      </c>
      <c r="I217" s="16" t="s">
        <v>48</v>
      </c>
      <c r="J217" s="16" t="s">
        <v>48</v>
      </c>
      <c r="K217" s="16" t="s">
        <v>48</v>
      </c>
      <c r="L217" s="16" t="s">
        <v>48</v>
      </c>
      <c r="M217" s="16" t="s">
        <v>48</v>
      </c>
      <c r="N217" s="16">
        <v>27</v>
      </c>
      <c r="O217" s="16" t="s">
        <v>789</v>
      </c>
      <c r="P217" s="16" t="s">
        <v>749</v>
      </c>
      <c r="Q217" s="32" t="s">
        <v>702</v>
      </c>
    </row>
    <row r="218" spans="1:17">
      <c r="A218" s="35">
        <v>45729</v>
      </c>
      <c r="B218" s="36" t="s">
        <v>531</v>
      </c>
      <c r="C218" s="16" t="s">
        <v>728</v>
      </c>
      <c r="D218" s="16" t="s">
        <v>724</v>
      </c>
      <c r="E218" s="16" t="s">
        <v>753</v>
      </c>
      <c r="F218" s="16" t="s">
        <v>48</v>
      </c>
      <c r="G218" s="16" t="s">
        <v>48</v>
      </c>
      <c r="H218" s="16" t="s">
        <v>48</v>
      </c>
      <c r="I218" s="16" t="s">
        <v>48</v>
      </c>
      <c r="J218" s="16" t="s">
        <v>48</v>
      </c>
      <c r="K218" s="16" t="s">
        <v>48</v>
      </c>
      <c r="L218" s="16" t="s">
        <v>48</v>
      </c>
      <c r="M218" s="16" t="s">
        <v>48</v>
      </c>
      <c r="N218" s="16">
        <v>57</v>
      </c>
      <c r="O218" s="16" t="s">
        <v>789</v>
      </c>
      <c r="P218" s="16" t="s">
        <v>749</v>
      </c>
      <c r="Q218" s="32" t="s">
        <v>702</v>
      </c>
    </row>
    <row r="219" spans="1:17">
      <c r="A219" s="35">
        <v>45729</v>
      </c>
      <c r="B219" s="36" t="s">
        <v>531</v>
      </c>
      <c r="C219" s="16" t="s">
        <v>728</v>
      </c>
      <c r="D219" s="16" t="s">
        <v>648</v>
      </c>
      <c r="E219" s="16" t="s">
        <v>754</v>
      </c>
      <c r="F219" s="16" t="s">
        <v>48</v>
      </c>
      <c r="G219" s="16" t="s">
        <v>48</v>
      </c>
      <c r="H219" s="16" t="s">
        <v>48</v>
      </c>
      <c r="I219" s="16" t="s">
        <v>48</v>
      </c>
      <c r="J219" s="16" t="s">
        <v>48</v>
      </c>
      <c r="K219" s="16" t="s">
        <v>48</v>
      </c>
      <c r="L219" s="16" t="s">
        <v>48</v>
      </c>
      <c r="M219" s="16" t="s">
        <v>48</v>
      </c>
      <c r="N219" s="16">
        <v>54</v>
      </c>
      <c r="O219" s="16" t="s">
        <v>789</v>
      </c>
      <c r="P219" s="16" t="s">
        <v>749</v>
      </c>
      <c r="Q219" s="32" t="s">
        <v>702</v>
      </c>
    </row>
    <row r="220" spans="1:17">
      <c r="A220" s="35">
        <v>45729</v>
      </c>
      <c r="B220" s="36" t="s">
        <v>531</v>
      </c>
      <c r="C220" s="16" t="s">
        <v>728</v>
      </c>
      <c r="D220" s="16" t="s">
        <v>648</v>
      </c>
      <c r="E220" s="16" t="s">
        <v>755</v>
      </c>
      <c r="F220" s="16" t="s">
        <v>48</v>
      </c>
      <c r="G220" s="16" t="s">
        <v>48</v>
      </c>
      <c r="H220" s="16" t="s">
        <v>48</v>
      </c>
      <c r="I220" s="16" t="s">
        <v>48</v>
      </c>
      <c r="J220" s="16" t="s">
        <v>48</v>
      </c>
      <c r="K220" s="16" t="s">
        <v>48</v>
      </c>
      <c r="L220" s="16" t="s">
        <v>48</v>
      </c>
      <c r="M220" s="16" t="s">
        <v>48</v>
      </c>
      <c r="N220" s="16">
        <v>46</v>
      </c>
      <c r="O220" s="16" t="s">
        <v>789</v>
      </c>
      <c r="P220" s="16" t="s">
        <v>749</v>
      </c>
      <c r="Q220" s="32" t="s">
        <v>702</v>
      </c>
    </row>
    <row r="221" spans="1:17">
      <c r="A221" s="35">
        <v>45730</v>
      </c>
      <c r="B221" s="36" t="s">
        <v>531</v>
      </c>
      <c r="C221" s="16" t="s">
        <v>756</v>
      </c>
      <c r="D221" s="16" t="s">
        <v>734</v>
      </c>
      <c r="E221" s="16" t="s">
        <v>755</v>
      </c>
      <c r="F221" s="16" t="s">
        <v>48</v>
      </c>
      <c r="G221" s="16" t="s">
        <v>48</v>
      </c>
      <c r="H221" s="16" t="s">
        <v>48</v>
      </c>
      <c r="I221" s="16" t="s">
        <v>48</v>
      </c>
      <c r="J221" s="16" t="s">
        <v>48</v>
      </c>
      <c r="K221" s="16" t="s">
        <v>48</v>
      </c>
      <c r="L221" s="16" t="s">
        <v>48</v>
      </c>
      <c r="M221" s="16" t="s">
        <v>48</v>
      </c>
      <c r="N221" s="16">
        <v>17</v>
      </c>
      <c r="O221" s="16" t="s">
        <v>789</v>
      </c>
      <c r="P221" s="16" t="s">
        <v>749</v>
      </c>
      <c r="Q221" s="32" t="s">
        <v>702</v>
      </c>
    </row>
    <row r="222" spans="1:17">
      <c r="A222" s="35">
        <v>45730</v>
      </c>
      <c r="B222" s="36" t="s">
        <v>531</v>
      </c>
      <c r="C222" s="16" t="s">
        <v>756</v>
      </c>
      <c r="D222" s="16" t="s">
        <v>734</v>
      </c>
      <c r="E222" s="16" t="s">
        <v>757</v>
      </c>
      <c r="F222" s="16" t="s">
        <v>48</v>
      </c>
      <c r="G222" s="16" t="s">
        <v>48</v>
      </c>
      <c r="H222" s="16" t="s">
        <v>48</v>
      </c>
      <c r="I222" s="16" t="s">
        <v>48</v>
      </c>
      <c r="J222" s="16" t="s">
        <v>48</v>
      </c>
      <c r="K222" s="16" t="s">
        <v>48</v>
      </c>
      <c r="L222" s="16" t="s">
        <v>48</v>
      </c>
      <c r="M222" s="16" t="s">
        <v>48</v>
      </c>
      <c r="N222" s="16">
        <v>54</v>
      </c>
      <c r="O222" s="16" t="s">
        <v>789</v>
      </c>
      <c r="P222" s="16" t="s">
        <v>749</v>
      </c>
      <c r="Q222" s="32" t="s">
        <v>702</v>
      </c>
    </row>
    <row r="223" spans="1:17">
      <c r="A223" s="35">
        <v>45730</v>
      </c>
      <c r="B223" s="36" t="s">
        <v>531</v>
      </c>
      <c r="C223" s="16" t="s">
        <v>756</v>
      </c>
      <c r="D223" s="16" t="s">
        <v>734</v>
      </c>
      <c r="E223" s="16" t="s">
        <v>758</v>
      </c>
      <c r="F223" s="16" t="s">
        <v>48</v>
      </c>
      <c r="G223" s="16" t="s">
        <v>48</v>
      </c>
      <c r="H223" s="16" t="s">
        <v>48</v>
      </c>
      <c r="I223" s="16" t="s">
        <v>48</v>
      </c>
      <c r="J223" s="16" t="s">
        <v>48</v>
      </c>
      <c r="K223" s="16" t="s">
        <v>48</v>
      </c>
      <c r="L223" s="16" t="s">
        <v>48</v>
      </c>
      <c r="M223" s="16" t="s">
        <v>48</v>
      </c>
      <c r="N223" s="16">
        <v>30</v>
      </c>
      <c r="O223" s="16" t="s">
        <v>789</v>
      </c>
      <c r="P223" s="16" t="s">
        <v>749</v>
      </c>
      <c r="Q223" s="32" t="s">
        <v>702</v>
      </c>
    </row>
    <row r="224" spans="1:17">
      <c r="A224" s="35">
        <v>45730</v>
      </c>
      <c r="B224" s="36" t="s">
        <v>531</v>
      </c>
      <c r="C224" s="16" t="s">
        <v>756</v>
      </c>
      <c r="D224" s="16" t="s">
        <v>760</v>
      </c>
      <c r="E224" s="16" t="s">
        <v>759</v>
      </c>
      <c r="F224" s="16" t="s">
        <v>48</v>
      </c>
      <c r="G224" s="16" t="s">
        <v>48</v>
      </c>
      <c r="H224" s="16" t="s">
        <v>48</v>
      </c>
      <c r="I224" s="16" t="s">
        <v>48</v>
      </c>
      <c r="J224" s="16" t="s">
        <v>48</v>
      </c>
      <c r="K224" s="16" t="s">
        <v>48</v>
      </c>
      <c r="L224" s="16" t="s">
        <v>48</v>
      </c>
      <c r="M224" s="16" t="s">
        <v>48</v>
      </c>
      <c r="N224" s="16">
        <v>53</v>
      </c>
      <c r="O224" s="16" t="s">
        <v>789</v>
      </c>
      <c r="P224" s="16" t="s">
        <v>749</v>
      </c>
      <c r="Q224" s="32" t="s">
        <v>702</v>
      </c>
    </row>
    <row r="225" spans="1:17">
      <c r="A225" s="35">
        <v>45730</v>
      </c>
      <c r="B225" s="36" t="s">
        <v>531</v>
      </c>
      <c r="C225" s="16" t="s">
        <v>756</v>
      </c>
      <c r="D225" s="16" t="s">
        <v>760</v>
      </c>
      <c r="E225" s="16" t="s">
        <v>549</v>
      </c>
      <c r="F225" s="16" t="s">
        <v>48</v>
      </c>
      <c r="G225" s="16" t="s">
        <v>48</v>
      </c>
      <c r="H225" s="16" t="s">
        <v>48</v>
      </c>
      <c r="I225" s="16" t="s">
        <v>48</v>
      </c>
      <c r="J225" s="16" t="s">
        <v>48</v>
      </c>
      <c r="K225" s="16" t="s">
        <v>48</v>
      </c>
      <c r="L225" s="16" t="s">
        <v>48</v>
      </c>
      <c r="M225" s="16" t="s">
        <v>48</v>
      </c>
      <c r="N225" s="16">
        <v>27</v>
      </c>
      <c r="O225" s="16" t="s">
        <v>789</v>
      </c>
      <c r="P225" s="16" t="s">
        <v>749</v>
      </c>
      <c r="Q225" s="32" t="s">
        <v>702</v>
      </c>
    </row>
    <row r="226" spans="1:17">
      <c r="A226" s="35">
        <v>45730</v>
      </c>
      <c r="B226" s="36" t="s">
        <v>531</v>
      </c>
      <c r="C226" s="16" t="s">
        <v>756</v>
      </c>
      <c r="D226" s="16" t="s">
        <v>760</v>
      </c>
      <c r="E226" s="16" t="s">
        <v>741</v>
      </c>
      <c r="F226" s="16" t="s">
        <v>48</v>
      </c>
      <c r="G226" s="16" t="s">
        <v>48</v>
      </c>
      <c r="H226" s="16" t="s">
        <v>48</v>
      </c>
      <c r="I226" s="16" t="s">
        <v>48</v>
      </c>
      <c r="J226" s="16" t="s">
        <v>48</v>
      </c>
      <c r="K226" s="16" t="s">
        <v>48</v>
      </c>
      <c r="L226" s="16" t="s">
        <v>48</v>
      </c>
      <c r="M226" s="16" t="s">
        <v>48</v>
      </c>
      <c r="N226" s="16">
        <v>19</v>
      </c>
      <c r="O226" s="16" t="s">
        <v>789</v>
      </c>
      <c r="P226" s="16" t="s">
        <v>749</v>
      </c>
      <c r="Q226" s="32" t="s">
        <v>702</v>
      </c>
    </row>
    <row r="227" spans="1:17">
      <c r="A227" s="35">
        <v>45730</v>
      </c>
      <c r="B227" s="36" t="s">
        <v>531</v>
      </c>
      <c r="C227" s="16" t="s">
        <v>756</v>
      </c>
      <c r="D227" s="16" t="s">
        <v>645</v>
      </c>
      <c r="E227" s="16" t="s">
        <v>741</v>
      </c>
      <c r="F227" s="16" t="s">
        <v>48</v>
      </c>
      <c r="G227" s="16" t="s">
        <v>48</v>
      </c>
      <c r="H227" s="16" t="s">
        <v>48</v>
      </c>
      <c r="I227" s="16" t="s">
        <v>48</v>
      </c>
      <c r="J227" s="16" t="s">
        <v>48</v>
      </c>
      <c r="K227" s="16" t="s">
        <v>48</v>
      </c>
      <c r="L227" s="16" t="s">
        <v>48</v>
      </c>
      <c r="M227" s="16" t="s">
        <v>48</v>
      </c>
      <c r="N227" s="16">
        <v>4</v>
      </c>
      <c r="O227" s="16" t="s">
        <v>789</v>
      </c>
      <c r="P227" s="16" t="s">
        <v>761</v>
      </c>
      <c r="Q227" s="32" t="s">
        <v>702</v>
      </c>
    </row>
    <row r="228" spans="1:17">
      <c r="A228" s="35">
        <v>45730</v>
      </c>
      <c r="B228" s="36" t="s">
        <v>531</v>
      </c>
      <c r="C228" s="16" t="s">
        <v>756</v>
      </c>
      <c r="D228" s="16" t="s">
        <v>645</v>
      </c>
      <c r="E228" s="16" t="s">
        <v>740</v>
      </c>
      <c r="F228" s="16" t="s">
        <v>48</v>
      </c>
      <c r="G228" s="16" t="s">
        <v>48</v>
      </c>
      <c r="H228" s="16" t="s">
        <v>48</v>
      </c>
      <c r="I228" s="16" t="s">
        <v>48</v>
      </c>
      <c r="J228" s="16" t="s">
        <v>48</v>
      </c>
      <c r="K228" s="16" t="s">
        <v>48</v>
      </c>
      <c r="L228" s="16" t="s">
        <v>48</v>
      </c>
      <c r="M228" s="16" t="s">
        <v>48</v>
      </c>
      <c r="N228" s="16">
        <v>27</v>
      </c>
      <c r="O228" s="16" t="s">
        <v>789</v>
      </c>
      <c r="P228" s="16" t="s">
        <v>761</v>
      </c>
      <c r="Q228" s="32" t="s">
        <v>702</v>
      </c>
    </row>
    <row r="229" spans="1:17">
      <c r="A229" s="35">
        <v>45730</v>
      </c>
      <c r="B229" s="36" t="s">
        <v>531</v>
      </c>
      <c r="C229" s="16" t="s">
        <v>756</v>
      </c>
      <c r="D229" s="16" t="s">
        <v>645</v>
      </c>
      <c r="E229" s="16" t="s">
        <v>745</v>
      </c>
      <c r="F229" s="16" t="s">
        <v>48</v>
      </c>
      <c r="G229" s="16" t="s">
        <v>48</v>
      </c>
      <c r="H229" s="16" t="s">
        <v>48</v>
      </c>
      <c r="I229" s="16" t="s">
        <v>48</v>
      </c>
      <c r="J229" s="16" t="s">
        <v>48</v>
      </c>
      <c r="K229" s="16" t="s">
        <v>48</v>
      </c>
      <c r="L229" s="16" t="s">
        <v>48</v>
      </c>
      <c r="M229" s="16" t="s">
        <v>48</v>
      </c>
      <c r="N229" s="16">
        <v>27</v>
      </c>
      <c r="O229" s="16" t="s">
        <v>789</v>
      </c>
      <c r="P229" s="16" t="s">
        <v>761</v>
      </c>
      <c r="Q229" s="32" t="s">
        <v>702</v>
      </c>
    </row>
    <row r="230" spans="1:17">
      <c r="A230" s="35">
        <v>45730</v>
      </c>
      <c r="B230" s="36" t="s">
        <v>531</v>
      </c>
      <c r="C230" s="16" t="s">
        <v>756</v>
      </c>
      <c r="D230" s="16" t="s">
        <v>645</v>
      </c>
      <c r="E230" s="16" t="s">
        <v>762</v>
      </c>
      <c r="F230" s="16" t="s">
        <v>48</v>
      </c>
      <c r="G230" s="16" t="s">
        <v>48</v>
      </c>
      <c r="H230" s="16" t="s">
        <v>48</v>
      </c>
      <c r="I230" s="16" t="s">
        <v>48</v>
      </c>
      <c r="J230" s="16" t="s">
        <v>48</v>
      </c>
      <c r="K230" s="16" t="s">
        <v>48</v>
      </c>
      <c r="L230" s="16" t="s">
        <v>48</v>
      </c>
      <c r="M230" s="16" t="s">
        <v>48</v>
      </c>
      <c r="N230" s="16">
        <v>27</v>
      </c>
      <c r="O230" s="16" t="s">
        <v>789</v>
      </c>
      <c r="P230" s="16" t="s">
        <v>761</v>
      </c>
      <c r="Q230" s="32" t="s">
        <v>702</v>
      </c>
    </row>
    <row r="231" spans="1:17">
      <c r="A231" s="35">
        <v>45730</v>
      </c>
      <c r="B231" s="36" t="s">
        <v>531</v>
      </c>
      <c r="C231" s="16" t="s">
        <v>756</v>
      </c>
      <c r="D231" s="16" t="s">
        <v>645</v>
      </c>
      <c r="E231" s="16" t="s">
        <v>763</v>
      </c>
      <c r="F231" s="16" t="s">
        <v>48</v>
      </c>
      <c r="G231" s="16" t="s">
        <v>48</v>
      </c>
      <c r="H231" s="16" t="s">
        <v>48</v>
      </c>
      <c r="I231" s="16" t="s">
        <v>48</v>
      </c>
      <c r="J231" s="16" t="s">
        <v>48</v>
      </c>
      <c r="K231" s="16" t="s">
        <v>48</v>
      </c>
      <c r="L231" s="16" t="s">
        <v>48</v>
      </c>
      <c r="M231" s="16" t="s">
        <v>48</v>
      </c>
      <c r="N231" s="16">
        <v>27</v>
      </c>
      <c r="O231" s="16" t="s">
        <v>789</v>
      </c>
      <c r="P231" s="16" t="s">
        <v>761</v>
      </c>
      <c r="Q231" s="32" t="s">
        <v>702</v>
      </c>
    </row>
    <row r="232" spans="1:17">
      <c r="A232" s="35">
        <v>45730</v>
      </c>
      <c r="B232" s="36" t="s">
        <v>531</v>
      </c>
      <c r="C232" s="16" t="s">
        <v>756</v>
      </c>
      <c r="D232" s="16" t="s">
        <v>645</v>
      </c>
      <c r="E232" s="16" t="s">
        <v>763</v>
      </c>
      <c r="F232" s="16" t="s">
        <v>48</v>
      </c>
      <c r="G232" s="16" t="s">
        <v>48</v>
      </c>
      <c r="H232" s="16" t="s">
        <v>48</v>
      </c>
      <c r="I232" s="16" t="s">
        <v>48</v>
      </c>
      <c r="J232" s="16" t="s">
        <v>48</v>
      </c>
      <c r="K232" s="16" t="s">
        <v>48</v>
      </c>
      <c r="L232" s="16" t="s">
        <v>48</v>
      </c>
      <c r="M232" s="16" t="s">
        <v>48</v>
      </c>
      <c r="N232" s="16">
        <v>27</v>
      </c>
      <c r="O232" s="16" t="s">
        <v>789</v>
      </c>
      <c r="P232" s="16" t="s">
        <v>761</v>
      </c>
      <c r="Q232" s="32" t="s">
        <v>702</v>
      </c>
    </row>
    <row r="233" spans="1:17">
      <c r="A233" s="35">
        <v>45730</v>
      </c>
      <c r="B233" s="36" t="s">
        <v>531</v>
      </c>
      <c r="C233" s="16" t="s">
        <v>756</v>
      </c>
      <c r="D233" s="16" t="s">
        <v>645</v>
      </c>
      <c r="E233" s="16" t="s">
        <v>764</v>
      </c>
      <c r="F233" s="16" t="s">
        <v>48</v>
      </c>
      <c r="G233" s="16" t="s">
        <v>48</v>
      </c>
      <c r="H233" s="16" t="s">
        <v>48</v>
      </c>
      <c r="I233" s="16" t="s">
        <v>48</v>
      </c>
      <c r="J233" s="16" t="s">
        <v>48</v>
      </c>
      <c r="K233" s="16" t="s">
        <v>48</v>
      </c>
      <c r="L233" s="16" t="s">
        <v>48</v>
      </c>
      <c r="M233" s="16" t="s">
        <v>48</v>
      </c>
      <c r="N233" s="16">
        <v>54</v>
      </c>
      <c r="O233" s="16" t="s">
        <v>789</v>
      </c>
      <c r="P233" s="16" t="s">
        <v>761</v>
      </c>
      <c r="Q233" s="32" t="s">
        <v>702</v>
      </c>
    </row>
    <row r="234" spans="1:17">
      <c r="A234" s="35">
        <v>45730</v>
      </c>
      <c r="B234" s="36" t="s">
        <v>531</v>
      </c>
      <c r="C234" s="16" t="s">
        <v>756</v>
      </c>
      <c r="D234" s="16" t="s">
        <v>645</v>
      </c>
      <c r="E234" s="16" t="s">
        <v>765</v>
      </c>
      <c r="F234" s="16" t="s">
        <v>48</v>
      </c>
      <c r="G234" s="16" t="s">
        <v>48</v>
      </c>
      <c r="H234" s="16" t="s">
        <v>48</v>
      </c>
      <c r="I234" s="16" t="s">
        <v>48</v>
      </c>
      <c r="J234" s="16" t="s">
        <v>48</v>
      </c>
      <c r="K234" s="16" t="s">
        <v>48</v>
      </c>
      <c r="L234" s="16" t="s">
        <v>48</v>
      </c>
      <c r="M234" s="16" t="s">
        <v>48</v>
      </c>
      <c r="N234" s="16">
        <v>54</v>
      </c>
      <c r="O234" s="16" t="s">
        <v>789</v>
      </c>
      <c r="P234" s="16" t="s">
        <v>761</v>
      </c>
      <c r="Q234" s="32" t="s">
        <v>702</v>
      </c>
    </row>
    <row r="235" spans="1:17">
      <c r="A235" s="35">
        <v>45730</v>
      </c>
      <c r="B235" s="36" t="s">
        <v>531</v>
      </c>
      <c r="C235" s="16" t="s">
        <v>756</v>
      </c>
      <c r="D235" s="16" t="s">
        <v>766</v>
      </c>
      <c r="E235" s="16" t="s">
        <v>767</v>
      </c>
      <c r="F235" s="16" t="s">
        <v>48</v>
      </c>
      <c r="G235" s="16" t="s">
        <v>48</v>
      </c>
      <c r="H235" s="16" t="s">
        <v>48</v>
      </c>
      <c r="I235" s="16" t="s">
        <v>48</v>
      </c>
      <c r="J235" s="16" t="s">
        <v>48</v>
      </c>
      <c r="K235" s="16" t="s">
        <v>48</v>
      </c>
      <c r="L235" s="16" t="s">
        <v>48</v>
      </c>
      <c r="M235" s="16" t="s">
        <v>48</v>
      </c>
      <c r="N235" s="16">
        <v>27</v>
      </c>
      <c r="O235" s="16" t="s">
        <v>789</v>
      </c>
      <c r="P235" s="16" t="s">
        <v>761</v>
      </c>
      <c r="Q235" s="32" t="s">
        <v>702</v>
      </c>
    </row>
    <row r="236" spans="1:17">
      <c r="A236" s="35">
        <v>45730</v>
      </c>
      <c r="B236" s="36" t="s">
        <v>531</v>
      </c>
      <c r="C236" s="16" t="s">
        <v>756</v>
      </c>
      <c r="D236" s="16" t="s">
        <v>766</v>
      </c>
      <c r="E236" s="16" t="s">
        <v>569</v>
      </c>
      <c r="F236" s="16" t="s">
        <v>48</v>
      </c>
      <c r="G236" s="16" t="s">
        <v>48</v>
      </c>
      <c r="H236" s="16" t="s">
        <v>48</v>
      </c>
      <c r="I236" s="16" t="s">
        <v>48</v>
      </c>
      <c r="J236" s="16" t="s">
        <v>48</v>
      </c>
      <c r="K236" s="16" t="s">
        <v>48</v>
      </c>
      <c r="L236" s="16" t="s">
        <v>48</v>
      </c>
      <c r="M236" s="16" t="s">
        <v>48</v>
      </c>
      <c r="N236" s="16">
        <v>27</v>
      </c>
      <c r="O236" s="16" t="s">
        <v>789</v>
      </c>
      <c r="P236" s="16" t="s">
        <v>761</v>
      </c>
      <c r="Q236" s="32" t="s">
        <v>702</v>
      </c>
    </row>
    <row r="237" spans="1:17">
      <c r="A237" s="35">
        <v>45730</v>
      </c>
      <c r="B237" s="36" t="s">
        <v>531</v>
      </c>
      <c r="C237" s="16" t="s">
        <v>756</v>
      </c>
      <c r="D237" s="16" t="s">
        <v>766</v>
      </c>
      <c r="E237" s="16" t="s">
        <v>768</v>
      </c>
      <c r="F237" s="16" t="s">
        <v>48</v>
      </c>
      <c r="G237" s="16" t="s">
        <v>48</v>
      </c>
      <c r="H237" s="16" t="s">
        <v>48</v>
      </c>
      <c r="I237" s="16" t="s">
        <v>48</v>
      </c>
      <c r="J237" s="16" t="s">
        <v>48</v>
      </c>
      <c r="K237" s="16" t="s">
        <v>48</v>
      </c>
      <c r="L237" s="16" t="s">
        <v>48</v>
      </c>
      <c r="M237" s="16" t="s">
        <v>48</v>
      </c>
      <c r="N237" s="16">
        <v>18</v>
      </c>
      <c r="O237" s="16" t="s">
        <v>789</v>
      </c>
      <c r="P237" s="16" t="s">
        <v>761</v>
      </c>
      <c r="Q237" s="32" t="s">
        <v>702</v>
      </c>
    </row>
    <row r="238" spans="1:17">
      <c r="A238" s="35">
        <v>45730</v>
      </c>
      <c r="B238" s="36" t="s">
        <v>531</v>
      </c>
      <c r="C238" s="16" t="s">
        <v>756</v>
      </c>
      <c r="D238" s="16" t="s">
        <v>760</v>
      </c>
      <c r="E238" s="16" t="s">
        <v>769</v>
      </c>
      <c r="F238" s="16" t="s">
        <v>48</v>
      </c>
      <c r="G238" s="16" t="s">
        <v>48</v>
      </c>
      <c r="H238" s="16" t="s">
        <v>48</v>
      </c>
      <c r="I238" s="16" t="s">
        <v>48</v>
      </c>
      <c r="J238" s="16" t="s">
        <v>48</v>
      </c>
      <c r="K238" s="16" t="s">
        <v>48</v>
      </c>
      <c r="L238" s="16" t="s">
        <v>48</v>
      </c>
      <c r="M238" s="16" t="s">
        <v>48</v>
      </c>
      <c r="N238" s="16">
        <v>27</v>
      </c>
      <c r="O238" s="16" t="s">
        <v>789</v>
      </c>
      <c r="P238" s="16" t="s">
        <v>761</v>
      </c>
      <c r="Q238" s="32" t="s">
        <v>702</v>
      </c>
    </row>
    <row r="239" spans="1:17">
      <c r="A239" s="35">
        <v>45730</v>
      </c>
      <c r="B239" s="36" t="s">
        <v>531</v>
      </c>
      <c r="C239" s="16" t="s">
        <v>756</v>
      </c>
      <c r="D239" s="16" t="s">
        <v>760</v>
      </c>
      <c r="E239" s="16" t="s">
        <v>770</v>
      </c>
      <c r="F239" s="16" t="s">
        <v>48</v>
      </c>
      <c r="G239" s="16" t="s">
        <v>48</v>
      </c>
      <c r="H239" s="16" t="s">
        <v>48</v>
      </c>
      <c r="I239" s="16" t="s">
        <v>48</v>
      </c>
      <c r="J239" s="16" t="s">
        <v>48</v>
      </c>
      <c r="K239" s="16" t="s">
        <v>48</v>
      </c>
      <c r="L239" s="16" t="s">
        <v>48</v>
      </c>
      <c r="M239" s="16" t="s">
        <v>48</v>
      </c>
      <c r="N239" s="16">
        <v>54</v>
      </c>
      <c r="O239" s="16" t="s">
        <v>789</v>
      </c>
      <c r="P239" s="16" t="s">
        <v>761</v>
      </c>
      <c r="Q239" s="32" t="s">
        <v>702</v>
      </c>
    </row>
    <row r="240" spans="1:17">
      <c r="A240" s="35">
        <v>45730</v>
      </c>
      <c r="B240" s="36" t="s">
        <v>531</v>
      </c>
      <c r="C240" s="16" t="s">
        <v>756</v>
      </c>
      <c r="D240" s="16" t="s">
        <v>760</v>
      </c>
      <c r="E240" s="16" t="s">
        <v>771</v>
      </c>
      <c r="F240" s="16" t="s">
        <v>48</v>
      </c>
      <c r="G240" s="16" t="s">
        <v>48</v>
      </c>
      <c r="H240" s="16" t="s">
        <v>48</v>
      </c>
      <c r="I240" s="16" t="s">
        <v>48</v>
      </c>
      <c r="J240" s="16" t="s">
        <v>48</v>
      </c>
      <c r="K240" s="16" t="s">
        <v>48</v>
      </c>
      <c r="L240" s="16" t="s">
        <v>48</v>
      </c>
      <c r="M240" s="16" t="s">
        <v>48</v>
      </c>
      <c r="N240" s="16">
        <v>27</v>
      </c>
      <c r="O240" s="16" t="s">
        <v>789</v>
      </c>
      <c r="P240" s="16" t="s">
        <v>761</v>
      </c>
      <c r="Q240" s="32" t="s">
        <v>702</v>
      </c>
    </row>
    <row r="241" spans="1:17">
      <c r="A241" s="35">
        <v>45730</v>
      </c>
      <c r="B241" s="36" t="s">
        <v>531</v>
      </c>
      <c r="C241" s="16" t="s">
        <v>756</v>
      </c>
      <c r="D241" s="16" t="s">
        <v>760</v>
      </c>
      <c r="E241" s="16" t="s">
        <v>772</v>
      </c>
      <c r="F241" s="16" t="s">
        <v>48</v>
      </c>
      <c r="G241" s="16" t="s">
        <v>48</v>
      </c>
      <c r="H241" s="16" t="s">
        <v>48</v>
      </c>
      <c r="I241" s="16" t="s">
        <v>48</v>
      </c>
      <c r="J241" s="16" t="s">
        <v>48</v>
      </c>
      <c r="K241" s="16" t="s">
        <v>48</v>
      </c>
      <c r="L241" s="16" t="s">
        <v>48</v>
      </c>
      <c r="M241" s="16" t="s">
        <v>48</v>
      </c>
      <c r="N241" s="16">
        <v>57</v>
      </c>
      <c r="O241" s="16" t="s">
        <v>789</v>
      </c>
      <c r="P241" s="16" t="s">
        <v>761</v>
      </c>
      <c r="Q241" s="32" t="s">
        <v>702</v>
      </c>
    </row>
    <row r="242" spans="1:17">
      <c r="A242" s="35">
        <v>45730</v>
      </c>
      <c r="B242" s="36" t="s">
        <v>531</v>
      </c>
      <c r="C242" s="16" t="s">
        <v>756</v>
      </c>
      <c r="D242" s="16" t="s">
        <v>760</v>
      </c>
      <c r="E242" s="16" t="s">
        <v>773</v>
      </c>
      <c r="F242" s="16" t="s">
        <v>48</v>
      </c>
      <c r="G242" s="16" t="s">
        <v>48</v>
      </c>
      <c r="H242" s="16" t="s">
        <v>48</v>
      </c>
      <c r="I242" s="16" t="s">
        <v>48</v>
      </c>
      <c r="J242" s="16" t="s">
        <v>48</v>
      </c>
      <c r="K242" s="16" t="s">
        <v>48</v>
      </c>
      <c r="L242" s="16" t="s">
        <v>48</v>
      </c>
      <c r="M242" s="16" t="s">
        <v>48</v>
      </c>
      <c r="N242" s="16">
        <v>16</v>
      </c>
      <c r="O242" s="16" t="s">
        <v>789</v>
      </c>
      <c r="P242" s="16" t="s">
        <v>761</v>
      </c>
      <c r="Q242" s="32" t="s">
        <v>702</v>
      </c>
    </row>
    <row r="243" spans="1:17">
      <c r="A243" s="35">
        <v>45730</v>
      </c>
      <c r="B243" s="36" t="s">
        <v>531</v>
      </c>
      <c r="C243" s="16" t="s">
        <v>776</v>
      </c>
      <c r="D243" s="16" t="s">
        <v>659</v>
      </c>
      <c r="E243" s="16" t="s">
        <v>773</v>
      </c>
      <c r="F243" s="16" t="s">
        <v>48</v>
      </c>
      <c r="G243" s="16" t="s">
        <v>48</v>
      </c>
      <c r="H243" s="16" t="s">
        <v>48</v>
      </c>
      <c r="I243" s="16" t="s">
        <v>48</v>
      </c>
      <c r="J243" s="16" t="s">
        <v>48</v>
      </c>
      <c r="K243" s="16" t="s">
        <v>48</v>
      </c>
      <c r="L243" s="16" t="s">
        <v>48</v>
      </c>
      <c r="M243" s="16" t="s">
        <v>48</v>
      </c>
      <c r="N243" s="16">
        <v>38</v>
      </c>
      <c r="O243" s="16" t="s">
        <v>789</v>
      </c>
      <c r="P243" s="16" t="s">
        <v>777</v>
      </c>
      <c r="Q243" s="32" t="s">
        <v>797</v>
      </c>
    </row>
    <row r="244" spans="1:17">
      <c r="A244" s="35">
        <v>45730</v>
      </c>
      <c r="B244" s="36" t="s">
        <v>531</v>
      </c>
      <c r="C244" s="16" t="s">
        <v>776</v>
      </c>
      <c r="D244" s="16" t="s">
        <v>659</v>
      </c>
      <c r="E244" s="16" t="s">
        <v>774</v>
      </c>
      <c r="F244" s="16" t="s">
        <v>48</v>
      </c>
      <c r="G244" s="16" t="s">
        <v>48</v>
      </c>
      <c r="H244" s="16" t="s">
        <v>48</v>
      </c>
      <c r="I244" s="16" t="s">
        <v>48</v>
      </c>
      <c r="J244" s="16" t="s">
        <v>48</v>
      </c>
      <c r="K244" s="16" t="s">
        <v>48</v>
      </c>
      <c r="L244" s="16" t="s">
        <v>48</v>
      </c>
      <c r="M244" s="16" t="s">
        <v>48</v>
      </c>
      <c r="N244" s="16">
        <v>12</v>
      </c>
      <c r="O244" s="16" t="s">
        <v>789</v>
      </c>
      <c r="P244" s="16" t="s">
        <v>777</v>
      </c>
      <c r="Q244" s="32" t="s">
        <v>797</v>
      </c>
    </row>
    <row r="245" spans="1:17">
      <c r="A245" s="35">
        <v>45733</v>
      </c>
      <c r="B245" s="36" t="s">
        <v>531</v>
      </c>
      <c r="C245" s="16" t="s">
        <v>776</v>
      </c>
      <c r="D245" s="16" t="s">
        <v>659</v>
      </c>
      <c r="E245" s="16" t="s">
        <v>774</v>
      </c>
      <c r="F245" s="16" t="s">
        <v>48</v>
      </c>
      <c r="G245" s="16" t="s">
        <v>48</v>
      </c>
      <c r="H245" s="16" t="s">
        <v>48</v>
      </c>
      <c r="I245" s="16" t="s">
        <v>48</v>
      </c>
      <c r="J245" s="16" t="s">
        <v>48</v>
      </c>
      <c r="K245" s="16" t="s">
        <v>48</v>
      </c>
      <c r="L245" s="16" t="s">
        <v>48</v>
      </c>
      <c r="M245" s="16" t="s">
        <v>48</v>
      </c>
      <c r="N245" s="16">
        <v>12</v>
      </c>
      <c r="O245" s="16" t="s">
        <v>789</v>
      </c>
      <c r="P245" s="16" t="s">
        <v>777</v>
      </c>
      <c r="Q245" s="32" t="s">
        <v>797</v>
      </c>
    </row>
    <row r="246" spans="1:17">
      <c r="A246" s="35">
        <v>45733</v>
      </c>
      <c r="B246" s="36" t="s">
        <v>531</v>
      </c>
      <c r="C246" s="16" t="s">
        <v>776</v>
      </c>
      <c r="D246" s="16" t="s">
        <v>659</v>
      </c>
      <c r="E246" s="16" t="s">
        <v>775</v>
      </c>
      <c r="F246" s="16" t="s">
        <v>48</v>
      </c>
      <c r="G246" s="16" t="s">
        <v>48</v>
      </c>
      <c r="H246" s="16" t="s">
        <v>48</v>
      </c>
      <c r="I246" s="16" t="s">
        <v>48</v>
      </c>
      <c r="J246" s="16" t="s">
        <v>48</v>
      </c>
      <c r="K246" s="16" t="s">
        <v>48</v>
      </c>
      <c r="L246" s="16" t="s">
        <v>48</v>
      </c>
      <c r="M246" s="16" t="s">
        <v>48</v>
      </c>
      <c r="N246" s="16">
        <v>27</v>
      </c>
      <c r="O246" s="16" t="s">
        <v>789</v>
      </c>
      <c r="P246" s="16" t="s">
        <v>777</v>
      </c>
      <c r="Q246" s="32" t="s">
        <v>797</v>
      </c>
    </row>
    <row r="247" spans="1:17">
      <c r="A247" s="35">
        <v>45733</v>
      </c>
      <c r="B247" s="36" t="s">
        <v>531</v>
      </c>
      <c r="C247" s="16" t="s">
        <v>776</v>
      </c>
      <c r="D247" s="16" t="s">
        <v>659</v>
      </c>
      <c r="E247" s="16" t="s">
        <v>773</v>
      </c>
      <c r="F247" s="16" t="s">
        <v>48</v>
      </c>
      <c r="G247" s="16" t="s">
        <v>48</v>
      </c>
      <c r="H247" s="16" t="s">
        <v>48</v>
      </c>
      <c r="I247" s="16" t="s">
        <v>48</v>
      </c>
      <c r="J247" s="16" t="s">
        <v>48</v>
      </c>
      <c r="K247" s="16" t="s">
        <v>48</v>
      </c>
      <c r="L247" s="16" t="s">
        <v>48</v>
      </c>
      <c r="M247" s="16" t="s">
        <v>48</v>
      </c>
      <c r="N247" s="16">
        <v>27</v>
      </c>
      <c r="O247" s="16" t="s">
        <v>789</v>
      </c>
      <c r="P247" s="16" t="s">
        <v>777</v>
      </c>
      <c r="Q247" s="32" t="s">
        <v>797</v>
      </c>
    </row>
    <row r="248" spans="1:17">
      <c r="A248" s="35">
        <v>45733</v>
      </c>
      <c r="B248" s="36" t="s">
        <v>531</v>
      </c>
      <c r="C248" s="16" t="s">
        <v>776</v>
      </c>
      <c r="D248" s="16" t="s">
        <v>585</v>
      </c>
      <c r="E248" s="16" t="s">
        <v>762</v>
      </c>
      <c r="F248" s="16" t="s">
        <v>48</v>
      </c>
      <c r="G248" s="16" t="s">
        <v>48</v>
      </c>
      <c r="H248" s="16" t="s">
        <v>48</v>
      </c>
      <c r="I248" s="16" t="s">
        <v>48</v>
      </c>
      <c r="J248" s="16" t="s">
        <v>48</v>
      </c>
      <c r="K248" s="16" t="s">
        <v>48</v>
      </c>
      <c r="L248" s="16" t="s">
        <v>48</v>
      </c>
      <c r="M248" s="16" t="s">
        <v>48</v>
      </c>
      <c r="N248" s="16">
        <v>27</v>
      </c>
      <c r="O248" s="16" t="s">
        <v>789</v>
      </c>
      <c r="P248" s="16" t="s">
        <v>777</v>
      </c>
      <c r="Q248" s="32" t="s">
        <v>797</v>
      </c>
    </row>
    <row r="249" spans="1:17">
      <c r="A249" s="35">
        <v>45733</v>
      </c>
      <c r="B249" s="36" t="s">
        <v>531</v>
      </c>
      <c r="C249" s="16" t="s">
        <v>776</v>
      </c>
      <c r="D249" s="16" t="s">
        <v>585</v>
      </c>
      <c r="E249" s="16" t="s">
        <v>778</v>
      </c>
      <c r="F249" s="16" t="s">
        <v>48</v>
      </c>
      <c r="G249" s="16" t="s">
        <v>48</v>
      </c>
      <c r="H249" s="16" t="s">
        <v>48</v>
      </c>
      <c r="I249" s="16" t="s">
        <v>48</v>
      </c>
      <c r="J249" s="16" t="s">
        <v>48</v>
      </c>
      <c r="K249" s="16" t="s">
        <v>48</v>
      </c>
      <c r="L249" s="16" t="s">
        <v>48</v>
      </c>
      <c r="M249" s="16" t="s">
        <v>48</v>
      </c>
      <c r="N249" s="16">
        <v>18</v>
      </c>
      <c r="O249" s="16" t="s">
        <v>789</v>
      </c>
      <c r="P249" s="16" t="s">
        <v>777</v>
      </c>
      <c r="Q249" s="32" t="s">
        <v>797</v>
      </c>
    </row>
    <row r="250" spans="1:17">
      <c r="A250" s="35">
        <v>45733</v>
      </c>
      <c r="B250" s="36" t="s">
        <v>531</v>
      </c>
      <c r="C250" s="16" t="s">
        <v>776</v>
      </c>
      <c r="D250" s="16" t="s">
        <v>585</v>
      </c>
      <c r="E250" s="16" t="s">
        <v>779</v>
      </c>
      <c r="F250" s="16" t="s">
        <v>48</v>
      </c>
      <c r="G250" s="16" t="s">
        <v>48</v>
      </c>
      <c r="H250" s="16" t="s">
        <v>48</v>
      </c>
      <c r="I250" s="16" t="s">
        <v>48</v>
      </c>
      <c r="J250" s="16" t="s">
        <v>48</v>
      </c>
      <c r="K250" s="16" t="s">
        <v>48</v>
      </c>
      <c r="L250" s="16" t="s">
        <v>48</v>
      </c>
      <c r="M250" s="16" t="s">
        <v>48</v>
      </c>
      <c r="N250" s="16">
        <v>27</v>
      </c>
      <c r="O250" s="16" t="s">
        <v>789</v>
      </c>
      <c r="P250" s="16" t="s">
        <v>777</v>
      </c>
      <c r="Q250" s="32" t="s">
        <v>797</v>
      </c>
    </row>
    <row r="251" spans="1:17">
      <c r="A251" s="35">
        <v>45733</v>
      </c>
      <c r="B251" s="36" t="s">
        <v>531</v>
      </c>
      <c r="C251" s="16" t="s">
        <v>776</v>
      </c>
      <c r="D251" s="16" t="s">
        <v>585</v>
      </c>
      <c r="E251" s="16" t="s">
        <v>780</v>
      </c>
      <c r="F251" s="16" t="s">
        <v>48</v>
      </c>
      <c r="G251" s="16" t="s">
        <v>48</v>
      </c>
      <c r="H251" s="16" t="s">
        <v>48</v>
      </c>
      <c r="I251" s="16" t="s">
        <v>48</v>
      </c>
      <c r="J251" s="16" t="s">
        <v>48</v>
      </c>
      <c r="K251" s="16" t="s">
        <v>48</v>
      </c>
      <c r="L251" s="16" t="s">
        <v>48</v>
      </c>
      <c r="M251" s="16" t="s">
        <v>48</v>
      </c>
      <c r="N251" s="16">
        <v>27</v>
      </c>
      <c r="O251" s="16" t="s">
        <v>789</v>
      </c>
      <c r="P251" s="16" t="s">
        <v>777</v>
      </c>
      <c r="Q251" s="32" t="s">
        <v>797</v>
      </c>
    </row>
    <row r="252" spans="1:17">
      <c r="A252" s="35">
        <v>45733</v>
      </c>
      <c r="B252" s="36" t="s">
        <v>531</v>
      </c>
      <c r="C252" s="16" t="s">
        <v>776</v>
      </c>
      <c r="D252" s="16" t="s">
        <v>262</v>
      </c>
      <c r="E252" s="16" t="s">
        <v>781</v>
      </c>
      <c r="F252" s="16" t="s">
        <v>48</v>
      </c>
      <c r="G252" s="16" t="s">
        <v>48</v>
      </c>
      <c r="H252" s="16" t="s">
        <v>48</v>
      </c>
      <c r="I252" s="16" t="s">
        <v>48</v>
      </c>
      <c r="J252" s="16" t="s">
        <v>48</v>
      </c>
      <c r="K252" s="16" t="s">
        <v>48</v>
      </c>
      <c r="L252" s="16" t="s">
        <v>48</v>
      </c>
      <c r="M252" s="16" t="s">
        <v>48</v>
      </c>
      <c r="N252" s="16">
        <v>27</v>
      </c>
      <c r="O252" s="16" t="s">
        <v>789</v>
      </c>
      <c r="P252" s="16" t="s">
        <v>777</v>
      </c>
      <c r="Q252" s="32" t="s">
        <v>797</v>
      </c>
    </row>
    <row r="253" spans="1:17">
      <c r="A253" s="35">
        <v>45733</v>
      </c>
      <c r="B253" s="36" t="s">
        <v>531</v>
      </c>
      <c r="C253" s="16" t="s">
        <v>776</v>
      </c>
      <c r="D253" s="16" t="s">
        <v>633</v>
      </c>
      <c r="E253" s="16" t="s">
        <v>782</v>
      </c>
      <c r="F253" s="16" t="s">
        <v>48</v>
      </c>
      <c r="G253" s="16" t="s">
        <v>48</v>
      </c>
      <c r="H253" s="16" t="s">
        <v>48</v>
      </c>
      <c r="I253" s="16" t="s">
        <v>48</v>
      </c>
      <c r="J253" s="16" t="s">
        <v>48</v>
      </c>
      <c r="K253" s="16" t="s">
        <v>48</v>
      </c>
      <c r="L253" s="16" t="s">
        <v>48</v>
      </c>
      <c r="M253" s="16" t="s">
        <v>48</v>
      </c>
      <c r="N253" s="16">
        <v>54</v>
      </c>
      <c r="O253" s="16" t="s">
        <v>790</v>
      </c>
      <c r="P253" s="16" t="s">
        <v>777</v>
      </c>
      <c r="Q253" s="32" t="s">
        <v>797</v>
      </c>
    </row>
    <row r="254" spans="1:17">
      <c r="A254" s="35">
        <v>45733</v>
      </c>
      <c r="B254" s="36" t="s">
        <v>531</v>
      </c>
      <c r="C254" s="16" t="s">
        <v>776</v>
      </c>
      <c r="D254" s="16" t="s">
        <v>633</v>
      </c>
      <c r="E254" s="16" t="s">
        <v>783</v>
      </c>
      <c r="F254" s="16" t="s">
        <v>48</v>
      </c>
      <c r="G254" s="16" t="s">
        <v>48</v>
      </c>
      <c r="H254" s="16" t="s">
        <v>48</v>
      </c>
      <c r="I254" s="16" t="s">
        <v>48</v>
      </c>
      <c r="J254" s="16" t="s">
        <v>48</v>
      </c>
      <c r="K254" s="16" t="s">
        <v>48</v>
      </c>
      <c r="L254" s="16" t="s">
        <v>48</v>
      </c>
      <c r="M254" s="16" t="s">
        <v>48</v>
      </c>
      <c r="N254" s="16">
        <v>38</v>
      </c>
      <c r="O254" s="16" t="s">
        <v>790</v>
      </c>
      <c r="P254" s="16" t="s">
        <v>777</v>
      </c>
      <c r="Q254" s="32" t="s">
        <v>797</v>
      </c>
    </row>
    <row r="255" spans="1:17">
      <c r="A255" s="35">
        <v>45733</v>
      </c>
      <c r="B255" s="36" t="s">
        <v>531</v>
      </c>
      <c r="C255" s="16" t="s">
        <v>776</v>
      </c>
      <c r="D255" s="16" t="s">
        <v>784</v>
      </c>
      <c r="E255" s="16" t="s">
        <v>785</v>
      </c>
      <c r="F255" s="16" t="s">
        <v>48</v>
      </c>
      <c r="G255" s="16" t="s">
        <v>48</v>
      </c>
      <c r="H255" s="16" t="s">
        <v>48</v>
      </c>
      <c r="I255" s="16" t="s">
        <v>48</v>
      </c>
      <c r="J255" s="16" t="s">
        <v>48</v>
      </c>
      <c r="K255" s="16" t="s">
        <v>48</v>
      </c>
      <c r="L255" s="16" t="s">
        <v>48</v>
      </c>
      <c r="M255" s="16" t="s">
        <v>48</v>
      </c>
      <c r="N255" s="16">
        <v>54</v>
      </c>
      <c r="O255" s="16" t="s">
        <v>790</v>
      </c>
      <c r="P255" s="16" t="s">
        <v>777</v>
      </c>
      <c r="Q255" s="32" t="s">
        <v>797</v>
      </c>
    </row>
    <row r="256" spans="1:17">
      <c r="A256" s="35">
        <v>45733</v>
      </c>
      <c r="B256" s="36" t="s">
        <v>531</v>
      </c>
      <c r="C256" s="16" t="s">
        <v>776</v>
      </c>
      <c r="D256" s="16" t="s">
        <v>784</v>
      </c>
      <c r="E256" s="16" t="s">
        <v>786</v>
      </c>
      <c r="F256" s="16" t="s">
        <v>48</v>
      </c>
      <c r="G256" s="16" t="s">
        <v>48</v>
      </c>
      <c r="H256" s="16" t="s">
        <v>48</v>
      </c>
      <c r="I256" s="16" t="s">
        <v>48</v>
      </c>
      <c r="J256" s="16" t="s">
        <v>48</v>
      </c>
      <c r="K256" s="16" t="s">
        <v>48</v>
      </c>
      <c r="L256" s="16" t="s">
        <v>48</v>
      </c>
      <c r="M256" s="16" t="s">
        <v>48</v>
      </c>
      <c r="N256" s="16">
        <v>27</v>
      </c>
      <c r="O256" s="16" t="s">
        <v>790</v>
      </c>
      <c r="P256" s="16" t="s">
        <v>777</v>
      </c>
      <c r="Q256" s="32" t="s">
        <v>797</v>
      </c>
    </row>
    <row r="257" spans="1:17">
      <c r="A257" s="35">
        <v>45733</v>
      </c>
      <c r="B257" s="36" t="s">
        <v>531</v>
      </c>
      <c r="C257" s="16" t="s">
        <v>776</v>
      </c>
      <c r="D257" s="16" t="s">
        <v>784</v>
      </c>
      <c r="E257" s="16" t="s">
        <v>787</v>
      </c>
      <c r="F257" s="16" t="s">
        <v>48</v>
      </c>
      <c r="G257" s="16" t="s">
        <v>48</v>
      </c>
      <c r="H257" s="16" t="s">
        <v>48</v>
      </c>
      <c r="I257" s="16" t="s">
        <v>48</v>
      </c>
      <c r="J257" s="16" t="s">
        <v>48</v>
      </c>
      <c r="K257" s="16" t="s">
        <v>48</v>
      </c>
      <c r="L257" s="16" t="s">
        <v>48</v>
      </c>
      <c r="M257" s="16" t="s">
        <v>48</v>
      </c>
      <c r="N257" s="16">
        <v>27</v>
      </c>
      <c r="O257" s="16" t="s">
        <v>790</v>
      </c>
      <c r="P257" s="16" t="s">
        <v>777</v>
      </c>
      <c r="Q257" s="32" t="s">
        <v>797</v>
      </c>
    </row>
    <row r="258" spans="1:17">
      <c r="A258" s="35">
        <v>45733</v>
      </c>
      <c r="B258" s="36" t="s">
        <v>531</v>
      </c>
      <c r="C258" s="16" t="s">
        <v>776</v>
      </c>
      <c r="D258" s="16" t="s">
        <v>784</v>
      </c>
      <c r="E258" s="16" t="s">
        <v>788</v>
      </c>
      <c r="F258" s="16" t="s">
        <v>48</v>
      </c>
      <c r="G258" s="16" t="s">
        <v>48</v>
      </c>
      <c r="H258" s="16" t="s">
        <v>48</v>
      </c>
      <c r="I258" s="16" t="s">
        <v>48</v>
      </c>
      <c r="J258" s="16" t="s">
        <v>48</v>
      </c>
      <c r="K258" s="16" t="s">
        <v>48</v>
      </c>
      <c r="L258" s="16" t="s">
        <v>48</v>
      </c>
      <c r="M258" s="16" t="s">
        <v>48</v>
      </c>
      <c r="N258" s="16">
        <v>27</v>
      </c>
      <c r="O258" s="16" t="s">
        <v>790</v>
      </c>
      <c r="P258" s="16" t="s">
        <v>777</v>
      </c>
      <c r="Q258" s="32" t="s">
        <v>797</v>
      </c>
    </row>
    <row r="259" spans="1:17">
      <c r="A259" s="35">
        <v>45733</v>
      </c>
      <c r="B259" s="36" t="s">
        <v>531</v>
      </c>
      <c r="C259" s="16" t="s">
        <v>776</v>
      </c>
      <c r="D259" s="16" t="s">
        <v>784</v>
      </c>
      <c r="E259" s="16" t="s">
        <v>791</v>
      </c>
      <c r="F259" s="16" t="s">
        <v>48</v>
      </c>
      <c r="G259" s="16" t="s">
        <v>48</v>
      </c>
      <c r="H259" s="16" t="s">
        <v>48</v>
      </c>
      <c r="I259" s="16" t="s">
        <v>48</v>
      </c>
      <c r="J259" s="16" t="s">
        <v>48</v>
      </c>
      <c r="K259" s="16" t="s">
        <v>48</v>
      </c>
      <c r="L259" s="16" t="s">
        <v>48</v>
      </c>
      <c r="M259" s="16" t="s">
        <v>48</v>
      </c>
      <c r="N259" s="16">
        <v>17</v>
      </c>
      <c r="O259" s="16" t="s">
        <v>790</v>
      </c>
      <c r="P259" s="16" t="s">
        <v>777</v>
      </c>
      <c r="Q259" s="32" t="s">
        <v>797</v>
      </c>
    </row>
    <row r="260" spans="1:17">
      <c r="A260" s="35">
        <v>45733</v>
      </c>
      <c r="B260" s="36" t="s">
        <v>531</v>
      </c>
      <c r="C260" s="16" t="s">
        <v>776</v>
      </c>
      <c r="D260" s="16" t="s">
        <v>784</v>
      </c>
      <c r="E260" s="16" t="s">
        <v>792</v>
      </c>
      <c r="F260" s="16" t="s">
        <v>48</v>
      </c>
      <c r="G260" s="16" t="s">
        <v>48</v>
      </c>
      <c r="H260" s="16" t="s">
        <v>48</v>
      </c>
      <c r="I260" s="16" t="s">
        <v>48</v>
      </c>
      <c r="J260" s="16" t="s">
        <v>48</v>
      </c>
      <c r="K260" s="16" t="s">
        <v>48</v>
      </c>
      <c r="L260" s="16" t="s">
        <v>48</v>
      </c>
      <c r="M260" s="16" t="s">
        <v>48</v>
      </c>
      <c r="N260" s="16">
        <v>54</v>
      </c>
      <c r="O260" s="16" t="s">
        <v>790</v>
      </c>
      <c r="P260" s="16" t="s">
        <v>777</v>
      </c>
      <c r="Q260" s="32" t="s">
        <v>797</v>
      </c>
    </row>
    <row r="261" spans="1:17">
      <c r="A261" s="35">
        <v>45733</v>
      </c>
      <c r="B261" s="36" t="s">
        <v>531</v>
      </c>
      <c r="C261" s="16" t="s">
        <v>776</v>
      </c>
      <c r="D261" s="16" t="s">
        <v>784</v>
      </c>
      <c r="E261" s="16" t="s">
        <v>772</v>
      </c>
      <c r="F261" s="16" t="s">
        <v>48</v>
      </c>
      <c r="G261" s="16" t="s">
        <v>48</v>
      </c>
      <c r="H261" s="16" t="s">
        <v>48</v>
      </c>
      <c r="I261" s="16" t="s">
        <v>48</v>
      </c>
      <c r="J261" s="16" t="s">
        <v>48</v>
      </c>
      <c r="K261" s="16" t="s">
        <v>48</v>
      </c>
      <c r="L261" s="16" t="s">
        <v>48</v>
      </c>
      <c r="M261" s="16" t="s">
        <v>48</v>
      </c>
      <c r="N261" s="16">
        <v>41</v>
      </c>
      <c r="O261" s="16" t="s">
        <v>790</v>
      </c>
      <c r="P261" s="16" t="s">
        <v>777</v>
      </c>
      <c r="Q261" s="32" t="s">
        <v>797</v>
      </c>
    </row>
    <row r="262" spans="1:17">
      <c r="A262" s="35">
        <v>45733</v>
      </c>
      <c r="B262" s="36" t="s">
        <v>531</v>
      </c>
      <c r="C262" s="16" t="s">
        <v>776</v>
      </c>
      <c r="D262" s="16" t="s">
        <v>784</v>
      </c>
      <c r="E262" s="16" t="s">
        <v>793</v>
      </c>
      <c r="F262" s="16" t="s">
        <v>48</v>
      </c>
      <c r="G262" s="16" t="s">
        <v>48</v>
      </c>
      <c r="H262" s="16" t="s">
        <v>48</v>
      </c>
      <c r="I262" s="16" t="s">
        <v>48</v>
      </c>
      <c r="J262" s="16" t="s">
        <v>48</v>
      </c>
      <c r="K262" s="16" t="s">
        <v>48</v>
      </c>
      <c r="L262" s="16" t="s">
        <v>48</v>
      </c>
      <c r="M262" s="16" t="s">
        <v>48</v>
      </c>
      <c r="N262" s="16">
        <v>54</v>
      </c>
      <c r="O262" s="16" t="s">
        <v>790</v>
      </c>
      <c r="P262" s="16" t="s">
        <v>777</v>
      </c>
      <c r="Q262" s="32" t="s">
        <v>797</v>
      </c>
    </row>
    <row r="263" spans="1:17">
      <c r="A263" s="35">
        <v>45733</v>
      </c>
      <c r="B263" s="36" t="s">
        <v>531</v>
      </c>
      <c r="C263" s="16" t="s">
        <v>776</v>
      </c>
      <c r="D263" s="16" t="s">
        <v>784</v>
      </c>
      <c r="E263" s="16" t="s">
        <v>794</v>
      </c>
      <c r="F263" s="16" t="s">
        <v>48</v>
      </c>
      <c r="G263" s="16" t="s">
        <v>48</v>
      </c>
      <c r="H263" s="16" t="s">
        <v>48</v>
      </c>
      <c r="I263" s="16" t="s">
        <v>48</v>
      </c>
      <c r="J263" s="16" t="s">
        <v>48</v>
      </c>
      <c r="K263" s="16" t="s">
        <v>48</v>
      </c>
      <c r="L263" s="16" t="s">
        <v>48</v>
      </c>
      <c r="M263" s="16" t="s">
        <v>48</v>
      </c>
      <c r="N263" s="16">
        <v>54</v>
      </c>
      <c r="O263" s="16" t="s">
        <v>790</v>
      </c>
      <c r="P263" s="16" t="s">
        <v>777</v>
      </c>
      <c r="Q263" s="32" t="s">
        <v>797</v>
      </c>
    </row>
    <row r="264" spans="1:17">
      <c r="A264" s="35">
        <v>45733</v>
      </c>
      <c r="B264" s="36" t="s">
        <v>531</v>
      </c>
      <c r="C264" s="16" t="s">
        <v>776</v>
      </c>
      <c r="D264" s="16" t="s">
        <v>784</v>
      </c>
      <c r="E264" s="16" t="s">
        <v>795</v>
      </c>
      <c r="F264" s="16" t="s">
        <v>48</v>
      </c>
      <c r="G264" s="16" t="s">
        <v>48</v>
      </c>
      <c r="H264" s="16" t="s">
        <v>48</v>
      </c>
      <c r="I264" s="16" t="s">
        <v>48</v>
      </c>
      <c r="J264" s="16" t="s">
        <v>48</v>
      </c>
      <c r="K264" s="16" t="s">
        <v>48</v>
      </c>
      <c r="L264" s="16" t="s">
        <v>48</v>
      </c>
      <c r="M264" s="16" t="s">
        <v>48</v>
      </c>
      <c r="N264" s="16">
        <v>54</v>
      </c>
      <c r="O264" s="16" t="s">
        <v>790</v>
      </c>
      <c r="P264" s="16" t="s">
        <v>777</v>
      </c>
      <c r="Q264" s="32" t="s">
        <v>797</v>
      </c>
    </row>
    <row r="265" spans="1:17">
      <c r="A265" s="35">
        <v>45733</v>
      </c>
      <c r="B265" s="36" t="s">
        <v>531</v>
      </c>
      <c r="C265" s="16" t="s">
        <v>776</v>
      </c>
      <c r="D265" s="16" t="s">
        <v>784</v>
      </c>
      <c r="E265" s="16" t="s">
        <v>796</v>
      </c>
      <c r="F265" s="16" t="s">
        <v>48</v>
      </c>
      <c r="G265" s="16" t="s">
        <v>48</v>
      </c>
      <c r="H265" s="16" t="s">
        <v>48</v>
      </c>
      <c r="I265" s="16" t="s">
        <v>48</v>
      </c>
      <c r="J265" s="16" t="s">
        <v>48</v>
      </c>
      <c r="K265" s="16" t="s">
        <v>48</v>
      </c>
      <c r="L265" s="16" t="s">
        <v>48</v>
      </c>
      <c r="M265" s="16" t="s">
        <v>48</v>
      </c>
      <c r="N265" s="16">
        <v>27</v>
      </c>
      <c r="O265" s="16" t="s">
        <v>790</v>
      </c>
      <c r="P265" s="16" t="s">
        <v>777</v>
      </c>
      <c r="Q265" s="32" t="s">
        <v>797</v>
      </c>
    </row>
    <row r="266" spans="1:17">
      <c r="A266" s="35">
        <v>45733</v>
      </c>
      <c r="B266" s="36" t="s">
        <v>531</v>
      </c>
      <c r="C266" s="16" t="s">
        <v>776</v>
      </c>
      <c r="D266" s="16" t="s">
        <v>784</v>
      </c>
      <c r="E266" s="41" t="s">
        <v>783</v>
      </c>
      <c r="F266" s="16" t="s">
        <v>48</v>
      </c>
      <c r="G266" s="16" t="s">
        <v>48</v>
      </c>
      <c r="H266" s="16" t="s">
        <v>48</v>
      </c>
      <c r="I266" s="16" t="s">
        <v>48</v>
      </c>
      <c r="J266" s="16" t="s">
        <v>48</v>
      </c>
      <c r="K266" s="16" t="s">
        <v>48</v>
      </c>
      <c r="L266" s="16" t="s">
        <v>48</v>
      </c>
      <c r="M266" s="16" t="s">
        <v>48</v>
      </c>
      <c r="N266" s="16">
        <v>5</v>
      </c>
      <c r="O266" s="16" t="s">
        <v>790</v>
      </c>
      <c r="P266" s="16" t="s">
        <v>777</v>
      </c>
      <c r="Q266" s="32" t="s">
        <v>797</v>
      </c>
    </row>
    <row r="267" spans="1:17">
      <c r="A267" s="35">
        <v>45733</v>
      </c>
      <c r="B267" s="36" t="s">
        <v>531</v>
      </c>
      <c r="C267" s="16" t="s">
        <v>776</v>
      </c>
      <c r="D267" s="16" t="s">
        <v>784</v>
      </c>
      <c r="E267" s="41" t="s">
        <v>783</v>
      </c>
      <c r="F267" s="16" t="s">
        <v>48</v>
      </c>
      <c r="G267" s="16" t="s">
        <v>48</v>
      </c>
      <c r="H267" s="16" t="s">
        <v>48</v>
      </c>
      <c r="I267" s="16" t="s">
        <v>48</v>
      </c>
      <c r="J267" s="16" t="s">
        <v>48</v>
      </c>
      <c r="K267" s="16" t="s">
        <v>48</v>
      </c>
      <c r="L267" s="16" t="s">
        <v>48</v>
      </c>
      <c r="M267" s="16" t="s">
        <v>48</v>
      </c>
      <c r="N267" s="16">
        <v>25</v>
      </c>
      <c r="O267" s="16" t="s">
        <v>790</v>
      </c>
      <c r="P267" s="16" t="s">
        <v>777</v>
      </c>
      <c r="Q267" s="32" t="s">
        <v>797</v>
      </c>
    </row>
    <row r="268" spans="1:17">
      <c r="A268" s="35">
        <v>45733</v>
      </c>
      <c r="B268" s="36" t="s">
        <v>531</v>
      </c>
      <c r="C268" s="16" t="s">
        <v>798</v>
      </c>
      <c r="D268" s="16" t="s">
        <v>784</v>
      </c>
      <c r="E268" s="16" t="s">
        <v>783</v>
      </c>
      <c r="F268" s="16" t="s">
        <v>48</v>
      </c>
      <c r="G268" s="16" t="s">
        <v>48</v>
      </c>
      <c r="H268" s="16" t="s">
        <v>48</v>
      </c>
      <c r="I268" s="16" t="s">
        <v>48</v>
      </c>
      <c r="J268" s="16" t="s">
        <v>48</v>
      </c>
      <c r="K268" s="16" t="s">
        <v>48</v>
      </c>
      <c r="L268" s="16" t="s">
        <v>48</v>
      </c>
      <c r="M268" s="16" t="s">
        <v>48</v>
      </c>
      <c r="N268" s="16">
        <v>22</v>
      </c>
      <c r="O268" s="16" t="s">
        <v>790</v>
      </c>
      <c r="P268" s="16" t="s">
        <v>777</v>
      </c>
      <c r="Q268" s="32" t="s">
        <v>797</v>
      </c>
    </row>
    <row r="269" spans="1:17">
      <c r="A269" s="35">
        <v>45733</v>
      </c>
      <c r="B269" s="36" t="s">
        <v>531</v>
      </c>
      <c r="C269" s="16" t="s">
        <v>798</v>
      </c>
      <c r="D269" s="16" t="s">
        <v>784</v>
      </c>
      <c r="E269" s="16" t="s">
        <v>747</v>
      </c>
      <c r="F269" s="16" t="s">
        <v>48</v>
      </c>
      <c r="G269" s="16" t="s">
        <v>48</v>
      </c>
      <c r="H269" s="16" t="s">
        <v>48</v>
      </c>
      <c r="I269" s="16" t="s">
        <v>48</v>
      </c>
      <c r="J269" s="16" t="s">
        <v>48</v>
      </c>
      <c r="K269" s="16" t="s">
        <v>48</v>
      </c>
      <c r="L269" s="16" t="s">
        <v>48</v>
      </c>
      <c r="M269" s="16" t="s">
        <v>48</v>
      </c>
      <c r="N269" s="16">
        <f>54-26</f>
        <v>28</v>
      </c>
      <c r="O269" s="16" t="s">
        <v>790</v>
      </c>
      <c r="P269" s="16" t="s">
        <v>777</v>
      </c>
      <c r="Q269" s="32" t="s">
        <v>797</v>
      </c>
    </row>
    <row r="270" spans="1:17">
      <c r="A270" s="35">
        <v>45734</v>
      </c>
      <c r="B270" s="36" t="s">
        <v>531</v>
      </c>
      <c r="C270" s="16" t="s">
        <v>798</v>
      </c>
      <c r="D270" s="16" t="s">
        <v>784</v>
      </c>
      <c r="E270" s="16" t="s">
        <v>747</v>
      </c>
      <c r="F270" s="16" t="s">
        <v>48</v>
      </c>
      <c r="G270" s="16" t="s">
        <v>48</v>
      </c>
      <c r="H270" s="16" t="s">
        <v>48</v>
      </c>
      <c r="I270" s="16" t="s">
        <v>48</v>
      </c>
      <c r="J270" s="16" t="s">
        <v>48</v>
      </c>
      <c r="K270" s="16" t="s">
        <v>48</v>
      </c>
      <c r="L270" s="16" t="s">
        <v>48</v>
      </c>
      <c r="M270" s="16" t="s">
        <v>48</v>
      </c>
      <c r="N270" s="16">
        <f>54-28</f>
        <v>26</v>
      </c>
      <c r="O270" s="16" t="s">
        <v>790</v>
      </c>
      <c r="P270" s="16" t="s">
        <v>777</v>
      </c>
      <c r="Q270" s="32" t="s">
        <v>797</v>
      </c>
    </row>
    <row r="271" spans="1:17">
      <c r="A271" s="35">
        <v>45734</v>
      </c>
      <c r="B271" s="36" t="s">
        <v>531</v>
      </c>
      <c r="C271" s="16" t="s">
        <v>798</v>
      </c>
      <c r="D271" s="16" t="s">
        <v>802</v>
      </c>
      <c r="E271" s="16" t="s">
        <v>799</v>
      </c>
      <c r="F271" s="16" t="s">
        <v>48</v>
      </c>
      <c r="G271" s="16" t="s">
        <v>48</v>
      </c>
      <c r="H271" s="16" t="s">
        <v>48</v>
      </c>
      <c r="I271" s="16" t="s">
        <v>48</v>
      </c>
      <c r="J271" s="16" t="s">
        <v>48</v>
      </c>
      <c r="K271" s="16" t="s">
        <v>48</v>
      </c>
      <c r="L271" s="16" t="s">
        <v>48</v>
      </c>
      <c r="M271" s="16" t="s">
        <v>48</v>
      </c>
      <c r="N271" s="16">
        <f>96/2</f>
        <v>48</v>
      </c>
      <c r="O271" s="16" t="s">
        <v>790</v>
      </c>
      <c r="P271" s="16" t="s">
        <v>777</v>
      </c>
      <c r="Q271" s="32" t="s">
        <v>797</v>
      </c>
    </row>
    <row r="272" spans="1:17">
      <c r="A272" s="35">
        <v>45734</v>
      </c>
      <c r="B272" s="36" t="s">
        <v>531</v>
      </c>
      <c r="C272" s="16" t="s">
        <v>798</v>
      </c>
      <c r="D272" s="16" t="s">
        <v>802</v>
      </c>
      <c r="E272" s="16" t="s">
        <v>800</v>
      </c>
      <c r="F272" s="16" t="s">
        <v>48</v>
      </c>
      <c r="G272" s="16" t="s">
        <v>48</v>
      </c>
      <c r="H272" s="16" t="s">
        <v>48</v>
      </c>
      <c r="I272" s="16" t="s">
        <v>48</v>
      </c>
      <c r="J272" s="16" t="s">
        <v>48</v>
      </c>
      <c r="K272" s="16" t="s">
        <v>48</v>
      </c>
      <c r="L272" s="16" t="s">
        <v>48</v>
      </c>
      <c r="M272" s="16" t="s">
        <v>48</v>
      </c>
      <c r="N272" s="16">
        <f>42/2</f>
        <v>21</v>
      </c>
      <c r="O272" s="16" t="s">
        <v>790</v>
      </c>
      <c r="P272" s="16" t="s">
        <v>777</v>
      </c>
      <c r="Q272" s="32" t="s">
        <v>797</v>
      </c>
    </row>
    <row r="273" spans="1:17">
      <c r="A273" s="35">
        <v>45734</v>
      </c>
      <c r="B273" s="36" t="s">
        <v>531</v>
      </c>
      <c r="C273" s="16" t="s">
        <v>798</v>
      </c>
      <c r="D273" s="16" t="s">
        <v>802</v>
      </c>
      <c r="E273" s="16" t="s">
        <v>801</v>
      </c>
      <c r="F273" s="16" t="s">
        <v>48</v>
      </c>
      <c r="G273" s="16" t="s">
        <v>48</v>
      </c>
      <c r="H273" s="16" t="s">
        <v>48</v>
      </c>
      <c r="I273" s="16" t="s">
        <v>48</v>
      </c>
      <c r="J273" s="16" t="s">
        <v>48</v>
      </c>
      <c r="K273" s="16" t="s">
        <v>48</v>
      </c>
      <c r="L273" s="16" t="s">
        <v>48</v>
      </c>
      <c r="M273" s="16" t="s">
        <v>48</v>
      </c>
      <c r="N273" s="16">
        <v>27</v>
      </c>
      <c r="O273" s="16" t="s">
        <v>790</v>
      </c>
      <c r="P273" s="16" t="s">
        <v>777</v>
      </c>
      <c r="Q273" s="32" t="s">
        <v>797</v>
      </c>
    </row>
    <row r="274" spans="1:17">
      <c r="A274" s="35">
        <v>45734</v>
      </c>
      <c r="B274" s="36" t="s">
        <v>531</v>
      </c>
      <c r="C274" s="16" t="s">
        <v>798</v>
      </c>
      <c r="D274" s="16" t="s">
        <v>802</v>
      </c>
      <c r="E274" s="16" t="s">
        <v>800</v>
      </c>
      <c r="F274" s="16" t="s">
        <v>48</v>
      </c>
      <c r="G274" s="16" t="s">
        <v>48</v>
      </c>
      <c r="H274" s="16" t="s">
        <v>48</v>
      </c>
      <c r="I274" s="16" t="s">
        <v>48</v>
      </c>
      <c r="J274" s="16" t="s">
        <v>48</v>
      </c>
      <c r="K274" s="16" t="s">
        <v>48</v>
      </c>
      <c r="L274" s="16" t="s">
        <v>48</v>
      </c>
      <c r="M274" s="16" t="s">
        <v>48</v>
      </c>
      <c r="N274" s="16">
        <v>3</v>
      </c>
      <c r="O274" s="16" t="s">
        <v>790</v>
      </c>
      <c r="P274" s="16" t="s">
        <v>777</v>
      </c>
      <c r="Q274" s="32" t="s">
        <v>797</v>
      </c>
    </row>
    <row r="275" spans="1:17">
      <c r="A275" s="35">
        <v>45734</v>
      </c>
      <c r="B275" s="36" t="s">
        <v>531</v>
      </c>
      <c r="C275" s="16" t="s">
        <v>798</v>
      </c>
      <c r="D275" s="16" t="s">
        <v>802</v>
      </c>
      <c r="E275" s="16" t="s">
        <v>800</v>
      </c>
      <c r="F275" s="16" t="s">
        <v>48</v>
      </c>
      <c r="G275" s="16" t="s">
        <v>48</v>
      </c>
      <c r="H275" s="16" t="s">
        <v>48</v>
      </c>
      <c r="I275" s="16" t="s">
        <v>48</v>
      </c>
      <c r="J275" s="16" t="s">
        <v>48</v>
      </c>
      <c r="K275" s="16" t="s">
        <v>48</v>
      </c>
      <c r="L275" s="16" t="s">
        <v>48</v>
      </c>
      <c r="M275" s="16" t="s">
        <v>48</v>
      </c>
      <c r="N275" s="16">
        <f>21+27</f>
        <v>48</v>
      </c>
      <c r="O275" s="16" t="s">
        <v>790</v>
      </c>
      <c r="P275" s="16" t="s">
        <v>777</v>
      </c>
      <c r="Q275" s="32" t="s">
        <v>797</v>
      </c>
    </row>
    <row r="276" spans="1:17">
      <c r="A276" s="35">
        <v>45734</v>
      </c>
      <c r="B276" s="36" t="s">
        <v>531</v>
      </c>
      <c r="C276" s="16" t="s">
        <v>798</v>
      </c>
      <c r="D276" s="16" t="s">
        <v>802</v>
      </c>
      <c r="E276" s="16" t="s">
        <v>772</v>
      </c>
      <c r="F276" s="16" t="s">
        <v>48</v>
      </c>
      <c r="G276" s="16" t="s">
        <v>48</v>
      </c>
      <c r="H276" s="16" t="s">
        <v>48</v>
      </c>
      <c r="I276" s="16" t="s">
        <v>48</v>
      </c>
      <c r="J276" s="16" t="s">
        <v>48</v>
      </c>
      <c r="K276" s="16" t="s">
        <v>48</v>
      </c>
      <c r="L276" s="16" t="s">
        <v>48</v>
      </c>
      <c r="M276" s="16" t="s">
        <v>48</v>
      </c>
      <c r="N276" s="16">
        <v>27</v>
      </c>
      <c r="O276" s="16" t="s">
        <v>790</v>
      </c>
      <c r="P276" s="16" t="s">
        <v>777</v>
      </c>
      <c r="Q276" s="32" t="s">
        <v>797</v>
      </c>
    </row>
    <row r="277" spans="1:17">
      <c r="A277" s="35">
        <v>45734</v>
      </c>
      <c r="B277" s="36" t="s">
        <v>531</v>
      </c>
      <c r="C277" s="16" t="s">
        <v>798</v>
      </c>
      <c r="D277" s="16" t="s">
        <v>802</v>
      </c>
      <c r="E277" s="16" t="s">
        <v>803</v>
      </c>
      <c r="F277" s="16" t="s">
        <v>48</v>
      </c>
      <c r="G277" s="16" t="s">
        <v>48</v>
      </c>
      <c r="H277" s="16" t="s">
        <v>48</v>
      </c>
      <c r="I277" s="16" t="s">
        <v>48</v>
      </c>
      <c r="J277" s="16" t="s">
        <v>48</v>
      </c>
      <c r="K277" s="16" t="s">
        <v>48</v>
      </c>
      <c r="L277" s="16" t="s">
        <v>48</v>
      </c>
      <c r="M277" s="16" t="s">
        <v>48</v>
      </c>
      <c r="N277" s="16">
        <v>22</v>
      </c>
      <c r="O277" s="16" t="s">
        <v>790</v>
      </c>
      <c r="P277" s="16" t="s">
        <v>777</v>
      </c>
      <c r="Q277" s="32" t="s">
        <v>797</v>
      </c>
    </row>
    <row r="278" spans="1:17">
      <c r="A278" s="35">
        <v>45734</v>
      </c>
      <c r="B278" s="36" t="s">
        <v>531</v>
      </c>
      <c r="C278" s="16" t="s">
        <v>798</v>
      </c>
      <c r="D278" s="16" t="s">
        <v>802</v>
      </c>
      <c r="E278" s="16" t="s">
        <v>803</v>
      </c>
      <c r="F278" s="16" t="s">
        <v>48</v>
      </c>
      <c r="G278" s="16" t="s">
        <v>48</v>
      </c>
      <c r="H278" s="16" t="s">
        <v>48</v>
      </c>
      <c r="I278" s="16" t="s">
        <v>48</v>
      </c>
      <c r="J278" s="16" t="s">
        <v>48</v>
      </c>
      <c r="K278" s="16" t="s">
        <v>48</v>
      </c>
      <c r="L278" s="16" t="s">
        <v>48</v>
      </c>
      <c r="M278" s="16" t="s">
        <v>48</v>
      </c>
      <c r="N278" s="16">
        <v>5</v>
      </c>
      <c r="O278" s="16" t="s">
        <v>790</v>
      </c>
      <c r="P278" s="16" t="s">
        <v>777</v>
      </c>
      <c r="Q278" s="32" t="s">
        <v>797</v>
      </c>
    </row>
    <row r="279" spans="1:17">
      <c r="A279" s="35">
        <v>45734</v>
      </c>
      <c r="B279" s="36" t="s">
        <v>531</v>
      </c>
      <c r="C279" s="16" t="s">
        <v>798</v>
      </c>
      <c r="D279" s="16" t="s">
        <v>807</v>
      </c>
      <c r="E279" s="16" t="s">
        <v>804</v>
      </c>
      <c r="F279" s="16" t="s">
        <v>48</v>
      </c>
      <c r="G279" s="16" t="s">
        <v>48</v>
      </c>
      <c r="H279" s="16" t="s">
        <v>48</v>
      </c>
      <c r="I279" s="16" t="s">
        <v>48</v>
      </c>
      <c r="J279" s="16" t="s">
        <v>48</v>
      </c>
      <c r="K279" s="16" t="s">
        <v>48</v>
      </c>
      <c r="L279" s="16" t="s">
        <v>48</v>
      </c>
      <c r="M279" s="16" t="s">
        <v>48</v>
      </c>
      <c r="N279" s="16">
        <v>27</v>
      </c>
      <c r="O279" s="16" t="s">
        <v>790</v>
      </c>
      <c r="P279" s="16" t="s">
        <v>777</v>
      </c>
      <c r="Q279" s="32" t="s">
        <v>797</v>
      </c>
    </row>
    <row r="280" spans="1:17">
      <c r="A280" s="35">
        <v>45734</v>
      </c>
      <c r="B280" s="36" t="s">
        <v>531</v>
      </c>
      <c r="C280" s="16" t="s">
        <v>798</v>
      </c>
      <c r="D280" s="16" t="s">
        <v>807</v>
      </c>
      <c r="E280" s="16" t="s">
        <v>805</v>
      </c>
      <c r="F280" s="16" t="s">
        <v>48</v>
      </c>
      <c r="G280" s="16" t="s">
        <v>48</v>
      </c>
      <c r="H280" s="16" t="s">
        <v>48</v>
      </c>
      <c r="I280" s="16" t="s">
        <v>48</v>
      </c>
      <c r="J280" s="16" t="s">
        <v>48</v>
      </c>
      <c r="K280" s="16" t="s">
        <v>48</v>
      </c>
      <c r="L280" s="16" t="s">
        <v>48</v>
      </c>
      <c r="M280" s="16" t="s">
        <v>48</v>
      </c>
      <c r="N280" s="16">
        <v>27</v>
      </c>
      <c r="O280" s="16" t="s">
        <v>790</v>
      </c>
      <c r="P280" s="16" t="s">
        <v>777</v>
      </c>
      <c r="Q280" s="32" t="s">
        <v>797</v>
      </c>
    </row>
    <row r="281" spans="1:17">
      <c r="A281" s="35">
        <v>45734</v>
      </c>
      <c r="B281" s="36" t="s">
        <v>531</v>
      </c>
      <c r="C281" s="16" t="s">
        <v>798</v>
      </c>
      <c r="D281" s="16" t="s">
        <v>807</v>
      </c>
      <c r="E281" s="16" t="s">
        <v>806</v>
      </c>
      <c r="F281" s="16" t="s">
        <v>48</v>
      </c>
      <c r="G281" s="16" t="s">
        <v>48</v>
      </c>
      <c r="H281" s="16" t="s">
        <v>48</v>
      </c>
      <c r="I281" s="16" t="s">
        <v>48</v>
      </c>
      <c r="J281" s="16" t="s">
        <v>48</v>
      </c>
      <c r="K281" s="16" t="s">
        <v>48</v>
      </c>
      <c r="L281" s="16" t="s">
        <v>48</v>
      </c>
      <c r="M281" s="16" t="s">
        <v>48</v>
      </c>
      <c r="N281" s="16">
        <v>27</v>
      </c>
      <c r="O281" s="16" t="s">
        <v>790</v>
      </c>
      <c r="P281" s="16" t="s">
        <v>777</v>
      </c>
      <c r="Q281" s="32" t="s">
        <v>797</v>
      </c>
    </row>
    <row r="282" spans="1:17">
      <c r="A282" s="35">
        <v>45734</v>
      </c>
      <c r="B282" s="36" t="s">
        <v>531</v>
      </c>
      <c r="C282" s="16" t="s">
        <v>798</v>
      </c>
      <c r="D282" s="16" t="s">
        <v>807</v>
      </c>
      <c r="E282" s="16" t="s">
        <v>793</v>
      </c>
      <c r="F282" s="16" t="s">
        <v>48</v>
      </c>
      <c r="G282" s="16" t="s">
        <v>48</v>
      </c>
      <c r="H282" s="16" t="s">
        <v>48</v>
      </c>
      <c r="I282" s="16" t="s">
        <v>48</v>
      </c>
      <c r="J282" s="16" t="s">
        <v>48</v>
      </c>
      <c r="K282" s="16" t="s">
        <v>48</v>
      </c>
      <c r="L282" s="16" t="s">
        <v>48</v>
      </c>
      <c r="M282" s="16" t="s">
        <v>48</v>
      </c>
      <c r="N282" s="16">
        <v>21</v>
      </c>
      <c r="O282" s="16" t="s">
        <v>790</v>
      </c>
      <c r="P282" s="16" t="s">
        <v>777</v>
      </c>
      <c r="Q282" s="32" t="s">
        <v>797</v>
      </c>
    </row>
    <row r="283" spans="1:17">
      <c r="A283" s="35">
        <v>45734</v>
      </c>
      <c r="B283" s="36" t="s">
        <v>531</v>
      </c>
      <c r="C283" s="16" t="s">
        <v>798</v>
      </c>
      <c r="D283" s="16" t="s">
        <v>807</v>
      </c>
      <c r="E283" s="16" t="s">
        <v>808</v>
      </c>
      <c r="F283" s="16" t="s">
        <v>48</v>
      </c>
      <c r="G283" s="16" t="s">
        <v>48</v>
      </c>
      <c r="H283" s="16" t="s">
        <v>48</v>
      </c>
      <c r="I283" s="16" t="s">
        <v>48</v>
      </c>
      <c r="J283" s="16" t="s">
        <v>48</v>
      </c>
      <c r="K283" s="16" t="s">
        <v>48</v>
      </c>
      <c r="L283" s="16" t="s">
        <v>48</v>
      </c>
      <c r="M283" s="16" t="s">
        <v>48</v>
      </c>
      <c r="N283" s="16">
        <v>27</v>
      </c>
      <c r="O283" s="16" t="s">
        <v>790</v>
      </c>
      <c r="P283" s="16" t="s">
        <v>777</v>
      </c>
      <c r="Q283" s="32" t="s">
        <v>797</v>
      </c>
    </row>
    <row r="284" spans="1:17">
      <c r="A284" s="35">
        <v>45734</v>
      </c>
      <c r="B284" s="36" t="s">
        <v>531</v>
      </c>
      <c r="C284" s="16" t="s">
        <v>798</v>
      </c>
      <c r="D284" s="16" t="s">
        <v>807</v>
      </c>
      <c r="E284" s="16" t="s">
        <v>806</v>
      </c>
      <c r="F284" s="16" t="s">
        <v>48</v>
      </c>
      <c r="G284" s="16" t="s">
        <v>48</v>
      </c>
      <c r="H284" s="16" t="s">
        <v>48</v>
      </c>
      <c r="I284" s="16" t="s">
        <v>48</v>
      </c>
      <c r="J284" s="16" t="s">
        <v>48</v>
      </c>
      <c r="K284" s="16" t="s">
        <v>48</v>
      </c>
      <c r="L284" s="16" t="s">
        <v>48</v>
      </c>
      <c r="M284" s="16" t="s">
        <v>48</v>
      </c>
      <c r="N284" s="16">
        <v>27</v>
      </c>
      <c r="O284" s="16" t="s">
        <v>790</v>
      </c>
      <c r="P284" s="16" t="s">
        <v>777</v>
      </c>
      <c r="Q284" s="32" t="s">
        <v>797</v>
      </c>
    </row>
    <row r="285" spans="1:17">
      <c r="A285" s="35">
        <v>45734</v>
      </c>
      <c r="B285" s="36" t="s">
        <v>531</v>
      </c>
      <c r="C285" s="16" t="s">
        <v>798</v>
      </c>
      <c r="D285" s="16" t="s">
        <v>807</v>
      </c>
      <c r="E285" s="16" t="s">
        <v>809</v>
      </c>
      <c r="F285" s="16" t="s">
        <v>48</v>
      </c>
      <c r="G285" s="16" t="s">
        <v>48</v>
      </c>
      <c r="H285" s="16" t="s">
        <v>48</v>
      </c>
      <c r="I285" s="16" t="s">
        <v>48</v>
      </c>
      <c r="J285" s="16" t="s">
        <v>48</v>
      </c>
      <c r="K285" s="16" t="s">
        <v>48</v>
      </c>
      <c r="L285" s="16" t="s">
        <v>48</v>
      </c>
      <c r="M285" s="16" t="s">
        <v>48</v>
      </c>
      <c r="N285" s="16">
        <v>27</v>
      </c>
      <c r="O285" s="16" t="s">
        <v>790</v>
      </c>
      <c r="P285" s="16" t="s">
        <v>777</v>
      </c>
      <c r="Q285" s="32" t="s">
        <v>797</v>
      </c>
    </row>
    <row r="286" spans="1:17">
      <c r="A286" s="35">
        <v>45734</v>
      </c>
      <c r="B286" s="36" t="s">
        <v>531</v>
      </c>
      <c r="C286" s="16" t="s">
        <v>798</v>
      </c>
      <c r="D286" s="16" t="s">
        <v>807</v>
      </c>
      <c r="E286" s="16" t="s">
        <v>808</v>
      </c>
      <c r="F286" s="16" t="s">
        <v>48</v>
      </c>
      <c r="G286" s="16" t="s">
        <v>48</v>
      </c>
      <c r="H286" s="16" t="s">
        <v>48</v>
      </c>
      <c r="I286" s="16" t="s">
        <v>48</v>
      </c>
      <c r="J286" s="16" t="s">
        <v>48</v>
      </c>
      <c r="K286" s="16" t="s">
        <v>48</v>
      </c>
      <c r="L286" s="16" t="s">
        <v>48</v>
      </c>
      <c r="M286" s="16" t="s">
        <v>48</v>
      </c>
      <c r="N286" s="16">
        <v>27</v>
      </c>
      <c r="O286" s="16" t="s">
        <v>790</v>
      </c>
      <c r="P286" s="16" t="s">
        <v>777</v>
      </c>
      <c r="Q286" s="32" t="s">
        <v>797</v>
      </c>
    </row>
    <row r="287" spans="1:17">
      <c r="A287" s="35">
        <v>45734</v>
      </c>
      <c r="B287" s="36" t="s">
        <v>531</v>
      </c>
      <c r="C287" s="16" t="s">
        <v>798</v>
      </c>
      <c r="D287" s="16" t="s">
        <v>812</v>
      </c>
      <c r="E287" s="16" t="s">
        <v>810</v>
      </c>
      <c r="F287" s="16" t="s">
        <v>48</v>
      </c>
      <c r="G287" s="16" t="s">
        <v>48</v>
      </c>
      <c r="H287" s="16" t="s">
        <v>48</v>
      </c>
      <c r="I287" s="16" t="s">
        <v>48</v>
      </c>
      <c r="J287" s="16" t="s">
        <v>48</v>
      </c>
      <c r="K287" s="16" t="s">
        <v>48</v>
      </c>
      <c r="L287" s="16" t="s">
        <v>48</v>
      </c>
      <c r="M287" s="16" t="s">
        <v>48</v>
      </c>
      <c r="N287" s="16">
        <v>27</v>
      </c>
      <c r="O287" s="16" t="s">
        <v>790</v>
      </c>
      <c r="P287" s="16" t="s">
        <v>777</v>
      </c>
      <c r="Q287" s="32" t="s">
        <v>797</v>
      </c>
    </row>
    <row r="288" spans="1:17">
      <c r="A288" s="35">
        <v>45734</v>
      </c>
      <c r="B288" s="36" t="s">
        <v>531</v>
      </c>
      <c r="C288" s="16" t="s">
        <v>798</v>
      </c>
      <c r="D288" s="16" t="s">
        <v>812</v>
      </c>
      <c r="E288" s="16" t="s">
        <v>809</v>
      </c>
      <c r="F288" s="16" t="s">
        <v>48</v>
      </c>
      <c r="G288" s="16" t="s">
        <v>48</v>
      </c>
      <c r="H288" s="16" t="s">
        <v>48</v>
      </c>
      <c r="I288" s="16" t="s">
        <v>48</v>
      </c>
      <c r="J288" s="16" t="s">
        <v>48</v>
      </c>
      <c r="K288" s="16" t="s">
        <v>48</v>
      </c>
      <c r="L288" s="16" t="s">
        <v>48</v>
      </c>
      <c r="M288" s="16" t="s">
        <v>48</v>
      </c>
      <c r="N288" s="16">
        <v>54</v>
      </c>
      <c r="O288" s="16" t="s">
        <v>790</v>
      </c>
      <c r="P288" s="16" t="s">
        <v>777</v>
      </c>
      <c r="Q288" s="32" t="s">
        <v>797</v>
      </c>
    </row>
    <row r="289" spans="1:17">
      <c r="A289" s="35">
        <v>45734</v>
      </c>
      <c r="B289" s="36" t="s">
        <v>531</v>
      </c>
      <c r="C289" s="16" t="s">
        <v>798</v>
      </c>
      <c r="D289" s="16" t="s">
        <v>812</v>
      </c>
      <c r="E289" s="16" t="s">
        <v>811</v>
      </c>
      <c r="F289" s="16" t="s">
        <v>48</v>
      </c>
      <c r="G289" s="16" t="s">
        <v>48</v>
      </c>
      <c r="H289" s="16" t="s">
        <v>48</v>
      </c>
      <c r="I289" s="16" t="s">
        <v>48</v>
      </c>
      <c r="J289" s="16" t="s">
        <v>48</v>
      </c>
      <c r="K289" s="16" t="s">
        <v>48</v>
      </c>
      <c r="L289" s="16" t="s">
        <v>48</v>
      </c>
      <c r="M289" s="16" t="s">
        <v>48</v>
      </c>
      <c r="N289" s="16">
        <v>27</v>
      </c>
      <c r="O289" s="16" t="s">
        <v>790</v>
      </c>
      <c r="P289" s="16" t="s">
        <v>777</v>
      </c>
      <c r="Q289" s="32" t="s">
        <v>797</v>
      </c>
    </row>
    <row r="290" spans="1:17">
      <c r="A290" s="35">
        <v>45734</v>
      </c>
      <c r="B290" s="36" t="s">
        <v>531</v>
      </c>
      <c r="C290" s="16" t="s">
        <v>798</v>
      </c>
      <c r="D290" s="16" t="s">
        <v>815</v>
      </c>
      <c r="E290" s="16" t="s">
        <v>813</v>
      </c>
      <c r="F290" s="16" t="s">
        <v>48</v>
      </c>
      <c r="G290" s="16" t="s">
        <v>48</v>
      </c>
      <c r="H290" s="16" t="s">
        <v>48</v>
      </c>
      <c r="I290" s="16" t="s">
        <v>48</v>
      </c>
      <c r="J290" s="16" t="s">
        <v>48</v>
      </c>
      <c r="K290" s="16" t="s">
        <v>48</v>
      </c>
      <c r="L290" s="16" t="s">
        <v>48</v>
      </c>
      <c r="M290" s="16" t="s">
        <v>48</v>
      </c>
      <c r="N290" s="16">
        <v>54</v>
      </c>
      <c r="O290" s="16" t="s">
        <v>790</v>
      </c>
      <c r="P290" s="16" t="s">
        <v>777</v>
      </c>
      <c r="Q290" s="32" t="s">
        <v>797</v>
      </c>
    </row>
    <row r="291" spans="1:17">
      <c r="A291" s="35">
        <v>45734</v>
      </c>
      <c r="B291" s="36" t="s">
        <v>531</v>
      </c>
      <c r="C291" s="16" t="s">
        <v>798</v>
      </c>
      <c r="D291" s="16" t="s">
        <v>815</v>
      </c>
      <c r="E291" s="16" t="s">
        <v>814</v>
      </c>
      <c r="F291" s="16" t="s">
        <v>48</v>
      </c>
      <c r="G291" s="16" t="s">
        <v>48</v>
      </c>
      <c r="H291" s="16" t="s">
        <v>48</v>
      </c>
      <c r="I291" s="16" t="s">
        <v>48</v>
      </c>
      <c r="J291" s="16" t="s">
        <v>48</v>
      </c>
      <c r="K291" s="16" t="s">
        <v>48</v>
      </c>
      <c r="L291" s="16" t="s">
        <v>48</v>
      </c>
      <c r="M291" s="16" t="s">
        <v>48</v>
      </c>
      <c r="N291" s="16">
        <v>51</v>
      </c>
      <c r="O291" s="16" t="s">
        <v>790</v>
      </c>
      <c r="P291" s="16" t="s">
        <v>777</v>
      </c>
      <c r="Q291" s="32" t="s">
        <v>797</v>
      </c>
    </row>
    <row r="292" spans="1:17">
      <c r="A292" s="35">
        <v>45734</v>
      </c>
      <c r="B292" s="15" t="s">
        <v>79</v>
      </c>
      <c r="C292" s="16" t="s">
        <v>798</v>
      </c>
      <c r="D292" s="16" t="s">
        <v>815</v>
      </c>
      <c r="E292" s="16" t="s">
        <v>814</v>
      </c>
      <c r="F292" s="16" t="s">
        <v>48</v>
      </c>
      <c r="G292" s="16" t="s">
        <v>48</v>
      </c>
      <c r="H292" s="16" t="s">
        <v>48</v>
      </c>
      <c r="I292" s="16" t="s">
        <v>48</v>
      </c>
      <c r="J292" s="16" t="s">
        <v>48</v>
      </c>
      <c r="K292" s="16" t="s">
        <v>48</v>
      </c>
      <c r="L292" s="16" t="s">
        <v>48</v>
      </c>
      <c r="M292" s="16" t="s">
        <v>48</v>
      </c>
      <c r="N292" s="16">
        <v>4</v>
      </c>
      <c r="O292" s="16" t="s">
        <v>790</v>
      </c>
      <c r="P292" s="16" t="s">
        <v>816</v>
      </c>
      <c r="Q292" s="32" t="s">
        <v>817</v>
      </c>
    </row>
    <row r="293" spans="1:17">
      <c r="A293" s="35">
        <v>45734</v>
      </c>
      <c r="B293" s="15" t="s">
        <v>79</v>
      </c>
      <c r="C293" s="16" t="s">
        <v>798</v>
      </c>
      <c r="D293" s="16" t="s">
        <v>815</v>
      </c>
      <c r="E293" s="16" t="s">
        <v>813</v>
      </c>
      <c r="F293" s="16" t="s">
        <v>48</v>
      </c>
      <c r="G293" s="16" t="s">
        <v>48</v>
      </c>
      <c r="H293" s="16" t="s">
        <v>48</v>
      </c>
      <c r="I293" s="16" t="s">
        <v>48</v>
      </c>
      <c r="J293" s="16" t="s">
        <v>48</v>
      </c>
      <c r="K293" s="16" t="s">
        <v>48</v>
      </c>
      <c r="L293" s="16" t="s">
        <v>48</v>
      </c>
      <c r="M293" s="16" t="s">
        <v>48</v>
      </c>
      <c r="N293" s="16">
        <v>27</v>
      </c>
      <c r="O293" s="16" t="s">
        <v>790</v>
      </c>
      <c r="P293" s="16" t="s">
        <v>816</v>
      </c>
      <c r="Q293" s="32" t="s">
        <v>817</v>
      </c>
    </row>
    <row r="294" spans="1:17">
      <c r="A294" s="35">
        <v>45734</v>
      </c>
      <c r="B294" s="15" t="s">
        <v>79</v>
      </c>
      <c r="C294" s="16" t="s">
        <v>798</v>
      </c>
      <c r="D294" s="16" t="s">
        <v>815</v>
      </c>
      <c r="E294" s="16" t="s">
        <v>818</v>
      </c>
      <c r="F294" s="16" t="s">
        <v>48</v>
      </c>
      <c r="G294" s="16" t="s">
        <v>48</v>
      </c>
      <c r="H294" s="16" t="s">
        <v>48</v>
      </c>
      <c r="I294" s="16" t="s">
        <v>48</v>
      </c>
      <c r="J294" s="16" t="s">
        <v>48</v>
      </c>
      <c r="K294" s="16" t="s">
        <v>48</v>
      </c>
      <c r="L294" s="16" t="s">
        <v>48</v>
      </c>
      <c r="M294" s="16" t="s">
        <v>48</v>
      </c>
      <c r="N294" s="16">
        <v>19</v>
      </c>
      <c r="O294" s="16" t="s">
        <v>790</v>
      </c>
      <c r="P294" s="16" t="s">
        <v>816</v>
      </c>
      <c r="Q294" s="32" t="s">
        <v>817</v>
      </c>
    </row>
    <row r="295" spans="1:17">
      <c r="A295" s="35">
        <v>45735</v>
      </c>
      <c r="B295" s="15" t="s">
        <v>79</v>
      </c>
      <c r="C295" s="16" t="s">
        <v>819</v>
      </c>
      <c r="D295" s="16" t="s">
        <v>815</v>
      </c>
      <c r="E295" s="16" t="s">
        <v>818</v>
      </c>
      <c r="F295" s="16" t="s">
        <v>48</v>
      </c>
      <c r="G295" s="16" t="s">
        <v>48</v>
      </c>
      <c r="H295" s="16" t="s">
        <v>48</v>
      </c>
      <c r="I295" s="16" t="s">
        <v>48</v>
      </c>
      <c r="J295" s="16" t="s">
        <v>48</v>
      </c>
      <c r="K295" s="16" t="s">
        <v>48</v>
      </c>
      <c r="L295" s="16" t="s">
        <v>48</v>
      </c>
      <c r="M295" s="16" t="s">
        <v>48</v>
      </c>
      <c r="N295" s="16">
        <v>8</v>
      </c>
      <c r="O295" s="16" t="s">
        <v>789</v>
      </c>
      <c r="P295" s="16" t="s">
        <v>816</v>
      </c>
      <c r="Q295" s="32" t="s">
        <v>817</v>
      </c>
    </row>
    <row r="296" spans="1:17">
      <c r="A296" s="35">
        <v>45735</v>
      </c>
      <c r="B296" s="15" t="s">
        <v>79</v>
      </c>
      <c r="C296" s="16" t="s">
        <v>819</v>
      </c>
      <c r="D296" s="16" t="s">
        <v>815</v>
      </c>
      <c r="E296" s="16" t="s">
        <v>818</v>
      </c>
      <c r="F296" s="16" t="s">
        <v>48</v>
      </c>
      <c r="G296" s="16" t="s">
        <v>48</v>
      </c>
      <c r="H296" s="16" t="s">
        <v>48</v>
      </c>
      <c r="I296" s="16" t="s">
        <v>48</v>
      </c>
      <c r="J296" s="16" t="s">
        <v>48</v>
      </c>
      <c r="K296" s="16" t="s">
        <v>48</v>
      </c>
      <c r="L296" s="16" t="s">
        <v>48</v>
      </c>
      <c r="M296" s="16" t="s">
        <v>48</v>
      </c>
      <c r="N296" s="16">
        <v>27</v>
      </c>
      <c r="O296" s="16" t="s">
        <v>789</v>
      </c>
      <c r="P296" s="16" t="s">
        <v>816</v>
      </c>
      <c r="Q296" s="32" t="s">
        <v>817</v>
      </c>
    </row>
    <row r="297" spans="1:17">
      <c r="A297" s="35">
        <v>45735</v>
      </c>
      <c r="B297" s="15" t="s">
        <v>79</v>
      </c>
      <c r="C297" s="16" t="s">
        <v>819</v>
      </c>
      <c r="D297" s="16" t="s">
        <v>815</v>
      </c>
      <c r="E297" s="16" t="s">
        <v>820</v>
      </c>
      <c r="F297" s="16" t="s">
        <v>48</v>
      </c>
      <c r="G297" s="16" t="s">
        <v>48</v>
      </c>
      <c r="H297" s="16" t="s">
        <v>48</v>
      </c>
      <c r="I297" s="16" t="s">
        <v>48</v>
      </c>
      <c r="J297" s="16" t="s">
        <v>48</v>
      </c>
      <c r="K297" s="16" t="s">
        <v>48</v>
      </c>
      <c r="L297" s="16" t="s">
        <v>48</v>
      </c>
      <c r="M297" s="16" t="s">
        <v>48</v>
      </c>
      <c r="N297" s="16">
        <v>54</v>
      </c>
      <c r="O297" s="16" t="s">
        <v>789</v>
      </c>
      <c r="P297" s="16" t="s">
        <v>816</v>
      </c>
      <c r="Q297" s="32" t="s">
        <v>817</v>
      </c>
    </row>
    <row r="298" spans="1:17">
      <c r="A298" s="35">
        <v>45735</v>
      </c>
      <c r="B298" s="15" t="s">
        <v>79</v>
      </c>
      <c r="C298" s="16" t="s">
        <v>819</v>
      </c>
      <c r="D298" s="16" t="s">
        <v>815</v>
      </c>
      <c r="E298" s="16" t="s">
        <v>821</v>
      </c>
      <c r="F298" s="16" t="s">
        <v>48</v>
      </c>
      <c r="G298" s="16" t="s">
        <v>48</v>
      </c>
      <c r="H298" s="16" t="s">
        <v>48</v>
      </c>
      <c r="I298" s="16" t="s">
        <v>48</v>
      </c>
      <c r="J298" s="16" t="s">
        <v>48</v>
      </c>
      <c r="K298" s="16" t="s">
        <v>48</v>
      </c>
      <c r="L298" s="16" t="s">
        <v>48</v>
      </c>
      <c r="M298" s="16" t="s">
        <v>48</v>
      </c>
      <c r="N298" s="16">
        <v>27</v>
      </c>
      <c r="O298" s="16" t="s">
        <v>789</v>
      </c>
      <c r="P298" s="16" t="s">
        <v>816</v>
      </c>
      <c r="Q298" s="32" t="s">
        <v>817</v>
      </c>
    </row>
    <row r="299" spans="1:17">
      <c r="A299" s="35">
        <v>45735</v>
      </c>
      <c r="B299" s="15" t="s">
        <v>79</v>
      </c>
      <c r="C299" s="16" t="s">
        <v>819</v>
      </c>
      <c r="D299" s="16" t="s">
        <v>815</v>
      </c>
      <c r="E299" s="16" t="s">
        <v>805</v>
      </c>
      <c r="F299" s="16" t="s">
        <v>48</v>
      </c>
      <c r="G299" s="16" t="s">
        <v>48</v>
      </c>
      <c r="H299" s="16" t="s">
        <v>48</v>
      </c>
      <c r="I299" s="16" t="s">
        <v>48</v>
      </c>
      <c r="J299" s="16" t="s">
        <v>48</v>
      </c>
      <c r="K299" s="16" t="s">
        <v>48</v>
      </c>
      <c r="L299" s="16" t="s">
        <v>48</v>
      </c>
      <c r="M299" s="16" t="s">
        <v>48</v>
      </c>
      <c r="N299" s="16">
        <v>27</v>
      </c>
      <c r="O299" s="16" t="s">
        <v>789</v>
      </c>
      <c r="P299" s="16" t="s">
        <v>816</v>
      </c>
      <c r="Q299" s="32" t="s">
        <v>817</v>
      </c>
    </row>
    <row r="300" spans="1:17">
      <c r="A300" s="35">
        <v>45735</v>
      </c>
      <c r="B300" s="15" t="s">
        <v>79</v>
      </c>
      <c r="C300" s="16" t="s">
        <v>819</v>
      </c>
      <c r="D300" s="16" t="s">
        <v>824</v>
      </c>
      <c r="E300" s="16" t="s">
        <v>822</v>
      </c>
      <c r="F300" s="16" t="s">
        <v>48</v>
      </c>
      <c r="G300" s="16" t="s">
        <v>48</v>
      </c>
      <c r="H300" s="16" t="s">
        <v>48</v>
      </c>
      <c r="I300" s="16" t="s">
        <v>48</v>
      </c>
      <c r="J300" s="16" t="s">
        <v>48</v>
      </c>
      <c r="K300" s="16" t="s">
        <v>48</v>
      </c>
      <c r="L300" s="16" t="s">
        <v>48</v>
      </c>
      <c r="M300" s="16" t="s">
        <v>48</v>
      </c>
      <c r="N300" s="16">
        <v>5</v>
      </c>
      <c r="O300" s="16" t="s">
        <v>789</v>
      </c>
      <c r="P300" s="16" t="s">
        <v>816</v>
      </c>
      <c r="Q300" s="32" t="s">
        <v>817</v>
      </c>
    </row>
    <row r="301" spans="1:17">
      <c r="A301" s="35">
        <v>45735</v>
      </c>
      <c r="B301" s="15" t="s">
        <v>79</v>
      </c>
      <c r="C301" s="16" t="s">
        <v>819</v>
      </c>
      <c r="D301" s="16" t="s">
        <v>824</v>
      </c>
      <c r="E301" s="16" t="s">
        <v>821</v>
      </c>
      <c r="F301" s="16" t="s">
        <v>48</v>
      </c>
      <c r="G301" s="16" t="s">
        <v>48</v>
      </c>
      <c r="H301" s="16" t="s">
        <v>48</v>
      </c>
      <c r="I301" s="16" t="s">
        <v>48</v>
      </c>
      <c r="J301" s="16" t="s">
        <v>48</v>
      </c>
      <c r="K301" s="16" t="s">
        <v>48</v>
      </c>
      <c r="L301" s="16" t="s">
        <v>48</v>
      </c>
      <c r="M301" s="16" t="s">
        <v>48</v>
      </c>
      <c r="N301" s="16">
        <v>27</v>
      </c>
      <c r="O301" s="16" t="s">
        <v>789</v>
      </c>
      <c r="P301" s="16" t="s">
        <v>816</v>
      </c>
      <c r="Q301" s="32" t="s">
        <v>817</v>
      </c>
    </row>
    <row r="302" spans="1:17">
      <c r="A302" s="35">
        <v>45735</v>
      </c>
      <c r="B302" s="15" t="s">
        <v>79</v>
      </c>
      <c r="C302" s="16" t="s">
        <v>819</v>
      </c>
      <c r="D302" s="16" t="s">
        <v>824</v>
      </c>
      <c r="E302" s="16" t="s">
        <v>823</v>
      </c>
      <c r="F302" s="16" t="s">
        <v>48</v>
      </c>
      <c r="G302" s="16" t="s">
        <v>48</v>
      </c>
      <c r="H302" s="16" t="s">
        <v>48</v>
      </c>
      <c r="I302" s="16" t="s">
        <v>48</v>
      </c>
      <c r="J302" s="16" t="s">
        <v>48</v>
      </c>
      <c r="K302" s="16" t="s">
        <v>48</v>
      </c>
      <c r="L302" s="16" t="s">
        <v>48</v>
      </c>
      <c r="M302" s="16" t="s">
        <v>48</v>
      </c>
      <c r="N302" s="16">
        <f>150/2</f>
        <v>75</v>
      </c>
      <c r="O302" s="16" t="s">
        <v>789</v>
      </c>
      <c r="P302" s="16" t="s">
        <v>816</v>
      </c>
      <c r="Q302" s="32" t="s">
        <v>817</v>
      </c>
    </row>
    <row r="303" spans="1:17">
      <c r="A303" s="35">
        <v>45735</v>
      </c>
      <c r="B303" s="15" t="s">
        <v>29</v>
      </c>
      <c r="C303" s="16" t="s">
        <v>819</v>
      </c>
      <c r="D303" s="16" t="s">
        <v>824</v>
      </c>
      <c r="E303" s="16" t="s">
        <v>48</v>
      </c>
      <c r="F303" s="16" t="s">
        <v>48</v>
      </c>
      <c r="G303" s="16" t="s">
        <v>48</v>
      </c>
      <c r="H303" s="16" t="s">
        <v>48</v>
      </c>
      <c r="I303" s="16" t="s">
        <v>48</v>
      </c>
      <c r="J303" s="16" t="s">
        <v>48</v>
      </c>
      <c r="K303" s="16" t="s">
        <v>48</v>
      </c>
      <c r="L303" s="16" t="s">
        <v>48</v>
      </c>
      <c r="M303" s="16" t="s">
        <v>48</v>
      </c>
      <c r="N303" s="16">
        <v>100</v>
      </c>
      <c r="O303" s="16" t="s">
        <v>693</v>
      </c>
      <c r="P303" s="16" t="s">
        <v>831</v>
      </c>
      <c r="Q303" s="32" t="s">
        <v>830</v>
      </c>
    </row>
    <row r="304" spans="1:17">
      <c r="A304" s="35">
        <v>45735</v>
      </c>
      <c r="B304" s="15" t="s">
        <v>29</v>
      </c>
      <c r="C304" s="16" t="s">
        <v>819</v>
      </c>
      <c r="D304" s="16" t="s">
        <v>825</v>
      </c>
      <c r="E304" s="16" t="s">
        <v>48</v>
      </c>
      <c r="F304" s="16" t="s">
        <v>48</v>
      </c>
      <c r="G304" s="16" t="s">
        <v>48</v>
      </c>
      <c r="H304" s="16" t="s">
        <v>48</v>
      </c>
      <c r="I304" s="16" t="s">
        <v>48</v>
      </c>
      <c r="J304" s="16" t="s">
        <v>48</v>
      </c>
      <c r="K304" s="16" t="s">
        <v>48</v>
      </c>
      <c r="L304" s="16" t="s">
        <v>48</v>
      </c>
      <c r="M304" s="16" t="s">
        <v>48</v>
      </c>
      <c r="N304" s="16">
        <v>100</v>
      </c>
      <c r="O304" s="16" t="s">
        <v>826</v>
      </c>
      <c r="P304" s="16" t="s">
        <v>831</v>
      </c>
      <c r="Q304" s="32" t="s">
        <v>830</v>
      </c>
    </row>
    <row r="305" spans="1:17">
      <c r="A305" s="35">
        <v>45735</v>
      </c>
      <c r="B305" s="15" t="s">
        <v>29</v>
      </c>
      <c r="C305" s="16" t="s">
        <v>819</v>
      </c>
      <c r="D305" s="16" t="s">
        <v>807</v>
      </c>
      <c r="E305" s="16" t="s">
        <v>48</v>
      </c>
      <c r="F305" s="16" t="s">
        <v>48</v>
      </c>
      <c r="G305" s="16" t="s">
        <v>48</v>
      </c>
      <c r="H305" s="16" t="s">
        <v>48</v>
      </c>
      <c r="I305" s="16" t="s">
        <v>48</v>
      </c>
      <c r="J305" s="16" t="s">
        <v>48</v>
      </c>
      <c r="K305" s="16" t="s">
        <v>48</v>
      </c>
      <c r="L305" s="16" t="s">
        <v>48</v>
      </c>
      <c r="M305" s="16" t="s">
        <v>48</v>
      </c>
      <c r="N305" s="16">
        <v>100</v>
      </c>
      <c r="O305" s="16" t="s">
        <v>827</v>
      </c>
      <c r="P305" s="16" t="s">
        <v>831</v>
      </c>
      <c r="Q305" s="32" t="s">
        <v>830</v>
      </c>
    </row>
    <row r="306" spans="1:17">
      <c r="A306" s="35">
        <v>45735</v>
      </c>
      <c r="B306" s="15" t="s">
        <v>29</v>
      </c>
      <c r="C306" s="16" t="s">
        <v>819</v>
      </c>
      <c r="D306" s="16" t="s">
        <v>802</v>
      </c>
      <c r="E306" s="16" t="s">
        <v>48</v>
      </c>
      <c r="F306" s="16" t="s">
        <v>48</v>
      </c>
      <c r="G306" s="16" t="s">
        <v>48</v>
      </c>
      <c r="H306" s="16" t="s">
        <v>48</v>
      </c>
      <c r="I306" s="16" t="s">
        <v>48</v>
      </c>
      <c r="J306" s="16" t="s">
        <v>48</v>
      </c>
      <c r="K306" s="16" t="s">
        <v>48</v>
      </c>
      <c r="L306" s="16" t="s">
        <v>48</v>
      </c>
      <c r="M306" s="16" t="s">
        <v>48</v>
      </c>
      <c r="N306" s="16">
        <v>100</v>
      </c>
      <c r="O306" s="16" t="s">
        <v>694</v>
      </c>
      <c r="P306" s="16" t="s">
        <v>831</v>
      </c>
      <c r="Q306" s="32" t="s">
        <v>830</v>
      </c>
    </row>
    <row r="307" spans="1:17">
      <c r="A307" s="35">
        <v>45735</v>
      </c>
      <c r="B307" s="15" t="s">
        <v>29</v>
      </c>
      <c r="C307" s="16" t="s">
        <v>819</v>
      </c>
      <c r="D307" s="16" t="s">
        <v>824</v>
      </c>
      <c r="E307" s="16" t="s">
        <v>48</v>
      </c>
      <c r="F307" s="16" t="s">
        <v>48</v>
      </c>
      <c r="G307" s="16" t="s">
        <v>48</v>
      </c>
      <c r="H307" s="16" t="s">
        <v>48</v>
      </c>
      <c r="I307" s="16" t="s">
        <v>48</v>
      </c>
      <c r="J307" s="16" t="s">
        <v>48</v>
      </c>
      <c r="K307" s="16" t="s">
        <v>48</v>
      </c>
      <c r="L307" s="16" t="s">
        <v>48</v>
      </c>
      <c r="M307" s="16" t="s">
        <v>48</v>
      </c>
      <c r="N307" s="16">
        <v>100</v>
      </c>
      <c r="O307" s="16" t="s">
        <v>693</v>
      </c>
      <c r="P307" s="16" t="s">
        <v>831</v>
      </c>
      <c r="Q307" s="32" t="s">
        <v>830</v>
      </c>
    </row>
    <row r="308" spans="1:17">
      <c r="A308" s="35">
        <v>45735</v>
      </c>
      <c r="B308" s="15" t="s">
        <v>29</v>
      </c>
      <c r="C308" s="16" t="s">
        <v>819</v>
      </c>
      <c r="D308" s="16" t="s">
        <v>812</v>
      </c>
      <c r="E308" s="16" t="s">
        <v>48</v>
      </c>
      <c r="F308" s="16" t="s">
        <v>48</v>
      </c>
      <c r="G308" s="16" t="s">
        <v>48</v>
      </c>
      <c r="H308" s="16" t="s">
        <v>48</v>
      </c>
      <c r="I308" s="16" t="s">
        <v>48</v>
      </c>
      <c r="J308" s="16" t="s">
        <v>48</v>
      </c>
      <c r="K308" s="16" t="s">
        <v>48</v>
      </c>
      <c r="L308" s="16" t="s">
        <v>48</v>
      </c>
      <c r="M308" s="16" t="s">
        <v>48</v>
      </c>
      <c r="N308" s="16">
        <v>100</v>
      </c>
      <c r="O308" s="16" t="s">
        <v>694</v>
      </c>
      <c r="P308" s="16" t="s">
        <v>831</v>
      </c>
      <c r="Q308" s="32" t="s">
        <v>830</v>
      </c>
    </row>
    <row r="309" spans="1:17">
      <c r="A309" s="35">
        <v>45735</v>
      </c>
      <c r="B309" s="15" t="s">
        <v>29</v>
      </c>
      <c r="C309" s="16" t="s">
        <v>819</v>
      </c>
      <c r="D309" s="16" t="s">
        <v>784</v>
      </c>
      <c r="E309" s="16" t="s">
        <v>48</v>
      </c>
      <c r="F309" s="16" t="s">
        <v>48</v>
      </c>
      <c r="G309" s="16" t="s">
        <v>48</v>
      </c>
      <c r="H309" s="16" t="s">
        <v>48</v>
      </c>
      <c r="I309" s="16" t="s">
        <v>48</v>
      </c>
      <c r="J309" s="16" t="s">
        <v>48</v>
      </c>
      <c r="K309" s="16" t="s">
        <v>48</v>
      </c>
      <c r="L309" s="16" t="s">
        <v>48</v>
      </c>
      <c r="M309" s="16" t="s">
        <v>48</v>
      </c>
      <c r="N309" s="16">
        <v>50</v>
      </c>
      <c r="O309" s="16" t="s">
        <v>828</v>
      </c>
      <c r="P309" s="16" t="s">
        <v>831</v>
      </c>
      <c r="Q309" s="32" t="s">
        <v>830</v>
      </c>
    </row>
    <row r="310" spans="1:17">
      <c r="A310" s="35">
        <v>45735</v>
      </c>
      <c r="B310" s="15" t="s">
        <v>29</v>
      </c>
      <c r="C310" s="16" t="s">
        <v>819</v>
      </c>
      <c r="D310" s="16" t="s">
        <v>829</v>
      </c>
      <c r="E310" s="16" t="s">
        <v>48</v>
      </c>
      <c r="F310" s="16" t="s">
        <v>48</v>
      </c>
      <c r="G310" s="16" t="s">
        <v>48</v>
      </c>
      <c r="H310" s="16" t="s">
        <v>48</v>
      </c>
      <c r="I310" s="16" t="s">
        <v>48</v>
      </c>
      <c r="J310" s="16" t="s">
        <v>48</v>
      </c>
      <c r="K310" s="16" t="s">
        <v>48</v>
      </c>
      <c r="L310" s="16" t="s">
        <v>48</v>
      </c>
      <c r="M310" s="16" t="s">
        <v>48</v>
      </c>
      <c r="N310" s="16">
        <v>100</v>
      </c>
      <c r="O310" s="16" t="s">
        <v>693</v>
      </c>
      <c r="P310" s="16" t="s">
        <v>831</v>
      </c>
      <c r="Q310" s="32" t="s">
        <v>830</v>
      </c>
    </row>
    <row r="311" spans="1:17">
      <c r="A311" s="35">
        <v>45735</v>
      </c>
      <c r="B311" s="15" t="s">
        <v>840</v>
      </c>
      <c r="C311" s="16" t="s">
        <v>819</v>
      </c>
      <c r="D311" s="16" t="s">
        <v>48</v>
      </c>
      <c r="E311" s="16" t="s">
        <v>48</v>
      </c>
      <c r="F311" s="16" t="s">
        <v>48</v>
      </c>
      <c r="G311" s="16" t="s">
        <v>48</v>
      </c>
      <c r="H311" s="16" t="s">
        <v>48</v>
      </c>
      <c r="I311" s="16" t="s">
        <v>48</v>
      </c>
      <c r="J311" s="16" t="s">
        <v>48</v>
      </c>
      <c r="K311" s="16" t="s">
        <v>48</v>
      </c>
      <c r="L311" s="16" t="s">
        <v>48</v>
      </c>
      <c r="M311" s="16" t="s">
        <v>48</v>
      </c>
      <c r="N311" s="16">
        <v>4</v>
      </c>
      <c r="O311" s="16" t="s">
        <v>55</v>
      </c>
      <c r="P311" s="16" t="s">
        <v>834</v>
      </c>
      <c r="Q311" s="32" t="s">
        <v>837</v>
      </c>
    </row>
    <row r="312" spans="1:17">
      <c r="A312" s="35">
        <v>45735</v>
      </c>
      <c r="B312" s="15" t="s">
        <v>104</v>
      </c>
      <c r="C312" s="16" t="s">
        <v>819</v>
      </c>
      <c r="D312" s="16" t="s">
        <v>48</v>
      </c>
      <c r="E312" s="16" t="s">
        <v>48</v>
      </c>
      <c r="F312" s="16" t="s">
        <v>48</v>
      </c>
      <c r="G312" s="16" t="s">
        <v>48</v>
      </c>
      <c r="H312" s="16" t="s">
        <v>48</v>
      </c>
      <c r="I312" s="16" t="s">
        <v>48</v>
      </c>
      <c r="J312" s="16" t="s">
        <v>48</v>
      </c>
      <c r="K312" s="16" t="s">
        <v>48</v>
      </c>
      <c r="L312" s="16" t="s">
        <v>48</v>
      </c>
      <c r="M312" s="16" t="s">
        <v>48</v>
      </c>
      <c r="N312" s="16">
        <v>41</v>
      </c>
      <c r="O312" s="16" t="s">
        <v>55</v>
      </c>
      <c r="P312" s="16" t="s">
        <v>835</v>
      </c>
      <c r="Q312" s="32" t="s">
        <v>838</v>
      </c>
    </row>
    <row r="313" spans="1:17">
      <c r="A313" s="35">
        <v>45735</v>
      </c>
      <c r="B313" s="15" t="s">
        <v>470</v>
      </c>
      <c r="C313" s="16" t="s">
        <v>819</v>
      </c>
      <c r="D313" s="16" t="s">
        <v>48</v>
      </c>
      <c r="E313" s="16" t="s">
        <v>48</v>
      </c>
      <c r="F313" s="16" t="s">
        <v>48</v>
      </c>
      <c r="G313" s="16" t="s">
        <v>48</v>
      </c>
      <c r="H313" s="16" t="s">
        <v>48</v>
      </c>
      <c r="I313" s="16" t="s">
        <v>48</v>
      </c>
      <c r="J313" s="16" t="s">
        <v>48</v>
      </c>
      <c r="K313" s="16" t="s">
        <v>48</v>
      </c>
      <c r="L313" s="16" t="s">
        <v>48</v>
      </c>
      <c r="M313" s="16" t="s">
        <v>48</v>
      </c>
      <c r="N313" s="16">
        <v>10</v>
      </c>
      <c r="O313" s="16" t="s">
        <v>55</v>
      </c>
      <c r="P313" s="16" t="s">
        <v>836</v>
      </c>
      <c r="Q313" s="32" t="s">
        <v>839</v>
      </c>
    </row>
    <row r="314" spans="1:17">
      <c r="A314" s="35">
        <v>45736</v>
      </c>
      <c r="B314" s="15" t="s">
        <v>214</v>
      </c>
      <c r="C314" s="16" t="s">
        <v>844</v>
      </c>
      <c r="D314" s="16" t="s">
        <v>48</v>
      </c>
      <c r="E314" s="16" t="s">
        <v>48</v>
      </c>
      <c r="F314" s="16" t="s">
        <v>48</v>
      </c>
      <c r="G314" s="16" t="s">
        <v>48</v>
      </c>
      <c r="H314" s="16" t="s">
        <v>48</v>
      </c>
      <c r="I314" s="16" t="s">
        <v>48</v>
      </c>
      <c r="J314" s="16" t="s">
        <v>48</v>
      </c>
      <c r="K314" s="16" t="s">
        <v>48</v>
      </c>
      <c r="L314" s="16" t="s">
        <v>48</v>
      </c>
      <c r="M314" s="16" t="s">
        <v>48</v>
      </c>
      <c r="N314" s="16">
        <v>600</v>
      </c>
      <c r="O314" s="16" t="s">
        <v>233</v>
      </c>
      <c r="P314" s="16" t="s">
        <v>841</v>
      </c>
      <c r="Q314" s="32" t="s">
        <v>842</v>
      </c>
    </row>
    <row r="315" spans="1:17">
      <c r="A315" s="35">
        <v>45736</v>
      </c>
      <c r="B315" s="15" t="s">
        <v>843</v>
      </c>
      <c r="C315" s="16" t="s">
        <v>844</v>
      </c>
      <c r="D315" s="16" t="s">
        <v>48</v>
      </c>
      <c r="E315" s="16" t="s">
        <v>48</v>
      </c>
      <c r="F315" s="16" t="s">
        <v>48</v>
      </c>
      <c r="G315" s="16" t="s">
        <v>48</v>
      </c>
      <c r="H315" s="16" t="s">
        <v>48</v>
      </c>
      <c r="I315" s="16" t="s">
        <v>48</v>
      </c>
      <c r="J315" s="16" t="s">
        <v>48</v>
      </c>
      <c r="K315" s="16" t="s">
        <v>48</v>
      </c>
      <c r="L315" s="16" t="s">
        <v>48</v>
      </c>
      <c r="M315" s="16" t="s">
        <v>48</v>
      </c>
      <c r="N315" s="16">
        <v>600</v>
      </c>
      <c r="O315" s="16" t="s">
        <v>233</v>
      </c>
      <c r="P315" s="16" t="s">
        <v>832</v>
      </c>
      <c r="Q315" s="32" t="s">
        <v>833</v>
      </c>
    </row>
    <row r="316" spans="1:17">
      <c r="A316" s="35">
        <v>45736</v>
      </c>
      <c r="B316" s="15" t="s">
        <v>68</v>
      </c>
      <c r="C316" s="16" t="s">
        <v>844</v>
      </c>
      <c r="D316" s="16" t="s">
        <v>48</v>
      </c>
      <c r="E316" s="16" t="s">
        <v>48</v>
      </c>
      <c r="F316" s="16" t="s">
        <v>845</v>
      </c>
      <c r="G316" s="16" t="s">
        <v>48</v>
      </c>
      <c r="H316" s="16" t="s">
        <v>48</v>
      </c>
      <c r="I316" s="16" t="s">
        <v>48</v>
      </c>
      <c r="J316" s="16" t="s">
        <v>48</v>
      </c>
      <c r="K316" s="16" t="s">
        <v>48</v>
      </c>
      <c r="L316" s="16" t="s">
        <v>48</v>
      </c>
      <c r="M316" s="16" t="s">
        <v>48</v>
      </c>
      <c r="N316" s="16">
        <v>108</v>
      </c>
      <c r="O316" s="16" t="s">
        <v>693</v>
      </c>
      <c r="P316" s="16" t="s">
        <v>847</v>
      </c>
      <c r="Q316" s="32" t="s">
        <v>848</v>
      </c>
    </row>
    <row r="317" spans="1:17">
      <c r="A317" s="35">
        <v>45736</v>
      </c>
      <c r="B317" s="15" t="s">
        <v>68</v>
      </c>
      <c r="C317" s="16" t="s">
        <v>844</v>
      </c>
      <c r="D317" s="16" t="s">
        <v>48</v>
      </c>
      <c r="E317" s="16" t="s">
        <v>48</v>
      </c>
      <c r="F317" s="16" t="s">
        <v>846</v>
      </c>
      <c r="G317" s="16" t="s">
        <v>48</v>
      </c>
      <c r="H317" s="16" t="s">
        <v>48</v>
      </c>
      <c r="I317" s="16" t="s">
        <v>48</v>
      </c>
      <c r="J317" s="16" t="s">
        <v>48</v>
      </c>
      <c r="K317" s="16" t="s">
        <v>48</v>
      </c>
      <c r="L317" s="16" t="s">
        <v>48</v>
      </c>
      <c r="M317" s="16" t="s">
        <v>48</v>
      </c>
      <c r="N317" s="16">
        <v>17</v>
      </c>
      <c r="O317" s="16" t="s">
        <v>693</v>
      </c>
      <c r="P317" s="16" t="s">
        <v>847</v>
      </c>
      <c r="Q317" s="32" t="s">
        <v>848</v>
      </c>
    </row>
    <row r="318" spans="1:17">
      <c r="A318" s="35">
        <v>45736</v>
      </c>
      <c r="B318" s="15" t="s">
        <v>660</v>
      </c>
      <c r="C318" s="16" t="s">
        <v>844</v>
      </c>
      <c r="D318" s="16" t="s">
        <v>845</v>
      </c>
      <c r="E318" s="16" t="s">
        <v>48</v>
      </c>
      <c r="F318" s="16" t="s">
        <v>48</v>
      </c>
      <c r="G318" s="16" t="s">
        <v>48</v>
      </c>
      <c r="H318" s="16" t="s">
        <v>48</v>
      </c>
      <c r="I318" s="16" t="s">
        <v>48</v>
      </c>
      <c r="J318" s="16" t="s">
        <v>48</v>
      </c>
      <c r="K318" s="16" t="s">
        <v>48</v>
      </c>
      <c r="L318" s="16" t="s">
        <v>48</v>
      </c>
      <c r="M318" s="16" t="s">
        <v>48</v>
      </c>
      <c r="N318" s="16">
        <v>200</v>
      </c>
      <c r="O318" s="16" t="s">
        <v>546</v>
      </c>
      <c r="P318" s="16" t="s">
        <v>849</v>
      </c>
      <c r="Q318" s="32" t="s">
        <v>851</v>
      </c>
    </row>
    <row r="319" spans="1:17">
      <c r="A319" s="35">
        <v>45736</v>
      </c>
      <c r="B319" s="15" t="s">
        <v>660</v>
      </c>
      <c r="C319" s="16" t="s">
        <v>844</v>
      </c>
      <c r="D319" s="16" t="s">
        <v>661</v>
      </c>
      <c r="E319" s="16" t="s">
        <v>48</v>
      </c>
      <c r="F319" s="16" t="s">
        <v>48</v>
      </c>
      <c r="G319" s="16" t="s">
        <v>48</v>
      </c>
      <c r="H319" s="16" t="s">
        <v>48</v>
      </c>
      <c r="I319" s="16" t="s">
        <v>48</v>
      </c>
      <c r="J319" s="16" t="s">
        <v>48</v>
      </c>
      <c r="K319" s="16" t="s">
        <v>48</v>
      </c>
      <c r="L319" s="16" t="s">
        <v>48</v>
      </c>
      <c r="M319" s="16" t="s">
        <v>48</v>
      </c>
      <c r="N319" s="16">
        <v>100</v>
      </c>
      <c r="O319" s="16" t="s">
        <v>546</v>
      </c>
      <c r="P319" s="16" t="s">
        <v>849</v>
      </c>
      <c r="Q319" s="32" t="s">
        <v>851</v>
      </c>
    </row>
    <row r="320" spans="1:17">
      <c r="A320" s="35">
        <v>45736</v>
      </c>
      <c r="B320" s="15" t="s">
        <v>660</v>
      </c>
      <c r="C320" s="16" t="s">
        <v>844</v>
      </c>
      <c r="D320" s="16" t="s">
        <v>853</v>
      </c>
      <c r="E320" s="16" t="s">
        <v>48</v>
      </c>
      <c r="F320" s="16" t="s">
        <v>48</v>
      </c>
      <c r="G320" s="16" t="s">
        <v>48</v>
      </c>
      <c r="H320" s="16" t="s">
        <v>48</v>
      </c>
      <c r="I320" s="16" t="s">
        <v>48</v>
      </c>
      <c r="J320" s="16" t="s">
        <v>48</v>
      </c>
      <c r="K320" s="16" t="s">
        <v>48</v>
      </c>
      <c r="L320" s="16" t="s">
        <v>48</v>
      </c>
      <c r="M320" s="16" t="s">
        <v>48</v>
      </c>
      <c r="N320" s="16">
        <v>60</v>
      </c>
      <c r="O320" s="16" t="s">
        <v>546</v>
      </c>
      <c r="P320" s="16" t="s">
        <v>849</v>
      </c>
      <c r="Q320" s="32" t="s">
        <v>851</v>
      </c>
    </row>
    <row r="321" spans="1:17">
      <c r="A321" s="35">
        <v>45736</v>
      </c>
      <c r="B321" s="15" t="s">
        <v>140</v>
      </c>
      <c r="C321" s="16" t="s">
        <v>844</v>
      </c>
      <c r="D321" s="16" t="s">
        <v>845</v>
      </c>
      <c r="E321" s="16" t="s">
        <v>48</v>
      </c>
      <c r="F321" s="16" t="s">
        <v>48</v>
      </c>
      <c r="G321" s="16" t="s">
        <v>48</v>
      </c>
      <c r="H321" s="16" t="s">
        <v>48</v>
      </c>
      <c r="I321" s="16" t="s">
        <v>48</v>
      </c>
      <c r="J321" s="16" t="s">
        <v>48</v>
      </c>
      <c r="K321" s="16" t="s">
        <v>48</v>
      </c>
      <c r="L321" s="16" t="s">
        <v>48</v>
      </c>
      <c r="M321" s="16" t="s">
        <v>48</v>
      </c>
      <c r="N321" s="16">
        <v>10</v>
      </c>
      <c r="O321" s="16" t="s">
        <v>693</v>
      </c>
      <c r="P321" s="16" t="s">
        <v>850</v>
      </c>
      <c r="Q321" s="32" t="s">
        <v>852</v>
      </c>
    </row>
    <row r="322" spans="1:17">
      <c r="A322" s="35">
        <v>45736</v>
      </c>
      <c r="B322" s="15" t="s">
        <v>140</v>
      </c>
      <c r="C322" s="16" t="s">
        <v>844</v>
      </c>
      <c r="D322" s="16" t="s">
        <v>854</v>
      </c>
      <c r="E322" s="16" t="s">
        <v>855</v>
      </c>
      <c r="F322" s="16" t="s">
        <v>48</v>
      </c>
      <c r="G322" s="16" t="s">
        <v>48</v>
      </c>
      <c r="H322" s="16" t="s">
        <v>48</v>
      </c>
      <c r="I322" s="16" t="s">
        <v>48</v>
      </c>
      <c r="J322" s="16" t="s">
        <v>48</v>
      </c>
      <c r="K322" s="16" t="s">
        <v>48</v>
      </c>
      <c r="L322" s="16" t="s">
        <v>48</v>
      </c>
      <c r="M322" s="16" t="s">
        <v>48</v>
      </c>
      <c r="N322" s="16">
        <v>27</v>
      </c>
      <c r="O322" s="16" t="s">
        <v>864</v>
      </c>
      <c r="P322" s="16" t="s">
        <v>865</v>
      </c>
      <c r="Q322" s="32" t="s">
        <v>866</v>
      </c>
    </row>
    <row r="323" spans="1:17">
      <c r="A323" s="35">
        <v>45736</v>
      </c>
      <c r="B323" s="15" t="s">
        <v>140</v>
      </c>
      <c r="C323" s="16" t="s">
        <v>844</v>
      </c>
      <c r="D323" s="16" t="s">
        <v>854</v>
      </c>
      <c r="E323" s="16" t="s">
        <v>856</v>
      </c>
      <c r="F323" s="16" t="s">
        <v>48</v>
      </c>
      <c r="G323" s="16" t="s">
        <v>48</v>
      </c>
      <c r="H323" s="16" t="s">
        <v>48</v>
      </c>
      <c r="I323" s="16" t="s">
        <v>48</v>
      </c>
      <c r="J323" s="16" t="s">
        <v>48</v>
      </c>
      <c r="K323" s="16" t="s">
        <v>48</v>
      </c>
      <c r="L323" s="16" t="s">
        <v>48</v>
      </c>
      <c r="M323" s="16" t="s">
        <v>48</v>
      </c>
      <c r="N323" s="16">
        <v>27</v>
      </c>
      <c r="O323" s="16" t="s">
        <v>864</v>
      </c>
      <c r="P323" s="16" t="s">
        <v>865</v>
      </c>
      <c r="Q323" s="32" t="s">
        <v>866</v>
      </c>
    </row>
    <row r="324" spans="1:17">
      <c r="A324" s="35">
        <v>45736</v>
      </c>
      <c r="B324" s="15" t="s">
        <v>140</v>
      </c>
      <c r="C324" s="16" t="s">
        <v>844</v>
      </c>
      <c r="D324" s="16" t="s">
        <v>854</v>
      </c>
      <c r="E324" s="16" t="s">
        <v>736</v>
      </c>
      <c r="F324" s="16" t="s">
        <v>48</v>
      </c>
      <c r="G324" s="16" t="s">
        <v>48</v>
      </c>
      <c r="H324" s="16" t="s">
        <v>48</v>
      </c>
      <c r="I324" s="16" t="s">
        <v>48</v>
      </c>
      <c r="J324" s="16" t="s">
        <v>48</v>
      </c>
      <c r="K324" s="16" t="s">
        <v>48</v>
      </c>
      <c r="L324" s="16" t="s">
        <v>48</v>
      </c>
      <c r="M324" s="16" t="s">
        <v>48</v>
      </c>
      <c r="N324" s="16">
        <v>27</v>
      </c>
      <c r="O324" s="16" t="s">
        <v>864</v>
      </c>
      <c r="P324" s="16" t="s">
        <v>865</v>
      </c>
      <c r="Q324" s="32" t="s">
        <v>866</v>
      </c>
    </row>
    <row r="325" spans="1:17">
      <c r="A325" s="35">
        <v>45736</v>
      </c>
      <c r="B325" s="15" t="s">
        <v>140</v>
      </c>
      <c r="C325" s="16" t="s">
        <v>844</v>
      </c>
      <c r="D325" s="16" t="s">
        <v>857</v>
      </c>
      <c r="E325" s="16" t="s">
        <v>858</v>
      </c>
      <c r="F325" s="16" t="s">
        <v>48</v>
      </c>
      <c r="G325" s="16" t="s">
        <v>48</v>
      </c>
      <c r="H325" s="16" t="s">
        <v>48</v>
      </c>
      <c r="I325" s="16" t="s">
        <v>48</v>
      </c>
      <c r="J325" s="16" t="s">
        <v>48</v>
      </c>
      <c r="K325" s="16" t="s">
        <v>48</v>
      </c>
      <c r="L325" s="16" t="s">
        <v>48</v>
      </c>
      <c r="M325" s="16" t="s">
        <v>48</v>
      </c>
      <c r="N325" s="16">
        <v>27</v>
      </c>
      <c r="O325" s="16" t="s">
        <v>864</v>
      </c>
      <c r="P325" s="16" t="s">
        <v>865</v>
      </c>
      <c r="Q325" s="32" t="s">
        <v>866</v>
      </c>
    </row>
    <row r="326" spans="1:17">
      <c r="A326" s="35">
        <v>45736</v>
      </c>
      <c r="B326" s="15" t="s">
        <v>140</v>
      </c>
      <c r="C326" s="16" t="s">
        <v>844</v>
      </c>
      <c r="D326" s="16" t="s">
        <v>857</v>
      </c>
      <c r="E326" s="16" t="s">
        <v>859</v>
      </c>
      <c r="F326" s="16" t="s">
        <v>48</v>
      </c>
      <c r="G326" s="16" t="s">
        <v>48</v>
      </c>
      <c r="H326" s="16" t="s">
        <v>48</v>
      </c>
      <c r="I326" s="16" t="s">
        <v>48</v>
      </c>
      <c r="J326" s="16" t="s">
        <v>48</v>
      </c>
      <c r="K326" s="16" t="s">
        <v>48</v>
      </c>
      <c r="L326" s="16" t="s">
        <v>48</v>
      </c>
      <c r="M326" s="16" t="s">
        <v>48</v>
      </c>
      <c r="N326" s="16">
        <v>27</v>
      </c>
      <c r="O326" s="16" t="s">
        <v>864</v>
      </c>
      <c r="P326" s="16" t="s">
        <v>865</v>
      </c>
      <c r="Q326" s="32" t="s">
        <v>866</v>
      </c>
    </row>
    <row r="327" spans="1:17">
      <c r="A327" s="35">
        <v>45736</v>
      </c>
      <c r="B327" s="15" t="s">
        <v>140</v>
      </c>
      <c r="C327" s="16" t="s">
        <v>844</v>
      </c>
      <c r="D327" s="16" t="s">
        <v>857</v>
      </c>
      <c r="E327" s="16" t="s">
        <v>859</v>
      </c>
      <c r="F327" s="16" t="s">
        <v>48</v>
      </c>
      <c r="G327" s="16" t="s">
        <v>48</v>
      </c>
      <c r="H327" s="16" t="s">
        <v>48</v>
      </c>
      <c r="I327" s="16" t="s">
        <v>48</v>
      </c>
      <c r="J327" s="16" t="s">
        <v>48</v>
      </c>
      <c r="K327" s="16" t="s">
        <v>48</v>
      </c>
      <c r="L327" s="16" t="s">
        <v>48</v>
      </c>
      <c r="M327" s="16" t="s">
        <v>48</v>
      </c>
      <c r="N327" s="16">
        <v>27</v>
      </c>
      <c r="O327" s="16" t="s">
        <v>864</v>
      </c>
      <c r="P327" s="16" t="s">
        <v>865</v>
      </c>
      <c r="Q327" s="32" t="s">
        <v>866</v>
      </c>
    </row>
    <row r="328" spans="1:17">
      <c r="A328" s="35">
        <v>45736</v>
      </c>
      <c r="B328" s="15" t="s">
        <v>140</v>
      </c>
      <c r="C328" s="16" t="s">
        <v>844</v>
      </c>
      <c r="D328" s="16" t="s">
        <v>857</v>
      </c>
      <c r="E328" s="16" t="s">
        <v>860</v>
      </c>
      <c r="F328" s="16" t="s">
        <v>48</v>
      </c>
      <c r="G328" s="16" t="s">
        <v>48</v>
      </c>
      <c r="H328" s="16" t="s">
        <v>48</v>
      </c>
      <c r="I328" s="16" t="s">
        <v>48</v>
      </c>
      <c r="J328" s="16" t="s">
        <v>48</v>
      </c>
      <c r="K328" s="16" t="s">
        <v>48</v>
      </c>
      <c r="L328" s="16" t="s">
        <v>48</v>
      </c>
      <c r="M328" s="16" t="s">
        <v>48</v>
      </c>
      <c r="N328" s="16">
        <v>27</v>
      </c>
      <c r="O328" s="16" t="s">
        <v>864</v>
      </c>
      <c r="P328" s="16" t="s">
        <v>865</v>
      </c>
      <c r="Q328" s="32" t="s">
        <v>866</v>
      </c>
    </row>
    <row r="329" spans="1:17">
      <c r="A329" s="35">
        <v>45736</v>
      </c>
      <c r="B329" s="15" t="s">
        <v>140</v>
      </c>
      <c r="C329" s="16" t="s">
        <v>844</v>
      </c>
      <c r="D329" s="16" t="s">
        <v>861</v>
      </c>
      <c r="E329" s="16" t="s">
        <v>860</v>
      </c>
      <c r="F329" s="16" t="s">
        <v>48</v>
      </c>
      <c r="G329" s="16" t="s">
        <v>48</v>
      </c>
      <c r="H329" s="16" t="s">
        <v>48</v>
      </c>
      <c r="I329" s="16" t="s">
        <v>48</v>
      </c>
      <c r="J329" s="16" t="s">
        <v>48</v>
      </c>
      <c r="K329" s="16" t="s">
        <v>48</v>
      </c>
      <c r="L329" s="16" t="s">
        <v>48</v>
      </c>
      <c r="M329" s="16" t="s">
        <v>48</v>
      </c>
      <c r="N329" s="16">
        <v>27</v>
      </c>
      <c r="O329" s="16" t="s">
        <v>864</v>
      </c>
      <c r="P329" s="16" t="s">
        <v>865</v>
      </c>
      <c r="Q329" s="32" t="s">
        <v>866</v>
      </c>
    </row>
    <row r="330" spans="1:17">
      <c r="A330" s="35">
        <v>45736</v>
      </c>
      <c r="B330" s="15" t="s">
        <v>140</v>
      </c>
      <c r="C330" s="16" t="s">
        <v>844</v>
      </c>
      <c r="D330" s="16" t="s">
        <v>861</v>
      </c>
      <c r="E330" s="16" t="s">
        <v>862</v>
      </c>
      <c r="F330" s="16" t="s">
        <v>48</v>
      </c>
      <c r="G330" s="16" t="s">
        <v>48</v>
      </c>
      <c r="H330" s="16" t="s">
        <v>48</v>
      </c>
      <c r="I330" s="16" t="s">
        <v>48</v>
      </c>
      <c r="J330" s="16" t="s">
        <v>48</v>
      </c>
      <c r="K330" s="16" t="s">
        <v>48</v>
      </c>
      <c r="L330" s="16" t="s">
        <v>48</v>
      </c>
      <c r="M330" s="16" t="s">
        <v>48</v>
      </c>
      <c r="N330" s="16">
        <v>27</v>
      </c>
      <c r="O330" s="16" t="s">
        <v>864</v>
      </c>
      <c r="P330" s="16" t="s">
        <v>865</v>
      </c>
      <c r="Q330" s="32" t="s">
        <v>866</v>
      </c>
    </row>
    <row r="331" spans="1:17">
      <c r="A331" s="35">
        <v>45736</v>
      </c>
      <c r="B331" s="15" t="s">
        <v>140</v>
      </c>
      <c r="C331" s="16" t="s">
        <v>844</v>
      </c>
      <c r="D331" s="16" t="s">
        <v>861</v>
      </c>
      <c r="E331" s="16" t="s">
        <v>635</v>
      </c>
      <c r="F331" s="16" t="s">
        <v>48</v>
      </c>
      <c r="G331" s="16" t="s">
        <v>48</v>
      </c>
      <c r="H331" s="16" t="s">
        <v>48</v>
      </c>
      <c r="I331" s="16" t="s">
        <v>48</v>
      </c>
      <c r="J331" s="16" t="s">
        <v>48</v>
      </c>
      <c r="K331" s="16" t="s">
        <v>48</v>
      </c>
      <c r="L331" s="16" t="s">
        <v>48</v>
      </c>
      <c r="M331" s="16" t="s">
        <v>48</v>
      </c>
      <c r="N331" s="16">
        <v>27</v>
      </c>
      <c r="O331" s="16" t="s">
        <v>864</v>
      </c>
      <c r="P331" s="16" t="s">
        <v>865</v>
      </c>
      <c r="Q331" s="32" t="s">
        <v>866</v>
      </c>
    </row>
    <row r="332" spans="1:17">
      <c r="A332" s="35">
        <v>45736</v>
      </c>
      <c r="B332" s="15" t="s">
        <v>140</v>
      </c>
      <c r="C332" s="16" t="s">
        <v>844</v>
      </c>
      <c r="D332" s="16" t="s">
        <v>861</v>
      </c>
      <c r="E332" s="16" t="s">
        <v>863</v>
      </c>
      <c r="F332" s="16" t="s">
        <v>48</v>
      </c>
      <c r="G332" s="16" t="s">
        <v>48</v>
      </c>
      <c r="H332" s="16" t="s">
        <v>48</v>
      </c>
      <c r="I332" s="16" t="s">
        <v>48</v>
      </c>
      <c r="J332" s="16" t="s">
        <v>48</v>
      </c>
      <c r="K332" s="16" t="s">
        <v>48</v>
      </c>
      <c r="L332" s="16" t="s">
        <v>48</v>
      </c>
      <c r="M332" s="16" t="s">
        <v>48</v>
      </c>
      <c r="N332" s="16">
        <v>27</v>
      </c>
      <c r="O332" s="16" t="s">
        <v>864</v>
      </c>
      <c r="P332" s="16" t="s">
        <v>865</v>
      </c>
      <c r="Q332" s="32" t="s">
        <v>866</v>
      </c>
    </row>
    <row r="333" spans="1:17">
      <c r="A333" s="35">
        <v>45736</v>
      </c>
      <c r="B333" s="15" t="s">
        <v>140</v>
      </c>
      <c r="C333" s="16" t="s">
        <v>844</v>
      </c>
      <c r="D333" s="16" t="s">
        <v>861</v>
      </c>
      <c r="E333" s="16" t="s">
        <v>855</v>
      </c>
      <c r="F333" s="16" t="s">
        <v>48</v>
      </c>
      <c r="G333" s="16" t="s">
        <v>48</v>
      </c>
      <c r="H333" s="16" t="s">
        <v>48</v>
      </c>
      <c r="I333" s="16" t="s">
        <v>48</v>
      </c>
      <c r="J333" s="16" t="s">
        <v>48</v>
      </c>
      <c r="K333" s="16" t="s">
        <v>48</v>
      </c>
      <c r="L333" s="16" t="s">
        <v>48</v>
      </c>
      <c r="M333" s="16" t="s">
        <v>48</v>
      </c>
      <c r="N333" s="16">
        <v>3</v>
      </c>
      <c r="O333" s="16" t="s">
        <v>864</v>
      </c>
      <c r="P333" s="16" t="s">
        <v>865</v>
      </c>
      <c r="Q333" s="32" t="s">
        <v>866</v>
      </c>
    </row>
    <row r="334" spans="1:17">
      <c r="A334" s="35">
        <v>45737</v>
      </c>
      <c r="B334" s="15" t="s">
        <v>140</v>
      </c>
      <c r="C334" s="16" t="s">
        <v>867</v>
      </c>
      <c r="D334" s="16" t="s">
        <v>870</v>
      </c>
      <c r="E334" s="16" t="s">
        <v>855</v>
      </c>
      <c r="F334" s="16" t="s">
        <v>48</v>
      </c>
      <c r="G334" s="16" t="s">
        <v>48</v>
      </c>
      <c r="H334" s="16" t="s">
        <v>48</v>
      </c>
      <c r="I334" s="16" t="s">
        <v>48</v>
      </c>
      <c r="J334" s="16" t="s">
        <v>48</v>
      </c>
      <c r="K334" s="16" t="s">
        <v>48</v>
      </c>
      <c r="L334" s="16" t="s">
        <v>48</v>
      </c>
      <c r="M334" s="16" t="s">
        <v>48</v>
      </c>
      <c r="N334" s="16">
        <v>24</v>
      </c>
      <c r="O334" s="16" t="s">
        <v>864</v>
      </c>
      <c r="P334" s="16" t="s">
        <v>865</v>
      </c>
      <c r="Q334" s="32" t="s">
        <v>866</v>
      </c>
    </row>
    <row r="335" spans="1:17">
      <c r="A335" s="35">
        <v>45737</v>
      </c>
      <c r="B335" s="15" t="s">
        <v>140</v>
      </c>
      <c r="C335" s="16" t="s">
        <v>867</v>
      </c>
      <c r="D335" s="16" t="s">
        <v>870</v>
      </c>
      <c r="E335" s="16" t="s">
        <v>868</v>
      </c>
      <c r="F335" s="16" t="s">
        <v>48</v>
      </c>
      <c r="G335" s="16" t="s">
        <v>48</v>
      </c>
      <c r="H335" s="16" t="s">
        <v>48</v>
      </c>
      <c r="I335" s="16" t="s">
        <v>48</v>
      </c>
      <c r="J335" s="16" t="s">
        <v>48</v>
      </c>
      <c r="K335" s="16" t="s">
        <v>48</v>
      </c>
      <c r="L335" s="16" t="s">
        <v>48</v>
      </c>
      <c r="M335" s="16" t="s">
        <v>48</v>
      </c>
      <c r="N335" s="16">
        <v>27</v>
      </c>
      <c r="O335" s="16" t="s">
        <v>864</v>
      </c>
      <c r="P335" s="16" t="s">
        <v>865</v>
      </c>
      <c r="Q335" s="32" t="s">
        <v>866</v>
      </c>
    </row>
    <row r="336" spans="1:17">
      <c r="A336" s="35">
        <v>45737</v>
      </c>
      <c r="B336" s="15" t="s">
        <v>140</v>
      </c>
      <c r="C336" s="16" t="s">
        <v>867</v>
      </c>
      <c r="D336" s="16" t="s">
        <v>870</v>
      </c>
      <c r="E336" s="16" t="s">
        <v>869</v>
      </c>
      <c r="F336" s="16" t="s">
        <v>48</v>
      </c>
      <c r="G336" s="16" t="s">
        <v>48</v>
      </c>
      <c r="H336" s="16" t="s">
        <v>48</v>
      </c>
      <c r="I336" s="16" t="s">
        <v>48</v>
      </c>
      <c r="J336" s="16" t="s">
        <v>48</v>
      </c>
      <c r="K336" s="16" t="s">
        <v>48</v>
      </c>
      <c r="L336" s="16" t="s">
        <v>48</v>
      </c>
      <c r="M336" s="16" t="s">
        <v>48</v>
      </c>
      <c r="N336" s="16">
        <v>27</v>
      </c>
      <c r="O336" s="16" t="s">
        <v>864</v>
      </c>
      <c r="P336" s="16" t="s">
        <v>865</v>
      </c>
      <c r="Q336" s="32" t="s">
        <v>866</v>
      </c>
    </row>
    <row r="337" spans="1:17">
      <c r="A337" s="35">
        <v>45737</v>
      </c>
      <c r="B337" s="15" t="s">
        <v>140</v>
      </c>
      <c r="C337" s="16" t="s">
        <v>867</v>
      </c>
      <c r="D337" s="16" t="s">
        <v>870</v>
      </c>
      <c r="E337" s="16" t="s">
        <v>869</v>
      </c>
      <c r="F337" s="16" t="s">
        <v>48</v>
      </c>
      <c r="G337" s="16" t="s">
        <v>48</v>
      </c>
      <c r="H337" s="16" t="s">
        <v>48</v>
      </c>
      <c r="I337" s="16" t="s">
        <v>48</v>
      </c>
      <c r="J337" s="16" t="s">
        <v>48</v>
      </c>
      <c r="K337" s="16" t="s">
        <v>48</v>
      </c>
      <c r="L337" s="16" t="s">
        <v>48</v>
      </c>
      <c r="M337" s="16" t="s">
        <v>48</v>
      </c>
      <c r="N337" s="16">
        <v>41</v>
      </c>
      <c r="O337" s="16" t="s">
        <v>864</v>
      </c>
      <c r="P337" s="16" t="s">
        <v>865</v>
      </c>
      <c r="Q337" s="32" t="s">
        <v>866</v>
      </c>
    </row>
    <row r="338" spans="1:17">
      <c r="A338" s="35">
        <v>45737</v>
      </c>
      <c r="B338" s="15" t="s">
        <v>140</v>
      </c>
      <c r="C338" s="16" t="s">
        <v>867</v>
      </c>
      <c r="D338" s="16" t="s">
        <v>870</v>
      </c>
      <c r="E338" s="16" t="s">
        <v>871</v>
      </c>
      <c r="F338" s="16" t="s">
        <v>48</v>
      </c>
      <c r="G338" s="16" t="s">
        <v>48</v>
      </c>
      <c r="H338" s="16" t="s">
        <v>48</v>
      </c>
      <c r="I338" s="16" t="s">
        <v>48</v>
      </c>
      <c r="J338" s="16" t="s">
        <v>48</v>
      </c>
      <c r="K338" s="16" t="s">
        <v>48</v>
      </c>
      <c r="L338" s="16" t="s">
        <v>48</v>
      </c>
      <c r="M338" s="16" t="s">
        <v>48</v>
      </c>
      <c r="N338" s="16">
        <v>27</v>
      </c>
      <c r="O338" s="16" t="s">
        <v>864</v>
      </c>
      <c r="P338" s="16" t="s">
        <v>865</v>
      </c>
      <c r="Q338" s="32" t="s">
        <v>866</v>
      </c>
    </row>
    <row r="339" spans="1:17">
      <c r="A339" s="35">
        <v>45737</v>
      </c>
      <c r="B339" s="15" t="s">
        <v>140</v>
      </c>
      <c r="C339" s="16" t="s">
        <v>867</v>
      </c>
      <c r="D339" s="16" t="s">
        <v>870</v>
      </c>
      <c r="E339" s="16" t="s">
        <v>872</v>
      </c>
      <c r="F339" s="16" t="s">
        <v>48</v>
      </c>
      <c r="G339" s="16" t="s">
        <v>48</v>
      </c>
      <c r="H339" s="16" t="s">
        <v>48</v>
      </c>
      <c r="I339" s="16" t="s">
        <v>48</v>
      </c>
      <c r="J339" s="16" t="s">
        <v>48</v>
      </c>
      <c r="K339" s="16" t="s">
        <v>48</v>
      </c>
      <c r="L339" s="16" t="s">
        <v>48</v>
      </c>
      <c r="M339" s="16" t="s">
        <v>48</v>
      </c>
      <c r="N339" s="16">
        <v>27</v>
      </c>
      <c r="O339" s="16" t="s">
        <v>864</v>
      </c>
      <c r="P339" s="16" t="s">
        <v>865</v>
      </c>
      <c r="Q339" s="32" t="s">
        <v>866</v>
      </c>
    </row>
    <row r="340" spans="1:17">
      <c r="A340" s="35">
        <v>45737</v>
      </c>
      <c r="B340" s="15" t="s">
        <v>140</v>
      </c>
      <c r="C340" s="16" t="s">
        <v>867</v>
      </c>
      <c r="D340" s="16" t="s">
        <v>870</v>
      </c>
      <c r="E340" s="16" t="s">
        <v>872</v>
      </c>
      <c r="F340" s="16" t="s">
        <v>48</v>
      </c>
      <c r="G340" s="16" t="s">
        <v>48</v>
      </c>
      <c r="H340" s="16" t="s">
        <v>48</v>
      </c>
      <c r="I340" s="16" t="s">
        <v>48</v>
      </c>
      <c r="J340" s="16" t="s">
        <v>48</v>
      </c>
      <c r="K340" s="16" t="s">
        <v>48</v>
      </c>
      <c r="L340" s="16" t="s">
        <v>48</v>
      </c>
      <c r="M340" s="16" t="s">
        <v>48</v>
      </c>
      <c r="N340" s="16">
        <v>27</v>
      </c>
      <c r="O340" s="16" t="s">
        <v>864</v>
      </c>
      <c r="P340" s="16" t="s">
        <v>865</v>
      </c>
      <c r="Q340" s="32" t="s">
        <v>866</v>
      </c>
    </row>
    <row r="341" spans="1:17">
      <c r="A341" s="35">
        <v>45737</v>
      </c>
      <c r="B341" s="36" t="s">
        <v>29</v>
      </c>
      <c r="C341" s="16" t="s">
        <v>867</v>
      </c>
      <c r="D341" s="16" t="s">
        <v>875</v>
      </c>
      <c r="E341" s="16" t="s">
        <v>48</v>
      </c>
      <c r="F341" s="16" t="s">
        <v>48</v>
      </c>
      <c r="G341" s="16" t="s">
        <v>48</v>
      </c>
      <c r="H341" s="16" t="s">
        <v>48</v>
      </c>
      <c r="I341" s="16" t="s">
        <v>48</v>
      </c>
      <c r="J341" s="16" t="s">
        <v>48</v>
      </c>
      <c r="K341" s="16" t="s">
        <v>48</v>
      </c>
      <c r="L341" s="16" t="s">
        <v>48</v>
      </c>
      <c r="M341" s="16" t="s">
        <v>48</v>
      </c>
      <c r="N341" s="16">
        <v>100</v>
      </c>
      <c r="O341" s="16" t="s">
        <v>876</v>
      </c>
      <c r="P341" s="16" t="s">
        <v>873</v>
      </c>
      <c r="Q341" s="32" t="s">
        <v>874</v>
      </c>
    </row>
    <row r="342" spans="1:17">
      <c r="A342" s="35">
        <v>45737</v>
      </c>
      <c r="B342" s="36" t="s">
        <v>29</v>
      </c>
      <c r="C342" s="16" t="s">
        <v>867</v>
      </c>
      <c r="D342" s="16" t="s">
        <v>870</v>
      </c>
      <c r="E342" s="16" t="s">
        <v>48</v>
      </c>
      <c r="F342" s="16" t="s">
        <v>48</v>
      </c>
      <c r="G342" s="16" t="s">
        <v>48</v>
      </c>
      <c r="H342" s="16" t="s">
        <v>48</v>
      </c>
      <c r="I342" s="16" t="s">
        <v>48</v>
      </c>
      <c r="J342" s="16" t="s">
        <v>48</v>
      </c>
      <c r="K342" s="16" t="s">
        <v>48</v>
      </c>
      <c r="L342" s="16" t="s">
        <v>48</v>
      </c>
      <c r="M342" s="16" t="s">
        <v>48</v>
      </c>
      <c r="N342" s="16">
        <v>50</v>
      </c>
      <c r="O342" s="16" t="s">
        <v>876</v>
      </c>
      <c r="P342" s="16" t="s">
        <v>873</v>
      </c>
      <c r="Q342" s="32" t="s">
        <v>874</v>
      </c>
    </row>
    <row r="343" spans="1:17">
      <c r="A343" s="35">
        <v>45737</v>
      </c>
      <c r="B343" s="36" t="s">
        <v>29</v>
      </c>
      <c r="C343" s="16" t="s">
        <v>867</v>
      </c>
      <c r="D343" s="16" t="s">
        <v>877</v>
      </c>
      <c r="E343" s="16" t="s">
        <v>48</v>
      </c>
      <c r="F343" s="16" t="s">
        <v>48</v>
      </c>
      <c r="G343" s="16" t="s">
        <v>48</v>
      </c>
      <c r="H343" s="16" t="s">
        <v>48</v>
      </c>
      <c r="I343" s="16" t="s">
        <v>48</v>
      </c>
      <c r="J343" s="16" t="s">
        <v>48</v>
      </c>
      <c r="K343" s="16" t="s">
        <v>48</v>
      </c>
      <c r="L343" s="16" t="s">
        <v>48</v>
      </c>
      <c r="M343" s="16" t="s">
        <v>48</v>
      </c>
      <c r="N343" s="16">
        <v>100</v>
      </c>
      <c r="O343" s="16" t="s">
        <v>876</v>
      </c>
      <c r="P343" s="16" t="s">
        <v>873</v>
      </c>
      <c r="Q343" s="32" t="s">
        <v>874</v>
      </c>
    </row>
    <row r="344" spans="1:17">
      <c r="A344" s="35">
        <v>45737</v>
      </c>
      <c r="B344" s="36" t="s">
        <v>29</v>
      </c>
      <c r="C344" s="16" t="s">
        <v>867</v>
      </c>
      <c r="D344" s="16" t="s">
        <v>812</v>
      </c>
      <c r="E344" s="16" t="s">
        <v>48</v>
      </c>
      <c r="F344" s="16" t="s">
        <v>48</v>
      </c>
      <c r="G344" s="16" t="s">
        <v>48</v>
      </c>
      <c r="H344" s="16" t="s">
        <v>48</v>
      </c>
      <c r="I344" s="16" t="s">
        <v>48</v>
      </c>
      <c r="J344" s="16" t="s">
        <v>48</v>
      </c>
      <c r="K344" s="16" t="s">
        <v>48</v>
      </c>
      <c r="L344" s="16" t="s">
        <v>48</v>
      </c>
      <c r="M344" s="16" t="s">
        <v>48</v>
      </c>
      <c r="N344" s="16">
        <v>100</v>
      </c>
      <c r="O344" s="16" t="s">
        <v>515</v>
      </c>
      <c r="P344" s="16" t="s">
        <v>873</v>
      </c>
      <c r="Q344" s="32" t="s">
        <v>874</v>
      </c>
    </row>
    <row r="345" spans="1:17">
      <c r="A345" s="35">
        <v>45737</v>
      </c>
      <c r="B345" s="36" t="s">
        <v>29</v>
      </c>
      <c r="C345" s="16" t="s">
        <v>867</v>
      </c>
      <c r="D345" s="16" t="s">
        <v>878</v>
      </c>
      <c r="E345" s="16" t="s">
        <v>48</v>
      </c>
      <c r="F345" s="16" t="s">
        <v>48</v>
      </c>
      <c r="G345" s="16" t="s">
        <v>48</v>
      </c>
      <c r="H345" s="16" t="s">
        <v>48</v>
      </c>
      <c r="I345" s="16" t="s">
        <v>48</v>
      </c>
      <c r="J345" s="16" t="s">
        <v>48</v>
      </c>
      <c r="K345" s="16" t="s">
        <v>48</v>
      </c>
      <c r="L345" s="16" t="s">
        <v>48</v>
      </c>
      <c r="M345" s="16" t="s">
        <v>48</v>
      </c>
      <c r="N345" s="16">
        <v>100</v>
      </c>
      <c r="O345" s="16" t="s">
        <v>515</v>
      </c>
      <c r="P345" s="16" t="s">
        <v>873</v>
      </c>
      <c r="Q345" s="32" t="s">
        <v>874</v>
      </c>
    </row>
    <row r="346" spans="1:17">
      <c r="A346" s="35">
        <v>45737</v>
      </c>
      <c r="B346" s="36" t="s">
        <v>29</v>
      </c>
      <c r="C346" s="16" t="s">
        <v>867</v>
      </c>
      <c r="D346" s="16" t="s">
        <v>870</v>
      </c>
      <c r="E346" s="16" t="s">
        <v>48</v>
      </c>
      <c r="F346" s="16" t="s">
        <v>48</v>
      </c>
      <c r="G346" s="16" t="s">
        <v>48</v>
      </c>
      <c r="H346" s="16" t="s">
        <v>48</v>
      </c>
      <c r="I346" s="16" t="s">
        <v>48</v>
      </c>
      <c r="J346" s="16" t="s">
        <v>48</v>
      </c>
      <c r="K346" s="16" t="s">
        <v>48</v>
      </c>
      <c r="L346" s="16" t="s">
        <v>48</v>
      </c>
      <c r="M346" s="16" t="s">
        <v>48</v>
      </c>
      <c r="N346" s="16">
        <v>100</v>
      </c>
      <c r="O346" s="16" t="s">
        <v>876</v>
      </c>
      <c r="P346" s="16" t="s">
        <v>873</v>
      </c>
      <c r="Q346" s="32" t="s">
        <v>874</v>
      </c>
    </row>
    <row r="347" spans="1:17">
      <c r="A347" s="35">
        <v>45737</v>
      </c>
      <c r="B347" s="36" t="s">
        <v>29</v>
      </c>
      <c r="C347" s="16" t="s">
        <v>867</v>
      </c>
      <c r="D347" s="16" t="s">
        <v>870</v>
      </c>
      <c r="E347" s="16" t="s">
        <v>48</v>
      </c>
      <c r="F347" s="16" t="s">
        <v>48</v>
      </c>
      <c r="G347" s="16" t="s">
        <v>48</v>
      </c>
      <c r="H347" s="16" t="s">
        <v>48</v>
      </c>
      <c r="I347" s="16" t="s">
        <v>48</v>
      </c>
      <c r="J347" s="16" t="s">
        <v>48</v>
      </c>
      <c r="K347" s="16" t="s">
        <v>48</v>
      </c>
      <c r="L347" s="16" t="s">
        <v>48</v>
      </c>
      <c r="M347" s="16" t="s">
        <v>48</v>
      </c>
      <c r="N347" s="16">
        <v>100</v>
      </c>
      <c r="O347" s="16" t="s">
        <v>876</v>
      </c>
      <c r="P347" s="16" t="s">
        <v>873</v>
      </c>
      <c r="Q347" s="32" t="s">
        <v>874</v>
      </c>
    </row>
    <row r="348" spans="1:17">
      <c r="A348" s="35">
        <v>45737</v>
      </c>
      <c r="B348" s="36" t="s">
        <v>29</v>
      </c>
      <c r="C348" s="16" t="s">
        <v>867</v>
      </c>
      <c r="D348" s="16" t="s">
        <v>878</v>
      </c>
      <c r="E348" s="16" t="s">
        <v>48</v>
      </c>
      <c r="F348" s="16" t="s">
        <v>48</v>
      </c>
      <c r="G348" s="16" t="s">
        <v>48</v>
      </c>
      <c r="H348" s="16" t="s">
        <v>48</v>
      </c>
      <c r="I348" s="16" t="s">
        <v>48</v>
      </c>
      <c r="J348" s="16" t="s">
        <v>48</v>
      </c>
      <c r="K348" s="16" t="s">
        <v>48</v>
      </c>
      <c r="L348" s="16" t="s">
        <v>48</v>
      </c>
      <c r="M348" s="16" t="s">
        <v>48</v>
      </c>
      <c r="N348" s="16">
        <v>100</v>
      </c>
      <c r="O348" s="16" t="s">
        <v>515</v>
      </c>
      <c r="P348" s="16" t="s">
        <v>873</v>
      </c>
      <c r="Q348" s="32" t="s">
        <v>874</v>
      </c>
    </row>
    <row r="349" spans="1:17">
      <c r="A349" s="35">
        <v>45737</v>
      </c>
      <c r="B349" s="36" t="s">
        <v>885</v>
      </c>
      <c r="C349" s="16" t="s">
        <v>867</v>
      </c>
      <c r="D349" s="16" t="s">
        <v>879</v>
      </c>
      <c r="E349" s="16" t="s">
        <v>48</v>
      </c>
      <c r="F349" s="16" t="s">
        <v>48</v>
      </c>
      <c r="G349" s="16" t="s">
        <v>48</v>
      </c>
      <c r="H349" s="16" t="s">
        <v>48</v>
      </c>
      <c r="I349" s="16" t="s">
        <v>48</v>
      </c>
      <c r="J349" s="16" t="s">
        <v>48</v>
      </c>
      <c r="K349" s="16" t="s">
        <v>48</v>
      </c>
      <c r="L349" s="16" t="s">
        <v>48</v>
      </c>
      <c r="M349" s="16" t="s">
        <v>48</v>
      </c>
      <c r="N349" s="16">
        <v>6</v>
      </c>
      <c r="O349" s="16" t="s">
        <v>864</v>
      </c>
      <c r="P349" s="16" t="s">
        <v>883</v>
      </c>
      <c r="Q349" s="32" t="s">
        <v>884</v>
      </c>
    </row>
    <row r="350" spans="1:17">
      <c r="A350" s="35">
        <v>45737</v>
      </c>
      <c r="B350" s="36" t="s">
        <v>885</v>
      </c>
      <c r="C350" s="16" t="s">
        <v>867</v>
      </c>
      <c r="D350" s="16" t="s">
        <v>880</v>
      </c>
      <c r="E350" s="16" t="s">
        <v>48</v>
      </c>
      <c r="F350" s="16" t="s">
        <v>48</v>
      </c>
      <c r="G350" s="16" t="s">
        <v>48</v>
      </c>
      <c r="H350" s="16" t="s">
        <v>48</v>
      </c>
      <c r="I350" s="16" t="s">
        <v>48</v>
      </c>
      <c r="J350" s="16" t="s">
        <v>48</v>
      </c>
      <c r="K350" s="16" t="s">
        <v>48</v>
      </c>
      <c r="L350" s="16" t="s">
        <v>48</v>
      </c>
      <c r="M350" s="16" t="s">
        <v>48</v>
      </c>
      <c r="N350" s="16">
        <v>27</v>
      </c>
      <c r="O350" s="16" t="s">
        <v>864</v>
      </c>
      <c r="P350" s="16" t="s">
        <v>883</v>
      </c>
      <c r="Q350" s="32" t="s">
        <v>884</v>
      </c>
    </row>
    <row r="351" spans="1:17">
      <c r="A351" s="35">
        <v>45737</v>
      </c>
      <c r="B351" s="36" t="s">
        <v>885</v>
      </c>
      <c r="C351" s="16" t="s">
        <v>867</v>
      </c>
      <c r="D351" s="16" t="s">
        <v>881</v>
      </c>
      <c r="E351" s="16" t="s">
        <v>48</v>
      </c>
      <c r="F351" s="16" t="s">
        <v>48</v>
      </c>
      <c r="G351" s="16" t="s">
        <v>48</v>
      </c>
      <c r="H351" s="16" t="s">
        <v>48</v>
      </c>
      <c r="I351" s="16" t="s">
        <v>48</v>
      </c>
      <c r="J351" s="16" t="s">
        <v>48</v>
      </c>
      <c r="K351" s="16" t="s">
        <v>48</v>
      </c>
      <c r="L351" s="16" t="s">
        <v>48</v>
      </c>
      <c r="M351" s="16" t="s">
        <v>48</v>
      </c>
      <c r="N351" s="16">
        <f t="shared" ref="N351" si="0">186/2</f>
        <v>93</v>
      </c>
      <c r="O351" s="16" t="s">
        <v>864</v>
      </c>
      <c r="P351" s="16" t="s">
        <v>883</v>
      </c>
      <c r="Q351" s="32" t="s">
        <v>884</v>
      </c>
    </row>
    <row r="352" spans="1:17">
      <c r="A352" s="35">
        <v>45737</v>
      </c>
      <c r="B352" s="36" t="s">
        <v>885</v>
      </c>
      <c r="C352" s="16" t="s">
        <v>867</v>
      </c>
      <c r="D352" s="16" t="s">
        <v>882</v>
      </c>
      <c r="E352" s="16" t="s">
        <v>48</v>
      </c>
      <c r="F352" s="16" t="s">
        <v>48</v>
      </c>
      <c r="G352" s="16" t="s">
        <v>48</v>
      </c>
      <c r="H352" s="16" t="s">
        <v>48</v>
      </c>
      <c r="I352" s="16" t="s">
        <v>48</v>
      </c>
      <c r="J352" s="16" t="s">
        <v>48</v>
      </c>
      <c r="K352" s="16" t="s">
        <v>48</v>
      </c>
      <c r="L352" s="16" t="s">
        <v>48</v>
      </c>
      <c r="M352" s="16" t="s">
        <v>48</v>
      </c>
      <c r="N352" s="16">
        <v>54</v>
      </c>
      <c r="O352" s="16" t="s">
        <v>864</v>
      </c>
      <c r="P352" s="16" t="s">
        <v>883</v>
      </c>
      <c r="Q352" s="32" t="s">
        <v>884</v>
      </c>
    </row>
    <row r="353" spans="1:17">
      <c r="A353" s="35">
        <v>45740</v>
      </c>
      <c r="B353" s="36" t="s">
        <v>174</v>
      </c>
      <c r="C353" s="16" t="s">
        <v>887</v>
      </c>
      <c r="D353" s="16" t="s">
        <v>888</v>
      </c>
      <c r="E353" s="16" t="s">
        <v>746</v>
      </c>
      <c r="F353" s="16" t="s">
        <v>48</v>
      </c>
      <c r="G353" s="16" t="s">
        <v>48</v>
      </c>
      <c r="H353" s="16" t="s">
        <v>48</v>
      </c>
      <c r="I353" s="16" t="s">
        <v>48</v>
      </c>
      <c r="J353" s="16" t="s">
        <v>48</v>
      </c>
      <c r="K353" s="16" t="s">
        <v>48</v>
      </c>
      <c r="L353" s="16" t="s">
        <v>48</v>
      </c>
      <c r="M353" s="16" t="s">
        <v>48</v>
      </c>
      <c r="N353" s="16">
        <v>54</v>
      </c>
      <c r="O353" s="16" t="s">
        <v>790</v>
      </c>
      <c r="P353" s="16" t="s">
        <v>901</v>
      </c>
      <c r="Q353" s="32" t="s">
        <v>902</v>
      </c>
    </row>
    <row r="354" spans="1:17">
      <c r="A354" s="35">
        <v>45740</v>
      </c>
      <c r="B354" s="36" t="s">
        <v>174</v>
      </c>
      <c r="C354" s="16" t="s">
        <v>887</v>
      </c>
      <c r="D354" s="16" t="s">
        <v>888</v>
      </c>
      <c r="E354" s="16" t="s">
        <v>886</v>
      </c>
      <c r="F354" s="16" t="s">
        <v>48</v>
      </c>
      <c r="G354" s="16" t="s">
        <v>48</v>
      </c>
      <c r="H354" s="16" t="s">
        <v>48</v>
      </c>
      <c r="I354" s="16" t="s">
        <v>48</v>
      </c>
      <c r="J354" s="16" t="s">
        <v>48</v>
      </c>
      <c r="K354" s="16" t="s">
        <v>48</v>
      </c>
      <c r="L354" s="16" t="s">
        <v>48</v>
      </c>
      <c r="M354" s="16" t="s">
        <v>48</v>
      </c>
      <c r="N354" s="16">
        <v>42</v>
      </c>
      <c r="O354" s="16" t="s">
        <v>790</v>
      </c>
      <c r="P354" s="16" t="s">
        <v>901</v>
      </c>
      <c r="Q354" s="32" t="s">
        <v>902</v>
      </c>
    </row>
    <row r="355" spans="1:17">
      <c r="A355" s="35">
        <v>45740</v>
      </c>
      <c r="B355" s="36" t="s">
        <v>174</v>
      </c>
      <c r="C355" s="16" t="s">
        <v>887</v>
      </c>
      <c r="D355" s="16" t="s">
        <v>892</v>
      </c>
      <c r="E355" s="16" t="s">
        <v>889</v>
      </c>
      <c r="F355" s="16" t="s">
        <v>48</v>
      </c>
      <c r="G355" s="16" t="s">
        <v>48</v>
      </c>
      <c r="H355" s="16" t="s">
        <v>48</v>
      </c>
      <c r="I355" s="16" t="s">
        <v>48</v>
      </c>
      <c r="J355" s="16" t="s">
        <v>48</v>
      </c>
      <c r="K355" s="16" t="s">
        <v>48</v>
      </c>
      <c r="L355" s="16" t="s">
        <v>48</v>
      </c>
      <c r="M355" s="16" t="s">
        <v>48</v>
      </c>
      <c r="N355" s="16">
        <v>27</v>
      </c>
      <c r="O355" s="16" t="s">
        <v>790</v>
      </c>
      <c r="P355" s="16" t="s">
        <v>901</v>
      </c>
      <c r="Q355" s="32" t="s">
        <v>902</v>
      </c>
    </row>
    <row r="356" spans="1:17">
      <c r="A356" s="35">
        <v>45740</v>
      </c>
      <c r="B356" s="36" t="s">
        <v>174</v>
      </c>
      <c r="C356" s="16" t="s">
        <v>887</v>
      </c>
      <c r="D356" s="16" t="s">
        <v>892</v>
      </c>
      <c r="E356" s="16" t="s">
        <v>890</v>
      </c>
      <c r="F356" s="16" t="s">
        <v>48</v>
      </c>
      <c r="G356" s="16" t="s">
        <v>48</v>
      </c>
      <c r="H356" s="16" t="s">
        <v>48</v>
      </c>
      <c r="I356" s="16" t="s">
        <v>48</v>
      </c>
      <c r="J356" s="16" t="s">
        <v>48</v>
      </c>
      <c r="K356" s="16" t="s">
        <v>48</v>
      </c>
      <c r="L356" s="16" t="s">
        <v>48</v>
      </c>
      <c r="M356" s="16" t="s">
        <v>48</v>
      </c>
      <c r="N356" s="16">
        <v>27</v>
      </c>
      <c r="O356" s="16" t="s">
        <v>790</v>
      </c>
      <c r="P356" s="16" t="s">
        <v>901</v>
      </c>
      <c r="Q356" s="32" t="s">
        <v>902</v>
      </c>
    </row>
    <row r="357" spans="1:17">
      <c r="A357" s="35">
        <v>45740</v>
      </c>
      <c r="B357" s="36" t="s">
        <v>174</v>
      </c>
      <c r="C357" s="16" t="s">
        <v>887</v>
      </c>
      <c r="D357" s="16" t="s">
        <v>892</v>
      </c>
      <c r="E357" s="16" t="s">
        <v>891</v>
      </c>
      <c r="F357" s="16" t="s">
        <v>48</v>
      </c>
      <c r="G357" s="16" t="s">
        <v>48</v>
      </c>
      <c r="H357" s="16" t="s">
        <v>48</v>
      </c>
      <c r="I357" s="16" t="s">
        <v>48</v>
      </c>
      <c r="J357" s="16" t="s">
        <v>48</v>
      </c>
      <c r="K357" s="16" t="s">
        <v>48</v>
      </c>
      <c r="L357" s="16" t="s">
        <v>48</v>
      </c>
      <c r="M357" s="16" t="s">
        <v>48</v>
      </c>
      <c r="N357" s="16">
        <v>27</v>
      </c>
      <c r="O357" s="16" t="s">
        <v>790</v>
      </c>
      <c r="P357" s="16" t="s">
        <v>901</v>
      </c>
      <c r="Q357" s="32" t="s">
        <v>902</v>
      </c>
    </row>
    <row r="358" spans="1:17">
      <c r="A358" s="35">
        <v>45740</v>
      </c>
      <c r="B358" s="36" t="s">
        <v>174</v>
      </c>
      <c r="C358" s="16" t="s">
        <v>887</v>
      </c>
      <c r="D358" s="16" t="s">
        <v>892</v>
      </c>
      <c r="E358" s="16" t="s">
        <v>893</v>
      </c>
      <c r="F358" s="16" t="s">
        <v>48</v>
      </c>
      <c r="G358" s="16" t="s">
        <v>48</v>
      </c>
      <c r="H358" s="16" t="s">
        <v>48</v>
      </c>
      <c r="I358" s="16" t="s">
        <v>48</v>
      </c>
      <c r="J358" s="16" t="s">
        <v>48</v>
      </c>
      <c r="K358" s="16" t="s">
        <v>48</v>
      </c>
      <c r="L358" s="16" t="s">
        <v>48</v>
      </c>
      <c r="M358" s="16" t="s">
        <v>48</v>
      </c>
      <c r="N358" s="16">
        <v>27</v>
      </c>
      <c r="O358" s="16" t="s">
        <v>790</v>
      </c>
      <c r="P358" s="16" t="s">
        <v>901</v>
      </c>
      <c r="Q358" s="32" t="s">
        <v>902</v>
      </c>
    </row>
    <row r="359" spans="1:17">
      <c r="A359" s="35">
        <v>45740</v>
      </c>
      <c r="B359" s="36" t="s">
        <v>174</v>
      </c>
      <c r="C359" s="16" t="s">
        <v>887</v>
      </c>
      <c r="D359" s="16" t="s">
        <v>892</v>
      </c>
      <c r="E359" s="16" t="s">
        <v>894</v>
      </c>
      <c r="F359" s="16" t="s">
        <v>48</v>
      </c>
      <c r="G359" s="16" t="s">
        <v>48</v>
      </c>
      <c r="H359" s="16" t="s">
        <v>48</v>
      </c>
      <c r="I359" s="16" t="s">
        <v>48</v>
      </c>
      <c r="J359" s="16" t="s">
        <v>48</v>
      </c>
      <c r="K359" s="16" t="s">
        <v>48</v>
      </c>
      <c r="L359" s="16" t="s">
        <v>48</v>
      </c>
      <c r="M359" s="16" t="s">
        <v>48</v>
      </c>
      <c r="N359" s="16">
        <v>54</v>
      </c>
      <c r="O359" s="16" t="s">
        <v>790</v>
      </c>
      <c r="P359" s="16" t="s">
        <v>901</v>
      </c>
      <c r="Q359" s="32" t="s">
        <v>902</v>
      </c>
    </row>
    <row r="360" spans="1:17">
      <c r="A360" s="35">
        <v>45740</v>
      </c>
      <c r="B360" s="36" t="s">
        <v>174</v>
      </c>
      <c r="C360" s="16" t="s">
        <v>887</v>
      </c>
      <c r="D360" s="16" t="s">
        <v>892</v>
      </c>
      <c r="E360" s="16" t="s">
        <v>895</v>
      </c>
      <c r="F360" s="16" t="s">
        <v>48</v>
      </c>
      <c r="G360" s="16" t="s">
        <v>48</v>
      </c>
      <c r="H360" s="16" t="s">
        <v>48</v>
      </c>
      <c r="I360" s="16" t="s">
        <v>48</v>
      </c>
      <c r="J360" s="16" t="s">
        <v>48</v>
      </c>
      <c r="K360" s="16" t="s">
        <v>48</v>
      </c>
      <c r="L360" s="16" t="s">
        <v>48</v>
      </c>
      <c r="M360" s="16" t="s">
        <v>48</v>
      </c>
      <c r="N360" s="16">
        <v>54</v>
      </c>
      <c r="O360" s="16" t="s">
        <v>790</v>
      </c>
      <c r="P360" s="16" t="s">
        <v>901</v>
      </c>
      <c r="Q360" s="32" t="s">
        <v>902</v>
      </c>
    </row>
    <row r="361" spans="1:17">
      <c r="A361" s="35">
        <v>45740</v>
      </c>
      <c r="B361" s="36" t="s">
        <v>174</v>
      </c>
      <c r="C361" s="16" t="s">
        <v>887</v>
      </c>
      <c r="D361" s="16" t="s">
        <v>888</v>
      </c>
      <c r="E361" s="16" t="s">
        <v>896</v>
      </c>
      <c r="F361" s="16" t="s">
        <v>48</v>
      </c>
      <c r="G361" s="16" t="s">
        <v>48</v>
      </c>
      <c r="H361" s="16" t="s">
        <v>48</v>
      </c>
      <c r="I361" s="16" t="s">
        <v>48</v>
      </c>
      <c r="J361" s="16" t="s">
        <v>48</v>
      </c>
      <c r="K361" s="16" t="s">
        <v>48</v>
      </c>
      <c r="L361" s="16" t="s">
        <v>48</v>
      </c>
      <c r="M361" s="16" t="s">
        <v>48</v>
      </c>
      <c r="N361" s="16">
        <v>54</v>
      </c>
      <c r="O361" s="16" t="s">
        <v>790</v>
      </c>
      <c r="P361" s="16" t="s">
        <v>901</v>
      </c>
      <c r="Q361" s="32" t="s">
        <v>902</v>
      </c>
    </row>
    <row r="362" spans="1:17">
      <c r="A362" s="35">
        <v>45740</v>
      </c>
      <c r="B362" s="36" t="s">
        <v>174</v>
      </c>
      <c r="C362" s="16" t="s">
        <v>887</v>
      </c>
      <c r="D362" s="16" t="s">
        <v>888</v>
      </c>
      <c r="E362" s="16" t="s">
        <v>897</v>
      </c>
      <c r="F362" s="16" t="s">
        <v>48</v>
      </c>
      <c r="G362" s="16" t="s">
        <v>48</v>
      </c>
      <c r="H362" s="16" t="s">
        <v>48</v>
      </c>
      <c r="I362" s="16" t="s">
        <v>48</v>
      </c>
      <c r="J362" s="16" t="s">
        <v>48</v>
      </c>
      <c r="K362" s="16" t="s">
        <v>48</v>
      </c>
      <c r="L362" s="16" t="s">
        <v>48</v>
      </c>
      <c r="M362" s="16" t="s">
        <v>48</v>
      </c>
      <c r="N362" s="16">
        <v>54</v>
      </c>
      <c r="O362" s="16" t="s">
        <v>790</v>
      </c>
      <c r="P362" s="16" t="s">
        <v>901</v>
      </c>
      <c r="Q362" s="32" t="s">
        <v>902</v>
      </c>
    </row>
    <row r="363" spans="1:17">
      <c r="A363" s="35">
        <v>45740</v>
      </c>
      <c r="B363" s="36" t="s">
        <v>174</v>
      </c>
      <c r="C363" s="16" t="s">
        <v>887</v>
      </c>
      <c r="D363" s="16" t="s">
        <v>899</v>
      </c>
      <c r="E363" s="16" t="s">
        <v>898</v>
      </c>
      <c r="F363" s="16" t="s">
        <v>48</v>
      </c>
      <c r="G363" s="16" t="s">
        <v>48</v>
      </c>
      <c r="H363" s="16" t="s">
        <v>48</v>
      </c>
      <c r="I363" s="16" t="s">
        <v>48</v>
      </c>
      <c r="J363" s="16" t="s">
        <v>48</v>
      </c>
      <c r="K363" s="16" t="s">
        <v>48</v>
      </c>
      <c r="L363" s="16" t="s">
        <v>48</v>
      </c>
      <c r="M363" s="16" t="s">
        <v>48</v>
      </c>
      <c r="N363" s="16">
        <f>25+27</f>
        <v>52</v>
      </c>
      <c r="O363" s="16" t="s">
        <v>790</v>
      </c>
      <c r="P363" s="16" t="s">
        <v>901</v>
      </c>
      <c r="Q363" s="32" t="s">
        <v>902</v>
      </c>
    </row>
    <row r="364" spans="1:17">
      <c r="A364" s="35">
        <v>45740</v>
      </c>
      <c r="B364" s="36" t="s">
        <v>174</v>
      </c>
      <c r="C364" s="16" t="s">
        <v>887</v>
      </c>
      <c r="D364" s="16" t="s">
        <v>899</v>
      </c>
      <c r="E364" s="16" t="s">
        <v>886</v>
      </c>
      <c r="F364" s="16" t="s">
        <v>48</v>
      </c>
      <c r="G364" s="16" t="s">
        <v>48</v>
      </c>
      <c r="H364" s="16" t="s">
        <v>48</v>
      </c>
      <c r="I364" s="16" t="s">
        <v>48</v>
      </c>
      <c r="J364" s="16" t="s">
        <v>48</v>
      </c>
      <c r="K364" s="16" t="s">
        <v>48</v>
      </c>
      <c r="L364" s="16" t="s">
        <v>48</v>
      </c>
      <c r="M364" s="16" t="s">
        <v>48</v>
      </c>
      <c r="N364" s="16">
        <v>27</v>
      </c>
      <c r="O364" s="16" t="s">
        <v>790</v>
      </c>
      <c r="P364" s="16" t="s">
        <v>901</v>
      </c>
      <c r="Q364" s="32" t="s">
        <v>902</v>
      </c>
    </row>
    <row r="365" spans="1:17">
      <c r="A365" s="35">
        <v>45740</v>
      </c>
      <c r="B365" s="36" t="s">
        <v>174</v>
      </c>
      <c r="C365" s="16" t="s">
        <v>887</v>
      </c>
      <c r="D365" s="16" t="s">
        <v>899</v>
      </c>
      <c r="E365" s="16" t="s">
        <v>872</v>
      </c>
      <c r="F365" s="16" t="s">
        <v>48</v>
      </c>
      <c r="G365" s="16" t="s">
        <v>48</v>
      </c>
      <c r="H365" s="16" t="s">
        <v>48</v>
      </c>
      <c r="I365" s="16" t="s">
        <v>48</v>
      </c>
      <c r="J365" s="16" t="s">
        <v>48</v>
      </c>
      <c r="K365" s="16" t="s">
        <v>48</v>
      </c>
      <c r="L365" s="16" t="s">
        <v>48</v>
      </c>
      <c r="M365" s="16" t="s">
        <v>48</v>
      </c>
      <c r="N365" s="16">
        <v>1</v>
      </c>
      <c r="O365" s="16" t="s">
        <v>790</v>
      </c>
      <c r="P365" s="16" t="s">
        <v>901</v>
      </c>
      <c r="Q365" s="32" t="s">
        <v>902</v>
      </c>
    </row>
    <row r="366" spans="1:17">
      <c r="A366" s="35">
        <v>45740</v>
      </c>
      <c r="B366" s="15" t="s">
        <v>104</v>
      </c>
      <c r="C366" s="16" t="s">
        <v>887</v>
      </c>
      <c r="D366" s="16" t="s">
        <v>48</v>
      </c>
      <c r="E366" s="16" t="s">
        <v>48</v>
      </c>
      <c r="F366" s="16" t="s">
        <v>48</v>
      </c>
      <c r="G366" s="16" t="s">
        <v>48</v>
      </c>
      <c r="H366" s="16" t="s">
        <v>48</v>
      </c>
      <c r="I366" s="16" t="s">
        <v>48</v>
      </c>
      <c r="J366" s="16" t="s">
        <v>48</v>
      </c>
      <c r="K366" s="16" t="s">
        <v>48</v>
      </c>
      <c r="L366" s="16" t="s">
        <v>48</v>
      </c>
      <c r="M366" s="16" t="s">
        <v>48</v>
      </c>
      <c r="N366" s="16">
        <v>8</v>
      </c>
      <c r="O366" s="16" t="s">
        <v>55</v>
      </c>
      <c r="P366" s="32" t="s">
        <v>908</v>
      </c>
      <c r="Q366" s="32" t="s">
        <v>913</v>
      </c>
    </row>
    <row r="367" spans="1:17">
      <c r="A367" s="35">
        <v>45740</v>
      </c>
      <c r="B367" s="15" t="s">
        <v>904</v>
      </c>
      <c r="C367" s="16" t="s">
        <v>887</v>
      </c>
      <c r="D367" s="16" t="s">
        <v>905</v>
      </c>
      <c r="E367" s="16" t="s">
        <v>48</v>
      </c>
      <c r="F367" s="16" t="s">
        <v>48</v>
      </c>
      <c r="G367" s="16" t="s">
        <v>48</v>
      </c>
      <c r="H367" s="16" t="s">
        <v>48</v>
      </c>
      <c r="I367" s="16" t="s">
        <v>48</v>
      </c>
      <c r="J367" s="16" t="s">
        <v>48</v>
      </c>
      <c r="K367" s="16" t="s">
        <v>48</v>
      </c>
      <c r="L367" s="16" t="s">
        <v>48</v>
      </c>
      <c r="M367" s="16" t="s">
        <v>48</v>
      </c>
      <c r="N367" s="16">
        <v>5</v>
      </c>
      <c r="O367" s="16" t="s">
        <v>55</v>
      </c>
      <c r="P367" s="32" t="s">
        <v>903</v>
      </c>
      <c r="Q367" s="32" t="s">
        <v>912</v>
      </c>
    </row>
    <row r="368" spans="1:17">
      <c r="A368" s="35">
        <v>45740</v>
      </c>
      <c r="B368" s="15" t="s">
        <v>907</v>
      </c>
      <c r="C368" s="16" t="s">
        <v>887</v>
      </c>
      <c r="D368" s="16" t="s">
        <v>48</v>
      </c>
      <c r="E368" s="16" t="s">
        <v>48</v>
      </c>
      <c r="F368" s="16" t="s">
        <v>48</v>
      </c>
      <c r="G368" s="16" t="s">
        <v>48</v>
      </c>
      <c r="H368" s="16" t="s">
        <v>48</v>
      </c>
      <c r="I368" s="16" t="s">
        <v>48</v>
      </c>
      <c r="J368" s="16" t="s">
        <v>48</v>
      </c>
      <c r="K368" s="16" t="s">
        <v>48</v>
      </c>
      <c r="L368" s="16" t="s">
        <v>48</v>
      </c>
      <c r="M368" s="16" t="s">
        <v>48</v>
      </c>
      <c r="N368" s="16">
        <v>10</v>
      </c>
      <c r="O368" s="16" t="s">
        <v>55</v>
      </c>
      <c r="P368" s="32" t="s">
        <v>906</v>
      </c>
      <c r="Q368" s="32" t="s">
        <v>900</v>
      </c>
    </row>
    <row r="369" spans="1:17">
      <c r="A369" s="35">
        <v>45740</v>
      </c>
      <c r="B369" s="36" t="s">
        <v>40</v>
      </c>
      <c r="C369" s="16" t="s">
        <v>887</v>
      </c>
      <c r="D369" s="16" t="s">
        <v>48</v>
      </c>
      <c r="E369" s="16" t="s">
        <v>48</v>
      </c>
      <c r="F369" s="16" t="s">
        <v>48</v>
      </c>
      <c r="G369" s="16" t="s">
        <v>48</v>
      </c>
      <c r="H369" s="16" t="s">
        <v>48</v>
      </c>
      <c r="I369" s="16" t="s">
        <v>48</v>
      </c>
      <c r="J369" s="16" t="s">
        <v>48</v>
      </c>
      <c r="K369" s="16" t="s">
        <v>48</v>
      </c>
      <c r="L369" s="16" t="s">
        <v>48</v>
      </c>
      <c r="M369" s="16" t="s">
        <v>48</v>
      </c>
      <c r="N369" s="16">
        <v>1</v>
      </c>
      <c r="O369" s="16" t="s">
        <v>55</v>
      </c>
      <c r="P369" s="32" t="s">
        <v>903</v>
      </c>
      <c r="Q369" s="32" t="s">
        <v>914</v>
      </c>
    </row>
    <row r="370" spans="1:17">
      <c r="A370" s="35">
        <v>45740</v>
      </c>
      <c r="B370" s="15" t="s">
        <v>214</v>
      </c>
      <c r="C370" s="16" t="s">
        <v>887</v>
      </c>
      <c r="D370" s="16" t="s">
        <v>48</v>
      </c>
      <c r="E370" s="16" t="s">
        <v>48</v>
      </c>
      <c r="F370" s="16" t="s">
        <v>48</v>
      </c>
      <c r="G370" s="16" t="s">
        <v>48</v>
      </c>
      <c r="H370" s="16" t="s">
        <v>48</v>
      </c>
      <c r="I370" s="16" t="s">
        <v>48</v>
      </c>
      <c r="J370" s="16" t="s">
        <v>48</v>
      </c>
      <c r="K370" s="16" t="s">
        <v>48</v>
      </c>
      <c r="L370" s="16" t="s">
        <v>48</v>
      </c>
      <c r="M370" s="16" t="s">
        <v>48</v>
      </c>
      <c r="N370" s="16">
        <v>200</v>
      </c>
      <c r="O370" s="16" t="s">
        <v>911</v>
      </c>
      <c r="P370" s="32" t="s">
        <v>909</v>
      </c>
      <c r="Q370" s="32" t="s">
        <v>915</v>
      </c>
    </row>
    <row r="371" spans="1:17">
      <c r="A371" s="35">
        <v>45740</v>
      </c>
      <c r="B371" s="15" t="s">
        <v>843</v>
      </c>
      <c r="C371" s="16" t="s">
        <v>887</v>
      </c>
      <c r="D371" s="16" t="s">
        <v>48</v>
      </c>
      <c r="E371" s="16" t="s">
        <v>48</v>
      </c>
      <c r="F371" s="16" t="s">
        <v>48</v>
      </c>
      <c r="G371" s="16" t="s">
        <v>48</v>
      </c>
      <c r="H371" s="16" t="s">
        <v>48</v>
      </c>
      <c r="I371" s="16" t="s">
        <v>48</v>
      </c>
      <c r="J371" s="16" t="s">
        <v>48</v>
      </c>
      <c r="K371" s="16" t="s">
        <v>48</v>
      </c>
      <c r="L371" s="16" t="s">
        <v>48</v>
      </c>
      <c r="M371" s="16" t="s">
        <v>48</v>
      </c>
      <c r="N371" s="16">
        <v>600</v>
      </c>
      <c r="O371" s="16" t="s">
        <v>911</v>
      </c>
      <c r="P371" s="32" t="s">
        <v>910</v>
      </c>
      <c r="Q371" s="32" t="s">
        <v>916</v>
      </c>
    </row>
    <row r="372" spans="1:17">
      <c r="A372" s="35">
        <v>45740</v>
      </c>
      <c r="B372" s="36" t="s">
        <v>174</v>
      </c>
      <c r="C372" s="16" t="s">
        <v>887</v>
      </c>
      <c r="D372" s="16" t="s">
        <v>919</v>
      </c>
      <c r="E372" s="16" t="s">
        <v>872</v>
      </c>
      <c r="F372" s="16" t="s">
        <v>48</v>
      </c>
      <c r="G372" s="16" t="s">
        <v>48</v>
      </c>
      <c r="H372" s="16" t="s">
        <v>48</v>
      </c>
      <c r="I372" s="16" t="s">
        <v>48</v>
      </c>
      <c r="J372" s="16" t="s">
        <v>48</v>
      </c>
      <c r="K372" s="16" t="s">
        <v>48</v>
      </c>
      <c r="L372" s="16" t="s">
        <v>48</v>
      </c>
      <c r="M372" s="16" t="s">
        <v>48</v>
      </c>
      <c r="N372" s="16">
        <v>33</v>
      </c>
      <c r="O372" s="16" t="s">
        <v>790</v>
      </c>
      <c r="P372" s="16" t="s">
        <v>921</v>
      </c>
      <c r="Q372" s="32" t="s">
        <v>1045</v>
      </c>
    </row>
    <row r="373" spans="1:17">
      <c r="A373" s="35">
        <v>45740</v>
      </c>
      <c r="B373" s="36" t="s">
        <v>174</v>
      </c>
      <c r="C373" s="16" t="s">
        <v>887</v>
      </c>
      <c r="D373" s="16" t="s">
        <v>919</v>
      </c>
      <c r="E373" s="16" t="s">
        <v>917</v>
      </c>
      <c r="F373" s="16" t="s">
        <v>48</v>
      </c>
      <c r="G373" s="16" t="s">
        <v>48</v>
      </c>
      <c r="H373" s="16" t="s">
        <v>48</v>
      </c>
      <c r="I373" s="16" t="s">
        <v>48</v>
      </c>
      <c r="J373" s="16" t="s">
        <v>48</v>
      </c>
      <c r="K373" s="16" t="s">
        <v>48</v>
      </c>
      <c r="L373" s="16" t="s">
        <v>48</v>
      </c>
      <c r="M373" s="16" t="s">
        <v>48</v>
      </c>
      <c r="N373" s="16">
        <v>27</v>
      </c>
      <c r="O373" s="16" t="s">
        <v>790</v>
      </c>
      <c r="P373" s="16" t="s">
        <v>921</v>
      </c>
      <c r="Q373" s="32" t="s">
        <v>1045</v>
      </c>
    </row>
    <row r="374" spans="1:17">
      <c r="A374" s="35">
        <v>45740</v>
      </c>
      <c r="B374" s="36" t="s">
        <v>174</v>
      </c>
      <c r="C374" s="16" t="s">
        <v>887</v>
      </c>
      <c r="D374" s="16" t="s">
        <v>919</v>
      </c>
      <c r="E374" s="16" t="s">
        <v>891</v>
      </c>
      <c r="F374" s="16" t="s">
        <v>48</v>
      </c>
      <c r="G374" s="16" t="s">
        <v>48</v>
      </c>
      <c r="H374" s="16" t="s">
        <v>48</v>
      </c>
      <c r="I374" s="16" t="s">
        <v>48</v>
      </c>
      <c r="J374" s="16" t="s">
        <v>48</v>
      </c>
      <c r="K374" s="16" t="s">
        <v>48</v>
      </c>
      <c r="L374" s="16" t="s">
        <v>48</v>
      </c>
      <c r="M374" s="16" t="s">
        <v>48</v>
      </c>
      <c r="N374" s="16">
        <v>27</v>
      </c>
      <c r="O374" s="16" t="s">
        <v>790</v>
      </c>
      <c r="P374" s="16" t="s">
        <v>921</v>
      </c>
      <c r="Q374" s="32" t="s">
        <v>1045</v>
      </c>
    </row>
    <row r="375" spans="1:17">
      <c r="A375" s="35">
        <v>45740</v>
      </c>
      <c r="B375" s="36" t="s">
        <v>174</v>
      </c>
      <c r="C375" s="16" t="s">
        <v>887</v>
      </c>
      <c r="D375" s="16" t="s">
        <v>899</v>
      </c>
      <c r="E375" s="16" t="s">
        <v>918</v>
      </c>
      <c r="F375" s="16" t="s">
        <v>48</v>
      </c>
      <c r="G375" s="16" t="s">
        <v>48</v>
      </c>
      <c r="H375" s="16" t="s">
        <v>48</v>
      </c>
      <c r="I375" s="16" t="s">
        <v>48</v>
      </c>
      <c r="J375" s="16" t="s">
        <v>48</v>
      </c>
      <c r="K375" s="16" t="s">
        <v>48</v>
      </c>
      <c r="L375" s="16" t="s">
        <v>48</v>
      </c>
      <c r="M375" s="16" t="s">
        <v>48</v>
      </c>
      <c r="N375" s="16">
        <v>34</v>
      </c>
      <c r="O375" s="16" t="s">
        <v>790</v>
      </c>
      <c r="P375" s="16" t="s">
        <v>921</v>
      </c>
      <c r="Q375" s="32" t="s">
        <v>1045</v>
      </c>
    </row>
    <row r="376" spans="1:17">
      <c r="A376" s="35">
        <v>45741</v>
      </c>
      <c r="B376" s="36" t="s">
        <v>174</v>
      </c>
      <c r="C376" s="16" t="s">
        <v>922</v>
      </c>
      <c r="D376" s="16" t="s">
        <v>899</v>
      </c>
      <c r="E376" s="16" t="s">
        <v>918</v>
      </c>
      <c r="F376" s="16" t="s">
        <v>48</v>
      </c>
      <c r="G376" s="16" t="s">
        <v>48</v>
      </c>
      <c r="H376" s="16" t="s">
        <v>48</v>
      </c>
      <c r="I376" s="16" t="s">
        <v>48</v>
      </c>
      <c r="J376" s="16" t="s">
        <v>48</v>
      </c>
      <c r="K376" s="16" t="s">
        <v>48</v>
      </c>
      <c r="L376" s="16" t="s">
        <v>48</v>
      </c>
      <c r="M376" s="16" t="s">
        <v>48</v>
      </c>
      <c r="N376" s="16">
        <v>16</v>
      </c>
      <c r="O376" s="16" t="s">
        <v>790</v>
      </c>
      <c r="P376" s="16" t="s">
        <v>921</v>
      </c>
      <c r="Q376" s="32" t="s">
        <v>1045</v>
      </c>
    </row>
    <row r="377" spans="1:17">
      <c r="A377" s="35">
        <v>45741</v>
      </c>
      <c r="B377" s="36" t="s">
        <v>174</v>
      </c>
      <c r="C377" s="16" t="s">
        <v>922</v>
      </c>
      <c r="D377" s="16" t="s">
        <v>899</v>
      </c>
      <c r="E377" s="16" t="s">
        <v>920</v>
      </c>
      <c r="F377" s="16" t="s">
        <v>48</v>
      </c>
      <c r="G377" s="16" t="s">
        <v>48</v>
      </c>
      <c r="H377" s="16" t="s">
        <v>48</v>
      </c>
      <c r="I377" s="16" t="s">
        <v>48</v>
      </c>
      <c r="J377" s="16" t="s">
        <v>48</v>
      </c>
      <c r="K377" s="16" t="s">
        <v>48</v>
      </c>
      <c r="L377" s="16" t="s">
        <v>48</v>
      </c>
      <c r="M377" s="16" t="s">
        <v>48</v>
      </c>
      <c r="N377" s="16">
        <v>27</v>
      </c>
      <c r="O377" s="16" t="s">
        <v>790</v>
      </c>
      <c r="P377" s="16" t="s">
        <v>921</v>
      </c>
      <c r="Q377" s="32" t="s">
        <v>1045</v>
      </c>
    </row>
    <row r="378" spans="1:17">
      <c r="A378" s="35">
        <v>45741</v>
      </c>
      <c r="B378" s="36" t="s">
        <v>174</v>
      </c>
      <c r="C378" s="16" t="s">
        <v>922</v>
      </c>
      <c r="D378" s="16" t="s">
        <v>899</v>
      </c>
      <c r="E378" s="16" t="s">
        <v>923</v>
      </c>
      <c r="F378" s="16" t="s">
        <v>48</v>
      </c>
      <c r="G378" s="16" t="s">
        <v>48</v>
      </c>
      <c r="H378" s="16" t="s">
        <v>48</v>
      </c>
      <c r="I378" s="16" t="s">
        <v>48</v>
      </c>
      <c r="J378" s="16" t="s">
        <v>48</v>
      </c>
      <c r="K378" s="16" t="s">
        <v>48</v>
      </c>
      <c r="L378" s="16" t="s">
        <v>48</v>
      </c>
      <c r="M378" s="16" t="s">
        <v>48</v>
      </c>
      <c r="N378" s="16">
        <v>27</v>
      </c>
      <c r="O378" s="16" t="s">
        <v>790</v>
      </c>
      <c r="P378" s="16" t="s">
        <v>921</v>
      </c>
      <c r="Q378" s="32" t="s">
        <v>1045</v>
      </c>
    </row>
    <row r="379" spans="1:17">
      <c r="A379" s="35">
        <v>45741</v>
      </c>
      <c r="B379" s="36" t="s">
        <v>174</v>
      </c>
      <c r="C379" s="16" t="s">
        <v>922</v>
      </c>
      <c r="D379" s="16" t="s">
        <v>899</v>
      </c>
      <c r="E379" s="16" t="s">
        <v>924</v>
      </c>
      <c r="F379" s="16" t="s">
        <v>48</v>
      </c>
      <c r="G379" s="16" t="s">
        <v>48</v>
      </c>
      <c r="H379" s="16" t="s">
        <v>48</v>
      </c>
      <c r="I379" s="16" t="s">
        <v>48</v>
      </c>
      <c r="J379" s="16" t="s">
        <v>48</v>
      </c>
      <c r="K379" s="16" t="s">
        <v>48</v>
      </c>
      <c r="L379" s="16" t="s">
        <v>48</v>
      </c>
      <c r="M379" s="16" t="s">
        <v>48</v>
      </c>
      <c r="N379" s="16">
        <v>27</v>
      </c>
      <c r="O379" s="16" t="s">
        <v>790</v>
      </c>
      <c r="P379" s="16" t="s">
        <v>921</v>
      </c>
      <c r="Q379" s="32" t="s">
        <v>1045</v>
      </c>
    </row>
    <row r="380" spans="1:17">
      <c r="A380" s="35">
        <v>45741</v>
      </c>
      <c r="B380" s="36" t="s">
        <v>174</v>
      </c>
      <c r="C380" s="16" t="s">
        <v>922</v>
      </c>
      <c r="D380" s="16" t="s">
        <v>888</v>
      </c>
      <c r="E380" s="16" t="s">
        <v>925</v>
      </c>
      <c r="F380" s="16" t="s">
        <v>48</v>
      </c>
      <c r="G380" s="16" t="s">
        <v>48</v>
      </c>
      <c r="H380" s="16" t="s">
        <v>48</v>
      </c>
      <c r="I380" s="16" t="s">
        <v>48</v>
      </c>
      <c r="J380" s="16" t="s">
        <v>48</v>
      </c>
      <c r="K380" s="16" t="s">
        <v>48</v>
      </c>
      <c r="L380" s="16" t="s">
        <v>48</v>
      </c>
      <c r="M380" s="16" t="s">
        <v>48</v>
      </c>
      <c r="N380" s="16">
        <v>27</v>
      </c>
      <c r="O380" s="16" t="s">
        <v>790</v>
      </c>
      <c r="P380" s="16" t="s">
        <v>921</v>
      </c>
      <c r="Q380" s="32" t="s">
        <v>1045</v>
      </c>
    </row>
    <row r="381" spans="1:17">
      <c r="A381" s="35">
        <v>45741</v>
      </c>
      <c r="B381" s="36" t="s">
        <v>174</v>
      </c>
      <c r="C381" s="16" t="s">
        <v>922</v>
      </c>
      <c r="D381" s="16" t="s">
        <v>888</v>
      </c>
      <c r="E381" s="16" t="s">
        <v>926</v>
      </c>
      <c r="F381" s="16" t="s">
        <v>48</v>
      </c>
      <c r="G381" s="16" t="s">
        <v>48</v>
      </c>
      <c r="H381" s="16" t="s">
        <v>48</v>
      </c>
      <c r="I381" s="16" t="s">
        <v>48</v>
      </c>
      <c r="J381" s="16" t="s">
        <v>48</v>
      </c>
      <c r="K381" s="16" t="s">
        <v>48</v>
      </c>
      <c r="L381" s="16" t="s">
        <v>48</v>
      </c>
      <c r="M381" s="16" t="s">
        <v>48</v>
      </c>
      <c r="N381" s="16">
        <v>54</v>
      </c>
      <c r="O381" s="16" t="s">
        <v>790</v>
      </c>
      <c r="P381" s="16" t="s">
        <v>921</v>
      </c>
      <c r="Q381" s="32" t="s">
        <v>1045</v>
      </c>
    </row>
    <row r="382" spans="1:17">
      <c r="A382" s="35">
        <v>45741</v>
      </c>
      <c r="B382" s="36" t="s">
        <v>174</v>
      </c>
      <c r="C382" s="16" t="s">
        <v>922</v>
      </c>
      <c r="D382" s="16" t="s">
        <v>888</v>
      </c>
      <c r="E382" s="16" t="s">
        <v>927</v>
      </c>
      <c r="F382" s="16" t="s">
        <v>48</v>
      </c>
      <c r="G382" s="16" t="s">
        <v>48</v>
      </c>
      <c r="H382" s="16" t="s">
        <v>48</v>
      </c>
      <c r="I382" s="16" t="s">
        <v>48</v>
      </c>
      <c r="J382" s="16" t="s">
        <v>48</v>
      </c>
      <c r="K382" s="16" t="s">
        <v>48</v>
      </c>
      <c r="L382" s="16" t="s">
        <v>48</v>
      </c>
      <c r="M382" s="16" t="s">
        <v>48</v>
      </c>
      <c r="N382" s="16">
        <v>54</v>
      </c>
      <c r="O382" s="16" t="s">
        <v>790</v>
      </c>
      <c r="P382" s="16" t="s">
        <v>921</v>
      </c>
      <c r="Q382" s="32" t="s">
        <v>1045</v>
      </c>
    </row>
    <row r="383" spans="1:17">
      <c r="A383" s="35">
        <v>45741</v>
      </c>
      <c r="B383" s="36" t="s">
        <v>174</v>
      </c>
      <c r="C383" s="16" t="s">
        <v>922</v>
      </c>
      <c r="D383" s="16" t="s">
        <v>930</v>
      </c>
      <c r="E383" s="16" t="s">
        <v>928</v>
      </c>
      <c r="F383" s="16" t="s">
        <v>48</v>
      </c>
      <c r="G383" s="16" t="s">
        <v>48</v>
      </c>
      <c r="H383" s="16" t="s">
        <v>48</v>
      </c>
      <c r="I383" s="16" t="s">
        <v>48</v>
      </c>
      <c r="J383" s="16" t="s">
        <v>48</v>
      </c>
      <c r="K383" s="16" t="s">
        <v>48</v>
      </c>
      <c r="L383" s="16" t="s">
        <v>48</v>
      </c>
      <c r="M383" s="16" t="s">
        <v>48</v>
      </c>
      <c r="N383" s="16">
        <v>27</v>
      </c>
      <c r="O383" s="16" t="s">
        <v>790</v>
      </c>
      <c r="P383" s="16" t="s">
        <v>921</v>
      </c>
      <c r="Q383" s="32" t="s">
        <v>1045</v>
      </c>
    </row>
    <row r="384" spans="1:17">
      <c r="A384" s="35">
        <v>45741</v>
      </c>
      <c r="B384" s="36" t="s">
        <v>174</v>
      </c>
      <c r="C384" s="16" t="s">
        <v>922</v>
      </c>
      <c r="D384" s="16" t="s">
        <v>930</v>
      </c>
      <c r="E384" s="16" t="s">
        <v>929</v>
      </c>
      <c r="F384" s="16" t="s">
        <v>48</v>
      </c>
      <c r="G384" s="16" t="s">
        <v>48</v>
      </c>
      <c r="H384" s="16" t="s">
        <v>48</v>
      </c>
      <c r="I384" s="16" t="s">
        <v>48</v>
      </c>
      <c r="J384" s="16" t="s">
        <v>48</v>
      </c>
      <c r="K384" s="16" t="s">
        <v>48</v>
      </c>
      <c r="L384" s="16" t="s">
        <v>48</v>
      </c>
      <c r="M384" s="16" t="s">
        <v>48</v>
      </c>
      <c r="N384" s="16">
        <v>54</v>
      </c>
      <c r="O384" s="16" t="s">
        <v>790</v>
      </c>
      <c r="P384" s="16" t="s">
        <v>921</v>
      </c>
      <c r="Q384" s="32" t="s">
        <v>1045</v>
      </c>
    </row>
    <row r="385" spans="1:17">
      <c r="A385" s="35">
        <v>45741</v>
      </c>
      <c r="B385" s="36" t="s">
        <v>174</v>
      </c>
      <c r="C385" s="16" t="s">
        <v>922</v>
      </c>
      <c r="D385" s="16" t="s">
        <v>932</v>
      </c>
      <c r="E385" s="16" t="s">
        <v>931</v>
      </c>
      <c r="F385" s="16" t="s">
        <v>48</v>
      </c>
      <c r="G385" s="16" t="s">
        <v>48</v>
      </c>
      <c r="H385" s="16" t="s">
        <v>48</v>
      </c>
      <c r="I385" s="16" t="s">
        <v>48</v>
      </c>
      <c r="J385" s="16" t="s">
        <v>48</v>
      </c>
      <c r="K385" s="16" t="s">
        <v>48</v>
      </c>
      <c r="L385" s="16" t="s">
        <v>48</v>
      </c>
      <c r="M385" s="16" t="s">
        <v>48</v>
      </c>
      <c r="N385" s="16">
        <f>132/2</f>
        <v>66</v>
      </c>
      <c r="O385" s="16" t="s">
        <v>790</v>
      </c>
      <c r="P385" s="16" t="s">
        <v>921</v>
      </c>
      <c r="Q385" s="32" t="s">
        <v>1045</v>
      </c>
    </row>
    <row r="386" spans="1:17">
      <c r="A386" s="35">
        <v>45741</v>
      </c>
      <c r="B386" s="36" t="s">
        <v>174</v>
      </c>
      <c r="C386" s="16" t="s">
        <v>922</v>
      </c>
      <c r="D386" s="16" t="s">
        <v>932</v>
      </c>
      <c r="E386" s="16" t="s">
        <v>931</v>
      </c>
      <c r="F386" s="16" t="s">
        <v>48</v>
      </c>
      <c r="G386" s="16" t="s">
        <v>48</v>
      </c>
      <c r="H386" s="16" t="s">
        <v>48</v>
      </c>
      <c r="I386" s="16" t="s">
        <v>48</v>
      </c>
      <c r="J386" s="16" t="s">
        <v>48</v>
      </c>
      <c r="K386" s="16" t="s">
        <v>48</v>
      </c>
      <c r="L386" s="16" t="s">
        <v>48</v>
      </c>
      <c r="M386" s="16" t="s">
        <v>48</v>
      </c>
      <c r="N386" s="16">
        <v>9</v>
      </c>
      <c r="O386" s="16" t="s">
        <v>790</v>
      </c>
      <c r="P386" s="16" t="s">
        <v>933</v>
      </c>
      <c r="Q386" s="32" t="s">
        <v>1046</v>
      </c>
    </row>
    <row r="387" spans="1:17">
      <c r="A387" s="35">
        <v>45741</v>
      </c>
      <c r="B387" s="36" t="s">
        <v>174</v>
      </c>
      <c r="C387" s="16" t="s">
        <v>922</v>
      </c>
      <c r="D387" s="16" t="s">
        <v>932</v>
      </c>
      <c r="E387" s="16" t="s">
        <v>934</v>
      </c>
      <c r="F387" s="16" t="s">
        <v>48</v>
      </c>
      <c r="G387" s="16" t="s">
        <v>48</v>
      </c>
      <c r="H387" s="16" t="s">
        <v>48</v>
      </c>
      <c r="I387" s="16" t="s">
        <v>48</v>
      </c>
      <c r="J387" s="16" t="s">
        <v>48</v>
      </c>
      <c r="K387" s="16" t="s">
        <v>48</v>
      </c>
      <c r="L387" s="16" t="s">
        <v>48</v>
      </c>
      <c r="M387" s="16" t="s">
        <v>48</v>
      </c>
      <c r="N387" s="16">
        <f>54+21</f>
        <v>75</v>
      </c>
      <c r="O387" s="16" t="s">
        <v>790</v>
      </c>
      <c r="P387" s="16" t="s">
        <v>933</v>
      </c>
      <c r="Q387" s="32" t="s">
        <v>1046</v>
      </c>
    </row>
    <row r="388" spans="1:17">
      <c r="A388" s="35">
        <v>45741</v>
      </c>
      <c r="B388" s="36" t="s">
        <v>174</v>
      </c>
      <c r="C388" s="16" t="s">
        <v>922</v>
      </c>
      <c r="D388" s="16" t="s">
        <v>932</v>
      </c>
      <c r="E388" s="16" t="s">
        <v>935</v>
      </c>
      <c r="F388" s="16" t="s">
        <v>48</v>
      </c>
      <c r="G388" s="16" t="s">
        <v>48</v>
      </c>
      <c r="H388" s="16" t="s">
        <v>48</v>
      </c>
      <c r="I388" s="16" t="s">
        <v>48</v>
      </c>
      <c r="J388" s="16" t="s">
        <v>48</v>
      </c>
      <c r="K388" s="16" t="s">
        <v>48</v>
      </c>
      <c r="L388" s="16" t="s">
        <v>48</v>
      </c>
      <c r="M388" s="16" t="s">
        <v>48</v>
      </c>
      <c r="N388" s="16">
        <v>54</v>
      </c>
      <c r="O388" s="16" t="s">
        <v>790</v>
      </c>
      <c r="P388" s="16" t="s">
        <v>933</v>
      </c>
      <c r="Q388" s="32" t="s">
        <v>1046</v>
      </c>
    </row>
    <row r="389" spans="1:17">
      <c r="A389" s="35">
        <v>45741</v>
      </c>
      <c r="B389" s="36" t="s">
        <v>174</v>
      </c>
      <c r="C389" s="16" t="s">
        <v>922</v>
      </c>
      <c r="D389" s="16" t="s">
        <v>932</v>
      </c>
      <c r="E389" s="16" t="s">
        <v>936</v>
      </c>
      <c r="F389" s="16" t="s">
        <v>48</v>
      </c>
      <c r="G389" s="16" t="s">
        <v>48</v>
      </c>
      <c r="H389" s="16" t="s">
        <v>48</v>
      </c>
      <c r="I389" s="16" t="s">
        <v>48</v>
      </c>
      <c r="J389" s="16" t="s">
        <v>48</v>
      </c>
      <c r="K389" s="16" t="s">
        <v>48</v>
      </c>
      <c r="L389" s="16" t="s">
        <v>48</v>
      </c>
      <c r="M389" s="16" t="s">
        <v>48</v>
      </c>
      <c r="N389" s="16">
        <v>54</v>
      </c>
      <c r="O389" s="16" t="s">
        <v>790</v>
      </c>
      <c r="P389" s="16" t="s">
        <v>933</v>
      </c>
      <c r="Q389" s="32" t="s">
        <v>1046</v>
      </c>
    </row>
    <row r="390" spans="1:17">
      <c r="A390" s="35">
        <v>45741</v>
      </c>
      <c r="B390" s="36" t="s">
        <v>174</v>
      </c>
      <c r="C390" s="16" t="s">
        <v>922</v>
      </c>
      <c r="D390" s="16" t="s">
        <v>932</v>
      </c>
      <c r="E390" s="16" t="s">
        <v>937</v>
      </c>
      <c r="F390" s="16" t="s">
        <v>48</v>
      </c>
      <c r="G390" s="16" t="s">
        <v>48</v>
      </c>
      <c r="H390" s="16" t="s">
        <v>48</v>
      </c>
      <c r="I390" s="16" t="s">
        <v>48</v>
      </c>
      <c r="J390" s="16" t="s">
        <v>48</v>
      </c>
      <c r="K390" s="16" t="s">
        <v>48</v>
      </c>
      <c r="L390" s="16" t="s">
        <v>48</v>
      </c>
      <c r="M390" s="16" t="s">
        <v>48</v>
      </c>
      <c r="N390" s="16">
        <v>27</v>
      </c>
      <c r="O390" s="16" t="s">
        <v>790</v>
      </c>
      <c r="P390" s="16" t="s">
        <v>933</v>
      </c>
      <c r="Q390" s="32" t="s">
        <v>1046</v>
      </c>
    </row>
    <row r="391" spans="1:17">
      <c r="A391" s="35">
        <v>45741</v>
      </c>
      <c r="B391" s="36" t="s">
        <v>174</v>
      </c>
      <c r="C391" s="16" t="s">
        <v>922</v>
      </c>
      <c r="D391" s="16" t="s">
        <v>932</v>
      </c>
      <c r="E391" s="16" t="s">
        <v>938</v>
      </c>
      <c r="F391" s="16" t="s">
        <v>48</v>
      </c>
      <c r="G391" s="16" t="s">
        <v>48</v>
      </c>
      <c r="H391" s="16" t="s">
        <v>48</v>
      </c>
      <c r="I391" s="16" t="s">
        <v>48</v>
      </c>
      <c r="J391" s="16" t="s">
        <v>48</v>
      </c>
      <c r="K391" s="16" t="s">
        <v>48</v>
      </c>
      <c r="L391" s="16" t="s">
        <v>48</v>
      </c>
      <c r="M391" s="16" t="s">
        <v>48</v>
      </c>
      <c r="N391" s="16">
        <v>27</v>
      </c>
      <c r="O391" s="16" t="s">
        <v>790</v>
      </c>
      <c r="P391" s="16" t="s">
        <v>933</v>
      </c>
      <c r="Q391" s="32" t="s">
        <v>1046</v>
      </c>
    </row>
    <row r="392" spans="1:17">
      <c r="A392" s="35">
        <v>45741</v>
      </c>
      <c r="B392" s="36" t="s">
        <v>174</v>
      </c>
      <c r="C392" s="16" t="s">
        <v>922</v>
      </c>
      <c r="D392" s="16" t="s">
        <v>932</v>
      </c>
      <c r="E392" s="16" t="s">
        <v>939</v>
      </c>
      <c r="F392" s="16" t="s">
        <v>48</v>
      </c>
      <c r="G392" s="16" t="s">
        <v>48</v>
      </c>
      <c r="H392" s="16" t="s">
        <v>48</v>
      </c>
      <c r="I392" s="16" t="s">
        <v>48</v>
      </c>
      <c r="J392" s="16" t="s">
        <v>48</v>
      </c>
      <c r="K392" s="16" t="s">
        <v>48</v>
      </c>
      <c r="L392" s="16" t="s">
        <v>48</v>
      </c>
      <c r="M392" s="16" t="s">
        <v>48</v>
      </c>
      <c r="N392" s="16">
        <v>27</v>
      </c>
      <c r="O392" s="16" t="s">
        <v>790</v>
      </c>
      <c r="P392" s="16" t="s">
        <v>933</v>
      </c>
      <c r="Q392" s="32" t="s">
        <v>1046</v>
      </c>
    </row>
    <row r="393" spans="1:17">
      <c r="A393" s="35">
        <v>45741</v>
      </c>
      <c r="B393" s="36" t="s">
        <v>174</v>
      </c>
      <c r="C393" s="16" t="s">
        <v>922</v>
      </c>
      <c r="D393" s="16" t="s">
        <v>932</v>
      </c>
      <c r="E393" s="16" t="s">
        <v>937</v>
      </c>
      <c r="F393" s="16" t="s">
        <v>48</v>
      </c>
      <c r="G393" s="16" t="s">
        <v>48</v>
      </c>
      <c r="H393" s="16" t="s">
        <v>48</v>
      </c>
      <c r="I393" s="16" t="s">
        <v>48</v>
      </c>
      <c r="J393" s="16" t="s">
        <v>48</v>
      </c>
      <c r="K393" s="16" t="s">
        <v>48</v>
      </c>
      <c r="L393" s="16" t="s">
        <v>48</v>
      </c>
      <c r="M393" s="16" t="s">
        <v>48</v>
      </c>
      <c r="N393" s="16">
        <v>27</v>
      </c>
      <c r="O393" s="16" t="s">
        <v>790</v>
      </c>
      <c r="P393" s="16" t="s">
        <v>933</v>
      </c>
      <c r="Q393" s="32" t="s">
        <v>1046</v>
      </c>
    </row>
    <row r="394" spans="1:17">
      <c r="A394" s="35">
        <v>45741</v>
      </c>
      <c r="B394" s="36" t="s">
        <v>174</v>
      </c>
      <c r="C394" s="16" t="s">
        <v>922</v>
      </c>
      <c r="D394" s="16" t="s">
        <v>940</v>
      </c>
      <c r="E394" s="16" t="s">
        <v>917</v>
      </c>
      <c r="F394" s="16" t="s">
        <v>48</v>
      </c>
      <c r="G394" s="16" t="s">
        <v>48</v>
      </c>
      <c r="H394" s="16" t="s">
        <v>48</v>
      </c>
      <c r="I394" s="16" t="s">
        <v>48</v>
      </c>
      <c r="J394" s="16" t="s">
        <v>48</v>
      </c>
      <c r="K394" s="16" t="s">
        <v>48</v>
      </c>
      <c r="L394" s="16" t="s">
        <v>48</v>
      </c>
      <c r="M394" s="16" t="s">
        <v>48</v>
      </c>
      <c r="N394" s="16">
        <v>27</v>
      </c>
      <c r="O394" s="16" t="s">
        <v>790</v>
      </c>
      <c r="P394" s="16" t="s">
        <v>933</v>
      </c>
      <c r="Q394" s="32" t="s">
        <v>1046</v>
      </c>
    </row>
    <row r="395" spans="1:17">
      <c r="A395" s="35">
        <v>45741</v>
      </c>
      <c r="B395" s="36" t="s">
        <v>174</v>
      </c>
      <c r="C395" s="16" t="s">
        <v>922</v>
      </c>
      <c r="D395" s="16" t="s">
        <v>940</v>
      </c>
      <c r="E395" s="16" t="s">
        <v>941</v>
      </c>
      <c r="F395" s="16" t="s">
        <v>48</v>
      </c>
      <c r="G395" s="16" t="s">
        <v>48</v>
      </c>
      <c r="H395" s="16" t="s">
        <v>48</v>
      </c>
      <c r="I395" s="16" t="s">
        <v>48</v>
      </c>
      <c r="J395" s="16" t="s">
        <v>48</v>
      </c>
      <c r="K395" s="16" t="s">
        <v>48</v>
      </c>
      <c r="L395" s="16" t="s">
        <v>48</v>
      </c>
      <c r="M395" s="16" t="s">
        <v>48</v>
      </c>
      <c r="N395" s="16">
        <v>18</v>
      </c>
      <c r="O395" s="16" t="s">
        <v>790</v>
      </c>
      <c r="P395" s="16" t="s">
        <v>933</v>
      </c>
      <c r="Q395" s="32" t="s">
        <v>1046</v>
      </c>
    </row>
    <row r="396" spans="1:17">
      <c r="A396" s="35">
        <v>45741</v>
      </c>
      <c r="B396" s="36" t="s">
        <v>174</v>
      </c>
      <c r="C396" s="16" t="s">
        <v>922</v>
      </c>
      <c r="D396" s="16" t="s">
        <v>940</v>
      </c>
      <c r="E396" s="16" t="s">
        <v>942</v>
      </c>
      <c r="F396" s="16" t="s">
        <v>48</v>
      </c>
      <c r="G396" s="16" t="s">
        <v>48</v>
      </c>
      <c r="H396" s="16" t="s">
        <v>48</v>
      </c>
      <c r="I396" s="16" t="s">
        <v>48</v>
      </c>
      <c r="J396" s="16" t="s">
        <v>48</v>
      </c>
      <c r="K396" s="16" t="s">
        <v>48</v>
      </c>
      <c r="L396" s="16" t="s">
        <v>48</v>
      </c>
      <c r="M396" s="16" t="s">
        <v>48</v>
      </c>
      <c r="N396" s="16">
        <v>5</v>
      </c>
      <c r="O396" s="16" t="s">
        <v>790</v>
      </c>
      <c r="P396" s="16" t="s">
        <v>933</v>
      </c>
      <c r="Q396" s="32" t="s">
        <v>1046</v>
      </c>
    </row>
    <row r="397" spans="1:17">
      <c r="A397" s="35">
        <v>45741</v>
      </c>
      <c r="B397" s="36" t="s">
        <v>28</v>
      </c>
      <c r="C397" s="16" t="s">
        <v>922</v>
      </c>
      <c r="D397" s="16" t="s">
        <v>892</v>
      </c>
      <c r="E397" s="16" t="s">
        <v>905</v>
      </c>
      <c r="F397" s="16" t="s">
        <v>48</v>
      </c>
      <c r="G397" s="16" t="s">
        <v>48</v>
      </c>
      <c r="H397" s="16" t="s">
        <v>48</v>
      </c>
      <c r="I397" s="16" t="s">
        <v>48</v>
      </c>
      <c r="J397" s="16" t="s">
        <v>48</v>
      </c>
      <c r="K397" s="16" t="s">
        <v>48</v>
      </c>
      <c r="L397" s="16" t="s">
        <v>48</v>
      </c>
      <c r="M397" s="16" t="s">
        <v>48</v>
      </c>
      <c r="N397" s="16">
        <v>4</v>
      </c>
      <c r="O397" s="16" t="s">
        <v>55</v>
      </c>
      <c r="P397" s="16" t="s">
        <v>947</v>
      </c>
      <c r="Q397" s="32" t="s">
        <v>946</v>
      </c>
    </row>
    <row r="398" spans="1:17">
      <c r="A398" s="35">
        <v>45741</v>
      </c>
      <c r="B398" s="36" t="s">
        <v>323</v>
      </c>
      <c r="C398" s="16" t="s">
        <v>922</v>
      </c>
      <c r="D398" s="16" t="s">
        <v>48</v>
      </c>
      <c r="E398" s="16" t="s">
        <v>905</v>
      </c>
      <c r="F398" s="16" t="s">
        <v>48</v>
      </c>
      <c r="G398" s="16" t="s">
        <v>48</v>
      </c>
      <c r="H398" s="16" t="s">
        <v>48</v>
      </c>
      <c r="I398" s="16" t="s">
        <v>48</v>
      </c>
      <c r="J398" s="16" t="s">
        <v>48</v>
      </c>
      <c r="K398" s="16" t="s">
        <v>48</v>
      </c>
      <c r="L398" s="16" t="s">
        <v>48</v>
      </c>
      <c r="M398" s="16" t="s">
        <v>48</v>
      </c>
      <c r="N398" s="16">
        <v>4</v>
      </c>
      <c r="O398" s="16" t="s">
        <v>55</v>
      </c>
      <c r="P398" s="16" t="s">
        <v>944</v>
      </c>
      <c r="Q398" s="32" t="s">
        <v>945</v>
      </c>
    </row>
    <row r="399" spans="1:17">
      <c r="A399" s="35">
        <v>45741</v>
      </c>
      <c r="B399" s="36" t="s">
        <v>68</v>
      </c>
      <c r="C399" s="16" t="s">
        <v>922</v>
      </c>
      <c r="D399" s="16" t="s">
        <v>48</v>
      </c>
      <c r="E399" s="16" t="s">
        <v>48</v>
      </c>
      <c r="F399" s="16" t="s">
        <v>958</v>
      </c>
      <c r="G399" s="16" t="s">
        <v>48</v>
      </c>
      <c r="H399" s="16" t="s">
        <v>48</v>
      </c>
      <c r="I399" s="16" t="s">
        <v>48</v>
      </c>
      <c r="J399" s="16" t="s">
        <v>48</v>
      </c>
      <c r="K399" s="16" t="s">
        <v>48</v>
      </c>
      <c r="L399" s="16" t="s">
        <v>48</v>
      </c>
      <c r="M399" s="16" t="s">
        <v>48</v>
      </c>
      <c r="N399" s="16">
        <v>5</v>
      </c>
      <c r="O399" s="16" t="s">
        <v>55</v>
      </c>
      <c r="P399" s="16" t="s">
        <v>948</v>
      </c>
      <c r="Q399" s="32" t="s">
        <v>949</v>
      </c>
    </row>
    <row r="400" spans="1:17">
      <c r="A400" s="35">
        <v>45741</v>
      </c>
      <c r="B400" s="15" t="s">
        <v>107</v>
      </c>
      <c r="C400" s="16" t="s">
        <v>922</v>
      </c>
      <c r="D400" s="16" t="s">
        <v>48</v>
      </c>
      <c r="E400" s="16" t="s">
        <v>48</v>
      </c>
      <c r="F400" s="16" t="s">
        <v>48</v>
      </c>
      <c r="G400" s="16" t="s">
        <v>48</v>
      </c>
      <c r="H400" s="16" t="s">
        <v>48</v>
      </c>
      <c r="I400" s="16" t="s">
        <v>48</v>
      </c>
      <c r="J400" s="16" t="s">
        <v>48</v>
      </c>
      <c r="K400" s="16" t="s">
        <v>48</v>
      </c>
      <c r="L400" s="16" t="s">
        <v>48</v>
      </c>
      <c r="M400" s="16" t="s">
        <v>957</v>
      </c>
      <c r="N400" s="16">
        <v>10</v>
      </c>
      <c r="O400" s="16" t="s">
        <v>55</v>
      </c>
      <c r="P400" s="16" t="s">
        <v>950</v>
      </c>
      <c r="Q400" s="32" t="s">
        <v>951</v>
      </c>
    </row>
    <row r="401" spans="1:17">
      <c r="A401" s="35">
        <v>45741</v>
      </c>
      <c r="B401" s="15" t="s">
        <v>952</v>
      </c>
      <c r="C401" s="16" t="s">
        <v>922</v>
      </c>
      <c r="D401" s="16" t="s">
        <v>48</v>
      </c>
      <c r="E401" s="16" t="s">
        <v>48</v>
      </c>
      <c r="F401" s="16" t="s">
        <v>48</v>
      </c>
      <c r="G401" s="16" t="s">
        <v>48</v>
      </c>
      <c r="H401" s="16" t="s">
        <v>48</v>
      </c>
      <c r="I401" s="16" t="s">
        <v>48</v>
      </c>
      <c r="J401" s="16" t="s">
        <v>48</v>
      </c>
      <c r="K401" s="16" t="s">
        <v>48</v>
      </c>
      <c r="L401" s="16" t="s">
        <v>48</v>
      </c>
      <c r="M401" s="16" t="s">
        <v>959</v>
      </c>
      <c r="N401" s="16">
        <v>2</v>
      </c>
      <c r="O401" s="16" t="s">
        <v>55</v>
      </c>
      <c r="P401" s="16" t="s">
        <v>954</v>
      </c>
      <c r="Q401" s="32" t="s">
        <v>951</v>
      </c>
    </row>
    <row r="402" spans="1:17">
      <c r="A402" s="35">
        <v>45741</v>
      </c>
      <c r="B402" s="15" t="s">
        <v>953</v>
      </c>
      <c r="C402" s="16" t="s">
        <v>922</v>
      </c>
      <c r="D402" s="16" t="s">
        <v>48</v>
      </c>
      <c r="E402" s="16" t="s">
        <v>48</v>
      </c>
      <c r="F402" s="16" t="s">
        <v>48</v>
      </c>
      <c r="G402" s="16" t="s">
        <v>48</v>
      </c>
      <c r="H402" s="16" t="s">
        <v>48</v>
      </c>
      <c r="I402" s="16" t="s">
        <v>48</v>
      </c>
      <c r="J402" s="16" t="s">
        <v>48</v>
      </c>
      <c r="K402" s="16" t="s">
        <v>48</v>
      </c>
      <c r="L402" s="16" t="s">
        <v>48</v>
      </c>
      <c r="M402" s="16" t="s">
        <v>956</v>
      </c>
      <c r="N402" s="16">
        <v>2</v>
      </c>
      <c r="O402" s="16" t="s">
        <v>55</v>
      </c>
      <c r="P402" s="16" t="s">
        <v>955</v>
      </c>
      <c r="Q402" s="32" t="s">
        <v>951</v>
      </c>
    </row>
    <row r="403" spans="1:17">
      <c r="A403" s="35">
        <v>45742</v>
      </c>
      <c r="B403" s="36" t="s">
        <v>174</v>
      </c>
      <c r="C403" s="16" t="s">
        <v>943</v>
      </c>
      <c r="D403" s="16" t="s">
        <v>940</v>
      </c>
      <c r="E403" s="16" t="s">
        <v>942</v>
      </c>
      <c r="F403" s="16" t="s">
        <v>48</v>
      </c>
      <c r="G403" s="16" t="s">
        <v>48</v>
      </c>
      <c r="H403" s="16" t="s">
        <v>48</v>
      </c>
      <c r="I403" s="16" t="s">
        <v>48</v>
      </c>
      <c r="J403" s="16" t="s">
        <v>48</v>
      </c>
      <c r="K403" s="16" t="s">
        <v>48</v>
      </c>
      <c r="L403" s="16" t="s">
        <v>48</v>
      </c>
      <c r="M403" s="16" t="s">
        <v>48</v>
      </c>
      <c r="N403" s="16">
        <v>49</v>
      </c>
      <c r="O403" s="16" t="s">
        <v>790</v>
      </c>
      <c r="P403" s="16" t="s">
        <v>933</v>
      </c>
      <c r="Q403" s="32" t="s">
        <v>1046</v>
      </c>
    </row>
    <row r="404" spans="1:17">
      <c r="A404" s="35">
        <v>45742</v>
      </c>
      <c r="B404" s="36" t="s">
        <v>174</v>
      </c>
      <c r="C404" s="16" t="s">
        <v>943</v>
      </c>
      <c r="D404" s="16" t="s">
        <v>940</v>
      </c>
      <c r="E404" s="16" t="s">
        <v>960</v>
      </c>
      <c r="F404" s="16" t="s">
        <v>48</v>
      </c>
      <c r="G404" s="16" t="s">
        <v>48</v>
      </c>
      <c r="H404" s="16" t="s">
        <v>48</v>
      </c>
      <c r="I404" s="16" t="s">
        <v>48</v>
      </c>
      <c r="J404" s="16" t="s">
        <v>48</v>
      </c>
      <c r="K404" s="16" t="s">
        <v>48</v>
      </c>
      <c r="L404" s="16" t="s">
        <v>48</v>
      </c>
      <c r="M404" s="16" t="s">
        <v>48</v>
      </c>
      <c r="N404" s="16">
        <v>27</v>
      </c>
      <c r="O404" s="16" t="s">
        <v>790</v>
      </c>
      <c r="P404" s="16" t="s">
        <v>933</v>
      </c>
      <c r="Q404" s="32" t="s">
        <v>1046</v>
      </c>
    </row>
    <row r="405" spans="1:17">
      <c r="A405" s="35">
        <v>45742</v>
      </c>
      <c r="B405" s="36" t="s">
        <v>174</v>
      </c>
      <c r="C405" s="16" t="s">
        <v>943</v>
      </c>
      <c r="D405" s="16" t="s">
        <v>940</v>
      </c>
      <c r="E405" s="16" t="s">
        <v>961</v>
      </c>
      <c r="F405" s="16" t="s">
        <v>48</v>
      </c>
      <c r="G405" s="16" t="s">
        <v>48</v>
      </c>
      <c r="H405" s="16" t="s">
        <v>48</v>
      </c>
      <c r="I405" s="16" t="s">
        <v>48</v>
      </c>
      <c r="J405" s="16" t="s">
        <v>48</v>
      </c>
      <c r="K405" s="16" t="s">
        <v>48</v>
      </c>
      <c r="L405" s="16" t="s">
        <v>48</v>
      </c>
      <c r="M405" s="16" t="s">
        <v>48</v>
      </c>
      <c r="N405" s="16">
        <v>27</v>
      </c>
      <c r="O405" s="16" t="s">
        <v>790</v>
      </c>
      <c r="P405" s="16" t="s">
        <v>933</v>
      </c>
      <c r="Q405" s="32" t="s">
        <v>1046</v>
      </c>
    </row>
    <row r="406" spans="1:17">
      <c r="A406" s="35">
        <v>45742</v>
      </c>
      <c r="B406" s="36" t="s">
        <v>174</v>
      </c>
      <c r="C406" s="16" t="s">
        <v>943</v>
      </c>
      <c r="D406" s="16" t="s">
        <v>940</v>
      </c>
      <c r="E406" s="16" t="s">
        <v>962</v>
      </c>
      <c r="F406" s="16" t="s">
        <v>48</v>
      </c>
      <c r="G406" s="16" t="s">
        <v>48</v>
      </c>
      <c r="H406" s="16" t="s">
        <v>48</v>
      </c>
      <c r="I406" s="16" t="s">
        <v>48</v>
      </c>
      <c r="J406" s="16" t="s">
        <v>48</v>
      </c>
      <c r="K406" s="16" t="s">
        <v>48</v>
      </c>
      <c r="L406" s="16" t="s">
        <v>48</v>
      </c>
      <c r="M406" s="16" t="s">
        <v>48</v>
      </c>
      <c r="N406" s="16">
        <v>27</v>
      </c>
      <c r="O406" s="16" t="s">
        <v>790</v>
      </c>
      <c r="P406" s="16" t="s">
        <v>933</v>
      </c>
      <c r="Q406" s="32" t="s">
        <v>1046</v>
      </c>
    </row>
    <row r="407" spans="1:17">
      <c r="A407" s="35">
        <v>45742</v>
      </c>
      <c r="B407" s="36" t="s">
        <v>174</v>
      </c>
      <c r="C407" s="16" t="s">
        <v>943</v>
      </c>
      <c r="D407" s="16" t="s">
        <v>940</v>
      </c>
      <c r="E407" s="16" t="s">
        <v>856</v>
      </c>
      <c r="F407" s="16" t="s">
        <v>48</v>
      </c>
      <c r="G407" s="16" t="s">
        <v>48</v>
      </c>
      <c r="H407" s="16" t="s">
        <v>48</v>
      </c>
      <c r="I407" s="16" t="s">
        <v>48</v>
      </c>
      <c r="J407" s="16" t="s">
        <v>48</v>
      </c>
      <c r="K407" s="16" t="s">
        <v>48</v>
      </c>
      <c r="L407" s="16" t="s">
        <v>48</v>
      </c>
      <c r="M407" s="16" t="s">
        <v>48</v>
      </c>
      <c r="N407" s="16">
        <v>20</v>
      </c>
      <c r="O407" s="16" t="s">
        <v>790</v>
      </c>
      <c r="P407" s="16" t="s">
        <v>933</v>
      </c>
      <c r="Q407" s="32" t="s">
        <v>1046</v>
      </c>
    </row>
    <row r="408" spans="1:17">
      <c r="A408" s="35">
        <v>45742</v>
      </c>
      <c r="B408" s="36" t="s">
        <v>174</v>
      </c>
      <c r="C408" s="16" t="s">
        <v>943</v>
      </c>
      <c r="D408" s="16" t="s">
        <v>967</v>
      </c>
      <c r="E408" s="16" t="s">
        <v>856</v>
      </c>
      <c r="F408" s="16" t="s">
        <v>48</v>
      </c>
      <c r="G408" s="16" t="s">
        <v>48</v>
      </c>
      <c r="H408" s="16" t="s">
        <v>48</v>
      </c>
      <c r="I408" s="16" t="s">
        <v>48</v>
      </c>
      <c r="J408" s="16" t="s">
        <v>48</v>
      </c>
      <c r="K408" s="16" t="s">
        <v>48</v>
      </c>
      <c r="L408" s="16" t="s">
        <v>48</v>
      </c>
      <c r="M408" s="16" t="s">
        <v>48</v>
      </c>
      <c r="N408" s="16">
        <v>7</v>
      </c>
      <c r="O408" s="16" t="s">
        <v>790</v>
      </c>
      <c r="P408" s="16" t="s">
        <v>963</v>
      </c>
      <c r="Q408" s="32" t="s">
        <v>1047</v>
      </c>
    </row>
    <row r="409" spans="1:17">
      <c r="A409" s="35">
        <v>45742</v>
      </c>
      <c r="B409" s="36" t="s">
        <v>174</v>
      </c>
      <c r="C409" s="16" t="s">
        <v>943</v>
      </c>
      <c r="D409" s="16" t="s">
        <v>967</v>
      </c>
      <c r="E409" s="16" t="s">
        <v>939</v>
      </c>
      <c r="F409" s="16" t="s">
        <v>48</v>
      </c>
      <c r="G409" s="16" t="s">
        <v>48</v>
      </c>
      <c r="H409" s="16" t="s">
        <v>48</v>
      </c>
      <c r="I409" s="16" t="s">
        <v>48</v>
      </c>
      <c r="J409" s="16" t="s">
        <v>48</v>
      </c>
      <c r="K409" s="16" t="s">
        <v>48</v>
      </c>
      <c r="L409" s="16" t="s">
        <v>48</v>
      </c>
      <c r="M409" s="16" t="s">
        <v>48</v>
      </c>
      <c r="N409" s="16">
        <v>27</v>
      </c>
      <c r="O409" s="16" t="s">
        <v>790</v>
      </c>
      <c r="P409" s="16" t="s">
        <v>963</v>
      </c>
      <c r="Q409" s="32" t="s">
        <v>1047</v>
      </c>
    </row>
    <row r="410" spans="1:17">
      <c r="A410" s="35">
        <v>45742</v>
      </c>
      <c r="B410" s="36" t="s">
        <v>174</v>
      </c>
      <c r="C410" s="16" t="s">
        <v>943</v>
      </c>
      <c r="D410" s="16" t="s">
        <v>967</v>
      </c>
      <c r="E410" s="16" t="s">
        <v>964</v>
      </c>
      <c r="F410" s="16" t="s">
        <v>48</v>
      </c>
      <c r="G410" s="16" t="s">
        <v>48</v>
      </c>
      <c r="H410" s="16" t="s">
        <v>48</v>
      </c>
      <c r="I410" s="16" t="s">
        <v>48</v>
      </c>
      <c r="J410" s="16" t="s">
        <v>48</v>
      </c>
      <c r="K410" s="16" t="s">
        <v>48</v>
      </c>
      <c r="L410" s="16" t="s">
        <v>48</v>
      </c>
      <c r="M410" s="16" t="s">
        <v>48</v>
      </c>
      <c r="N410" s="16">
        <v>27</v>
      </c>
      <c r="O410" s="16" t="s">
        <v>790</v>
      </c>
      <c r="P410" s="16" t="s">
        <v>963</v>
      </c>
      <c r="Q410" s="32" t="s">
        <v>1047</v>
      </c>
    </row>
    <row r="411" spans="1:17">
      <c r="A411" s="35">
        <v>45742</v>
      </c>
      <c r="B411" s="36" t="s">
        <v>174</v>
      </c>
      <c r="C411" s="16" t="s">
        <v>943</v>
      </c>
      <c r="D411" s="16" t="s">
        <v>967</v>
      </c>
      <c r="E411" s="16" t="s">
        <v>965</v>
      </c>
      <c r="F411" s="16" t="s">
        <v>48</v>
      </c>
      <c r="G411" s="16" t="s">
        <v>48</v>
      </c>
      <c r="H411" s="16" t="s">
        <v>48</v>
      </c>
      <c r="I411" s="16" t="s">
        <v>48</v>
      </c>
      <c r="J411" s="16" t="s">
        <v>48</v>
      </c>
      <c r="K411" s="16" t="s">
        <v>48</v>
      </c>
      <c r="L411" s="16" t="s">
        <v>48</v>
      </c>
      <c r="M411" s="16" t="s">
        <v>48</v>
      </c>
      <c r="N411" s="16">
        <v>27</v>
      </c>
      <c r="O411" s="16" t="s">
        <v>790</v>
      </c>
      <c r="P411" s="16" t="s">
        <v>963</v>
      </c>
      <c r="Q411" s="32" t="s">
        <v>1047</v>
      </c>
    </row>
    <row r="412" spans="1:17">
      <c r="A412" s="35">
        <v>45742</v>
      </c>
      <c r="B412" s="36" t="s">
        <v>174</v>
      </c>
      <c r="C412" s="16" t="s">
        <v>943</v>
      </c>
      <c r="D412" s="16" t="s">
        <v>967</v>
      </c>
      <c r="E412" s="16" t="s">
        <v>966</v>
      </c>
      <c r="F412" s="16" t="s">
        <v>48</v>
      </c>
      <c r="G412" s="16" t="s">
        <v>48</v>
      </c>
      <c r="H412" s="16" t="s">
        <v>48</v>
      </c>
      <c r="I412" s="16" t="s">
        <v>48</v>
      </c>
      <c r="J412" s="16" t="s">
        <v>48</v>
      </c>
      <c r="K412" s="16" t="s">
        <v>48</v>
      </c>
      <c r="L412" s="16" t="s">
        <v>48</v>
      </c>
      <c r="M412" s="16" t="s">
        <v>48</v>
      </c>
      <c r="N412" s="16">
        <v>30</v>
      </c>
      <c r="O412" s="16" t="s">
        <v>790</v>
      </c>
      <c r="P412" s="16" t="s">
        <v>963</v>
      </c>
      <c r="Q412" s="32" t="s">
        <v>1047</v>
      </c>
    </row>
    <row r="413" spans="1:17">
      <c r="A413" s="35">
        <v>45742</v>
      </c>
      <c r="B413" s="36" t="s">
        <v>174</v>
      </c>
      <c r="C413" s="16" t="s">
        <v>943</v>
      </c>
      <c r="D413" s="16" t="s">
        <v>968</v>
      </c>
      <c r="E413" s="16" t="s">
        <v>964</v>
      </c>
      <c r="F413" s="16" t="s">
        <v>48</v>
      </c>
      <c r="G413" s="16" t="s">
        <v>48</v>
      </c>
      <c r="H413" s="16" t="s">
        <v>48</v>
      </c>
      <c r="I413" s="16" t="s">
        <v>48</v>
      </c>
      <c r="J413" s="16" t="s">
        <v>48</v>
      </c>
      <c r="K413" s="16" t="s">
        <v>48</v>
      </c>
      <c r="L413" s="16" t="s">
        <v>48</v>
      </c>
      <c r="M413" s="16" t="s">
        <v>48</v>
      </c>
      <c r="N413" s="16">
        <v>27</v>
      </c>
      <c r="O413" s="16" t="s">
        <v>790</v>
      </c>
      <c r="P413" s="16" t="s">
        <v>963</v>
      </c>
      <c r="Q413" s="32" t="s">
        <v>1047</v>
      </c>
    </row>
    <row r="414" spans="1:17">
      <c r="A414" s="35">
        <v>45742</v>
      </c>
      <c r="B414" s="36" t="s">
        <v>174</v>
      </c>
      <c r="C414" s="16" t="s">
        <v>943</v>
      </c>
      <c r="D414" s="16" t="s">
        <v>968</v>
      </c>
      <c r="E414" s="16" t="s">
        <v>969</v>
      </c>
      <c r="F414" s="16" t="s">
        <v>48</v>
      </c>
      <c r="G414" s="16" t="s">
        <v>48</v>
      </c>
      <c r="H414" s="16" t="s">
        <v>48</v>
      </c>
      <c r="I414" s="16" t="s">
        <v>48</v>
      </c>
      <c r="J414" s="16" t="s">
        <v>48</v>
      </c>
      <c r="K414" s="16" t="s">
        <v>48</v>
      </c>
      <c r="L414" s="16" t="s">
        <v>48</v>
      </c>
      <c r="M414" s="16" t="s">
        <v>48</v>
      </c>
      <c r="N414" s="16">
        <v>27</v>
      </c>
      <c r="O414" s="16" t="s">
        <v>790</v>
      </c>
      <c r="P414" s="16" t="s">
        <v>963</v>
      </c>
      <c r="Q414" s="32" t="s">
        <v>1047</v>
      </c>
    </row>
    <row r="415" spans="1:17">
      <c r="A415" s="35">
        <v>45742</v>
      </c>
      <c r="B415" s="36" t="s">
        <v>174</v>
      </c>
      <c r="C415" s="16" t="s">
        <v>943</v>
      </c>
      <c r="D415" s="16" t="s">
        <v>968</v>
      </c>
      <c r="E415" s="16" t="s">
        <v>970</v>
      </c>
      <c r="F415" s="16" t="s">
        <v>48</v>
      </c>
      <c r="G415" s="16" t="s">
        <v>48</v>
      </c>
      <c r="H415" s="16" t="s">
        <v>48</v>
      </c>
      <c r="I415" s="16" t="s">
        <v>48</v>
      </c>
      <c r="J415" s="16" t="s">
        <v>48</v>
      </c>
      <c r="K415" s="16" t="s">
        <v>48</v>
      </c>
      <c r="L415" s="16" t="s">
        <v>48</v>
      </c>
      <c r="M415" s="16" t="s">
        <v>48</v>
      </c>
      <c r="N415" s="16">
        <v>27</v>
      </c>
      <c r="O415" s="16" t="s">
        <v>790</v>
      </c>
      <c r="P415" s="16" t="s">
        <v>963</v>
      </c>
      <c r="Q415" s="32" t="s">
        <v>1047</v>
      </c>
    </row>
    <row r="416" spans="1:17">
      <c r="A416" s="35">
        <v>45742</v>
      </c>
      <c r="B416" s="36" t="s">
        <v>174</v>
      </c>
      <c r="C416" s="16" t="s">
        <v>943</v>
      </c>
      <c r="D416" s="16" t="s">
        <v>968</v>
      </c>
      <c r="E416" s="16" t="s">
        <v>971</v>
      </c>
      <c r="F416" s="16" t="s">
        <v>48</v>
      </c>
      <c r="G416" s="16" t="s">
        <v>48</v>
      </c>
      <c r="H416" s="16" t="s">
        <v>48</v>
      </c>
      <c r="I416" s="16" t="s">
        <v>48</v>
      </c>
      <c r="J416" s="16" t="s">
        <v>48</v>
      </c>
      <c r="K416" s="16" t="s">
        <v>48</v>
      </c>
      <c r="L416" s="16" t="s">
        <v>48</v>
      </c>
      <c r="M416" s="16" t="s">
        <v>48</v>
      </c>
      <c r="N416" s="16">
        <v>27</v>
      </c>
      <c r="O416" s="16" t="s">
        <v>790</v>
      </c>
      <c r="P416" s="16" t="s">
        <v>963</v>
      </c>
      <c r="Q416" s="32" t="s">
        <v>1047</v>
      </c>
    </row>
    <row r="417" spans="1:17">
      <c r="A417" s="35">
        <v>45742</v>
      </c>
      <c r="B417" s="36" t="s">
        <v>174</v>
      </c>
      <c r="C417" s="16" t="s">
        <v>943</v>
      </c>
      <c r="D417" s="16" t="s">
        <v>973</v>
      </c>
      <c r="E417" s="16" t="s">
        <v>970</v>
      </c>
      <c r="F417" s="16" t="s">
        <v>48</v>
      </c>
      <c r="G417" s="16" t="s">
        <v>48</v>
      </c>
      <c r="H417" s="16" t="s">
        <v>48</v>
      </c>
      <c r="I417" s="16" t="s">
        <v>48</v>
      </c>
      <c r="J417" s="16" t="s">
        <v>48</v>
      </c>
      <c r="K417" s="16" t="s">
        <v>48</v>
      </c>
      <c r="L417" s="16" t="s">
        <v>48</v>
      </c>
      <c r="M417" s="16" t="s">
        <v>48</v>
      </c>
      <c r="N417" s="16">
        <v>27</v>
      </c>
      <c r="O417" s="16" t="s">
        <v>790</v>
      </c>
      <c r="P417" s="16" t="s">
        <v>963</v>
      </c>
      <c r="Q417" s="32" t="s">
        <v>1047</v>
      </c>
    </row>
    <row r="418" spans="1:17">
      <c r="A418" s="35">
        <v>45742</v>
      </c>
      <c r="B418" s="36" t="s">
        <v>174</v>
      </c>
      <c r="C418" s="16" t="s">
        <v>943</v>
      </c>
      <c r="D418" s="16" t="s">
        <v>973</v>
      </c>
      <c r="E418" s="16" t="s">
        <v>941</v>
      </c>
      <c r="F418" s="16" t="s">
        <v>48</v>
      </c>
      <c r="G418" s="16" t="s">
        <v>48</v>
      </c>
      <c r="H418" s="16" t="s">
        <v>48</v>
      </c>
      <c r="I418" s="16" t="s">
        <v>48</v>
      </c>
      <c r="J418" s="16" t="s">
        <v>48</v>
      </c>
      <c r="K418" s="16" t="s">
        <v>48</v>
      </c>
      <c r="L418" s="16" t="s">
        <v>48</v>
      </c>
      <c r="M418" s="16" t="s">
        <v>48</v>
      </c>
      <c r="N418" s="16">
        <v>27</v>
      </c>
      <c r="O418" s="16" t="s">
        <v>790</v>
      </c>
      <c r="P418" s="16" t="s">
        <v>963</v>
      </c>
      <c r="Q418" s="32" t="s">
        <v>1047</v>
      </c>
    </row>
    <row r="419" spans="1:17">
      <c r="A419" s="35">
        <v>45742</v>
      </c>
      <c r="B419" s="36" t="s">
        <v>174</v>
      </c>
      <c r="C419" s="16" t="s">
        <v>943</v>
      </c>
      <c r="D419" s="16" t="s">
        <v>973</v>
      </c>
      <c r="E419" s="16" t="s">
        <v>972</v>
      </c>
      <c r="F419" s="16" t="s">
        <v>48</v>
      </c>
      <c r="G419" s="16" t="s">
        <v>48</v>
      </c>
      <c r="H419" s="16" t="s">
        <v>48</v>
      </c>
      <c r="I419" s="16" t="s">
        <v>48</v>
      </c>
      <c r="J419" s="16" t="s">
        <v>48</v>
      </c>
      <c r="K419" s="16" t="s">
        <v>48</v>
      </c>
      <c r="L419" s="16" t="s">
        <v>48</v>
      </c>
      <c r="M419" s="16" t="s">
        <v>48</v>
      </c>
      <c r="N419" s="16">
        <v>18</v>
      </c>
      <c r="O419" s="16" t="s">
        <v>790</v>
      </c>
      <c r="P419" s="16" t="s">
        <v>963</v>
      </c>
      <c r="Q419" s="32" t="s">
        <v>1047</v>
      </c>
    </row>
    <row r="420" spans="1:17">
      <c r="A420" s="35">
        <v>45742</v>
      </c>
      <c r="B420" s="36" t="s">
        <v>174</v>
      </c>
      <c r="C420" s="16" t="s">
        <v>943</v>
      </c>
      <c r="D420" s="16" t="s">
        <v>973</v>
      </c>
      <c r="E420" s="16" t="s">
        <v>974</v>
      </c>
      <c r="F420" s="16" t="s">
        <v>48</v>
      </c>
      <c r="G420" s="16" t="s">
        <v>48</v>
      </c>
      <c r="H420" s="16" t="s">
        <v>48</v>
      </c>
      <c r="I420" s="16" t="s">
        <v>48</v>
      </c>
      <c r="J420" s="16" t="s">
        <v>48</v>
      </c>
      <c r="K420" s="16" t="s">
        <v>48</v>
      </c>
      <c r="L420" s="16" t="s">
        <v>48</v>
      </c>
      <c r="M420" s="16" t="s">
        <v>48</v>
      </c>
      <c r="N420" s="16">
        <v>30</v>
      </c>
      <c r="O420" s="16" t="s">
        <v>790</v>
      </c>
      <c r="P420" s="16" t="s">
        <v>963</v>
      </c>
      <c r="Q420" s="32" t="s">
        <v>1047</v>
      </c>
    </row>
    <row r="421" spans="1:17">
      <c r="A421" s="35">
        <v>45742</v>
      </c>
      <c r="B421" s="36" t="s">
        <v>174</v>
      </c>
      <c r="C421" s="16" t="s">
        <v>943</v>
      </c>
      <c r="D421" s="16" t="s">
        <v>973</v>
      </c>
      <c r="E421" s="16" t="s">
        <v>975</v>
      </c>
      <c r="F421" s="16" t="s">
        <v>48</v>
      </c>
      <c r="G421" s="16" t="s">
        <v>48</v>
      </c>
      <c r="H421" s="16" t="s">
        <v>48</v>
      </c>
      <c r="I421" s="16" t="s">
        <v>48</v>
      </c>
      <c r="J421" s="16" t="s">
        <v>48</v>
      </c>
      <c r="K421" s="16" t="s">
        <v>48</v>
      </c>
      <c r="L421" s="16" t="s">
        <v>48</v>
      </c>
      <c r="M421" s="16" t="s">
        <v>48</v>
      </c>
      <c r="N421" s="16">
        <v>54</v>
      </c>
      <c r="O421" s="16" t="s">
        <v>790</v>
      </c>
      <c r="P421" s="16" t="s">
        <v>963</v>
      </c>
      <c r="Q421" s="32" t="s">
        <v>1047</v>
      </c>
    </row>
    <row r="422" spans="1:17">
      <c r="A422" s="35">
        <v>45742</v>
      </c>
      <c r="B422" s="36" t="s">
        <v>174</v>
      </c>
      <c r="C422" s="16" t="s">
        <v>943</v>
      </c>
      <c r="D422" s="16" t="s">
        <v>973</v>
      </c>
      <c r="E422" s="16" t="s">
        <v>976</v>
      </c>
      <c r="F422" s="16" t="s">
        <v>48</v>
      </c>
      <c r="G422" s="16" t="s">
        <v>48</v>
      </c>
      <c r="H422" s="16" t="s">
        <v>48</v>
      </c>
      <c r="I422" s="16" t="s">
        <v>48</v>
      </c>
      <c r="J422" s="16" t="s">
        <v>48</v>
      </c>
      <c r="K422" s="16" t="s">
        <v>48</v>
      </c>
      <c r="L422" s="16" t="s">
        <v>48</v>
      </c>
      <c r="M422" s="16" t="s">
        <v>48</v>
      </c>
      <c r="N422" s="16">
        <v>27</v>
      </c>
      <c r="O422" s="16" t="s">
        <v>790</v>
      </c>
      <c r="P422" s="16" t="s">
        <v>963</v>
      </c>
      <c r="Q422" s="32" t="s">
        <v>1047</v>
      </c>
    </row>
    <row r="423" spans="1:17">
      <c r="A423" s="35">
        <v>45742</v>
      </c>
      <c r="B423" s="36" t="s">
        <v>174</v>
      </c>
      <c r="C423" s="16" t="s">
        <v>943</v>
      </c>
      <c r="D423" s="16" t="s">
        <v>979</v>
      </c>
      <c r="E423" s="16" t="s">
        <v>977</v>
      </c>
      <c r="F423" s="16" t="s">
        <v>48</v>
      </c>
      <c r="G423" s="16" t="s">
        <v>48</v>
      </c>
      <c r="H423" s="16" t="s">
        <v>48</v>
      </c>
      <c r="I423" s="16" t="s">
        <v>48</v>
      </c>
      <c r="J423" s="16" t="s">
        <v>48</v>
      </c>
      <c r="K423" s="16" t="s">
        <v>48</v>
      </c>
      <c r="L423" s="16" t="s">
        <v>48</v>
      </c>
      <c r="M423" s="16" t="s">
        <v>48</v>
      </c>
      <c r="N423" s="16">
        <v>27</v>
      </c>
      <c r="O423" s="16" t="s">
        <v>790</v>
      </c>
      <c r="P423" s="16" t="s">
        <v>963</v>
      </c>
      <c r="Q423" s="32" t="s">
        <v>1047</v>
      </c>
    </row>
    <row r="424" spans="1:17">
      <c r="A424" s="35">
        <v>45742</v>
      </c>
      <c r="B424" s="36" t="s">
        <v>174</v>
      </c>
      <c r="C424" s="16" t="s">
        <v>943</v>
      </c>
      <c r="D424" s="16" t="s">
        <v>979</v>
      </c>
      <c r="E424" s="16" t="s">
        <v>976</v>
      </c>
      <c r="F424" s="16" t="s">
        <v>48</v>
      </c>
      <c r="G424" s="16" t="s">
        <v>48</v>
      </c>
      <c r="H424" s="16" t="s">
        <v>48</v>
      </c>
      <c r="I424" s="16" t="s">
        <v>48</v>
      </c>
      <c r="J424" s="16" t="s">
        <v>48</v>
      </c>
      <c r="K424" s="16" t="s">
        <v>48</v>
      </c>
      <c r="L424" s="16" t="s">
        <v>48</v>
      </c>
      <c r="M424" s="16" t="s">
        <v>48</v>
      </c>
      <c r="N424" s="16">
        <v>27</v>
      </c>
      <c r="O424" s="16" t="s">
        <v>790</v>
      </c>
      <c r="P424" s="16" t="s">
        <v>963</v>
      </c>
      <c r="Q424" s="32" t="s">
        <v>1047</v>
      </c>
    </row>
    <row r="425" spans="1:17">
      <c r="A425" s="35">
        <v>45742</v>
      </c>
      <c r="B425" s="36" t="s">
        <v>174</v>
      </c>
      <c r="C425" s="16" t="s">
        <v>943</v>
      </c>
      <c r="D425" s="16" t="s">
        <v>979</v>
      </c>
      <c r="E425" s="16" t="s">
        <v>978</v>
      </c>
      <c r="F425" s="16" t="s">
        <v>48</v>
      </c>
      <c r="G425" s="16" t="s">
        <v>48</v>
      </c>
      <c r="H425" s="16" t="s">
        <v>48</v>
      </c>
      <c r="I425" s="16" t="s">
        <v>48</v>
      </c>
      <c r="J425" s="16" t="s">
        <v>48</v>
      </c>
      <c r="K425" s="16" t="s">
        <v>48</v>
      </c>
      <c r="L425" s="16" t="s">
        <v>48</v>
      </c>
      <c r="M425" s="16" t="s">
        <v>48</v>
      </c>
      <c r="N425" s="16">
        <v>27</v>
      </c>
      <c r="O425" s="16" t="s">
        <v>790</v>
      </c>
      <c r="P425" s="16" t="s">
        <v>963</v>
      </c>
      <c r="Q425" s="32" t="s">
        <v>1047</v>
      </c>
    </row>
    <row r="426" spans="1:17">
      <c r="A426" s="35">
        <v>45742</v>
      </c>
      <c r="B426" s="36" t="s">
        <v>174</v>
      </c>
      <c r="C426" s="16" t="s">
        <v>943</v>
      </c>
      <c r="D426" s="16" t="s">
        <v>979</v>
      </c>
      <c r="E426" s="16" t="s">
        <v>977</v>
      </c>
      <c r="F426" s="16" t="s">
        <v>48</v>
      </c>
      <c r="G426" s="16" t="s">
        <v>48</v>
      </c>
      <c r="H426" s="16" t="s">
        <v>48</v>
      </c>
      <c r="I426" s="16" t="s">
        <v>48</v>
      </c>
      <c r="J426" s="16" t="s">
        <v>48</v>
      </c>
      <c r="K426" s="16" t="s">
        <v>48</v>
      </c>
      <c r="L426" s="16" t="s">
        <v>48</v>
      </c>
      <c r="M426" s="16" t="s">
        <v>48</v>
      </c>
      <c r="N426" s="16">
        <v>10</v>
      </c>
      <c r="O426" s="16" t="s">
        <v>790</v>
      </c>
      <c r="P426" s="16" t="s">
        <v>963</v>
      </c>
      <c r="Q426" s="32" t="s">
        <v>1047</v>
      </c>
    </row>
    <row r="427" spans="1:17">
      <c r="A427" s="35">
        <v>45742</v>
      </c>
      <c r="B427" s="36" t="s">
        <v>174</v>
      </c>
      <c r="C427" s="16" t="s">
        <v>943</v>
      </c>
      <c r="D427" s="16" t="s">
        <v>979</v>
      </c>
      <c r="E427" s="16" t="s">
        <v>977</v>
      </c>
      <c r="F427" s="16" t="s">
        <v>48</v>
      </c>
      <c r="G427" s="16" t="s">
        <v>48</v>
      </c>
      <c r="H427" s="16" t="s">
        <v>48</v>
      </c>
      <c r="I427" s="16" t="s">
        <v>48</v>
      </c>
      <c r="J427" s="16" t="s">
        <v>48</v>
      </c>
      <c r="K427" s="16" t="s">
        <v>48</v>
      </c>
      <c r="L427" s="16" t="s">
        <v>48</v>
      </c>
      <c r="M427" s="16" t="s">
        <v>48</v>
      </c>
      <c r="N427" s="16">
        <v>17</v>
      </c>
      <c r="O427" s="16" t="s">
        <v>790</v>
      </c>
      <c r="P427" s="16" t="s">
        <v>980</v>
      </c>
      <c r="Q427" s="32" t="s">
        <v>1048</v>
      </c>
    </row>
    <row r="428" spans="1:17">
      <c r="A428" s="35">
        <v>45742</v>
      </c>
      <c r="B428" s="36" t="s">
        <v>174</v>
      </c>
      <c r="C428" s="16" t="s">
        <v>943</v>
      </c>
      <c r="D428" s="16" t="s">
        <v>979</v>
      </c>
      <c r="E428" s="16" t="s">
        <v>981</v>
      </c>
      <c r="F428" s="16" t="s">
        <v>48</v>
      </c>
      <c r="G428" s="16" t="s">
        <v>48</v>
      </c>
      <c r="H428" s="16" t="s">
        <v>48</v>
      </c>
      <c r="I428" s="16" t="s">
        <v>48</v>
      </c>
      <c r="J428" s="16" t="s">
        <v>48</v>
      </c>
      <c r="K428" s="16" t="s">
        <v>48</v>
      </c>
      <c r="L428" s="16" t="s">
        <v>48</v>
      </c>
      <c r="M428" s="16" t="s">
        <v>48</v>
      </c>
      <c r="N428" s="16">
        <v>27</v>
      </c>
      <c r="O428" s="16" t="s">
        <v>790</v>
      </c>
      <c r="P428" s="16" t="s">
        <v>980</v>
      </c>
      <c r="Q428" s="32" t="s">
        <v>1048</v>
      </c>
    </row>
    <row r="429" spans="1:17">
      <c r="A429" s="35">
        <v>45742</v>
      </c>
      <c r="B429" s="36" t="s">
        <v>174</v>
      </c>
      <c r="C429" s="16" t="s">
        <v>943</v>
      </c>
      <c r="D429" s="16" t="s">
        <v>979</v>
      </c>
      <c r="E429" s="16" t="s">
        <v>964</v>
      </c>
      <c r="F429" s="16" t="s">
        <v>48</v>
      </c>
      <c r="G429" s="16" t="s">
        <v>48</v>
      </c>
      <c r="H429" s="16" t="s">
        <v>48</v>
      </c>
      <c r="I429" s="16" t="s">
        <v>48</v>
      </c>
      <c r="J429" s="16" t="s">
        <v>48</v>
      </c>
      <c r="K429" s="16" t="s">
        <v>48</v>
      </c>
      <c r="L429" s="16" t="s">
        <v>48</v>
      </c>
      <c r="M429" s="16" t="s">
        <v>48</v>
      </c>
      <c r="N429" s="16">
        <v>27</v>
      </c>
      <c r="O429" s="16" t="s">
        <v>790</v>
      </c>
      <c r="P429" s="16" t="s">
        <v>980</v>
      </c>
      <c r="Q429" s="32" t="s">
        <v>1048</v>
      </c>
    </row>
    <row r="430" spans="1:17">
      <c r="A430" s="35">
        <v>45742</v>
      </c>
      <c r="B430" s="36" t="s">
        <v>174</v>
      </c>
      <c r="C430" s="16" t="s">
        <v>943</v>
      </c>
      <c r="D430" s="16" t="s">
        <v>979</v>
      </c>
      <c r="E430" s="16" t="s">
        <v>982</v>
      </c>
      <c r="F430" s="16" t="s">
        <v>48</v>
      </c>
      <c r="G430" s="16" t="s">
        <v>48</v>
      </c>
      <c r="H430" s="16" t="s">
        <v>48</v>
      </c>
      <c r="I430" s="16" t="s">
        <v>48</v>
      </c>
      <c r="J430" s="16" t="s">
        <v>48</v>
      </c>
      <c r="K430" s="16" t="s">
        <v>48</v>
      </c>
      <c r="L430" s="16" t="s">
        <v>48</v>
      </c>
      <c r="M430" s="16" t="s">
        <v>48</v>
      </c>
      <c r="N430" s="16">
        <v>27</v>
      </c>
      <c r="O430" s="16" t="s">
        <v>790</v>
      </c>
      <c r="P430" s="16" t="s">
        <v>980</v>
      </c>
      <c r="Q430" s="32" t="s">
        <v>1048</v>
      </c>
    </row>
    <row r="431" spans="1:17">
      <c r="A431" s="35">
        <v>45742</v>
      </c>
      <c r="B431" s="36" t="s">
        <v>174</v>
      </c>
      <c r="C431" s="16" t="s">
        <v>943</v>
      </c>
      <c r="D431" s="16" t="s">
        <v>968</v>
      </c>
      <c r="E431" s="16" t="s">
        <v>983</v>
      </c>
      <c r="F431" s="16" t="s">
        <v>48</v>
      </c>
      <c r="G431" s="16" t="s">
        <v>48</v>
      </c>
      <c r="H431" s="16" t="s">
        <v>48</v>
      </c>
      <c r="I431" s="16" t="s">
        <v>48</v>
      </c>
      <c r="J431" s="16" t="s">
        <v>48</v>
      </c>
      <c r="K431" s="16" t="s">
        <v>48</v>
      </c>
      <c r="L431" s="16" t="s">
        <v>48</v>
      </c>
      <c r="M431" s="16" t="s">
        <v>48</v>
      </c>
      <c r="N431" s="16">
        <v>27</v>
      </c>
      <c r="O431" s="16" t="s">
        <v>790</v>
      </c>
      <c r="P431" s="16" t="s">
        <v>980</v>
      </c>
      <c r="Q431" s="32" t="s">
        <v>1048</v>
      </c>
    </row>
    <row r="432" spans="1:17">
      <c r="A432" s="35">
        <v>45742</v>
      </c>
      <c r="B432" s="36" t="s">
        <v>174</v>
      </c>
      <c r="C432" s="16" t="s">
        <v>943</v>
      </c>
      <c r="D432" s="16" t="s">
        <v>968</v>
      </c>
      <c r="E432" s="16" t="s">
        <v>984</v>
      </c>
      <c r="F432" s="16" t="s">
        <v>48</v>
      </c>
      <c r="G432" s="16" t="s">
        <v>48</v>
      </c>
      <c r="H432" s="16" t="s">
        <v>48</v>
      </c>
      <c r="I432" s="16" t="s">
        <v>48</v>
      </c>
      <c r="J432" s="16" t="s">
        <v>48</v>
      </c>
      <c r="K432" s="16" t="s">
        <v>48</v>
      </c>
      <c r="L432" s="16" t="s">
        <v>48</v>
      </c>
      <c r="M432" s="16" t="s">
        <v>48</v>
      </c>
      <c r="N432" s="16">
        <v>25</v>
      </c>
      <c r="O432" s="16" t="s">
        <v>790</v>
      </c>
      <c r="P432" s="16" t="s">
        <v>980</v>
      </c>
      <c r="Q432" s="32" t="s">
        <v>1048</v>
      </c>
    </row>
    <row r="433" spans="1:17">
      <c r="A433" s="35">
        <v>45743</v>
      </c>
      <c r="B433" s="36" t="s">
        <v>174</v>
      </c>
      <c r="C433" s="16" t="s">
        <v>986</v>
      </c>
      <c r="D433" s="16" t="s">
        <v>968</v>
      </c>
      <c r="E433" s="16" t="s">
        <v>984</v>
      </c>
      <c r="F433" s="16" t="s">
        <v>48</v>
      </c>
      <c r="G433" s="16" t="s">
        <v>48</v>
      </c>
      <c r="H433" s="16" t="s">
        <v>48</v>
      </c>
      <c r="I433" s="16" t="s">
        <v>48</v>
      </c>
      <c r="J433" s="16" t="s">
        <v>48</v>
      </c>
      <c r="K433" s="16" t="s">
        <v>48</v>
      </c>
      <c r="L433" s="16" t="s">
        <v>48</v>
      </c>
      <c r="M433" s="16" t="s">
        <v>48</v>
      </c>
      <c r="N433" s="16">
        <v>2</v>
      </c>
      <c r="O433" s="16" t="s">
        <v>790</v>
      </c>
      <c r="P433" s="16" t="s">
        <v>980</v>
      </c>
      <c r="Q433" s="32" t="s">
        <v>1048</v>
      </c>
    </row>
    <row r="434" spans="1:17">
      <c r="A434" s="35">
        <v>45743</v>
      </c>
      <c r="B434" s="36" t="s">
        <v>174</v>
      </c>
      <c r="C434" s="16" t="s">
        <v>986</v>
      </c>
      <c r="D434" s="16" t="s">
        <v>968</v>
      </c>
      <c r="E434" s="16" t="s">
        <v>985</v>
      </c>
      <c r="F434" s="16" t="s">
        <v>48</v>
      </c>
      <c r="G434" s="16" t="s">
        <v>48</v>
      </c>
      <c r="H434" s="16" t="s">
        <v>48</v>
      </c>
      <c r="I434" s="16" t="s">
        <v>48</v>
      </c>
      <c r="J434" s="16" t="s">
        <v>48</v>
      </c>
      <c r="K434" s="16" t="s">
        <v>48</v>
      </c>
      <c r="L434" s="16" t="s">
        <v>48</v>
      </c>
      <c r="M434" s="16" t="s">
        <v>48</v>
      </c>
      <c r="N434" s="16">
        <v>27</v>
      </c>
      <c r="O434" s="16" t="s">
        <v>790</v>
      </c>
      <c r="P434" s="16" t="s">
        <v>980</v>
      </c>
      <c r="Q434" s="32" t="s">
        <v>1048</v>
      </c>
    </row>
    <row r="435" spans="1:17">
      <c r="A435" s="35">
        <v>45743</v>
      </c>
      <c r="B435" s="36" t="s">
        <v>174</v>
      </c>
      <c r="C435" s="16" t="s">
        <v>986</v>
      </c>
      <c r="D435" s="16" t="s">
        <v>968</v>
      </c>
      <c r="E435" s="16" t="s">
        <v>987</v>
      </c>
      <c r="F435" s="16" t="s">
        <v>48</v>
      </c>
      <c r="G435" s="16" t="s">
        <v>48</v>
      </c>
      <c r="H435" s="16" t="s">
        <v>48</v>
      </c>
      <c r="I435" s="16" t="s">
        <v>48</v>
      </c>
      <c r="J435" s="16" t="s">
        <v>48</v>
      </c>
      <c r="K435" s="16" t="s">
        <v>48</v>
      </c>
      <c r="L435" s="16" t="s">
        <v>48</v>
      </c>
      <c r="M435" s="16" t="s">
        <v>48</v>
      </c>
      <c r="N435" s="16">
        <f>78/2</f>
        <v>39</v>
      </c>
      <c r="O435" s="16" t="s">
        <v>790</v>
      </c>
      <c r="P435" s="16" t="s">
        <v>980</v>
      </c>
      <c r="Q435" s="32" t="s">
        <v>1048</v>
      </c>
    </row>
    <row r="436" spans="1:17">
      <c r="A436" s="35">
        <v>45743</v>
      </c>
      <c r="B436" s="36" t="s">
        <v>174</v>
      </c>
      <c r="C436" s="16" t="s">
        <v>986</v>
      </c>
      <c r="D436" s="16" t="s">
        <v>979</v>
      </c>
      <c r="E436" s="16" t="s">
        <v>988</v>
      </c>
      <c r="F436" s="16" t="s">
        <v>48</v>
      </c>
      <c r="G436" s="16" t="s">
        <v>48</v>
      </c>
      <c r="H436" s="16" t="s">
        <v>48</v>
      </c>
      <c r="I436" s="16" t="s">
        <v>48</v>
      </c>
      <c r="J436" s="16" t="s">
        <v>48</v>
      </c>
      <c r="K436" s="16" t="s">
        <v>48</v>
      </c>
      <c r="L436" s="16" t="s">
        <v>48</v>
      </c>
      <c r="M436" s="16" t="s">
        <v>48</v>
      </c>
      <c r="N436" s="16">
        <v>21</v>
      </c>
      <c r="O436" s="16" t="s">
        <v>790</v>
      </c>
      <c r="P436" s="16" t="s">
        <v>980</v>
      </c>
      <c r="Q436" s="32" t="s">
        <v>1048</v>
      </c>
    </row>
    <row r="437" spans="1:17">
      <c r="A437" s="35">
        <v>45743</v>
      </c>
      <c r="B437" s="36" t="s">
        <v>174</v>
      </c>
      <c r="C437" s="16" t="s">
        <v>986</v>
      </c>
      <c r="D437" s="16" t="s">
        <v>979</v>
      </c>
      <c r="E437" s="16" t="s">
        <v>989</v>
      </c>
      <c r="F437" s="16" t="s">
        <v>48</v>
      </c>
      <c r="G437" s="16" t="s">
        <v>48</v>
      </c>
      <c r="H437" s="16" t="s">
        <v>48</v>
      </c>
      <c r="I437" s="16" t="s">
        <v>48</v>
      </c>
      <c r="J437" s="16" t="s">
        <v>48</v>
      </c>
      <c r="K437" s="16" t="s">
        <v>48</v>
      </c>
      <c r="L437" s="16" t="s">
        <v>48</v>
      </c>
      <c r="M437" s="16" t="s">
        <v>48</v>
      </c>
      <c r="N437" s="16">
        <v>27</v>
      </c>
      <c r="O437" s="16" t="s">
        <v>790</v>
      </c>
      <c r="P437" s="16" t="s">
        <v>980</v>
      </c>
      <c r="Q437" s="32" t="s">
        <v>1048</v>
      </c>
    </row>
    <row r="438" spans="1:17">
      <c r="A438" s="35">
        <v>45743</v>
      </c>
      <c r="B438" s="36" t="s">
        <v>174</v>
      </c>
      <c r="C438" s="16" t="s">
        <v>986</v>
      </c>
      <c r="D438" s="16" t="s">
        <v>979</v>
      </c>
      <c r="E438" s="16" t="s">
        <v>990</v>
      </c>
      <c r="F438" s="16" t="s">
        <v>48</v>
      </c>
      <c r="G438" s="16" t="s">
        <v>48</v>
      </c>
      <c r="H438" s="16" t="s">
        <v>48</v>
      </c>
      <c r="I438" s="16" t="s">
        <v>48</v>
      </c>
      <c r="J438" s="16" t="s">
        <v>48</v>
      </c>
      <c r="K438" s="16" t="s">
        <v>48</v>
      </c>
      <c r="L438" s="16" t="s">
        <v>48</v>
      </c>
      <c r="M438" s="16" t="s">
        <v>48</v>
      </c>
      <c r="N438" s="16">
        <v>27</v>
      </c>
      <c r="O438" s="16" t="s">
        <v>790</v>
      </c>
      <c r="P438" s="16" t="s">
        <v>980</v>
      </c>
      <c r="Q438" s="32" t="s">
        <v>1048</v>
      </c>
    </row>
    <row r="439" spans="1:17">
      <c r="A439" s="35">
        <v>45743</v>
      </c>
      <c r="B439" s="36" t="s">
        <v>174</v>
      </c>
      <c r="C439" s="16" t="s">
        <v>986</v>
      </c>
      <c r="D439" s="16" t="s">
        <v>979</v>
      </c>
      <c r="E439" s="16" t="s">
        <v>991</v>
      </c>
      <c r="F439" s="16" t="s">
        <v>48</v>
      </c>
      <c r="G439" s="16" t="s">
        <v>48</v>
      </c>
      <c r="H439" s="16" t="s">
        <v>48</v>
      </c>
      <c r="I439" s="16" t="s">
        <v>48</v>
      </c>
      <c r="J439" s="16" t="s">
        <v>48</v>
      </c>
      <c r="K439" s="16" t="s">
        <v>48</v>
      </c>
      <c r="L439" s="16" t="s">
        <v>48</v>
      </c>
      <c r="M439" s="16" t="s">
        <v>48</v>
      </c>
      <c r="N439" s="16">
        <v>27</v>
      </c>
      <c r="O439" s="16" t="s">
        <v>790</v>
      </c>
      <c r="P439" s="16" t="s">
        <v>980</v>
      </c>
      <c r="Q439" s="32" t="s">
        <v>1048</v>
      </c>
    </row>
    <row r="440" spans="1:17">
      <c r="A440" s="35">
        <v>45743</v>
      </c>
      <c r="B440" s="36" t="s">
        <v>174</v>
      </c>
      <c r="C440" s="16" t="s">
        <v>986</v>
      </c>
      <c r="D440" s="16" t="s">
        <v>999</v>
      </c>
      <c r="E440" s="16" t="s">
        <v>992</v>
      </c>
      <c r="F440" s="16" t="s">
        <v>48</v>
      </c>
      <c r="G440" s="16" t="s">
        <v>48</v>
      </c>
      <c r="H440" s="16" t="s">
        <v>48</v>
      </c>
      <c r="I440" s="16" t="s">
        <v>48</v>
      </c>
      <c r="J440" s="16" t="s">
        <v>48</v>
      </c>
      <c r="K440" s="16" t="s">
        <v>48</v>
      </c>
      <c r="L440" s="16" t="s">
        <v>48</v>
      </c>
      <c r="M440" s="16" t="s">
        <v>48</v>
      </c>
      <c r="N440" s="16">
        <v>27</v>
      </c>
      <c r="O440" s="16" t="s">
        <v>790</v>
      </c>
      <c r="P440" s="16" t="s">
        <v>980</v>
      </c>
      <c r="Q440" s="32" t="s">
        <v>1048</v>
      </c>
    </row>
    <row r="441" spans="1:17">
      <c r="A441" s="35">
        <v>45743</v>
      </c>
      <c r="B441" s="36" t="s">
        <v>174</v>
      </c>
      <c r="C441" s="16" t="s">
        <v>986</v>
      </c>
      <c r="D441" s="16" t="s">
        <v>999</v>
      </c>
      <c r="E441" s="16" t="s">
        <v>993</v>
      </c>
      <c r="F441" s="16" t="s">
        <v>48</v>
      </c>
      <c r="G441" s="16" t="s">
        <v>48</v>
      </c>
      <c r="H441" s="16" t="s">
        <v>48</v>
      </c>
      <c r="I441" s="16" t="s">
        <v>48</v>
      </c>
      <c r="J441" s="16" t="s">
        <v>48</v>
      </c>
      <c r="K441" s="16" t="s">
        <v>48</v>
      </c>
      <c r="L441" s="16" t="s">
        <v>48</v>
      </c>
      <c r="M441" s="16" t="s">
        <v>48</v>
      </c>
      <c r="N441" s="16">
        <v>27</v>
      </c>
      <c r="O441" s="16" t="s">
        <v>790</v>
      </c>
      <c r="P441" s="16" t="s">
        <v>980</v>
      </c>
      <c r="Q441" s="32" t="s">
        <v>1048</v>
      </c>
    </row>
    <row r="442" spans="1:17">
      <c r="A442" s="35">
        <v>45743</v>
      </c>
      <c r="B442" s="36" t="s">
        <v>174</v>
      </c>
      <c r="C442" s="16" t="s">
        <v>986</v>
      </c>
      <c r="D442" s="16" t="s">
        <v>999</v>
      </c>
      <c r="E442" s="16" t="s">
        <v>994</v>
      </c>
      <c r="F442" s="16" t="s">
        <v>48</v>
      </c>
      <c r="G442" s="16" t="s">
        <v>48</v>
      </c>
      <c r="H442" s="16" t="s">
        <v>48</v>
      </c>
      <c r="I442" s="16" t="s">
        <v>48</v>
      </c>
      <c r="J442" s="16" t="s">
        <v>48</v>
      </c>
      <c r="K442" s="16" t="s">
        <v>48</v>
      </c>
      <c r="L442" s="16" t="s">
        <v>48</v>
      </c>
      <c r="M442" s="16" t="s">
        <v>48</v>
      </c>
      <c r="N442" s="16">
        <v>54</v>
      </c>
      <c r="O442" s="16" t="s">
        <v>790</v>
      </c>
      <c r="P442" s="16" t="s">
        <v>980</v>
      </c>
      <c r="Q442" s="32" t="s">
        <v>1048</v>
      </c>
    </row>
    <row r="443" spans="1:17">
      <c r="A443" s="35">
        <v>45743</v>
      </c>
      <c r="B443" s="36" t="s">
        <v>174</v>
      </c>
      <c r="C443" s="16" t="s">
        <v>986</v>
      </c>
      <c r="D443" s="16" t="s">
        <v>997</v>
      </c>
      <c r="E443" s="16" t="s">
        <v>995</v>
      </c>
      <c r="F443" s="16" t="s">
        <v>48</v>
      </c>
      <c r="G443" s="16" t="s">
        <v>48</v>
      </c>
      <c r="H443" s="16" t="s">
        <v>48</v>
      </c>
      <c r="I443" s="16" t="s">
        <v>48</v>
      </c>
      <c r="J443" s="16" t="s">
        <v>48</v>
      </c>
      <c r="K443" s="16" t="s">
        <v>48</v>
      </c>
      <c r="L443" s="16" t="s">
        <v>48</v>
      </c>
      <c r="M443" s="16" t="s">
        <v>48</v>
      </c>
      <c r="N443" s="16">
        <v>27</v>
      </c>
      <c r="O443" s="16" t="s">
        <v>790</v>
      </c>
      <c r="P443" s="16" t="s">
        <v>980</v>
      </c>
      <c r="Q443" s="32" t="s">
        <v>1048</v>
      </c>
    </row>
    <row r="444" spans="1:17">
      <c r="A444" s="35">
        <v>45743</v>
      </c>
      <c r="B444" s="36" t="s">
        <v>174</v>
      </c>
      <c r="C444" s="16" t="s">
        <v>986</v>
      </c>
      <c r="D444" s="16" t="s">
        <v>997</v>
      </c>
      <c r="E444" s="16" t="s">
        <v>993</v>
      </c>
      <c r="F444" s="16" t="s">
        <v>48</v>
      </c>
      <c r="G444" s="16" t="s">
        <v>48</v>
      </c>
      <c r="H444" s="16" t="s">
        <v>48</v>
      </c>
      <c r="I444" s="16" t="s">
        <v>48</v>
      </c>
      <c r="J444" s="16" t="s">
        <v>48</v>
      </c>
      <c r="K444" s="16" t="s">
        <v>48</v>
      </c>
      <c r="L444" s="16" t="s">
        <v>48</v>
      </c>
      <c r="M444" s="16" t="s">
        <v>48</v>
      </c>
      <c r="N444" s="16">
        <v>27</v>
      </c>
      <c r="O444" s="16" t="s">
        <v>790</v>
      </c>
      <c r="P444" s="16" t="s">
        <v>980</v>
      </c>
      <c r="Q444" s="32" t="s">
        <v>1048</v>
      </c>
    </row>
    <row r="445" spans="1:17">
      <c r="A445" s="35">
        <v>45743</v>
      </c>
      <c r="B445" s="36" t="s">
        <v>174</v>
      </c>
      <c r="C445" s="16" t="s">
        <v>986</v>
      </c>
      <c r="D445" s="16" t="s">
        <v>997</v>
      </c>
      <c r="E445" s="16" t="s">
        <v>996</v>
      </c>
      <c r="F445" s="16" t="s">
        <v>48</v>
      </c>
      <c r="G445" s="16" t="s">
        <v>48</v>
      </c>
      <c r="H445" s="16" t="s">
        <v>48</v>
      </c>
      <c r="I445" s="16" t="s">
        <v>48</v>
      </c>
      <c r="J445" s="16" t="s">
        <v>48</v>
      </c>
      <c r="K445" s="16" t="s">
        <v>48</v>
      </c>
      <c r="L445" s="16" t="s">
        <v>48</v>
      </c>
      <c r="M445" s="16" t="s">
        <v>48</v>
      </c>
      <c r="N445" s="16">
        <v>18</v>
      </c>
      <c r="O445" s="16" t="s">
        <v>790</v>
      </c>
      <c r="P445" s="16" t="s">
        <v>980</v>
      </c>
      <c r="Q445" s="32" t="s">
        <v>1048</v>
      </c>
    </row>
    <row r="446" spans="1:17">
      <c r="A446" s="35">
        <v>45743</v>
      </c>
      <c r="B446" s="36" t="s">
        <v>174</v>
      </c>
      <c r="C446" s="16" t="s">
        <v>986</v>
      </c>
      <c r="D446" s="16" t="s">
        <v>997</v>
      </c>
      <c r="E446" s="16" t="s">
        <v>996</v>
      </c>
      <c r="F446" s="16" t="s">
        <v>48</v>
      </c>
      <c r="G446" s="16" t="s">
        <v>48</v>
      </c>
      <c r="H446" s="16" t="s">
        <v>48</v>
      </c>
      <c r="I446" s="16" t="s">
        <v>48</v>
      </c>
      <c r="J446" s="16" t="s">
        <v>48</v>
      </c>
      <c r="K446" s="16" t="s">
        <v>48</v>
      </c>
      <c r="L446" s="16" t="s">
        <v>48</v>
      </c>
      <c r="M446" s="16" t="s">
        <v>48</v>
      </c>
      <c r="N446" s="16">
        <v>9</v>
      </c>
      <c r="O446" s="16" t="s">
        <v>790</v>
      </c>
      <c r="P446" s="16" t="s">
        <v>998</v>
      </c>
      <c r="Q446" s="32" t="s">
        <v>1049</v>
      </c>
    </row>
    <row r="447" spans="1:17">
      <c r="A447" s="35">
        <v>45743</v>
      </c>
      <c r="B447" s="36" t="s">
        <v>174</v>
      </c>
      <c r="C447" s="16" t="s">
        <v>986</v>
      </c>
      <c r="D447" s="16" t="s">
        <v>997</v>
      </c>
      <c r="E447" s="16" t="s">
        <v>995</v>
      </c>
      <c r="F447" s="16" t="s">
        <v>48</v>
      </c>
      <c r="G447" s="16" t="s">
        <v>48</v>
      </c>
      <c r="H447" s="16" t="s">
        <v>48</v>
      </c>
      <c r="I447" s="16" t="s">
        <v>48</v>
      </c>
      <c r="J447" s="16" t="s">
        <v>48</v>
      </c>
      <c r="K447" s="16" t="s">
        <v>48</v>
      </c>
      <c r="L447" s="16" t="s">
        <v>48</v>
      </c>
      <c r="M447" s="16" t="s">
        <v>48</v>
      </c>
      <c r="N447" s="16">
        <v>27</v>
      </c>
      <c r="O447" s="16" t="s">
        <v>790</v>
      </c>
      <c r="P447" s="16" t="s">
        <v>998</v>
      </c>
      <c r="Q447" s="32" t="s">
        <v>1049</v>
      </c>
    </row>
    <row r="448" spans="1:17">
      <c r="A448" s="35">
        <v>45743</v>
      </c>
      <c r="B448" s="36" t="s">
        <v>174</v>
      </c>
      <c r="C448" s="16" t="s">
        <v>986</v>
      </c>
      <c r="D448" s="16" t="s">
        <v>997</v>
      </c>
      <c r="E448" s="16" t="s">
        <v>1000</v>
      </c>
      <c r="F448" s="16" t="s">
        <v>48</v>
      </c>
      <c r="G448" s="16" t="s">
        <v>48</v>
      </c>
      <c r="H448" s="16" t="s">
        <v>48</v>
      </c>
      <c r="I448" s="16" t="s">
        <v>48</v>
      </c>
      <c r="J448" s="16" t="s">
        <v>48</v>
      </c>
      <c r="K448" s="16" t="s">
        <v>48</v>
      </c>
      <c r="L448" s="16" t="s">
        <v>48</v>
      </c>
      <c r="M448" s="16" t="s">
        <v>48</v>
      </c>
      <c r="N448" s="16">
        <v>54</v>
      </c>
      <c r="O448" s="16" t="s">
        <v>790</v>
      </c>
      <c r="P448" s="16" t="s">
        <v>998</v>
      </c>
      <c r="Q448" s="32" t="s">
        <v>1049</v>
      </c>
    </row>
    <row r="449" spans="1:17">
      <c r="A449" s="35">
        <v>45743</v>
      </c>
      <c r="B449" s="36" t="s">
        <v>174</v>
      </c>
      <c r="C449" s="16" t="s">
        <v>986</v>
      </c>
      <c r="D449" s="16" t="s">
        <v>997</v>
      </c>
      <c r="E449" s="16" t="s">
        <v>966</v>
      </c>
      <c r="F449" s="16" t="s">
        <v>48</v>
      </c>
      <c r="G449" s="16" t="s">
        <v>48</v>
      </c>
      <c r="H449" s="16" t="s">
        <v>48</v>
      </c>
      <c r="I449" s="16" t="s">
        <v>48</v>
      </c>
      <c r="J449" s="16" t="s">
        <v>48</v>
      </c>
      <c r="K449" s="16" t="s">
        <v>48</v>
      </c>
      <c r="L449" s="16" t="s">
        <v>48</v>
      </c>
      <c r="M449" s="16" t="s">
        <v>48</v>
      </c>
      <c r="N449" s="16">
        <v>24</v>
      </c>
      <c r="O449" s="16" t="s">
        <v>790</v>
      </c>
      <c r="P449" s="16" t="s">
        <v>998</v>
      </c>
      <c r="Q449" s="32" t="s">
        <v>1049</v>
      </c>
    </row>
    <row r="450" spans="1:17">
      <c r="A450" s="35">
        <v>45743</v>
      </c>
      <c r="B450" s="36" t="s">
        <v>174</v>
      </c>
      <c r="C450" s="16" t="s">
        <v>986</v>
      </c>
      <c r="D450" s="16" t="s">
        <v>1005</v>
      </c>
      <c r="E450" s="16" t="s">
        <v>1001</v>
      </c>
      <c r="F450" s="16" t="s">
        <v>48</v>
      </c>
      <c r="G450" s="16" t="s">
        <v>48</v>
      </c>
      <c r="H450" s="16" t="s">
        <v>48</v>
      </c>
      <c r="I450" s="16" t="s">
        <v>48</v>
      </c>
      <c r="J450" s="16" t="s">
        <v>48</v>
      </c>
      <c r="K450" s="16" t="s">
        <v>48</v>
      </c>
      <c r="L450" s="16" t="s">
        <v>48</v>
      </c>
      <c r="M450" s="16" t="s">
        <v>48</v>
      </c>
      <c r="N450" s="16">
        <v>27</v>
      </c>
      <c r="O450" s="16" t="s">
        <v>790</v>
      </c>
      <c r="P450" s="16" t="s">
        <v>998</v>
      </c>
      <c r="Q450" s="32" t="s">
        <v>1049</v>
      </c>
    </row>
    <row r="451" spans="1:17">
      <c r="A451" s="35">
        <v>45743</v>
      </c>
      <c r="B451" s="36" t="s">
        <v>174</v>
      </c>
      <c r="C451" s="16" t="s">
        <v>986</v>
      </c>
      <c r="D451" s="16" t="s">
        <v>1005</v>
      </c>
      <c r="E451" s="16" t="s">
        <v>1002</v>
      </c>
      <c r="F451" s="16" t="s">
        <v>48</v>
      </c>
      <c r="G451" s="16" t="s">
        <v>48</v>
      </c>
      <c r="H451" s="16" t="s">
        <v>48</v>
      </c>
      <c r="I451" s="16" t="s">
        <v>48</v>
      </c>
      <c r="J451" s="16" t="s">
        <v>48</v>
      </c>
      <c r="K451" s="16" t="s">
        <v>48</v>
      </c>
      <c r="L451" s="16" t="s">
        <v>48</v>
      </c>
      <c r="M451" s="16" t="s">
        <v>48</v>
      </c>
      <c r="N451" s="16">
        <v>27</v>
      </c>
      <c r="O451" s="16" t="s">
        <v>790</v>
      </c>
      <c r="P451" s="16" t="s">
        <v>998</v>
      </c>
      <c r="Q451" s="32" t="s">
        <v>1049</v>
      </c>
    </row>
    <row r="452" spans="1:17">
      <c r="A452" s="35">
        <v>45743</v>
      </c>
      <c r="B452" s="36" t="s">
        <v>174</v>
      </c>
      <c r="C452" s="16" t="s">
        <v>986</v>
      </c>
      <c r="D452" s="16" t="s">
        <v>1005</v>
      </c>
      <c r="E452" s="16" t="s">
        <v>1003</v>
      </c>
      <c r="F452" s="16" t="s">
        <v>48</v>
      </c>
      <c r="G452" s="16" t="s">
        <v>48</v>
      </c>
      <c r="H452" s="16" t="s">
        <v>48</v>
      </c>
      <c r="I452" s="16" t="s">
        <v>48</v>
      </c>
      <c r="J452" s="16" t="s">
        <v>48</v>
      </c>
      <c r="K452" s="16" t="s">
        <v>48</v>
      </c>
      <c r="L452" s="16" t="s">
        <v>48</v>
      </c>
      <c r="M452" s="16" t="s">
        <v>48</v>
      </c>
      <c r="N452" s="16">
        <v>27</v>
      </c>
      <c r="O452" s="16" t="s">
        <v>790</v>
      </c>
      <c r="P452" s="16" t="s">
        <v>998</v>
      </c>
      <c r="Q452" s="32" t="s">
        <v>1049</v>
      </c>
    </row>
    <row r="453" spans="1:17">
      <c r="A453" s="35">
        <v>45743</v>
      </c>
      <c r="B453" s="36" t="s">
        <v>174</v>
      </c>
      <c r="C453" s="16" t="s">
        <v>986</v>
      </c>
      <c r="D453" s="16" t="s">
        <v>1005</v>
      </c>
      <c r="E453" s="16" t="s">
        <v>1004</v>
      </c>
      <c r="F453" s="16" t="s">
        <v>48</v>
      </c>
      <c r="G453" s="16" t="s">
        <v>48</v>
      </c>
      <c r="H453" s="16" t="s">
        <v>48</v>
      </c>
      <c r="I453" s="16" t="s">
        <v>48</v>
      </c>
      <c r="J453" s="16" t="s">
        <v>48</v>
      </c>
      <c r="K453" s="16" t="s">
        <v>48</v>
      </c>
      <c r="L453" s="16" t="s">
        <v>48</v>
      </c>
      <c r="M453" s="16" t="s">
        <v>48</v>
      </c>
      <c r="N453" s="16">
        <v>54</v>
      </c>
      <c r="O453" s="16" t="s">
        <v>790</v>
      </c>
      <c r="P453" s="16" t="s">
        <v>998</v>
      </c>
      <c r="Q453" s="32" t="s">
        <v>1049</v>
      </c>
    </row>
    <row r="454" spans="1:17">
      <c r="A454" s="35">
        <v>45743</v>
      </c>
      <c r="B454" s="36" t="s">
        <v>174</v>
      </c>
      <c r="C454" s="16" t="s">
        <v>986</v>
      </c>
      <c r="D454" s="16" t="s">
        <v>979</v>
      </c>
      <c r="E454" s="16" t="s">
        <v>1003</v>
      </c>
      <c r="F454" s="16" t="s">
        <v>48</v>
      </c>
      <c r="G454" s="16" t="s">
        <v>48</v>
      </c>
      <c r="H454" s="16" t="s">
        <v>48</v>
      </c>
      <c r="I454" s="16" t="s">
        <v>48</v>
      </c>
      <c r="J454" s="16" t="s">
        <v>48</v>
      </c>
      <c r="K454" s="16" t="s">
        <v>48</v>
      </c>
      <c r="L454" s="16" t="s">
        <v>48</v>
      </c>
      <c r="M454" s="16" t="s">
        <v>48</v>
      </c>
      <c r="N454" s="16">
        <v>27</v>
      </c>
      <c r="O454" s="16" t="s">
        <v>790</v>
      </c>
      <c r="P454" s="16" t="s">
        <v>998</v>
      </c>
      <c r="Q454" s="32" t="s">
        <v>1049</v>
      </c>
    </row>
    <row r="455" spans="1:17">
      <c r="A455" s="35">
        <v>45743</v>
      </c>
      <c r="B455" s="36" t="s">
        <v>174</v>
      </c>
      <c r="C455" s="16" t="s">
        <v>986</v>
      </c>
      <c r="D455" s="16" t="s">
        <v>979</v>
      </c>
      <c r="E455" s="16" t="s">
        <v>1006</v>
      </c>
      <c r="F455" s="16" t="s">
        <v>48</v>
      </c>
      <c r="G455" s="16" t="s">
        <v>48</v>
      </c>
      <c r="H455" s="16" t="s">
        <v>48</v>
      </c>
      <c r="I455" s="16" t="s">
        <v>48</v>
      </c>
      <c r="J455" s="16" t="s">
        <v>48</v>
      </c>
      <c r="K455" s="16" t="s">
        <v>48</v>
      </c>
      <c r="L455" s="16" t="s">
        <v>48</v>
      </c>
      <c r="M455" s="16" t="s">
        <v>48</v>
      </c>
      <c r="N455" s="16">
        <v>27</v>
      </c>
      <c r="O455" s="16" t="s">
        <v>790</v>
      </c>
      <c r="P455" s="16" t="s">
        <v>998</v>
      </c>
      <c r="Q455" s="32" t="s">
        <v>1049</v>
      </c>
    </row>
    <row r="456" spans="1:17">
      <c r="A456" s="35">
        <v>45743</v>
      </c>
      <c r="B456" s="36" t="s">
        <v>174</v>
      </c>
      <c r="C456" s="16" t="s">
        <v>986</v>
      </c>
      <c r="D456" s="16" t="s">
        <v>1010</v>
      </c>
      <c r="E456" s="16" t="s">
        <v>1007</v>
      </c>
      <c r="F456" s="16" t="s">
        <v>48</v>
      </c>
      <c r="G456" s="16" t="s">
        <v>48</v>
      </c>
      <c r="H456" s="16" t="s">
        <v>48</v>
      </c>
      <c r="I456" s="16" t="s">
        <v>48</v>
      </c>
      <c r="J456" s="16" t="s">
        <v>48</v>
      </c>
      <c r="K456" s="16" t="s">
        <v>48</v>
      </c>
      <c r="L456" s="16" t="s">
        <v>48</v>
      </c>
      <c r="M456" s="16" t="s">
        <v>48</v>
      </c>
      <c r="N456" s="16">
        <v>27</v>
      </c>
      <c r="O456" s="16" t="s">
        <v>790</v>
      </c>
      <c r="P456" s="16" t="s">
        <v>998</v>
      </c>
      <c r="Q456" s="32" t="s">
        <v>1049</v>
      </c>
    </row>
    <row r="457" spans="1:17">
      <c r="A457" s="35">
        <v>45743</v>
      </c>
      <c r="B457" s="36" t="s">
        <v>174</v>
      </c>
      <c r="C457" s="16" t="s">
        <v>986</v>
      </c>
      <c r="D457" s="16" t="s">
        <v>1010</v>
      </c>
      <c r="E457" s="16" t="s">
        <v>1008</v>
      </c>
      <c r="F457" s="16" t="s">
        <v>48</v>
      </c>
      <c r="G457" s="16" t="s">
        <v>48</v>
      </c>
      <c r="H457" s="16" t="s">
        <v>48</v>
      </c>
      <c r="I457" s="16" t="s">
        <v>48</v>
      </c>
      <c r="J457" s="16" t="s">
        <v>48</v>
      </c>
      <c r="K457" s="16" t="s">
        <v>48</v>
      </c>
      <c r="L457" s="16" t="s">
        <v>48</v>
      </c>
      <c r="M457" s="16" t="s">
        <v>48</v>
      </c>
      <c r="N457" s="16">
        <v>51</v>
      </c>
      <c r="O457" s="16" t="s">
        <v>790</v>
      </c>
      <c r="P457" s="16" t="s">
        <v>998</v>
      </c>
      <c r="Q457" s="32" t="s">
        <v>1049</v>
      </c>
    </row>
    <row r="458" spans="1:17">
      <c r="A458" s="35">
        <v>45743</v>
      </c>
      <c r="B458" s="36" t="s">
        <v>174</v>
      </c>
      <c r="C458" s="16" t="s">
        <v>986</v>
      </c>
      <c r="D458" s="16" t="s">
        <v>1010</v>
      </c>
      <c r="E458" s="16" t="s">
        <v>1009</v>
      </c>
      <c r="F458" s="16" t="s">
        <v>48</v>
      </c>
      <c r="G458" s="16" t="s">
        <v>48</v>
      </c>
      <c r="H458" s="16" t="s">
        <v>48</v>
      </c>
      <c r="I458" s="16" t="s">
        <v>48</v>
      </c>
      <c r="J458" s="16" t="s">
        <v>48</v>
      </c>
      <c r="K458" s="16" t="s">
        <v>48</v>
      </c>
      <c r="L458" s="16" t="s">
        <v>48</v>
      </c>
      <c r="M458" s="16" t="s">
        <v>48</v>
      </c>
      <c r="N458" s="16">
        <v>27</v>
      </c>
      <c r="O458" s="16" t="s">
        <v>790</v>
      </c>
      <c r="P458" s="16" t="s">
        <v>998</v>
      </c>
      <c r="Q458" s="32" t="s">
        <v>1049</v>
      </c>
    </row>
    <row r="459" spans="1:17">
      <c r="A459" s="35">
        <v>45743</v>
      </c>
      <c r="B459" s="36" t="s">
        <v>174</v>
      </c>
      <c r="C459" s="16" t="s">
        <v>986</v>
      </c>
      <c r="D459" s="16" t="s">
        <v>1010</v>
      </c>
      <c r="E459" s="16" t="s">
        <v>1011</v>
      </c>
      <c r="F459" s="16" t="s">
        <v>48</v>
      </c>
      <c r="G459" s="16" t="s">
        <v>48</v>
      </c>
      <c r="H459" s="16" t="s">
        <v>48</v>
      </c>
      <c r="I459" s="16" t="s">
        <v>48</v>
      </c>
      <c r="J459" s="16" t="s">
        <v>48</v>
      </c>
      <c r="K459" s="16" t="s">
        <v>48</v>
      </c>
      <c r="L459" s="16" t="s">
        <v>48</v>
      </c>
      <c r="M459" s="16" t="s">
        <v>48</v>
      </c>
      <c r="N459" s="16">
        <v>27</v>
      </c>
      <c r="O459" s="16" t="s">
        <v>790</v>
      </c>
      <c r="P459" s="16" t="s">
        <v>998</v>
      </c>
      <c r="Q459" s="32" t="s">
        <v>1049</v>
      </c>
    </row>
    <row r="460" spans="1:17">
      <c r="A460" s="35">
        <v>45743</v>
      </c>
      <c r="B460" s="36" t="s">
        <v>174</v>
      </c>
      <c r="C460" s="16" t="s">
        <v>986</v>
      </c>
      <c r="D460" s="16" t="s">
        <v>1010</v>
      </c>
      <c r="E460" s="16" t="s">
        <v>1009</v>
      </c>
      <c r="F460" s="16" t="s">
        <v>48</v>
      </c>
      <c r="G460" s="16" t="s">
        <v>48</v>
      </c>
      <c r="H460" s="16" t="s">
        <v>48</v>
      </c>
      <c r="I460" s="16" t="s">
        <v>48</v>
      </c>
      <c r="J460" s="16" t="s">
        <v>48</v>
      </c>
      <c r="K460" s="16" t="s">
        <v>48</v>
      </c>
      <c r="L460" s="16" t="s">
        <v>48</v>
      </c>
      <c r="M460" s="16" t="s">
        <v>48</v>
      </c>
      <c r="N460" s="16">
        <v>27</v>
      </c>
      <c r="O460" s="16" t="s">
        <v>790</v>
      </c>
      <c r="P460" s="16" t="s">
        <v>998</v>
      </c>
      <c r="Q460" s="32" t="s">
        <v>1049</v>
      </c>
    </row>
    <row r="461" spans="1:17">
      <c r="A461" s="35">
        <v>45743</v>
      </c>
      <c r="B461" s="36" t="s">
        <v>174</v>
      </c>
      <c r="C461" s="16" t="s">
        <v>986</v>
      </c>
      <c r="D461" s="16" t="s">
        <v>1010</v>
      </c>
      <c r="E461" s="16" t="s">
        <v>1002</v>
      </c>
      <c r="F461" s="16" t="s">
        <v>48</v>
      </c>
      <c r="G461" s="16" t="s">
        <v>48</v>
      </c>
      <c r="H461" s="16" t="s">
        <v>48</v>
      </c>
      <c r="I461" s="16" t="s">
        <v>48</v>
      </c>
      <c r="J461" s="16" t="s">
        <v>48</v>
      </c>
      <c r="K461" s="16" t="s">
        <v>48</v>
      </c>
      <c r="L461" s="16" t="s">
        <v>48</v>
      </c>
      <c r="M461" s="16" t="s">
        <v>48</v>
      </c>
      <c r="N461" s="16">
        <v>27</v>
      </c>
      <c r="O461" s="16" t="s">
        <v>790</v>
      </c>
      <c r="P461" s="16" t="s">
        <v>998</v>
      </c>
      <c r="Q461" s="32" t="s">
        <v>1049</v>
      </c>
    </row>
    <row r="462" spans="1:17">
      <c r="A462" s="35">
        <v>45743</v>
      </c>
      <c r="B462" s="36" t="s">
        <v>174</v>
      </c>
      <c r="C462" s="16" t="s">
        <v>986</v>
      </c>
      <c r="D462" s="16" t="s">
        <v>1010</v>
      </c>
      <c r="E462" s="16" t="s">
        <v>1011</v>
      </c>
      <c r="F462" s="16" t="s">
        <v>48</v>
      </c>
      <c r="G462" s="16" t="s">
        <v>48</v>
      </c>
      <c r="H462" s="16" t="s">
        <v>48</v>
      </c>
      <c r="I462" s="16" t="s">
        <v>48</v>
      </c>
      <c r="J462" s="16" t="s">
        <v>48</v>
      </c>
      <c r="K462" s="16" t="s">
        <v>48</v>
      </c>
      <c r="L462" s="16" t="s">
        <v>48</v>
      </c>
      <c r="M462" s="16" t="s">
        <v>48</v>
      </c>
      <c r="N462" s="16">
        <v>11</v>
      </c>
      <c r="O462" s="16" t="s">
        <v>790</v>
      </c>
      <c r="P462" s="16" t="s">
        <v>998</v>
      </c>
      <c r="Q462" s="32" t="s">
        <v>1049</v>
      </c>
    </row>
    <row r="463" spans="1:17">
      <c r="A463" s="35">
        <v>45744</v>
      </c>
      <c r="B463" s="36" t="s">
        <v>174</v>
      </c>
      <c r="C463" s="16" t="s">
        <v>1012</v>
      </c>
      <c r="D463" s="16" t="s">
        <v>1016</v>
      </c>
      <c r="E463" s="16" t="s">
        <v>1011</v>
      </c>
      <c r="F463" s="16" t="s">
        <v>48</v>
      </c>
      <c r="G463" s="16" t="s">
        <v>48</v>
      </c>
      <c r="H463" s="16" t="s">
        <v>48</v>
      </c>
      <c r="I463" s="16" t="s">
        <v>48</v>
      </c>
      <c r="J463" s="16" t="s">
        <v>48</v>
      </c>
      <c r="K463" s="16" t="s">
        <v>48</v>
      </c>
      <c r="L463" s="16" t="s">
        <v>48</v>
      </c>
      <c r="M463" s="16" t="s">
        <v>48</v>
      </c>
      <c r="N463" s="16">
        <v>16</v>
      </c>
      <c r="O463" s="16" t="s">
        <v>1053</v>
      </c>
      <c r="P463" s="16" t="s">
        <v>1013</v>
      </c>
      <c r="Q463" s="32" t="s">
        <v>1050</v>
      </c>
    </row>
    <row r="464" spans="1:17">
      <c r="A464" s="35">
        <v>45744</v>
      </c>
      <c r="B464" s="36" t="s">
        <v>174</v>
      </c>
      <c r="C464" s="16" t="s">
        <v>1012</v>
      </c>
      <c r="D464" s="16" t="s">
        <v>1016</v>
      </c>
      <c r="E464" s="16" t="s">
        <v>1014</v>
      </c>
      <c r="F464" s="16" t="s">
        <v>48</v>
      </c>
      <c r="G464" s="16" t="s">
        <v>48</v>
      </c>
      <c r="H464" s="16" t="s">
        <v>48</v>
      </c>
      <c r="I464" s="16" t="s">
        <v>48</v>
      </c>
      <c r="J464" s="16" t="s">
        <v>48</v>
      </c>
      <c r="K464" s="16" t="s">
        <v>48</v>
      </c>
      <c r="L464" s="16" t="s">
        <v>48</v>
      </c>
      <c r="M464" s="16" t="s">
        <v>48</v>
      </c>
      <c r="N464" s="16">
        <v>27</v>
      </c>
      <c r="O464" s="16" t="s">
        <v>1053</v>
      </c>
      <c r="P464" s="16" t="s">
        <v>1013</v>
      </c>
      <c r="Q464" s="32" t="s">
        <v>1050</v>
      </c>
    </row>
    <row r="465" spans="1:17">
      <c r="A465" s="35">
        <v>45744</v>
      </c>
      <c r="B465" s="36" t="s">
        <v>174</v>
      </c>
      <c r="C465" s="16" t="s">
        <v>1012</v>
      </c>
      <c r="D465" s="16" t="s">
        <v>1016</v>
      </c>
      <c r="E465" s="16" t="s">
        <v>1015</v>
      </c>
      <c r="F465" s="16" t="s">
        <v>48</v>
      </c>
      <c r="G465" s="16" t="s">
        <v>48</v>
      </c>
      <c r="H465" s="16" t="s">
        <v>48</v>
      </c>
      <c r="I465" s="16" t="s">
        <v>48</v>
      </c>
      <c r="J465" s="16" t="s">
        <v>48</v>
      </c>
      <c r="K465" s="16" t="s">
        <v>48</v>
      </c>
      <c r="L465" s="16" t="s">
        <v>48</v>
      </c>
      <c r="M465" s="16" t="s">
        <v>48</v>
      </c>
      <c r="N465" s="16">
        <v>27</v>
      </c>
      <c r="O465" s="16" t="s">
        <v>1053</v>
      </c>
      <c r="P465" s="16" t="s">
        <v>1013</v>
      </c>
      <c r="Q465" s="32" t="s">
        <v>1050</v>
      </c>
    </row>
    <row r="466" spans="1:17">
      <c r="A466" s="35">
        <v>45744</v>
      </c>
      <c r="B466" s="36" t="s">
        <v>174</v>
      </c>
      <c r="C466" s="16" t="s">
        <v>1012</v>
      </c>
      <c r="D466" s="16" t="s">
        <v>1016</v>
      </c>
      <c r="E466" s="16" t="s">
        <v>1014</v>
      </c>
      <c r="F466" s="16" t="s">
        <v>48</v>
      </c>
      <c r="G466" s="16" t="s">
        <v>48</v>
      </c>
      <c r="H466" s="16" t="s">
        <v>48</v>
      </c>
      <c r="I466" s="16" t="s">
        <v>48</v>
      </c>
      <c r="J466" s="16" t="s">
        <v>48</v>
      </c>
      <c r="K466" s="16" t="s">
        <v>48</v>
      </c>
      <c r="L466" s="16" t="s">
        <v>48</v>
      </c>
      <c r="M466" s="16" t="s">
        <v>48</v>
      </c>
      <c r="N466" s="16">
        <v>27</v>
      </c>
      <c r="O466" s="16" t="s">
        <v>1053</v>
      </c>
      <c r="P466" s="16" t="s">
        <v>1013</v>
      </c>
      <c r="Q466" s="32" t="s">
        <v>1050</v>
      </c>
    </row>
    <row r="467" spans="1:17">
      <c r="A467" s="35">
        <v>45744</v>
      </c>
      <c r="B467" s="36" t="s">
        <v>174</v>
      </c>
      <c r="C467" s="16" t="s">
        <v>1012</v>
      </c>
      <c r="D467" s="16" t="s">
        <v>1016</v>
      </c>
      <c r="E467" s="16" t="s">
        <v>996</v>
      </c>
      <c r="F467" s="16" t="s">
        <v>48</v>
      </c>
      <c r="G467" s="16" t="s">
        <v>48</v>
      </c>
      <c r="H467" s="16" t="s">
        <v>48</v>
      </c>
      <c r="I467" s="16" t="s">
        <v>48</v>
      </c>
      <c r="J467" s="16" t="s">
        <v>48</v>
      </c>
      <c r="K467" s="16" t="s">
        <v>48</v>
      </c>
      <c r="L467" s="16" t="s">
        <v>48</v>
      </c>
      <c r="M467" s="16" t="s">
        <v>48</v>
      </c>
      <c r="N467" s="16">
        <v>27</v>
      </c>
      <c r="O467" s="16" t="s">
        <v>1053</v>
      </c>
      <c r="P467" s="16" t="s">
        <v>1013</v>
      </c>
      <c r="Q467" s="32" t="s">
        <v>1050</v>
      </c>
    </row>
    <row r="468" spans="1:17">
      <c r="A468" s="35">
        <v>45744</v>
      </c>
      <c r="B468" s="36" t="s">
        <v>174</v>
      </c>
      <c r="C468" s="16" t="s">
        <v>1012</v>
      </c>
      <c r="D468" s="16" t="s">
        <v>1019</v>
      </c>
      <c r="E468" s="16" t="s">
        <v>605</v>
      </c>
      <c r="F468" s="16" t="s">
        <v>48</v>
      </c>
      <c r="G468" s="16" t="s">
        <v>48</v>
      </c>
      <c r="H468" s="16" t="s">
        <v>48</v>
      </c>
      <c r="I468" s="16" t="s">
        <v>48</v>
      </c>
      <c r="J468" s="16" t="s">
        <v>48</v>
      </c>
      <c r="K468" s="16" t="s">
        <v>48</v>
      </c>
      <c r="L468" s="16" t="s">
        <v>48</v>
      </c>
      <c r="M468" s="16" t="s">
        <v>48</v>
      </c>
      <c r="N468" s="16">
        <v>27</v>
      </c>
      <c r="O468" s="16" t="s">
        <v>1053</v>
      </c>
      <c r="P468" s="16" t="s">
        <v>1013</v>
      </c>
      <c r="Q468" s="32" t="s">
        <v>1050</v>
      </c>
    </row>
    <row r="469" spans="1:17">
      <c r="A469" s="35">
        <v>45744</v>
      </c>
      <c r="B469" s="36" t="s">
        <v>174</v>
      </c>
      <c r="C469" s="16" t="s">
        <v>1012</v>
      </c>
      <c r="D469" s="16" t="s">
        <v>1019</v>
      </c>
      <c r="E469" s="16" t="s">
        <v>1017</v>
      </c>
      <c r="F469" s="16" t="s">
        <v>48</v>
      </c>
      <c r="G469" s="16" t="s">
        <v>48</v>
      </c>
      <c r="H469" s="16" t="s">
        <v>48</v>
      </c>
      <c r="I469" s="16" t="s">
        <v>48</v>
      </c>
      <c r="J469" s="16" t="s">
        <v>48</v>
      </c>
      <c r="K469" s="16" t="s">
        <v>48</v>
      </c>
      <c r="L469" s="16" t="s">
        <v>48</v>
      </c>
      <c r="M469" s="16" t="s">
        <v>48</v>
      </c>
      <c r="N469" s="16">
        <v>54</v>
      </c>
      <c r="O469" s="16" t="s">
        <v>1053</v>
      </c>
      <c r="P469" s="16" t="s">
        <v>1013</v>
      </c>
      <c r="Q469" s="32" t="s">
        <v>1050</v>
      </c>
    </row>
    <row r="470" spans="1:17">
      <c r="A470" s="35">
        <v>45744</v>
      </c>
      <c r="B470" s="36" t="s">
        <v>174</v>
      </c>
      <c r="C470" s="16" t="s">
        <v>1012</v>
      </c>
      <c r="D470" s="16" t="s">
        <v>1019</v>
      </c>
      <c r="E470" s="16" t="s">
        <v>984</v>
      </c>
      <c r="F470" s="16" t="s">
        <v>48</v>
      </c>
      <c r="G470" s="16" t="s">
        <v>48</v>
      </c>
      <c r="H470" s="16" t="s">
        <v>48</v>
      </c>
      <c r="I470" s="16" t="s">
        <v>48</v>
      </c>
      <c r="J470" s="16" t="s">
        <v>48</v>
      </c>
      <c r="K470" s="16" t="s">
        <v>48</v>
      </c>
      <c r="L470" s="16" t="s">
        <v>48</v>
      </c>
      <c r="M470" s="16" t="s">
        <v>48</v>
      </c>
      <c r="N470" s="16">
        <v>27</v>
      </c>
      <c r="O470" s="16" t="s">
        <v>1053</v>
      </c>
      <c r="P470" s="16" t="s">
        <v>1013</v>
      </c>
      <c r="Q470" s="32" t="s">
        <v>1050</v>
      </c>
    </row>
    <row r="471" spans="1:17">
      <c r="A471" s="35">
        <v>45744</v>
      </c>
      <c r="B471" s="36" t="s">
        <v>174</v>
      </c>
      <c r="C471" s="16" t="s">
        <v>1012</v>
      </c>
      <c r="D471" s="16" t="s">
        <v>999</v>
      </c>
      <c r="E471" s="16" t="s">
        <v>1018</v>
      </c>
      <c r="F471" s="16" t="s">
        <v>48</v>
      </c>
      <c r="G471" s="16" t="s">
        <v>48</v>
      </c>
      <c r="H471" s="16" t="s">
        <v>48</v>
      </c>
      <c r="I471" s="16" t="s">
        <v>48</v>
      </c>
      <c r="J471" s="16" t="s">
        <v>48</v>
      </c>
      <c r="K471" s="16" t="s">
        <v>48</v>
      </c>
      <c r="L471" s="16" t="s">
        <v>48</v>
      </c>
      <c r="M471" s="16" t="s">
        <v>48</v>
      </c>
      <c r="N471" s="16">
        <v>54</v>
      </c>
      <c r="O471" s="16" t="s">
        <v>1053</v>
      </c>
      <c r="P471" s="16" t="s">
        <v>1013</v>
      </c>
      <c r="Q471" s="32" t="s">
        <v>1050</v>
      </c>
    </row>
    <row r="472" spans="1:17">
      <c r="A472" s="35">
        <v>45744</v>
      </c>
      <c r="B472" s="36" t="s">
        <v>174</v>
      </c>
      <c r="C472" s="16" t="s">
        <v>1012</v>
      </c>
      <c r="D472" s="16" t="s">
        <v>999</v>
      </c>
      <c r="E472" s="16" t="s">
        <v>1018</v>
      </c>
      <c r="F472" s="16" t="s">
        <v>48</v>
      </c>
      <c r="G472" s="16" t="s">
        <v>48</v>
      </c>
      <c r="H472" s="16" t="s">
        <v>48</v>
      </c>
      <c r="I472" s="16" t="s">
        <v>48</v>
      </c>
      <c r="J472" s="16" t="s">
        <v>48</v>
      </c>
      <c r="K472" s="16" t="s">
        <v>48</v>
      </c>
      <c r="L472" s="16" t="s">
        <v>48</v>
      </c>
      <c r="M472" s="16" t="s">
        <v>48</v>
      </c>
      <c r="N472" s="16">
        <v>27</v>
      </c>
      <c r="O472" s="16" t="s">
        <v>1053</v>
      </c>
      <c r="P472" s="16" t="s">
        <v>1013</v>
      </c>
      <c r="Q472" s="32" t="s">
        <v>1050</v>
      </c>
    </row>
    <row r="473" spans="1:17">
      <c r="A473" s="35">
        <v>45744</v>
      </c>
      <c r="B473" s="36" t="s">
        <v>174</v>
      </c>
      <c r="C473" s="16" t="s">
        <v>1012</v>
      </c>
      <c r="D473" s="16" t="s">
        <v>999</v>
      </c>
      <c r="E473" s="16" t="s">
        <v>1020</v>
      </c>
      <c r="F473" s="16" t="s">
        <v>48</v>
      </c>
      <c r="G473" s="16" t="s">
        <v>48</v>
      </c>
      <c r="H473" s="16" t="s">
        <v>48</v>
      </c>
      <c r="I473" s="16" t="s">
        <v>48</v>
      </c>
      <c r="J473" s="16" t="s">
        <v>48</v>
      </c>
      <c r="K473" s="16" t="s">
        <v>48</v>
      </c>
      <c r="L473" s="16" t="s">
        <v>48</v>
      </c>
      <c r="M473" s="16" t="s">
        <v>48</v>
      </c>
      <c r="N473" s="16">
        <v>27</v>
      </c>
      <c r="O473" s="16" t="s">
        <v>1053</v>
      </c>
      <c r="P473" s="16" t="s">
        <v>1013</v>
      </c>
      <c r="Q473" s="32" t="s">
        <v>1050</v>
      </c>
    </row>
    <row r="474" spans="1:17">
      <c r="A474" s="35">
        <v>45744</v>
      </c>
      <c r="B474" s="36" t="s">
        <v>174</v>
      </c>
      <c r="C474" s="16" t="s">
        <v>1012</v>
      </c>
      <c r="D474" s="16" t="s">
        <v>999</v>
      </c>
      <c r="E474" s="16" t="s">
        <v>1007</v>
      </c>
      <c r="F474" s="16" t="s">
        <v>48</v>
      </c>
      <c r="G474" s="16" t="s">
        <v>48</v>
      </c>
      <c r="H474" s="16" t="s">
        <v>48</v>
      </c>
      <c r="I474" s="16" t="s">
        <v>48</v>
      </c>
      <c r="J474" s="16" t="s">
        <v>48</v>
      </c>
      <c r="K474" s="16" t="s">
        <v>48</v>
      </c>
      <c r="L474" s="16" t="s">
        <v>48</v>
      </c>
      <c r="M474" s="16" t="s">
        <v>48</v>
      </c>
      <c r="N474" s="16">
        <v>27</v>
      </c>
      <c r="O474" s="16" t="s">
        <v>1053</v>
      </c>
      <c r="P474" s="16" t="s">
        <v>1013</v>
      </c>
      <c r="Q474" s="32" t="s">
        <v>1050</v>
      </c>
    </row>
    <row r="475" spans="1:17">
      <c r="A475" s="35">
        <v>45744</v>
      </c>
      <c r="B475" s="36" t="s">
        <v>174</v>
      </c>
      <c r="C475" s="16" t="s">
        <v>1012</v>
      </c>
      <c r="D475" s="16" t="s">
        <v>999</v>
      </c>
      <c r="E475" s="16" t="s">
        <v>1021</v>
      </c>
      <c r="F475" s="16" t="s">
        <v>48</v>
      </c>
      <c r="G475" s="16" t="s">
        <v>48</v>
      </c>
      <c r="H475" s="16" t="s">
        <v>48</v>
      </c>
      <c r="I475" s="16" t="s">
        <v>48</v>
      </c>
      <c r="J475" s="16" t="s">
        <v>48</v>
      </c>
      <c r="K475" s="16" t="s">
        <v>48</v>
      </c>
      <c r="L475" s="16" t="s">
        <v>48</v>
      </c>
      <c r="M475" s="16" t="s">
        <v>48</v>
      </c>
      <c r="N475" s="16">
        <v>27</v>
      </c>
      <c r="O475" s="16" t="s">
        <v>1053</v>
      </c>
      <c r="P475" s="16" t="s">
        <v>1013</v>
      </c>
      <c r="Q475" s="32" t="s">
        <v>1050</v>
      </c>
    </row>
    <row r="476" spans="1:17">
      <c r="A476" s="35">
        <v>45744</v>
      </c>
      <c r="B476" s="36" t="s">
        <v>174</v>
      </c>
      <c r="C476" s="16" t="s">
        <v>1012</v>
      </c>
      <c r="D476" s="16" t="s">
        <v>999</v>
      </c>
      <c r="E476" s="16" t="s">
        <v>1022</v>
      </c>
      <c r="F476" s="16" t="s">
        <v>48</v>
      </c>
      <c r="G476" s="16" t="s">
        <v>48</v>
      </c>
      <c r="H476" s="16" t="s">
        <v>48</v>
      </c>
      <c r="I476" s="16" t="s">
        <v>48</v>
      </c>
      <c r="J476" s="16" t="s">
        <v>48</v>
      </c>
      <c r="K476" s="16" t="s">
        <v>48</v>
      </c>
      <c r="L476" s="16" t="s">
        <v>48</v>
      </c>
      <c r="M476" s="16" t="s">
        <v>48</v>
      </c>
      <c r="N476" s="16">
        <v>27</v>
      </c>
      <c r="O476" s="16" t="s">
        <v>1053</v>
      </c>
      <c r="P476" s="16" t="s">
        <v>1013</v>
      </c>
      <c r="Q476" s="32" t="s">
        <v>1050</v>
      </c>
    </row>
    <row r="477" spans="1:17">
      <c r="A477" s="35">
        <v>45744</v>
      </c>
      <c r="B477" s="36" t="s">
        <v>174</v>
      </c>
      <c r="C477" s="16" t="s">
        <v>1012</v>
      </c>
      <c r="D477" s="16" t="s">
        <v>999</v>
      </c>
      <c r="E477" s="16" t="s">
        <v>1023</v>
      </c>
      <c r="F477" s="16" t="s">
        <v>48</v>
      </c>
      <c r="G477" s="16" t="s">
        <v>48</v>
      </c>
      <c r="H477" s="16" t="s">
        <v>48</v>
      </c>
      <c r="I477" s="16" t="s">
        <v>48</v>
      </c>
      <c r="J477" s="16" t="s">
        <v>48</v>
      </c>
      <c r="K477" s="16" t="s">
        <v>48</v>
      </c>
      <c r="L477" s="16" t="s">
        <v>48</v>
      </c>
      <c r="M477" s="16" t="s">
        <v>48</v>
      </c>
      <c r="N477" s="16">
        <v>27</v>
      </c>
      <c r="O477" s="16" t="s">
        <v>1053</v>
      </c>
      <c r="P477" s="16" t="s">
        <v>1013</v>
      </c>
      <c r="Q477" s="32" t="s">
        <v>1050</v>
      </c>
    </row>
    <row r="478" spans="1:17">
      <c r="A478" s="35">
        <v>45744</v>
      </c>
      <c r="B478" s="36" t="s">
        <v>174</v>
      </c>
      <c r="C478" s="16" t="s">
        <v>1012</v>
      </c>
      <c r="D478" s="16" t="s">
        <v>999</v>
      </c>
      <c r="E478" s="16" t="s">
        <v>1021</v>
      </c>
      <c r="F478" s="16" t="s">
        <v>48</v>
      </c>
      <c r="G478" s="16" t="s">
        <v>48</v>
      </c>
      <c r="H478" s="16" t="s">
        <v>48</v>
      </c>
      <c r="I478" s="16" t="s">
        <v>48</v>
      </c>
      <c r="J478" s="16" t="s">
        <v>48</v>
      </c>
      <c r="K478" s="16" t="s">
        <v>48</v>
      </c>
      <c r="L478" s="16" t="s">
        <v>48</v>
      </c>
      <c r="M478" s="16" t="s">
        <v>48</v>
      </c>
      <c r="N478" s="16">
        <v>27</v>
      </c>
      <c r="O478" s="16" t="s">
        <v>1053</v>
      </c>
      <c r="P478" s="16" t="s">
        <v>1013</v>
      </c>
      <c r="Q478" s="32" t="s">
        <v>1050</v>
      </c>
    </row>
    <row r="479" spans="1:17">
      <c r="A479" s="35">
        <v>45744</v>
      </c>
      <c r="B479" s="36" t="s">
        <v>174</v>
      </c>
      <c r="C479" s="16" t="s">
        <v>1012</v>
      </c>
      <c r="D479" s="16" t="s">
        <v>999</v>
      </c>
      <c r="E479" s="16" t="s">
        <v>1024</v>
      </c>
      <c r="F479" s="16" t="s">
        <v>48</v>
      </c>
      <c r="G479" s="16" t="s">
        <v>48</v>
      </c>
      <c r="H479" s="16" t="s">
        <v>48</v>
      </c>
      <c r="I479" s="16" t="s">
        <v>48</v>
      </c>
      <c r="J479" s="16" t="s">
        <v>48</v>
      </c>
      <c r="K479" s="16" t="s">
        <v>48</v>
      </c>
      <c r="L479" s="16" t="s">
        <v>48</v>
      </c>
      <c r="M479" s="16" t="s">
        <v>48</v>
      </c>
      <c r="N479" s="16">
        <v>25</v>
      </c>
      <c r="O479" s="16" t="s">
        <v>1053</v>
      </c>
      <c r="P479" s="16" t="s">
        <v>1013</v>
      </c>
      <c r="Q479" s="32" t="s">
        <v>1050</v>
      </c>
    </row>
    <row r="480" spans="1:17">
      <c r="A480" s="35">
        <v>45744</v>
      </c>
      <c r="B480" s="36" t="s">
        <v>174</v>
      </c>
      <c r="C480" s="16" t="s">
        <v>1012</v>
      </c>
      <c r="D480" s="16" t="s">
        <v>999</v>
      </c>
      <c r="E480" s="16" t="s">
        <v>1024</v>
      </c>
      <c r="F480" s="16" t="s">
        <v>48</v>
      </c>
      <c r="G480" s="16" t="s">
        <v>48</v>
      </c>
      <c r="H480" s="16" t="s">
        <v>48</v>
      </c>
      <c r="I480" s="16" t="s">
        <v>48</v>
      </c>
      <c r="J480" s="16" t="s">
        <v>48</v>
      </c>
      <c r="K480" s="16" t="s">
        <v>48</v>
      </c>
      <c r="L480" s="16" t="s">
        <v>48</v>
      </c>
      <c r="M480" s="16" t="s">
        <v>48</v>
      </c>
      <c r="N480" s="16">
        <v>2</v>
      </c>
      <c r="O480" s="16" t="s">
        <v>1053</v>
      </c>
      <c r="P480" s="16" t="s">
        <v>1025</v>
      </c>
      <c r="Q480" s="32" t="s">
        <v>1051</v>
      </c>
    </row>
    <row r="481" spans="1:17">
      <c r="A481" s="35">
        <v>45744</v>
      </c>
      <c r="B481" s="36" t="s">
        <v>174</v>
      </c>
      <c r="C481" s="16" t="s">
        <v>1012</v>
      </c>
      <c r="D481" s="16" t="s">
        <v>1029</v>
      </c>
      <c r="E481" s="16" t="s">
        <v>1026</v>
      </c>
      <c r="F481" s="16" t="s">
        <v>48</v>
      </c>
      <c r="G481" s="16" t="s">
        <v>48</v>
      </c>
      <c r="H481" s="16" t="s">
        <v>48</v>
      </c>
      <c r="I481" s="16" t="s">
        <v>48</v>
      </c>
      <c r="J481" s="16" t="s">
        <v>48</v>
      </c>
      <c r="K481" s="16" t="s">
        <v>48</v>
      </c>
      <c r="L481" s="16" t="s">
        <v>48</v>
      </c>
      <c r="M481" s="16" t="s">
        <v>48</v>
      </c>
      <c r="N481" s="16">
        <v>27</v>
      </c>
      <c r="O481" s="16" t="s">
        <v>1053</v>
      </c>
      <c r="P481" s="16" t="s">
        <v>1025</v>
      </c>
      <c r="Q481" s="32" t="s">
        <v>1051</v>
      </c>
    </row>
    <row r="482" spans="1:17">
      <c r="A482" s="35">
        <v>45744</v>
      </c>
      <c r="B482" s="36" t="s">
        <v>174</v>
      </c>
      <c r="C482" s="16" t="s">
        <v>1012</v>
      </c>
      <c r="D482" s="16" t="s">
        <v>1029</v>
      </c>
      <c r="E482" s="16" t="s">
        <v>1006</v>
      </c>
      <c r="F482" s="16" t="s">
        <v>48</v>
      </c>
      <c r="G482" s="16" t="s">
        <v>48</v>
      </c>
      <c r="H482" s="16" t="s">
        <v>48</v>
      </c>
      <c r="I482" s="16" t="s">
        <v>48</v>
      </c>
      <c r="J482" s="16" t="s">
        <v>48</v>
      </c>
      <c r="K482" s="16" t="s">
        <v>48</v>
      </c>
      <c r="L482" s="16" t="s">
        <v>48</v>
      </c>
      <c r="M482" s="16" t="s">
        <v>48</v>
      </c>
      <c r="N482" s="16">
        <v>27</v>
      </c>
      <c r="O482" s="16" t="s">
        <v>1053</v>
      </c>
      <c r="P482" s="16" t="s">
        <v>1025</v>
      </c>
      <c r="Q482" s="32" t="s">
        <v>1051</v>
      </c>
    </row>
    <row r="483" spans="1:17">
      <c r="A483" s="35">
        <v>45744</v>
      </c>
      <c r="B483" s="36" t="s">
        <v>174</v>
      </c>
      <c r="C483" s="16" t="s">
        <v>1012</v>
      </c>
      <c r="D483" s="16" t="s">
        <v>1029</v>
      </c>
      <c r="E483" s="16" t="s">
        <v>1027</v>
      </c>
      <c r="F483" s="16" t="s">
        <v>48</v>
      </c>
      <c r="G483" s="16" t="s">
        <v>48</v>
      </c>
      <c r="H483" s="16" t="s">
        <v>48</v>
      </c>
      <c r="I483" s="16" t="s">
        <v>48</v>
      </c>
      <c r="J483" s="16" t="s">
        <v>48</v>
      </c>
      <c r="K483" s="16" t="s">
        <v>48</v>
      </c>
      <c r="L483" s="16" t="s">
        <v>48</v>
      </c>
      <c r="M483" s="16" t="s">
        <v>48</v>
      </c>
      <c r="N483" s="16">
        <v>27</v>
      </c>
      <c r="O483" s="16" t="s">
        <v>1053</v>
      </c>
      <c r="P483" s="16" t="s">
        <v>1025</v>
      </c>
      <c r="Q483" s="32" t="s">
        <v>1051</v>
      </c>
    </row>
    <row r="484" spans="1:17">
      <c r="A484" s="35">
        <v>45744</v>
      </c>
      <c r="B484" s="36" t="s">
        <v>174</v>
      </c>
      <c r="C484" s="16" t="s">
        <v>1012</v>
      </c>
      <c r="D484" s="16" t="s">
        <v>1029</v>
      </c>
      <c r="E484" s="16" t="s">
        <v>1028</v>
      </c>
      <c r="F484" s="16" t="s">
        <v>48</v>
      </c>
      <c r="G484" s="16" t="s">
        <v>48</v>
      </c>
      <c r="H484" s="16" t="s">
        <v>48</v>
      </c>
      <c r="I484" s="16" t="s">
        <v>48</v>
      </c>
      <c r="J484" s="16" t="s">
        <v>48</v>
      </c>
      <c r="K484" s="16" t="s">
        <v>48</v>
      </c>
      <c r="L484" s="16" t="s">
        <v>48</v>
      </c>
      <c r="M484" s="16" t="s">
        <v>48</v>
      </c>
      <c r="N484" s="16">
        <v>27</v>
      </c>
      <c r="O484" s="16" t="s">
        <v>1053</v>
      </c>
      <c r="P484" s="16" t="s">
        <v>1025</v>
      </c>
      <c r="Q484" s="32" t="s">
        <v>1051</v>
      </c>
    </row>
    <row r="485" spans="1:17">
      <c r="A485" s="35">
        <v>45744</v>
      </c>
      <c r="B485" s="36" t="s">
        <v>174</v>
      </c>
      <c r="C485" s="16" t="s">
        <v>1012</v>
      </c>
      <c r="D485" s="16" t="s">
        <v>1033</v>
      </c>
      <c r="E485" s="16" t="s">
        <v>1030</v>
      </c>
      <c r="F485" s="16" t="s">
        <v>48</v>
      </c>
      <c r="G485" s="16" t="s">
        <v>48</v>
      </c>
      <c r="H485" s="16" t="s">
        <v>48</v>
      </c>
      <c r="I485" s="16" t="s">
        <v>48</v>
      </c>
      <c r="J485" s="16" t="s">
        <v>48</v>
      </c>
      <c r="K485" s="16" t="s">
        <v>48</v>
      </c>
      <c r="L485" s="16" t="s">
        <v>48</v>
      </c>
      <c r="M485" s="16" t="s">
        <v>48</v>
      </c>
      <c r="N485" s="16">
        <v>27</v>
      </c>
      <c r="O485" s="16" t="s">
        <v>1053</v>
      </c>
      <c r="P485" s="16" t="s">
        <v>1025</v>
      </c>
      <c r="Q485" s="32" t="s">
        <v>1051</v>
      </c>
    </row>
    <row r="486" spans="1:17">
      <c r="A486" s="35">
        <v>45744</v>
      </c>
      <c r="B486" s="36" t="s">
        <v>174</v>
      </c>
      <c r="C486" s="16" t="s">
        <v>1012</v>
      </c>
      <c r="D486" s="16" t="s">
        <v>1033</v>
      </c>
      <c r="E486" s="16" t="s">
        <v>1031</v>
      </c>
      <c r="F486" s="16" t="s">
        <v>48</v>
      </c>
      <c r="G486" s="16" t="s">
        <v>48</v>
      </c>
      <c r="H486" s="16" t="s">
        <v>48</v>
      </c>
      <c r="I486" s="16" t="s">
        <v>48</v>
      </c>
      <c r="J486" s="16" t="s">
        <v>48</v>
      </c>
      <c r="K486" s="16" t="s">
        <v>48</v>
      </c>
      <c r="L486" s="16" t="s">
        <v>48</v>
      </c>
      <c r="M486" s="16" t="s">
        <v>48</v>
      </c>
      <c r="N486" s="16">
        <v>54</v>
      </c>
      <c r="O486" s="16" t="s">
        <v>1053</v>
      </c>
      <c r="P486" s="16" t="s">
        <v>1025</v>
      </c>
      <c r="Q486" s="32" t="s">
        <v>1051</v>
      </c>
    </row>
    <row r="487" spans="1:17">
      <c r="A487" s="35">
        <v>45744</v>
      </c>
      <c r="B487" s="36" t="s">
        <v>174</v>
      </c>
      <c r="C487" s="16" t="s">
        <v>1012</v>
      </c>
      <c r="D487" s="16" t="s">
        <v>1033</v>
      </c>
      <c r="E487" s="16" t="s">
        <v>1032</v>
      </c>
      <c r="F487" s="16" t="s">
        <v>48</v>
      </c>
      <c r="G487" s="16" t="s">
        <v>48</v>
      </c>
      <c r="H487" s="16" t="s">
        <v>48</v>
      </c>
      <c r="I487" s="16" t="s">
        <v>48</v>
      </c>
      <c r="J487" s="16" t="s">
        <v>48</v>
      </c>
      <c r="K487" s="16" t="s">
        <v>48</v>
      </c>
      <c r="L487" s="16" t="s">
        <v>48</v>
      </c>
      <c r="M487" s="16" t="s">
        <v>48</v>
      </c>
      <c r="N487" s="16">
        <v>27</v>
      </c>
      <c r="O487" s="16" t="s">
        <v>1053</v>
      </c>
      <c r="P487" s="16" t="s">
        <v>1025</v>
      </c>
      <c r="Q487" s="32" t="s">
        <v>1051</v>
      </c>
    </row>
    <row r="488" spans="1:17">
      <c r="A488" s="35">
        <v>45744</v>
      </c>
      <c r="B488" s="36" t="s">
        <v>174</v>
      </c>
      <c r="C488" s="16" t="s">
        <v>1012</v>
      </c>
      <c r="D488" s="16" t="s">
        <v>1036</v>
      </c>
      <c r="E488" s="16" t="s">
        <v>1034</v>
      </c>
      <c r="F488" s="16" t="s">
        <v>48</v>
      </c>
      <c r="G488" s="16" t="s">
        <v>48</v>
      </c>
      <c r="H488" s="16" t="s">
        <v>48</v>
      </c>
      <c r="I488" s="16" t="s">
        <v>48</v>
      </c>
      <c r="J488" s="16" t="s">
        <v>48</v>
      </c>
      <c r="K488" s="16" t="s">
        <v>48</v>
      </c>
      <c r="L488" s="16" t="s">
        <v>48</v>
      </c>
      <c r="M488" s="16" t="s">
        <v>48</v>
      </c>
      <c r="N488" s="16">
        <v>27</v>
      </c>
      <c r="O488" s="16" t="s">
        <v>1053</v>
      </c>
      <c r="P488" s="16" t="s">
        <v>1025</v>
      </c>
      <c r="Q488" s="32" t="s">
        <v>1051</v>
      </c>
    </row>
    <row r="489" spans="1:17">
      <c r="A489" s="35">
        <v>45744</v>
      </c>
      <c r="B489" s="36" t="s">
        <v>174</v>
      </c>
      <c r="C489" s="16" t="s">
        <v>1012</v>
      </c>
      <c r="D489" s="16" t="s">
        <v>1036</v>
      </c>
      <c r="E489" s="16" t="s">
        <v>1024</v>
      </c>
      <c r="F489" s="16" t="s">
        <v>48</v>
      </c>
      <c r="G489" s="16" t="s">
        <v>48</v>
      </c>
      <c r="H489" s="16" t="s">
        <v>48</v>
      </c>
      <c r="I489" s="16" t="s">
        <v>48</v>
      </c>
      <c r="J489" s="16" t="s">
        <v>48</v>
      </c>
      <c r="K489" s="16" t="s">
        <v>48</v>
      </c>
      <c r="L489" s="16" t="s">
        <v>48</v>
      </c>
      <c r="M489" s="16" t="s">
        <v>48</v>
      </c>
      <c r="N489" s="16">
        <v>27</v>
      </c>
      <c r="O489" s="16" t="s">
        <v>1053</v>
      </c>
      <c r="P489" s="16" t="s">
        <v>1025</v>
      </c>
      <c r="Q489" s="32" t="s">
        <v>1051</v>
      </c>
    </row>
    <row r="490" spans="1:17">
      <c r="A490" s="35">
        <v>45744</v>
      </c>
      <c r="B490" s="36" t="s">
        <v>174</v>
      </c>
      <c r="C490" s="16" t="s">
        <v>1012</v>
      </c>
      <c r="D490" s="16" t="s">
        <v>1036</v>
      </c>
      <c r="E490" s="16" t="s">
        <v>1035</v>
      </c>
      <c r="F490" s="16" t="s">
        <v>48</v>
      </c>
      <c r="G490" s="16" t="s">
        <v>48</v>
      </c>
      <c r="H490" s="16" t="s">
        <v>48</v>
      </c>
      <c r="I490" s="16" t="s">
        <v>48</v>
      </c>
      <c r="J490" s="16" t="s">
        <v>48</v>
      </c>
      <c r="K490" s="16" t="s">
        <v>48</v>
      </c>
      <c r="L490" s="16" t="s">
        <v>48</v>
      </c>
      <c r="M490" s="16" t="s">
        <v>48</v>
      </c>
      <c r="N490" s="16">
        <v>27</v>
      </c>
      <c r="O490" s="16" t="s">
        <v>1053</v>
      </c>
      <c r="P490" s="16" t="s">
        <v>1025</v>
      </c>
      <c r="Q490" s="32" t="s">
        <v>1051</v>
      </c>
    </row>
    <row r="491" spans="1:17">
      <c r="A491" s="35">
        <v>45744</v>
      </c>
      <c r="B491" s="36" t="s">
        <v>174</v>
      </c>
      <c r="C491" s="16" t="s">
        <v>1012</v>
      </c>
      <c r="D491" s="16" t="s">
        <v>1041</v>
      </c>
      <c r="E491" s="16" t="s">
        <v>1037</v>
      </c>
      <c r="F491" s="16" t="s">
        <v>48</v>
      </c>
      <c r="G491" s="16" t="s">
        <v>48</v>
      </c>
      <c r="H491" s="16" t="s">
        <v>48</v>
      </c>
      <c r="I491" s="16" t="s">
        <v>48</v>
      </c>
      <c r="J491" s="16" t="s">
        <v>48</v>
      </c>
      <c r="K491" s="16" t="s">
        <v>48</v>
      </c>
      <c r="L491" s="16" t="s">
        <v>48</v>
      </c>
      <c r="M491" s="16" t="s">
        <v>48</v>
      </c>
      <c r="N491" s="16">
        <v>27</v>
      </c>
      <c r="O491" s="16" t="s">
        <v>1053</v>
      </c>
      <c r="P491" s="16" t="s">
        <v>1025</v>
      </c>
      <c r="Q491" s="32" t="s">
        <v>1051</v>
      </c>
    </row>
    <row r="492" spans="1:17">
      <c r="A492" s="35">
        <v>45744</v>
      </c>
      <c r="B492" s="36" t="s">
        <v>174</v>
      </c>
      <c r="C492" s="16" t="s">
        <v>1012</v>
      </c>
      <c r="D492" s="16" t="s">
        <v>1041</v>
      </c>
      <c r="E492" s="16" t="s">
        <v>1038</v>
      </c>
      <c r="F492" s="16" t="s">
        <v>48</v>
      </c>
      <c r="G492" s="16" t="s">
        <v>48</v>
      </c>
      <c r="H492" s="16" t="s">
        <v>48</v>
      </c>
      <c r="I492" s="16" t="s">
        <v>48</v>
      </c>
      <c r="J492" s="16" t="s">
        <v>48</v>
      </c>
      <c r="K492" s="16" t="s">
        <v>48</v>
      </c>
      <c r="L492" s="16" t="s">
        <v>48</v>
      </c>
      <c r="M492" s="16" t="s">
        <v>48</v>
      </c>
      <c r="N492" s="16">
        <v>27</v>
      </c>
      <c r="O492" s="16" t="s">
        <v>1053</v>
      </c>
      <c r="P492" s="16" t="s">
        <v>1025</v>
      </c>
      <c r="Q492" s="32" t="s">
        <v>1051</v>
      </c>
    </row>
    <row r="493" spans="1:17">
      <c r="A493" s="35">
        <v>45744</v>
      </c>
      <c r="B493" s="36" t="s">
        <v>174</v>
      </c>
      <c r="C493" s="16" t="s">
        <v>1012</v>
      </c>
      <c r="D493" s="16" t="s">
        <v>1041</v>
      </c>
      <c r="E493" s="16" t="s">
        <v>1039</v>
      </c>
      <c r="F493" s="16" t="s">
        <v>48</v>
      </c>
      <c r="G493" s="16" t="s">
        <v>48</v>
      </c>
      <c r="H493" s="16" t="s">
        <v>48</v>
      </c>
      <c r="I493" s="16" t="s">
        <v>48</v>
      </c>
      <c r="J493" s="16" t="s">
        <v>48</v>
      </c>
      <c r="K493" s="16" t="s">
        <v>48</v>
      </c>
      <c r="L493" s="16" t="s">
        <v>48</v>
      </c>
      <c r="M493" s="16" t="s">
        <v>48</v>
      </c>
      <c r="N493" s="16">
        <v>27</v>
      </c>
      <c r="O493" s="16" t="s">
        <v>1053</v>
      </c>
      <c r="P493" s="16" t="s">
        <v>1025</v>
      </c>
      <c r="Q493" s="32" t="s">
        <v>1051</v>
      </c>
    </row>
    <row r="494" spans="1:17">
      <c r="A494" s="35">
        <v>45744</v>
      </c>
      <c r="B494" s="36" t="s">
        <v>174</v>
      </c>
      <c r="C494" s="16" t="s">
        <v>1012</v>
      </c>
      <c r="D494" s="16" t="s">
        <v>1041</v>
      </c>
      <c r="E494" s="16" t="s">
        <v>1040</v>
      </c>
      <c r="F494" s="16" t="s">
        <v>48</v>
      </c>
      <c r="G494" s="16" t="s">
        <v>48</v>
      </c>
      <c r="H494" s="16" t="s">
        <v>48</v>
      </c>
      <c r="I494" s="16" t="s">
        <v>48</v>
      </c>
      <c r="J494" s="16" t="s">
        <v>48</v>
      </c>
      <c r="K494" s="16" t="s">
        <v>48</v>
      </c>
      <c r="L494" s="16" t="s">
        <v>48</v>
      </c>
      <c r="M494" s="16" t="s">
        <v>48</v>
      </c>
      <c r="N494" s="16">
        <v>27</v>
      </c>
      <c r="O494" s="16" t="s">
        <v>1053</v>
      </c>
      <c r="P494" s="16" t="s">
        <v>1025</v>
      </c>
      <c r="Q494" s="32" t="s">
        <v>1051</v>
      </c>
    </row>
    <row r="495" spans="1:17">
      <c r="A495" s="35">
        <v>45744</v>
      </c>
      <c r="B495" s="36" t="s">
        <v>174</v>
      </c>
      <c r="C495" s="16" t="s">
        <v>1012</v>
      </c>
      <c r="D495" s="16" t="s">
        <v>1041</v>
      </c>
      <c r="E495" s="16" t="s">
        <v>1042</v>
      </c>
      <c r="F495" s="16" t="s">
        <v>48</v>
      </c>
      <c r="G495" s="16" t="s">
        <v>48</v>
      </c>
      <c r="H495" s="16" t="s">
        <v>48</v>
      </c>
      <c r="I495" s="16" t="s">
        <v>48</v>
      </c>
      <c r="J495" s="16" t="s">
        <v>48</v>
      </c>
      <c r="K495" s="16" t="s">
        <v>48</v>
      </c>
      <c r="L495" s="16" t="s">
        <v>48</v>
      </c>
      <c r="M495" s="16" t="s">
        <v>48</v>
      </c>
      <c r="N495" s="16">
        <v>27</v>
      </c>
      <c r="O495" s="16" t="s">
        <v>1053</v>
      </c>
      <c r="P495" s="16" t="s">
        <v>1025</v>
      </c>
      <c r="Q495" s="32" t="s">
        <v>1051</v>
      </c>
    </row>
    <row r="496" spans="1:17">
      <c r="A496" s="35">
        <v>45744</v>
      </c>
      <c r="B496" s="36" t="s">
        <v>174</v>
      </c>
      <c r="C496" s="16" t="s">
        <v>1012</v>
      </c>
      <c r="D496" s="16" t="s">
        <v>1041</v>
      </c>
      <c r="E496" s="16" t="s">
        <v>1040</v>
      </c>
      <c r="F496" s="16" t="s">
        <v>48</v>
      </c>
      <c r="G496" s="16" t="s">
        <v>48</v>
      </c>
      <c r="H496" s="16" t="s">
        <v>48</v>
      </c>
      <c r="I496" s="16" t="s">
        <v>48</v>
      </c>
      <c r="J496" s="16" t="s">
        <v>48</v>
      </c>
      <c r="K496" s="16" t="s">
        <v>48</v>
      </c>
      <c r="L496" s="16" t="s">
        <v>48</v>
      </c>
      <c r="M496" s="16" t="s">
        <v>48</v>
      </c>
      <c r="N496" s="16">
        <v>16</v>
      </c>
      <c r="O496" s="16" t="s">
        <v>1053</v>
      </c>
      <c r="P496" s="16" t="s">
        <v>1025</v>
      </c>
      <c r="Q496" s="32" t="s">
        <v>1051</v>
      </c>
    </row>
    <row r="497" spans="1:17">
      <c r="A497" s="35">
        <v>45747</v>
      </c>
      <c r="B497" s="36" t="s">
        <v>174</v>
      </c>
      <c r="C497" s="16" t="s">
        <v>1044</v>
      </c>
      <c r="D497" s="16" t="s">
        <v>1041</v>
      </c>
      <c r="E497" s="16" t="s">
        <v>1040</v>
      </c>
      <c r="F497" s="16" t="s">
        <v>48</v>
      </c>
      <c r="G497" s="16" t="s">
        <v>48</v>
      </c>
      <c r="H497" s="16" t="s">
        <v>48</v>
      </c>
      <c r="I497" s="16" t="s">
        <v>48</v>
      </c>
      <c r="J497" s="16" t="s">
        <v>48</v>
      </c>
      <c r="K497" s="16" t="s">
        <v>48</v>
      </c>
      <c r="L497" s="16" t="s">
        <v>48</v>
      </c>
      <c r="M497" s="16" t="s">
        <v>48</v>
      </c>
      <c r="N497" s="16">
        <v>11</v>
      </c>
      <c r="O497" s="16" t="s">
        <v>1053</v>
      </c>
      <c r="P497" s="16" t="s">
        <v>1025</v>
      </c>
      <c r="Q497" s="32" t="s">
        <v>1051</v>
      </c>
    </row>
    <row r="498" spans="1:17">
      <c r="A498" s="35">
        <v>45747</v>
      </c>
      <c r="B498" s="36" t="s">
        <v>174</v>
      </c>
      <c r="C498" s="16" t="s">
        <v>1044</v>
      </c>
      <c r="D498" s="16" t="s">
        <v>1041</v>
      </c>
      <c r="E498" s="16" t="s">
        <v>1042</v>
      </c>
      <c r="F498" s="16" t="s">
        <v>48</v>
      </c>
      <c r="G498" s="16" t="s">
        <v>48</v>
      </c>
      <c r="H498" s="16" t="s">
        <v>48</v>
      </c>
      <c r="I498" s="16" t="s">
        <v>48</v>
      </c>
      <c r="J498" s="16" t="s">
        <v>48</v>
      </c>
      <c r="K498" s="16" t="s">
        <v>48</v>
      </c>
      <c r="L498" s="16" t="s">
        <v>48</v>
      </c>
      <c r="M498" s="16" t="s">
        <v>48</v>
      </c>
      <c r="N498" s="16">
        <v>27</v>
      </c>
      <c r="O498" s="16" t="s">
        <v>1053</v>
      </c>
      <c r="P498" s="16" t="s">
        <v>1025</v>
      </c>
      <c r="Q498" s="32" t="s">
        <v>1051</v>
      </c>
    </row>
    <row r="499" spans="1:17">
      <c r="A499" s="35">
        <v>45747</v>
      </c>
      <c r="B499" s="36" t="s">
        <v>174</v>
      </c>
      <c r="C499" s="16" t="s">
        <v>1044</v>
      </c>
      <c r="D499" s="16" t="s">
        <v>1041</v>
      </c>
      <c r="E499" s="16" t="s">
        <v>1043</v>
      </c>
      <c r="F499" s="16" t="s">
        <v>48</v>
      </c>
      <c r="G499" s="16" t="s">
        <v>48</v>
      </c>
      <c r="H499" s="16" t="s">
        <v>48</v>
      </c>
      <c r="I499" s="16" t="s">
        <v>48</v>
      </c>
      <c r="J499" s="16" t="s">
        <v>48</v>
      </c>
      <c r="K499" s="16" t="s">
        <v>48</v>
      </c>
      <c r="L499" s="16" t="s">
        <v>48</v>
      </c>
      <c r="M499" s="16" t="s">
        <v>48</v>
      </c>
      <c r="N499" s="16">
        <v>12</v>
      </c>
      <c r="O499" s="16" t="s">
        <v>1053</v>
      </c>
      <c r="P499" s="16" t="s">
        <v>1025</v>
      </c>
      <c r="Q499" s="32" t="s">
        <v>1051</v>
      </c>
    </row>
    <row r="500" spans="1:17">
      <c r="A500" s="35">
        <v>45747</v>
      </c>
      <c r="B500" s="36" t="s">
        <v>193</v>
      </c>
      <c r="C500" s="16" t="s">
        <v>1044</v>
      </c>
      <c r="D500" s="16" t="s">
        <v>1061</v>
      </c>
      <c r="E500" s="16" t="s">
        <v>1043</v>
      </c>
      <c r="F500" s="16" t="s">
        <v>48</v>
      </c>
      <c r="G500" s="16" t="s">
        <v>48</v>
      </c>
      <c r="H500" s="16" t="s">
        <v>48</v>
      </c>
      <c r="I500" s="16" t="s">
        <v>48</v>
      </c>
      <c r="J500" s="16" t="s">
        <v>48</v>
      </c>
      <c r="K500" s="16" t="s">
        <v>48</v>
      </c>
      <c r="L500" s="16" t="s">
        <v>48</v>
      </c>
      <c r="M500" s="16" t="s">
        <v>48</v>
      </c>
      <c r="N500" s="16">
        <v>40</v>
      </c>
      <c r="O500" s="16" t="s">
        <v>790</v>
      </c>
      <c r="P500" s="16" t="s">
        <v>1052</v>
      </c>
      <c r="Q500" s="31"/>
    </row>
    <row r="501" spans="1:17">
      <c r="A501" s="35">
        <v>45747</v>
      </c>
      <c r="B501" s="36" t="s">
        <v>193</v>
      </c>
      <c r="C501" s="16" t="s">
        <v>1044</v>
      </c>
      <c r="D501" s="16" t="s">
        <v>1061</v>
      </c>
      <c r="E501" s="16" t="s">
        <v>1001</v>
      </c>
      <c r="F501" s="16" t="s">
        <v>48</v>
      </c>
      <c r="G501" s="16" t="s">
        <v>48</v>
      </c>
      <c r="H501" s="16" t="s">
        <v>48</v>
      </c>
      <c r="I501" s="16" t="s">
        <v>48</v>
      </c>
      <c r="J501" s="16" t="s">
        <v>48</v>
      </c>
      <c r="K501" s="16" t="s">
        <v>48</v>
      </c>
      <c r="L501" s="16" t="s">
        <v>48</v>
      </c>
      <c r="M501" s="16" t="s">
        <v>48</v>
      </c>
      <c r="N501" s="16">
        <v>27</v>
      </c>
      <c r="O501" s="16" t="s">
        <v>790</v>
      </c>
      <c r="P501" s="16" t="s">
        <v>1052</v>
      </c>
      <c r="Q501" s="31"/>
    </row>
    <row r="502" spans="1:17">
      <c r="A502" s="35">
        <v>45747</v>
      </c>
      <c r="B502" s="36" t="s">
        <v>193</v>
      </c>
      <c r="C502" s="16" t="s">
        <v>1044</v>
      </c>
      <c r="D502" s="16" t="s">
        <v>1061</v>
      </c>
      <c r="E502" s="16" t="s">
        <v>1034</v>
      </c>
      <c r="F502" s="16" t="s">
        <v>48</v>
      </c>
      <c r="G502" s="16" t="s">
        <v>48</v>
      </c>
      <c r="H502" s="16" t="s">
        <v>48</v>
      </c>
      <c r="I502" s="16" t="s">
        <v>48</v>
      </c>
      <c r="J502" s="16" t="s">
        <v>48</v>
      </c>
      <c r="K502" s="16" t="s">
        <v>48</v>
      </c>
      <c r="L502" s="16" t="s">
        <v>48</v>
      </c>
      <c r="M502" s="16" t="s">
        <v>48</v>
      </c>
      <c r="N502" s="16">
        <v>27</v>
      </c>
      <c r="O502" s="16" t="s">
        <v>790</v>
      </c>
      <c r="P502" s="16" t="s">
        <v>1052</v>
      </c>
      <c r="Q502" s="31"/>
    </row>
    <row r="503" spans="1:17">
      <c r="A503" s="35">
        <v>45747</v>
      </c>
      <c r="B503" s="36" t="s">
        <v>193</v>
      </c>
      <c r="C503" s="16" t="s">
        <v>1044</v>
      </c>
      <c r="D503" s="16" t="s">
        <v>968</v>
      </c>
      <c r="E503" s="16" t="s">
        <v>1054</v>
      </c>
      <c r="F503" s="16" t="s">
        <v>48</v>
      </c>
      <c r="G503" s="16" t="s">
        <v>48</v>
      </c>
      <c r="H503" s="16" t="s">
        <v>48</v>
      </c>
      <c r="I503" s="16" t="s">
        <v>48</v>
      </c>
      <c r="J503" s="16" t="s">
        <v>48</v>
      </c>
      <c r="K503" s="16" t="s">
        <v>48</v>
      </c>
      <c r="L503" s="16" t="s">
        <v>48</v>
      </c>
      <c r="M503" s="16" t="s">
        <v>48</v>
      </c>
      <c r="N503" s="16">
        <v>27</v>
      </c>
      <c r="O503" s="16" t="s">
        <v>790</v>
      </c>
      <c r="P503" s="16" t="s">
        <v>1052</v>
      </c>
      <c r="Q503" s="31"/>
    </row>
    <row r="504" spans="1:17">
      <c r="A504" s="35">
        <v>45747</v>
      </c>
      <c r="B504" s="36" t="s">
        <v>193</v>
      </c>
      <c r="C504" s="16" t="s">
        <v>1044</v>
      </c>
      <c r="D504" s="16" t="s">
        <v>968</v>
      </c>
      <c r="E504" s="16" t="s">
        <v>1055</v>
      </c>
      <c r="F504" s="16" t="s">
        <v>48</v>
      </c>
      <c r="G504" s="16" t="s">
        <v>48</v>
      </c>
      <c r="H504" s="16" t="s">
        <v>48</v>
      </c>
      <c r="I504" s="16" t="s">
        <v>48</v>
      </c>
      <c r="J504" s="16" t="s">
        <v>48</v>
      </c>
      <c r="K504" s="16" t="s">
        <v>48</v>
      </c>
      <c r="L504" s="16" t="s">
        <v>48</v>
      </c>
      <c r="M504" s="16" t="s">
        <v>48</v>
      </c>
      <c r="N504" s="16">
        <v>27</v>
      </c>
      <c r="O504" s="16" t="s">
        <v>790</v>
      </c>
      <c r="P504" s="16" t="s">
        <v>1052</v>
      </c>
      <c r="Q504" s="31"/>
    </row>
    <row r="505" spans="1:17">
      <c r="A505" s="35">
        <v>45747</v>
      </c>
      <c r="B505" s="36" t="s">
        <v>193</v>
      </c>
      <c r="C505" s="16" t="s">
        <v>1044</v>
      </c>
      <c r="D505" s="16" t="s">
        <v>968</v>
      </c>
      <c r="E505" s="16" t="s">
        <v>1056</v>
      </c>
      <c r="F505" s="16" t="s">
        <v>48</v>
      </c>
      <c r="G505" s="16" t="s">
        <v>48</v>
      </c>
      <c r="H505" s="16" t="s">
        <v>48</v>
      </c>
      <c r="I505" s="16" t="s">
        <v>48</v>
      </c>
      <c r="J505" s="16" t="s">
        <v>48</v>
      </c>
      <c r="K505" s="16" t="s">
        <v>48</v>
      </c>
      <c r="L505" s="16" t="s">
        <v>48</v>
      </c>
      <c r="M505" s="16" t="s">
        <v>48</v>
      </c>
      <c r="N505" s="16">
        <v>54</v>
      </c>
      <c r="O505" s="16" t="s">
        <v>790</v>
      </c>
      <c r="P505" s="16" t="s">
        <v>1052</v>
      </c>
      <c r="Q505" s="31"/>
    </row>
    <row r="506" spans="1:17">
      <c r="A506" s="35">
        <v>45747</v>
      </c>
      <c r="B506" s="36" t="s">
        <v>193</v>
      </c>
      <c r="C506" s="16" t="s">
        <v>1044</v>
      </c>
      <c r="D506" s="16" t="s">
        <v>1062</v>
      </c>
      <c r="E506" s="16" t="s">
        <v>1057</v>
      </c>
      <c r="F506" s="16" t="s">
        <v>48</v>
      </c>
      <c r="G506" s="16" t="s">
        <v>48</v>
      </c>
      <c r="H506" s="16" t="s">
        <v>48</v>
      </c>
      <c r="I506" s="16" t="s">
        <v>48</v>
      </c>
      <c r="J506" s="16" t="s">
        <v>48</v>
      </c>
      <c r="K506" s="16" t="s">
        <v>48</v>
      </c>
      <c r="L506" s="16" t="s">
        <v>48</v>
      </c>
      <c r="M506" s="16" t="s">
        <v>48</v>
      </c>
      <c r="N506" s="16">
        <v>27</v>
      </c>
      <c r="O506" s="16" t="s">
        <v>790</v>
      </c>
      <c r="P506" s="16" t="s">
        <v>1052</v>
      </c>
      <c r="Q506" s="31"/>
    </row>
    <row r="507" spans="1:17">
      <c r="A507" s="35">
        <v>45747</v>
      </c>
      <c r="B507" s="36" t="s">
        <v>193</v>
      </c>
      <c r="C507" s="16" t="s">
        <v>1044</v>
      </c>
      <c r="D507" s="16" t="s">
        <v>1062</v>
      </c>
      <c r="E507" s="16" t="s">
        <v>1058</v>
      </c>
      <c r="F507" s="16" t="s">
        <v>48</v>
      </c>
      <c r="G507" s="16" t="s">
        <v>48</v>
      </c>
      <c r="H507" s="16" t="s">
        <v>48</v>
      </c>
      <c r="I507" s="16" t="s">
        <v>48</v>
      </c>
      <c r="J507" s="16" t="s">
        <v>48</v>
      </c>
      <c r="K507" s="16" t="s">
        <v>48</v>
      </c>
      <c r="L507" s="16" t="s">
        <v>48</v>
      </c>
      <c r="M507" s="16" t="s">
        <v>48</v>
      </c>
      <c r="N507" s="16">
        <v>27</v>
      </c>
      <c r="O507" s="16" t="s">
        <v>790</v>
      </c>
      <c r="P507" s="16" t="s">
        <v>1052</v>
      </c>
      <c r="Q507" s="31"/>
    </row>
    <row r="508" spans="1:17">
      <c r="A508" s="35">
        <v>45747</v>
      </c>
      <c r="B508" s="36" t="s">
        <v>193</v>
      </c>
      <c r="C508" s="16" t="s">
        <v>1044</v>
      </c>
      <c r="D508" s="16" t="s">
        <v>1062</v>
      </c>
      <c r="E508" s="16" t="s">
        <v>1059</v>
      </c>
      <c r="F508" s="16" t="s">
        <v>48</v>
      </c>
      <c r="G508" s="16" t="s">
        <v>48</v>
      </c>
      <c r="H508" s="16" t="s">
        <v>48</v>
      </c>
      <c r="I508" s="16" t="s">
        <v>48</v>
      </c>
      <c r="J508" s="16" t="s">
        <v>48</v>
      </c>
      <c r="K508" s="16" t="s">
        <v>48</v>
      </c>
      <c r="L508" s="16" t="s">
        <v>48</v>
      </c>
      <c r="M508" s="16" t="s">
        <v>48</v>
      </c>
      <c r="N508" s="16">
        <v>27</v>
      </c>
      <c r="O508" s="16" t="s">
        <v>790</v>
      </c>
      <c r="P508" s="16" t="s">
        <v>1052</v>
      </c>
      <c r="Q508" s="31"/>
    </row>
    <row r="509" spans="1:17">
      <c r="A509" s="35">
        <v>45747</v>
      </c>
      <c r="B509" s="36" t="s">
        <v>193</v>
      </c>
      <c r="C509" s="16" t="s">
        <v>1044</v>
      </c>
      <c r="D509" s="16" t="s">
        <v>1062</v>
      </c>
      <c r="E509" s="16" t="s">
        <v>1060</v>
      </c>
      <c r="F509" s="16" t="s">
        <v>48</v>
      </c>
      <c r="G509" s="16" t="s">
        <v>48</v>
      </c>
      <c r="H509" s="16" t="s">
        <v>48</v>
      </c>
      <c r="I509" s="16" t="s">
        <v>48</v>
      </c>
      <c r="J509" s="16" t="s">
        <v>48</v>
      </c>
      <c r="K509" s="16" t="s">
        <v>48</v>
      </c>
      <c r="L509" s="16" t="s">
        <v>48</v>
      </c>
      <c r="M509" s="16" t="s">
        <v>48</v>
      </c>
      <c r="N509" s="16">
        <v>27</v>
      </c>
      <c r="O509" s="16" t="s">
        <v>790</v>
      </c>
      <c r="P509" s="16" t="s">
        <v>1052</v>
      </c>
      <c r="Q509" s="31"/>
    </row>
    <row r="510" spans="1:17">
      <c r="A510" s="35">
        <v>45747</v>
      </c>
      <c r="B510" s="36" t="s">
        <v>193</v>
      </c>
      <c r="C510" s="16" t="s">
        <v>1044</v>
      </c>
      <c r="D510" s="16" t="s">
        <v>968</v>
      </c>
      <c r="E510" s="16" t="s">
        <v>1057</v>
      </c>
      <c r="F510" s="16" t="s">
        <v>48</v>
      </c>
      <c r="G510" s="16" t="s">
        <v>48</v>
      </c>
      <c r="H510" s="16" t="s">
        <v>48</v>
      </c>
      <c r="I510" s="16" t="s">
        <v>48</v>
      </c>
      <c r="J510" s="16" t="s">
        <v>48</v>
      </c>
      <c r="K510" s="16" t="s">
        <v>48</v>
      </c>
      <c r="L510" s="16" t="s">
        <v>48</v>
      </c>
      <c r="M510" s="16" t="s">
        <v>48</v>
      </c>
      <c r="N510" s="16">
        <v>27</v>
      </c>
      <c r="O510" s="16" t="s">
        <v>790</v>
      </c>
      <c r="P510" s="16" t="s">
        <v>1052</v>
      </c>
      <c r="Q510" s="31"/>
    </row>
    <row r="511" spans="1:17">
      <c r="A511" s="35">
        <v>45747</v>
      </c>
      <c r="B511" s="36" t="s">
        <v>193</v>
      </c>
      <c r="C511" s="16" t="s">
        <v>1044</v>
      </c>
      <c r="D511" s="16" t="s">
        <v>968</v>
      </c>
      <c r="E511" s="16" t="s">
        <v>1060</v>
      </c>
      <c r="F511" s="16" t="s">
        <v>48</v>
      </c>
      <c r="G511" s="16" t="s">
        <v>48</v>
      </c>
      <c r="H511" s="16" t="s">
        <v>48</v>
      </c>
      <c r="I511" s="16" t="s">
        <v>48</v>
      </c>
      <c r="J511" s="16" t="s">
        <v>48</v>
      </c>
      <c r="K511" s="16" t="s">
        <v>48</v>
      </c>
      <c r="L511" s="16" t="s">
        <v>48</v>
      </c>
      <c r="M511" s="16" t="s">
        <v>48</v>
      </c>
      <c r="N511" s="16">
        <v>27</v>
      </c>
      <c r="O511" s="16" t="s">
        <v>790</v>
      </c>
      <c r="P511" s="16" t="s">
        <v>1052</v>
      </c>
      <c r="Q511" s="31"/>
    </row>
    <row r="512" spans="1:17">
      <c r="A512" s="35">
        <v>45747</v>
      </c>
      <c r="B512" s="36" t="s">
        <v>193</v>
      </c>
      <c r="C512" s="16" t="s">
        <v>1044</v>
      </c>
      <c r="D512" s="16" t="s">
        <v>968</v>
      </c>
      <c r="E512" s="16" t="s">
        <v>1058</v>
      </c>
      <c r="F512" s="16" t="s">
        <v>48</v>
      </c>
      <c r="G512" s="16" t="s">
        <v>48</v>
      </c>
      <c r="H512" s="16" t="s">
        <v>48</v>
      </c>
      <c r="I512" s="16" t="s">
        <v>48</v>
      </c>
      <c r="J512" s="16" t="s">
        <v>48</v>
      </c>
      <c r="K512" s="16" t="s">
        <v>48</v>
      </c>
      <c r="L512" s="16" t="s">
        <v>48</v>
      </c>
      <c r="M512" s="16" t="s">
        <v>48</v>
      </c>
      <c r="N512" s="16">
        <v>27</v>
      </c>
      <c r="O512" s="16" t="s">
        <v>790</v>
      </c>
      <c r="P512" s="16" t="s">
        <v>1052</v>
      </c>
      <c r="Q512" s="31"/>
    </row>
    <row r="513" spans="1:17">
      <c r="A513" s="35">
        <v>45747</v>
      </c>
      <c r="B513" s="36" t="s">
        <v>193</v>
      </c>
      <c r="C513" s="16" t="s">
        <v>1044</v>
      </c>
      <c r="D513" s="16" t="s">
        <v>1064</v>
      </c>
      <c r="E513" s="16" t="s">
        <v>1063</v>
      </c>
      <c r="F513" s="16" t="s">
        <v>48</v>
      </c>
      <c r="G513" s="16" t="s">
        <v>48</v>
      </c>
      <c r="H513" s="16" t="s">
        <v>48</v>
      </c>
      <c r="I513" s="16" t="s">
        <v>48</v>
      </c>
      <c r="J513" s="16" t="s">
        <v>48</v>
      </c>
      <c r="K513" s="16" t="s">
        <v>48</v>
      </c>
      <c r="L513" s="16" t="s">
        <v>48</v>
      </c>
      <c r="M513" s="16" t="s">
        <v>48</v>
      </c>
      <c r="N513" s="16">
        <v>45</v>
      </c>
      <c r="O513" s="16" t="s">
        <v>790</v>
      </c>
      <c r="P513" s="16" t="s">
        <v>1052</v>
      </c>
      <c r="Q513" s="31"/>
    </row>
    <row r="514" spans="1:17">
      <c r="A514" s="35">
        <v>45747</v>
      </c>
      <c r="B514" s="36" t="s">
        <v>193</v>
      </c>
      <c r="C514" s="16" t="s">
        <v>1044</v>
      </c>
      <c r="D514" s="16" t="s">
        <v>1064</v>
      </c>
      <c r="E514" s="16" t="s">
        <v>1065</v>
      </c>
      <c r="F514" s="16" t="s">
        <v>48</v>
      </c>
      <c r="G514" s="16" t="s">
        <v>48</v>
      </c>
      <c r="H514" s="16" t="s">
        <v>48</v>
      </c>
      <c r="I514" s="16" t="s">
        <v>48</v>
      </c>
      <c r="J514" s="16" t="s">
        <v>48</v>
      </c>
      <c r="K514" s="16" t="s">
        <v>48</v>
      </c>
      <c r="L514" s="16" t="s">
        <v>48</v>
      </c>
      <c r="M514" s="16" t="s">
        <v>48</v>
      </c>
      <c r="N514" s="16">
        <v>37</v>
      </c>
      <c r="O514" s="16" t="s">
        <v>790</v>
      </c>
      <c r="P514" s="16" t="s">
        <v>1052</v>
      </c>
      <c r="Q514" s="31"/>
    </row>
    <row r="515" spans="1:17">
      <c r="A515" s="35">
        <v>45747</v>
      </c>
      <c r="B515" s="36" t="s">
        <v>193</v>
      </c>
      <c r="C515" s="16" t="s">
        <v>1044</v>
      </c>
      <c r="D515" s="16" t="s">
        <v>968</v>
      </c>
      <c r="E515" s="16" t="s">
        <v>1063</v>
      </c>
      <c r="F515" s="16" t="s">
        <v>48</v>
      </c>
      <c r="G515" s="16" t="s">
        <v>48</v>
      </c>
      <c r="H515" s="16" t="s">
        <v>48</v>
      </c>
      <c r="I515" s="16" t="s">
        <v>48</v>
      </c>
      <c r="J515" s="16" t="s">
        <v>48</v>
      </c>
      <c r="K515" s="16" t="s">
        <v>48</v>
      </c>
      <c r="L515" s="16" t="s">
        <v>48</v>
      </c>
      <c r="M515" s="16" t="s">
        <v>48</v>
      </c>
      <c r="N515" s="16">
        <v>27</v>
      </c>
      <c r="O515" s="16" t="s">
        <v>790</v>
      </c>
      <c r="P515" s="16" t="s">
        <v>1052</v>
      </c>
      <c r="Q515" s="31"/>
    </row>
    <row r="516" spans="1:17">
      <c r="A516" s="35"/>
      <c r="B516" s="3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31"/>
    </row>
    <row r="517" spans="1:17">
      <c r="A517" s="35"/>
      <c r="B517" s="3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31"/>
    </row>
    <row r="518" spans="1:17">
      <c r="A518" s="35"/>
      <c r="B518" s="3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31"/>
    </row>
    <row r="519" spans="1:17">
      <c r="A519" s="40" t="s">
        <v>352</v>
      </c>
      <c r="B519" s="13"/>
      <c r="C519" s="13"/>
      <c r="D519" s="12"/>
      <c r="E519" s="13"/>
      <c r="H519" s="13"/>
      <c r="I519" s="13"/>
      <c r="J519" s="12"/>
      <c r="K519" s="13"/>
      <c r="L519" s="12" t="s">
        <v>18</v>
      </c>
      <c r="M519" s="12"/>
      <c r="N519" s="14"/>
    </row>
    <row r="520" spans="1:17">
      <c r="A520" s="2"/>
      <c r="M520" s="2" t="s">
        <v>19</v>
      </c>
    </row>
    <row r="521" spans="1:17">
      <c r="A521" s="2"/>
      <c r="M521" s="2" t="s">
        <v>20</v>
      </c>
    </row>
    <row r="522" spans="1:17">
      <c r="A522" s="2"/>
      <c r="M522" s="2" t="s">
        <v>21</v>
      </c>
    </row>
    <row r="523" spans="1:17">
      <c r="A523" s="2"/>
      <c r="M523" s="2" t="s">
        <v>22</v>
      </c>
    </row>
    <row r="524" spans="1:17">
      <c r="A524" s="2"/>
    </row>
    <row r="525" spans="1:17">
      <c r="A525" s="2"/>
    </row>
    <row r="526" spans="1:17">
      <c r="A526" s="2"/>
    </row>
    <row r="527" spans="1:17">
      <c r="A527" s="2"/>
    </row>
    <row r="528" spans="1:17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Q120"/>
  <sheetViews>
    <sheetView view="pageBreakPreview" zoomScaleNormal="100" zoomScaleSheetLayoutView="100" workbookViewId="0">
      <selection activeCell="B5" sqref="B5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28.42578125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49">
        <v>45748</v>
      </c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42">
        <v>45749</v>
      </c>
      <c r="B9" s="15" t="s">
        <v>654</v>
      </c>
      <c r="C9" s="16" t="s">
        <v>1066</v>
      </c>
      <c r="D9" s="16" t="s">
        <v>1067</v>
      </c>
      <c r="E9" s="16" t="s">
        <v>1068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1</v>
      </c>
      <c r="O9" s="16" t="s">
        <v>55</v>
      </c>
      <c r="P9" s="15" t="s">
        <v>1069</v>
      </c>
      <c r="Q9" s="33" t="s">
        <v>1070</v>
      </c>
    </row>
    <row r="10" spans="1:17" ht="17.100000000000001" customHeight="1">
      <c r="A10" s="42">
        <v>45749</v>
      </c>
      <c r="B10" s="15" t="s">
        <v>59</v>
      </c>
      <c r="C10" s="16" t="s">
        <v>1066</v>
      </c>
      <c r="D10" s="16" t="s">
        <v>1074</v>
      </c>
      <c r="E10" s="16" t="s">
        <v>48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120</v>
      </c>
      <c r="O10" s="16" t="s">
        <v>1073</v>
      </c>
      <c r="P10" s="15" t="s">
        <v>1071</v>
      </c>
      <c r="Q10" s="33" t="s">
        <v>1072</v>
      </c>
    </row>
    <row r="11" spans="1:17" ht="17.100000000000001" customHeight="1">
      <c r="A11" s="42">
        <v>45749</v>
      </c>
      <c r="B11" s="15" t="s">
        <v>469</v>
      </c>
      <c r="C11" s="16" t="s">
        <v>1066</v>
      </c>
      <c r="D11" s="16" t="s">
        <v>48</v>
      </c>
      <c r="E11" s="16" t="s">
        <v>1075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2</v>
      </c>
      <c r="O11" s="16" t="s">
        <v>55</v>
      </c>
      <c r="P11" s="15" t="s">
        <v>1080</v>
      </c>
      <c r="Q11" s="33" t="s">
        <v>1083</v>
      </c>
    </row>
    <row r="12" spans="1:17" ht="17.100000000000001" customHeight="1">
      <c r="A12" s="42">
        <v>45749</v>
      </c>
      <c r="B12" s="15" t="s">
        <v>1076</v>
      </c>
      <c r="C12" s="16" t="s">
        <v>1066</v>
      </c>
      <c r="D12" s="16" t="s">
        <v>48</v>
      </c>
      <c r="E12" s="16" t="s">
        <v>48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25</v>
      </c>
      <c r="O12" s="16" t="s">
        <v>55</v>
      </c>
      <c r="P12" s="15" t="s">
        <v>1081</v>
      </c>
      <c r="Q12" s="33" t="s">
        <v>1084</v>
      </c>
    </row>
    <row r="13" spans="1:17" ht="17.100000000000001" customHeight="1">
      <c r="A13" s="42">
        <v>45749</v>
      </c>
      <c r="B13" s="15" t="s">
        <v>1077</v>
      </c>
      <c r="C13" s="16" t="s">
        <v>1066</v>
      </c>
      <c r="D13" s="16" t="s">
        <v>1108</v>
      </c>
      <c r="E13" s="16" t="s">
        <v>48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60</v>
      </c>
      <c r="O13" s="16" t="s">
        <v>1073</v>
      </c>
      <c r="P13" s="15" t="s">
        <v>1082</v>
      </c>
      <c r="Q13" s="33" t="s">
        <v>1085</v>
      </c>
    </row>
    <row r="14" spans="1:17" ht="17.100000000000001" customHeight="1">
      <c r="A14" s="42">
        <v>45749</v>
      </c>
      <c r="B14" s="15" t="s">
        <v>65</v>
      </c>
      <c r="C14" s="16" t="s">
        <v>1066</v>
      </c>
      <c r="D14" s="16" t="s">
        <v>48</v>
      </c>
      <c r="E14" s="16" t="s">
        <v>48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100</v>
      </c>
      <c r="O14" s="16" t="s">
        <v>1112</v>
      </c>
      <c r="P14" s="15" t="s">
        <v>1087</v>
      </c>
      <c r="Q14" s="33" t="s">
        <v>1086</v>
      </c>
    </row>
    <row r="15" spans="1:17" ht="17.100000000000001" customHeight="1">
      <c r="A15" s="42">
        <v>45749</v>
      </c>
      <c r="B15" s="15" t="s">
        <v>29</v>
      </c>
      <c r="C15" s="16" t="s">
        <v>1066</v>
      </c>
      <c r="D15" s="16" t="s">
        <v>1109</v>
      </c>
      <c r="E15" s="16" t="s">
        <v>48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125</v>
      </c>
      <c r="O15" s="16" t="s">
        <v>1073</v>
      </c>
      <c r="P15" s="15" t="s">
        <v>1088</v>
      </c>
      <c r="Q15" s="33" t="s">
        <v>1090</v>
      </c>
    </row>
    <row r="16" spans="1:17" ht="17.100000000000001" customHeight="1">
      <c r="A16" s="42">
        <v>45749</v>
      </c>
      <c r="B16" s="15" t="s">
        <v>1078</v>
      </c>
      <c r="C16" s="16" t="s">
        <v>1066</v>
      </c>
      <c r="D16" s="16" t="s">
        <v>48</v>
      </c>
      <c r="E16" s="16" t="s">
        <v>48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100</v>
      </c>
      <c r="O16" s="16" t="s">
        <v>55</v>
      </c>
      <c r="P16" s="15" t="s">
        <v>1089</v>
      </c>
      <c r="Q16" s="33" t="s">
        <v>1091</v>
      </c>
    </row>
    <row r="17" spans="1:17" ht="17.100000000000001" customHeight="1">
      <c r="A17" s="42">
        <v>45749</v>
      </c>
      <c r="B17" s="15" t="s">
        <v>1079</v>
      </c>
      <c r="C17" s="16" t="s">
        <v>1066</v>
      </c>
      <c r="D17" s="16" t="s">
        <v>48</v>
      </c>
      <c r="E17" s="16" t="s">
        <v>48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75</v>
      </c>
      <c r="O17" s="16" t="s">
        <v>55</v>
      </c>
      <c r="P17" s="15" t="s">
        <v>1092</v>
      </c>
      <c r="Q17" s="33" t="s">
        <v>1100</v>
      </c>
    </row>
    <row r="18" spans="1:17" ht="17.100000000000001" customHeight="1">
      <c r="A18" s="42">
        <v>45749</v>
      </c>
      <c r="B18" s="15" t="s">
        <v>338</v>
      </c>
      <c r="C18" s="16" t="s">
        <v>1066</v>
      </c>
      <c r="D18" s="16" t="s">
        <v>48</v>
      </c>
      <c r="E18" s="16" t="s">
        <v>48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600</v>
      </c>
      <c r="O18" s="16" t="s">
        <v>1111</v>
      </c>
      <c r="P18" s="15" t="s">
        <v>1093</v>
      </c>
      <c r="Q18" s="33" t="s">
        <v>1101</v>
      </c>
    </row>
    <row r="19" spans="1:17" ht="17.100000000000001" customHeight="1">
      <c r="A19" s="42">
        <v>45749</v>
      </c>
      <c r="B19" s="15" t="s">
        <v>39</v>
      </c>
      <c r="C19" s="16" t="s">
        <v>1066</v>
      </c>
      <c r="D19" s="16" t="s">
        <v>48</v>
      </c>
      <c r="E19" s="16" t="s">
        <v>48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50</v>
      </c>
      <c r="O19" s="16" t="s">
        <v>55</v>
      </c>
      <c r="P19" s="15" t="s">
        <v>1094</v>
      </c>
      <c r="Q19" s="33" t="s">
        <v>1102</v>
      </c>
    </row>
    <row r="20" spans="1:17" ht="17.100000000000001" customHeight="1">
      <c r="A20" s="42">
        <v>45749</v>
      </c>
      <c r="B20" s="15" t="s">
        <v>214</v>
      </c>
      <c r="C20" s="16" t="s">
        <v>1066</v>
      </c>
      <c r="D20" s="16" t="s">
        <v>48</v>
      </c>
      <c r="E20" s="16" t="s">
        <v>48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800</v>
      </c>
      <c r="O20" s="16" t="s">
        <v>546</v>
      </c>
      <c r="P20" s="15" t="s">
        <v>1095</v>
      </c>
      <c r="Q20" s="33" t="s">
        <v>1103</v>
      </c>
    </row>
    <row r="21" spans="1:17" ht="17.100000000000001" customHeight="1">
      <c r="A21" s="42">
        <v>45749</v>
      </c>
      <c r="B21" s="15" t="s">
        <v>224</v>
      </c>
      <c r="C21" s="16" t="s">
        <v>1066</v>
      </c>
      <c r="D21" s="16" t="s">
        <v>48</v>
      </c>
      <c r="E21" s="16" t="s">
        <v>48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10</v>
      </c>
      <c r="O21" s="16" t="s">
        <v>55</v>
      </c>
      <c r="P21" s="15" t="s">
        <v>1096</v>
      </c>
      <c r="Q21" s="33" t="s">
        <v>1104</v>
      </c>
    </row>
    <row r="22" spans="1:17" ht="17.100000000000001" customHeight="1">
      <c r="A22" s="42">
        <v>45749</v>
      </c>
      <c r="B22" s="15" t="s">
        <v>222</v>
      </c>
      <c r="C22" s="16" t="s">
        <v>1066</v>
      </c>
      <c r="D22" s="16" t="s">
        <v>48</v>
      </c>
      <c r="E22" s="16" t="s">
        <v>48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1110</v>
      </c>
      <c r="N22" s="16">
        <v>86</v>
      </c>
      <c r="O22" s="16" t="s">
        <v>55</v>
      </c>
      <c r="P22" s="15" t="s">
        <v>1097</v>
      </c>
      <c r="Q22" s="33" t="s">
        <v>1105</v>
      </c>
    </row>
    <row r="23" spans="1:17" ht="17.100000000000001" customHeight="1">
      <c r="A23" s="42">
        <v>45749</v>
      </c>
      <c r="B23" s="15" t="s">
        <v>420</v>
      </c>
      <c r="C23" s="16" t="s">
        <v>1066</v>
      </c>
      <c r="D23" s="16" t="s">
        <v>48</v>
      </c>
      <c r="E23" s="16" t="s">
        <v>48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1075</v>
      </c>
      <c r="N23" s="16">
        <v>20</v>
      </c>
      <c r="O23" s="16" t="s">
        <v>55</v>
      </c>
      <c r="P23" s="15" t="s">
        <v>1098</v>
      </c>
      <c r="Q23" s="33" t="s">
        <v>1106</v>
      </c>
    </row>
    <row r="24" spans="1:17" ht="17.100000000000001" customHeight="1">
      <c r="A24" s="42">
        <v>45749</v>
      </c>
      <c r="B24" s="15" t="s">
        <v>104</v>
      </c>
      <c r="C24" s="16" t="s">
        <v>1066</v>
      </c>
      <c r="D24" s="16" t="s">
        <v>48</v>
      </c>
      <c r="E24" s="16" t="s">
        <v>48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58</v>
      </c>
      <c r="O24" s="16" t="s">
        <v>55</v>
      </c>
      <c r="P24" s="15" t="s">
        <v>1099</v>
      </c>
      <c r="Q24" s="33" t="s">
        <v>1107</v>
      </c>
    </row>
    <row r="25" spans="1:17" ht="17.100000000000001" customHeight="1">
      <c r="A25" s="42">
        <v>45749</v>
      </c>
      <c r="B25" s="15" t="s">
        <v>174</v>
      </c>
      <c r="C25" s="16" t="s">
        <v>1066</v>
      </c>
      <c r="D25" s="16" t="s">
        <v>1119</v>
      </c>
      <c r="E25" s="16" t="s">
        <v>1116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27</v>
      </c>
      <c r="O25" s="16" t="s">
        <v>1113</v>
      </c>
      <c r="P25" s="15" t="s">
        <v>1114</v>
      </c>
      <c r="Q25" s="33" t="s">
        <v>1115</v>
      </c>
    </row>
    <row r="26" spans="1:17" ht="17.100000000000001" customHeight="1">
      <c r="A26" s="42">
        <v>45749</v>
      </c>
      <c r="B26" s="15" t="s">
        <v>174</v>
      </c>
      <c r="C26" s="16" t="s">
        <v>1066</v>
      </c>
      <c r="D26" s="16" t="s">
        <v>1119</v>
      </c>
      <c r="E26" s="16" t="s">
        <v>1117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27</v>
      </c>
      <c r="O26" s="16" t="s">
        <v>1113</v>
      </c>
      <c r="P26" s="15" t="s">
        <v>1114</v>
      </c>
      <c r="Q26" s="33" t="s">
        <v>1115</v>
      </c>
    </row>
    <row r="27" spans="1:17" ht="17.100000000000001" customHeight="1">
      <c r="A27" s="42">
        <v>45749</v>
      </c>
      <c r="B27" s="15" t="s">
        <v>174</v>
      </c>
      <c r="C27" s="16" t="s">
        <v>1066</v>
      </c>
      <c r="D27" s="16" t="s">
        <v>1119</v>
      </c>
      <c r="E27" s="16" t="s">
        <v>1118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54</v>
      </c>
      <c r="O27" s="16" t="s">
        <v>1113</v>
      </c>
      <c r="P27" s="15" t="s">
        <v>1114</v>
      </c>
      <c r="Q27" s="33" t="s">
        <v>1115</v>
      </c>
    </row>
    <row r="28" spans="1:17" ht="17.100000000000001" customHeight="1">
      <c r="A28" s="42">
        <v>45749</v>
      </c>
      <c r="B28" s="15" t="s">
        <v>174</v>
      </c>
      <c r="C28" s="16" t="s">
        <v>1066</v>
      </c>
      <c r="D28" s="16" t="s">
        <v>1121</v>
      </c>
      <c r="E28" s="16" t="s">
        <v>1120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54</v>
      </c>
      <c r="O28" s="16" t="s">
        <v>1113</v>
      </c>
      <c r="P28" s="15" t="s">
        <v>1114</v>
      </c>
      <c r="Q28" s="33" t="s">
        <v>1115</v>
      </c>
    </row>
    <row r="29" spans="1:17" ht="17.100000000000001" customHeight="1">
      <c r="A29" s="42">
        <v>45749</v>
      </c>
      <c r="B29" s="15" t="s">
        <v>174</v>
      </c>
      <c r="C29" s="16" t="s">
        <v>1066</v>
      </c>
      <c r="D29" s="16" t="s">
        <v>1123</v>
      </c>
      <c r="E29" s="16" t="s">
        <v>1122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27</v>
      </c>
      <c r="O29" s="16" t="s">
        <v>1113</v>
      </c>
      <c r="P29" s="15" t="s">
        <v>1114</v>
      </c>
      <c r="Q29" s="33" t="s">
        <v>1115</v>
      </c>
    </row>
    <row r="30" spans="1:17" ht="17.100000000000001" customHeight="1">
      <c r="A30" s="42">
        <v>45750</v>
      </c>
      <c r="B30" s="15" t="s">
        <v>174</v>
      </c>
      <c r="C30" s="16" t="s">
        <v>1124</v>
      </c>
      <c r="D30" s="16" t="s">
        <v>1123</v>
      </c>
      <c r="E30" s="16" t="s">
        <v>1125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11</v>
      </c>
      <c r="O30" s="16" t="s">
        <v>546</v>
      </c>
      <c r="P30" s="15" t="s">
        <v>1114</v>
      </c>
      <c r="Q30" s="33" t="s">
        <v>1115</v>
      </c>
    </row>
    <row r="31" spans="1:17" ht="17.100000000000001" customHeight="1">
      <c r="A31" s="42">
        <v>45750</v>
      </c>
      <c r="B31" s="15" t="s">
        <v>174</v>
      </c>
      <c r="C31" s="16" t="s">
        <v>1124</v>
      </c>
      <c r="D31" s="16" t="s">
        <v>1123</v>
      </c>
      <c r="E31" s="16" t="s">
        <v>1122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41</v>
      </c>
      <c r="O31" s="16" t="s">
        <v>546</v>
      </c>
      <c r="P31" s="15" t="s">
        <v>1114</v>
      </c>
      <c r="Q31" s="33" t="s">
        <v>1115</v>
      </c>
    </row>
    <row r="32" spans="1:17" ht="17.100000000000001" customHeight="1">
      <c r="A32" s="42">
        <v>45750</v>
      </c>
      <c r="B32" s="15" t="s">
        <v>174</v>
      </c>
      <c r="C32" s="16" t="s">
        <v>1124</v>
      </c>
      <c r="D32" s="16" t="s">
        <v>1119</v>
      </c>
      <c r="E32" s="16" t="s">
        <v>1126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54</v>
      </c>
      <c r="O32" s="16" t="s">
        <v>546</v>
      </c>
      <c r="P32" s="15" t="s">
        <v>1114</v>
      </c>
      <c r="Q32" s="33" t="s">
        <v>1115</v>
      </c>
    </row>
    <row r="33" spans="1:17" ht="17.100000000000001" customHeight="1">
      <c r="A33" s="42">
        <v>45750</v>
      </c>
      <c r="B33" s="15" t="s">
        <v>174</v>
      </c>
      <c r="C33" s="16" t="s">
        <v>1124</v>
      </c>
      <c r="D33" s="16" t="s">
        <v>1119</v>
      </c>
      <c r="E33" s="16" t="s">
        <v>1127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27</v>
      </c>
      <c r="O33" s="16" t="s">
        <v>546</v>
      </c>
      <c r="P33" s="15" t="s">
        <v>1114</v>
      </c>
      <c r="Q33" s="33" t="s">
        <v>1115</v>
      </c>
    </row>
    <row r="34" spans="1:17" ht="17.100000000000001" customHeight="1">
      <c r="A34" s="42">
        <v>45750</v>
      </c>
      <c r="B34" s="15" t="s">
        <v>174</v>
      </c>
      <c r="C34" s="16" t="s">
        <v>1124</v>
      </c>
      <c r="D34" s="16" t="s">
        <v>1119</v>
      </c>
      <c r="E34" s="16" t="s">
        <v>1128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27</v>
      </c>
      <c r="O34" s="16" t="s">
        <v>546</v>
      </c>
      <c r="P34" s="15" t="s">
        <v>1114</v>
      </c>
      <c r="Q34" s="33" t="s">
        <v>1115</v>
      </c>
    </row>
    <row r="35" spans="1:17" ht="17.100000000000001" customHeight="1">
      <c r="A35" s="42">
        <v>45750</v>
      </c>
      <c r="B35" s="15" t="s">
        <v>174</v>
      </c>
      <c r="C35" s="16" t="s">
        <v>1124</v>
      </c>
      <c r="D35" s="16" t="s">
        <v>1131</v>
      </c>
      <c r="E35" s="16" t="s">
        <v>1117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27</v>
      </c>
      <c r="O35" s="16" t="s">
        <v>546</v>
      </c>
      <c r="P35" s="15" t="s">
        <v>1114</v>
      </c>
      <c r="Q35" s="33" t="s">
        <v>1115</v>
      </c>
    </row>
    <row r="36" spans="1:17" ht="17.100000000000001" customHeight="1">
      <c r="A36" s="42">
        <v>45750</v>
      </c>
      <c r="B36" s="15" t="s">
        <v>174</v>
      </c>
      <c r="C36" s="16" t="s">
        <v>1124</v>
      </c>
      <c r="D36" s="16" t="s">
        <v>1131</v>
      </c>
      <c r="E36" s="16" t="s">
        <v>1129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27</v>
      </c>
      <c r="O36" s="16" t="s">
        <v>546</v>
      </c>
      <c r="P36" s="15" t="s">
        <v>1114</v>
      </c>
      <c r="Q36" s="33" t="s">
        <v>1115</v>
      </c>
    </row>
    <row r="37" spans="1:17" ht="17.100000000000001" customHeight="1">
      <c r="A37" s="42">
        <v>45750</v>
      </c>
      <c r="B37" s="15" t="s">
        <v>174</v>
      </c>
      <c r="C37" s="16" t="s">
        <v>1124</v>
      </c>
      <c r="D37" s="16" t="s">
        <v>1131</v>
      </c>
      <c r="E37" s="16" t="s">
        <v>1130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26</v>
      </c>
      <c r="O37" s="16" t="s">
        <v>546</v>
      </c>
      <c r="P37" s="15" t="s">
        <v>1114</v>
      </c>
      <c r="Q37" s="33" t="s">
        <v>1115</v>
      </c>
    </row>
    <row r="38" spans="1:17" ht="17.100000000000001" customHeight="1">
      <c r="A38" s="42">
        <v>45750</v>
      </c>
      <c r="B38" s="15" t="s">
        <v>174</v>
      </c>
      <c r="C38" s="16" t="s">
        <v>1124</v>
      </c>
      <c r="D38" s="16" t="s">
        <v>1131</v>
      </c>
      <c r="E38" s="16" t="s">
        <v>1134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25</v>
      </c>
      <c r="O38" s="16" t="s">
        <v>546</v>
      </c>
      <c r="P38" s="15" t="s">
        <v>1114</v>
      </c>
      <c r="Q38" s="33" t="s">
        <v>1115</v>
      </c>
    </row>
    <row r="39" spans="1:17" ht="17.100000000000001" customHeight="1">
      <c r="A39" s="42">
        <v>45750</v>
      </c>
      <c r="B39" s="15" t="s">
        <v>174</v>
      </c>
      <c r="C39" s="16" t="s">
        <v>1124</v>
      </c>
      <c r="D39" s="16" t="s">
        <v>1133</v>
      </c>
      <c r="E39" s="16" t="s">
        <v>1132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27</v>
      </c>
      <c r="O39" s="16" t="s">
        <v>546</v>
      </c>
      <c r="P39" s="15" t="s">
        <v>1114</v>
      </c>
      <c r="Q39" s="33" t="s">
        <v>1115</v>
      </c>
    </row>
    <row r="40" spans="1:17" ht="17.100000000000001" customHeight="1">
      <c r="A40" s="42">
        <v>45750</v>
      </c>
      <c r="B40" s="15" t="s">
        <v>174</v>
      </c>
      <c r="C40" s="16" t="s">
        <v>1124</v>
      </c>
      <c r="D40" s="16" t="s">
        <v>1133</v>
      </c>
      <c r="E40" s="16" t="s">
        <v>1037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27</v>
      </c>
      <c r="O40" s="16" t="s">
        <v>546</v>
      </c>
      <c r="P40" s="15" t="s">
        <v>1114</v>
      </c>
      <c r="Q40" s="33" t="s">
        <v>1115</v>
      </c>
    </row>
    <row r="41" spans="1:17" ht="17.100000000000001" customHeight="1">
      <c r="A41" s="42">
        <v>45750</v>
      </c>
      <c r="B41" s="15" t="s">
        <v>174</v>
      </c>
      <c r="C41" s="16" t="s">
        <v>1124</v>
      </c>
      <c r="D41" s="16" t="s">
        <v>1133</v>
      </c>
      <c r="E41" s="16" t="s">
        <v>1132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13</v>
      </c>
      <c r="O41" s="16" t="s">
        <v>546</v>
      </c>
      <c r="P41" s="15" t="s">
        <v>1114</v>
      </c>
      <c r="Q41" s="33" t="s">
        <v>1115</v>
      </c>
    </row>
    <row r="42" spans="1:17" ht="17.100000000000001" customHeight="1">
      <c r="A42" s="42">
        <v>45750</v>
      </c>
      <c r="B42" s="15" t="s">
        <v>174</v>
      </c>
      <c r="C42" s="16" t="s">
        <v>1124</v>
      </c>
      <c r="D42" s="16" t="s">
        <v>1133</v>
      </c>
      <c r="E42" s="16" t="s">
        <v>1027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4</v>
      </c>
      <c r="O42" s="16" t="s">
        <v>546</v>
      </c>
      <c r="P42" s="15" t="s">
        <v>1114</v>
      </c>
      <c r="Q42" s="33" t="s">
        <v>1115</v>
      </c>
    </row>
    <row r="43" spans="1:17" ht="17.100000000000001" customHeight="1">
      <c r="A43" s="42">
        <v>45750</v>
      </c>
      <c r="B43" s="15" t="s">
        <v>531</v>
      </c>
      <c r="C43" s="16" t="s">
        <v>1124</v>
      </c>
      <c r="D43" s="16" t="s">
        <v>1137</v>
      </c>
      <c r="E43" s="16" t="s">
        <v>1132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27</v>
      </c>
      <c r="O43" s="16" t="s">
        <v>546</v>
      </c>
      <c r="P43" s="16" t="s">
        <v>1145</v>
      </c>
      <c r="Q43" s="33" t="s">
        <v>1146</v>
      </c>
    </row>
    <row r="44" spans="1:17" ht="17.100000000000001" customHeight="1">
      <c r="A44" s="42">
        <v>45750</v>
      </c>
      <c r="B44" s="15" t="s">
        <v>531</v>
      </c>
      <c r="C44" s="16" t="s">
        <v>1124</v>
      </c>
      <c r="D44" s="16" t="s">
        <v>1137</v>
      </c>
      <c r="E44" s="16" t="s">
        <v>1135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27</v>
      </c>
      <c r="O44" s="16" t="s">
        <v>546</v>
      </c>
      <c r="P44" s="16" t="s">
        <v>1145</v>
      </c>
      <c r="Q44" s="33" t="s">
        <v>1146</v>
      </c>
    </row>
    <row r="45" spans="1:17" ht="17.100000000000001" customHeight="1">
      <c r="A45" s="42">
        <v>45750</v>
      </c>
      <c r="B45" s="15" t="s">
        <v>531</v>
      </c>
      <c r="C45" s="16" t="s">
        <v>1124</v>
      </c>
      <c r="D45" s="16" t="s">
        <v>1137</v>
      </c>
      <c r="E45" s="16" t="s">
        <v>1136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54</v>
      </c>
      <c r="O45" s="16" t="s">
        <v>546</v>
      </c>
      <c r="P45" s="16" t="s">
        <v>1145</v>
      </c>
      <c r="Q45" s="33" t="s">
        <v>1146</v>
      </c>
    </row>
    <row r="46" spans="1:17" ht="17.100000000000001" customHeight="1">
      <c r="A46" s="42">
        <v>45750</v>
      </c>
      <c r="B46" s="15" t="s">
        <v>531</v>
      </c>
      <c r="C46" s="16" t="s">
        <v>1124</v>
      </c>
      <c r="D46" s="16" t="s">
        <v>1123</v>
      </c>
      <c r="E46" s="16" t="s">
        <v>1138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27</v>
      </c>
      <c r="O46" s="16" t="s">
        <v>546</v>
      </c>
      <c r="P46" s="16" t="s">
        <v>1145</v>
      </c>
      <c r="Q46" s="33" t="s">
        <v>1146</v>
      </c>
    </row>
    <row r="47" spans="1:17" ht="17.100000000000001" customHeight="1">
      <c r="A47" s="42">
        <v>45750</v>
      </c>
      <c r="B47" s="15" t="s">
        <v>531</v>
      </c>
      <c r="C47" s="16" t="s">
        <v>1124</v>
      </c>
      <c r="D47" s="16" t="s">
        <v>1123</v>
      </c>
      <c r="E47" s="16" t="s">
        <v>1139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54</v>
      </c>
      <c r="O47" s="16" t="s">
        <v>546</v>
      </c>
      <c r="P47" s="16" t="s">
        <v>1145</v>
      </c>
      <c r="Q47" s="33" t="s">
        <v>1146</v>
      </c>
    </row>
    <row r="48" spans="1:17" ht="17.100000000000001" customHeight="1">
      <c r="A48" s="42">
        <v>45750</v>
      </c>
      <c r="B48" s="15" t="s">
        <v>531</v>
      </c>
      <c r="C48" s="16" t="s">
        <v>1124</v>
      </c>
      <c r="D48" s="16" t="s">
        <v>1123</v>
      </c>
      <c r="E48" s="16" t="s">
        <v>1140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54</v>
      </c>
      <c r="O48" s="16" t="s">
        <v>546</v>
      </c>
      <c r="P48" s="16" t="s">
        <v>1145</v>
      </c>
      <c r="Q48" s="33" t="s">
        <v>1146</v>
      </c>
    </row>
    <row r="49" spans="1:17" ht="17.100000000000001" customHeight="1">
      <c r="A49" s="42">
        <v>45750</v>
      </c>
      <c r="B49" s="15" t="s">
        <v>531</v>
      </c>
      <c r="C49" s="16" t="s">
        <v>1124</v>
      </c>
      <c r="D49" s="16" t="s">
        <v>1137</v>
      </c>
      <c r="E49" s="16" t="s">
        <v>1141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54</v>
      </c>
      <c r="O49" s="16" t="s">
        <v>546</v>
      </c>
      <c r="P49" s="16" t="s">
        <v>1145</v>
      </c>
      <c r="Q49" s="33" t="s">
        <v>1146</v>
      </c>
    </row>
    <row r="50" spans="1:17" ht="17.100000000000001" customHeight="1">
      <c r="A50" s="42">
        <v>45750</v>
      </c>
      <c r="B50" s="15" t="s">
        <v>531</v>
      </c>
      <c r="C50" s="16" t="s">
        <v>1124</v>
      </c>
      <c r="D50" s="16" t="s">
        <v>1137</v>
      </c>
      <c r="E50" s="16" t="s">
        <v>1142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27</v>
      </c>
      <c r="O50" s="16" t="s">
        <v>546</v>
      </c>
      <c r="P50" s="16" t="s">
        <v>1145</v>
      </c>
      <c r="Q50" s="33" t="s">
        <v>1146</v>
      </c>
    </row>
    <row r="51" spans="1:17" ht="17.100000000000001" customHeight="1">
      <c r="A51" s="42">
        <v>45750</v>
      </c>
      <c r="B51" s="15" t="s">
        <v>531</v>
      </c>
      <c r="C51" s="16" t="s">
        <v>1124</v>
      </c>
      <c r="D51" s="16" t="s">
        <v>1137</v>
      </c>
      <c r="E51" s="16" t="s">
        <v>1143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27</v>
      </c>
      <c r="O51" s="16" t="s">
        <v>546</v>
      </c>
      <c r="P51" s="16" t="s">
        <v>1145</v>
      </c>
      <c r="Q51" s="33" t="s">
        <v>1146</v>
      </c>
    </row>
    <row r="52" spans="1:17" ht="17.100000000000001" customHeight="1">
      <c r="A52" s="42">
        <v>45750</v>
      </c>
      <c r="B52" s="15" t="s">
        <v>531</v>
      </c>
      <c r="C52" s="16" t="s">
        <v>1124</v>
      </c>
      <c r="D52" s="16" t="s">
        <v>1137</v>
      </c>
      <c r="E52" s="16" t="s">
        <v>1144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24</v>
      </c>
      <c r="O52" s="16" t="s">
        <v>546</v>
      </c>
      <c r="P52" s="16" t="s">
        <v>1145</v>
      </c>
      <c r="Q52" s="33" t="s">
        <v>1146</v>
      </c>
    </row>
    <row r="53" spans="1:17" ht="17.100000000000001" customHeight="1">
      <c r="A53" s="42">
        <v>45751</v>
      </c>
      <c r="B53" s="15" t="s">
        <v>531</v>
      </c>
      <c r="C53" s="16" t="s">
        <v>1147</v>
      </c>
      <c r="D53" s="16" t="s">
        <v>1137</v>
      </c>
      <c r="E53" s="16" t="s">
        <v>1148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54</v>
      </c>
      <c r="O53" s="16" t="s">
        <v>1153</v>
      </c>
      <c r="P53" s="16" t="s">
        <v>1145</v>
      </c>
      <c r="Q53" s="33" t="s">
        <v>1146</v>
      </c>
    </row>
    <row r="54" spans="1:17" ht="17.100000000000001" customHeight="1">
      <c r="A54" s="42">
        <v>45751</v>
      </c>
      <c r="B54" s="15" t="s">
        <v>531</v>
      </c>
      <c r="C54" s="16" t="s">
        <v>1147</v>
      </c>
      <c r="D54" s="16" t="s">
        <v>1131</v>
      </c>
      <c r="E54" s="16" t="s">
        <v>1149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44</v>
      </c>
      <c r="O54" s="16" t="s">
        <v>1153</v>
      </c>
      <c r="P54" s="16" t="s">
        <v>1145</v>
      </c>
      <c r="Q54" s="33" t="s">
        <v>1146</v>
      </c>
    </row>
    <row r="55" spans="1:17" ht="17.100000000000001" customHeight="1">
      <c r="A55" s="42">
        <v>45751</v>
      </c>
      <c r="B55" s="15" t="s">
        <v>531</v>
      </c>
      <c r="C55" s="16" t="s">
        <v>1147</v>
      </c>
      <c r="D55" s="16" t="s">
        <v>1131</v>
      </c>
      <c r="E55" s="16" t="s">
        <v>1150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27</v>
      </c>
      <c r="O55" s="16" t="s">
        <v>1153</v>
      </c>
      <c r="P55" s="16" t="s">
        <v>1145</v>
      </c>
      <c r="Q55" s="33" t="s">
        <v>1146</v>
      </c>
    </row>
    <row r="56" spans="1:17" ht="17.100000000000001" customHeight="1">
      <c r="A56" s="42">
        <v>45751</v>
      </c>
      <c r="B56" s="15" t="s">
        <v>261</v>
      </c>
      <c r="C56" s="16" t="s">
        <v>1147</v>
      </c>
      <c r="D56" s="16" t="s">
        <v>1151</v>
      </c>
      <c r="E56" s="16" t="s">
        <v>48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200</v>
      </c>
      <c r="O56" s="16" t="s">
        <v>1153</v>
      </c>
      <c r="P56" s="16" t="s">
        <v>1156</v>
      </c>
      <c r="Q56" s="33" t="s">
        <v>1157</v>
      </c>
    </row>
    <row r="57" spans="1:17" ht="17.100000000000001" customHeight="1">
      <c r="A57" s="42">
        <v>45751</v>
      </c>
      <c r="B57" s="15" t="s">
        <v>261</v>
      </c>
      <c r="C57" s="16" t="s">
        <v>1147</v>
      </c>
      <c r="D57" s="16" t="s">
        <v>1133</v>
      </c>
      <c r="E57" s="16" t="s">
        <v>48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200</v>
      </c>
      <c r="O57" s="16" t="s">
        <v>1153</v>
      </c>
      <c r="P57" s="16" t="s">
        <v>1156</v>
      </c>
      <c r="Q57" s="33" t="s">
        <v>1157</v>
      </c>
    </row>
    <row r="58" spans="1:17" ht="17.100000000000001" customHeight="1">
      <c r="A58" s="42">
        <v>45751</v>
      </c>
      <c r="B58" s="15" t="s">
        <v>261</v>
      </c>
      <c r="C58" s="16" t="s">
        <v>1147</v>
      </c>
      <c r="D58" s="16" t="s">
        <v>1152</v>
      </c>
      <c r="E58" s="16" t="s">
        <v>48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100</v>
      </c>
      <c r="O58" s="16" t="s">
        <v>1153</v>
      </c>
      <c r="P58" s="16" t="s">
        <v>1156</v>
      </c>
      <c r="Q58" s="33" t="s">
        <v>1157</v>
      </c>
    </row>
    <row r="59" spans="1:17" ht="17.100000000000001" customHeight="1">
      <c r="A59" s="42">
        <v>45751</v>
      </c>
      <c r="B59" s="15" t="s">
        <v>1154</v>
      </c>
      <c r="C59" s="16" t="s">
        <v>1147</v>
      </c>
      <c r="D59" s="16" t="s">
        <v>1074</v>
      </c>
      <c r="E59" s="16" t="s">
        <v>1075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f>248/2</f>
        <v>124</v>
      </c>
      <c r="O59" s="16" t="s">
        <v>1153</v>
      </c>
      <c r="P59" s="16" t="s">
        <v>1158</v>
      </c>
      <c r="Q59" s="33" t="s">
        <v>1159</v>
      </c>
    </row>
    <row r="60" spans="1:17" ht="17.100000000000001" customHeight="1">
      <c r="A60" s="42">
        <v>45751</v>
      </c>
      <c r="B60" s="15" t="s">
        <v>1154</v>
      </c>
      <c r="C60" s="16" t="s">
        <v>1147</v>
      </c>
      <c r="D60" s="16" t="s">
        <v>1074</v>
      </c>
      <c r="E60" s="16" t="s">
        <v>1155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116</v>
      </c>
      <c r="O60" s="16" t="s">
        <v>1153</v>
      </c>
      <c r="P60" s="16" t="s">
        <v>1158</v>
      </c>
      <c r="Q60" s="33" t="s">
        <v>1159</v>
      </c>
    </row>
    <row r="61" spans="1:17" ht="17.100000000000001" customHeight="1">
      <c r="A61" s="42">
        <v>45754</v>
      </c>
      <c r="B61" s="15" t="s">
        <v>79</v>
      </c>
      <c r="C61" s="16" t="s">
        <v>1160</v>
      </c>
      <c r="D61" s="16" t="s">
        <v>1163</v>
      </c>
      <c r="E61" s="16" t="s">
        <v>1161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54</v>
      </c>
      <c r="O61" s="16" t="s">
        <v>1168</v>
      </c>
      <c r="P61" s="16" t="s">
        <v>1170</v>
      </c>
      <c r="Q61" s="32" t="s">
        <v>1180</v>
      </c>
    </row>
    <row r="62" spans="1:17" ht="17.100000000000001" customHeight="1">
      <c r="A62" s="42">
        <v>45754</v>
      </c>
      <c r="B62" s="15" t="s">
        <v>79</v>
      </c>
      <c r="C62" s="16" t="s">
        <v>1160</v>
      </c>
      <c r="D62" s="16" t="s">
        <v>1163</v>
      </c>
      <c r="E62" s="16" t="s">
        <v>1162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54</v>
      </c>
      <c r="O62" s="16" t="s">
        <v>1168</v>
      </c>
      <c r="P62" s="16" t="s">
        <v>1170</v>
      </c>
      <c r="Q62" s="32" t="s">
        <v>1180</v>
      </c>
    </row>
    <row r="63" spans="1:17" ht="17.100000000000001" customHeight="1">
      <c r="A63" s="42">
        <v>45754</v>
      </c>
      <c r="B63" s="15" t="s">
        <v>79</v>
      </c>
      <c r="C63" s="16" t="s">
        <v>1160</v>
      </c>
      <c r="D63" s="16" t="s">
        <v>1163</v>
      </c>
      <c r="E63" s="16" t="s">
        <v>1164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54</v>
      </c>
      <c r="O63" s="16" t="s">
        <v>1168</v>
      </c>
      <c r="P63" s="16" t="s">
        <v>1170</v>
      </c>
      <c r="Q63" s="32" t="s">
        <v>1180</v>
      </c>
    </row>
    <row r="64" spans="1:17" ht="17.100000000000001" customHeight="1">
      <c r="A64" s="42">
        <v>45754</v>
      </c>
      <c r="B64" s="15" t="s">
        <v>79</v>
      </c>
      <c r="C64" s="16" t="s">
        <v>1160</v>
      </c>
      <c r="D64" s="16" t="s">
        <v>1163</v>
      </c>
      <c r="E64" s="16" t="s">
        <v>1165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38</v>
      </c>
      <c r="O64" s="16" t="s">
        <v>1168</v>
      </c>
      <c r="P64" s="16" t="s">
        <v>1170</v>
      </c>
      <c r="Q64" s="32" t="s">
        <v>1180</v>
      </c>
    </row>
    <row r="65" spans="1:17" ht="17.100000000000001" customHeight="1">
      <c r="A65" s="42">
        <v>45754</v>
      </c>
      <c r="B65" s="15" t="s">
        <v>1167</v>
      </c>
      <c r="C65" s="16" t="s">
        <v>1160</v>
      </c>
      <c r="D65" s="16" t="s">
        <v>1166</v>
      </c>
      <c r="E65" s="16" t="s">
        <v>48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400</v>
      </c>
      <c r="O65" s="16" t="s">
        <v>1168</v>
      </c>
      <c r="P65" s="16" t="s">
        <v>1169</v>
      </c>
      <c r="Q65" s="32" t="s">
        <v>1176</v>
      </c>
    </row>
    <row r="66" spans="1:17" ht="17.100000000000001" customHeight="1">
      <c r="A66" s="42">
        <v>45754</v>
      </c>
      <c r="B66" s="15" t="s">
        <v>65</v>
      </c>
      <c r="C66" s="16" t="s">
        <v>1160</v>
      </c>
      <c r="D66" s="16" t="s">
        <v>48</v>
      </c>
      <c r="E66" s="16" t="s">
        <v>48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200</v>
      </c>
      <c r="O66" s="16" t="s">
        <v>55</v>
      </c>
      <c r="P66" s="16" t="s">
        <v>1171</v>
      </c>
      <c r="Q66" s="32" t="s">
        <v>1175</v>
      </c>
    </row>
    <row r="67" spans="1:17" ht="17.100000000000001" customHeight="1">
      <c r="A67" s="42">
        <v>45754</v>
      </c>
      <c r="B67" s="15" t="s">
        <v>326</v>
      </c>
      <c r="C67" s="16" t="s">
        <v>1160</v>
      </c>
      <c r="D67" s="16" t="s">
        <v>48</v>
      </c>
      <c r="E67" s="16" t="s">
        <v>48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30</v>
      </c>
      <c r="O67" s="16" t="s">
        <v>55</v>
      </c>
      <c r="P67" s="16" t="s">
        <v>1172</v>
      </c>
      <c r="Q67" s="32" t="s">
        <v>1177</v>
      </c>
    </row>
    <row r="68" spans="1:17" ht="17.100000000000001" customHeight="1">
      <c r="A68" s="42">
        <v>45754</v>
      </c>
      <c r="B68" s="15" t="s">
        <v>78</v>
      </c>
      <c r="C68" s="16" t="s">
        <v>1160</v>
      </c>
      <c r="D68" s="16" t="s">
        <v>48</v>
      </c>
      <c r="E68" s="16" t="s">
        <v>48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10</v>
      </c>
      <c r="O68" s="16" t="s">
        <v>55</v>
      </c>
      <c r="P68" s="16" t="s">
        <v>1173</v>
      </c>
      <c r="Q68" s="32" t="s">
        <v>1178</v>
      </c>
    </row>
    <row r="69" spans="1:17" ht="17.100000000000001" customHeight="1">
      <c r="A69" s="42">
        <v>45754</v>
      </c>
      <c r="B69" s="15" t="s">
        <v>104</v>
      </c>
      <c r="C69" s="16" t="s">
        <v>1160</v>
      </c>
      <c r="D69" s="16" t="s">
        <v>48</v>
      </c>
      <c r="E69" s="16" t="s">
        <v>48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8</v>
      </c>
      <c r="O69" s="16" t="s">
        <v>55</v>
      </c>
      <c r="P69" s="16" t="s">
        <v>1174</v>
      </c>
      <c r="Q69" s="32" t="s">
        <v>1179</v>
      </c>
    </row>
    <row r="70" spans="1:17" ht="17.100000000000001" customHeight="1">
      <c r="A70" s="42">
        <v>45761</v>
      </c>
      <c r="B70" s="15" t="s">
        <v>65</v>
      </c>
      <c r="C70" s="16" t="s">
        <v>1183</v>
      </c>
      <c r="D70" s="16" t="s">
        <v>48</v>
      </c>
      <c r="E70" s="16" t="s">
        <v>48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100</v>
      </c>
      <c r="O70" s="16" t="s">
        <v>911</v>
      </c>
      <c r="P70" s="16" t="s">
        <v>1181</v>
      </c>
      <c r="Q70" s="32" t="s">
        <v>1182</v>
      </c>
    </row>
    <row r="71" spans="1:17" ht="17.100000000000001" customHeight="1">
      <c r="A71" s="42">
        <v>45761</v>
      </c>
      <c r="B71" s="15" t="s">
        <v>907</v>
      </c>
      <c r="C71" s="16" t="s">
        <v>1183</v>
      </c>
      <c r="D71" s="16" t="s">
        <v>48</v>
      </c>
      <c r="E71" s="16" t="s">
        <v>48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10</v>
      </c>
      <c r="O71" s="16" t="s">
        <v>55</v>
      </c>
      <c r="P71" s="16" t="s">
        <v>1185</v>
      </c>
      <c r="Q71" s="32" t="s">
        <v>1184</v>
      </c>
    </row>
    <row r="72" spans="1:17" ht="17.100000000000001" customHeight="1">
      <c r="A72" s="42">
        <v>45761</v>
      </c>
      <c r="B72" s="15" t="s">
        <v>38</v>
      </c>
      <c r="C72" s="16" t="s">
        <v>1183</v>
      </c>
      <c r="D72" s="16" t="s">
        <v>48</v>
      </c>
      <c r="E72" s="16" t="s">
        <v>48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200</v>
      </c>
      <c r="O72" s="16" t="s">
        <v>911</v>
      </c>
      <c r="P72" s="16" t="s">
        <v>1186</v>
      </c>
      <c r="Q72" s="32" t="s">
        <v>1187</v>
      </c>
    </row>
    <row r="73" spans="1:17" ht="17.100000000000001" customHeight="1">
      <c r="A73" s="42">
        <v>45761</v>
      </c>
      <c r="B73" s="15" t="s">
        <v>104</v>
      </c>
      <c r="C73" s="16" t="s">
        <v>1183</v>
      </c>
      <c r="D73" s="16" t="s">
        <v>48</v>
      </c>
      <c r="E73" s="16" t="s">
        <v>48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100</v>
      </c>
      <c r="O73" s="16" t="s">
        <v>911</v>
      </c>
      <c r="P73" s="16" t="s">
        <v>1188</v>
      </c>
      <c r="Q73" s="32" t="s">
        <v>1189</v>
      </c>
    </row>
    <row r="74" spans="1:17" ht="17.100000000000001" customHeight="1">
      <c r="A74" s="42">
        <v>45763</v>
      </c>
      <c r="B74" s="15" t="s">
        <v>1191</v>
      </c>
      <c r="C74" s="16" t="s">
        <v>1183</v>
      </c>
      <c r="D74" s="16" t="s">
        <v>1192</v>
      </c>
      <c r="E74" s="16" t="s">
        <v>1193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f>720/2</f>
        <v>360</v>
      </c>
      <c r="O74" s="16" t="s">
        <v>1168</v>
      </c>
      <c r="P74" s="16" t="s">
        <v>1190</v>
      </c>
      <c r="Q74" s="32" t="s">
        <v>1195</v>
      </c>
    </row>
    <row r="75" spans="1:17" ht="17.100000000000001" customHeight="1">
      <c r="A75" s="42">
        <v>45763</v>
      </c>
      <c r="B75" s="15" t="s">
        <v>1191</v>
      </c>
      <c r="C75" s="16" t="s">
        <v>1183</v>
      </c>
      <c r="D75" s="16" t="s">
        <v>1192</v>
      </c>
      <c r="E75" s="16" t="s">
        <v>1194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140</v>
      </c>
      <c r="O75" s="16" t="s">
        <v>1168</v>
      </c>
      <c r="P75" s="16" t="s">
        <v>1190</v>
      </c>
      <c r="Q75" s="32" t="s">
        <v>1195</v>
      </c>
    </row>
    <row r="76" spans="1:17" ht="17.100000000000001" customHeight="1">
      <c r="A76" s="42">
        <v>45768</v>
      </c>
      <c r="B76" s="15" t="s">
        <v>885</v>
      </c>
      <c r="C76" s="16" t="s">
        <v>1196</v>
      </c>
      <c r="D76" s="16" t="s">
        <v>1197</v>
      </c>
      <c r="E76" s="16" t="s">
        <v>48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127</v>
      </c>
      <c r="O76" s="16" t="s">
        <v>1200</v>
      </c>
      <c r="P76" s="16" t="s">
        <v>1206</v>
      </c>
      <c r="Q76" s="32" t="s">
        <v>1207</v>
      </c>
    </row>
    <row r="77" spans="1:17" ht="17.100000000000001" customHeight="1">
      <c r="A77" s="42">
        <v>45768</v>
      </c>
      <c r="B77" s="15" t="s">
        <v>885</v>
      </c>
      <c r="C77" s="16" t="s">
        <v>1196</v>
      </c>
      <c r="D77" s="16" t="s">
        <v>473</v>
      </c>
      <c r="E77" s="16" t="s">
        <v>48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14</v>
      </c>
      <c r="O77" s="16" t="s">
        <v>1200</v>
      </c>
      <c r="P77" s="16" t="s">
        <v>1206</v>
      </c>
      <c r="Q77" s="32" t="s">
        <v>1207</v>
      </c>
    </row>
    <row r="78" spans="1:17" ht="17.100000000000001" customHeight="1">
      <c r="A78" s="42">
        <v>45768</v>
      </c>
      <c r="B78" s="15" t="s">
        <v>885</v>
      </c>
      <c r="C78" s="16" t="s">
        <v>1196</v>
      </c>
      <c r="D78" s="16" t="s">
        <v>1198</v>
      </c>
      <c r="E78" s="16" t="s">
        <v>48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3</v>
      </c>
      <c r="O78" s="16" t="s">
        <v>1200</v>
      </c>
      <c r="P78" s="16" t="s">
        <v>1206</v>
      </c>
      <c r="Q78" s="32" t="s">
        <v>1207</v>
      </c>
    </row>
    <row r="79" spans="1:17" ht="17.100000000000001" customHeight="1">
      <c r="A79" s="42">
        <v>45768</v>
      </c>
      <c r="B79" s="15" t="s">
        <v>885</v>
      </c>
      <c r="C79" s="16" t="s">
        <v>1196</v>
      </c>
      <c r="D79" s="16" t="s">
        <v>1199</v>
      </c>
      <c r="E79" s="16" t="s">
        <v>48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36</v>
      </c>
      <c r="O79" s="16" t="s">
        <v>1200</v>
      </c>
      <c r="P79" s="16" t="s">
        <v>1206</v>
      </c>
      <c r="Q79" s="32" t="s">
        <v>1207</v>
      </c>
    </row>
    <row r="80" spans="1:17" ht="17.100000000000001" customHeight="1">
      <c r="A80" s="42">
        <v>45768</v>
      </c>
      <c r="B80" s="15" t="s">
        <v>143</v>
      </c>
      <c r="C80" s="16" t="s">
        <v>1196</v>
      </c>
      <c r="D80" s="16" t="s">
        <v>1193</v>
      </c>
      <c r="E80" s="16" t="s">
        <v>48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100</v>
      </c>
      <c r="O80" s="16" t="s">
        <v>1200</v>
      </c>
      <c r="P80" s="16" t="s">
        <v>1208</v>
      </c>
      <c r="Q80" s="32" t="s">
        <v>1209</v>
      </c>
    </row>
    <row r="81" spans="1:17" ht="17.100000000000001" customHeight="1">
      <c r="A81" s="42">
        <v>45768</v>
      </c>
      <c r="B81" s="15" t="s">
        <v>143</v>
      </c>
      <c r="C81" s="16" t="s">
        <v>1196</v>
      </c>
      <c r="D81" s="16" t="s">
        <v>1201</v>
      </c>
      <c r="E81" s="16" t="s">
        <v>48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100</v>
      </c>
      <c r="O81" s="16" t="s">
        <v>1200</v>
      </c>
      <c r="P81" s="16" t="s">
        <v>1208</v>
      </c>
      <c r="Q81" s="32" t="s">
        <v>1209</v>
      </c>
    </row>
    <row r="82" spans="1:17" ht="17.100000000000001" customHeight="1">
      <c r="A82" s="42">
        <v>45768</v>
      </c>
      <c r="B82" s="15" t="s">
        <v>143</v>
      </c>
      <c r="C82" s="16" t="s">
        <v>1196</v>
      </c>
      <c r="D82" s="16" t="s">
        <v>1202</v>
      </c>
      <c r="E82" s="16" t="s">
        <v>48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40</v>
      </c>
      <c r="O82" s="16" t="s">
        <v>1200</v>
      </c>
      <c r="P82" s="16" t="s">
        <v>1208</v>
      </c>
      <c r="Q82" s="32" t="s">
        <v>1209</v>
      </c>
    </row>
    <row r="83" spans="1:17" ht="17.100000000000001" customHeight="1">
      <c r="A83" s="42">
        <v>45768</v>
      </c>
      <c r="B83" s="15" t="s">
        <v>531</v>
      </c>
      <c r="C83" s="16" t="s">
        <v>1196</v>
      </c>
      <c r="D83" s="16" t="s">
        <v>1203</v>
      </c>
      <c r="E83" s="16" t="s">
        <v>1204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54</v>
      </c>
      <c r="O83" s="16" t="s">
        <v>1200</v>
      </c>
      <c r="P83" s="16" t="s">
        <v>1210</v>
      </c>
      <c r="Q83" s="32" t="s">
        <v>1211</v>
      </c>
    </row>
    <row r="84" spans="1:17" ht="17.100000000000001" customHeight="1">
      <c r="A84" s="42">
        <v>45768</v>
      </c>
      <c r="B84" s="15" t="s">
        <v>531</v>
      </c>
      <c r="C84" s="16" t="s">
        <v>1196</v>
      </c>
      <c r="D84" s="16" t="s">
        <v>1203</v>
      </c>
      <c r="E84" s="16" t="s">
        <v>1205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f>92/2</f>
        <v>46</v>
      </c>
      <c r="O84" s="16" t="s">
        <v>1200</v>
      </c>
      <c r="P84" s="16" t="s">
        <v>1210</v>
      </c>
      <c r="Q84" s="32" t="s">
        <v>1211</v>
      </c>
    </row>
    <row r="85" spans="1:17" ht="17.100000000000001" customHeight="1">
      <c r="A85" s="42">
        <v>45768</v>
      </c>
      <c r="B85" s="15" t="s">
        <v>24</v>
      </c>
      <c r="C85" s="16" t="s">
        <v>1196</v>
      </c>
      <c r="D85" s="16" t="s">
        <v>48</v>
      </c>
      <c r="E85" s="16" t="s">
        <v>48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100</v>
      </c>
      <c r="O85" s="16" t="s">
        <v>233</v>
      </c>
      <c r="P85" s="16" t="s">
        <v>1212</v>
      </c>
      <c r="Q85" s="32" t="s">
        <v>1215</v>
      </c>
    </row>
    <row r="86" spans="1:17" ht="17.100000000000001" customHeight="1">
      <c r="A86" s="42">
        <v>45768</v>
      </c>
      <c r="B86" s="15" t="s">
        <v>1213</v>
      </c>
      <c r="C86" s="16" t="s">
        <v>1196</v>
      </c>
      <c r="D86" s="16" t="s">
        <v>48</v>
      </c>
      <c r="E86" s="16" t="s">
        <v>48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30</v>
      </c>
      <c r="O86" s="16" t="s">
        <v>233</v>
      </c>
      <c r="P86" s="16" t="s">
        <v>1214</v>
      </c>
      <c r="Q86" s="32" t="s">
        <v>1216</v>
      </c>
    </row>
    <row r="87" spans="1:17" ht="17.100000000000001" customHeight="1">
      <c r="A87" s="42">
        <v>45768</v>
      </c>
      <c r="B87" s="15" t="s">
        <v>1217</v>
      </c>
      <c r="C87" s="16" t="s">
        <v>1196</v>
      </c>
      <c r="D87" s="16" t="s">
        <v>48</v>
      </c>
      <c r="E87" s="16" t="s">
        <v>48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10</v>
      </c>
      <c r="O87" s="16" t="s">
        <v>233</v>
      </c>
      <c r="P87" s="16" t="s">
        <v>1219</v>
      </c>
      <c r="Q87" s="32" t="s">
        <v>1218</v>
      </c>
    </row>
    <row r="88" spans="1:17" ht="17.100000000000001" customHeight="1">
      <c r="A88" s="42">
        <v>45768</v>
      </c>
      <c r="B88" s="15" t="s">
        <v>1220</v>
      </c>
      <c r="C88" s="16" t="s">
        <v>1196</v>
      </c>
      <c r="D88" s="16" t="s">
        <v>48</v>
      </c>
      <c r="E88" s="16" t="s">
        <v>48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500</v>
      </c>
      <c r="O88" s="16" t="s">
        <v>911</v>
      </c>
      <c r="P88" s="16" t="s">
        <v>1221</v>
      </c>
      <c r="Q88" s="32" t="s">
        <v>1223</v>
      </c>
    </row>
    <row r="89" spans="1:17" ht="17.100000000000001" customHeight="1">
      <c r="A89" s="42">
        <v>45768</v>
      </c>
      <c r="B89" s="15" t="s">
        <v>114</v>
      </c>
      <c r="C89" s="16" t="s">
        <v>1196</v>
      </c>
      <c r="D89" s="16" t="s">
        <v>48</v>
      </c>
      <c r="E89" s="16" t="s">
        <v>48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9</v>
      </c>
      <c r="O89" s="16" t="s">
        <v>55</v>
      </c>
      <c r="P89" s="16" t="s">
        <v>1225</v>
      </c>
      <c r="Q89" s="32" t="s">
        <v>1224</v>
      </c>
    </row>
    <row r="90" spans="1:17" ht="17.100000000000001" customHeight="1">
      <c r="A90" s="42">
        <v>45768</v>
      </c>
      <c r="B90" s="15" t="s">
        <v>338</v>
      </c>
      <c r="C90" s="16" t="s">
        <v>1196</v>
      </c>
      <c r="D90" s="16" t="s">
        <v>48</v>
      </c>
      <c r="E90" s="16" t="s">
        <v>48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600</v>
      </c>
      <c r="O90" s="16" t="s">
        <v>233</v>
      </c>
      <c r="P90" s="16" t="s">
        <v>1226</v>
      </c>
      <c r="Q90" s="32" t="s">
        <v>1227</v>
      </c>
    </row>
    <row r="91" spans="1:17" ht="17.100000000000001" customHeight="1">
      <c r="A91" s="42">
        <v>45768</v>
      </c>
      <c r="B91" s="15" t="s">
        <v>104</v>
      </c>
      <c r="C91" s="16" t="s">
        <v>1196</v>
      </c>
      <c r="D91" s="16" t="s">
        <v>48</v>
      </c>
      <c r="E91" s="16" t="s">
        <v>48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4</v>
      </c>
      <c r="O91" s="16" t="s">
        <v>233</v>
      </c>
      <c r="P91" s="16" t="s">
        <v>1228</v>
      </c>
      <c r="Q91" s="32" t="s">
        <v>1222</v>
      </c>
    </row>
    <row r="92" spans="1:17" ht="17.100000000000001" customHeight="1">
      <c r="A92" s="42">
        <v>45768</v>
      </c>
      <c r="B92" s="15" t="s">
        <v>1229</v>
      </c>
      <c r="C92" s="16" t="s">
        <v>1196</v>
      </c>
      <c r="D92" s="16" t="s">
        <v>48</v>
      </c>
      <c r="E92" s="16" t="s">
        <v>48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100</v>
      </c>
      <c r="O92" s="16" t="s">
        <v>233</v>
      </c>
      <c r="P92" s="16" t="s">
        <v>1230</v>
      </c>
      <c r="Q92" s="32" t="s">
        <v>1231</v>
      </c>
    </row>
    <row r="93" spans="1:17" ht="17.100000000000001" customHeight="1">
      <c r="A93" s="42">
        <v>45769</v>
      </c>
      <c r="B93" s="15" t="s">
        <v>531</v>
      </c>
      <c r="C93" s="16" t="s">
        <v>1232</v>
      </c>
      <c r="D93" s="16" t="s">
        <v>1236</v>
      </c>
      <c r="E93" s="16" t="s">
        <v>1205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8</v>
      </c>
      <c r="O93" s="16" t="s">
        <v>1200</v>
      </c>
      <c r="P93" s="16" t="s">
        <v>1210</v>
      </c>
      <c r="Q93" s="32" t="s">
        <v>1211</v>
      </c>
    </row>
    <row r="94" spans="1:17" ht="17.100000000000001" customHeight="1">
      <c r="A94" s="42">
        <v>45769</v>
      </c>
      <c r="B94" s="15" t="s">
        <v>531</v>
      </c>
      <c r="C94" s="16" t="s">
        <v>1232</v>
      </c>
      <c r="D94" s="16" t="s">
        <v>1236</v>
      </c>
      <c r="E94" s="16" t="s">
        <v>1233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54</v>
      </c>
      <c r="O94" s="16" t="s">
        <v>1200</v>
      </c>
      <c r="P94" s="16" t="s">
        <v>1210</v>
      </c>
      <c r="Q94" s="32" t="s">
        <v>1211</v>
      </c>
    </row>
    <row r="95" spans="1:17" ht="17.100000000000001" customHeight="1">
      <c r="A95" s="42">
        <v>45769</v>
      </c>
      <c r="B95" s="15" t="s">
        <v>531</v>
      </c>
      <c r="C95" s="16" t="s">
        <v>1232</v>
      </c>
      <c r="D95" s="16" t="s">
        <v>1236</v>
      </c>
      <c r="E95" s="16" t="s">
        <v>1234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27</v>
      </c>
      <c r="O95" s="16" t="s">
        <v>1200</v>
      </c>
      <c r="P95" s="16" t="s">
        <v>1210</v>
      </c>
      <c r="Q95" s="32" t="s">
        <v>1211</v>
      </c>
    </row>
    <row r="96" spans="1:17" ht="17.100000000000001" customHeight="1">
      <c r="A96" s="42">
        <v>45769</v>
      </c>
      <c r="B96" s="15" t="s">
        <v>531</v>
      </c>
      <c r="C96" s="16" t="s">
        <v>1232</v>
      </c>
      <c r="D96" s="16" t="s">
        <v>1236</v>
      </c>
      <c r="E96" s="16" t="s">
        <v>1235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27</v>
      </c>
      <c r="O96" s="16" t="s">
        <v>1200</v>
      </c>
      <c r="P96" s="16" t="s">
        <v>1210</v>
      </c>
      <c r="Q96" s="32" t="s">
        <v>1211</v>
      </c>
    </row>
    <row r="97" spans="1:17" ht="17.100000000000001" customHeight="1">
      <c r="A97" s="42">
        <v>45769</v>
      </c>
      <c r="B97" s="15" t="s">
        <v>531</v>
      </c>
      <c r="C97" s="16" t="s">
        <v>1232</v>
      </c>
      <c r="D97" s="16" t="s">
        <v>1238</v>
      </c>
      <c r="E97" s="16" t="s">
        <v>1235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27</v>
      </c>
      <c r="O97" s="16" t="s">
        <v>1200</v>
      </c>
      <c r="P97" s="16" t="s">
        <v>1210</v>
      </c>
      <c r="Q97" s="32" t="s">
        <v>1211</v>
      </c>
    </row>
    <row r="98" spans="1:17" ht="17.100000000000001" customHeight="1">
      <c r="A98" s="42">
        <v>45769</v>
      </c>
      <c r="B98" s="15" t="s">
        <v>531</v>
      </c>
      <c r="C98" s="16" t="s">
        <v>1232</v>
      </c>
      <c r="D98" s="16" t="s">
        <v>1238</v>
      </c>
      <c r="E98" s="16" t="s">
        <v>1237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54</v>
      </c>
      <c r="O98" s="16" t="s">
        <v>1200</v>
      </c>
      <c r="P98" s="16" t="s">
        <v>1210</v>
      </c>
      <c r="Q98" s="32" t="s">
        <v>1211</v>
      </c>
    </row>
    <row r="99" spans="1:17" ht="17.100000000000001" customHeight="1">
      <c r="A99" s="42">
        <v>45769</v>
      </c>
      <c r="B99" s="15" t="s">
        <v>531</v>
      </c>
      <c r="C99" s="16" t="s">
        <v>1232</v>
      </c>
      <c r="D99" s="16" t="s">
        <v>1238</v>
      </c>
      <c r="E99" s="16" t="s">
        <v>1234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27</v>
      </c>
      <c r="O99" s="16" t="s">
        <v>1200</v>
      </c>
      <c r="P99" s="16" t="s">
        <v>1210</v>
      </c>
      <c r="Q99" s="32" t="s">
        <v>1211</v>
      </c>
    </row>
    <row r="100" spans="1:17" ht="17.100000000000001" customHeight="1">
      <c r="A100" s="42">
        <v>45769</v>
      </c>
      <c r="B100" s="15" t="s">
        <v>531</v>
      </c>
      <c r="C100" s="16" t="s">
        <v>1232</v>
      </c>
      <c r="D100" s="16" t="s">
        <v>1238</v>
      </c>
      <c r="E100" s="16" t="s">
        <v>1239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54</v>
      </c>
      <c r="O100" s="16" t="s">
        <v>1200</v>
      </c>
      <c r="P100" s="16" t="s">
        <v>1210</v>
      </c>
      <c r="Q100" s="32" t="s">
        <v>1211</v>
      </c>
    </row>
    <row r="101" spans="1:17" ht="17.100000000000001" customHeight="1">
      <c r="A101" s="42">
        <v>45769</v>
      </c>
      <c r="B101" s="15" t="s">
        <v>531</v>
      </c>
      <c r="C101" s="16" t="s">
        <v>1232</v>
      </c>
      <c r="D101" s="16" t="s">
        <v>1238</v>
      </c>
      <c r="E101" s="16" t="s">
        <v>1240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27</v>
      </c>
      <c r="O101" s="16" t="s">
        <v>1200</v>
      </c>
      <c r="P101" s="16" t="s">
        <v>1210</v>
      </c>
      <c r="Q101" s="32" t="s">
        <v>1211</v>
      </c>
    </row>
    <row r="102" spans="1:17" ht="17.100000000000001" customHeight="1">
      <c r="A102" s="42">
        <v>45769</v>
      </c>
      <c r="B102" s="15" t="s">
        <v>531</v>
      </c>
      <c r="C102" s="16" t="s">
        <v>1232</v>
      </c>
      <c r="D102" s="16" t="s">
        <v>1238</v>
      </c>
      <c r="E102" s="16" t="s">
        <v>1241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54</v>
      </c>
      <c r="O102" s="16" t="s">
        <v>1200</v>
      </c>
      <c r="P102" s="16" t="s">
        <v>1210</v>
      </c>
      <c r="Q102" s="32" t="s">
        <v>1211</v>
      </c>
    </row>
    <row r="103" spans="1:17" ht="17.100000000000001" customHeight="1">
      <c r="A103" s="42">
        <v>45769</v>
      </c>
      <c r="B103" s="15" t="s">
        <v>531</v>
      </c>
      <c r="C103" s="16" t="s">
        <v>1232</v>
      </c>
      <c r="D103" s="16" t="s">
        <v>1238</v>
      </c>
      <c r="E103" s="16" t="s">
        <v>1242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41</v>
      </c>
      <c r="O103" s="16" t="s">
        <v>1200</v>
      </c>
      <c r="P103" s="16" t="s">
        <v>1210</v>
      </c>
      <c r="Q103" s="32" t="s">
        <v>1211</v>
      </c>
    </row>
    <row r="104" spans="1:17" ht="17.100000000000001" customHeight="1">
      <c r="A104" s="42">
        <v>45775</v>
      </c>
      <c r="B104" s="15" t="s">
        <v>143</v>
      </c>
      <c r="C104" s="16" t="s">
        <v>1244</v>
      </c>
      <c r="D104" s="16" t="s">
        <v>1245</v>
      </c>
      <c r="E104" s="16" t="s">
        <v>48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100</v>
      </c>
      <c r="O104" s="16" t="s">
        <v>1250</v>
      </c>
      <c r="P104" s="16" t="s">
        <v>1243</v>
      </c>
      <c r="Q104" s="32" t="s">
        <v>1247</v>
      </c>
    </row>
    <row r="105" spans="1:17" ht="17.100000000000001" customHeight="1">
      <c r="A105" s="42">
        <v>45775</v>
      </c>
      <c r="B105" s="15" t="s">
        <v>143</v>
      </c>
      <c r="C105" s="16" t="s">
        <v>1244</v>
      </c>
      <c r="D105" s="16" t="s">
        <v>1246</v>
      </c>
      <c r="E105" s="16" t="s">
        <v>48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20</v>
      </c>
      <c r="O105" s="16" t="s">
        <v>1250</v>
      </c>
      <c r="P105" s="16" t="s">
        <v>1243</v>
      </c>
      <c r="Q105" s="32" t="s">
        <v>1247</v>
      </c>
    </row>
    <row r="106" spans="1:17" ht="17.100000000000001" customHeight="1">
      <c r="A106" s="42">
        <v>45775</v>
      </c>
      <c r="B106" s="15" t="s">
        <v>37</v>
      </c>
      <c r="C106" s="16" t="s">
        <v>1244</v>
      </c>
      <c r="D106" s="16" t="s">
        <v>48</v>
      </c>
      <c r="E106" s="16" t="s">
        <v>48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1254</v>
      </c>
      <c r="N106" s="16">
        <v>40</v>
      </c>
      <c r="O106" s="16" t="s">
        <v>1250</v>
      </c>
      <c r="P106" s="16" t="s">
        <v>1248</v>
      </c>
      <c r="Q106" s="32" t="s">
        <v>1249</v>
      </c>
    </row>
    <row r="107" spans="1:17" ht="17.100000000000001" customHeight="1">
      <c r="A107" s="42">
        <v>45775</v>
      </c>
      <c r="B107" s="15" t="s">
        <v>37</v>
      </c>
      <c r="C107" s="16" t="s">
        <v>1244</v>
      </c>
      <c r="D107" s="16" t="s">
        <v>48</v>
      </c>
      <c r="E107" s="16" t="s">
        <v>48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1254</v>
      </c>
      <c r="N107" s="16">
        <v>60</v>
      </c>
      <c r="O107" s="16" t="s">
        <v>1250</v>
      </c>
      <c r="P107" s="16" t="s">
        <v>1251</v>
      </c>
      <c r="Q107" s="32" t="s">
        <v>1252</v>
      </c>
    </row>
    <row r="108" spans="1:17" ht="17.100000000000001" customHeight="1">
      <c r="A108" s="42">
        <v>45775</v>
      </c>
      <c r="B108" s="15" t="s">
        <v>420</v>
      </c>
      <c r="C108" s="16" t="s">
        <v>1244</v>
      </c>
      <c r="D108" s="16" t="s">
        <v>48</v>
      </c>
      <c r="E108" s="16" t="s">
        <v>48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1253</v>
      </c>
      <c r="N108" s="16">
        <v>20</v>
      </c>
      <c r="O108" s="16" t="s">
        <v>55</v>
      </c>
      <c r="P108" s="16" t="s">
        <v>1255</v>
      </c>
      <c r="Q108" s="32" t="s">
        <v>1256</v>
      </c>
    </row>
    <row r="109" spans="1:17" ht="17.100000000000001" customHeight="1">
      <c r="A109" s="42">
        <v>45775</v>
      </c>
      <c r="B109" s="15" t="s">
        <v>1258</v>
      </c>
      <c r="C109" s="16" t="s">
        <v>1244</v>
      </c>
      <c r="D109" s="16" t="s">
        <v>48</v>
      </c>
      <c r="E109" s="16" t="s">
        <v>48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1000</v>
      </c>
      <c r="O109" s="16" t="s">
        <v>1250</v>
      </c>
      <c r="P109" s="16" t="s">
        <v>1257</v>
      </c>
      <c r="Q109" s="32" t="s">
        <v>1261</v>
      </c>
    </row>
    <row r="110" spans="1:17" ht="17.100000000000001" customHeight="1">
      <c r="A110" s="42">
        <v>45775</v>
      </c>
      <c r="B110" s="15" t="s">
        <v>214</v>
      </c>
      <c r="C110" s="16" t="s">
        <v>1244</v>
      </c>
      <c r="D110" s="16" t="s">
        <v>48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150</v>
      </c>
      <c r="O110" s="16" t="s">
        <v>1250</v>
      </c>
      <c r="P110" s="16" t="s">
        <v>1259</v>
      </c>
      <c r="Q110" s="32" t="s">
        <v>1260</v>
      </c>
    </row>
    <row r="111" spans="1:17" ht="17.100000000000001" customHeight="1">
      <c r="A111" s="17"/>
      <c r="B111" s="15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31"/>
    </row>
    <row r="112" spans="1:17" ht="17.100000000000001" customHeight="1">
      <c r="A112" s="17"/>
      <c r="B112" s="1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31"/>
    </row>
    <row r="113" spans="1:17">
      <c r="A113" s="17"/>
      <c r="B113" s="15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31"/>
    </row>
    <row r="114" spans="1:17">
      <c r="A114" s="17"/>
      <c r="B114" s="15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31"/>
    </row>
    <row r="115" spans="1:17" ht="15" thickBot="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16"/>
      <c r="Q115" s="31"/>
    </row>
    <row r="116" spans="1:17">
      <c r="A116" s="25" t="s">
        <v>352</v>
      </c>
      <c r="B116" s="13"/>
      <c r="C116" s="13"/>
      <c r="D116" s="12"/>
      <c r="E116" s="13"/>
      <c r="H116" s="13"/>
      <c r="I116" s="13"/>
      <c r="J116" s="12"/>
      <c r="K116" s="13"/>
      <c r="L116" s="12" t="s">
        <v>18</v>
      </c>
      <c r="M116" s="12"/>
      <c r="N116" s="14"/>
    </row>
    <row r="117" spans="1:17">
      <c r="M117" s="2" t="s">
        <v>19</v>
      </c>
    </row>
    <row r="118" spans="1:17">
      <c r="M118" s="2" t="s">
        <v>20</v>
      </c>
    </row>
    <row r="119" spans="1:17">
      <c r="M119" s="2" t="s">
        <v>21</v>
      </c>
    </row>
    <row r="120" spans="1:17">
      <c r="M120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Q139"/>
  <sheetViews>
    <sheetView view="pageBreakPreview" zoomScaleNormal="100" zoomScaleSheetLayoutView="100" workbookViewId="0">
      <selection activeCell="B5" sqref="B5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28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49">
        <v>45778</v>
      </c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43">
        <v>45782</v>
      </c>
      <c r="B9" s="15" t="s">
        <v>953</v>
      </c>
      <c r="C9" s="16" t="s">
        <v>1264</v>
      </c>
      <c r="D9" s="16" t="s">
        <v>48</v>
      </c>
      <c r="E9" s="16" t="s">
        <v>48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100</v>
      </c>
      <c r="O9" s="16" t="s">
        <v>233</v>
      </c>
      <c r="P9" s="15" t="s">
        <v>1290</v>
      </c>
      <c r="Q9" s="33" t="s">
        <v>1292</v>
      </c>
    </row>
    <row r="10" spans="1:17" ht="17.100000000000001" customHeight="1">
      <c r="A10" s="43">
        <v>45782</v>
      </c>
      <c r="B10" s="15" t="s">
        <v>119</v>
      </c>
      <c r="C10" s="16" t="s">
        <v>1264</v>
      </c>
      <c r="D10" s="16" t="s">
        <v>1254</v>
      </c>
      <c r="E10" s="16" t="s">
        <v>48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48</v>
      </c>
      <c r="O10" s="16" t="s">
        <v>1279</v>
      </c>
      <c r="P10" s="15" t="s">
        <v>1291</v>
      </c>
      <c r="Q10" s="33" t="s">
        <v>1293</v>
      </c>
    </row>
    <row r="11" spans="1:17" ht="17.100000000000001" customHeight="1">
      <c r="A11" s="43">
        <v>45782</v>
      </c>
      <c r="B11" s="21" t="s">
        <v>161</v>
      </c>
      <c r="C11" s="16" t="s">
        <v>1264</v>
      </c>
      <c r="D11" s="16" t="s">
        <v>48</v>
      </c>
      <c r="E11" s="16" t="s">
        <v>48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50</v>
      </c>
      <c r="O11" s="16" t="s">
        <v>911</v>
      </c>
      <c r="P11" s="15" t="s">
        <v>1294</v>
      </c>
      <c r="Q11" s="33" t="s">
        <v>1295</v>
      </c>
    </row>
    <row r="12" spans="1:17" ht="17.100000000000001" customHeight="1">
      <c r="A12" s="43">
        <v>45782</v>
      </c>
      <c r="B12" s="15" t="s">
        <v>1265</v>
      </c>
      <c r="C12" s="16" t="s">
        <v>1264</v>
      </c>
      <c r="D12" s="16" t="s">
        <v>48</v>
      </c>
      <c r="E12" s="16" t="s">
        <v>48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40</v>
      </c>
      <c r="O12" s="16" t="s">
        <v>1279</v>
      </c>
      <c r="P12" s="15" t="s">
        <v>1296</v>
      </c>
      <c r="Q12" s="33" t="s">
        <v>1297</v>
      </c>
    </row>
    <row r="13" spans="1:17" ht="17.100000000000001" customHeight="1">
      <c r="A13" s="43">
        <v>45782</v>
      </c>
      <c r="B13" s="15" t="s">
        <v>72</v>
      </c>
      <c r="C13" s="16" t="s">
        <v>1264</v>
      </c>
      <c r="D13" s="16" t="s">
        <v>48</v>
      </c>
      <c r="E13" s="16" t="s">
        <v>48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50</v>
      </c>
      <c r="O13" s="16" t="s">
        <v>911</v>
      </c>
      <c r="P13" s="15" t="s">
        <v>1298</v>
      </c>
      <c r="Q13" s="26"/>
    </row>
    <row r="14" spans="1:17" ht="17.100000000000001" customHeight="1">
      <c r="A14" s="43">
        <v>45782</v>
      </c>
      <c r="B14" s="15" t="s">
        <v>65</v>
      </c>
      <c r="C14" s="16" t="s">
        <v>1264</v>
      </c>
      <c r="D14" s="16" t="s">
        <v>48</v>
      </c>
      <c r="E14" s="16" t="s">
        <v>48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500</v>
      </c>
      <c r="O14" s="16" t="s">
        <v>1279</v>
      </c>
      <c r="P14" s="15"/>
      <c r="Q14" s="26"/>
    </row>
    <row r="15" spans="1:17" ht="17.100000000000001" customHeight="1">
      <c r="A15" s="43">
        <v>45783</v>
      </c>
      <c r="B15" s="15" t="s">
        <v>654</v>
      </c>
      <c r="C15" s="16" t="s">
        <v>1262</v>
      </c>
      <c r="D15" s="16" t="s">
        <v>1299</v>
      </c>
      <c r="E15" s="16" t="s">
        <v>1300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5</v>
      </c>
      <c r="O15" s="16" t="s">
        <v>693</v>
      </c>
      <c r="P15" s="15" t="s">
        <v>1287</v>
      </c>
      <c r="Q15" s="33" t="s">
        <v>1286</v>
      </c>
    </row>
    <row r="16" spans="1:17" ht="17.100000000000001" customHeight="1">
      <c r="A16" s="43">
        <v>45783</v>
      </c>
      <c r="B16" s="15" t="s">
        <v>136</v>
      </c>
      <c r="C16" s="16" t="s">
        <v>1262</v>
      </c>
      <c r="D16" s="16" t="s">
        <v>1299</v>
      </c>
      <c r="E16" s="16" t="s">
        <v>48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3</v>
      </c>
      <c r="O16" s="16" t="s">
        <v>693</v>
      </c>
      <c r="P16" s="15" t="s">
        <v>1288</v>
      </c>
      <c r="Q16" s="33" t="s">
        <v>1289</v>
      </c>
    </row>
    <row r="17" spans="1:17" ht="17.100000000000001" customHeight="1">
      <c r="A17" s="43">
        <v>45783</v>
      </c>
      <c r="B17" s="15" t="s">
        <v>162</v>
      </c>
      <c r="C17" s="16" t="s">
        <v>1262</v>
      </c>
      <c r="D17" s="16" t="s">
        <v>1301</v>
      </c>
      <c r="E17" s="16" t="s">
        <v>1302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40</v>
      </c>
      <c r="O17" s="16" t="s">
        <v>1279</v>
      </c>
      <c r="P17" s="15"/>
      <c r="Q17" s="26"/>
    </row>
    <row r="18" spans="1:17" ht="17.100000000000001" customHeight="1">
      <c r="A18" s="43">
        <v>45783</v>
      </c>
      <c r="B18" s="15" t="s">
        <v>174</v>
      </c>
      <c r="C18" s="16" t="s">
        <v>1262</v>
      </c>
      <c r="D18" s="16" t="s">
        <v>1266</v>
      </c>
      <c r="E18" s="16" t="s">
        <v>1267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27</v>
      </c>
      <c r="O18" s="16" t="s">
        <v>1279</v>
      </c>
      <c r="P18" s="15" t="s">
        <v>1263</v>
      </c>
      <c r="Q18" s="33" t="s">
        <v>1281</v>
      </c>
    </row>
    <row r="19" spans="1:17" ht="17.100000000000001" customHeight="1">
      <c r="A19" s="43">
        <v>45783</v>
      </c>
      <c r="B19" s="15" t="s">
        <v>174</v>
      </c>
      <c r="C19" s="16" t="s">
        <v>1262</v>
      </c>
      <c r="D19" s="16" t="s">
        <v>1266</v>
      </c>
      <c r="E19" s="16" t="s">
        <v>1268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15</v>
      </c>
      <c r="O19" s="16" t="s">
        <v>1279</v>
      </c>
      <c r="P19" s="15" t="s">
        <v>1263</v>
      </c>
      <c r="Q19" s="33" t="s">
        <v>1281</v>
      </c>
    </row>
    <row r="20" spans="1:17" ht="17.100000000000001" customHeight="1">
      <c r="A20" s="43">
        <v>45783</v>
      </c>
      <c r="B20" s="15" t="s">
        <v>174</v>
      </c>
      <c r="C20" s="16" t="s">
        <v>1262</v>
      </c>
      <c r="D20" s="16" t="s">
        <v>1266</v>
      </c>
      <c r="E20" s="16" t="s">
        <v>1269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27</v>
      </c>
      <c r="O20" s="16" t="s">
        <v>1279</v>
      </c>
      <c r="P20" s="15" t="s">
        <v>1263</v>
      </c>
      <c r="Q20" s="33" t="s">
        <v>1281</v>
      </c>
    </row>
    <row r="21" spans="1:17" ht="17.100000000000001" customHeight="1">
      <c r="A21" s="43">
        <v>45783</v>
      </c>
      <c r="B21" s="15" t="s">
        <v>174</v>
      </c>
      <c r="C21" s="16" t="s">
        <v>1262</v>
      </c>
      <c r="D21" s="16" t="s">
        <v>1266</v>
      </c>
      <c r="E21" s="16" t="s">
        <v>1270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54</v>
      </c>
      <c r="O21" s="16" t="s">
        <v>1279</v>
      </c>
      <c r="P21" s="15" t="s">
        <v>1263</v>
      </c>
      <c r="Q21" s="33" t="s">
        <v>1281</v>
      </c>
    </row>
    <row r="22" spans="1:17" ht="17.100000000000001" customHeight="1">
      <c r="A22" s="43">
        <v>45783</v>
      </c>
      <c r="B22" s="15" t="s">
        <v>174</v>
      </c>
      <c r="C22" s="16" t="s">
        <v>1262</v>
      </c>
      <c r="D22" s="16" t="s">
        <v>1271</v>
      </c>
      <c r="E22" s="16" t="s">
        <v>1267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27</v>
      </c>
      <c r="O22" s="16" t="s">
        <v>1279</v>
      </c>
      <c r="P22" s="15" t="s">
        <v>1263</v>
      </c>
      <c r="Q22" s="33" t="s">
        <v>1281</v>
      </c>
    </row>
    <row r="23" spans="1:17" ht="17.100000000000001" customHeight="1">
      <c r="A23" s="43">
        <v>45783</v>
      </c>
      <c r="B23" s="15" t="s">
        <v>174</v>
      </c>
      <c r="C23" s="16" t="s">
        <v>1262</v>
      </c>
      <c r="D23" s="16" t="s">
        <v>1271</v>
      </c>
      <c r="E23" s="16" t="s">
        <v>1272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27</v>
      </c>
      <c r="O23" s="16" t="s">
        <v>1279</v>
      </c>
      <c r="P23" s="15" t="s">
        <v>1263</v>
      </c>
      <c r="Q23" s="33" t="s">
        <v>1281</v>
      </c>
    </row>
    <row r="24" spans="1:17" ht="17.100000000000001" customHeight="1">
      <c r="A24" s="43">
        <v>45783</v>
      </c>
      <c r="B24" s="15" t="s">
        <v>174</v>
      </c>
      <c r="C24" s="16" t="s">
        <v>1262</v>
      </c>
      <c r="D24" s="16" t="s">
        <v>1271</v>
      </c>
      <c r="E24" s="16" t="s">
        <v>1273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54</v>
      </c>
      <c r="O24" s="16" t="s">
        <v>1279</v>
      </c>
      <c r="P24" s="15" t="s">
        <v>1263</v>
      </c>
      <c r="Q24" s="33" t="s">
        <v>1281</v>
      </c>
    </row>
    <row r="25" spans="1:17" ht="17.100000000000001" customHeight="1">
      <c r="A25" s="43">
        <v>45783</v>
      </c>
      <c r="B25" s="15" t="s">
        <v>174</v>
      </c>
      <c r="C25" s="16" t="s">
        <v>1262</v>
      </c>
      <c r="D25" s="16" t="s">
        <v>1266</v>
      </c>
      <c r="E25" s="16" t="s">
        <v>1272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27</v>
      </c>
      <c r="O25" s="16" t="s">
        <v>1279</v>
      </c>
      <c r="P25" s="15" t="s">
        <v>1263</v>
      </c>
      <c r="Q25" s="33" t="s">
        <v>1281</v>
      </c>
    </row>
    <row r="26" spans="1:17" ht="17.100000000000001" customHeight="1">
      <c r="A26" s="43">
        <v>45783</v>
      </c>
      <c r="B26" s="15" t="s">
        <v>174</v>
      </c>
      <c r="C26" s="16" t="s">
        <v>1262</v>
      </c>
      <c r="D26" s="16" t="s">
        <v>1266</v>
      </c>
      <c r="E26" s="16" t="s">
        <v>1274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54</v>
      </c>
      <c r="O26" s="16" t="s">
        <v>1279</v>
      </c>
      <c r="P26" s="15" t="s">
        <v>1263</v>
      </c>
      <c r="Q26" s="33" t="s">
        <v>1281</v>
      </c>
    </row>
    <row r="27" spans="1:17" ht="17.100000000000001" customHeight="1">
      <c r="A27" s="43">
        <v>45783</v>
      </c>
      <c r="B27" s="15" t="s">
        <v>174</v>
      </c>
      <c r="C27" s="16" t="s">
        <v>1262</v>
      </c>
      <c r="D27" s="16" t="s">
        <v>1276</v>
      </c>
      <c r="E27" s="16" t="s">
        <v>1275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54</v>
      </c>
      <c r="O27" s="16" t="s">
        <v>1279</v>
      </c>
      <c r="P27" s="15" t="s">
        <v>1263</v>
      </c>
      <c r="Q27" s="33" t="s">
        <v>1281</v>
      </c>
    </row>
    <row r="28" spans="1:17" ht="17.100000000000001" customHeight="1">
      <c r="A28" s="43">
        <v>45783</v>
      </c>
      <c r="B28" s="15" t="s">
        <v>174</v>
      </c>
      <c r="C28" s="16" t="s">
        <v>1262</v>
      </c>
      <c r="D28" s="16" t="s">
        <v>1276</v>
      </c>
      <c r="E28" s="16" t="s">
        <v>1277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27</v>
      </c>
      <c r="O28" s="16" t="s">
        <v>1279</v>
      </c>
      <c r="P28" s="15" t="s">
        <v>1263</v>
      </c>
      <c r="Q28" s="33" t="s">
        <v>1281</v>
      </c>
    </row>
    <row r="29" spans="1:17" ht="17.100000000000001" customHeight="1">
      <c r="A29" s="43">
        <v>45783</v>
      </c>
      <c r="B29" s="15" t="s">
        <v>174</v>
      </c>
      <c r="C29" s="16" t="s">
        <v>1262</v>
      </c>
      <c r="D29" s="16" t="s">
        <v>1276</v>
      </c>
      <c r="E29" s="16" t="s">
        <v>1278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27</v>
      </c>
      <c r="O29" s="16" t="s">
        <v>1279</v>
      </c>
      <c r="P29" s="15" t="s">
        <v>1263</v>
      </c>
      <c r="Q29" s="33" t="s">
        <v>1281</v>
      </c>
    </row>
    <row r="30" spans="1:17" ht="17.100000000000001" customHeight="1">
      <c r="A30" s="43">
        <v>45783</v>
      </c>
      <c r="B30" s="15" t="s">
        <v>174</v>
      </c>
      <c r="C30" s="16" t="s">
        <v>1262</v>
      </c>
      <c r="D30" s="16" t="s">
        <v>1276</v>
      </c>
      <c r="E30" s="16" t="s">
        <v>1277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27</v>
      </c>
      <c r="O30" s="16" t="s">
        <v>1279</v>
      </c>
      <c r="P30" s="15" t="s">
        <v>1263</v>
      </c>
      <c r="Q30" s="33" t="s">
        <v>1281</v>
      </c>
    </row>
    <row r="31" spans="1:17" ht="17.100000000000001" customHeight="1">
      <c r="A31" s="43">
        <v>45783</v>
      </c>
      <c r="B31" s="15" t="s">
        <v>174</v>
      </c>
      <c r="C31" s="16" t="s">
        <v>1262</v>
      </c>
      <c r="D31" s="16" t="s">
        <v>1276</v>
      </c>
      <c r="E31" s="16" t="s">
        <v>1280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53</v>
      </c>
      <c r="O31" s="16" t="s">
        <v>1279</v>
      </c>
      <c r="P31" s="15" t="s">
        <v>1263</v>
      </c>
      <c r="Q31" s="33" t="s">
        <v>1281</v>
      </c>
    </row>
    <row r="32" spans="1:17" ht="17.100000000000001" customHeight="1">
      <c r="A32" s="43">
        <v>45784</v>
      </c>
      <c r="B32" s="15" t="s">
        <v>261</v>
      </c>
      <c r="C32" s="16" t="s">
        <v>1282</v>
      </c>
      <c r="D32" s="16" t="s">
        <v>1283</v>
      </c>
      <c r="E32" s="16" t="s">
        <v>48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500</v>
      </c>
      <c r="O32" s="16" t="s">
        <v>211</v>
      </c>
      <c r="P32" s="15" t="s">
        <v>1285</v>
      </c>
      <c r="Q32" s="33" t="s">
        <v>1284</v>
      </c>
    </row>
    <row r="33" spans="1:17" ht="17.100000000000001" customHeight="1">
      <c r="A33" s="43">
        <v>45784</v>
      </c>
      <c r="B33" s="15" t="s">
        <v>119</v>
      </c>
      <c r="C33" s="16" t="s">
        <v>1282</v>
      </c>
      <c r="D33" s="16" t="s">
        <v>1254</v>
      </c>
      <c r="E33" s="16" t="s">
        <v>48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42</v>
      </c>
      <c r="O33" s="16" t="s">
        <v>1279</v>
      </c>
      <c r="P33" s="15" t="s">
        <v>1291</v>
      </c>
      <c r="Q33" s="33" t="s">
        <v>1293</v>
      </c>
    </row>
    <row r="34" spans="1:17" ht="17.100000000000001" customHeight="1">
      <c r="A34" s="43">
        <v>45784</v>
      </c>
      <c r="B34" s="15" t="s">
        <v>119</v>
      </c>
      <c r="C34" s="16" t="s">
        <v>1282</v>
      </c>
      <c r="D34" s="16" t="s">
        <v>1303</v>
      </c>
      <c r="E34" s="16" t="s">
        <v>48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50</v>
      </c>
      <c r="O34" s="16" t="s">
        <v>1279</v>
      </c>
      <c r="P34" s="15" t="s">
        <v>1291</v>
      </c>
      <c r="Q34" s="33" t="s">
        <v>1293</v>
      </c>
    </row>
    <row r="35" spans="1:17" ht="17.100000000000001" customHeight="1">
      <c r="A35" s="43">
        <v>45784</v>
      </c>
      <c r="B35" s="15" t="s">
        <v>119</v>
      </c>
      <c r="C35" s="16" t="s">
        <v>1282</v>
      </c>
      <c r="D35" s="16" t="s">
        <v>1304</v>
      </c>
      <c r="E35" s="16" t="s">
        <v>48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50</v>
      </c>
      <c r="O35" s="16" t="s">
        <v>1279</v>
      </c>
      <c r="P35" s="15" t="s">
        <v>1291</v>
      </c>
      <c r="Q35" s="33" t="s">
        <v>1293</v>
      </c>
    </row>
    <row r="36" spans="1:17" ht="17.100000000000001" customHeight="1">
      <c r="A36" s="43">
        <v>45784</v>
      </c>
      <c r="B36" s="15" t="s">
        <v>119</v>
      </c>
      <c r="C36" s="16" t="s">
        <v>1282</v>
      </c>
      <c r="D36" s="16" t="s">
        <v>1246</v>
      </c>
      <c r="E36" s="16" t="s">
        <v>48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50</v>
      </c>
      <c r="O36" s="16" t="s">
        <v>1279</v>
      </c>
      <c r="P36" s="15" t="s">
        <v>1291</v>
      </c>
      <c r="Q36" s="33" t="s">
        <v>1293</v>
      </c>
    </row>
    <row r="37" spans="1:17" ht="17.100000000000001" customHeight="1">
      <c r="A37" s="43">
        <v>45785</v>
      </c>
      <c r="B37" s="15" t="s">
        <v>1307</v>
      </c>
      <c r="C37" s="16" t="s">
        <v>1308</v>
      </c>
      <c r="D37" s="16" t="s">
        <v>48</v>
      </c>
      <c r="E37" s="16" t="s">
        <v>48</v>
      </c>
      <c r="F37" s="16" t="s">
        <v>1309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108</v>
      </c>
      <c r="O37" s="16" t="s">
        <v>1313</v>
      </c>
      <c r="P37" s="16" t="s">
        <v>1305</v>
      </c>
      <c r="Q37" s="32" t="s">
        <v>1306</v>
      </c>
    </row>
    <row r="38" spans="1:17" ht="17.100000000000001" customHeight="1">
      <c r="A38" s="43">
        <v>45785</v>
      </c>
      <c r="B38" s="15" t="s">
        <v>1307</v>
      </c>
      <c r="C38" s="16" t="s">
        <v>1308</v>
      </c>
      <c r="D38" s="16" t="s">
        <v>48</v>
      </c>
      <c r="E38" s="16" t="s">
        <v>48</v>
      </c>
      <c r="F38" s="16" t="s">
        <v>1310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17</v>
      </c>
      <c r="O38" s="16" t="s">
        <v>1313</v>
      </c>
      <c r="P38" s="16" t="s">
        <v>1305</v>
      </c>
      <c r="Q38" s="32" t="s">
        <v>1306</v>
      </c>
    </row>
    <row r="39" spans="1:17" ht="17.100000000000001" customHeight="1">
      <c r="A39" s="43">
        <v>45785</v>
      </c>
      <c r="B39" s="15" t="s">
        <v>71</v>
      </c>
      <c r="C39" s="16" t="s">
        <v>1308</v>
      </c>
      <c r="D39" s="16" t="s">
        <v>48</v>
      </c>
      <c r="E39" s="16" t="s">
        <v>48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750</v>
      </c>
      <c r="O39" s="16" t="s">
        <v>1279</v>
      </c>
      <c r="P39" s="16" t="s">
        <v>1311</v>
      </c>
      <c r="Q39" s="32" t="s">
        <v>1312</v>
      </c>
    </row>
    <row r="40" spans="1:17" ht="17.100000000000001" customHeight="1">
      <c r="A40" s="43">
        <v>45785</v>
      </c>
      <c r="B40" s="15" t="s">
        <v>1314</v>
      </c>
      <c r="C40" s="16" t="s">
        <v>1308</v>
      </c>
      <c r="D40" s="16" t="s">
        <v>48</v>
      </c>
      <c r="E40" s="16" t="s">
        <v>48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50</v>
      </c>
      <c r="O40" s="16" t="s">
        <v>1327</v>
      </c>
      <c r="P40" s="16" t="s">
        <v>1315</v>
      </c>
      <c r="Q40" s="32" t="s">
        <v>1316</v>
      </c>
    </row>
    <row r="41" spans="1:17" ht="17.100000000000001" customHeight="1">
      <c r="A41" s="43">
        <v>45785</v>
      </c>
      <c r="B41" s="15" t="s">
        <v>1317</v>
      </c>
      <c r="C41" s="16" t="s">
        <v>1308</v>
      </c>
      <c r="D41" s="16" t="s">
        <v>48</v>
      </c>
      <c r="E41" s="16" t="s">
        <v>48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1329</v>
      </c>
      <c r="N41" s="16">
        <v>40</v>
      </c>
      <c r="O41" s="16" t="s">
        <v>1279</v>
      </c>
      <c r="P41" s="16" t="s">
        <v>1318</v>
      </c>
      <c r="Q41" s="32" t="s">
        <v>1319</v>
      </c>
    </row>
    <row r="42" spans="1:17" ht="17.100000000000001" customHeight="1">
      <c r="A42" s="43">
        <v>45785</v>
      </c>
      <c r="B42" s="15" t="s">
        <v>38</v>
      </c>
      <c r="C42" s="16" t="s">
        <v>1308</v>
      </c>
      <c r="D42" s="16" t="s">
        <v>48</v>
      </c>
      <c r="E42" s="16" t="s">
        <v>48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200</v>
      </c>
      <c r="O42" s="16" t="s">
        <v>911</v>
      </c>
      <c r="P42" s="16" t="s">
        <v>1320</v>
      </c>
      <c r="Q42" s="32" t="s">
        <v>1321</v>
      </c>
    </row>
    <row r="43" spans="1:17" ht="17.100000000000001" customHeight="1">
      <c r="A43" s="43">
        <v>45785</v>
      </c>
      <c r="B43" s="15" t="s">
        <v>1326</v>
      </c>
      <c r="C43" s="16" t="s">
        <v>1308</v>
      </c>
      <c r="D43" s="16" t="s">
        <v>48</v>
      </c>
      <c r="E43" s="16" t="s">
        <v>48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400</v>
      </c>
      <c r="O43" s="16" t="s">
        <v>1328</v>
      </c>
      <c r="P43" s="16" t="s">
        <v>1322</v>
      </c>
      <c r="Q43" s="32" t="s">
        <v>1324</v>
      </c>
    </row>
    <row r="44" spans="1:17" ht="17.100000000000001" customHeight="1">
      <c r="A44" s="43">
        <v>45785</v>
      </c>
      <c r="B44" s="15" t="s">
        <v>79</v>
      </c>
      <c r="C44" s="16" t="s">
        <v>1308</v>
      </c>
      <c r="D44" s="16" t="s">
        <v>1271</v>
      </c>
      <c r="E44" s="16" t="s">
        <v>1330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21</v>
      </c>
      <c r="O44" s="16" t="s">
        <v>1313</v>
      </c>
      <c r="P44" s="16" t="s">
        <v>1323</v>
      </c>
      <c r="Q44" s="32" t="s">
        <v>1325</v>
      </c>
    </row>
    <row r="45" spans="1:17" ht="17.100000000000001" customHeight="1">
      <c r="A45" s="43">
        <v>45785</v>
      </c>
      <c r="B45" s="15" t="s">
        <v>79</v>
      </c>
      <c r="C45" s="16" t="s">
        <v>1308</v>
      </c>
      <c r="D45" s="16" t="s">
        <v>1271</v>
      </c>
      <c r="E45" s="16" t="s">
        <v>1331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27</v>
      </c>
      <c r="O45" s="16" t="s">
        <v>1313</v>
      </c>
      <c r="P45" s="16" t="s">
        <v>1323</v>
      </c>
      <c r="Q45" s="32" t="s">
        <v>1325</v>
      </c>
    </row>
    <row r="46" spans="1:17" ht="17.100000000000001" customHeight="1">
      <c r="A46" s="43">
        <v>45785</v>
      </c>
      <c r="B46" s="15" t="s">
        <v>79</v>
      </c>
      <c r="C46" s="16" t="s">
        <v>1308</v>
      </c>
      <c r="D46" s="16" t="s">
        <v>1271</v>
      </c>
      <c r="E46" s="16" t="s">
        <v>1332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54</v>
      </c>
      <c r="O46" s="16" t="s">
        <v>1313</v>
      </c>
      <c r="P46" s="16" t="s">
        <v>1323</v>
      </c>
      <c r="Q46" s="32" t="s">
        <v>1325</v>
      </c>
    </row>
    <row r="47" spans="1:17" ht="17.100000000000001" customHeight="1">
      <c r="A47" s="43">
        <v>45785</v>
      </c>
      <c r="B47" s="15" t="s">
        <v>79</v>
      </c>
      <c r="C47" s="16" t="s">
        <v>1308</v>
      </c>
      <c r="D47" s="16" t="s">
        <v>1333</v>
      </c>
      <c r="E47" s="16" t="s">
        <v>1334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54</v>
      </c>
      <c r="O47" s="16" t="s">
        <v>1313</v>
      </c>
      <c r="P47" s="16" t="s">
        <v>1323</v>
      </c>
      <c r="Q47" s="32" t="s">
        <v>1325</v>
      </c>
    </row>
    <row r="48" spans="1:17" ht="17.100000000000001" customHeight="1">
      <c r="A48" s="43">
        <v>45785</v>
      </c>
      <c r="B48" s="15" t="s">
        <v>79</v>
      </c>
      <c r="C48" s="16" t="s">
        <v>1308</v>
      </c>
      <c r="D48" s="16" t="s">
        <v>1333</v>
      </c>
      <c r="E48" s="16" t="s">
        <v>1335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54</v>
      </c>
      <c r="O48" s="16" t="s">
        <v>1313</v>
      </c>
      <c r="P48" s="16" t="s">
        <v>1323</v>
      </c>
      <c r="Q48" s="32" t="s">
        <v>1325</v>
      </c>
    </row>
    <row r="49" spans="1:17" ht="17.100000000000001" customHeight="1">
      <c r="A49" s="43">
        <v>45785</v>
      </c>
      <c r="B49" s="15" t="s">
        <v>79</v>
      </c>
      <c r="C49" s="16" t="s">
        <v>1308</v>
      </c>
      <c r="D49" s="16" t="s">
        <v>1336</v>
      </c>
      <c r="E49" s="16" t="s">
        <v>1337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57</v>
      </c>
      <c r="O49" s="16" t="s">
        <v>1313</v>
      </c>
      <c r="P49" s="16" t="s">
        <v>1323</v>
      </c>
      <c r="Q49" s="32" t="s">
        <v>1325</v>
      </c>
    </row>
    <row r="50" spans="1:17" ht="17.100000000000001" customHeight="1">
      <c r="A50" s="43">
        <v>45785</v>
      </c>
      <c r="B50" s="15" t="s">
        <v>79</v>
      </c>
      <c r="C50" s="16" t="s">
        <v>1308</v>
      </c>
      <c r="D50" s="16" t="s">
        <v>1336</v>
      </c>
      <c r="E50" s="16" t="s">
        <v>1338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27</v>
      </c>
      <c r="O50" s="16" t="s">
        <v>1313</v>
      </c>
      <c r="P50" s="16" t="s">
        <v>1323</v>
      </c>
      <c r="Q50" s="32" t="s">
        <v>1325</v>
      </c>
    </row>
    <row r="51" spans="1:17" ht="17.100000000000001" customHeight="1">
      <c r="A51" s="43">
        <v>45785</v>
      </c>
      <c r="B51" s="15" t="s">
        <v>79</v>
      </c>
      <c r="C51" s="16" t="s">
        <v>1308</v>
      </c>
      <c r="D51" s="16" t="s">
        <v>1336</v>
      </c>
      <c r="E51" s="16" t="s">
        <v>1339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6</v>
      </c>
      <c r="O51" s="16" t="s">
        <v>1313</v>
      </c>
      <c r="P51" s="16" t="s">
        <v>1323</v>
      </c>
      <c r="Q51" s="32" t="s">
        <v>1325</v>
      </c>
    </row>
    <row r="52" spans="1:17" ht="17.100000000000001" customHeight="1">
      <c r="A52" s="43">
        <v>45786</v>
      </c>
      <c r="B52" s="15" t="s">
        <v>79</v>
      </c>
      <c r="C52" s="16" t="s">
        <v>1340</v>
      </c>
      <c r="D52" s="16" t="s">
        <v>1341</v>
      </c>
      <c r="E52" s="16" t="s">
        <v>1339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21</v>
      </c>
      <c r="O52" s="16" t="s">
        <v>1279</v>
      </c>
      <c r="P52" s="16" t="s">
        <v>1323</v>
      </c>
      <c r="Q52" s="32" t="s">
        <v>1325</v>
      </c>
    </row>
    <row r="53" spans="1:17" ht="17.100000000000001" customHeight="1">
      <c r="A53" s="43">
        <v>45786</v>
      </c>
      <c r="B53" s="15" t="s">
        <v>79</v>
      </c>
      <c r="C53" s="16" t="s">
        <v>1340</v>
      </c>
      <c r="D53" s="16" t="s">
        <v>1341</v>
      </c>
      <c r="E53" s="16" t="s">
        <v>1342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27</v>
      </c>
      <c r="O53" s="16" t="s">
        <v>1279</v>
      </c>
      <c r="P53" s="16" t="s">
        <v>1323</v>
      </c>
      <c r="Q53" s="32" t="s">
        <v>1325</v>
      </c>
    </row>
    <row r="54" spans="1:17" ht="17.100000000000001" customHeight="1">
      <c r="A54" s="43">
        <v>45786</v>
      </c>
      <c r="B54" s="15" t="s">
        <v>79</v>
      </c>
      <c r="C54" s="16" t="s">
        <v>1340</v>
      </c>
      <c r="D54" s="16" t="s">
        <v>1341</v>
      </c>
      <c r="E54" s="16" t="s">
        <v>1343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27</v>
      </c>
      <c r="O54" s="16" t="s">
        <v>1279</v>
      </c>
      <c r="P54" s="16" t="s">
        <v>1323</v>
      </c>
      <c r="Q54" s="32" t="s">
        <v>1325</v>
      </c>
    </row>
    <row r="55" spans="1:17" ht="17.100000000000001" customHeight="1">
      <c r="A55" s="43">
        <v>45786</v>
      </c>
      <c r="B55" s="15" t="s">
        <v>79</v>
      </c>
      <c r="C55" s="16" t="s">
        <v>1340</v>
      </c>
      <c r="D55" s="16" t="s">
        <v>1341</v>
      </c>
      <c r="E55" s="16" t="s">
        <v>1344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54</v>
      </c>
      <c r="O55" s="16" t="s">
        <v>1279</v>
      </c>
      <c r="P55" s="16" t="s">
        <v>1323</v>
      </c>
      <c r="Q55" s="32" t="s">
        <v>1325</v>
      </c>
    </row>
    <row r="56" spans="1:17" ht="17.100000000000001" customHeight="1">
      <c r="A56" s="43">
        <v>45786</v>
      </c>
      <c r="B56" s="15" t="s">
        <v>79</v>
      </c>
      <c r="C56" s="16" t="s">
        <v>1340</v>
      </c>
      <c r="D56" s="16" t="s">
        <v>1271</v>
      </c>
      <c r="E56" s="16" t="s">
        <v>1345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27</v>
      </c>
      <c r="O56" s="16" t="s">
        <v>1279</v>
      </c>
      <c r="P56" s="16" t="s">
        <v>1323</v>
      </c>
      <c r="Q56" s="32" t="s">
        <v>1325</v>
      </c>
    </row>
    <row r="57" spans="1:17" ht="17.100000000000001" customHeight="1">
      <c r="A57" s="43">
        <v>45786</v>
      </c>
      <c r="B57" s="15" t="s">
        <v>79</v>
      </c>
      <c r="C57" s="16" t="s">
        <v>1340</v>
      </c>
      <c r="D57" s="16" t="s">
        <v>1271</v>
      </c>
      <c r="E57" s="16" t="s">
        <v>1129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27</v>
      </c>
      <c r="O57" s="16" t="s">
        <v>1279</v>
      </c>
      <c r="P57" s="16" t="s">
        <v>1323</v>
      </c>
      <c r="Q57" s="32" t="s">
        <v>1325</v>
      </c>
    </row>
    <row r="58" spans="1:17" ht="17.100000000000001" customHeight="1">
      <c r="A58" s="43">
        <v>45786</v>
      </c>
      <c r="B58" s="15" t="s">
        <v>79</v>
      </c>
      <c r="C58" s="16" t="s">
        <v>1340</v>
      </c>
      <c r="D58" s="16" t="s">
        <v>1271</v>
      </c>
      <c r="E58" s="16" t="s">
        <v>1346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17</v>
      </c>
      <c r="O58" s="16" t="s">
        <v>1279</v>
      </c>
      <c r="P58" s="16" t="s">
        <v>1323</v>
      </c>
      <c r="Q58" s="32" t="s">
        <v>1325</v>
      </c>
    </row>
    <row r="59" spans="1:17" ht="17.100000000000001" customHeight="1">
      <c r="A59" s="43">
        <v>45790</v>
      </c>
      <c r="B59" s="15" t="s">
        <v>217</v>
      </c>
      <c r="C59" s="16" t="s">
        <v>1347</v>
      </c>
      <c r="D59" s="16" t="s">
        <v>48</v>
      </c>
      <c r="E59" s="16" t="s">
        <v>48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100</v>
      </c>
      <c r="O59" s="16" t="s">
        <v>1348</v>
      </c>
      <c r="P59" s="16" t="s">
        <v>1349</v>
      </c>
      <c r="Q59" s="44" t="s">
        <v>1350</v>
      </c>
    </row>
    <row r="60" spans="1:17" ht="17.100000000000001" customHeight="1">
      <c r="A60" s="43">
        <v>45791</v>
      </c>
      <c r="B60" s="15" t="s">
        <v>531</v>
      </c>
      <c r="C60" s="16" t="s">
        <v>1367</v>
      </c>
      <c r="D60" s="16" t="s">
        <v>1276</v>
      </c>
      <c r="E60" s="16" t="s">
        <v>1351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27</v>
      </c>
      <c r="O60" s="16" t="s">
        <v>1279</v>
      </c>
      <c r="P60" s="16" t="s">
        <v>1378</v>
      </c>
      <c r="Q60" s="32" t="s">
        <v>1377</v>
      </c>
    </row>
    <row r="61" spans="1:17" ht="17.100000000000001" customHeight="1">
      <c r="A61" s="43">
        <v>45791</v>
      </c>
      <c r="B61" s="15" t="s">
        <v>531</v>
      </c>
      <c r="C61" s="16" t="s">
        <v>1367</v>
      </c>
      <c r="D61" s="16" t="s">
        <v>1276</v>
      </c>
      <c r="E61" s="16" t="s">
        <v>1352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27</v>
      </c>
      <c r="O61" s="16" t="s">
        <v>1279</v>
      </c>
      <c r="P61" s="16" t="s">
        <v>1378</v>
      </c>
      <c r="Q61" s="32" t="s">
        <v>1377</v>
      </c>
    </row>
    <row r="62" spans="1:17" ht="17.100000000000001" customHeight="1">
      <c r="A62" s="43">
        <v>45791</v>
      </c>
      <c r="B62" s="15" t="s">
        <v>531</v>
      </c>
      <c r="C62" s="16" t="s">
        <v>1367</v>
      </c>
      <c r="D62" s="16" t="s">
        <v>1276</v>
      </c>
      <c r="E62" s="16" t="s">
        <v>1353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27</v>
      </c>
      <c r="O62" s="16" t="s">
        <v>1279</v>
      </c>
      <c r="P62" s="16" t="s">
        <v>1378</v>
      </c>
      <c r="Q62" s="32" t="s">
        <v>1377</v>
      </c>
    </row>
    <row r="63" spans="1:17" ht="17.100000000000001" customHeight="1">
      <c r="A63" s="43">
        <v>45791</v>
      </c>
      <c r="B63" s="15" t="s">
        <v>531</v>
      </c>
      <c r="C63" s="16" t="s">
        <v>1367</v>
      </c>
      <c r="D63" s="16" t="s">
        <v>1276</v>
      </c>
      <c r="E63" s="16" t="s">
        <v>1354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27</v>
      </c>
      <c r="O63" s="16" t="s">
        <v>1279</v>
      </c>
      <c r="P63" s="16" t="s">
        <v>1378</v>
      </c>
      <c r="Q63" s="32" t="s">
        <v>1377</v>
      </c>
    </row>
    <row r="64" spans="1:17" ht="17.100000000000001" customHeight="1">
      <c r="A64" s="43">
        <v>45791</v>
      </c>
      <c r="B64" s="15" t="s">
        <v>531</v>
      </c>
      <c r="C64" s="16" t="s">
        <v>1367</v>
      </c>
      <c r="D64" s="16" t="s">
        <v>1355</v>
      </c>
      <c r="E64" s="16" t="s">
        <v>1352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27</v>
      </c>
      <c r="O64" s="16" t="s">
        <v>1279</v>
      </c>
      <c r="P64" s="16" t="s">
        <v>1378</v>
      </c>
      <c r="Q64" s="32" t="s">
        <v>1377</v>
      </c>
    </row>
    <row r="65" spans="1:17" ht="17.100000000000001" customHeight="1">
      <c r="A65" s="43">
        <v>45791</v>
      </c>
      <c r="B65" s="15" t="s">
        <v>531</v>
      </c>
      <c r="C65" s="16" t="s">
        <v>1367</v>
      </c>
      <c r="D65" s="16" t="s">
        <v>1355</v>
      </c>
      <c r="E65" s="16" t="s">
        <v>1356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27</v>
      </c>
      <c r="O65" s="16" t="s">
        <v>1279</v>
      </c>
      <c r="P65" s="16" t="s">
        <v>1378</v>
      </c>
      <c r="Q65" s="32" t="s">
        <v>1377</v>
      </c>
    </row>
    <row r="66" spans="1:17" ht="17.100000000000001" customHeight="1">
      <c r="A66" s="43">
        <v>45791</v>
      </c>
      <c r="B66" s="15" t="s">
        <v>531</v>
      </c>
      <c r="C66" s="16" t="s">
        <v>1367</v>
      </c>
      <c r="D66" s="16" t="s">
        <v>1355</v>
      </c>
      <c r="E66" s="16" t="s">
        <v>1354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27</v>
      </c>
      <c r="O66" s="16" t="s">
        <v>1279</v>
      </c>
      <c r="P66" s="16" t="s">
        <v>1378</v>
      </c>
      <c r="Q66" s="32" t="s">
        <v>1377</v>
      </c>
    </row>
    <row r="67" spans="1:17" ht="17.100000000000001" customHeight="1">
      <c r="A67" s="43">
        <v>45791</v>
      </c>
      <c r="B67" s="15" t="s">
        <v>531</v>
      </c>
      <c r="C67" s="16" t="s">
        <v>1367</v>
      </c>
      <c r="D67" s="16" t="s">
        <v>1355</v>
      </c>
      <c r="E67" s="16" t="s">
        <v>1357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f>106/2</f>
        <v>53</v>
      </c>
      <c r="O67" s="16" t="s">
        <v>1279</v>
      </c>
      <c r="P67" s="16" t="s">
        <v>1378</v>
      </c>
      <c r="Q67" s="32" t="s">
        <v>1377</v>
      </c>
    </row>
    <row r="68" spans="1:17" ht="17.100000000000001" customHeight="1">
      <c r="A68" s="43">
        <v>45791</v>
      </c>
      <c r="B68" s="15" t="s">
        <v>531</v>
      </c>
      <c r="C68" s="16" t="s">
        <v>1367</v>
      </c>
      <c r="D68" s="16" t="s">
        <v>1355</v>
      </c>
      <c r="E68" s="16" t="s">
        <v>1358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f>32/2</f>
        <v>16</v>
      </c>
      <c r="O68" s="16" t="s">
        <v>1279</v>
      </c>
      <c r="P68" s="16" t="s">
        <v>1378</v>
      </c>
      <c r="Q68" s="32" t="s">
        <v>1377</v>
      </c>
    </row>
    <row r="69" spans="1:17" ht="17.100000000000001" customHeight="1">
      <c r="A69" s="43">
        <v>45791</v>
      </c>
      <c r="B69" s="15" t="s">
        <v>531</v>
      </c>
      <c r="C69" s="16" t="s">
        <v>1367</v>
      </c>
      <c r="D69" s="16" t="s">
        <v>1355</v>
      </c>
      <c r="E69" s="16" t="s">
        <v>1359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27</v>
      </c>
      <c r="O69" s="16" t="s">
        <v>1279</v>
      </c>
      <c r="P69" s="16" t="s">
        <v>1378</v>
      </c>
      <c r="Q69" s="32" t="s">
        <v>1377</v>
      </c>
    </row>
    <row r="70" spans="1:17" ht="17.100000000000001" customHeight="1">
      <c r="A70" s="43">
        <v>45791</v>
      </c>
      <c r="B70" s="15" t="s">
        <v>531</v>
      </c>
      <c r="C70" s="16" t="s">
        <v>1367</v>
      </c>
      <c r="D70" s="16" t="s">
        <v>1355</v>
      </c>
      <c r="E70" s="16" t="s">
        <v>1360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27</v>
      </c>
      <c r="O70" s="16" t="s">
        <v>1279</v>
      </c>
      <c r="P70" s="16" t="s">
        <v>1378</v>
      </c>
      <c r="Q70" s="32" t="s">
        <v>1377</v>
      </c>
    </row>
    <row r="71" spans="1:17" ht="17.100000000000001" customHeight="1">
      <c r="A71" s="43">
        <v>45791</v>
      </c>
      <c r="B71" s="15" t="s">
        <v>531</v>
      </c>
      <c r="C71" s="16" t="s">
        <v>1367</v>
      </c>
      <c r="D71" s="16" t="s">
        <v>1361</v>
      </c>
      <c r="E71" s="16" t="s">
        <v>1356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27</v>
      </c>
      <c r="O71" s="16" t="s">
        <v>1279</v>
      </c>
      <c r="P71" s="16" t="s">
        <v>1378</v>
      </c>
      <c r="Q71" s="32" t="s">
        <v>1377</v>
      </c>
    </row>
    <row r="72" spans="1:17" ht="17.100000000000001" customHeight="1">
      <c r="A72" s="43">
        <v>45791</v>
      </c>
      <c r="B72" s="15" t="s">
        <v>531</v>
      </c>
      <c r="C72" s="16" t="s">
        <v>1367</v>
      </c>
      <c r="D72" s="16" t="s">
        <v>1361</v>
      </c>
      <c r="E72" s="16" t="s">
        <v>1362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27</v>
      </c>
      <c r="O72" s="16" t="s">
        <v>1279</v>
      </c>
      <c r="P72" s="16" t="s">
        <v>1378</v>
      </c>
      <c r="Q72" s="32" t="s">
        <v>1377</v>
      </c>
    </row>
    <row r="73" spans="1:17" ht="17.100000000000001" customHeight="1">
      <c r="A73" s="43">
        <v>45791</v>
      </c>
      <c r="B73" s="15" t="s">
        <v>531</v>
      </c>
      <c r="C73" s="16" t="s">
        <v>1367</v>
      </c>
      <c r="D73" s="16" t="s">
        <v>1361</v>
      </c>
      <c r="E73" s="16" t="s">
        <v>1363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27</v>
      </c>
      <c r="O73" s="16" t="s">
        <v>1279</v>
      </c>
      <c r="P73" s="16" t="s">
        <v>1378</v>
      </c>
      <c r="Q73" s="32" t="s">
        <v>1377</v>
      </c>
    </row>
    <row r="74" spans="1:17" ht="17.100000000000001" customHeight="1">
      <c r="A74" s="43">
        <v>45791</v>
      </c>
      <c r="B74" s="15" t="s">
        <v>531</v>
      </c>
      <c r="C74" s="16" t="s">
        <v>1367</v>
      </c>
      <c r="D74" s="16" t="s">
        <v>1361</v>
      </c>
      <c r="E74" s="16" t="s">
        <v>1364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27</v>
      </c>
      <c r="O74" s="16" t="s">
        <v>1279</v>
      </c>
      <c r="P74" s="16" t="s">
        <v>1378</v>
      </c>
      <c r="Q74" s="32" t="s">
        <v>1377</v>
      </c>
    </row>
    <row r="75" spans="1:17" ht="17.100000000000001" customHeight="1">
      <c r="A75" s="43">
        <v>45791</v>
      </c>
      <c r="B75" s="15" t="s">
        <v>531</v>
      </c>
      <c r="C75" s="16" t="s">
        <v>1367</v>
      </c>
      <c r="D75" s="16" t="s">
        <v>1361</v>
      </c>
      <c r="E75" s="16" t="s">
        <v>1365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27</v>
      </c>
      <c r="O75" s="16" t="s">
        <v>1279</v>
      </c>
      <c r="P75" s="16" t="s">
        <v>1378</v>
      </c>
      <c r="Q75" s="32" t="s">
        <v>1377</v>
      </c>
    </row>
    <row r="76" spans="1:17" ht="17.100000000000001" customHeight="1">
      <c r="A76" s="43">
        <v>45791</v>
      </c>
      <c r="B76" s="15" t="s">
        <v>531</v>
      </c>
      <c r="C76" s="16" t="s">
        <v>1367</v>
      </c>
      <c r="D76" s="16" t="s">
        <v>1361</v>
      </c>
      <c r="E76" s="16" t="s">
        <v>1366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27</v>
      </c>
      <c r="O76" s="16" t="s">
        <v>1279</v>
      </c>
      <c r="P76" s="16" t="s">
        <v>1378</v>
      </c>
      <c r="Q76" s="32" t="s">
        <v>1377</v>
      </c>
    </row>
    <row r="77" spans="1:17" ht="17.100000000000001" customHeight="1">
      <c r="A77" s="43">
        <v>45791</v>
      </c>
      <c r="B77" s="15" t="s">
        <v>531</v>
      </c>
      <c r="C77" s="16" t="s">
        <v>1367</v>
      </c>
      <c r="D77" s="16" t="s">
        <v>1361</v>
      </c>
      <c r="E77" s="16" t="s">
        <v>1364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f>52/2</f>
        <v>26</v>
      </c>
      <c r="O77" s="16" t="s">
        <v>1279</v>
      </c>
      <c r="P77" s="16" t="s">
        <v>1378</v>
      </c>
      <c r="Q77" s="32" t="s">
        <v>1377</v>
      </c>
    </row>
    <row r="78" spans="1:17" ht="17.100000000000001" customHeight="1">
      <c r="A78" s="21">
        <v>45792</v>
      </c>
      <c r="B78" s="15" t="s">
        <v>29</v>
      </c>
      <c r="C78" s="16" t="s">
        <v>1368</v>
      </c>
      <c r="D78" s="16" t="s">
        <v>1369</v>
      </c>
      <c r="E78" s="16" t="s">
        <v>48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200</v>
      </c>
      <c r="O78" s="16" t="s">
        <v>694</v>
      </c>
      <c r="P78" s="16" t="s">
        <v>1379</v>
      </c>
      <c r="Q78" s="32" t="s">
        <v>1380</v>
      </c>
    </row>
    <row r="79" spans="1:17" ht="17.100000000000001" customHeight="1">
      <c r="A79" s="21">
        <v>45792</v>
      </c>
      <c r="B79" s="15" t="s">
        <v>29</v>
      </c>
      <c r="C79" s="16" t="s">
        <v>1368</v>
      </c>
      <c r="D79" s="16" t="s">
        <v>1276</v>
      </c>
      <c r="E79" s="16" t="s">
        <v>48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100</v>
      </c>
      <c r="O79" s="16" t="s">
        <v>694</v>
      </c>
      <c r="P79" s="16" t="s">
        <v>1379</v>
      </c>
      <c r="Q79" s="32" t="s">
        <v>1380</v>
      </c>
    </row>
    <row r="80" spans="1:17" ht="17.100000000000001" customHeight="1">
      <c r="A80" s="21">
        <v>45792</v>
      </c>
      <c r="B80" s="15" t="s">
        <v>29</v>
      </c>
      <c r="C80" s="16" t="s">
        <v>1368</v>
      </c>
      <c r="D80" s="16" t="s">
        <v>1370</v>
      </c>
      <c r="E80" s="16" t="s">
        <v>48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100</v>
      </c>
      <c r="O80" s="16" t="s">
        <v>1375</v>
      </c>
      <c r="P80" s="16" t="s">
        <v>1379</v>
      </c>
      <c r="Q80" s="32" t="s">
        <v>1380</v>
      </c>
    </row>
    <row r="81" spans="1:17" ht="17.100000000000001" customHeight="1">
      <c r="A81" s="21">
        <v>45792</v>
      </c>
      <c r="B81" s="15" t="s">
        <v>29</v>
      </c>
      <c r="C81" s="16" t="s">
        <v>1368</v>
      </c>
      <c r="D81" s="16" t="s">
        <v>1371</v>
      </c>
      <c r="E81" s="16" t="s">
        <v>48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100</v>
      </c>
      <c r="O81" s="16" t="s">
        <v>1374</v>
      </c>
      <c r="P81" s="16" t="s">
        <v>1379</v>
      </c>
      <c r="Q81" s="32" t="s">
        <v>1380</v>
      </c>
    </row>
    <row r="82" spans="1:17" ht="17.100000000000001" customHeight="1">
      <c r="A82" s="21">
        <v>45792</v>
      </c>
      <c r="B82" s="15" t="s">
        <v>29</v>
      </c>
      <c r="C82" s="16" t="s">
        <v>1368</v>
      </c>
      <c r="D82" s="16" t="s">
        <v>1372</v>
      </c>
      <c r="E82" s="16" t="s">
        <v>48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100</v>
      </c>
      <c r="O82" s="16" t="s">
        <v>1374</v>
      </c>
      <c r="P82" s="16" t="s">
        <v>1379</v>
      </c>
      <c r="Q82" s="32" t="s">
        <v>1380</v>
      </c>
    </row>
    <row r="83" spans="1:17" ht="17.100000000000001" customHeight="1">
      <c r="A83" s="21">
        <v>45792</v>
      </c>
      <c r="B83" s="15" t="s">
        <v>29</v>
      </c>
      <c r="C83" s="16" t="s">
        <v>1368</v>
      </c>
      <c r="D83" s="16" t="s">
        <v>1370</v>
      </c>
      <c r="E83" s="16" t="s">
        <v>48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150</v>
      </c>
      <c r="O83" s="16" t="s">
        <v>694</v>
      </c>
      <c r="P83" s="16" t="s">
        <v>1379</v>
      </c>
      <c r="Q83" s="32" t="s">
        <v>1380</v>
      </c>
    </row>
    <row r="84" spans="1:17" ht="17.100000000000001" customHeight="1">
      <c r="A84" s="21">
        <v>45792</v>
      </c>
      <c r="B84" s="15" t="s">
        <v>29</v>
      </c>
      <c r="C84" s="16" t="s">
        <v>1368</v>
      </c>
      <c r="D84" s="16" t="s">
        <v>1370</v>
      </c>
      <c r="E84" s="16" t="s">
        <v>48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50</v>
      </c>
      <c r="O84" s="16" t="s">
        <v>694</v>
      </c>
      <c r="P84" s="16" t="s">
        <v>1382</v>
      </c>
      <c r="Q84" s="32" t="s">
        <v>1381</v>
      </c>
    </row>
    <row r="85" spans="1:17" ht="17.100000000000001" customHeight="1">
      <c r="A85" s="21">
        <v>45792</v>
      </c>
      <c r="B85" s="15" t="s">
        <v>29</v>
      </c>
      <c r="C85" s="16" t="s">
        <v>1368</v>
      </c>
      <c r="D85" s="16" t="s">
        <v>1373</v>
      </c>
      <c r="E85" s="16" t="s">
        <v>48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100</v>
      </c>
      <c r="O85" s="16" t="s">
        <v>1376</v>
      </c>
      <c r="P85" s="16" t="s">
        <v>1382</v>
      </c>
      <c r="Q85" s="32" t="s">
        <v>1381</v>
      </c>
    </row>
    <row r="86" spans="1:17" ht="17.100000000000001" customHeight="1">
      <c r="A86" s="21">
        <v>45793</v>
      </c>
      <c r="B86" s="15" t="s">
        <v>29</v>
      </c>
      <c r="C86" s="16" t="s">
        <v>1383</v>
      </c>
      <c r="D86" s="16" t="s">
        <v>1373</v>
      </c>
      <c r="E86" s="16" t="s">
        <v>48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100</v>
      </c>
      <c r="O86" s="16" t="s">
        <v>1385</v>
      </c>
      <c r="P86" s="16" t="s">
        <v>1382</v>
      </c>
      <c r="Q86" s="32" t="s">
        <v>1381</v>
      </c>
    </row>
    <row r="87" spans="1:17" ht="17.100000000000001" customHeight="1">
      <c r="A87" s="21">
        <v>45793</v>
      </c>
      <c r="B87" s="15" t="s">
        <v>29</v>
      </c>
      <c r="C87" s="16" t="s">
        <v>1383</v>
      </c>
      <c r="D87" s="16" t="s">
        <v>1271</v>
      </c>
      <c r="E87" s="16" t="s">
        <v>48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175</v>
      </c>
      <c r="O87" s="16" t="s">
        <v>1385</v>
      </c>
      <c r="P87" s="16" t="s">
        <v>1382</v>
      </c>
      <c r="Q87" s="32" t="s">
        <v>1381</v>
      </c>
    </row>
    <row r="88" spans="1:17" ht="17.100000000000001" customHeight="1">
      <c r="A88" s="21">
        <v>45793</v>
      </c>
      <c r="B88" s="15" t="s">
        <v>29</v>
      </c>
      <c r="C88" s="16" t="s">
        <v>1383</v>
      </c>
      <c r="D88" s="16" t="s">
        <v>1384</v>
      </c>
      <c r="E88" s="16" t="s">
        <v>48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200</v>
      </c>
      <c r="O88" s="16" t="s">
        <v>1385</v>
      </c>
      <c r="P88" s="16" t="s">
        <v>1382</v>
      </c>
      <c r="Q88" s="32" t="s">
        <v>1381</v>
      </c>
    </row>
    <row r="89" spans="1:17" ht="17.100000000000001" customHeight="1">
      <c r="A89" s="21">
        <v>45796</v>
      </c>
      <c r="B89" s="15" t="s">
        <v>174</v>
      </c>
      <c r="C89" s="16" t="s">
        <v>1386</v>
      </c>
      <c r="D89" s="16" t="s">
        <v>1384</v>
      </c>
      <c r="E89" s="16" t="s">
        <v>1387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27</v>
      </c>
      <c r="O89" s="16" t="s">
        <v>1402</v>
      </c>
      <c r="P89" s="16" t="s">
        <v>1404</v>
      </c>
      <c r="Q89" s="32" t="s">
        <v>1403</v>
      </c>
    </row>
    <row r="90" spans="1:17" ht="17.100000000000001" customHeight="1">
      <c r="A90" s="21">
        <v>45796</v>
      </c>
      <c r="B90" s="15" t="s">
        <v>174</v>
      </c>
      <c r="C90" s="16" t="s">
        <v>1386</v>
      </c>
      <c r="D90" s="16" t="s">
        <v>1384</v>
      </c>
      <c r="E90" s="16" t="s">
        <v>1359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27</v>
      </c>
      <c r="O90" s="16" t="s">
        <v>1402</v>
      </c>
      <c r="P90" s="16" t="s">
        <v>1404</v>
      </c>
      <c r="Q90" s="32" t="s">
        <v>1403</v>
      </c>
    </row>
    <row r="91" spans="1:17" ht="17.100000000000001" customHeight="1">
      <c r="A91" s="21">
        <v>45796</v>
      </c>
      <c r="B91" s="15" t="s">
        <v>174</v>
      </c>
      <c r="C91" s="16" t="s">
        <v>1386</v>
      </c>
      <c r="D91" s="16" t="s">
        <v>1384</v>
      </c>
      <c r="E91" s="16" t="s">
        <v>1360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27</v>
      </c>
      <c r="O91" s="16" t="s">
        <v>1402</v>
      </c>
      <c r="P91" s="16" t="s">
        <v>1404</v>
      </c>
      <c r="Q91" s="32" t="s">
        <v>1403</v>
      </c>
    </row>
    <row r="92" spans="1:17" ht="17.100000000000001" customHeight="1">
      <c r="A92" s="21">
        <v>45796</v>
      </c>
      <c r="B92" s="15" t="s">
        <v>174</v>
      </c>
      <c r="C92" s="16" t="s">
        <v>1386</v>
      </c>
      <c r="D92" s="16" t="s">
        <v>1384</v>
      </c>
      <c r="E92" s="16" t="s">
        <v>1388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27</v>
      </c>
      <c r="O92" s="16" t="s">
        <v>1402</v>
      </c>
      <c r="P92" s="16" t="s">
        <v>1404</v>
      </c>
      <c r="Q92" s="32" t="s">
        <v>1403</v>
      </c>
    </row>
    <row r="93" spans="1:17" ht="17.100000000000001" customHeight="1">
      <c r="A93" s="21">
        <v>45796</v>
      </c>
      <c r="B93" s="15" t="s">
        <v>174</v>
      </c>
      <c r="C93" s="16" t="s">
        <v>1386</v>
      </c>
      <c r="D93" s="16" t="s">
        <v>1372</v>
      </c>
      <c r="E93" s="16" t="s">
        <v>1389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27</v>
      </c>
      <c r="O93" s="16" t="s">
        <v>1402</v>
      </c>
      <c r="P93" s="16" t="s">
        <v>1404</v>
      </c>
      <c r="Q93" s="32" t="s">
        <v>1403</v>
      </c>
    </row>
    <row r="94" spans="1:17" ht="17.100000000000001" customHeight="1">
      <c r="A94" s="21">
        <v>45796</v>
      </c>
      <c r="B94" s="15" t="s">
        <v>174</v>
      </c>
      <c r="C94" s="16" t="s">
        <v>1386</v>
      </c>
      <c r="D94" s="16" t="s">
        <v>1372</v>
      </c>
      <c r="E94" s="16" t="s">
        <v>1390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27</v>
      </c>
      <c r="O94" s="16" t="s">
        <v>1402</v>
      </c>
      <c r="P94" s="16" t="s">
        <v>1404</v>
      </c>
      <c r="Q94" s="32" t="s">
        <v>1403</v>
      </c>
    </row>
    <row r="95" spans="1:17" ht="17.100000000000001" customHeight="1">
      <c r="A95" s="21">
        <v>45796</v>
      </c>
      <c r="B95" s="15" t="s">
        <v>174</v>
      </c>
      <c r="C95" s="16" t="s">
        <v>1386</v>
      </c>
      <c r="D95" s="16" t="s">
        <v>1372</v>
      </c>
      <c r="E95" s="16" t="s">
        <v>1391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27</v>
      </c>
      <c r="O95" s="16" t="s">
        <v>1402</v>
      </c>
      <c r="P95" s="16" t="s">
        <v>1404</v>
      </c>
      <c r="Q95" s="32" t="s">
        <v>1403</v>
      </c>
    </row>
    <row r="96" spans="1:17" ht="17.100000000000001" customHeight="1">
      <c r="A96" s="21">
        <v>45796</v>
      </c>
      <c r="B96" s="15" t="s">
        <v>174</v>
      </c>
      <c r="C96" s="16" t="s">
        <v>1386</v>
      </c>
      <c r="D96" s="16" t="s">
        <v>1395</v>
      </c>
      <c r="E96" s="16" t="s">
        <v>1392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27</v>
      </c>
      <c r="O96" s="16" t="s">
        <v>1402</v>
      </c>
      <c r="P96" s="16" t="s">
        <v>1404</v>
      </c>
      <c r="Q96" s="32" t="s">
        <v>1403</v>
      </c>
    </row>
    <row r="97" spans="1:17" ht="17.100000000000001" customHeight="1">
      <c r="A97" s="21">
        <v>45796</v>
      </c>
      <c r="B97" s="15" t="s">
        <v>174</v>
      </c>
      <c r="C97" s="16" t="s">
        <v>1386</v>
      </c>
      <c r="D97" s="16" t="s">
        <v>1395</v>
      </c>
      <c r="E97" s="16" t="s">
        <v>1393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27</v>
      </c>
      <c r="O97" s="16" t="s">
        <v>1402</v>
      </c>
      <c r="P97" s="16" t="s">
        <v>1404</v>
      </c>
      <c r="Q97" s="32" t="s">
        <v>1403</v>
      </c>
    </row>
    <row r="98" spans="1:17" ht="17.100000000000001" customHeight="1">
      <c r="A98" s="21">
        <v>45796</v>
      </c>
      <c r="B98" s="15" t="s">
        <v>174</v>
      </c>
      <c r="C98" s="16" t="s">
        <v>1386</v>
      </c>
      <c r="D98" s="16" t="s">
        <v>1395</v>
      </c>
      <c r="E98" s="16" t="s">
        <v>1394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27</v>
      </c>
      <c r="O98" s="16" t="s">
        <v>1402</v>
      </c>
      <c r="P98" s="16" t="s">
        <v>1404</v>
      </c>
      <c r="Q98" s="32" t="s">
        <v>1403</v>
      </c>
    </row>
    <row r="99" spans="1:17" ht="17.100000000000001" customHeight="1">
      <c r="A99" s="21">
        <v>45796</v>
      </c>
      <c r="B99" s="15" t="s">
        <v>174</v>
      </c>
      <c r="C99" s="16" t="s">
        <v>1386</v>
      </c>
      <c r="D99" s="16" t="s">
        <v>1397</v>
      </c>
      <c r="E99" s="16" t="s">
        <v>1396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27</v>
      </c>
      <c r="O99" s="16" t="s">
        <v>1402</v>
      </c>
      <c r="P99" s="16" t="s">
        <v>1404</v>
      </c>
      <c r="Q99" s="32" t="s">
        <v>1403</v>
      </c>
    </row>
    <row r="100" spans="1:17" ht="17.100000000000001" customHeight="1">
      <c r="A100" s="21">
        <v>45796</v>
      </c>
      <c r="B100" s="15" t="s">
        <v>174</v>
      </c>
      <c r="C100" s="16" t="s">
        <v>1386</v>
      </c>
      <c r="D100" s="16" t="s">
        <v>1397</v>
      </c>
      <c r="E100" s="16" t="s">
        <v>1394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27</v>
      </c>
      <c r="O100" s="16" t="s">
        <v>1402</v>
      </c>
      <c r="P100" s="16" t="s">
        <v>1404</v>
      </c>
      <c r="Q100" s="32" t="s">
        <v>1403</v>
      </c>
    </row>
    <row r="101" spans="1:17" ht="17.100000000000001" customHeight="1">
      <c r="A101" s="21">
        <v>45796</v>
      </c>
      <c r="B101" s="15" t="s">
        <v>174</v>
      </c>
      <c r="C101" s="16" t="s">
        <v>1386</v>
      </c>
      <c r="D101" s="16" t="s">
        <v>1397</v>
      </c>
      <c r="E101" s="16" t="s">
        <v>1398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54</v>
      </c>
      <c r="O101" s="16" t="s">
        <v>1402</v>
      </c>
      <c r="P101" s="16" t="s">
        <v>1404</v>
      </c>
      <c r="Q101" s="32" t="s">
        <v>1403</v>
      </c>
    </row>
    <row r="102" spans="1:17" ht="17.100000000000001" customHeight="1">
      <c r="A102" s="21">
        <v>45796</v>
      </c>
      <c r="B102" s="15" t="s">
        <v>174</v>
      </c>
      <c r="C102" s="16" t="s">
        <v>1386</v>
      </c>
      <c r="D102" s="16" t="s">
        <v>1400</v>
      </c>
      <c r="E102" s="16" t="s">
        <v>1399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54</v>
      </c>
      <c r="O102" s="16" t="s">
        <v>1402</v>
      </c>
      <c r="P102" s="16" t="s">
        <v>1404</v>
      </c>
      <c r="Q102" s="32" t="s">
        <v>1403</v>
      </c>
    </row>
    <row r="103" spans="1:17" ht="17.100000000000001" customHeight="1">
      <c r="A103" s="21">
        <v>45796</v>
      </c>
      <c r="B103" s="15" t="s">
        <v>174</v>
      </c>
      <c r="C103" s="16" t="s">
        <v>1386</v>
      </c>
      <c r="D103" s="16" t="s">
        <v>1395</v>
      </c>
      <c r="E103" s="16" t="s">
        <v>1393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27</v>
      </c>
      <c r="O103" s="16" t="s">
        <v>1402</v>
      </c>
      <c r="P103" s="16" t="s">
        <v>1404</v>
      </c>
      <c r="Q103" s="32" t="s">
        <v>1403</v>
      </c>
    </row>
    <row r="104" spans="1:17" ht="17.100000000000001" customHeight="1">
      <c r="A104" s="21">
        <v>45796</v>
      </c>
      <c r="B104" s="15" t="s">
        <v>174</v>
      </c>
      <c r="C104" s="16" t="s">
        <v>1386</v>
      </c>
      <c r="D104" s="16" t="s">
        <v>1395</v>
      </c>
      <c r="E104" s="16" t="s">
        <v>1396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27</v>
      </c>
      <c r="O104" s="16" t="s">
        <v>1402</v>
      </c>
      <c r="P104" s="16" t="s">
        <v>1404</v>
      </c>
      <c r="Q104" s="32" t="s">
        <v>1403</v>
      </c>
    </row>
    <row r="105" spans="1:17" ht="17.100000000000001" customHeight="1">
      <c r="A105" s="21">
        <v>45796</v>
      </c>
      <c r="B105" s="15" t="s">
        <v>174</v>
      </c>
      <c r="C105" s="16" t="s">
        <v>1386</v>
      </c>
      <c r="D105" s="16" t="s">
        <v>1395</v>
      </c>
      <c r="E105" s="16" t="s">
        <v>1401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14</v>
      </c>
      <c r="O105" s="16" t="s">
        <v>1402</v>
      </c>
      <c r="P105" s="16" t="s">
        <v>1404</v>
      </c>
      <c r="Q105" s="32" t="s">
        <v>1403</v>
      </c>
    </row>
    <row r="106" spans="1:17" ht="17.100000000000001" customHeight="1">
      <c r="A106" s="21">
        <v>45797</v>
      </c>
      <c r="B106" s="15" t="s">
        <v>112</v>
      </c>
      <c r="C106" s="16" t="s">
        <v>1429</v>
      </c>
      <c r="D106" s="16"/>
      <c r="E106" s="16" t="s">
        <v>48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10</v>
      </c>
      <c r="O106" s="16" t="s">
        <v>233</v>
      </c>
      <c r="P106" s="16" t="s">
        <v>1411</v>
      </c>
      <c r="Q106" s="32" t="s">
        <v>1412</v>
      </c>
    </row>
    <row r="107" spans="1:17" ht="17.100000000000001" customHeight="1">
      <c r="A107" s="21">
        <v>45797</v>
      </c>
      <c r="B107" s="15" t="s">
        <v>72</v>
      </c>
      <c r="C107" s="16" t="s">
        <v>1429</v>
      </c>
      <c r="D107" s="16" t="s">
        <v>48</v>
      </c>
      <c r="E107" s="16" t="s">
        <v>48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10</v>
      </c>
      <c r="O107" s="16" t="s">
        <v>233</v>
      </c>
      <c r="P107" s="16" t="s">
        <v>1413</v>
      </c>
      <c r="Q107" s="32" t="s">
        <v>1414</v>
      </c>
    </row>
    <row r="108" spans="1:17" ht="17.100000000000001" customHeight="1">
      <c r="A108" s="21">
        <v>45797</v>
      </c>
      <c r="B108" s="15" t="s">
        <v>114</v>
      </c>
      <c r="C108" s="16" t="s">
        <v>1429</v>
      </c>
      <c r="D108" s="16" t="s">
        <v>48</v>
      </c>
      <c r="E108" s="16" t="s">
        <v>48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15</v>
      </c>
      <c r="O108" s="16" t="s">
        <v>55</v>
      </c>
      <c r="P108" s="16" t="s">
        <v>1416</v>
      </c>
      <c r="Q108" s="32" t="s">
        <v>1415</v>
      </c>
    </row>
    <row r="109" spans="1:17" ht="17.100000000000001" customHeight="1">
      <c r="A109" s="21">
        <v>45797</v>
      </c>
      <c r="B109" s="15" t="s">
        <v>37</v>
      </c>
      <c r="C109" s="16" t="s">
        <v>1429</v>
      </c>
      <c r="D109" s="16" t="s">
        <v>48</v>
      </c>
      <c r="E109" s="16" t="s">
        <v>48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1448</v>
      </c>
      <c r="N109" s="16">
        <v>40</v>
      </c>
      <c r="O109" s="16" t="s">
        <v>693</v>
      </c>
      <c r="P109" s="16" t="s">
        <v>1405</v>
      </c>
      <c r="Q109" s="32" t="s">
        <v>1406</v>
      </c>
    </row>
    <row r="110" spans="1:17" ht="17.100000000000001" customHeight="1">
      <c r="A110" s="21">
        <v>45797</v>
      </c>
      <c r="B110" s="15" t="s">
        <v>1407</v>
      </c>
      <c r="C110" s="16" t="s">
        <v>1429</v>
      </c>
      <c r="D110" s="16" t="s">
        <v>48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40</v>
      </c>
      <c r="O110" s="16" t="s">
        <v>693</v>
      </c>
      <c r="P110" s="16" t="s">
        <v>1417</v>
      </c>
      <c r="Q110" s="32" t="s">
        <v>1418</v>
      </c>
    </row>
    <row r="111" spans="1:17" ht="17.100000000000001" customHeight="1">
      <c r="A111" s="21">
        <v>45797</v>
      </c>
      <c r="B111" s="15" t="s">
        <v>1317</v>
      </c>
      <c r="C111" s="16" t="s">
        <v>1429</v>
      </c>
      <c r="D111" s="16" t="s">
        <v>48</v>
      </c>
      <c r="E111" s="16" t="s">
        <v>48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1448</v>
      </c>
      <c r="N111" s="16">
        <v>60</v>
      </c>
      <c r="O111" s="16" t="s">
        <v>1200</v>
      </c>
      <c r="P111" s="16" t="s">
        <v>1419</v>
      </c>
      <c r="Q111" s="32" t="s">
        <v>1420</v>
      </c>
    </row>
    <row r="112" spans="1:17" ht="17.100000000000001" customHeight="1">
      <c r="A112" s="21">
        <v>45797</v>
      </c>
      <c r="B112" s="15" t="s">
        <v>338</v>
      </c>
      <c r="C112" s="16" t="s">
        <v>1429</v>
      </c>
      <c r="D112" s="16" t="s">
        <v>48</v>
      </c>
      <c r="E112" s="16" t="s">
        <v>48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48</v>
      </c>
      <c r="N112" s="16">
        <v>600</v>
      </c>
      <c r="O112" s="16" t="s">
        <v>233</v>
      </c>
      <c r="P112" s="16" t="s">
        <v>1421</v>
      </c>
      <c r="Q112" s="32" t="s">
        <v>1422</v>
      </c>
    </row>
    <row r="113" spans="1:17" ht="17.100000000000001" customHeight="1">
      <c r="A113" s="21">
        <v>45797</v>
      </c>
      <c r="B113" s="15" t="s">
        <v>214</v>
      </c>
      <c r="C113" s="16" t="s">
        <v>1429</v>
      </c>
      <c r="D113" s="16" t="s">
        <v>48</v>
      </c>
      <c r="E113" s="16" t="s">
        <v>48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100</v>
      </c>
      <c r="O113" s="16" t="s">
        <v>233</v>
      </c>
      <c r="P113" s="16" t="s">
        <v>1423</v>
      </c>
      <c r="Q113" s="32" t="s">
        <v>1424</v>
      </c>
    </row>
    <row r="114" spans="1:17" ht="17.100000000000001" customHeight="1">
      <c r="A114" s="21">
        <v>45797</v>
      </c>
      <c r="B114" s="15" t="s">
        <v>222</v>
      </c>
      <c r="C114" s="16" t="s">
        <v>1429</v>
      </c>
      <c r="D114" s="16" t="s">
        <v>48</v>
      </c>
      <c r="E114" s="16" t="s">
        <v>48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1430</v>
      </c>
      <c r="N114" s="16">
        <v>10</v>
      </c>
      <c r="O114" s="16" t="s">
        <v>233</v>
      </c>
      <c r="P114" s="16" t="s">
        <v>1425</v>
      </c>
      <c r="Q114" s="32" t="s">
        <v>1426</v>
      </c>
    </row>
    <row r="115" spans="1:17" ht="17.100000000000001" customHeight="1">
      <c r="A115" s="21">
        <v>45797</v>
      </c>
      <c r="B115" s="15" t="s">
        <v>420</v>
      </c>
      <c r="C115" s="16" t="s">
        <v>1429</v>
      </c>
      <c r="D115" s="16" t="s">
        <v>48</v>
      </c>
      <c r="E115" s="16" t="s">
        <v>48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1431</v>
      </c>
      <c r="N115" s="16">
        <v>10</v>
      </c>
      <c r="O115" s="16" t="s">
        <v>55</v>
      </c>
      <c r="P115" s="16" t="s">
        <v>1427</v>
      </c>
      <c r="Q115" s="32" t="s">
        <v>1428</v>
      </c>
    </row>
    <row r="116" spans="1:17" ht="17.100000000000001" customHeight="1">
      <c r="A116" s="21">
        <v>45797</v>
      </c>
      <c r="B116" s="15" t="s">
        <v>1167</v>
      </c>
      <c r="C116" s="16" t="s">
        <v>1429</v>
      </c>
      <c r="D116" s="16" t="s">
        <v>1409</v>
      </c>
      <c r="E116" s="16" t="s">
        <v>48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v>220</v>
      </c>
      <c r="O116" s="16" t="s">
        <v>1200</v>
      </c>
      <c r="P116" s="16" t="s">
        <v>1405</v>
      </c>
      <c r="Q116" s="32" t="s">
        <v>1406</v>
      </c>
    </row>
    <row r="117" spans="1:17" ht="17.100000000000001" customHeight="1">
      <c r="A117" s="21">
        <v>45797</v>
      </c>
      <c r="B117" s="15" t="s">
        <v>1167</v>
      </c>
      <c r="C117" s="16" t="s">
        <v>1429</v>
      </c>
      <c r="D117" s="16" t="s">
        <v>1408</v>
      </c>
      <c r="E117" s="16" t="s">
        <v>48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5</v>
      </c>
      <c r="O117" s="16" t="s">
        <v>1200</v>
      </c>
      <c r="P117" s="16" t="s">
        <v>1405</v>
      </c>
      <c r="Q117" s="32" t="s">
        <v>1406</v>
      </c>
    </row>
    <row r="118" spans="1:17" ht="17.100000000000001" customHeight="1">
      <c r="A118" s="21">
        <v>45797</v>
      </c>
      <c r="B118" s="15" t="s">
        <v>1167</v>
      </c>
      <c r="C118" s="16" t="s">
        <v>1429</v>
      </c>
      <c r="D118" s="16" t="s">
        <v>1410</v>
      </c>
      <c r="E118" s="16" t="s">
        <v>48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175</v>
      </c>
      <c r="O118" s="16" t="s">
        <v>1432</v>
      </c>
      <c r="P118" s="16" t="s">
        <v>1405</v>
      </c>
      <c r="Q118" s="32" t="s">
        <v>1406</v>
      </c>
    </row>
    <row r="119" spans="1:17" ht="17.100000000000001" customHeight="1">
      <c r="A119" s="21">
        <v>45798</v>
      </c>
      <c r="B119" s="15" t="s">
        <v>104</v>
      </c>
      <c r="C119" s="16" t="s">
        <v>1439</v>
      </c>
      <c r="D119" s="16" t="s">
        <v>48</v>
      </c>
      <c r="E119" s="16" t="s">
        <v>48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1000</v>
      </c>
      <c r="O119" s="16" t="s">
        <v>1441</v>
      </c>
      <c r="P119" s="16" t="s">
        <v>1433</v>
      </c>
      <c r="Q119" s="32" t="s">
        <v>1434</v>
      </c>
    </row>
    <row r="120" spans="1:17" ht="17.100000000000001" customHeight="1">
      <c r="A120" s="21">
        <v>45798</v>
      </c>
      <c r="B120" s="15" t="s">
        <v>41</v>
      </c>
      <c r="C120" s="16" t="s">
        <v>1439</v>
      </c>
      <c r="D120" s="16" t="s">
        <v>1440</v>
      </c>
      <c r="E120" s="16" t="s">
        <v>1442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240</v>
      </c>
      <c r="O120" s="16" t="s">
        <v>1441</v>
      </c>
      <c r="P120" s="16" t="s">
        <v>1436</v>
      </c>
      <c r="Q120" s="32" t="s">
        <v>1435</v>
      </c>
    </row>
    <row r="121" spans="1:17" ht="17.100000000000001" customHeight="1">
      <c r="A121" s="21">
        <v>45798</v>
      </c>
      <c r="B121" s="15" t="s">
        <v>59</v>
      </c>
      <c r="C121" s="16" t="s">
        <v>1439</v>
      </c>
      <c r="D121" s="16" t="s">
        <v>1440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120</v>
      </c>
      <c r="O121" s="16" t="s">
        <v>1441</v>
      </c>
      <c r="P121" s="16" t="s">
        <v>1437</v>
      </c>
      <c r="Q121" s="32" t="s">
        <v>1438</v>
      </c>
    </row>
    <row r="122" spans="1:17" ht="17.100000000000001" customHeight="1">
      <c r="A122" s="21">
        <v>45799</v>
      </c>
      <c r="B122" s="15" t="s">
        <v>1443</v>
      </c>
      <c r="C122" s="16" t="s">
        <v>1444</v>
      </c>
      <c r="D122" s="16" t="s">
        <v>1445</v>
      </c>
      <c r="E122" s="16" t="s">
        <v>48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22</v>
      </c>
      <c r="O122" s="16" t="s">
        <v>55</v>
      </c>
      <c r="P122" s="16" t="s">
        <v>1446</v>
      </c>
      <c r="Q122" s="32" t="s">
        <v>1447</v>
      </c>
    </row>
    <row r="123" spans="1:17" ht="17.100000000000001" customHeight="1">
      <c r="A123" s="21">
        <v>45799</v>
      </c>
      <c r="B123" s="15" t="s">
        <v>125</v>
      </c>
      <c r="C123" s="16" t="s">
        <v>1452</v>
      </c>
      <c r="D123" s="16" t="s">
        <v>1449</v>
      </c>
      <c r="E123" s="16" t="s">
        <v>48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100</v>
      </c>
      <c r="O123" s="16" t="s">
        <v>1441</v>
      </c>
      <c r="P123" s="16" t="s">
        <v>1454</v>
      </c>
      <c r="Q123" s="32" t="s">
        <v>1453</v>
      </c>
    </row>
    <row r="124" spans="1:17" ht="17.100000000000001" customHeight="1">
      <c r="A124" s="21">
        <v>45799</v>
      </c>
      <c r="B124" s="15" t="s">
        <v>125</v>
      </c>
      <c r="C124" s="16" t="s">
        <v>1452</v>
      </c>
      <c r="D124" s="16" t="s">
        <v>1450</v>
      </c>
      <c r="E124" s="16" t="s">
        <v>48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100</v>
      </c>
      <c r="O124" s="16" t="s">
        <v>1441</v>
      </c>
      <c r="P124" s="16" t="s">
        <v>1454</v>
      </c>
      <c r="Q124" s="32" t="s">
        <v>1453</v>
      </c>
    </row>
    <row r="125" spans="1:17" ht="17.100000000000001" customHeight="1">
      <c r="A125" s="21">
        <v>45799</v>
      </c>
      <c r="B125" s="15" t="s">
        <v>125</v>
      </c>
      <c r="C125" s="16" t="s">
        <v>1452</v>
      </c>
      <c r="D125" s="16" t="s">
        <v>1448</v>
      </c>
      <c r="E125" s="16" t="s">
        <v>48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180</v>
      </c>
      <c r="O125" s="16" t="s">
        <v>1441</v>
      </c>
      <c r="P125" s="16" t="s">
        <v>1454</v>
      </c>
      <c r="Q125" s="32" t="s">
        <v>1453</v>
      </c>
    </row>
    <row r="126" spans="1:17" ht="17.100000000000001" customHeight="1">
      <c r="A126" s="21">
        <v>45799</v>
      </c>
      <c r="B126" s="15" t="s">
        <v>125</v>
      </c>
      <c r="C126" s="16" t="s">
        <v>1452</v>
      </c>
      <c r="D126" s="16" t="s">
        <v>1451</v>
      </c>
      <c r="E126" s="16" t="s">
        <v>48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100</v>
      </c>
      <c r="O126" s="16" t="s">
        <v>1441</v>
      </c>
      <c r="P126" s="16" t="s">
        <v>1454</v>
      </c>
      <c r="Q126" s="32" t="s">
        <v>1453</v>
      </c>
    </row>
    <row r="127" spans="1:17" ht="17.100000000000001" customHeight="1">
      <c r="A127" s="21">
        <v>45799</v>
      </c>
      <c r="B127" s="16" t="s">
        <v>1455</v>
      </c>
      <c r="C127" s="16" t="s">
        <v>1452</v>
      </c>
      <c r="D127" s="16" t="s">
        <v>48</v>
      </c>
      <c r="E127" s="16" t="s">
        <v>48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160</v>
      </c>
      <c r="O127" s="16" t="s">
        <v>1458</v>
      </c>
      <c r="P127" s="16" t="s">
        <v>1457</v>
      </c>
      <c r="Q127" s="32" t="s">
        <v>1456</v>
      </c>
    </row>
    <row r="128" spans="1:17" ht="17.100000000000001" customHeight="1">
      <c r="A128" s="21">
        <v>45800</v>
      </c>
      <c r="B128" s="16" t="s">
        <v>1455</v>
      </c>
      <c r="C128" s="16" t="s">
        <v>1452</v>
      </c>
      <c r="D128" s="16" t="s">
        <v>48</v>
      </c>
      <c r="E128" s="16" t="s">
        <v>48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440</v>
      </c>
      <c r="O128" s="16" t="s">
        <v>233</v>
      </c>
      <c r="P128" s="16" t="s">
        <v>1457</v>
      </c>
      <c r="Q128" s="32" t="s">
        <v>1456</v>
      </c>
    </row>
    <row r="129" spans="1:17" ht="17.100000000000001" customHeight="1">
      <c r="A129" s="21">
        <v>45800</v>
      </c>
      <c r="B129" s="15" t="s">
        <v>1326</v>
      </c>
      <c r="C129" s="16" t="s">
        <v>1452</v>
      </c>
      <c r="D129" s="16" t="s">
        <v>48</v>
      </c>
      <c r="E129" s="16" t="s">
        <v>48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400</v>
      </c>
      <c r="O129" s="16" t="s">
        <v>911</v>
      </c>
      <c r="P129" s="16" t="s">
        <v>1466</v>
      </c>
      <c r="Q129" s="32" t="s">
        <v>1464</v>
      </c>
    </row>
    <row r="130" spans="1:17" ht="17.100000000000001" customHeight="1">
      <c r="A130" s="21">
        <v>45800</v>
      </c>
      <c r="B130" s="15" t="s">
        <v>1465</v>
      </c>
      <c r="C130" s="16" t="s">
        <v>1452</v>
      </c>
      <c r="D130" s="16" t="s">
        <v>48</v>
      </c>
      <c r="E130" s="16" t="s">
        <v>48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45">
        <v>45751</v>
      </c>
      <c r="N130" s="16">
        <v>240</v>
      </c>
      <c r="O130" s="16" t="s">
        <v>1200</v>
      </c>
      <c r="P130" s="16" t="s">
        <v>1459</v>
      </c>
      <c r="Q130" s="32" t="s">
        <v>1460</v>
      </c>
    </row>
    <row r="131" spans="1:17" ht="17.100000000000001" customHeight="1">
      <c r="A131" s="21">
        <v>45800</v>
      </c>
      <c r="B131" s="15" t="s">
        <v>37</v>
      </c>
      <c r="C131" s="16" t="s">
        <v>1452</v>
      </c>
      <c r="D131" s="16" t="s">
        <v>48</v>
      </c>
      <c r="E131" s="16" t="s">
        <v>48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1463</v>
      </c>
      <c r="N131" s="16">
        <v>40</v>
      </c>
      <c r="O131" s="16" t="s">
        <v>1200</v>
      </c>
      <c r="P131" s="16" t="s">
        <v>1461</v>
      </c>
      <c r="Q131" s="32" t="s">
        <v>1462</v>
      </c>
    </row>
    <row r="132" spans="1:17" ht="17.100000000000001" customHeight="1">
      <c r="A132" s="21">
        <v>45805</v>
      </c>
      <c r="B132" s="15" t="s">
        <v>1467</v>
      </c>
      <c r="C132" s="16" t="s">
        <v>1468</v>
      </c>
      <c r="D132" s="16" t="s">
        <v>1469</v>
      </c>
      <c r="E132" s="16" t="s">
        <v>1470</v>
      </c>
      <c r="F132" s="16" t="s">
        <v>1471</v>
      </c>
      <c r="G132" s="16"/>
      <c r="H132" s="16"/>
      <c r="I132" s="16"/>
      <c r="J132" s="16"/>
      <c r="K132" s="16"/>
      <c r="L132" s="16"/>
      <c r="M132" s="16"/>
      <c r="N132" s="16">
        <v>300</v>
      </c>
      <c r="O132" s="16" t="s">
        <v>1472</v>
      </c>
      <c r="P132" s="16" t="s">
        <v>1473</v>
      </c>
      <c r="Q132" s="32"/>
    </row>
    <row r="133" spans="1:17" ht="17.100000000000001" customHeight="1">
      <c r="A133" s="21"/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31"/>
    </row>
    <row r="134" spans="1:17" ht="15" thickBot="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16"/>
      <c r="Q134" s="31"/>
    </row>
    <row r="135" spans="1:17">
      <c r="A135" s="25" t="s">
        <v>352</v>
      </c>
      <c r="B135" s="13"/>
      <c r="C135" s="13"/>
      <c r="D135" s="12"/>
      <c r="E135" s="13"/>
      <c r="H135" s="13"/>
      <c r="I135" s="13"/>
      <c r="J135" s="12"/>
      <c r="K135" s="13"/>
      <c r="L135" s="12" t="s">
        <v>18</v>
      </c>
      <c r="M135" s="12"/>
      <c r="N135" s="14"/>
    </row>
    <row r="136" spans="1:17">
      <c r="M136" s="2" t="s">
        <v>19</v>
      </c>
    </row>
    <row r="137" spans="1:17">
      <c r="M137" s="2" t="s">
        <v>20</v>
      </c>
    </row>
    <row r="138" spans="1:17">
      <c r="M138" s="2" t="s">
        <v>21</v>
      </c>
    </row>
    <row r="139" spans="1:17">
      <c r="M139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22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Q403"/>
  <sheetViews>
    <sheetView view="pageBreakPreview" topLeftCell="A363" zoomScaleNormal="100" zoomScaleSheetLayoutView="100" workbookViewId="0">
      <selection activeCell="M378" sqref="M378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36.5703125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49">
        <v>45809</v>
      </c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52">
        <v>45810</v>
      </c>
      <c r="B9" s="36" t="s">
        <v>904</v>
      </c>
      <c r="C9" s="16" t="s">
        <v>1474</v>
      </c>
      <c r="D9" s="16" t="s">
        <v>1475</v>
      </c>
      <c r="E9" s="16" t="s">
        <v>48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10</v>
      </c>
      <c r="O9" s="16" t="s">
        <v>55</v>
      </c>
      <c r="P9" s="15" t="s">
        <v>1476</v>
      </c>
      <c r="Q9" s="33" t="s">
        <v>1488</v>
      </c>
    </row>
    <row r="10" spans="1:17" ht="17.100000000000001" customHeight="1">
      <c r="A10" s="52">
        <v>45810</v>
      </c>
      <c r="B10" s="36" t="s">
        <v>953</v>
      </c>
      <c r="C10" s="16" t="s">
        <v>1474</v>
      </c>
      <c r="D10" s="16" t="s">
        <v>48</v>
      </c>
      <c r="E10" s="16" t="s">
        <v>48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100</v>
      </c>
      <c r="O10" s="16" t="s">
        <v>233</v>
      </c>
      <c r="P10" s="15" t="s">
        <v>1489</v>
      </c>
      <c r="Q10" s="33" t="s">
        <v>1490</v>
      </c>
    </row>
    <row r="11" spans="1:17" ht="17.100000000000001" customHeight="1">
      <c r="A11" s="52">
        <v>45810</v>
      </c>
      <c r="B11" s="36" t="s">
        <v>1477</v>
      </c>
      <c r="C11" s="16" t="s">
        <v>1474</v>
      </c>
      <c r="D11" s="16" t="s">
        <v>48</v>
      </c>
      <c r="E11" s="16" t="s">
        <v>48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100</v>
      </c>
      <c r="O11" s="16" t="s">
        <v>911</v>
      </c>
      <c r="P11" s="15" t="s">
        <v>1493</v>
      </c>
      <c r="Q11" s="33" t="s">
        <v>1491</v>
      </c>
    </row>
    <row r="12" spans="1:17" ht="17.100000000000001" customHeight="1">
      <c r="A12" s="52">
        <v>45810</v>
      </c>
      <c r="B12" s="36" t="s">
        <v>140</v>
      </c>
      <c r="C12" s="16" t="s">
        <v>1474</v>
      </c>
      <c r="D12" s="16" t="s">
        <v>1478</v>
      </c>
      <c r="E12" s="16" t="s">
        <v>48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10</v>
      </c>
      <c r="O12" s="16" t="s">
        <v>55</v>
      </c>
      <c r="P12" s="15" t="s">
        <v>1495</v>
      </c>
      <c r="Q12" s="33" t="s">
        <v>1492</v>
      </c>
    </row>
    <row r="13" spans="1:17" ht="17.100000000000001" customHeight="1">
      <c r="A13" s="52">
        <v>45810</v>
      </c>
      <c r="B13" s="36" t="s">
        <v>29</v>
      </c>
      <c r="C13" s="16" t="s">
        <v>1474</v>
      </c>
      <c r="D13" s="16" t="s">
        <v>1479</v>
      </c>
      <c r="E13" s="16" t="s">
        <v>48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100</v>
      </c>
      <c r="O13" s="16" t="s">
        <v>546</v>
      </c>
      <c r="P13" s="15" t="s">
        <v>1494</v>
      </c>
      <c r="Q13" s="33" t="s">
        <v>1496</v>
      </c>
    </row>
    <row r="14" spans="1:17" ht="17.100000000000001" customHeight="1">
      <c r="A14" s="52">
        <v>45810</v>
      </c>
      <c r="B14" s="36" t="s">
        <v>29</v>
      </c>
      <c r="C14" s="16" t="s">
        <v>1474</v>
      </c>
      <c r="D14" s="16" t="s">
        <v>1480</v>
      </c>
      <c r="E14" s="16" t="s">
        <v>48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100</v>
      </c>
      <c r="O14" s="16" t="s">
        <v>546</v>
      </c>
      <c r="P14" s="15" t="s">
        <v>1494</v>
      </c>
      <c r="Q14" s="33" t="s">
        <v>1496</v>
      </c>
    </row>
    <row r="15" spans="1:17" ht="17.100000000000001" customHeight="1">
      <c r="A15" s="52">
        <v>45810</v>
      </c>
      <c r="B15" s="36" t="s">
        <v>29</v>
      </c>
      <c r="C15" s="16" t="s">
        <v>1474</v>
      </c>
      <c r="D15" s="16" t="s">
        <v>1481</v>
      </c>
      <c r="E15" s="16" t="s">
        <v>48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175</v>
      </c>
      <c r="O15" s="16" t="s">
        <v>546</v>
      </c>
      <c r="P15" s="15" t="s">
        <v>1494</v>
      </c>
      <c r="Q15" s="33" t="s">
        <v>1496</v>
      </c>
    </row>
    <row r="16" spans="1:17" ht="17.100000000000001" customHeight="1">
      <c r="A16" s="52">
        <v>45810</v>
      </c>
      <c r="B16" s="50" t="s">
        <v>1407</v>
      </c>
      <c r="C16" s="16" t="s">
        <v>1474</v>
      </c>
      <c r="D16" s="16" t="s">
        <v>48</v>
      </c>
      <c r="E16" s="16" t="s">
        <v>48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1482</v>
      </c>
      <c r="N16" s="16">
        <v>40</v>
      </c>
      <c r="O16" s="16" t="s">
        <v>546</v>
      </c>
      <c r="P16" s="15" t="s">
        <v>1497</v>
      </c>
      <c r="Q16" s="33" t="s">
        <v>1505</v>
      </c>
    </row>
    <row r="17" spans="1:17" ht="17.100000000000001" customHeight="1">
      <c r="A17" s="52">
        <v>45810</v>
      </c>
      <c r="B17" s="36" t="s">
        <v>1483</v>
      </c>
      <c r="C17" s="16" t="s">
        <v>1474</v>
      </c>
      <c r="D17" s="16" t="s">
        <v>48</v>
      </c>
      <c r="E17" s="16" t="s">
        <v>48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1</v>
      </c>
      <c r="O17" s="16" t="s">
        <v>55</v>
      </c>
      <c r="P17" s="15" t="s">
        <v>1499</v>
      </c>
      <c r="Q17" s="33" t="s">
        <v>1506</v>
      </c>
    </row>
    <row r="18" spans="1:17" ht="17.100000000000001" customHeight="1">
      <c r="A18" s="52">
        <v>45810</v>
      </c>
      <c r="B18" s="36" t="s">
        <v>1484</v>
      </c>
      <c r="C18" s="16" t="s">
        <v>1474</v>
      </c>
      <c r="D18" s="16" t="s">
        <v>48</v>
      </c>
      <c r="E18" s="16" t="s">
        <v>48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2</v>
      </c>
      <c r="O18" s="16" t="s">
        <v>55</v>
      </c>
      <c r="P18" s="15" t="s">
        <v>1500</v>
      </c>
      <c r="Q18" s="33" t="s">
        <v>1507</v>
      </c>
    </row>
    <row r="19" spans="1:17" ht="17.100000000000001" customHeight="1">
      <c r="A19" s="52">
        <v>45810</v>
      </c>
      <c r="B19" s="36" t="s">
        <v>1485</v>
      </c>
      <c r="C19" s="16" t="s">
        <v>1474</v>
      </c>
      <c r="D19" s="16" t="s">
        <v>48</v>
      </c>
      <c r="E19" s="16" t="s">
        <v>48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100</v>
      </c>
      <c r="O19" s="16" t="s">
        <v>55</v>
      </c>
      <c r="P19" s="15" t="s">
        <v>1501</v>
      </c>
      <c r="Q19" s="33" t="s">
        <v>1508</v>
      </c>
    </row>
    <row r="20" spans="1:17" ht="17.100000000000001" customHeight="1">
      <c r="A20" s="52">
        <v>45810</v>
      </c>
      <c r="B20" s="36" t="s">
        <v>1486</v>
      </c>
      <c r="C20" s="16" t="s">
        <v>1474</v>
      </c>
      <c r="D20" s="16" t="s">
        <v>48</v>
      </c>
      <c r="E20" s="16" t="s">
        <v>48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200</v>
      </c>
      <c r="O20" s="16" t="s">
        <v>1487</v>
      </c>
      <c r="P20" s="15" t="s">
        <v>1502</v>
      </c>
      <c r="Q20" s="33" t="s">
        <v>1509</v>
      </c>
    </row>
    <row r="21" spans="1:17" ht="17.100000000000001" customHeight="1">
      <c r="A21" s="52">
        <v>45810</v>
      </c>
      <c r="B21" s="36" t="s">
        <v>1229</v>
      </c>
      <c r="C21" s="16" t="s">
        <v>1474</v>
      </c>
      <c r="D21" s="16" t="s">
        <v>48</v>
      </c>
      <c r="E21" s="16" t="s">
        <v>48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200</v>
      </c>
      <c r="O21" s="16" t="s">
        <v>233</v>
      </c>
      <c r="P21" s="15" t="s">
        <v>1503</v>
      </c>
      <c r="Q21" s="33" t="s">
        <v>1510</v>
      </c>
    </row>
    <row r="22" spans="1:17" ht="17.100000000000001" customHeight="1">
      <c r="A22" s="52">
        <v>45810</v>
      </c>
      <c r="B22" s="36" t="s">
        <v>101</v>
      </c>
      <c r="C22" s="16" t="s">
        <v>1474</v>
      </c>
      <c r="D22" s="16" t="s">
        <v>48</v>
      </c>
      <c r="E22" s="16" t="s">
        <v>48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100</v>
      </c>
      <c r="O22" s="16" t="s">
        <v>911</v>
      </c>
      <c r="P22" s="15" t="s">
        <v>1504</v>
      </c>
      <c r="Q22" s="33" t="s">
        <v>1511</v>
      </c>
    </row>
    <row r="23" spans="1:17" ht="17.100000000000001" customHeight="1">
      <c r="A23" s="52">
        <v>45810</v>
      </c>
      <c r="B23" s="36" t="s">
        <v>79</v>
      </c>
      <c r="C23" s="16" t="s">
        <v>1474</v>
      </c>
      <c r="D23" s="16" t="s">
        <v>1481</v>
      </c>
      <c r="E23" s="16" t="s">
        <v>1512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f>36/2</f>
        <v>18</v>
      </c>
      <c r="O23" s="16" t="s">
        <v>546</v>
      </c>
      <c r="P23" s="15" t="s">
        <v>1498</v>
      </c>
      <c r="Q23" s="33" t="s">
        <v>1520</v>
      </c>
    </row>
    <row r="24" spans="1:17" ht="17.100000000000001" customHeight="1">
      <c r="A24" s="52">
        <v>45810</v>
      </c>
      <c r="B24" s="36" t="s">
        <v>79</v>
      </c>
      <c r="C24" s="16" t="s">
        <v>1474</v>
      </c>
      <c r="D24" s="16" t="s">
        <v>1481</v>
      </c>
      <c r="E24" s="16" t="s">
        <v>1513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27</v>
      </c>
      <c r="O24" s="16" t="s">
        <v>546</v>
      </c>
      <c r="P24" s="15" t="s">
        <v>1498</v>
      </c>
      <c r="Q24" s="33" t="s">
        <v>1520</v>
      </c>
    </row>
    <row r="25" spans="1:17" ht="17.100000000000001" customHeight="1">
      <c r="A25" s="52">
        <v>45810</v>
      </c>
      <c r="B25" s="36" t="s">
        <v>79</v>
      </c>
      <c r="C25" s="16" t="s">
        <v>1474</v>
      </c>
      <c r="D25" s="16" t="s">
        <v>1514</v>
      </c>
      <c r="E25" s="16" t="s">
        <v>1515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27</v>
      </c>
      <c r="O25" s="16" t="s">
        <v>546</v>
      </c>
      <c r="P25" s="15" t="s">
        <v>1498</v>
      </c>
      <c r="Q25" s="33" t="s">
        <v>1520</v>
      </c>
    </row>
    <row r="26" spans="1:17" ht="17.100000000000001" customHeight="1">
      <c r="A26" s="52">
        <v>45810</v>
      </c>
      <c r="B26" s="36" t="s">
        <v>79</v>
      </c>
      <c r="C26" s="16" t="s">
        <v>1474</v>
      </c>
      <c r="D26" s="16" t="s">
        <v>1514</v>
      </c>
      <c r="E26" s="16" t="s">
        <v>1516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27</v>
      </c>
      <c r="O26" s="16" t="s">
        <v>546</v>
      </c>
      <c r="P26" s="15" t="s">
        <v>1498</v>
      </c>
      <c r="Q26" s="33" t="s">
        <v>1520</v>
      </c>
    </row>
    <row r="27" spans="1:17" ht="17.100000000000001" customHeight="1">
      <c r="A27" s="52">
        <v>45810</v>
      </c>
      <c r="B27" s="36" t="s">
        <v>79</v>
      </c>
      <c r="C27" s="16" t="s">
        <v>1474</v>
      </c>
      <c r="D27" s="16" t="s">
        <v>1514</v>
      </c>
      <c r="E27" s="16" t="s">
        <v>1515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27</v>
      </c>
      <c r="O27" s="16" t="s">
        <v>546</v>
      </c>
      <c r="P27" s="15" t="s">
        <v>1498</v>
      </c>
      <c r="Q27" s="33" t="s">
        <v>1520</v>
      </c>
    </row>
    <row r="28" spans="1:17" ht="17.100000000000001" customHeight="1">
      <c r="A28" s="52">
        <v>45810</v>
      </c>
      <c r="B28" s="36" t="s">
        <v>79</v>
      </c>
      <c r="C28" s="16" t="s">
        <v>1474</v>
      </c>
      <c r="D28" s="16" t="s">
        <v>1517</v>
      </c>
      <c r="E28" s="16" t="s">
        <v>1518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54</v>
      </c>
      <c r="O28" s="16" t="s">
        <v>546</v>
      </c>
      <c r="P28" s="15" t="s">
        <v>1498</v>
      </c>
      <c r="Q28" s="33" t="s">
        <v>1520</v>
      </c>
    </row>
    <row r="29" spans="1:17" ht="17.100000000000001" customHeight="1">
      <c r="A29" s="52">
        <v>45810</v>
      </c>
      <c r="B29" s="36" t="s">
        <v>79</v>
      </c>
      <c r="C29" s="16" t="s">
        <v>1474</v>
      </c>
      <c r="D29" s="16" t="s">
        <v>1517</v>
      </c>
      <c r="E29" s="16" t="s">
        <v>1513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27</v>
      </c>
      <c r="O29" s="16" t="s">
        <v>546</v>
      </c>
      <c r="P29" s="15" t="s">
        <v>1498</v>
      </c>
      <c r="Q29" s="33" t="s">
        <v>1520</v>
      </c>
    </row>
    <row r="30" spans="1:17" ht="17.100000000000001" customHeight="1">
      <c r="A30" s="52">
        <v>45810</v>
      </c>
      <c r="B30" s="36" t="s">
        <v>79</v>
      </c>
      <c r="C30" s="16" t="s">
        <v>1474</v>
      </c>
      <c r="D30" s="16" t="s">
        <v>1517</v>
      </c>
      <c r="E30" s="16" t="s">
        <v>1516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18</v>
      </c>
      <c r="O30" s="16" t="s">
        <v>546</v>
      </c>
      <c r="P30" s="15" t="s">
        <v>1498</v>
      </c>
      <c r="Q30" s="33" t="s">
        <v>1520</v>
      </c>
    </row>
    <row r="31" spans="1:17" ht="17.100000000000001" customHeight="1">
      <c r="A31" s="52">
        <v>45811</v>
      </c>
      <c r="B31" s="36" t="s">
        <v>79</v>
      </c>
      <c r="C31" s="16" t="s">
        <v>1521</v>
      </c>
      <c r="D31" s="16" t="s">
        <v>1517</v>
      </c>
      <c r="E31" s="16" t="s">
        <v>1516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7</v>
      </c>
      <c r="O31" s="16" t="s">
        <v>546</v>
      </c>
      <c r="P31" s="15" t="s">
        <v>1498</v>
      </c>
      <c r="Q31" s="33" t="s">
        <v>1520</v>
      </c>
    </row>
    <row r="32" spans="1:17" ht="17.100000000000001" customHeight="1">
      <c r="A32" s="52">
        <v>45811</v>
      </c>
      <c r="B32" s="36" t="s">
        <v>79</v>
      </c>
      <c r="C32" s="16" t="s">
        <v>1521</v>
      </c>
      <c r="D32" s="16" t="s">
        <v>1517</v>
      </c>
      <c r="E32" s="16" t="s">
        <v>1519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54</v>
      </c>
      <c r="O32" s="16" t="s">
        <v>546</v>
      </c>
      <c r="P32" s="15" t="s">
        <v>1498</v>
      </c>
      <c r="Q32" s="33" t="s">
        <v>1520</v>
      </c>
    </row>
    <row r="33" spans="1:17" ht="17.100000000000001" customHeight="1">
      <c r="A33" s="52">
        <v>45811</v>
      </c>
      <c r="B33" s="36" t="s">
        <v>79</v>
      </c>
      <c r="C33" s="16" t="s">
        <v>1521</v>
      </c>
      <c r="D33" s="16" t="s">
        <v>1522</v>
      </c>
      <c r="E33" s="16" t="s">
        <v>1523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20</v>
      </c>
      <c r="O33" s="16" t="s">
        <v>546</v>
      </c>
      <c r="P33" s="15" t="s">
        <v>1498</v>
      </c>
      <c r="Q33" s="33" t="s">
        <v>1520</v>
      </c>
    </row>
    <row r="34" spans="1:17" ht="17.100000000000001" customHeight="1">
      <c r="A34" s="52">
        <v>45811</v>
      </c>
      <c r="B34" s="36" t="s">
        <v>79</v>
      </c>
      <c r="C34" s="16" t="s">
        <v>1521</v>
      </c>
      <c r="D34" s="16" t="s">
        <v>1522</v>
      </c>
      <c r="E34" s="16" t="s">
        <v>1524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13</v>
      </c>
      <c r="O34" s="16" t="s">
        <v>546</v>
      </c>
      <c r="P34" s="15" t="s">
        <v>1498</v>
      </c>
      <c r="Q34" s="33" t="s">
        <v>1520</v>
      </c>
    </row>
    <row r="35" spans="1:17" ht="17.100000000000001" customHeight="1">
      <c r="A35" s="52">
        <v>45811</v>
      </c>
      <c r="B35" s="36" t="s">
        <v>79</v>
      </c>
      <c r="C35" s="16" t="s">
        <v>1521</v>
      </c>
      <c r="D35" s="16" t="s">
        <v>1522</v>
      </c>
      <c r="E35" s="16" t="s">
        <v>1525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27</v>
      </c>
      <c r="O35" s="16" t="s">
        <v>546</v>
      </c>
      <c r="P35" s="15" t="s">
        <v>1498</v>
      </c>
      <c r="Q35" s="33" t="s">
        <v>1520</v>
      </c>
    </row>
    <row r="36" spans="1:17" ht="17.100000000000001" customHeight="1">
      <c r="A36" s="52">
        <v>45811</v>
      </c>
      <c r="B36" s="36" t="s">
        <v>79</v>
      </c>
      <c r="C36" s="16" t="s">
        <v>1521</v>
      </c>
      <c r="D36" s="16" t="s">
        <v>1526</v>
      </c>
      <c r="E36" s="16" t="s">
        <v>1527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27</v>
      </c>
      <c r="O36" s="16" t="s">
        <v>546</v>
      </c>
      <c r="P36" s="15" t="s">
        <v>1498</v>
      </c>
      <c r="Q36" s="33" t="s">
        <v>1520</v>
      </c>
    </row>
    <row r="37" spans="1:17" ht="17.100000000000001" customHeight="1">
      <c r="A37" s="52">
        <v>45811</v>
      </c>
      <c r="B37" s="36" t="s">
        <v>79</v>
      </c>
      <c r="C37" s="16" t="s">
        <v>1521</v>
      </c>
      <c r="D37" s="16" t="s">
        <v>1526</v>
      </c>
      <c r="E37" s="16" t="s">
        <v>1525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27</v>
      </c>
      <c r="O37" s="16" t="s">
        <v>546</v>
      </c>
      <c r="P37" s="15" t="s">
        <v>1498</v>
      </c>
      <c r="Q37" s="33" t="s">
        <v>1520</v>
      </c>
    </row>
    <row r="38" spans="1:17" ht="17.100000000000001" customHeight="1">
      <c r="A38" s="52">
        <v>45811</v>
      </c>
      <c r="B38" s="36" t="s">
        <v>79</v>
      </c>
      <c r="C38" s="16" t="s">
        <v>1521</v>
      </c>
      <c r="D38" s="16" t="s">
        <v>1526</v>
      </c>
      <c r="E38" s="16" t="s">
        <v>1528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27</v>
      </c>
      <c r="O38" s="16" t="s">
        <v>546</v>
      </c>
      <c r="P38" s="15" t="s">
        <v>1498</v>
      </c>
      <c r="Q38" s="33" t="s">
        <v>1520</v>
      </c>
    </row>
    <row r="39" spans="1:17" ht="17.100000000000001" customHeight="1">
      <c r="A39" s="52">
        <v>45811</v>
      </c>
      <c r="B39" s="36" t="s">
        <v>79</v>
      </c>
      <c r="C39" s="16" t="s">
        <v>1521</v>
      </c>
      <c r="D39" s="16" t="s">
        <v>1526</v>
      </c>
      <c r="E39" s="16" t="s">
        <v>1523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27</v>
      </c>
      <c r="O39" s="16" t="s">
        <v>546</v>
      </c>
      <c r="P39" s="15" t="s">
        <v>1498</v>
      </c>
      <c r="Q39" s="33" t="s">
        <v>1520</v>
      </c>
    </row>
    <row r="40" spans="1:17" ht="17.100000000000001" customHeight="1">
      <c r="A40" s="52">
        <v>45811</v>
      </c>
      <c r="B40" s="36" t="s">
        <v>79</v>
      </c>
      <c r="C40" s="16" t="s">
        <v>1521</v>
      </c>
      <c r="D40" s="16" t="s">
        <v>1526</v>
      </c>
      <c r="E40" s="16" t="s">
        <v>1529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27</v>
      </c>
      <c r="O40" s="16" t="s">
        <v>546</v>
      </c>
      <c r="P40" s="15" t="s">
        <v>1498</v>
      </c>
      <c r="Q40" s="33" t="s">
        <v>1520</v>
      </c>
    </row>
    <row r="41" spans="1:17" ht="17.100000000000001" customHeight="1">
      <c r="A41" s="52">
        <v>45811</v>
      </c>
      <c r="B41" s="36" t="s">
        <v>79</v>
      </c>
      <c r="C41" s="16" t="s">
        <v>1521</v>
      </c>
      <c r="D41" s="16" t="s">
        <v>1526</v>
      </c>
      <c r="E41" s="16" t="s">
        <v>1527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19</v>
      </c>
      <c r="O41" s="16" t="s">
        <v>546</v>
      </c>
      <c r="P41" s="15" t="s">
        <v>1498</v>
      </c>
      <c r="Q41" s="33" t="s">
        <v>1520</v>
      </c>
    </row>
    <row r="42" spans="1:17" ht="17.100000000000001" customHeight="1">
      <c r="A42" s="52">
        <v>45811</v>
      </c>
      <c r="B42" s="36" t="s">
        <v>79</v>
      </c>
      <c r="C42" s="16" t="s">
        <v>1521</v>
      </c>
      <c r="D42" s="16" t="s">
        <v>1526</v>
      </c>
      <c r="E42" s="16" t="s">
        <v>1529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27</v>
      </c>
      <c r="O42" s="16" t="s">
        <v>546</v>
      </c>
      <c r="P42" s="15" t="s">
        <v>1498</v>
      </c>
      <c r="Q42" s="33" t="s">
        <v>1520</v>
      </c>
    </row>
    <row r="43" spans="1:17" ht="17.100000000000001" customHeight="1">
      <c r="A43" s="52">
        <v>45811</v>
      </c>
      <c r="B43" s="36" t="s">
        <v>79</v>
      </c>
      <c r="C43" s="16" t="s">
        <v>1521</v>
      </c>
      <c r="D43" s="16" t="s">
        <v>1526</v>
      </c>
      <c r="E43" s="16" t="s">
        <v>1528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27</v>
      </c>
      <c r="O43" s="16" t="s">
        <v>546</v>
      </c>
      <c r="P43" s="15" t="s">
        <v>1498</v>
      </c>
      <c r="Q43" s="33" t="s">
        <v>1520</v>
      </c>
    </row>
    <row r="44" spans="1:17" ht="17.100000000000001" customHeight="1">
      <c r="A44" s="52">
        <v>45811</v>
      </c>
      <c r="B44" s="36" t="s">
        <v>79</v>
      </c>
      <c r="C44" s="16" t="s">
        <v>1521</v>
      </c>
      <c r="D44" s="16" t="s">
        <v>1530</v>
      </c>
      <c r="E44" s="16" t="s">
        <v>1531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27</v>
      </c>
      <c r="O44" s="16" t="s">
        <v>546</v>
      </c>
      <c r="P44" s="15" t="s">
        <v>1498</v>
      </c>
      <c r="Q44" s="33" t="s">
        <v>1520</v>
      </c>
    </row>
    <row r="45" spans="1:17" ht="17.100000000000001" customHeight="1">
      <c r="A45" s="52">
        <v>45811</v>
      </c>
      <c r="B45" s="36" t="s">
        <v>79</v>
      </c>
      <c r="C45" s="16" t="s">
        <v>1521</v>
      </c>
      <c r="D45" s="16" t="s">
        <v>1530</v>
      </c>
      <c r="E45" s="16" t="s">
        <v>1532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27</v>
      </c>
      <c r="O45" s="16" t="s">
        <v>546</v>
      </c>
      <c r="P45" s="15" t="s">
        <v>1498</v>
      </c>
      <c r="Q45" s="33" t="s">
        <v>1520</v>
      </c>
    </row>
    <row r="46" spans="1:17" ht="17.100000000000001" customHeight="1">
      <c r="A46" s="52">
        <v>45811</v>
      </c>
      <c r="B46" s="36" t="s">
        <v>79</v>
      </c>
      <c r="C46" s="16" t="s">
        <v>1521</v>
      </c>
      <c r="D46" s="16" t="s">
        <v>1530</v>
      </c>
      <c r="E46" s="16" t="s">
        <v>1533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27</v>
      </c>
      <c r="O46" s="16" t="s">
        <v>546</v>
      </c>
      <c r="P46" s="15" t="s">
        <v>1498</v>
      </c>
      <c r="Q46" s="33" t="s">
        <v>1520</v>
      </c>
    </row>
    <row r="47" spans="1:17" ht="17.100000000000001" customHeight="1">
      <c r="A47" s="52">
        <v>45811</v>
      </c>
      <c r="B47" s="36" t="s">
        <v>79</v>
      </c>
      <c r="C47" s="16" t="s">
        <v>1521</v>
      </c>
      <c r="D47" s="16" t="s">
        <v>1534</v>
      </c>
      <c r="E47" s="16" t="s">
        <v>1531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27</v>
      </c>
      <c r="O47" s="16" t="s">
        <v>546</v>
      </c>
      <c r="P47" s="15" t="s">
        <v>1498</v>
      </c>
      <c r="Q47" s="33" t="s">
        <v>1520</v>
      </c>
    </row>
    <row r="48" spans="1:17" ht="17.100000000000001" customHeight="1">
      <c r="A48" s="52">
        <v>45811</v>
      </c>
      <c r="B48" s="36" t="s">
        <v>79</v>
      </c>
      <c r="C48" s="16" t="s">
        <v>1521</v>
      </c>
      <c r="D48" s="16" t="s">
        <v>1534</v>
      </c>
      <c r="E48" s="16" t="s">
        <v>1533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27</v>
      </c>
      <c r="O48" s="16" t="s">
        <v>546</v>
      </c>
      <c r="P48" s="15" t="s">
        <v>1498</v>
      </c>
      <c r="Q48" s="33" t="s">
        <v>1520</v>
      </c>
    </row>
    <row r="49" spans="1:17" ht="17.100000000000001" customHeight="1">
      <c r="A49" s="52">
        <v>45811</v>
      </c>
      <c r="B49" s="36" t="s">
        <v>79</v>
      </c>
      <c r="C49" s="16" t="s">
        <v>1521</v>
      </c>
      <c r="D49" s="16" t="s">
        <v>1534</v>
      </c>
      <c r="E49" s="16" t="s">
        <v>1535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27</v>
      </c>
      <c r="O49" s="16" t="s">
        <v>546</v>
      </c>
      <c r="P49" s="15" t="s">
        <v>1498</v>
      </c>
      <c r="Q49" s="33" t="s">
        <v>1520</v>
      </c>
    </row>
    <row r="50" spans="1:17" ht="17.100000000000001" customHeight="1">
      <c r="A50" s="52">
        <v>45811</v>
      </c>
      <c r="B50" s="36" t="s">
        <v>79</v>
      </c>
      <c r="C50" s="16" t="s">
        <v>1521</v>
      </c>
      <c r="D50" s="16" t="s">
        <v>1534</v>
      </c>
      <c r="E50" s="16" t="s">
        <v>1536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f>56/2</f>
        <v>28</v>
      </c>
      <c r="O50" s="16" t="s">
        <v>546</v>
      </c>
      <c r="P50" s="15" t="s">
        <v>1498</v>
      </c>
      <c r="Q50" s="33" t="s">
        <v>1520</v>
      </c>
    </row>
    <row r="51" spans="1:17" ht="17.100000000000001" customHeight="1">
      <c r="A51" s="52">
        <v>45811</v>
      </c>
      <c r="B51" s="36" t="s">
        <v>79</v>
      </c>
      <c r="C51" s="16" t="s">
        <v>1521</v>
      </c>
      <c r="D51" s="16" t="s">
        <v>1534</v>
      </c>
      <c r="E51" s="16" t="s">
        <v>1537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54</v>
      </c>
      <c r="O51" s="16" t="s">
        <v>546</v>
      </c>
      <c r="P51" s="15" t="s">
        <v>1498</v>
      </c>
      <c r="Q51" s="33" t="s">
        <v>1520</v>
      </c>
    </row>
    <row r="52" spans="1:17" ht="17.100000000000001" customHeight="1">
      <c r="A52" s="52">
        <v>45811</v>
      </c>
      <c r="B52" s="36" t="s">
        <v>79</v>
      </c>
      <c r="C52" s="16" t="s">
        <v>1521</v>
      </c>
      <c r="D52" s="16" t="s">
        <v>1534</v>
      </c>
      <c r="E52" s="16" t="s">
        <v>1538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27</v>
      </c>
      <c r="O52" s="16" t="s">
        <v>546</v>
      </c>
      <c r="P52" s="15" t="s">
        <v>1498</v>
      </c>
      <c r="Q52" s="33" t="s">
        <v>1520</v>
      </c>
    </row>
    <row r="53" spans="1:17" ht="17.100000000000001" customHeight="1">
      <c r="A53" s="52">
        <v>45811</v>
      </c>
      <c r="B53" s="36" t="s">
        <v>79</v>
      </c>
      <c r="C53" s="16" t="s">
        <v>1521</v>
      </c>
      <c r="D53" s="16" t="s">
        <v>1534</v>
      </c>
      <c r="E53" s="16" t="s">
        <v>1539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27</v>
      </c>
      <c r="O53" s="16" t="s">
        <v>546</v>
      </c>
      <c r="P53" s="15" t="s">
        <v>1498</v>
      </c>
      <c r="Q53" s="33" t="s">
        <v>1520</v>
      </c>
    </row>
    <row r="54" spans="1:17" ht="17.100000000000001" customHeight="1">
      <c r="A54" s="52">
        <v>45812</v>
      </c>
      <c r="B54" s="36" t="s">
        <v>79</v>
      </c>
      <c r="C54" s="16" t="s">
        <v>1542</v>
      </c>
      <c r="D54" s="16" t="s">
        <v>1534</v>
      </c>
      <c r="E54" s="16" t="s">
        <v>1540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27</v>
      </c>
      <c r="O54" s="16" t="s">
        <v>546</v>
      </c>
      <c r="P54" s="15" t="s">
        <v>1498</v>
      </c>
      <c r="Q54" s="33" t="s">
        <v>1520</v>
      </c>
    </row>
    <row r="55" spans="1:17" ht="17.100000000000001" customHeight="1">
      <c r="A55" s="52">
        <v>45812</v>
      </c>
      <c r="B55" s="36" t="s">
        <v>79</v>
      </c>
      <c r="C55" s="16" t="s">
        <v>1542</v>
      </c>
      <c r="D55" s="16" t="s">
        <v>1534</v>
      </c>
      <c r="E55" s="16" t="s">
        <v>1538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27</v>
      </c>
      <c r="O55" s="16" t="s">
        <v>546</v>
      </c>
      <c r="P55" s="15" t="s">
        <v>1498</v>
      </c>
      <c r="Q55" s="33" t="s">
        <v>1520</v>
      </c>
    </row>
    <row r="56" spans="1:17" ht="17.100000000000001" customHeight="1">
      <c r="A56" s="52">
        <v>45812</v>
      </c>
      <c r="B56" s="36" t="s">
        <v>79</v>
      </c>
      <c r="C56" s="16" t="s">
        <v>1542</v>
      </c>
      <c r="D56" s="16" t="s">
        <v>1534</v>
      </c>
      <c r="E56" s="16" t="s">
        <v>1541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27</v>
      </c>
      <c r="O56" s="16" t="s">
        <v>546</v>
      </c>
      <c r="P56" s="15" t="s">
        <v>1498</v>
      </c>
      <c r="Q56" s="33" t="s">
        <v>1520</v>
      </c>
    </row>
    <row r="57" spans="1:17" ht="17.100000000000001" customHeight="1">
      <c r="A57" s="52">
        <v>45812</v>
      </c>
      <c r="B57" s="36" t="s">
        <v>79</v>
      </c>
      <c r="C57" s="16" t="s">
        <v>1542</v>
      </c>
      <c r="D57" s="16" t="s">
        <v>1534</v>
      </c>
      <c r="E57" s="16" t="s">
        <v>1539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f>46/2</f>
        <v>23</v>
      </c>
      <c r="O57" s="16" t="s">
        <v>546</v>
      </c>
      <c r="P57" s="15" t="s">
        <v>1498</v>
      </c>
      <c r="Q57" s="33" t="s">
        <v>1520</v>
      </c>
    </row>
    <row r="58" spans="1:17" ht="17.100000000000001" customHeight="1">
      <c r="A58" s="52">
        <v>45812</v>
      </c>
      <c r="B58" s="36" t="s">
        <v>79</v>
      </c>
      <c r="C58" s="16" t="s">
        <v>1542</v>
      </c>
      <c r="D58" s="16" t="s">
        <v>1534</v>
      </c>
      <c r="E58" s="16" t="s">
        <v>1527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8</v>
      </c>
      <c r="O58" s="16" t="s">
        <v>546</v>
      </c>
      <c r="P58" s="15" t="s">
        <v>1498</v>
      </c>
      <c r="Q58" s="33" t="s">
        <v>1520</v>
      </c>
    </row>
    <row r="59" spans="1:17" ht="17.100000000000001" customHeight="1">
      <c r="A59" s="52">
        <v>45812</v>
      </c>
      <c r="B59" s="36" t="s">
        <v>1543</v>
      </c>
      <c r="C59" s="16" t="s">
        <v>1542</v>
      </c>
      <c r="D59" s="16" t="s">
        <v>48</v>
      </c>
      <c r="E59" s="16" t="s">
        <v>48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50</v>
      </c>
      <c r="O59" s="16" t="s">
        <v>1544</v>
      </c>
      <c r="P59" s="16" t="s">
        <v>1545</v>
      </c>
      <c r="Q59" s="32" t="s">
        <v>1546</v>
      </c>
    </row>
    <row r="60" spans="1:17" ht="17.100000000000001" customHeight="1">
      <c r="A60" s="52">
        <v>45812</v>
      </c>
      <c r="B60" s="36" t="s">
        <v>1547</v>
      </c>
      <c r="C60" s="16" t="s">
        <v>1542</v>
      </c>
      <c r="D60" s="16" t="s">
        <v>1548</v>
      </c>
      <c r="E60" s="16" t="s">
        <v>48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200</v>
      </c>
      <c r="O60" s="16" t="s">
        <v>546</v>
      </c>
      <c r="P60" s="16" t="s">
        <v>1551</v>
      </c>
      <c r="Q60" s="32" t="s">
        <v>1552</v>
      </c>
    </row>
    <row r="61" spans="1:17" ht="17.100000000000001" customHeight="1">
      <c r="A61" s="52">
        <v>45812</v>
      </c>
      <c r="B61" s="36" t="s">
        <v>1547</v>
      </c>
      <c r="C61" s="16" t="s">
        <v>1542</v>
      </c>
      <c r="D61" s="16" t="s">
        <v>1549</v>
      </c>
      <c r="E61" s="16" t="s">
        <v>48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287</v>
      </c>
      <c r="O61" s="16" t="s">
        <v>546</v>
      </c>
      <c r="P61" s="16" t="s">
        <v>1551</v>
      </c>
      <c r="Q61" s="32" t="s">
        <v>1552</v>
      </c>
    </row>
    <row r="62" spans="1:17" ht="17.100000000000001" customHeight="1">
      <c r="A62" s="52">
        <v>45812</v>
      </c>
      <c r="B62" s="36" t="s">
        <v>1547</v>
      </c>
      <c r="C62" s="16" t="s">
        <v>1542</v>
      </c>
      <c r="D62" s="16" t="s">
        <v>1550</v>
      </c>
      <c r="E62" s="16" t="s">
        <v>48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f>26/2</f>
        <v>13</v>
      </c>
      <c r="O62" s="16" t="s">
        <v>546</v>
      </c>
      <c r="P62" s="16" t="s">
        <v>1551</v>
      </c>
      <c r="Q62" s="32" t="s">
        <v>1552</v>
      </c>
    </row>
    <row r="63" spans="1:17" ht="17.100000000000001" customHeight="1">
      <c r="A63" s="53" t="s">
        <v>1553</v>
      </c>
      <c r="B63" s="36" t="s">
        <v>1554</v>
      </c>
      <c r="C63" s="16" t="s">
        <v>1555</v>
      </c>
      <c r="D63" s="16" t="s">
        <v>48</v>
      </c>
      <c r="E63" s="16" t="s">
        <v>48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30</v>
      </c>
      <c r="O63" s="16" t="s">
        <v>1544</v>
      </c>
      <c r="P63" s="16" t="s">
        <v>1556</v>
      </c>
      <c r="Q63" s="32" t="s">
        <v>1557</v>
      </c>
    </row>
    <row r="64" spans="1:17" ht="17.100000000000001" customHeight="1">
      <c r="A64" s="53" t="s">
        <v>1553</v>
      </c>
      <c r="B64" s="36" t="s">
        <v>1407</v>
      </c>
      <c r="C64" s="16" t="s">
        <v>1555</v>
      </c>
      <c r="D64" s="16" t="s">
        <v>48</v>
      </c>
      <c r="E64" s="16" t="s">
        <v>48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1558</v>
      </c>
      <c r="N64" s="16">
        <v>160</v>
      </c>
      <c r="O64" s="16" t="s">
        <v>1560</v>
      </c>
      <c r="P64" s="16" t="s">
        <v>1561</v>
      </c>
      <c r="Q64" s="32" t="s">
        <v>1562</v>
      </c>
    </row>
    <row r="65" spans="1:17" ht="17.100000000000001" customHeight="1">
      <c r="A65" s="53" t="s">
        <v>1553</v>
      </c>
      <c r="B65" s="36" t="s">
        <v>1317</v>
      </c>
      <c r="C65" s="16" t="s">
        <v>1555</v>
      </c>
      <c r="D65" s="16" t="s">
        <v>48</v>
      </c>
      <c r="E65" s="16" t="s">
        <v>48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1559</v>
      </c>
      <c r="N65" s="16">
        <v>120</v>
      </c>
      <c r="O65" s="16" t="s">
        <v>1560</v>
      </c>
      <c r="P65" s="16" t="s">
        <v>1563</v>
      </c>
      <c r="Q65" s="32" t="s">
        <v>1564</v>
      </c>
    </row>
    <row r="66" spans="1:17" ht="17.100000000000001" customHeight="1">
      <c r="A66" s="53" t="s">
        <v>1553</v>
      </c>
      <c r="B66" s="36" t="s">
        <v>337</v>
      </c>
      <c r="C66" s="16" t="s">
        <v>1555</v>
      </c>
      <c r="D66" s="16" t="s">
        <v>48</v>
      </c>
      <c r="E66" s="16" t="s">
        <v>48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100</v>
      </c>
      <c r="O66" s="16" t="s">
        <v>693</v>
      </c>
      <c r="P66" s="16" t="s">
        <v>1566</v>
      </c>
      <c r="Q66" s="32" t="s">
        <v>1567</v>
      </c>
    </row>
    <row r="67" spans="1:17" ht="17.100000000000001" customHeight="1">
      <c r="A67" s="53" t="s">
        <v>1553</v>
      </c>
      <c r="B67" s="36" t="s">
        <v>338</v>
      </c>
      <c r="C67" s="16" t="s">
        <v>1555</v>
      </c>
      <c r="D67" s="16" t="s">
        <v>48</v>
      </c>
      <c r="E67" s="16" t="s">
        <v>48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2000</v>
      </c>
      <c r="O67" s="16" t="s">
        <v>1565</v>
      </c>
      <c r="P67" s="16" t="s">
        <v>1568</v>
      </c>
      <c r="Q67" s="32" t="s">
        <v>1569</v>
      </c>
    </row>
    <row r="68" spans="1:17" ht="17.100000000000001" customHeight="1">
      <c r="A68" s="53">
        <v>45817</v>
      </c>
      <c r="B68" s="36" t="s">
        <v>143</v>
      </c>
      <c r="C68" s="16" t="s">
        <v>1570</v>
      </c>
      <c r="D68" s="16" t="s">
        <v>1571</v>
      </c>
      <c r="E68" s="16" t="s">
        <v>48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75</v>
      </c>
      <c r="O68" s="16" t="s">
        <v>1279</v>
      </c>
      <c r="P68" s="16" t="s">
        <v>1573</v>
      </c>
      <c r="Q68" s="32" t="s">
        <v>1574</v>
      </c>
    </row>
    <row r="69" spans="1:17" ht="17.100000000000001" customHeight="1">
      <c r="A69" s="53">
        <v>45817</v>
      </c>
      <c r="B69" s="36" t="s">
        <v>143</v>
      </c>
      <c r="C69" s="16" t="s">
        <v>1570</v>
      </c>
      <c r="D69" s="16" t="s">
        <v>1478</v>
      </c>
      <c r="E69" s="16" t="s">
        <v>48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25</v>
      </c>
      <c r="O69" s="16" t="s">
        <v>1279</v>
      </c>
      <c r="P69" s="16" t="s">
        <v>1573</v>
      </c>
      <c r="Q69" s="32" t="s">
        <v>1574</v>
      </c>
    </row>
    <row r="70" spans="1:17" ht="17.100000000000001" customHeight="1">
      <c r="A70" s="53">
        <v>45817</v>
      </c>
      <c r="B70" s="36" t="s">
        <v>143</v>
      </c>
      <c r="C70" s="16" t="s">
        <v>1570</v>
      </c>
      <c r="D70" s="16" t="s">
        <v>1572</v>
      </c>
      <c r="E70" s="16" t="s">
        <v>48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20</v>
      </c>
      <c r="O70" s="16" t="s">
        <v>1279</v>
      </c>
      <c r="P70" s="16" t="s">
        <v>1573</v>
      </c>
      <c r="Q70" s="32" t="s">
        <v>1574</v>
      </c>
    </row>
    <row r="71" spans="1:17" ht="17.100000000000001" customHeight="1">
      <c r="A71" s="53">
        <v>45817</v>
      </c>
      <c r="B71" s="36" t="s">
        <v>161</v>
      </c>
      <c r="C71" s="16" t="s">
        <v>1570</v>
      </c>
      <c r="D71" s="16" t="s">
        <v>48</v>
      </c>
      <c r="E71" s="16" t="s">
        <v>48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50</v>
      </c>
      <c r="O71" s="16" t="s">
        <v>1279</v>
      </c>
      <c r="P71" s="16" t="s">
        <v>1576</v>
      </c>
      <c r="Q71" s="32" t="s">
        <v>1575</v>
      </c>
    </row>
    <row r="72" spans="1:17" ht="17.100000000000001" customHeight="1">
      <c r="A72" s="53">
        <v>45817</v>
      </c>
      <c r="B72" s="36" t="s">
        <v>29</v>
      </c>
      <c r="C72" s="16" t="s">
        <v>1570</v>
      </c>
      <c r="D72" s="16" t="s">
        <v>1577</v>
      </c>
      <c r="E72" s="16" t="s">
        <v>48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125</v>
      </c>
      <c r="O72" s="16" t="s">
        <v>1279</v>
      </c>
      <c r="P72" s="16" t="s">
        <v>1578</v>
      </c>
      <c r="Q72" s="32" t="s">
        <v>1579</v>
      </c>
    </row>
    <row r="73" spans="1:17" ht="17.100000000000001" customHeight="1">
      <c r="A73" s="53">
        <v>45817</v>
      </c>
      <c r="B73" s="36" t="s">
        <v>168</v>
      </c>
      <c r="C73" s="16" t="s">
        <v>1570</v>
      </c>
      <c r="D73" s="16" t="s">
        <v>48</v>
      </c>
      <c r="E73" s="16" t="s">
        <v>48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250</v>
      </c>
      <c r="O73" s="16" t="s">
        <v>911</v>
      </c>
      <c r="P73" s="16" t="s">
        <v>1580</v>
      </c>
      <c r="Q73" s="32" t="s">
        <v>1581</v>
      </c>
    </row>
    <row r="74" spans="1:17" ht="17.100000000000001" customHeight="1">
      <c r="A74" s="53">
        <v>45817</v>
      </c>
      <c r="B74" s="36" t="s">
        <v>664</v>
      </c>
      <c r="C74" s="16" t="s">
        <v>1570</v>
      </c>
      <c r="D74" s="16" t="s">
        <v>48</v>
      </c>
      <c r="E74" s="16" t="s">
        <v>48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50</v>
      </c>
      <c r="O74" s="16" t="s">
        <v>911</v>
      </c>
      <c r="P74" s="16" t="s">
        <v>1583</v>
      </c>
      <c r="Q74" s="32" t="s">
        <v>1582</v>
      </c>
    </row>
    <row r="75" spans="1:17" ht="17.100000000000001" customHeight="1">
      <c r="A75" s="53">
        <v>45817</v>
      </c>
      <c r="B75" s="36" t="s">
        <v>31</v>
      </c>
      <c r="C75" s="16" t="s">
        <v>1570</v>
      </c>
      <c r="D75" s="16" t="s">
        <v>48</v>
      </c>
      <c r="E75" s="16" t="s">
        <v>48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200</v>
      </c>
      <c r="O75" s="16" t="s">
        <v>55</v>
      </c>
      <c r="P75" s="16" t="s">
        <v>1584</v>
      </c>
      <c r="Q75" s="32" t="s">
        <v>1585</v>
      </c>
    </row>
    <row r="76" spans="1:17" ht="17.100000000000001" customHeight="1">
      <c r="A76" s="53">
        <v>45817</v>
      </c>
      <c r="B76" s="36" t="s">
        <v>1167</v>
      </c>
      <c r="C76" s="16" t="s">
        <v>1570</v>
      </c>
      <c r="D76" s="16" t="s">
        <v>1588</v>
      </c>
      <c r="E76" s="16" t="s">
        <v>48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300</v>
      </c>
      <c r="O76" s="16" t="s">
        <v>1279</v>
      </c>
      <c r="P76" s="16" t="s">
        <v>1587</v>
      </c>
      <c r="Q76" s="32" t="s">
        <v>1586</v>
      </c>
    </row>
    <row r="77" spans="1:17" ht="17.100000000000001" customHeight="1">
      <c r="A77" s="53">
        <v>45817</v>
      </c>
      <c r="B77" s="36" t="s">
        <v>1167</v>
      </c>
      <c r="C77" s="16" t="s">
        <v>1570</v>
      </c>
      <c r="D77" s="16" t="s">
        <v>1589</v>
      </c>
      <c r="E77" s="16" t="s">
        <v>48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100</v>
      </c>
      <c r="O77" s="16" t="s">
        <v>1279</v>
      </c>
      <c r="P77" s="16" t="s">
        <v>1587</v>
      </c>
      <c r="Q77" s="32" t="s">
        <v>1586</v>
      </c>
    </row>
    <row r="78" spans="1:17" ht="17.100000000000001" customHeight="1">
      <c r="A78" s="53">
        <v>45817</v>
      </c>
      <c r="B78" s="36" t="s">
        <v>1590</v>
      </c>
      <c r="C78" s="16" t="s">
        <v>1570</v>
      </c>
      <c r="D78" s="16" t="s">
        <v>48</v>
      </c>
      <c r="E78" s="16" t="s">
        <v>48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50</v>
      </c>
      <c r="O78" s="16" t="s">
        <v>233</v>
      </c>
      <c r="P78" s="16" t="s">
        <v>1591</v>
      </c>
      <c r="Q78" s="32" t="s">
        <v>1592</v>
      </c>
    </row>
    <row r="79" spans="1:17" ht="17.100000000000001" customHeight="1">
      <c r="A79" s="53">
        <v>45817</v>
      </c>
      <c r="B79" s="36" t="s">
        <v>1317</v>
      </c>
      <c r="C79" s="16" t="s">
        <v>1570</v>
      </c>
      <c r="D79" s="16" t="s">
        <v>48</v>
      </c>
      <c r="E79" s="16" t="s">
        <v>48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100</v>
      </c>
      <c r="O79" s="16" t="s">
        <v>1279</v>
      </c>
      <c r="P79" s="16" t="s">
        <v>1591</v>
      </c>
      <c r="Q79" s="32" t="s">
        <v>1592</v>
      </c>
    </row>
    <row r="80" spans="1:17" ht="17.100000000000001" customHeight="1">
      <c r="A80" s="53">
        <v>45818</v>
      </c>
      <c r="B80" s="36" t="s">
        <v>1326</v>
      </c>
      <c r="C80" s="16" t="s">
        <v>1593</v>
      </c>
      <c r="D80" s="16" t="s">
        <v>48</v>
      </c>
      <c r="E80" s="16" t="s">
        <v>48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400</v>
      </c>
      <c r="O80" s="16" t="s">
        <v>233</v>
      </c>
      <c r="P80" s="16" t="s">
        <v>1594</v>
      </c>
      <c r="Q80" s="32" t="s">
        <v>1595</v>
      </c>
    </row>
    <row r="81" spans="1:17" ht="17.100000000000001" customHeight="1">
      <c r="A81" s="53">
        <v>45818</v>
      </c>
      <c r="B81" s="36" t="s">
        <v>1477</v>
      </c>
      <c r="C81" s="16" t="s">
        <v>1593</v>
      </c>
      <c r="D81" s="16" t="s">
        <v>48</v>
      </c>
      <c r="E81" s="16" t="s">
        <v>48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100</v>
      </c>
      <c r="O81" s="16" t="s">
        <v>911</v>
      </c>
      <c r="P81" s="16" t="s">
        <v>1596</v>
      </c>
      <c r="Q81" s="32" t="s">
        <v>1597</v>
      </c>
    </row>
    <row r="82" spans="1:17" ht="17.100000000000001" customHeight="1">
      <c r="A82" s="53">
        <v>45818</v>
      </c>
      <c r="B82" s="36" t="s">
        <v>136</v>
      </c>
      <c r="C82" s="16" t="s">
        <v>1593</v>
      </c>
      <c r="D82" s="16" t="s">
        <v>1598</v>
      </c>
      <c r="E82" s="16" t="s">
        <v>48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20</v>
      </c>
      <c r="O82" s="16" t="s">
        <v>233</v>
      </c>
      <c r="P82" s="16" t="s">
        <v>1599</v>
      </c>
      <c r="Q82" s="32" t="s">
        <v>1600</v>
      </c>
    </row>
    <row r="83" spans="1:17" ht="17.100000000000001" customHeight="1">
      <c r="A83" s="53">
        <v>45818</v>
      </c>
      <c r="B83" s="36" t="s">
        <v>469</v>
      </c>
      <c r="C83" s="16" t="s">
        <v>1593</v>
      </c>
      <c r="D83" s="16" t="s">
        <v>48</v>
      </c>
      <c r="E83" s="16" t="s">
        <v>48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2</v>
      </c>
      <c r="O83" s="16" t="s">
        <v>55</v>
      </c>
      <c r="P83" s="16" t="s">
        <v>1601</v>
      </c>
      <c r="Q83" s="32" t="s">
        <v>1602</v>
      </c>
    </row>
    <row r="84" spans="1:17" ht="17.100000000000001" customHeight="1">
      <c r="A84" s="53">
        <v>45818</v>
      </c>
      <c r="B84" s="36" t="s">
        <v>1603</v>
      </c>
      <c r="C84" s="16" t="s">
        <v>1593</v>
      </c>
      <c r="D84" s="16" t="s">
        <v>48</v>
      </c>
      <c r="E84" s="16" t="s">
        <v>48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5</v>
      </c>
      <c r="O84" s="16" t="s">
        <v>55</v>
      </c>
      <c r="P84" s="16" t="s">
        <v>1604</v>
      </c>
      <c r="Q84" s="32" t="s">
        <v>1605</v>
      </c>
    </row>
    <row r="85" spans="1:17" ht="17.100000000000001" customHeight="1">
      <c r="A85" s="53">
        <v>45818</v>
      </c>
      <c r="B85" s="36" t="s">
        <v>157</v>
      </c>
      <c r="C85" s="16" t="s">
        <v>1593</v>
      </c>
      <c r="D85" s="16" t="s">
        <v>48</v>
      </c>
      <c r="E85" s="16" t="s">
        <v>48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1</v>
      </c>
      <c r="O85" s="16" t="s">
        <v>55</v>
      </c>
      <c r="P85" s="16" t="s">
        <v>1606</v>
      </c>
      <c r="Q85" s="32" t="s">
        <v>1607</v>
      </c>
    </row>
    <row r="86" spans="1:17" ht="17.100000000000001" customHeight="1">
      <c r="A86" s="53">
        <v>45818</v>
      </c>
      <c r="B86" s="36" t="s">
        <v>421</v>
      </c>
      <c r="C86" s="16" t="s">
        <v>1593</v>
      </c>
      <c r="D86" s="16" t="s">
        <v>48</v>
      </c>
      <c r="E86" s="16" t="s">
        <v>48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100</v>
      </c>
      <c r="O86" s="16" t="s">
        <v>911</v>
      </c>
      <c r="P86" s="16" t="s">
        <v>1594</v>
      </c>
      <c r="Q86" s="32" t="s">
        <v>1608</v>
      </c>
    </row>
    <row r="87" spans="1:17" ht="17.100000000000001" customHeight="1">
      <c r="A87" s="53">
        <v>45818</v>
      </c>
      <c r="B87" s="36" t="s">
        <v>157</v>
      </c>
      <c r="C87" s="16" t="s">
        <v>1593</v>
      </c>
      <c r="D87" s="16" t="s">
        <v>48</v>
      </c>
      <c r="E87" s="16" t="s">
        <v>48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5</v>
      </c>
      <c r="O87" s="16" t="s">
        <v>55</v>
      </c>
      <c r="P87" s="16" t="s">
        <v>1609</v>
      </c>
      <c r="Q87" s="32" t="s">
        <v>1610</v>
      </c>
    </row>
    <row r="88" spans="1:17" ht="17.100000000000001" customHeight="1">
      <c r="A88" s="53">
        <v>45818</v>
      </c>
      <c r="B88" s="36" t="s">
        <v>1611</v>
      </c>
      <c r="C88" s="16" t="s">
        <v>1593</v>
      </c>
      <c r="D88" s="16" t="s">
        <v>48</v>
      </c>
      <c r="E88" s="16" t="s">
        <v>48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2</v>
      </c>
      <c r="O88" s="16" t="s">
        <v>55</v>
      </c>
      <c r="P88" s="16" t="s">
        <v>1616</v>
      </c>
      <c r="Q88" s="32" t="s">
        <v>1622</v>
      </c>
    </row>
    <row r="89" spans="1:17" ht="17.100000000000001" customHeight="1">
      <c r="A89" s="53">
        <v>45818</v>
      </c>
      <c r="B89" s="36" t="s">
        <v>1612</v>
      </c>
      <c r="C89" s="16" t="s">
        <v>1593</v>
      </c>
      <c r="D89" s="16" t="s">
        <v>48</v>
      </c>
      <c r="E89" s="16" t="s">
        <v>48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2</v>
      </c>
      <c r="O89" s="16" t="s">
        <v>55</v>
      </c>
      <c r="P89" s="16" t="s">
        <v>1617</v>
      </c>
      <c r="Q89" s="32" t="s">
        <v>1623</v>
      </c>
    </row>
    <row r="90" spans="1:17" ht="17.100000000000001" customHeight="1">
      <c r="A90" s="53">
        <v>45818</v>
      </c>
      <c r="B90" s="36" t="s">
        <v>1613</v>
      </c>
      <c r="C90" s="16" t="s">
        <v>1593</v>
      </c>
      <c r="D90" s="16" t="s">
        <v>48</v>
      </c>
      <c r="E90" s="16" t="s">
        <v>48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1</v>
      </c>
      <c r="O90" s="16" t="s">
        <v>55</v>
      </c>
      <c r="P90" s="16" t="s">
        <v>1618</v>
      </c>
      <c r="Q90" s="32" t="s">
        <v>1624</v>
      </c>
    </row>
    <row r="91" spans="1:17" ht="17.100000000000001" customHeight="1">
      <c r="A91" s="53">
        <v>45818</v>
      </c>
      <c r="B91" s="36" t="s">
        <v>1614</v>
      </c>
      <c r="C91" s="16" t="s">
        <v>1593</v>
      </c>
      <c r="D91" s="16" t="s">
        <v>48</v>
      </c>
      <c r="E91" s="16" t="s">
        <v>48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1</v>
      </c>
      <c r="O91" s="16" t="s">
        <v>55</v>
      </c>
      <c r="P91" s="16" t="s">
        <v>1619</v>
      </c>
      <c r="Q91" s="32" t="s">
        <v>1625</v>
      </c>
    </row>
    <row r="92" spans="1:17" ht="17.100000000000001" customHeight="1">
      <c r="A92" s="53">
        <v>45818</v>
      </c>
      <c r="B92" s="36" t="s">
        <v>1615</v>
      </c>
      <c r="C92" s="16" t="s">
        <v>1593</v>
      </c>
      <c r="D92" s="16" t="s">
        <v>48</v>
      </c>
      <c r="E92" s="16" t="s">
        <v>48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1</v>
      </c>
      <c r="O92" s="16" t="s">
        <v>55</v>
      </c>
      <c r="P92" s="16" t="s">
        <v>1620</v>
      </c>
      <c r="Q92" s="32" t="s">
        <v>1626</v>
      </c>
    </row>
    <row r="93" spans="1:17" ht="17.100000000000001" customHeight="1">
      <c r="A93" s="53">
        <v>45818</v>
      </c>
      <c r="B93" s="36" t="s">
        <v>1326</v>
      </c>
      <c r="C93" s="16" t="s">
        <v>1593</v>
      </c>
      <c r="D93" s="16" t="s">
        <v>48</v>
      </c>
      <c r="E93" s="16" t="s">
        <v>48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30</v>
      </c>
      <c r="O93" s="16" t="s">
        <v>911</v>
      </c>
      <c r="P93" s="16" t="s">
        <v>1621</v>
      </c>
      <c r="Q93" s="32" t="s">
        <v>1627</v>
      </c>
    </row>
    <row r="94" spans="1:17" ht="17.100000000000001" customHeight="1">
      <c r="A94" s="53">
        <v>45818</v>
      </c>
      <c r="B94" s="36" t="s">
        <v>1628</v>
      </c>
      <c r="C94" s="16" t="s">
        <v>1593</v>
      </c>
      <c r="D94" s="16" t="s">
        <v>48</v>
      </c>
      <c r="E94" s="16" t="s">
        <v>48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2</v>
      </c>
      <c r="O94" s="16" t="s">
        <v>911</v>
      </c>
      <c r="P94" s="16" t="s">
        <v>1629</v>
      </c>
      <c r="Q94" s="32" t="s">
        <v>1630</v>
      </c>
    </row>
    <row r="95" spans="1:17" ht="17.100000000000001" customHeight="1">
      <c r="A95" s="53">
        <v>45818</v>
      </c>
      <c r="B95" s="36" t="s">
        <v>1633</v>
      </c>
      <c r="C95" s="16" t="s">
        <v>1593</v>
      </c>
      <c r="D95" s="16" t="s">
        <v>48</v>
      </c>
      <c r="E95" s="16" t="s">
        <v>48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5</v>
      </c>
      <c r="O95" s="16" t="s">
        <v>55</v>
      </c>
      <c r="P95" s="16" t="s">
        <v>1631</v>
      </c>
      <c r="Q95" s="32" t="s">
        <v>1632</v>
      </c>
    </row>
    <row r="96" spans="1:17" ht="17.100000000000001" customHeight="1">
      <c r="A96" s="53">
        <v>45818</v>
      </c>
      <c r="B96" s="36" t="s">
        <v>24</v>
      </c>
      <c r="C96" s="16" t="s">
        <v>1593</v>
      </c>
      <c r="D96" s="16" t="s">
        <v>48</v>
      </c>
      <c r="E96" s="16" t="s">
        <v>48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100</v>
      </c>
      <c r="O96" s="16" t="s">
        <v>911</v>
      </c>
      <c r="P96" s="16" t="s">
        <v>1634</v>
      </c>
      <c r="Q96" s="32" t="s">
        <v>1635</v>
      </c>
    </row>
    <row r="97" spans="1:17" ht="17.100000000000001" customHeight="1">
      <c r="A97" s="53">
        <v>45818</v>
      </c>
      <c r="B97" s="36" t="s">
        <v>41</v>
      </c>
      <c r="C97" s="16" t="s">
        <v>1593</v>
      </c>
      <c r="D97" s="16" t="s">
        <v>1638</v>
      </c>
      <c r="E97" s="16" t="s">
        <v>1640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84</v>
      </c>
      <c r="O97" s="16" t="s">
        <v>1279</v>
      </c>
      <c r="P97" s="16" t="s">
        <v>1637</v>
      </c>
      <c r="Q97" s="32" t="s">
        <v>1636</v>
      </c>
    </row>
    <row r="98" spans="1:17" ht="17.100000000000001" customHeight="1">
      <c r="A98" s="53">
        <v>45818</v>
      </c>
      <c r="B98" s="36" t="s">
        <v>41</v>
      </c>
      <c r="C98" s="16" t="s">
        <v>1593</v>
      </c>
      <c r="D98" s="16" t="s">
        <v>1639</v>
      </c>
      <c r="E98" s="16" t="s">
        <v>1641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156</v>
      </c>
      <c r="O98" s="16" t="s">
        <v>1279</v>
      </c>
      <c r="P98" s="16" t="s">
        <v>1637</v>
      </c>
      <c r="Q98" s="32" t="s">
        <v>1636</v>
      </c>
    </row>
    <row r="99" spans="1:17" ht="17.100000000000001" customHeight="1">
      <c r="A99" s="16"/>
      <c r="B99" s="36"/>
      <c r="C99" s="16" t="s">
        <v>1593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31"/>
    </row>
    <row r="100" spans="1:17" ht="17.100000000000001" customHeight="1">
      <c r="A100" s="53">
        <v>45821</v>
      </c>
      <c r="B100" s="36" t="s">
        <v>1265</v>
      </c>
      <c r="C100" s="16" t="s">
        <v>1642</v>
      </c>
      <c r="D100" s="16" t="s">
        <v>48</v>
      </c>
      <c r="E100" s="16" t="s">
        <v>48</v>
      </c>
      <c r="F100" s="16" t="s">
        <v>1643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40</v>
      </c>
      <c r="O100" s="16" t="s">
        <v>320</v>
      </c>
      <c r="P100" s="16" t="s">
        <v>1644</v>
      </c>
      <c r="Q100" s="32" t="s">
        <v>1645</v>
      </c>
    </row>
    <row r="101" spans="1:17" ht="17.100000000000001" customHeight="1">
      <c r="A101" s="53">
        <v>45821</v>
      </c>
      <c r="B101" s="36" t="s">
        <v>143</v>
      </c>
      <c r="C101" s="16" t="s">
        <v>1642</v>
      </c>
      <c r="D101" s="16" t="s">
        <v>1646</v>
      </c>
      <c r="E101" s="16" t="s">
        <v>48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200</v>
      </c>
      <c r="O101" s="16" t="s">
        <v>299</v>
      </c>
      <c r="P101" s="16" t="s">
        <v>1651</v>
      </c>
      <c r="Q101" s="31"/>
    </row>
    <row r="102" spans="1:17" ht="17.100000000000001" customHeight="1">
      <c r="A102" s="53">
        <v>45821</v>
      </c>
      <c r="B102" s="36" t="s">
        <v>143</v>
      </c>
      <c r="C102" s="16" t="s">
        <v>1642</v>
      </c>
      <c r="D102" s="16" t="s">
        <v>1647</v>
      </c>
      <c r="E102" s="16" t="s">
        <v>48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100</v>
      </c>
      <c r="O102" s="16" t="s">
        <v>299</v>
      </c>
      <c r="P102" s="16" t="s">
        <v>1651</v>
      </c>
      <c r="Q102" s="31"/>
    </row>
    <row r="103" spans="1:17" ht="17.100000000000001" customHeight="1">
      <c r="A103" s="53">
        <v>45821</v>
      </c>
      <c r="B103" s="36" t="s">
        <v>1648</v>
      </c>
      <c r="C103" s="16" t="s">
        <v>1642</v>
      </c>
      <c r="D103" s="16" t="s">
        <v>1646</v>
      </c>
      <c r="E103" s="16" t="s">
        <v>48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100</v>
      </c>
      <c r="O103" s="16" t="s">
        <v>1649</v>
      </c>
      <c r="P103" s="16" t="s">
        <v>1650</v>
      </c>
      <c r="Q103" s="31"/>
    </row>
    <row r="104" spans="1:17" ht="17.100000000000001" customHeight="1">
      <c r="A104" s="53">
        <v>45821</v>
      </c>
      <c r="B104" s="36" t="s">
        <v>119</v>
      </c>
      <c r="C104" s="16" t="s">
        <v>1642</v>
      </c>
      <c r="D104" s="16">
        <v>2505191</v>
      </c>
      <c r="E104" s="16" t="s">
        <v>1654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56</v>
      </c>
      <c r="O104" s="16" t="s">
        <v>1652</v>
      </c>
      <c r="P104" s="16" t="s">
        <v>1653</v>
      </c>
      <c r="Q104" s="31"/>
    </row>
    <row r="105" spans="1:17" ht="17.100000000000001" customHeight="1">
      <c r="A105" s="53">
        <v>45821</v>
      </c>
      <c r="B105" s="36" t="s">
        <v>119</v>
      </c>
      <c r="C105" s="16" t="s">
        <v>1642</v>
      </c>
      <c r="D105" s="16">
        <v>2505191</v>
      </c>
      <c r="E105" s="16" t="s">
        <v>1655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50</v>
      </c>
      <c r="O105" s="16" t="s">
        <v>1652</v>
      </c>
      <c r="P105" s="16" t="s">
        <v>1653</v>
      </c>
      <c r="Q105" s="31"/>
    </row>
    <row r="106" spans="1:17" ht="17.100000000000001" customHeight="1">
      <c r="A106" s="53">
        <v>45821</v>
      </c>
      <c r="B106" s="36" t="s">
        <v>119</v>
      </c>
      <c r="C106" s="16" t="s">
        <v>1642</v>
      </c>
      <c r="D106" s="16">
        <v>2505191</v>
      </c>
      <c r="E106" s="16" t="s">
        <v>1656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50</v>
      </c>
      <c r="O106" s="16" t="s">
        <v>1652</v>
      </c>
      <c r="P106" s="16" t="s">
        <v>1653</v>
      </c>
      <c r="Q106" s="31"/>
    </row>
    <row r="107" spans="1:17" ht="17.100000000000001" customHeight="1">
      <c r="A107" s="53">
        <v>45824</v>
      </c>
      <c r="B107" s="36" t="s">
        <v>41</v>
      </c>
      <c r="C107" s="16" t="s">
        <v>1672</v>
      </c>
      <c r="D107" s="16" t="s">
        <v>1647</v>
      </c>
      <c r="E107" s="16" t="s">
        <v>48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12</v>
      </c>
      <c r="O107" s="16" t="s">
        <v>1560</v>
      </c>
      <c r="P107" s="16"/>
      <c r="Q107" s="31"/>
    </row>
    <row r="108" spans="1:17" ht="17.100000000000001" customHeight="1">
      <c r="A108" s="53">
        <v>45824</v>
      </c>
      <c r="B108" s="36" t="s">
        <v>143</v>
      </c>
      <c r="C108" s="16" t="s">
        <v>1672</v>
      </c>
      <c r="D108" s="16" t="s">
        <v>1682</v>
      </c>
      <c r="E108" s="16" t="s">
        <v>1683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60</v>
      </c>
      <c r="O108" s="16" t="s">
        <v>1560</v>
      </c>
      <c r="P108" s="16" t="s">
        <v>1657</v>
      </c>
      <c r="Q108" s="32" t="s">
        <v>1658</v>
      </c>
    </row>
    <row r="109" spans="1:17" ht="17.100000000000001" customHeight="1">
      <c r="A109" s="53">
        <v>45824</v>
      </c>
      <c r="B109" s="36" t="s">
        <v>374</v>
      </c>
      <c r="C109" s="16" t="s">
        <v>1672</v>
      </c>
      <c r="D109" s="16" t="s">
        <v>1681</v>
      </c>
      <c r="E109" s="16" t="s">
        <v>1684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125</v>
      </c>
      <c r="O109" s="16" t="s">
        <v>1111</v>
      </c>
      <c r="P109" s="16" t="s">
        <v>1659</v>
      </c>
      <c r="Q109" s="32" t="s">
        <v>1660</v>
      </c>
    </row>
    <row r="110" spans="1:17" ht="17.100000000000001" customHeight="1">
      <c r="A110" s="53">
        <v>45824</v>
      </c>
      <c r="B110" s="36" t="s">
        <v>38</v>
      </c>
      <c r="C110" s="16" t="s">
        <v>1672</v>
      </c>
      <c r="D110" s="16" t="s">
        <v>48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>
        <v>24919</v>
      </c>
      <c r="N110" s="16">
        <v>200</v>
      </c>
      <c r="O110" s="16" t="s">
        <v>1661</v>
      </c>
      <c r="P110" s="16" t="s">
        <v>1662</v>
      </c>
      <c r="Q110" s="32" t="s">
        <v>1663</v>
      </c>
    </row>
    <row r="111" spans="1:17" ht="17.100000000000001" customHeight="1">
      <c r="A111" s="53">
        <v>45824</v>
      </c>
      <c r="B111" s="36" t="s">
        <v>1664</v>
      </c>
      <c r="C111" s="16" t="s">
        <v>1672</v>
      </c>
      <c r="D111" s="16" t="s">
        <v>48</v>
      </c>
      <c r="E111" s="16" t="s">
        <v>48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1685</v>
      </c>
      <c r="N111" s="16">
        <v>141</v>
      </c>
      <c r="O111" s="16" t="s">
        <v>1665</v>
      </c>
      <c r="P111" s="16" t="s">
        <v>1666</v>
      </c>
      <c r="Q111" s="32" t="s">
        <v>1667</v>
      </c>
    </row>
    <row r="112" spans="1:17" ht="17.100000000000001" customHeight="1">
      <c r="A112" s="53">
        <v>45824</v>
      </c>
      <c r="B112" s="36" t="s">
        <v>222</v>
      </c>
      <c r="C112" s="16" t="s">
        <v>1672</v>
      </c>
      <c r="D112" s="16" t="s">
        <v>48</v>
      </c>
      <c r="E112" s="16" t="s">
        <v>48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1686</v>
      </c>
      <c r="N112" s="16">
        <v>30</v>
      </c>
      <c r="O112" s="16" t="s">
        <v>233</v>
      </c>
      <c r="P112" s="16" t="s">
        <v>1668</v>
      </c>
      <c r="Q112" s="32" t="s">
        <v>1669</v>
      </c>
    </row>
    <row r="113" spans="1:17" ht="17.100000000000001" customHeight="1">
      <c r="A113" s="53">
        <v>45824</v>
      </c>
      <c r="B113" s="36" t="s">
        <v>420</v>
      </c>
      <c r="C113" s="16" t="s">
        <v>1672</v>
      </c>
      <c r="D113" s="16" t="s">
        <v>48</v>
      </c>
      <c r="E113" s="16" t="s">
        <v>48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1687</v>
      </c>
      <c r="N113" s="16">
        <v>20</v>
      </c>
      <c r="O113" s="16" t="s">
        <v>233</v>
      </c>
      <c r="P113" s="16" t="s">
        <v>1670</v>
      </c>
      <c r="Q113" s="32" t="s">
        <v>1671</v>
      </c>
    </row>
    <row r="114" spans="1:17" ht="17.100000000000001" customHeight="1">
      <c r="A114" s="53">
        <v>45824</v>
      </c>
      <c r="B114" s="36" t="s">
        <v>143</v>
      </c>
      <c r="C114" s="16" t="s">
        <v>1672</v>
      </c>
      <c r="D114" s="16" t="s">
        <v>1688</v>
      </c>
      <c r="E114" s="16" t="s">
        <v>48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60</v>
      </c>
      <c r="O114" s="16" t="s">
        <v>1279</v>
      </c>
      <c r="P114" s="16" t="s">
        <v>1657</v>
      </c>
      <c r="Q114" s="32" t="s">
        <v>1658</v>
      </c>
    </row>
    <row r="115" spans="1:17" ht="17.100000000000001" customHeight="1">
      <c r="A115" s="53">
        <v>45824</v>
      </c>
      <c r="B115" s="36" t="s">
        <v>1673</v>
      </c>
      <c r="C115" s="16" t="s">
        <v>1672</v>
      </c>
      <c r="D115" s="16" t="s">
        <v>48</v>
      </c>
      <c r="E115" s="16" t="s">
        <v>48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2</v>
      </c>
      <c r="O115" s="16" t="s">
        <v>911</v>
      </c>
      <c r="P115" s="16" t="s">
        <v>1674</v>
      </c>
      <c r="Q115" s="32" t="s">
        <v>1675</v>
      </c>
    </row>
    <row r="116" spans="1:17" ht="17.100000000000001" customHeight="1">
      <c r="A116" s="53">
        <v>45824</v>
      </c>
      <c r="B116" s="36" t="s">
        <v>1676</v>
      </c>
      <c r="C116" s="16" t="s">
        <v>1672</v>
      </c>
      <c r="D116" s="16" t="s">
        <v>48</v>
      </c>
      <c r="E116" s="16" t="s">
        <v>48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1689</v>
      </c>
      <c r="N116" s="16">
        <v>25</v>
      </c>
      <c r="O116" s="16" t="s">
        <v>55</v>
      </c>
      <c r="P116" s="16" t="s">
        <v>1677</v>
      </c>
      <c r="Q116" s="32" t="s">
        <v>1678</v>
      </c>
    </row>
    <row r="117" spans="1:17" ht="17.100000000000001" customHeight="1">
      <c r="A117" s="53">
        <v>45824</v>
      </c>
      <c r="B117" s="36" t="s">
        <v>239</v>
      </c>
      <c r="C117" s="16" t="s">
        <v>1672</v>
      </c>
      <c r="D117" s="16" t="s">
        <v>48</v>
      </c>
      <c r="E117" s="16" t="s">
        <v>48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10</v>
      </c>
      <c r="O117" s="16" t="s">
        <v>55</v>
      </c>
      <c r="P117" s="16"/>
      <c r="Q117" s="31"/>
    </row>
    <row r="118" spans="1:17" ht="17.100000000000001" customHeight="1">
      <c r="A118" s="53">
        <v>45824</v>
      </c>
      <c r="B118" s="36" t="s">
        <v>174</v>
      </c>
      <c r="C118" s="16" t="s">
        <v>1672</v>
      </c>
      <c r="D118" s="16" t="s">
        <v>1690</v>
      </c>
      <c r="E118" s="16" t="s">
        <v>1401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27</v>
      </c>
      <c r="O118" s="16" t="s">
        <v>1279</v>
      </c>
      <c r="P118" s="16" t="s">
        <v>1679</v>
      </c>
      <c r="Q118" s="32" t="s">
        <v>1680</v>
      </c>
    </row>
    <row r="119" spans="1:17" ht="17.100000000000001" customHeight="1">
      <c r="A119" s="53">
        <v>45824</v>
      </c>
      <c r="B119" s="36" t="s">
        <v>174</v>
      </c>
      <c r="C119" s="16" t="s">
        <v>1672</v>
      </c>
      <c r="D119" s="16" t="s">
        <v>1690</v>
      </c>
      <c r="E119" s="16" t="s">
        <v>1536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27</v>
      </c>
      <c r="O119" s="16" t="s">
        <v>1279</v>
      </c>
      <c r="P119" s="16" t="s">
        <v>1679</v>
      </c>
      <c r="Q119" s="32" t="s">
        <v>1680</v>
      </c>
    </row>
    <row r="120" spans="1:17" ht="17.100000000000001" customHeight="1">
      <c r="A120" s="53">
        <v>45824</v>
      </c>
      <c r="B120" s="36" t="s">
        <v>174</v>
      </c>
      <c r="C120" s="16" t="s">
        <v>1672</v>
      </c>
      <c r="D120" s="16" t="s">
        <v>1690</v>
      </c>
      <c r="E120" s="16" t="s">
        <v>1691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27</v>
      </c>
      <c r="O120" s="16" t="s">
        <v>1279</v>
      </c>
      <c r="P120" s="16" t="s">
        <v>1679</v>
      </c>
      <c r="Q120" s="32" t="s">
        <v>1680</v>
      </c>
    </row>
    <row r="121" spans="1:17" ht="17.100000000000001" customHeight="1">
      <c r="A121" s="53">
        <v>45824</v>
      </c>
      <c r="B121" s="36" t="s">
        <v>174</v>
      </c>
      <c r="C121" s="16" t="s">
        <v>1672</v>
      </c>
      <c r="D121" s="16" t="s">
        <v>1692</v>
      </c>
      <c r="E121" s="16" t="s">
        <v>1693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27</v>
      </c>
      <c r="O121" s="16" t="s">
        <v>1279</v>
      </c>
      <c r="P121" s="16" t="s">
        <v>1679</v>
      </c>
      <c r="Q121" s="32" t="s">
        <v>1680</v>
      </c>
    </row>
    <row r="122" spans="1:17" ht="17.100000000000001" customHeight="1">
      <c r="A122" s="53">
        <v>45824</v>
      </c>
      <c r="B122" s="36" t="s">
        <v>174</v>
      </c>
      <c r="C122" s="16" t="s">
        <v>1672</v>
      </c>
      <c r="D122" s="16" t="s">
        <v>1692</v>
      </c>
      <c r="E122" s="16" t="s">
        <v>1691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27</v>
      </c>
      <c r="O122" s="16" t="s">
        <v>1279</v>
      </c>
      <c r="P122" s="16" t="s">
        <v>1679</v>
      </c>
      <c r="Q122" s="32" t="s">
        <v>1680</v>
      </c>
    </row>
    <row r="123" spans="1:17" ht="17.100000000000001" customHeight="1">
      <c r="A123" s="53">
        <v>45824</v>
      </c>
      <c r="B123" s="36" t="s">
        <v>174</v>
      </c>
      <c r="C123" s="16" t="s">
        <v>1672</v>
      </c>
      <c r="D123" s="16" t="s">
        <v>1692</v>
      </c>
      <c r="E123" s="16" t="s">
        <v>1693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27</v>
      </c>
      <c r="O123" s="16" t="s">
        <v>1279</v>
      </c>
      <c r="P123" s="16" t="s">
        <v>1679</v>
      </c>
      <c r="Q123" s="32" t="s">
        <v>1680</v>
      </c>
    </row>
    <row r="124" spans="1:17" ht="17.100000000000001" customHeight="1">
      <c r="A124" s="53">
        <v>45824</v>
      </c>
      <c r="B124" s="36" t="s">
        <v>174</v>
      </c>
      <c r="C124" s="16" t="s">
        <v>1672</v>
      </c>
      <c r="D124" s="16" t="s">
        <v>1692</v>
      </c>
      <c r="E124" s="16" t="s">
        <v>1694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27</v>
      </c>
      <c r="O124" s="16" t="s">
        <v>1279</v>
      </c>
      <c r="P124" s="16" t="s">
        <v>1679</v>
      </c>
      <c r="Q124" s="32" t="s">
        <v>1680</v>
      </c>
    </row>
    <row r="125" spans="1:17" ht="17.100000000000001" customHeight="1">
      <c r="A125" s="53">
        <v>45824</v>
      </c>
      <c r="B125" s="36" t="s">
        <v>174</v>
      </c>
      <c r="C125" s="16" t="s">
        <v>1672</v>
      </c>
      <c r="D125" s="16" t="s">
        <v>1692</v>
      </c>
      <c r="E125" s="16" t="s">
        <v>1695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7</v>
      </c>
      <c r="O125" s="16" t="s">
        <v>1279</v>
      </c>
      <c r="P125" s="16" t="s">
        <v>1679</v>
      </c>
      <c r="Q125" s="32" t="s">
        <v>1680</v>
      </c>
    </row>
    <row r="126" spans="1:17" ht="17.100000000000001" customHeight="1">
      <c r="A126" s="53">
        <v>45824</v>
      </c>
      <c r="B126" s="36" t="s">
        <v>174</v>
      </c>
      <c r="C126" s="16" t="s">
        <v>1672</v>
      </c>
      <c r="D126" s="16" t="s">
        <v>1696</v>
      </c>
      <c r="E126" s="16" t="s">
        <v>1695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20</v>
      </c>
      <c r="O126" s="16" t="s">
        <v>1279</v>
      </c>
      <c r="P126" s="16" t="s">
        <v>1679</v>
      </c>
      <c r="Q126" s="32" t="s">
        <v>1680</v>
      </c>
    </row>
    <row r="127" spans="1:17" ht="17.100000000000001" customHeight="1">
      <c r="A127" s="53">
        <v>45824</v>
      </c>
      <c r="B127" s="36" t="s">
        <v>174</v>
      </c>
      <c r="C127" s="16" t="s">
        <v>1672</v>
      </c>
      <c r="D127" s="16" t="s">
        <v>1696</v>
      </c>
      <c r="E127" s="16" t="s">
        <v>1695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27</v>
      </c>
      <c r="O127" s="16" t="s">
        <v>1279</v>
      </c>
      <c r="P127" s="16" t="s">
        <v>1679</v>
      </c>
      <c r="Q127" s="32" t="s">
        <v>1680</v>
      </c>
    </row>
    <row r="128" spans="1:17" ht="17.100000000000001" customHeight="1">
      <c r="A128" s="53">
        <v>45825</v>
      </c>
      <c r="B128" s="36" t="s">
        <v>174</v>
      </c>
      <c r="C128" s="16" t="s">
        <v>1704</v>
      </c>
      <c r="D128" s="16" t="s">
        <v>1698</v>
      </c>
      <c r="E128" s="16" t="s">
        <v>1697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54</v>
      </c>
      <c r="O128" s="16" t="s">
        <v>1279</v>
      </c>
      <c r="P128" s="16" t="s">
        <v>1679</v>
      </c>
      <c r="Q128" s="32" t="s">
        <v>1680</v>
      </c>
    </row>
    <row r="129" spans="1:17" ht="17.100000000000001" customHeight="1">
      <c r="A129" s="53">
        <v>45825</v>
      </c>
      <c r="B129" s="36" t="s">
        <v>174</v>
      </c>
      <c r="C129" s="16" t="s">
        <v>1704</v>
      </c>
      <c r="D129" s="16" t="s">
        <v>1698</v>
      </c>
      <c r="E129" s="16" t="s">
        <v>1699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27</v>
      </c>
      <c r="O129" s="16" t="s">
        <v>1279</v>
      </c>
      <c r="P129" s="16" t="s">
        <v>1679</v>
      </c>
      <c r="Q129" s="32" t="s">
        <v>1680</v>
      </c>
    </row>
    <row r="130" spans="1:17" ht="17.100000000000001" customHeight="1">
      <c r="A130" s="53">
        <v>45825</v>
      </c>
      <c r="B130" s="36" t="s">
        <v>174</v>
      </c>
      <c r="C130" s="16" t="s">
        <v>1704</v>
      </c>
      <c r="D130" s="16" t="s">
        <v>1703</v>
      </c>
      <c r="E130" s="16" t="s">
        <v>1700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27</v>
      </c>
      <c r="O130" s="16" t="s">
        <v>1279</v>
      </c>
      <c r="P130" s="16" t="s">
        <v>1679</v>
      </c>
      <c r="Q130" s="32" t="s">
        <v>1680</v>
      </c>
    </row>
    <row r="131" spans="1:17" ht="17.100000000000001" customHeight="1">
      <c r="A131" s="53">
        <v>45825</v>
      </c>
      <c r="B131" s="36" t="s">
        <v>174</v>
      </c>
      <c r="C131" s="16" t="s">
        <v>1704</v>
      </c>
      <c r="D131" s="16" t="s">
        <v>1703</v>
      </c>
      <c r="E131" s="16" t="s">
        <v>1701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27</v>
      </c>
      <c r="O131" s="16" t="s">
        <v>1279</v>
      </c>
      <c r="P131" s="16" t="s">
        <v>1679</v>
      </c>
      <c r="Q131" s="32" t="s">
        <v>1680</v>
      </c>
    </row>
    <row r="132" spans="1:17" ht="17.100000000000001" customHeight="1">
      <c r="A132" s="53">
        <v>45825</v>
      </c>
      <c r="B132" s="36" t="s">
        <v>174</v>
      </c>
      <c r="C132" s="16" t="s">
        <v>1704</v>
      </c>
      <c r="D132" s="16" t="s">
        <v>1703</v>
      </c>
      <c r="E132" s="16" t="s">
        <v>1700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27</v>
      </c>
      <c r="O132" s="16" t="s">
        <v>1279</v>
      </c>
      <c r="P132" s="16" t="s">
        <v>1679</v>
      </c>
      <c r="Q132" s="32" t="s">
        <v>1680</v>
      </c>
    </row>
    <row r="133" spans="1:17" ht="17.100000000000001" customHeight="1">
      <c r="A133" s="53">
        <v>45825</v>
      </c>
      <c r="B133" s="36" t="s">
        <v>174</v>
      </c>
      <c r="C133" s="16" t="s">
        <v>1704</v>
      </c>
      <c r="D133" s="16" t="s">
        <v>1703</v>
      </c>
      <c r="E133" s="16" t="s">
        <v>1702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27</v>
      </c>
      <c r="O133" s="16" t="s">
        <v>1279</v>
      </c>
      <c r="P133" s="16" t="s">
        <v>1679</v>
      </c>
      <c r="Q133" s="32" t="s">
        <v>1680</v>
      </c>
    </row>
    <row r="134" spans="1:17" ht="17.100000000000001" customHeight="1">
      <c r="A134" s="53">
        <v>45825</v>
      </c>
      <c r="B134" s="36" t="s">
        <v>174</v>
      </c>
      <c r="C134" s="16" t="s">
        <v>1704</v>
      </c>
      <c r="D134" s="16" t="s">
        <v>1690</v>
      </c>
      <c r="E134" s="16" t="s">
        <v>1694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27</v>
      </c>
      <c r="O134" s="16" t="s">
        <v>1279</v>
      </c>
      <c r="P134" s="16" t="s">
        <v>1679</v>
      </c>
      <c r="Q134" s="32" t="s">
        <v>1680</v>
      </c>
    </row>
    <row r="135" spans="1:17" ht="17.100000000000001" customHeight="1">
      <c r="A135" s="53">
        <v>45825</v>
      </c>
      <c r="B135" s="36" t="s">
        <v>174</v>
      </c>
      <c r="C135" s="16" t="s">
        <v>1704</v>
      </c>
      <c r="D135" s="16" t="s">
        <v>1708</v>
      </c>
      <c r="E135" s="16" t="s">
        <v>1401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27</v>
      </c>
      <c r="O135" s="16" t="s">
        <v>1279</v>
      </c>
      <c r="P135" s="16" t="s">
        <v>1679</v>
      </c>
      <c r="Q135" s="32" t="s">
        <v>1680</v>
      </c>
    </row>
    <row r="136" spans="1:17" ht="17.100000000000001" customHeight="1">
      <c r="A136" s="53">
        <v>45825</v>
      </c>
      <c r="B136" s="36" t="s">
        <v>174</v>
      </c>
      <c r="C136" s="16" t="s">
        <v>1704</v>
      </c>
      <c r="D136" s="16" t="s">
        <v>1708</v>
      </c>
      <c r="E136" s="16" t="s">
        <v>1705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f>28/2</f>
        <v>14</v>
      </c>
      <c r="O136" s="16" t="s">
        <v>1279</v>
      </c>
      <c r="P136" s="16" t="s">
        <v>1679</v>
      </c>
      <c r="Q136" s="32" t="s">
        <v>1680</v>
      </c>
    </row>
    <row r="137" spans="1:17" ht="17.100000000000001" customHeight="1">
      <c r="A137" s="53">
        <v>45825</v>
      </c>
      <c r="B137" s="51" t="s">
        <v>1716</v>
      </c>
      <c r="C137" s="16" t="s">
        <v>1704</v>
      </c>
      <c r="D137" s="16" t="s">
        <v>48</v>
      </c>
      <c r="E137" s="16" t="s">
        <v>48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v>600</v>
      </c>
      <c r="O137" s="16" t="s">
        <v>1706</v>
      </c>
      <c r="P137" s="16" t="s">
        <v>1707</v>
      </c>
      <c r="Q137" s="31"/>
    </row>
    <row r="138" spans="1:17">
      <c r="A138" s="53">
        <v>45825</v>
      </c>
      <c r="B138" s="36" t="s">
        <v>174</v>
      </c>
      <c r="C138" s="16" t="s">
        <v>1704</v>
      </c>
      <c r="D138" s="16" t="s">
        <v>1708</v>
      </c>
      <c r="E138" s="16" t="s">
        <v>1705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13</v>
      </c>
      <c r="O138" s="16" t="s">
        <v>1279</v>
      </c>
      <c r="P138" s="16" t="s">
        <v>1714</v>
      </c>
      <c r="Q138" s="32" t="s">
        <v>1715</v>
      </c>
    </row>
    <row r="139" spans="1:17">
      <c r="A139" s="53">
        <v>45825</v>
      </c>
      <c r="B139" s="36" t="s">
        <v>174</v>
      </c>
      <c r="C139" s="16" t="s">
        <v>1704</v>
      </c>
      <c r="D139" s="16" t="s">
        <v>1708</v>
      </c>
      <c r="E139" s="16" t="s">
        <v>1709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54</v>
      </c>
      <c r="O139" s="16" t="s">
        <v>1279</v>
      </c>
      <c r="P139" s="16" t="s">
        <v>1714</v>
      </c>
      <c r="Q139" s="32" t="s">
        <v>1715</v>
      </c>
    </row>
    <row r="140" spans="1:17">
      <c r="A140" s="53">
        <v>45825</v>
      </c>
      <c r="B140" s="36" t="s">
        <v>174</v>
      </c>
      <c r="C140" s="16" t="s">
        <v>1704</v>
      </c>
      <c r="D140" s="16" t="s">
        <v>1708</v>
      </c>
      <c r="E140" s="16" t="s">
        <v>1710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27</v>
      </c>
      <c r="O140" s="16" t="s">
        <v>1279</v>
      </c>
      <c r="P140" s="16" t="s">
        <v>1714</v>
      </c>
      <c r="Q140" s="32" t="s">
        <v>1715</v>
      </c>
    </row>
    <row r="141" spans="1:17">
      <c r="A141" s="53">
        <v>45825</v>
      </c>
      <c r="B141" s="36" t="s">
        <v>174</v>
      </c>
      <c r="C141" s="16" t="s">
        <v>1704</v>
      </c>
      <c r="D141" s="16" t="s">
        <v>1708</v>
      </c>
      <c r="E141" s="16" t="s">
        <v>1705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27</v>
      </c>
      <c r="O141" s="16" t="s">
        <v>1279</v>
      </c>
      <c r="P141" s="16" t="s">
        <v>1714</v>
      </c>
      <c r="Q141" s="32" t="s">
        <v>1715</v>
      </c>
    </row>
    <row r="142" spans="1:17">
      <c r="A142" s="53">
        <v>45825</v>
      </c>
      <c r="B142" s="36" t="s">
        <v>174</v>
      </c>
      <c r="C142" s="16" t="s">
        <v>1704</v>
      </c>
      <c r="D142" s="16" t="s">
        <v>1708</v>
      </c>
      <c r="E142" s="16" t="s">
        <v>1711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27</v>
      </c>
      <c r="O142" s="16" t="s">
        <v>1279</v>
      </c>
      <c r="P142" s="16" t="s">
        <v>1714</v>
      </c>
      <c r="Q142" s="32" t="s">
        <v>1715</v>
      </c>
    </row>
    <row r="143" spans="1:17">
      <c r="A143" s="53">
        <v>45825</v>
      </c>
      <c r="B143" s="36" t="s">
        <v>174</v>
      </c>
      <c r="C143" s="16" t="s">
        <v>1704</v>
      </c>
      <c r="D143" s="16" t="s">
        <v>1708</v>
      </c>
      <c r="E143" s="16" t="s">
        <v>1712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27</v>
      </c>
      <c r="O143" s="16" t="s">
        <v>1279</v>
      </c>
      <c r="P143" s="16" t="s">
        <v>1714</v>
      </c>
      <c r="Q143" s="32" t="s">
        <v>1715</v>
      </c>
    </row>
    <row r="144" spans="1:17">
      <c r="A144" s="53">
        <v>45825</v>
      </c>
      <c r="B144" s="36" t="s">
        <v>174</v>
      </c>
      <c r="C144" s="16" t="s">
        <v>1704</v>
      </c>
      <c r="D144" s="16" t="s">
        <v>1708</v>
      </c>
      <c r="E144" s="16" t="s">
        <v>1713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>
        <v>25</v>
      </c>
      <c r="O144" s="16" t="s">
        <v>1279</v>
      </c>
      <c r="P144" s="16" t="s">
        <v>1714</v>
      </c>
      <c r="Q144" s="32" t="s">
        <v>1715</v>
      </c>
    </row>
    <row r="145" spans="1:17" ht="15" thickBot="1">
      <c r="A145" s="53">
        <v>45825</v>
      </c>
      <c r="B145" s="36" t="s">
        <v>174</v>
      </c>
      <c r="C145" s="16" t="s">
        <v>1704</v>
      </c>
      <c r="D145" s="16" t="s">
        <v>1475</v>
      </c>
      <c r="E145" s="16" t="s">
        <v>1713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20">
        <v>2</v>
      </c>
      <c r="O145" s="16" t="s">
        <v>1279</v>
      </c>
      <c r="P145" s="16" t="s">
        <v>1714</v>
      </c>
      <c r="Q145" s="32" t="s">
        <v>1715</v>
      </c>
    </row>
    <row r="146" spans="1:17" ht="15" thickBot="1">
      <c r="A146" s="53">
        <v>45825</v>
      </c>
      <c r="B146" s="36" t="s">
        <v>174</v>
      </c>
      <c r="C146" s="16" t="s">
        <v>1704</v>
      </c>
      <c r="D146" s="16" t="s">
        <v>1475</v>
      </c>
      <c r="E146" s="16" t="s">
        <v>1712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20">
        <v>27</v>
      </c>
      <c r="O146" s="16" t="s">
        <v>1279</v>
      </c>
      <c r="P146" s="16" t="s">
        <v>1714</v>
      </c>
      <c r="Q146" s="32" t="s">
        <v>1715</v>
      </c>
    </row>
    <row r="147" spans="1:17">
      <c r="A147" s="53">
        <v>45825</v>
      </c>
      <c r="B147" s="36" t="s">
        <v>174</v>
      </c>
      <c r="C147" s="16" t="s">
        <v>1704</v>
      </c>
      <c r="D147" s="16" t="s">
        <v>1475</v>
      </c>
      <c r="E147" s="16" t="s">
        <v>1718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27</v>
      </c>
      <c r="O147" s="16" t="s">
        <v>1279</v>
      </c>
      <c r="P147" s="16" t="s">
        <v>1714</v>
      </c>
      <c r="Q147" s="32" t="s">
        <v>1715</v>
      </c>
    </row>
    <row r="148" spans="1:17">
      <c r="A148" s="53">
        <v>45825</v>
      </c>
      <c r="B148" s="36" t="s">
        <v>174</v>
      </c>
      <c r="C148" s="16" t="s">
        <v>1704</v>
      </c>
      <c r="D148" s="16" t="s">
        <v>1475</v>
      </c>
      <c r="E148" s="16" t="s">
        <v>1713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27</v>
      </c>
      <c r="O148" s="16" t="s">
        <v>1279</v>
      </c>
      <c r="P148" s="16" t="s">
        <v>1714</v>
      </c>
      <c r="Q148" s="32" t="s">
        <v>1715</v>
      </c>
    </row>
    <row r="149" spans="1:17">
      <c r="A149" s="53">
        <v>45825</v>
      </c>
      <c r="B149" s="36" t="s">
        <v>174</v>
      </c>
      <c r="C149" s="16" t="s">
        <v>1704</v>
      </c>
      <c r="D149" s="16" t="s">
        <v>1475</v>
      </c>
      <c r="E149" s="16" t="s">
        <v>1717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48</v>
      </c>
      <c r="N149" s="16">
        <v>27</v>
      </c>
      <c r="O149" s="16" t="s">
        <v>1279</v>
      </c>
      <c r="P149" s="16" t="s">
        <v>1714</v>
      </c>
      <c r="Q149" s="32" t="s">
        <v>1715</v>
      </c>
    </row>
    <row r="150" spans="1:17">
      <c r="A150" s="53">
        <v>45825</v>
      </c>
      <c r="B150" s="36" t="s">
        <v>174</v>
      </c>
      <c r="C150" s="16" t="s">
        <v>1704</v>
      </c>
      <c r="D150" s="16" t="s">
        <v>1719</v>
      </c>
      <c r="E150" s="16" t="s">
        <v>1718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27</v>
      </c>
      <c r="O150" s="16" t="s">
        <v>1279</v>
      </c>
      <c r="P150" s="16" t="s">
        <v>1714</v>
      </c>
      <c r="Q150" s="32" t="s">
        <v>1715</v>
      </c>
    </row>
    <row r="151" spans="1:17">
      <c r="A151" s="53">
        <v>45825</v>
      </c>
      <c r="B151" s="36" t="s">
        <v>174</v>
      </c>
      <c r="C151" s="16" t="s">
        <v>1704</v>
      </c>
      <c r="D151" s="16" t="s">
        <v>1719</v>
      </c>
      <c r="E151" s="16" t="s">
        <v>1720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12</v>
      </c>
      <c r="O151" s="16" t="s">
        <v>1279</v>
      </c>
      <c r="P151" s="16" t="s">
        <v>1714</v>
      </c>
      <c r="Q151" s="32" t="s">
        <v>1715</v>
      </c>
    </row>
    <row r="152" spans="1:17">
      <c r="A152" s="53">
        <v>45825</v>
      </c>
      <c r="B152" s="36" t="s">
        <v>174</v>
      </c>
      <c r="C152" s="16" t="s">
        <v>1704</v>
      </c>
      <c r="D152" s="16" t="s">
        <v>1719</v>
      </c>
      <c r="E152" s="16" t="s">
        <v>1717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27</v>
      </c>
      <c r="O152" s="16" t="s">
        <v>1279</v>
      </c>
      <c r="P152" s="16" t="s">
        <v>1714</v>
      </c>
      <c r="Q152" s="32" t="s">
        <v>1715</v>
      </c>
    </row>
    <row r="153" spans="1:17" ht="15" thickBot="1">
      <c r="A153" s="53">
        <v>45825</v>
      </c>
      <c r="B153" s="36" t="s">
        <v>174</v>
      </c>
      <c r="C153" s="16" t="s">
        <v>1704</v>
      </c>
      <c r="D153" s="16" t="s">
        <v>1719</v>
      </c>
      <c r="E153" s="20" t="s">
        <v>1721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20">
        <f>48/2</f>
        <v>24</v>
      </c>
      <c r="O153" s="16" t="s">
        <v>1279</v>
      </c>
      <c r="P153" s="16" t="s">
        <v>1714</v>
      </c>
      <c r="Q153" s="32" t="s">
        <v>1715</v>
      </c>
    </row>
    <row r="154" spans="1:17">
      <c r="A154" s="53">
        <v>45825</v>
      </c>
      <c r="B154" s="36" t="s">
        <v>174</v>
      </c>
      <c r="C154" s="16" t="s">
        <v>1704</v>
      </c>
      <c r="D154" s="16" t="s">
        <v>1719</v>
      </c>
      <c r="E154" s="16" t="s">
        <v>1721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3</v>
      </c>
      <c r="O154" s="16" t="s">
        <v>1279</v>
      </c>
      <c r="P154" s="16" t="s">
        <v>1714</v>
      </c>
      <c r="Q154" s="32" t="s">
        <v>1715</v>
      </c>
    </row>
    <row r="155" spans="1:17">
      <c r="A155" s="53">
        <v>45825</v>
      </c>
      <c r="B155" s="36" t="s">
        <v>174</v>
      </c>
      <c r="C155" s="16" t="s">
        <v>1704</v>
      </c>
      <c r="D155" s="16" t="s">
        <v>1719</v>
      </c>
      <c r="E155" s="16" t="s">
        <v>1722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27</v>
      </c>
      <c r="O155" s="16" t="s">
        <v>1279</v>
      </c>
      <c r="P155" s="16" t="s">
        <v>1714</v>
      </c>
      <c r="Q155" s="32" t="s">
        <v>1715</v>
      </c>
    </row>
    <row r="156" spans="1:17">
      <c r="A156" s="53">
        <v>45825</v>
      </c>
      <c r="B156" s="36" t="s">
        <v>174</v>
      </c>
      <c r="C156" s="16" t="s">
        <v>1704</v>
      </c>
      <c r="D156" s="16" t="s">
        <v>1719</v>
      </c>
      <c r="E156" s="16" t="s">
        <v>1723</v>
      </c>
      <c r="F156" s="16" t="s">
        <v>48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27</v>
      </c>
      <c r="O156" s="16" t="s">
        <v>1279</v>
      </c>
      <c r="P156" s="16" t="s">
        <v>1714</v>
      </c>
      <c r="Q156" s="32" t="s">
        <v>1715</v>
      </c>
    </row>
    <row r="157" spans="1:17">
      <c r="A157" s="53">
        <v>45825</v>
      </c>
      <c r="B157" s="36" t="s">
        <v>174</v>
      </c>
      <c r="C157" s="16" t="s">
        <v>1704</v>
      </c>
      <c r="D157" s="16" t="s">
        <v>1719</v>
      </c>
      <c r="E157" s="16" t="s">
        <v>1721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27</v>
      </c>
      <c r="O157" s="16" t="s">
        <v>1279</v>
      </c>
      <c r="P157" s="16" t="s">
        <v>1714</v>
      </c>
      <c r="Q157" s="32" t="s">
        <v>1715</v>
      </c>
    </row>
    <row r="158" spans="1:17">
      <c r="A158" s="53">
        <v>45825</v>
      </c>
      <c r="B158" s="36" t="s">
        <v>174</v>
      </c>
      <c r="C158" s="16" t="s">
        <v>1704</v>
      </c>
      <c r="D158" s="16" t="s">
        <v>1719</v>
      </c>
      <c r="E158" s="16" t="s">
        <v>1724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16</v>
      </c>
      <c r="O158" s="16" t="s">
        <v>1279</v>
      </c>
      <c r="P158" s="16" t="s">
        <v>1714</v>
      </c>
      <c r="Q158" s="32" t="s">
        <v>1715</v>
      </c>
    </row>
    <row r="159" spans="1:17" ht="15" thickBot="1">
      <c r="A159" s="53">
        <v>45826</v>
      </c>
      <c r="B159" s="36" t="s">
        <v>174</v>
      </c>
      <c r="C159" s="16" t="s">
        <v>1725</v>
      </c>
      <c r="D159" s="20" t="s">
        <v>1726</v>
      </c>
      <c r="E159" s="20" t="s">
        <v>1723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20">
        <v>38</v>
      </c>
      <c r="O159" s="16" t="s">
        <v>1279</v>
      </c>
      <c r="P159" s="16" t="s">
        <v>1730</v>
      </c>
      <c r="Q159" s="32" t="s">
        <v>1731</v>
      </c>
    </row>
    <row r="160" spans="1:17" ht="16.5" customHeight="1" thickBot="1">
      <c r="A160" s="53">
        <v>45826</v>
      </c>
      <c r="B160" s="36" t="s">
        <v>174</v>
      </c>
      <c r="C160" s="16" t="s">
        <v>1725</v>
      </c>
      <c r="D160" s="20" t="s">
        <v>1726</v>
      </c>
      <c r="E160" s="16" t="s">
        <v>1724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54</v>
      </c>
      <c r="O160" s="16" t="s">
        <v>1279</v>
      </c>
      <c r="P160" s="16" t="s">
        <v>1730</v>
      </c>
      <c r="Q160" s="32" t="s">
        <v>1731</v>
      </c>
    </row>
    <row r="161" spans="1:17" ht="17.100000000000001" customHeight="1" thickBot="1">
      <c r="A161" s="53">
        <v>45826</v>
      </c>
      <c r="B161" s="36" t="s">
        <v>174</v>
      </c>
      <c r="C161" s="16" t="s">
        <v>1725</v>
      </c>
      <c r="D161" s="20" t="s">
        <v>1726</v>
      </c>
      <c r="E161" s="16" t="s">
        <v>1722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27</v>
      </c>
      <c r="O161" s="16" t="s">
        <v>1279</v>
      </c>
      <c r="P161" s="16" t="s">
        <v>1730</v>
      </c>
      <c r="Q161" s="32" t="s">
        <v>1731</v>
      </c>
    </row>
    <row r="162" spans="1:17" ht="17.100000000000001" customHeight="1">
      <c r="A162" s="53">
        <v>45826</v>
      </c>
      <c r="B162" s="36" t="s">
        <v>174</v>
      </c>
      <c r="C162" s="16" t="s">
        <v>1725</v>
      </c>
      <c r="D162" s="16" t="s">
        <v>1727</v>
      </c>
      <c r="E162" s="16" t="s">
        <v>1724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v>27</v>
      </c>
      <c r="O162" s="16" t="s">
        <v>1279</v>
      </c>
      <c r="P162" s="16" t="s">
        <v>1730</v>
      </c>
      <c r="Q162" s="32" t="s">
        <v>1731</v>
      </c>
    </row>
    <row r="163" spans="1:17" ht="17.100000000000001" customHeight="1">
      <c r="A163" s="53">
        <v>45826</v>
      </c>
      <c r="B163" s="36" t="s">
        <v>174</v>
      </c>
      <c r="C163" s="16" t="s">
        <v>1725</v>
      </c>
      <c r="D163" s="16" t="s">
        <v>1727</v>
      </c>
      <c r="E163" s="16" t="s">
        <v>1728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27</v>
      </c>
      <c r="O163" s="16" t="s">
        <v>1279</v>
      </c>
      <c r="P163" s="16" t="s">
        <v>1730</v>
      </c>
      <c r="Q163" s="32" t="s">
        <v>1731</v>
      </c>
    </row>
    <row r="164" spans="1:17" ht="17.100000000000001" customHeight="1">
      <c r="A164" s="53">
        <v>45826</v>
      </c>
      <c r="B164" s="36" t="s">
        <v>174</v>
      </c>
      <c r="C164" s="16" t="s">
        <v>1725</v>
      </c>
      <c r="D164" s="16" t="s">
        <v>1727</v>
      </c>
      <c r="E164" s="16" t="s">
        <v>1729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27</v>
      </c>
      <c r="O164" s="16" t="s">
        <v>1279</v>
      </c>
      <c r="P164" s="16" t="s">
        <v>1730</v>
      </c>
      <c r="Q164" s="32" t="s">
        <v>1731</v>
      </c>
    </row>
    <row r="165" spans="1:17" ht="17.100000000000001" customHeight="1">
      <c r="A165" s="53">
        <v>45826</v>
      </c>
      <c r="B165" s="36" t="s">
        <v>174</v>
      </c>
      <c r="C165" s="16" t="s">
        <v>1725</v>
      </c>
      <c r="D165" s="16" t="s">
        <v>1727</v>
      </c>
      <c r="E165" s="16" t="s">
        <v>1732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27</v>
      </c>
      <c r="O165" s="16" t="s">
        <v>1741</v>
      </c>
      <c r="P165" s="16" t="s">
        <v>1730</v>
      </c>
      <c r="Q165" s="32" t="s">
        <v>1731</v>
      </c>
    </row>
    <row r="166" spans="1:17" ht="17.100000000000001" customHeight="1">
      <c r="A166" s="53">
        <v>45826</v>
      </c>
      <c r="B166" s="36" t="s">
        <v>174</v>
      </c>
      <c r="C166" s="16" t="s">
        <v>1725</v>
      </c>
      <c r="D166" s="16" t="s">
        <v>1727</v>
      </c>
      <c r="E166" s="16" t="s">
        <v>1733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27</v>
      </c>
      <c r="O166" s="16" t="s">
        <v>1741</v>
      </c>
      <c r="P166" s="16" t="s">
        <v>1730</v>
      </c>
      <c r="Q166" s="32" t="s">
        <v>1731</v>
      </c>
    </row>
    <row r="167" spans="1:17" ht="17.100000000000001" customHeight="1">
      <c r="A167" s="53">
        <v>45826</v>
      </c>
      <c r="B167" s="36" t="s">
        <v>174</v>
      </c>
      <c r="C167" s="16" t="s">
        <v>1725</v>
      </c>
      <c r="D167" s="16" t="s">
        <v>1727</v>
      </c>
      <c r="E167" s="16" t="s">
        <v>1732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27</v>
      </c>
      <c r="O167" s="16" t="s">
        <v>1741</v>
      </c>
      <c r="P167" s="16" t="s">
        <v>1730</v>
      </c>
      <c r="Q167" s="32" t="s">
        <v>1731</v>
      </c>
    </row>
    <row r="168" spans="1:17" ht="17.100000000000001" customHeight="1">
      <c r="A168" s="53">
        <v>45826</v>
      </c>
      <c r="B168" s="36" t="s">
        <v>174</v>
      </c>
      <c r="C168" s="16" t="s">
        <v>1725</v>
      </c>
      <c r="D168" s="16" t="s">
        <v>1727</v>
      </c>
      <c r="E168" s="16" t="s">
        <v>1734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27</v>
      </c>
      <c r="O168" s="16" t="s">
        <v>1741</v>
      </c>
      <c r="P168" s="16" t="s">
        <v>1730</v>
      </c>
      <c r="Q168" s="32" t="s">
        <v>1731</v>
      </c>
    </row>
    <row r="169" spans="1:17" ht="17.100000000000001" customHeight="1">
      <c r="A169" s="53">
        <v>45826</v>
      </c>
      <c r="B169" s="36" t="s">
        <v>174</v>
      </c>
      <c r="C169" s="16" t="s">
        <v>1725</v>
      </c>
      <c r="D169" s="16" t="s">
        <v>1726</v>
      </c>
      <c r="E169" s="16" t="s">
        <v>1735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27</v>
      </c>
      <c r="O169" s="16" t="s">
        <v>1741</v>
      </c>
      <c r="P169" s="16" t="s">
        <v>1730</v>
      </c>
      <c r="Q169" s="32" t="s">
        <v>1731</v>
      </c>
    </row>
    <row r="170" spans="1:17" ht="17.100000000000001" customHeight="1">
      <c r="A170" s="53">
        <v>45826</v>
      </c>
      <c r="B170" s="36" t="s">
        <v>174</v>
      </c>
      <c r="C170" s="16" t="s">
        <v>1725</v>
      </c>
      <c r="D170" s="16" t="s">
        <v>1726</v>
      </c>
      <c r="E170" s="16" t="s">
        <v>1736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f>56/2</f>
        <v>28</v>
      </c>
      <c r="O170" s="16" t="s">
        <v>1741</v>
      </c>
      <c r="P170" s="16" t="s">
        <v>1730</v>
      </c>
      <c r="Q170" s="32" t="s">
        <v>1731</v>
      </c>
    </row>
    <row r="171" spans="1:17" ht="17.100000000000001" customHeight="1">
      <c r="A171" s="53">
        <v>45826</v>
      </c>
      <c r="B171" s="36" t="s">
        <v>174</v>
      </c>
      <c r="C171" s="16" t="s">
        <v>1725</v>
      </c>
      <c r="D171" s="16" t="s">
        <v>1726</v>
      </c>
      <c r="E171" s="16" t="s">
        <v>1735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27</v>
      </c>
      <c r="O171" s="16" t="s">
        <v>1741</v>
      </c>
      <c r="P171" s="16" t="s">
        <v>1730</v>
      </c>
      <c r="Q171" s="32" t="s">
        <v>1731</v>
      </c>
    </row>
    <row r="172" spans="1:17" ht="17.100000000000001" customHeight="1">
      <c r="A172" s="53">
        <v>45826</v>
      </c>
      <c r="B172" s="36" t="s">
        <v>174</v>
      </c>
      <c r="C172" s="16" t="s">
        <v>1725</v>
      </c>
      <c r="D172" s="16" t="s">
        <v>1726</v>
      </c>
      <c r="E172" s="16" t="s">
        <v>1737</v>
      </c>
      <c r="F172" s="16" t="s">
        <v>48</v>
      </c>
      <c r="G172" s="16" t="s">
        <v>48</v>
      </c>
      <c r="H172" s="16" t="s">
        <v>48</v>
      </c>
      <c r="I172" s="16" t="s">
        <v>48</v>
      </c>
      <c r="J172" s="16" t="s">
        <v>48</v>
      </c>
      <c r="K172" s="16" t="s">
        <v>48</v>
      </c>
      <c r="L172" s="16" t="s">
        <v>48</v>
      </c>
      <c r="M172" s="16" t="s">
        <v>48</v>
      </c>
      <c r="N172" s="16">
        <v>27</v>
      </c>
      <c r="O172" s="16" t="s">
        <v>1741</v>
      </c>
      <c r="P172" s="16" t="s">
        <v>1730</v>
      </c>
      <c r="Q172" s="32" t="s">
        <v>1731</v>
      </c>
    </row>
    <row r="173" spans="1:17" ht="17.100000000000001" customHeight="1">
      <c r="A173" s="53">
        <v>45826</v>
      </c>
      <c r="B173" s="36" t="s">
        <v>174</v>
      </c>
      <c r="C173" s="16" t="s">
        <v>1725</v>
      </c>
      <c r="D173" s="16" t="s">
        <v>1727</v>
      </c>
      <c r="E173" s="16" t="s">
        <v>1738</v>
      </c>
      <c r="F173" s="16" t="s">
        <v>48</v>
      </c>
      <c r="G173" s="16" t="s">
        <v>48</v>
      </c>
      <c r="H173" s="16" t="s">
        <v>48</v>
      </c>
      <c r="I173" s="16" t="s">
        <v>48</v>
      </c>
      <c r="J173" s="16" t="s">
        <v>48</v>
      </c>
      <c r="K173" s="16" t="s">
        <v>48</v>
      </c>
      <c r="L173" s="16" t="s">
        <v>48</v>
      </c>
      <c r="M173" s="16" t="s">
        <v>48</v>
      </c>
      <c r="N173" s="16">
        <v>27</v>
      </c>
      <c r="O173" s="16" t="s">
        <v>1741</v>
      </c>
      <c r="P173" s="16" t="s">
        <v>1730</v>
      </c>
      <c r="Q173" s="32" t="s">
        <v>1731</v>
      </c>
    </row>
    <row r="174" spans="1:17" ht="17.100000000000001" customHeight="1">
      <c r="A174" s="53">
        <v>45826</v>
      </c>
      <c r="B174" s="36" t="s">
        <v>174</v>
      </c>
      <c r="C174" s="16" t="s">
        <v>1725</v>
      </c>
      <c r="D174" s="16" t="s">
        <v>1727</v>
      </c>
      <c r="E174" s="16" t="s">
        <v>1739</v>
      </c>
      <c r="F174" s="16" t="s">
        <v>48</v>
      </c>
      <c r="G174" s="16" t="s">
        <v>48</v>
      </c>
      <c r="H174" s="16" t="s">
        <v>48</v>
      </c>
      <c r="I174" s="16" t="s">
        <v>48</v>
      </c>
      <c r="J174" s="16" t="s">
        <v>48</v>
      </c>
      <c r="K174" s="16" t="s">
        <v>48</v>
      </c>
      <c r="L174" s="16" t="s">
        <v>48</v>
      </c>
      <c r="M174" s="16" t="s">
        <v>48</v>
      </c>
      <c r="N174" s="16">
        <v>54</v>
      </c>
      <c r="O174" s="16" t="s">
        <v>1741</v>
      </c>
      <c r="P174" s="16" t="s">
        <v>1730</v>
      </c>
      <c r="Q174" s="32" t="s">
        <v>1731</v>
      </c>
    </row>
    <row r="175" spans="1:17" ht="17.100000000000001" customHeight="1">
      <c r="A175" s="53">
        <v>45826</v>
      </c>
      <c r="B175" s="36" t="s">
        <v>174</v>
      </c>
      <c r="C175" s="16" t="s">
        <v>1725</v>
      </c>
      <c r="D175" s="16" t="s">
        <v>1727</v>
      </c>
      <c r="E175" s="16" t="s">
        <v>1740</v>
      </c>
      <c r="F175" s="16" t="s">
        <v>48</v>
      </c>
      <c r="G175" s="16" t="s">
        <v>48</v>
      </c>
      <c r="H175" s="16" t="s">
        <v>48</v>
      </c>
      <c r="I175" s="16" t="s">
        <v>48</v>
      </c>
      <c r="J175" s="16" t="s">
        <v>48</v>
      </c>
      <c r="K175" s="16" t="s">
        <v>48</v>
      </c>
      <c r="L175" s="16" t="s">
        <v>48</v>
      </c>
      <c r="M175" s="16" t="s">
        <v>48</v>
      </c>
      <c r="N175" s="16">
        <v>2</v>
      </c>
      <c r="O175" s="16" t="s">
        <v>1741</v>
      </c>
      <c r="P175" s="16" t="s">
        <v>1730</v>
      </c>
      <c r="Q175" s="32" t="s">
        <v>1731</v>
      </c>
    </row>
    <row r="176" spans="1:17" ht="17.100000000000001" customHeight="1">
      <c r="A176" s="53">
        <v>45826</v>
      </c>
      <c r="B176" s="36" t="s">
        <v>174</v>
      </c>
      <c r="C176" s="16" t="s">
        <v>1725</v>
      </c>
      <c r="D176" s="16" t="s">
        <v>1727</v>
      </c>
      <c r="E176" s="16" t="s">
        <v>1740</v>
      </c>
      <c r="F176" s="16" t="s">
        <v>48</v>
      </c>
      <c r="G176" s="16" t="s">
        <v>48</v>
      </c>
      <c r="H176" s="16" t="s">
        <v>48</v>
      </c>
      <c r="I176" s="16" t="s">
        <v>48</v>
      </c>
      <c r="J176" s="16" t="s">
        <v>48</v>
      </c>
      <c r="K176" s="16" t="s">
        <v>48</v>
      </c>
      <c r="L176" s="16" t="s">
        <v>48</v>
      </c>
      <c r="M176" s="16" t="s">
        <v>48</v>
      </c>
      <c r="N176" s="16">
        <f>25+27</f>
        <v>52</v>
      </c>
      <c r="O176" s="16" t="s">
        <v>1741</v>
      </c>
      <c r="P176" s="15" t="s">
        <v>1746</v>
      </c>
      <c r="Q176" s="33" t="s">
        <v>1747</v>
      </c>
    </row>
    <row r="177" spans="1:17" ht="17.100000000000001" customHeight="1">
      <c r="A177" s="53">
        <v>45826</v>
      </c>
      <c r="B177" s="36" t="s">
        <v>174</v>
      </c>
      <c r="C177" s="16" t="s">
        <v>1725</v>
      </c>
      <c r="D177" s="16" t="s">
        <v>1727</v>
      </c>
      <c r="E177" s="16" t="s">
        <v>1742</v>
      </c>
      <c r="F177" s="16" t="s">
        <v>48</v>
      </c>
      <c r="G177" s="16" t="s">
        <v>48</v>
      </c>
      <c r="H177" s="16" t="s">
        <v>48</v>
      </c>
      <c r="I177" s="16" t="s">
        <v>48</v>
      </c>
      <c r="J177" s="16" t="s">
        <v>48</v>
      </c>
      <c r="K177" s="16" t="s">
        <v>48</v>
      </c>
      <c r="L177" s="16" t="s">
        <v>48</v>
      </c>
      <c r="M177" s="16" t="s">
        <v>48</v>
      </c>
      <c r="N177" s="16">
        <v>54</v>
      </c>
      <c r="O177" s="16" t="s">
        <v>1741</v>
      </c>
      <c r="P177" s="15" t="s">
        <v>1746</v>
      </c>
      <c r="Q177" s="33" t="s">
        <v>1747</v>
      </c>
    </row>
    <row r="178" spans="1:17" ht="17.100000000000001" customHeight="1">
      <c r="A178" s="53">
        <v>45826</v>
      </c>
      <c r="B178" s="36" t="s">
        <v>174</v>
      </c>
      <c r="C178" s="16" t="s">
        <v>1725</v>
      </c>
      <c r="D178" s="16" t="s">
        <v>1719</v>
      </c>
      <c r="E178" s="16" t="s">
        <v>1743</v>
      </c>
      <c r="F178" s="16" t="s">
        <v>48</v>
      </c>
      <c r="G178" s="16" t="s">
        <v>48</v>
      </c>
      <c r="H178" s="16" t="s">
        <v>48</v>
      </c>
      <c r="I178" s="16" t="s">
        <v>48</v>
      </c>
      <c r="J178" s="16" t="s">
        <v>48</v>
      </c>
      <c r="K178" s="16" t="s">
        <v>48</v>
      </c>
      <c r="L178" s="16" t="s">
        <v>48</v>
      </c>
      <c r="M178" s="16" t="s">
        <v>48</v>
      </c>
      <c r="N178" s="16">
        <f>30+24</f>
        <v>54</v>
      </c>
      <c r="O178" s="16" t="s">
        <v>1741</v>
      </c>
      <c r="P178" s="15" t="s">
        <v>1746</v>
      </c>
      <c r="Q178" s="33" t="s">
        <v>1747</v>
      </c>
    </row>
    <row r="179" spans="1:17" ht="17.100000000000001" customHeight="1">
      <c r="A179" s="53">
        <v>45826</v>
      </c>
      <c r="B179" s="36" t="s">
        <v>174</v>
      </c>
      <c r="C179" s="16" t="s">
        <v>1725</v>
      </c>
      <c r="D179" s="16" t="s">
        <v>1719</v>
      </c>
      <c r="E179" s="16" t="s">
        <v>1744</v>
      </c>
      <c r="F179" s="16" t="s">
        <v>48</v>
      </c>
      <c r="G179" s="16" t="s">
        <v>48</v>
      </c>
      <c r="H179" s="16" t="s">
        <v>48</v>
      </c>
      <c r="I179" s="16" t="s">
        <v>48</v>
      </c>
      <c r="J179" s="16" t="s">
        <v>48</v>
      </c>
      <c r="K179" s="16" t="s">
        <v>48</v>
      </c>
      <c r="L179" s="16" t="s">
        <v>48</v>
      </c>
      <c r="M179" s="16" t="s">
        <v>48</v>
      </c>
      <c r="N179" s="16">
        <v>27</v>
      </c>
      <c r="O179" s="16" t="s">
        <v>1741</v>
      </c>
      <c r="P179" s="15" t="s">
        <v>1746</v>
      </c>
      <c r="Q179" s="33" t="s">
        <v>1747</v>
      </c>
    </row>
    <row r="180" spans="1:17" ht="17.100000000000001" customHeight="1">
      <c r="A180" s="53">
        <v>45826</v>
      </c>
      <c r="B180" s="36" t="s">
        <v>174</v>
      </c>
      <c r="C180" s="16" t="s">
        <v>1725</v>
      </c>
      <c r="D180" s="16" t="s">
        <v>1719</v>
      </c>
      <c r="E180" s="16" t="s">
        <v>1745</v>
      </c>
      <c r="F180" s="16" t="s">
        <v>48</v>
      </c>
      <c r="G180" s="16" t="s">
        <v>48</v>
      </c>
      <c r="H180" s="16" t="s">
        <v>48</v>
      </c>
      <c r="I180" s="16" t="s">
        <v>48</v>
      </c>
      <c r="J180" s="16" t="s">
        <v>48</v>
      </c>
      <c r="K180" s="16" t="s">
        <v>48</v>
      </c>
      <c r="L180" s="16" t="s">
        <v>48</v>
      </c>
      <c r="M180" s="16" t="s">
        <v>48</v>
      </c>
      <c r="N180" s="16">
        <v>13</v>
      </c>
      <c r="O180" s="16" t="s">
        <v>1741</v>
      </c>
      <c r="P180" s="15" t="s">
        <v>1746</v>
      </c>
      <c r="Q180" s="33" t="s">
        <v>1747</v>
      </c>
    </row>
    <row r="181" spans="1:17" ht="17.100000000000001" customHeight="1">
      <c r="A181" s="53">
        <v>45826</v>
      </c>
      <c r="B181" s="36" t="s">
        <v>174</v>
      </c>
      <c r="C181" s="16" t="s">
        <v>1725</v>
      </c>
      <c r="D181" s="16" t="s">
        <v>1719</v>
      </c>
      <c r="E181" s="16" t="s">
        <v>1745</v>
      </c>
      <c r="F181" s="16" t="s">
        <v>48</v>
      </c>
      <c r="G181" s="16" t="s">
        <v>48</v>
      </c>
      <c r="H181" s="16" t="s">
        <v>48</v>
      </c>
      <c r="I181" s="16" t="s">
        <v>48</v>
      </c>
      <c r="J181" s="16" t="s">
        <v>48</v>
      </c>
      <c r="K181" s="16" t="s">
        <v>48</v>
      </c>
      <c r="L181" s="16" t="s">
        <v>48</v>
      </c>
      <c r="M181" s="16" t="s">
        <v>48</v>
      </c>
      <c r="N181" s="16">
        <v>14</v>
      </c>
      <c r="O181" s="16" t="s">
        <v>1741</v>
      </c>
      <c r="P181" s="15" t="s">
        <v>1746</v>
      </c>
      <c r="Q181" s="33" t="s">
        <v>1747</v>
      </c>
    </row>
    <row r="182" spans="1:17" ht="17.100000000000001" customHeight="1">
      <c r="A182" s="53">
        <v>45826</v>
      </c>
      <c r="B182" s="36" t="s">
        <v>174</v>
      </c>
      <c r="C182" s="16" t="s">
        <v>1725</v>
      </c>
      <c r="D182" s="16" t="s">
        <v>1727</v>
      </c>
      <c r="E182" s="16" t="s">
        <v>1748</v>
      </c>
      <c r="F182" s="16" t="s">
        <v>48</v>
      </c>
      <c r="G182" s="16" t="s">
        <v>48</v>
      </c>
      <c r="H182" s="16" t="s">
        <v>48</v>
      </c>
      <c r="I182" s="16" t="s">
        <v>48</v>
      </c>
      <c r="J182" s="16" t="s">
        <v>48</v>
      </c>
      <c r="K182" s="16" t="s">
        <v>48</v>
      </c>
      <c r="L182" s="16" t="s">
        <v>48</v>
      </c>
      <c r="M182" s="16" t="s">
        <v>48</v>
      </c>
      <c r="N182" s="16">
        <v>27</v>
      </c>
      <c r="O182" s="16" t="s">
        <v>1741</v>
      </c>
      <c r="P182" s="15" t="s">
        <v>1746</v>
      </c>
      <c r="Q182" s="33" t="s">
        <v>1747</v>
      </c>
    </row>
    <row r="183" spans="1:17" ht="17.100000000000001" customHeight="1">
      <c r="A183" s="53">
        <v>45826</v>
      </c>
      <c r="B183" s="36" t="s">
        <v>174</v>
      </c>
      <c r="C183" s="16" t="s">
        <v>1725</v>
      </c>
      <c r="D183" s="16" t="s">
        <v>1727</v>
      </c>
      <c r="E183" s="16" t="s">
        <v>1749</v>
      </c>
      <c r="F183" s="16" t="s">
        <v>48</v>
      </c>
      <c r="G183" s="16" t="s">
        <v>48</v>
      </c>
      <c r="H183" s="16" t="s">
        <v>48</v>
      </c>
      <c r="I183" s="16" t="s">
        <v>48</v>
      </c>
      <c r="J183" s="16" t="s">
        <v>48</v>
      </c>
      <c r="K183" s="16" t="s">
        <v>48</v>
      </c>
      <c r="L183" s="16" t="s">
        <v>48</v>
      </c>
      <c r="M183" s="16" t="s">
        <v>48</v>
      </c>
      <c r="N183" s="16">
        <v>27</v>
      </c>
      <c r="O183" s="16" t="s">
        <v>1741</v>
      </c>
      <c r="P183" s="15" t="s">
        <v>1746</v>
      </c>
      <c r="Q183" s="33" t="s">
        <v>1747</v>
      </c>
    </row>
    <row r="184" spans="1:17" ht="17.100000000000001" customHeight="1">
      <c r="A184" s="53">
        <v>45826</v>
      </c>
      <c r="B184" s="36" t="s">
        <v>174</v>
      </c>
      <c r="C184" s="16" t="s">
        <v>1725</v>
      </c>
      <c r="D184" s="16" t="s">
        <v>1727</v>
      </c>
      <c r="E184" s="16" t="s">
        <v>1750</v>
      </c>
      <c r="F184" s="16" t="s">
        <v>48</v>
      </c>
      <c r="G184" s="16" t="s">
        <v>48</v>
      </c>
      <c r="H184" s="16" t="s">
        <v>48</v>
      </c>
      <c r="I184" s="16" t="s">
        <v>48</v>
      </c>
      <c r="J184" s="16" t="s">
        <v>48</v>
      </c>
      <c r="K184" s="16" t="s">
        <v>48</v>
      </c>
      <c r="L184" s="16" t="s">
        <v>48</v>
      </c>
      <c r="M184" s="16" t="s">
        <v>48</v>
      </c>
      <c r="N184" s="16">
        <v>27</v>
      </c>
      <c r="O184" s="16" t="s">
        <v>1741</v>
      </c>
      <c r="P184" s="15" t="s">
        <v>1746</v>
      </c>
      <c r="Q184" s="33" t="s">
        <v>1747</v>
      </c>
    </row>
    <row r="185" spans="1:17" ht="17.100000000000001" customHeight="1">
      <c r="A185" s="53">
        <v>45826</v>
      </c>
      <c r="B185" s="36" t="s">
        <v>174</v>
      </c>
      <c r="C185" s="16" t="s">
        <v>1725</v>
      </c>
      <c r="D185" s="16" t="s">
        <v>1727</v>
      </c>
      <c r="E185" s="16" t="s">
        <v>1751</v>
      </c>
      <c r="F185" s="16" t="s">
        <v>48</v>
      </c>
      <c r="G185" s="16" t="s">
        <v>48</v>
      </c>
      <c r="H185" s="16" t="s">
        <v>48</v>
      </c>
      <c r="I185" s="16" t="s">
        <v>48</v>
      </c>
      <c r="J185" s="16" t="s">
        <v>48</v>
      </c>
      <c r="K185" s="16" t="s">
        <v>48</v>
      </c>
      <c r="L185" s="16" t="s">
        <v>48</v>
      </c>
      <c r="M185" s="16" t="s">
        <v>48</v>
      </c>
      <c r="N185" s="16">
        <v>27</v>
      </c>
      <c r="O185" s="16" t="s">
        <v>1741</v>
      </c>
      <c r="P185" s="15" t="s">
        <v>1746</v>
      </c>
      <c r="Q185" s="33" t="s">
        <v>1747</v>
      </c>
    </row>
    <row r="186" spans="1:17" ht="17.100000000000001" customHeight="1">
      <c r="A186" s="53">
        <v>45826</v>
      </c>
      <c r="B186" s="36" t="s">
        <v>174</v>
      </c>
      <c r="C186" s="16" t="s">
        <v>1725</v>
      </c>
      <c r="D186" s="16" t="s">
        <v>1752</v>
      </c>
      <c r="E186" s="16" t="s">
        <v>1749</v>
      </c>
      <c r="F186" s="16" t="s">
        <v>48</v>
      </c>
      <c r="G186" s="16" t="s">
        <v>48</v>
      </c>
      <c r="H186" s="16" t="s">
        <v>48</v>
      </c>
      <c r="I186" s="16" t="s">
        <v>48</v>
      </c>
      <c r="J186" s="16" t="s">
        <v>48</v>
      </c>
      <c r="K186" s="16" t="s">
        <v>48</v>
      </c>
      <c r="L186" s="16" t="s">
        <v>48</v>
      </c>
      <c r="M186" s="16" t="s">
        <v>48</v>
      </c>
      <c r="N186" s="16">
        <v>27</v>
      </c>
      <c r="O186" s="16" t="s">
        <v>1741</v>
      </c>
      <c r="P186" s="15" t="s">
        <v>1746</v>
      </c>
      <c r="Q186" s="33" t="s">
        <v>1747</v>
      </c>
    </row>
    <row r="187" spans="1:17" ht="17.100000000000001" customHeight="1">
      <c r="A187" s="53">
        <v>45826</v>
      </c>
      <c r="B187" s="36" t="s">
        <v>174</v>
      </c>
      <c r="C187" s="16" t="s">
        <v>1725</v>
      </c>
      <c r="D187" s="16" t="s">
        <v>1752</v>
      </c>
      <c r="E187" s="16" t="s">
        <v>1753</v>
      </c>
      <c r="F187" s="16" t="s">
        <v>48</v>
      </c>
      <c r="G187" s="16" t="s">
        <v>48</v>
      </c>
      <c r="H187" s="16" t="s">
        <v>48</v>
      </c>
      <c r="I187" s="16" t="s">
        <v>48</v>
      </c>
      <c r="J187" s="16" t="s">
        <v>48</v>
      </c>
      <c r="K187" s="16" t="s">
        <v>48</v>
      </c>
      <c r="L187" s="16" t="s">
        <v>48</v>
      </c>
      <c r="M187" s="16" t="s">
        <v>48</v>
      </c>
      <c r="N187" s="16">
        <v>27</v>
      </c>
      <c r="O187" s="16" t="s">
        <v>1741</v>
      </c>
      <c r="P187" s="15" t="s">
        <v>1746</v>
      </c>
      <c r="Q187" s="33" t="s">
        <v>1747</v>
      </c>
    </row>
    <row r="188" spans="1:17" ht="17.100000000000001" customHeight="1">
      <c r="A188" s="53">
        <v>45826</v>
      </c>
      <c r="B188" s="36" t="s">
        <v>174</v>
      </c>
      <c r="C188" s="16" t="s">
        <v>1725</v>
      </c>
      <c r="D188" s="16" t="s">
        <v>1752</v>
      </c>
      <c r="E188" s="16" t="s">
        <v>1754</v>
      </c>
      <c r="F188" s="16" t="s">
        <v>48</v>
      </c>
      <c r="G188" s="16" t="s">
        <v>48</v>
      </c>
      <c r="H188" s="16" t="s">
        <v>48</v>
      </c>
      <c r="I188" s="16" t="s">
        <v>48</v>
      </c>
      <c r="J188" s="16" t="s">
        <v>48</v>
      </c>
      <c r="K188" s="16" t="s">
        <v>48</v>
      </c>
      <c r="L188" s="16" t="s">
        <v>48</v>
      </c>
      <c r="M188" s="16" t="s">
        <v>48</v>
      </c>
      <c r="N188" s="16">
        <v>27</v>
      </c>
      <c r="O188" s="16" t="s">
        <v>1741</v>
      </c>
      <c r="P188" s="15" t="s">
        <v>1746</v>
      </c>
      <c r="Q188" s="33" t="s">
        <v>1747</v>
      </c>
    </row>
    <row r="189" spans="1:17" ht="17.100000000000001" customHeight="1">
      <c r="A189" s="53">
        <v>45826</v>
      </c>
      <c r="B189" s="36" t="s">
        <v>174</v>
      </c>
      <c r="C189" s="16" t="s">
        <v>1725</v>
      </c>
      <c r="D189" s="16" t="s">
        <v>1719</v>
      </c>
      <c r="E189" s="16" t="s">
        <v>1751</v>
      </c>
      <c r="F189" s="16" t="s">
        <v>48</v>
      </c>
      <c r="G189" s="16" t="s">
        <v>48</v>
      </c>
      <c r="H189" s="16" t="s">
        <v>48</v>
      </c>
      <c r="I189" s="16" t="s">
        <v>48</v>
      </c>
      <c r="J189" s="16" t="s">
        <v>48</v>
      </c>
      <c r="K189" s="16" t="s">
        <v>48</v>
      </c>
      <c r="L189" s="16" t="s">
        <v>48</v>
      </c>
      <c r="M189" s="16" t="s">
        <v>48</v>
      </c>
      <c r="N189" s="16">
        <v>27</v>
      </c>
      <c r="O189" s="16" t="s">
        <v>1741</v>
      </c>
      <c r="P189" s="15" t="s">
        <v>1746</v>
      </c>
      <c r="Q189" s="33" t="s">
        <v>1747</v>
      </c>
    </row>
    <row r="190" spans="1:17" ht="17.100000000000001" customHeight="1">
      <c r="A190" s="53">
        <v>45826</v>
      </c>
      <c r="B190" s="36" t="s">
        <v>174</v>
      </c>
      <c r="C190" s="16" t="s">
        <v>1725</v>
      </c>
      <c r="D190" s="16" t="s">
        <v>1719</v>
      </c>
      <c r="E190" s="16" t="s">
        <v>1754</v>
      </c>
      <c r="F190" s="16" t="s">
        <v>48</v>
      </c>
      <c r="G190" s="16" t="s">
        <v>48</v>
      </c>
      <c r="H190" s="16" t="s">
        <v>48</v>
      </c>
      <c r="I190" s="16" t="s">
        <v>48</v>
      </c>
      <c r="J190" s="16" t="s">
        <v>48</v>
      </c>
      <c r="K190" s="16" t="s">
        <v>48</v>
      </c>
      <c r="L190" s="16" t="s">
        <v>48</v>
      </c>
      <c r="M190" s="16" t="s">
        <v>48</v>
      </c>
      <c r="N190" s="16">
        <v>27</v>
      </c>
      <c r="O190" s="16" t="s">
        <v>1741</v>
      </c>
      <c r="P190" s="15" t="s">
        <v>1746</v>
      </c>
      <c r="Q190" s="33" t="s">
        <v>1747</v>
      </c>
    </row>
    <row r="191" spans="1:17" ht="17.100000000000001" customHeight="1">
      <c r="A191" s="53">
        <v>45826</v>
      </c>
      <c r="B191" s="36" t="s">
        <v>174</v>
      </c>
      <c r="C191" s="16" t="s">
        <v>1725</v>
      </c>
      <c r="D191" s="16" t="s">
        <v>1719</v>
      </c>
      <c r="E191" s="16" t="s">
        <v>1755</v>
      </c>
      <c r="F191" s="16" t="s">
        <v>48</v>
      </c>
      <c r="G191" s="16" t="s">
        <v>48</v>
      </c>
      <c r="H191" s="16" t="s">
        <v>48</v>
      </c>
      <c r="I191" s="16" t="s">
        <v>48</v>
      </c>
      <c r="J191" s="16" t="s">
        <v>48</v>
      </c>
      <c r="K191" s="16" t="s">
        <v>48</v>
      </c>
      <c r="L191" s="16" t="s">
        <v>48</v>
      </c>
      <c r="M191" s="16" t="s">
        <v>48</v>
      </c>
      <c r="N191" s="16">
        <v>11</v>
      </c>
      <c r="O191" s="16" t="s">
        <v>1741</v>
      </c>
      <c r="P191" s="15" t="s">
        <v>1746</v>
      </c>
      <c r="Q191" s="33" t="s">
        <v>1747</v>
      </c>
    </row>
    <row r="192" spans="1:17" ht="17.100000000000001" customHeight="1">
      <c r="A192" s="53">
        <v>45826</v>
      </c>
      <c r="B192" s="36" t="s">
        <v>174</v>
      </c>
      <c r="C192" s="16" t="s">
        <v>1725</v>
      </c>
      <c r="D192" s="16" t="s">
        <v>1719</v>
      </c>
      <c r="E192" s="16" t="s">
        <v>1756</v>
      </c>
      <c r="F192" s="16" t="s">
        <v>48</v>
      </c>
      <c r="G192" s="16" t="s">
        <v>48</v>
      </c>
      <c r="H192" s="16" t="s">
        <v>48</v>
      </c>
      <c r="I192" s="16" t="s">
        <v>48</v>
      </c>
      <c r="J192" s="16" t="s">
        <v>48</v>
      </c>
      <c r="K192" s="16" t="s">
        <v>48</v>
      </c>
      <c r="L192" s="16" t="s">
        <v>48</v>
      </c>
      <c r="M192" s="16" t="s">
        <v>48</v>
      </c>
      <c r="N192" s="16">
        <v>27</v>
      </c>
      <c r="O192" s="16" t="s">
        <v>1741</v>
      </c>
      <c r="P192" s="15" t="s">
        <v>1746</v>
      </c>
      <c r="Q192" s="33" t="s">
        <v>1747</v>
      </c>
    </row>
    <row r="193" spans="1:17" ht="17.100000000000001" customHeight="1">
      <c r="A193" s="53">
        <v>45826</v>
      </c>
      <c r="B193" s="36" t="s">
        <v>174</v>
      </c>
      <c r="C193" s="16" t="s">
        <v>1725</v>
      </c>
      <c r="D193" s="16" t="s">
        <v>1719</v>
      </c>
      <c r="E193" s="16" t="s">
        <v>1757</v>
      </c>
      <c r="F193" s="16" t="s">
        <v>48</v>
      </c>
      <c r="G193" s="16" t="s">
        <v>48</v>
      </c>
      <c r="H193" s="16" t="s">
        <v>48</v>
      </c>
      <c r="I193" s="16" t="s">
        <v>48</v>
      </c>
      <c r="J193" s="16" t="s">
        <v>48</v>
      </c>
      <c r="K193" s="16" t="s">
        <v>48</v>
      </c>
      <c r="L193" s="16" t="s">
        <v>48</v>
      </c>
      <c r="M193" s="16" t="s">
        <v>48</v>
      </c>
      <c r="N193" s="16">
        <v>5</v>
      </c>
      <c r="O193" s="16" t="s">
        <v>1741</v>
      </c>
      <c r="P193" s="15" t="s">
        <v>1746</v>
      </c>
      <c r="Q193" s="33" t="s">
        <v>1747</v>
      </c>
    </row>
    <row r="194" spans="1:17" ht="17.100000000000001" customHeight="1">
      <c r="A194" s="53">
        <v>45827</v>
      </c>
      <c r="B194" s="36" t="s">
        <v>174</v>
      </c>
      <c r="C194" s="16" t="s">
        <v>1758</v>
      </c>
      <c r="D194" s="16" t="s">
        <v>585</v>
      </c>
      <c r="E194" s="16" t="s">
        <v>1757</v>
      </c>
      <c r="F194" s="16" t="s">
        <v>48</v>
      </c>
      <c r="G194" s="16" t="s">
        <v>48</v>
      </c>
      <c r="H194" s="16" t="s">
        <v>48</v>
      </c>
      <c r="I194" s="16" t="s">
        <v>48</v>
      </c>
      <c r="J194" s="16" t="s">
        <v>48</v>
      </c>
      <c r="K194" s="16" t="s">
        <v>48</v>
      </c>
      <c r="L194" s="16" t="s">
        <v>48</v>
      </c>
      <c r="M194" s="16" t="s">
        <v>48</v>
      </c>
      <c r="N194" s="16">
        <v>22</v>
      </c>
      <c r="O194" s="16" t="s">
        <v>1768</v>
      </c>
      <c r="P194" s="16" t="s">
        <v>1766</v>
      </c>
      <c r="Q194" s="32" t="s">
        <v>1767</v>
      </c>
    </row>
    <row r="195" spans="1:17" ht="17.100000000000001" customHeight="1">
      <c r="A195" s="53">
        <v>45827</v>
      </c>
      <c r="B195" s="36" t="s">
        <v>174</v>
      </c>
      <c r="C195" s="16" t="s">
        <v>1758</v>
      </c>
      <c r="D195" s="16" t="s">
        <v>585</v>
      </c>
      <c r="E195" s="16" t="s">
        <v>1759</v>
      </c>
      <c r="F195" s="16" t="s">
        <v>48</v>
      </c>
      <c r="G195" s="16" t="s">
        <v>48</v>
      </c>
      <c r="H195" s="16" t="s">
        <v>48</v>
      </c>
      <c r="I195" s="16" t="s">
        <v>48</v>
      </c>
      <c r="J195" s="16" t="s">
        <v>48</v>
      </c>
      <c r="K195" s="16" t="s">
        <v>48</v>
      </c>
      <c r="L195" s="16" t="s">
        <v>48</v>
      </c>
      <c r="M195" s="16" t="s">
        <v>48</v>
      </c>
      <c r="N195" s="16">
        <v>28</v>
      </c>
      <c r="O195" s="16" t="s">
        <v>1768</v>
      </c>
      <c r="P195" s="16" t="s">
        <v>1766</v>
      </c>
      <c r="Q195" s="32" t="s">
        <v>1767</v>
      </c>
    </row>
    <row r="196" spans="1:17" ht="17.100000000000001" customHeight="1">
      <c r="A196" s="53">
        <v>45827</v>
      </c>
      <c r="B196" s="36" t="s">
        <v>174</v>
      </c>
      <c r="C196" s="16" t="s">
        <v>1758</v>
      </c>
      <c r="D196" s="16" t="s">
        <v>585</v>
      </c>
      <c r="E196" s="16" t="s">
        <v>1750</v>
      </c>
      <c r="F196" s="16" t="s">
        <v>48</v>
      </c>
      <c r="G196" s="16" t="s">
        <v>48</v>
      </c>
      <c r="H196" s="16" t="s">
        <v>48</v>
      </c>
      <c r="I196" s="16" t="s">
        <v>48</v>
      </c>
      <c r="J196" s="16" t="s">
        <v>48</v>
      </c>
      <c r="K196" s="16" t="s">
        <v>48</v>
      </c>
      <c r="L196" s="16" t="s">
        <v>48</v>
      </c>
      <c r="M196" s="16" t="s">
        <v>48</v>
      </c>
      <c r="N196" s="16">
        <v>27</v>
      </c>
      <c r="O196" s="16" t="s">
        <v>1768</v>
      </c>
      <c r="P196" s="16" t="s">
        <v>1766</v>
      </c>
      <c r="Q196" s="32" t="s">
        <v>1767</v>
      </c>
    </row>
    <row r="197" spans="1:17" ht="17.100000000000001" customHeight="1">
      <c r="A197" s="53">
        <v>45827</v>
      </c>
      <c r="B197" s="36" t="s">
        <v>174</v>
      </c>
      <c r="C197" s="16" t="s">
        <v>1758</v>
      </c>
      <c r="D197" s="16" t="s">
        <v>585</v>
      </c>
      <c r="E197" s="16" t="s">
        <v>1748</v>
      </c>
      <c r="F197" s="16" t="s">
        <v>48</v>
      </c>
      <c r="G197" s="16" t="s">
        <v>48</v>
      </c>
      <c r="H197" s="16" t="s">
        <v>48</v>
      </c>
      <c r="I197" s="16" t="s">
        <v>48</v>
      </c>
      <c r="J197" s="16" t="s">
        <v>48</v>
      </c>
      <c r="K197" s="16" t="s">
        <v>48</v>
      </c>
      <c r="L197" s="16" t="s">
        <v>48</v>
      </c>
      <c r="M197" s="16" t="s">
        <v>48</v>
      </c>
      <c r="N197" s="16">
        <v>27</v>
      </c>
      <c r="O197" s="16" t="s">
        <v>1768</v>
      </c>
      <c r="P197" s="16" t="s">
        <v>1766</v>
      </c>
      <c r="Q197" s="32" t="s">
        <v>1767</v>
      </c>
    </row>
    <row r="198" spans="1:17" ht="17.100000000000001" customHeight="1">
      <c r="A198" s="53">
        <v>45827</v>
      </c>
      <c r="B198" s="36" t="s">
        <v>174</v>
      </c>
      <c r="C198" s="16" t="s">
        <v>1758</v>
      </c>
      <c r="D198" s="16" t="s">
        <v>1550</v>
      </c>
      <c r="E198" s="16" t="s">
        <v>1738</v>
      </c>
      <c r="F198" s="16" t="s">
        <v>48</v>
      </c>
      <c r="G198" s="16" t="s">
        <v>48</v>
      </c>
      <c r="H198" s="16" t="s">
        <v>48</v>
      </c>
      <c r="I198" s="16" t="s">
        <v>48</v>
      </c>
      <c r="J198" s="16" t="s">
        <v>48</v>
      </c>
      <c r="K198" s="16" t="s">
        <v>48</v>
      </c>
      <c r="L198" s="16" t="s">
        <v>48</v>
      </c>
      <c r="M198" s="16" t="s">
        <v>48</v>
      </c>
      <c r="N198" s="16">
        <v>27</v>
      </c>
      <c r="O198" s="16" t="s">
        <v>1768</v>
      </c>
      <c r="P198" s="16" t="s">
        <v>1766</v>
      </c>
      <c r="Q198" s="32" t="s">
        <v>1767</v>
      </c>
    </row>
    <row r="199" spans="1:17" ht="17.100000000000001" customHeight="1">
      <c r="A199" s="53">
        <v>45827</v>
      </c>
      <c r="B199" s="36" t="s">
        <v>174</v>
      </c>
      <c r="C199" s="16" t="s">
        <v>1758</v>
      </c>
      <c r="D199" s="16" t="s">
        <v>1550</v>
      </c>
      <c r="E199" s="16" t="s">
        <v>1760</v>
      </c>
      <c r="F199" s="16" t="s">
        <v>48</v>
      </c>
      <c r="G199" s="16" t="s">
        <v>48</v>
      </c>
      <c r="H199" s="16" t="s">
        <v>48</v>
      </c>
      <c r="I199" s="16" t="s">
        <v>48</v>
      </c>
      <c r="J199" s="16" t="s">
        <v>48</v>
      </c>
      <c r="K199" s="16" t="s">
        <v>48</v>
      </c>
      <c r="L199" s="16" t="s">
        <v>48</v>
      </c>
      <c r="M199" s="16" t="s">
        <v>48</v>
      </c>
      <c r="N199" s="16">
        <v>54</v>
      </c>
      <c r="O199" s="16" t="s">
        <v>1768</v>
      </c>
      <c r="P199" s="16" t="s">
        <v>1766</v>
      </c>
      <c r="Q199" s="32" t="s">
        <v>1767</v>
      </c>
    </row>
    <row r="200" spans="1:17" ht="17.100000000000001" customHeight="1">
      <c r="A200" s="53">
        <v>45827</v>
      </c>
      <c r="B200" s="36" t="s">
        <v>174</v>
      </c>
      <c r="C200" s="16" t="s">
        <v>1758</v>
      </c>
      <c r="D200" s="16" t="s">
        <v>1550</v>
      </c>
      <c r="E200" s="16" t="s">
        <v>1761</v>
      </c>
      <c r="F200" s="16" t="s">
        <v>48</v>
      </c>
      <c r="G200" s="16" t="s">
        <v>48</v>
      </c>
      <c r="H200" s="16" t="s">
        <v>48</v>
      </c>
      <c r="I200" s="16" t="s">
        <v>48</v>
      </c>
      <c r="J200" s="16" t="s">
        <v>48</v>
      </c>
      <c r="K200" s="16" t="s">
        <v>48</v>
      </c>
      <c r="L200" s="16" t="s">
        <v>48</v>
      </c>
      <c r="M200" s="16" t="s">
        <v>48</v>
      </c>
      <c r="N200" s="16">
        <v>27</v>
      </c>
      <c r="O200" s="16" t="s">
        <v>1768</v>
      </c>
      <c r="P200" s="16" t="s">
        <v>1766</v>
      </c>
      <c r="Q200" s="32" t="s">
        <v>1767</v>
      </c>
    </row>
    <row r="201" spans="1:17" ht="17.100000000000001" customHeight="1">
      <c r="A201" s="53">
        <v>45827</v>
      </c>
      <c r="B201" s="36" t="s">
        <v>174</v>
      </c>
      <c r="C201" s="16" t="s">
        <v>1758</v>
      </c>
      <c r="D201" s="16" t="s">
        <v>1752</v>
      </c>
      <c r="E201" s="16" t="s">
        <v>1762</v>
      </c>
      <c r="F201" s="16" t="s">
        <v>48</v>
      </c>
      <c r="G201" s="16" t="s">
        <v>48</v>
      </c>
      <c r="H201" s="16" t="s">
        <v>48</v>
      </c>
      <c r="I201" s="16" t="s">
        <v>48</v>
      </c>
      <c r="J201" s="16" t="s">
        <v>48</v>
      </c>
      <c r="K201" s="16" t="s">
        <v>48</v>
      </c>
      <c r="L201" s="16" t="s">
        <v>48</v>
      </c>
      <c r="M201" s="16" t="s">
        <v>48</v>
      </c>
      <c r="N201" s="16">
        <v>27</v>
      </c>
      <c r="O201" s="16" t="s">
        <v>1768</v>
      </c>
      <c r="P201" s="16" t="s">
        <v>1766</v>
      </c>
      <c r="Q201" s="32" t="s">
        <v>1767</v>
      </c>
    </row>
    <row r="202" spans="1:17" ht="17.100000000000001" customHeight="1">
      <c r="A202" s="53">
        <v>45827</v>
      </c>
      <c r="B202" s="36" t="s">
        <v>174</v>
      </c>
      <c r="C202" s="16" t="s">
        <v>1758</v>
      </c>
      <c r="D202" s="16" t="s">
        <v>1752</v>
      </c>
      <c r="E202" s="16" t="s">
        <v>1763</v>
      </c>
      <c r="F202" s="16" t="s">
        <v>48</v>
      </c>
      <c r="G202" s="16" t="s">
        <v>48</v>
      </c>
      <c r="H202" s="16" t="s">
        <v>48</v>
      </c>
      <c r="I202" s="16" t="s">
        <v>48</v>
      </c>
      <c r="J202" s="16" t="s">
        <v>48</v>
      </c>
      <c r="K202" s="16" t="s">
        <v>48</v>
      </c>
      <c r="L202" s="16" t="s">
        <v>48</v>
      </c>
      <c r="M202" s="16" t="s">
        <v>48</v>
      </c>
      <c r="N202" s="16">
        <v>27</v>
      </c>
      <c r="O202" s="16" t="s">
        <v>1768</v>
      </c>
      <c r="P202" s="16" t="s">
        <v>1766</v>
      </c>
      <c r="Q202" s="32" t="s">
        <v>1767</v>
      </c>
    </row>
    <row r="203" spans="1:17" ht="17.100000000000001" customHeight="1">
      <c r="A203" s="53">
        <v>45827</v>
      </c>
      <c r="B203" s="36" t="s">
        <v>174</v>
      </c>
      <c r="C203" s="16" t="s">
        <v>1758</v>
      </c>
      <c r="D203" s="16" t="s">
        <v>1752</v>
      </c>
      <c r="E203" s="16" t="s">
        <v>1764</v>
      </c>
      <c r="F203" s="16" t="s">
        <v>48</v>
      </c>
      <c r="G203" s="16" t="s">
        <v>48</v>
      </c>
      <c r="H203" s="16" t="s">
        <v>48</v>
      </c>
      <c r="I203" s="16" t="s">
        <v>48</v>
      </c>
      <c r="J203" s="16" t="s">
        <v>48</v>
      </c>
      <c r="K203" s="16" t="s">
        <v>48</v>
      </c>
      <c r="L203" s="16" t="s">
        <v>48</v>
      </c>
      <c r="M203" s="16" t="s">
        <v>48</v>
      </c>
      <c r="N203" s="16">
        <v>27</v>
      </c>
      <c r="O203" s="16" t="s">
        <v>1768</v>
      </c>
      <c r="P203" s="16" t="s">
        <v>1766</v>
      </c>
      <c r="Q203" s="32" t="s">
        <v>1767</v>
      </c>
    </row>
    <row r="204" spans="1:17" ht="17.100000000000001" customHeight="1">
      <c r="A204" s="53">
        <v>45827</v>
      </c>
      <c r="B204" s="36" t="s">
        <v>174</v>
      </c>
      <c r="C204" s="16" t="s">
        <v>1758</v>
      </c>
      <c r="D204" s="16" t="s">
        <v>1752</v>
      </c>
      <c r="E204" s="16" t="s">
        <v>1765</v>
      </c>
      <c r="F204" s="16" t="s">
        <v>48</v>
      </c>
      <c r="G204" s="16" t="s">
        <v>48</v>
      </c>
      <c r="H204" s="16" t="s">
        <v>48</v>
      </c>
      <c r="I204" s="16" t="s">
        <v>48</v>
      </c>
      <c r="J204" s="16" t="s">
        <v>48</v>
      </c>
      <c r="K204" s="16" t="s">
        <v>48</v>
      </c>
      <c r="L204" s="16" t="s">
        <v>48</v>
      </c>
      <c r="M204" s="16" t="s">
        <v>48</v>
      </c>
      <c r="N204" s="16">
        <v>7</v>
      </c>
      <c r="O204" s="16" t="s">
        <v>1768</v>
      </c>
      <c r="P204" s="16" t="s">
        <v>1766</v>
      </c>
      <c r="Q204" s="32" t="s">
        <v>1767</v>
      </c>
    </row>
    <row r="205" spans="1:17" ht="17.100000000000001" customHeight="1">
      <c r="A205" s="53">
        <v>45827</v>
      </c>
      <c r="B205" s="36" t="s">
        <v>174</v>
      </c>
      <c r="C205" s="16" t="s">
        <v>1758</v>
      </c>
      <c r="D205" s="16" t="s">
        <v>1752</v>
      </c>
      <c r="E205" s="16" t="s">
        <v>1765</v>
      </c>
      <c r="F205" s="16" t="s">
        <v>48</v>
      </c>
      <c r="G205" s="16" t="s">
        <v>48</v>
      </c>
      <c r="H205" s="16" t="s">
        <v>48</v>
      </c>
      <c r="I205" s="16" t="s">
        <v>48</v>
      </c>
      <c r="J205" s="16" t="s">
        <v>48</v>
      </c>
      <c r="K205" s="16" t="s">
        <v>48</v>
      </c>
      <c r="L205" s="16" t="s">
        <v>48</v>
      </c>
      <c r="M205" s="16" t="s">
        <v>48</v>
      </c>
      <c r="N205" s="16">
        <v>21</v>
      </c>
      <c r="O205" s="16" t="s">
        <v>1768</v>
      </c>
      <c r="P205" s="16" t="s">
        <v>1766</v>
      </c>
      <c r="Q205" s="32" t="s">
        <v>1767</v>
      </c>
    </row>
    <row r="206" spans="1:17" ht="17.100000000000001" customHeight="1">
      <c r="A206" s="53">
        <v>45827</v>
      </c>
      <c r="B206" s="36" t="s">
        <v>174</v>
      </c>
      <c r="C206" s="16" t="s">
        <v>1758</v>
      </c>
      <c r="D206" s="16" t="s">
        <v>1752</v>
      </c>
      <c r="E206" s="16" t="s">
        <v>1764</v>
      </c>
      <c r="F206" s="16" t="s">
        <v>48</v>
      </c>
      <c r="G206" s="16" t="s">
        <v>48</v>
      </c>
      <c r="H206" s="16" t="s">
        <v>48</v>
      </c>
      <c r="I206" s="16" t="s">
        <v>48</v>
      </c>
      <c r="J206" s="16" t="s">
        <v>48</v>
      </c>
      <c r="K206" s="16" t="s">
        <v>48</v>
      </c>
      <c r="L206" s="16" t="s">
        <v>48</v>
      </c>
      <c r="M206" s="16" t="s">
        <v>48</v>
      </c>
      <c r="N206" s="16">
        <v>27</v>
      </c>
      <c r="O206" s="16" t="s">
        <v>1768</v>
      </c>
      <c r="P206" s="16" t="s">
        <v>1766</v>
      </c>
      <c r="Q206" s="32" t="s">
        <v>1767</v>
      </c>
    </row>
    <row r="207" spans="1:17" ht="17.100000000000001" customHeight="1">
      <c r="A207" s="53">
        <v>45827</v>
      </c>
      <c r="B207" s="36" t="s">
        <v>174</v>
      </c>
      <c r="C207" s="16" t="s">
        <v>1758</v>
      </c>
      <c r="D207" s="16" t="s">
        <v>1752</v>
      </c>
      <c r="E207" s="16" t="s">
        <v>1763</v>
      </c>
      <c r="F207" s="16" t="s">
        <v>48</v>
      </c>
      <c r="G207" s="16" t="s">
        <v>48</v>
      </c>
      <c r="H207" s="16" t="s">
        <v>48</v>
      </c>
      <c r="I207" s="16" t="s">
        <v>48</v>
      </c>
      <c r="J207" s="16" t="s">
        <v>48</v>
      </c>
      <c r="K207" s="16" t="s">
        <v>48</v>
      </c>
      <c r="L207" s="16" t="s">
        <v>48</v>
      </c>
      <c r="M207" s="16" t="s">
        <v>48</v>
      </c>
      <c r="N207" s="16">
        <v>27</v>
      </c>
      <c r="O207" s="16" t="s">
        <v>1768</v>
      </c>
      <c r="P207" s="16" t="s">
        <v>1766</v>
      </c>
      <c r="Q207" s="32" t="s">
        <v>1767</v>
      </c>
    </row>
    <row r="208" spans="1:17" ht="17.100000000000001" customHeight="1">
      <c r="A208" s="53">
        <v>45827</v>
      </c>
      <c r="B208" s="36" t="s">
        <v>174</v>
      </c>
      <c r="C208" s="16" t="s">
        <v>1758</v>
      </c>
      <c r="D208" s="16" t="s">
        <v>1752</v>
      </c>
      <c r="E208" s="16" t="s">
        <v>1769</v>
      </c>
      <c r="F208" s="16" t="s">
        <v>48</v>
      </c>
      <c r="G208" s="16" t="s">
        <v>48</v>
      </c>
      <c r="H208" s="16" t="s">
        <v>48</v>
      </c>
      <c r="I208" s="16" t="s">
        <v>48</v>
      </c>
      <c r="J208" s="16" t="s">
        <v>48</v>
      </c>
      <c r="K208" s="16" t="s">
        <v>48</v>
      </c>
      <c r="L208" s="16" t="s">
        <v>48</v>
      </c>
      <c r="M208" s="16" t="s">
        <v>48</v>
      </c>
      <c r="N208" s="16">
        <v>27</v>
      </c>
      <c r="O208" s="16" t="s">
        <v>1768</v>
      </c>
      <c r="P208" s="16" t="s">
        <v>1766</v>
      </c>
      <c r="Q208" s="32" t="s">
        <v>1767</v>
      </c>
    </row>
    <row r="209" spans="1:17" ht="17.100000000000001" customHeight="1">
      <c r="A209" s="53">
        <v>45827</v>
      </c>
      <c r="B209" s="36" t="s">
        <v>174</v>
      </c>
      <c r="C209" s="16" t="s">
        <v>1758</v>
      </c>
      <c r="D209" s="16" t="s">
        <v>1770</v>
      </c>
      <c r="E209" s="16" t="s">
        <v>1771</v>
      </c>
      <c r="F209" s="16" t="s">
        <v>48</v>
      </c>
      <c r="G209" s="16" t="s">
        <v>48</v>
      </c>
      <c r="H209" s="16" t="s">
        <v>48</v>
      </c>
      <c r="I209" s="16" t="s">
        <v>48</v>
      </c>
      <c r="J209" s="16" t="s">
        <v>48</v>
      </c>
      <c r="K209" s="16" t="s">
        <v>48</v>
      </c>
      <c r="L209" s="16" t="s">
        <v>48</v>
      </c>
      <c r="M209" s="16" t="s">
        <v>48</v>
      </c>
      <c r="N209" s="16">
        <v>28</v>
      </c>
      <c r="O209" s="16" t="s">
        <v>1768</v>
      </c>
      <c r="P209" s="16" t="s">
        <v>1766</v>
      </c>
      <c r="Q209" s="32" t="s">
        <v>1767</v>
      </c>
    </row>
    <row r="210" spans="1:17" ht="17.100000000000001" customHeight="1">
      <c r="A210" s="53">
        <v>45827</v>
      </c>
      <c r="B210" s="36" t="s">
        <v>174</v>
      </c>
      <c r="C210" s="16" t="s">
        <v>1758</v>
      </c>
      <c r="D210" s="16" t="s">
        <v>1770</v>
      </c>
      <c r="E210" s="16" t="s">
        <v>1769</v>
      </c>
      <c r="F210" s="16" t="s">
        <v>48</v>
      </c>
      <c r="G210" s="16" t="s">
        <v>48</v>
      </c>
      <c r="H210" s="16" t="s">
        <v>48</v>
      </c>
      <c r="I210" s="16" t="s">
        <v>48</v>
      </c>
      <c r="J210" s="16" t="s">
        <v>48</v>
      </c>
      <c r="K210" s="16" t="s">
        <v>48</v>
      </c>
      <c r="L210" s="16" t="s">
        <v>48</v>
      </c>
      <c r="M210" s="16" t="s">
        <v>48</v>
      </c>
      <c r="N210" s="16">
        <v>27</v>
      </c>
      <c r="O210" s="16" t="s">
        <v>1768</v>
      </c>
      <c r="P210" s="16" t="s">
        <v>1766</v>
      </c>
      <c r="Q210" s="32" t="s">
        <v>1767</v>
      </c>
    </row>
    <row r="211" spans="1:17" ht="17.100000000000001" customHeight="1">
      <c r="A211" s="53">
        <v>45827</v>
      </c>
      <c r="B211" s="36" t="s">
        <v>174</v>
      </c>
      <c r="C211" s="16" t="s">
        <v>1758</v>
      </c>
      <c r="D211" s="16" t="s">
        <v>1770</v>
      </c>
      <c r="E211" s="16" t="s">
        <v>1744</v>
      </c>
      <c r="F211" s="16" t="s">
        <v>48</v>
      </c>
      <c r="G211" s="16" t="s">
        <v>48</v>
      </c>
      <c r="H211" s="16" t="s">
        <v>48</v>
      </c>
      <c r="I211" s="16" t="s">
        <v>48</v>
      </c>
      <c r="J211" s="16" t="s">
        <v>48</v>
      </c>
      <c r="K211" s="16" t="s">
        <v>48</v>
      </c>
      <c r="L211" s="16" t="s">
        <v>48</v>
      </c>
      <c r="M211" s="16" t="s">
        <v>48</v>
      </c>
      <c r="N211" s="16">
        <v>27</v>
      </c>
      <c r="O211" s="16" t="s">
        <v>1768</v>
      </c>
      <c r="P211" s="16" t="s">
        <v>1766</v>
      </c>
      <c r="Q211" s="32" t="s">
        <v>1767</v>
      </c>
    </row>
    <row r="212" spans="1:17" ht="17.100000000000001" customHeight="1">
      <c r="A212" s="53">
        <v>45827</v>
      </c>
      <c r="B212" s="36" t="s">
        <v>174</v>
      </c>
      <c r="C212" s="16" t="s">
        <v>1758</v>
      </c>
      <c r="D212" s="16" t="s">
        <v>1770</v>
      </c>
      <c r="E212" s="16" t="s">
        <v>1772</v>
      </c>
      <c r="F212" s="16" t="s">
        <v>48</v>
      </c>
      <c r="G212" s="16" t="s">
        <v>48</v>
      </c>
      <c r="H212" s="16" t="s">
        <v>48</v>
      </c>
      <c r="I212" s="16" t="s">
        <v>48</v>
      </c>
      <c r="J212" s="16" t="s">
        <v>48</v>
      </c>
      <c r="K212" s="16" t="s">
        <v>48</v>
      </c>
      <c r="L212" s="16" t="s">
        <v>48</v>
      </c>
      <c r="M212" s="16" t="s">
        <v>48</v>
      </c>
      <c r="N212" s="16">
        <f>32/2</f>
        <v>16</v>
      </c>
      <c r="O212" s="16" t="s">
        <v>1768</v>
      </c>
      <c r="P212" s="16" t="s">
        <v>1766</v>
      </c>
      <c r="Q212" s="32" t="s">
        <v>1767</v>
      </c>
    </row>
    <row r="213" spans="1:17" ht="17.100000000000001" customHeight="1">
      <c r="A213" s="53">
        <v>45827</v>
      </c>
      <c r="B213" s="36" t="s">
        <v>174</v>
      </c>
      <c r="C213" s="16" t="s">
        <v>1758</v>
      </c>
      <c r="D213" s="16" t="s">
        <v>1770</v>
      </c>
      <c r="E213" s="16" t="s">
        <v>1772</v>
      </c>
      <c r="F213" s="16" t="s">
        <v>48</v>
      </c>
      <c r="G213" s="16" t="s">
        <v>48</v>
      </c>
      <c r="H213" s="16" t="s">
        <v>48</v>
      </c>
      <c r="I213" s="16" t="s">
        <v>48</v>
      </c>
      <c r="J213" s="16" t="s">
        <v>48</v>
      </c>
      <c r="K213" s="16" t="s">
        <v>48</v>
      </c>
      <c r="L213" s="16" t="s">
        <v>48</v>
      </c>
      <c r="M213" s="16" t="s">
        <v>48</v>
      </c>
      <c r="N213" s="16">
        <v>11</v>
      </c>
      <c r="O213" s="16" t="s">
        <v>1768</v>
      </c>
      <c r="P213" s="16" t="s">
        <v>1788</v>
      </c>
      <c r="Q213" s="32" t="s">
        <v>1789</v>
      </c>
    </row>
    <row r="214" spans="1:17" ht="17.100000000000001" customHeight="1">
      <c r="A214" s="53">
        <v>45827</v>
      </c>
      <c r="B214" s="36" t="s">
        <v>174</v>
      </c>
      <c r="C214" s="16" t="s">
        <v>1758</v>
      </c>
      <c r="D214" s="16" t="s">
        <v>1770</v>
      </c>
      <c r="E214" s="16" t="s">
        <v>1773</v>
      </c>
      <c r="F214" s="16" t="s">
        <v>48</v>
      </c>
      <c r="G214" s="16" t="s">
        <v>48</v>
      </c>
      <c r="H214" s="16" t="s">
        <v>48</v>
      </c>
      <c r="I214" s="16" t="s">
        <v>48</v>
      </c>
      <c r="J214" s="16" t="s">
        <v>48</v>
      </c>
      <c r="K214" s="16" t="s">
        <v>48</v>
      </c>
      <c r="L214" s="16" t="s">
        <v>48</v>
      </c>
      <c r="M214" s="16" t="s">
        <v>48</v>
      </c>
      <c r="N214" s="16">
        <v>27</v>
      </c>
      <c r="O214" s="16" t="s">
        <v>1768</v>
      </c>
      <c r="P214" s="16" t="s">
        <v>1788</v>
      </c>
      <c r="Q214" s="32" t="s">
        <v>1789</v>
      </c>
    </row>
    <row r="215" spans="1:17" ht="17.100000000000001" customHeight="1">
      <c r="A215" s="53">
        <v>45827</v>
      </c>
      <c r="B215" s="36" t="s">
        <v>174</v>
      </c>
      <c r="C215" s="16" t="s">
        <v>1758</v>
      </c>
      <c r="D215" s="16" t="s">
        <v>1770</v>
      </c>
      <c r="E215" s="16" t="s">
        <v>1772</v>
      </c>
      <c r="F215" s="16" t="s">
        <v>48</v>
      </c>
      <c r="G215" s="16" t="s">
        <v>48</v>
      </c>
      <c r="H215" s="16" t="s">
        <v>48</v>
      </c>
      <c r="I215" s="16" t="s">
        <v>48</v>
      </c>
      <c r="J215" s="16" t="s">
        <v>48</v>
      </c>
      <c r="K215" s="16" t="s">
        <v>48</v>
      </c>
      <c r="L215" s="16" t="s">
        <v>48</v>
      </c>
      <c r="M215" s="16" t="s">
        <v>48</v>
      </c>
      <c r="N215" s="16">
        <v>27</v>
      </c>
      <c r="O215" s="16" t="s">
        <v>1768</v>
      </c>
      <c r="P215" s="16" t="s">
        <v>1788</v>
      </c>
      <c r="Q215" s="32" t="s">
        <v>1789</v>
      </c>
    </row>
    <row r="216" spans="1:17" ht="17.100000000000001" customHeight="1">
      <c r="A216" s="53">
        <v>45827</v>
      </c>
      <c r="B216" s="36" t="s">
        <v>174</v>
      </c>
      <c r="C216" s="16" t="s">
        <v>1758</v>
      </c>
      <c r="D216" s="16" t="s">
        <v>1770</v>
      </c>
      <c r="E216" s="16" t="s">
        <v>1774</v>
      </c>
      <c r="F216" s="16" t="s">
        <v>48</v>
      </c>
      <c r="G216" s="16" t="s">
        <v>48</v>
      </c>
      <c r="H216" s="16" t="s">
        <v>48</v>
      </c>
      <c r="I216" s="16" t="s">
        <v>48</v>
      </c>
      <c r="J216" s="16" t="s">
        <v>48</v>
      </c>
      <c r="K216" s="16" t="s">
        <v>48</v>
      </c>
      <c r="L216" s="16" t="s">
        <v>48</v>
      </c>
      <c r="M216" s="16" t="s">
        <v>48</v>
      </c>
      <c r="N216" s="16">
        <v>27</v>
      </c>
      <c r="O216" s="16" t="s">
        <v>1768</v>
      </c>
      <c r="P216" s="16" t="s">
        <v>1788</v>
      </c>
      <c r="Q216" s="32" t="s">
        <v>1789</v>
      </c>
    </row>
    <row r="217" spans="1:17" ht="17.100000000000001" customHeight="1">
      <c r="A217" s="53">
        <v>45827</v>
      </c>
      <c r="B217" s="36" t="s">
        <v>174</v>
      </c>
      <c r="C217" s="16" t="s">
        <v>1758</v>
      </c>
      <c r="D217" s="16" t="s">
        <v>1770</v>
      </c>
      <c r="E217" s="16" t="s">
        <v>1773</v>
      </c>
      <c r="F217" s="16" t="s">
        <v>48</v>
      </c>
      <c r="G217" s="16" t="s">
        <v>48</v>
      </c>
      <c r="H217" s="16" t="s">
        <v>48</v>
      </c>
      <c r="I217" s="16" t="s">
        <v>48</v>
      </c>
      <c r="J217" s="16" t="s">
        <v>48</v>
      </c>
      <c r="K217" s="16" t="s">
        <v>48</v>
      </c>
      <c r="L217" s="16" t="s">
        <v>48</v>
      </c>
      <c r="M217" s="16" t="s">
        <v>48</v>
      </c>
      <c r="N217" s="16">
        <v>27</v>
      </c>
      <c r="O217" s="16" t="s">
        <v>1768</v>
      </c>
      <c r="P217" s="16" t="s">
        <v>1788</v>
      </c>
      <c r="Q217" s="32" t="s">
        <v>1789</v>
      </c>
    </row>
    <row r="218" spans="1:17" ht="17.100000000000001" customHeight="1">
      <c r="A218" s="53">
        <v>45827</v>
      </c>
      <c r="B218" s="36" t="s">
        <v>174</v>
      </c>
      <c r="C218" s="16" t="s">
        <v>1758</v>
      </c>
      <c r="D218" s="16" t="s">
        <v>1775</v>
      </c>
      <c r="E218" s="16" t="s">
        <v>1776</v>
      </c>
      <c r="F218" s="16" t="s">
        <v>48</v>
      </c>
      <c r="G218" s="16" t="s">
        <v>48</v>
      </c>
      <c r="H218" s="16" t="s">
        <v>48</v>
      </c>
      <c r="I218" s="16" t="s">
        <v>48</v>
      </c>
      <c r="J218" s="16" t="s">
        <v>48</v>
      </c>
      <c r="K218" s="16" t="s">
        <v>48</v>
      </c>
      <c r="L218" s="16" t="s">
        <v>48</v>
      </c>
      <c r="M218" s="16" t="s">
        <v>48</v>
      </c>
      <c r="N218" s="16">
        <v>27</v>
      </c>
      <c r="O218" s="16" t="s">
        <v>1768</v>
      </c>
      <c r="P218" s="16" t="s">
        <v>1788</v>
      </c>
      <c r="Q218" s="32" t="s">
        <v>1789</v>
      </c>
    </row>
    <row r="219" spans="1:17" ht="17.100000000000001" customHeight="1">
      <c r="A219" s="53">
        <v>45827</v>
      </c>
      <c r="B219" s="36" t="s">
        <v>174</v>
      </c>
      <c r="C219" s="16" t="s">
        <v>1758</v>
      </c>
      <c r="D219" s="16" t="s">
        <v>1775</v>
      </c>
      <c r="E219" s="16" t="s">
        <v>1777</v>
      </c>
      <c r="F219" s="16" t="s">
        <v>48</v>
      </c>
      <c r="G219" s="16" t="s">
        <v>48</v>
      </c>
      <c r="H219" s="16" t="s">
        <v>48</v>
      </c>
      <c r="I219" s="16" t="s">
        <v>48</v>
      </c>
      <c r="J219" s="16" t="s">
        <v>48</v>
      </c>
      <c r="K219" s="16" t="s">
        <v>48</v>
      </c>
      <c r="L219" s="16" t="s">
        <v>48</v>
      </c>
      <c r="M219" s="16" t="s">
        <v>48</v>
      </c>
      <c r="N219" s="16">
        <v>27</v>
      </c>
      <c r="O219" s="16" t="s">
        <v>1768</v>
      </c>
      <c r="P219" s="16" t="s">
        <v>1788</v>
      </c>
      <c r="Q219" s="32" t="s">
        <v>1789</v>
      </c>
    </row>
    <row r="220" spans="1:17" ht="17.100000000000001" customHeight="1">
      <c r="A220" s="53">
        <v>45827</v>
      </c>
      <c r="B220" s="36" t="s">
        <v>174</v>
      </c>
      <c r="C220" s="16" t="s">
        <v>1758</v>
      </c>
      <c r="D220" s="16" t="s">
        <v>1775</v>
      </c>
      <c r="E220" s="16" t="s">
        <v>1778</v>
      </c>
      <c r="F220" s="16" t="s">
        <v>48</v>
      </c>
      <c r="G220" s="16" t="s">
        <v>48</v>
      </c>
      <c r="H220" s="16" t="s">
        <v>48</v>
      </c>
      <c r="I220" s="16" t="s">
        <v>48</v>
      </c>
      <c r="J220" s="16" t="s">
        <v>48</v>
      </c>
      <c r="K220" s="16" t="s">
        <v>48</v>
      </c>
      <c r="L220" s="16" t="s">
        <v>48</v>
      </c>
      <c r="M220" s="16" t="s">
        <v>48</v>
      </c>
      <c r="N220" s="16">
        <v>27</v>
      </c>
      <c r="O220" s="16" t="s">
        <v>1768</v>
      </c>
      <c r="P220" s="16" t="s">
        <v>1788</v>
      </c>
      <c r="Q220" s="32" t="s">
        <v>1789</v>
      </c>
    </row>
    <row r="221" spans="1:17" ht="17.100000000000001" customHeight="1">
      <c r="A221" s="53">
        <v>45827</v>
      </c>
      <c r="B221" s="36" t="s">
        <v>174</v>
      </c>
      <c r="C221" s="16" t="s">
        <v>1758</v>
      </c>
      <c r="D221" s="16" t="s">
        <v>1775</v>
      </c>
      <c r="E221" s="16" t="s">
        <v>1779</v>
      </c>
      <c r="F221" s="16" t="s">
        <v>48</v>
      </c>
      <c r="G221" s="16" t="s">
        <v>48</v>
      </c>
      <c r="H221" s="16" t="s">
        <v>48</v>
      </c>
      <c r="I221" s="16" t="s">
        <v>48</v>
      </c>
      <c r="J221" s="16" t="s">
        <v>48</v>
      </c>
      <c r="K221" s="16" t="s">
        <v>48</v>
      </c>
      <c r="L221" s="16" t="s">
        <v>48</v>
      </c>
      <c r="M221" s="16" t="s">
        <v>48</v>
      </c>
      <c r="N221" s="16">
        <v>27</v>
      </c>
      <c r="O221" s="16" t="s">
        <v>1768</v>
      </c>
      <c r="P221" s="16" t="s">
        <v>1788</v>
      </c>
      <c r="Q221" s="32" t="s">
        <v>1789</v>
      </c>
    </row>
    <row r="222" spans="1:17" ht="17.100000000000001" customHeight="1">
      <c r="A222" s="53">
        <v>45827</v>
      </c>
      <c r="B222" s="36" t="s">
        <v>174</v>
      </c>
      <c r="C222" s="16" t="s">
        <v>1758</v>
      </c>
      <c r="D222" s="16" t="s">
        <v>1775</v>
      </c>
      <c r="E222" s="16" t="s">
        <v>1780</v>
      </c>
      <c r="F222" s="16" t="s">
        <v>48</v>
      </c>
      <c r="G222" s="16" t="s">
        <v>48</v>
      </c>
      <c r="H222" s="16" t="s">
        <v>48</v>
      </c>
      <c r="I222" s="16" t="s">
        <v>48</v>
      </c>
      <c r="J222" s="16" t="s">
        <v>48</v>
      </c>
      <c r="K222" s="16" t="s">
        <v>48</v>
      </c>
      <c r="L222" s="16" t="s">
        <v>48</v>
      </c>
      <c r="M222" s="16" t="s">
        <v>48</v>
      </c>
      <c r="N222" s="16">
        <v>27</v>
      </c>
      <c r="O222" s="16" t="s">
        <v>1768</v>
      </c>
      <c r="P222" s="16" t="s">
        <v>1788</v>
      </c>
      <c r="Q222" s="32" t="s">
        <v>1789</v>
      </c>
    </row>
    <row r="223" spans="1:17" ht="17.100000000000001" customHeight="1">
      <c r="A223" s="53">
        <v>45827</v>
      </c>
      <c r="B223" s="36" t="s">
        <v>174</v>
      </c>
      <c r="C223" s="16" t="s">
        <v>1758</v>
      </c>
      <c r="D223" s="16" t="s">
        <v>1783</v>
      </c>
      <c r="E223" s="16" t="s">
        <v>1774</v>
      </c>
      <c r="F223" s="16" t="s">
        <v>48</v>
      </c>
      <c r="G223" s="16" t="s">
        <v>48</v>
      </c>
      <c r="H223" s="16" t="s">
        <v>48</v>
      </c>
      <c r="I223" s="16" t="s">
        <v>48</v>
      </c>
      <c r="J223" s="16" t="s">
        <v>48</v>
      </c>
      <c r="K223" s="16" t="s">
        <v>48</v>
      </c>
      <c r="L223" s="16" t="s">
        <v>48</v>
      </c>
      <c r="M223" s="16" t="s">
        <v>48</v>
      </c>
      <c r="N223" s="16">
        <v>27</v>
      </c>
      <c r="O223" s="16" t="s">
        <v>1768</v>
      </c>
      <c r="P223" s="16" t="s">
        <v>1788</v>
      </c>
      <c r="Q223" s="32" t="s">
        <v>1789</v>
      </c>
    </row>
    <row r="224" spans="1:17" ht="17.100000000000001" customHeight="1">
      <c r="A224" s="53">
        <v>45827</v>
      </c>
      <c r="B224" s="36" t="s">
        <v>174</v>
      </c>
      <c r="C224" s="16" t="s">
        <v>1758</v>
      </c>
      <c r="D224" s="16" t="s">
        <v>1783</v>
      </c>
      <c r="E224" s="16" t="s">
        <v>1762</v>
      </c>
      <c r="F224" s="16" t="s">
        <v>48</v>
      </c>
      <c r="G224" s="16" t="s">
        <v>48</v>
      </c>
      <c r="H224" s="16" t="s">
        <v>48</v>
      </c>
      <c r="I224" s="16" t="s">
        <v>48</v>
      </c>
      <c r="J224" s="16" t="s">
        <v>48</v>
      </c>
      <c r="K224" s="16" t="s">
        <v>48</v>
      </c>
      <c r="L224" s="16" t="s">
        <v>48</v>
      </c>
      <c r="M224" s="16" t="s">
        <v>48</v>
      </c>
      <c r="N224" s="16">
        <v>27</v>
      </c>
      <c r="O224" s="16" t="s">
        <v>1768</v>
      </c>
      <c r="P224" s="16" t="s">
        <v>1788</v>
      </c>
      <c r="Q224" s="32" t="s">
        <v>1789</v>
      </c>
    </row>
    <row r="225" spans="1:17" ht="17.100000000000001" customHeight="1">
      <c r="A225" s="53">
        <v>45827</v>
      </c>
      <c r="B225" s="36" t="s">
        <v>174</v>
      </c>
      <c r="C225" s="16" t="s">
        <v>1758</v>
      </c>
      <c r="D225" s="16" t="s">
        <v>1783</v>
      </c>
      <c r="E225" s="16" t="s">
        <v>1778</v>
      </c>
      <c r="F225" s="16" t="s">
        <v>48</v>
      </c>
      <c r="G225" s="16" t="s">
        <v>48</v>
      </c>
      <c r="H225" s="16" t="s">
        <v>48</v>
      </c>
      <c r="I225" s="16" t="s">
        <v>48</v>
      </c>
      <c r="J225" s="16" t="s">
        <v>48</v>
      </c>
      <c r="K225" s="16" t="s">
        <v>48</v>
      </c>
      <c r="L225" s="16" t="s">
        <v>48</v>
      </c>
      <c r="M225" s="16" t="s">
        <v>48</v>
      </c>
      <c r="N225" s="16">
        <v>27</v>
      </c>
      <c r="O225" s="16" t="s">
        <v>1768</v>
      </c>
      <c r="P225" s="16" t="s">
        <v>1788</v>
      </c>
      <c r="Q225" s="32" t="s">
        <v>1789</v>
      </c>
    </row>
    <row r="226" spans="1:17" ht="17.100000000000001" customHeight="1">
      <c r="A226" s="53">
        <v>45827</v>
      </c>
      <c r="B226" s="36" t="s">
        <v>174</v>
      </c>
      <c r="C226" s="16" t="s">
        <v>1758</v>
      </c>
      <c r="D226" s="16" t="s">
        <v>1783</v>
      </c>
      <c r="E226" s="16" t="s">
        <v>1781</v>
      </c>
      <c r="F226" s="16" t="s">
        <v>48</v>
      </c>
      <c r="G226" s="16" t="s">
        <v>48</v>
      </c>
      <c r="H226" s="16" t="s">
        <v>48</v>
      </c>
      <c r="I226" s="16" t="s">
        <v>48</v>
      </c>
      <c r="J226" s="16" t="s">
        <v>48</v>
      </c>
      <c r="K226" s="16" t="s">
        <v>48</v>
      </c>
      <c r="L226" s="16" t="s">
        <v>48</v>
      </c>
      <c r="M226" s="16" t="s">
        <v>48</v>
      </c>
      <c r="N226" s="16">
        <v>27</v>
      </c>
      <c r="O226" s="16" t="s">
        <v>1768</v>
      </c>
      <c r="P226" s="16" t="s">
        <v>1788</v>
      </c>
      <c r="Q226" s="32" t="s">
        <v>1789</v>
      </c>
    </row>
    <row r="227" spans="1:17" ht="17.100000000000001" customHeight="1">
      <c r="A227" s="53">
        <v>45827</v>
      </c>
      <c r="B227" s="36" t="s">
        <v>174</v>
      </c>
      <c r="C227" s="16" t="s">
        <v>1758</v>
      </c>
      <c r="D227" s="16" t="s">
        <v>1783</v>
      </c>
      <c r="E227" s="16" t="s">
        <v>1776</v>
      </c>
      <c r="F227" s="16" t="s">
        <v>48</v>
      </c>
      <c r="G227" s="16" t="s">
        <v>48</v>
      </c>
      <c r="H227" s="16" t="s">
        <v>48</v>
      </c>
      <c r="I227" s="16" t="s">
        <v>48</v>
      </c>
      <c r="J227" s="16" t="s">
        <v>48</v>
      </c>
      <c r="K227" s="16" t="s">
        <v>48</v>
      </c>
      <c r="L227" s="16" t="s">
        <v>48</v>
      </c>
      <c r="M227" s="16" t="s">
        <v>48</v>
      </c>
      <c r="N227" s="16">
        <v>27</v>
      </c>
      <c r="O227" s="16" t="s">
        <v>1768</v>
      </c>
      <c r="P227" s="16" t="s">
        <v>1788</v>
      </c>
      <c r="Q227" s="32" t="s">
        <v>1789</v>
      </c>
    </row>
    <row r="228" spans="1:17" ht="17.100000000000001" customHeight="1">
      <c r="A228" s="53">
        <v>45827</v>
      </c>
      <c r="B228" s="36" t="s">
        <v>174</v>
      </c>
      <c r="C228" s="16" t="s">
        <v>1758</v>
      </c>
      <c r="D228" s="16" t="s">
        <v>1783</v>
      </c>
      <c r="E228" s="16" t="s">
        <v>1782</v>
      </c>
      <c r="F228" s="16" t="s">
        <v>48</v>
      </c>
      <c r="G228" s="16" t="s">
        <v>48</v>
      </c>
      <c r="H228" s="16" t="s">
        <v>48</v>
      </c>
      <c r="I228" s="16" t="s">
        <v>48</v>
      </c>
      <c r="J228" s="16" t="s">
        <v>48</v>
      </c>
      <c r="K228" s="16" t="s">
        <v>48</v>
      </c>
      <c r="L228" s="16" t="s">
        <v>48</v>
      </c>
      <c r="M228" s="16" t="s">
        <v>48</v>
      </c>
      <c r="N228" s="16">
        <v>27</v>
      </c>
      <c r="O228" s="16" t="s">
        <v>1768</v>
      </c>
      <c r="P228" s="16" t="s">
        <v>1788</v>
      </c>
      <c r="Q228" s="32" t="s">
        <v>1789</v>
      </c>
    </row>
    <row r="229" spans="1:17" ht="17.100000000000001" customHeight="1">
      <c r="A229" s="53">
        <v>45827</v>
      </c>
      <c r="B229" s="36" t="s">
        <v>174</v>
      </c>
      <c r="C229" s="16" t="s">
        <v>1758</v>
      </c>
      <c r="D229" s="16" t="s">
        <v>1770</v>
      </c>
      <c r="E229" s="16" t="s">
        <v>1784</v>
      </c>
      <c r="F229" s="16" t="s">
        <v>48</v>
      </c>
      <c r="G229" s="16" t="s">
        <v>48</v>
      </c>
      <c r="H229" s="16" t="s">
        <v>48</v>
      </c>
      <c r="I229" s="16" t="s">
        <v>48</v>
      </c>
      <c r="J229" s="16" t="s">
        <v>48</v>
      </c>
      <c r="K229" s="16" t="s">
        <v>48</v>
      </c>
      <c r="L229" s="16" t="s">
        <v>48</v>
      </c>
      <c r="M229" s="16" t="s">
        <v>48</v>
      </c>
      <c r="N229" s="16">
        <v>27</v>
      </c>
      <c r="O229" s="16" t="s">
        <v>1768</v>
      </c>
      <c r="P229" s="16" t="s">
        <v>1788</v>
      </c>
      <c r="Q229" s="32" t="s">
        <v>1789</v>
      </c>
    </row>
    <row r="230" spans="1:17" ht="17.100000000000001" customHeight="1">
      <c r="A230" s="53">
        <v>45827</v>
      </c>
      <c r="B230" s="36" t="s">
        <v>174</v>
      </c>
      <c r="C230" s="16" t="s">
        <v>1758</v>
      </c>
      <c r="D230" s="16" t="s">
        <v>1770</v>
      </c>
      <c r="E230" s="16" t="s">
        <v>1785</v>
      </c>
      <c r="F230" s="16" t="s">
        <v>48</v>
      </c>
      <c r="G230" s="16" t="s">
        <v>48</v>
      </c>
      <c r="H230" s="16" t="s">
        <v>48</v>
      </c>
      <c r="I230" s="16" t="s">
        <v>48</v>
      </c>
      <c r="J230" s="16" t="s">
        <v>48</v>
      </c>
      <c r="K230" s="16" t="s">
        <v>48</v>
      </c>
      <c r="L230" s="16" t="s">
        <v>48</v>
      </c>
      <c r="M230" s="16" t="s">
        <v>48</v>
      </c>
      <c r="N230" s="16">
        <v>27</v>
      </c>
      <c r="O230" s="16" t="s">
        <v>1768</v>
      </c>
      <c r="P230" s="16" t="s">
        <v>1788</v>
      </c>
      <c r="Q230" s="32" t="s">
        <v>1789</v>
      </c>
    </row>
    <row r="231" spans="1:17" ht="17.100000000000001" customHeight="1">
      <c r="A231" s="53">
        <v>45827</v>
      </c>
      <c r="B231" s="36" t="s">
        <v>174</v>
      </c>
      <c r="C231" s="16" t="s">
        <v>1758</v>
      </c>
      <c r="D231" s="16" t="s">
        <v>1770</v>
      </c>
      <c r="E231" s="16" t="s">
        <v>1786</v>
      </c>
      <c r="F231" s="16" t="s">
        <v>48</v>
      </c>
      <c r="G231" s="16" t="s">
        <v>48</v>
      </c>
      <c r="H231" s="16" t="s">
        <v>48</v>
      </c>
      <c r="I231" s="16" t="s">
        <v>48</v>
      </c>
      <c r="J231" s="16" t="s">
        <v>48</v>
      </c>
      <c r="K231" s="16" t="s">
        <v>48</v>
      </c>
      <c r="L231" s="16" t="s">
        <v>48</v>
      </c>
      <c r="M231" s="16" t="s">
        <v>48</v>
      </c>
      <c r="N231" s="16">
        <v>27</v>
      </c>
      <c r="O231" s="16" t="s">
        <v>1768</v>
      </c>
      <c r="P231" s="16" t="s">
        <v>1788</v>
      </c>
      <c r="Q231" s="32" t="s">
        <v>1789</v>
      </c>
    </row>
    <row r="232" spans="1:17" ht="17.100000000000001" customHeight="1">
      <c r="A232" s="53">
        <v>45827</v>
      </c>
      <c r="B232" s="36" t="s">
        <v>174</v>
      </c>
      <c r="C232" s="16" t="s">
        <v>1758</v>
      </c>
      <c r="D232" s="16" t="s">
        <v>1770</v>
      </c>
      <c r="E232" s="16" t="s">
        <v>1787</v>
      </c>
      <c r="F232" s="16" t="s">
        <v>48</v>
      </c>
      <c r="G232" s="16" t="s">
        <v>48</v>
      </c>
      <c r="H232" s="16" t="s">
        <v>48</v>
      </c>
      <c r="I232" s="16" t="s">
        <v>48</v>
      </c>
      <c r="J232" s="16" t="s">
        <v>48</v>
      </c>
      <c r="K232" s="16" t="s">
        <v>48</v>
      </c>
      <c r="L232" s="16" t="s">
        <v>48</v>
      </c>
      <c r="M232" s="16" t="s">
        <v>48</v>
      </c>
      <c r="N232" s="16">
        <v>3</v>
      </c>
      <c r="O232" s="16" t="s">
        <v>1768</v>
      </c>
      <c r="P232" s="16" t="s">
        <v>1788</v>
      </c>
      <c r="Q232" s="32" t="s">
        <v>1789</v>
      </c>
    </row>
    <row r="233" spans="1:17" ht="17.100000000000001" customHeight="1">
      <c r="A233" s="53">
        <v>45828</v>
      </c>
      <c r="B233" s="36" t="s">
        <v>174</v>
      </c>
      <c r="C233" s="16" t="s">
        <v>1792</v>
      </c>
      <c r="D233" s="16" t="s">
        <v>1770</v>
      </c>
      <c r="E233" s="16" t="s">
        <v>1787</v>
      </c>
      <c r="F233" s="16" t="s">
        <v>48</v>
      </c>
      <c r="G233" s="16" t="s">
        <v>48</v>
      </c>
      <c r="H233" s="16" t="s">
        <v>48</v>
      </c>
      <c r="I233" s="16" t="s">
        <v>48</v>
      </c>
      <c r="J233" s="16" t="s">
        <v>48</v>
      </c>
      <c r="K233" s="16" t="s">
        <v>48</v>
      </c>
      <c r="L233" s="16" t="s">
        <v>48</v>
      </c>
      <c r="M233" s="16" t="s">
        <v>48</v>
      </c>
      <c r="N233" s="16">
        <f>27-3</f>
        <v>24</v>
      </c>
      <c r="O233" s="16" t="s">
        <v>1768</v>
      </c>
      <c r="P233" s="16" t="s">
        <v>1790</v>
      </c>
      <c r="Q233" s="32" t="s">
        <v>1791</v>
      </c>
    </row>
    <row r="234" spans="1:17" ht="17.100000000000001" customHeight="1">
      <c r="A234" s="53">
        <v>45828</v>
      </c>
      <c r="B234" s="36" t="s">
        <v>174</v>
      </c>
      <c r="C234" s="16" t="s">
        <v>1792</v>
      </c>
      <c r="D234" s="16" t="s">
        <v>1783</v>
      </c>
      <c r="E234" s="16" t="s">
        <v>1777</v>
      </c>
      <c r="F234" s="16" t="s">
        <v>48</v>
      </c>
      <c r="G234" s="16" t="s">
        <v>48</v>
      </c>
      <c r="H234" s="16" t="s">
        <v>48</v>
      </c>
      <c r="I234" s="16" t="s">
        <v>48</v>
      </c>
      <c r="J234" s="16" t="s">
        <v>48</v>
      </c>
      <c r="K234" s="16" t="s">
        <v>48</v>
      </c>
      <c r="L234" s="16" t="s">
        <v>48</v>
      </c>
      <c r="M234" s="16" t="s">
        <v>48</v>
      </c>
      <c r="N234" s="16">
        <v>27</v>
      </c>
      <c r="O234" s="16" t="s">
        <v>1768</v>
      </c>
      <c r="P234" s="16" t="s">
        <v>1790</v>
      </c>
      <c r="Q234" s="32" t="s">
        <v>1791</v>
      </c>
    </row>
    <row r="235" spans="1:17" ht="17.100000000000001" customHeight="1">
      <c r="A235" s="53">
        <v>45828</v>
      </c>
      <c r="B235" s="36" t="s">
        <v>174</v>
      </c>
      <c r="C235" s="16" t="s">
        <v>1792</v>
      </c>
      <c r="D235" s="16" t="s">
        <v>1783</v>
      </c>
      <c r="E235" s="16" t="s">
        <v>1781</v>
      </c>
      <c r="F235" s="16" t="s">
        <v>48</v>
      </c>
      <c r="G235" s="16" t="s">
        <v>48</v>
      </c>
      <c r="H235" s="16" t="s">
        <v>48</v>
      </c>
      <c r="I235" s="16" t="s">
        <v>48</v>
      </c>
      <c r="J235" s="16" t="s">
        <v>48</v>
      </c>
      <c r="K235" s="16" t="s">
        <v>48</v>
      </c>
      <c r="L235" s="16" t="s">
        <v>48</v>
      </c>
      <c r="M235" s="16" t="s">
        <v>48</v>
      </c>
      <c r="N235" s="16">
        <v>27</v>
      </c>
      <c r="O235" s="16" t="s">
        <v>1768</v>
      </c>
      <c r="P235" s="16" t="s">
        <v>1790</v>
      </c>
      <c r="Q235" s="32" t="s">
        <v>1791</v>
      </c>
    </row>
    <row r="236" spans="1:17" ht="17.100000000000001" customHeight="1">
      <c r="A236" s="53">
        <v>45828</v>
      </c>
      <c r="B236" s="36" t="s">
        <v>174</v>
      </c>
      <c r="C236" s="16" t="s">
        <v>1792</v>
      </c>
      <c r="D236" s="16" t="s">
        <v>1783</v>
      </c>
      <c r="E236" s="16" t="s">
        <v>1780</v>
      </c>
      <c r="F236" s="16" t="s">
        <v>48</v>
      </c>
      <c r="G236" s="16" t="s">
        <v>48</v>
      </c>
      <c r="H236" s="16" t="s">
        <v>48</v>
      </c>
      <c r="I236" s="16" t="s">
        <v>48</v>
      </c>
      <c r="J236" s="16" t="s">
        <v>48</v>
      </c>
      <c r="K236" s="16" t="s">
        <v>48</v>
      </c>
      <c r="L236" s="16" t="s">
        <v>48</v>
      </c>
      <c r="M236" s="16" t="s">
        <v>48</v>
      </c>
      <c r="N236" s="16">
        <v>27</v>
      </c>
      <c r="O236" s="16" t="s">
        <v>1768</v>
      </c>
      <c r="P236" s="16" t="s">
        <v>1790</v>
      </c>
      <c r="Q236" s="32" t="s">
        <v>1791</v>
      </c>
    </row>
    <row r="237" spans="1:17" ht="17.100000000000001" customHeight="1">
      <c r="A237" s="53">
        <v>45828</v>
      </c>
      <c r="B237" s="36" t="s">
        <v>174</v>
      </c>
      <c r="C237" s="16" t="s">
        <v>1792</v>
      </c>
      <c r="D237" s="16" t="s">
        <v>1783</v>
      </c>
      <c r="E237" s="16" t="s">
        <v>1786</v>
      </c>
      <c r="F237" s="16" t="s">
        <v>48</v>
      </c>
      <c r="G237" s="16" t="s">
        <v>48</v>
      </c>
      <c r="H237" s="16" t="s">
        <v>48</v>
      </c>
      <c r="I237" s="16" t="s">
        <v>48</v>
      </c>
      <c r="J237" s="16" t="s">
        <v>48</v>
      </c>
      <c r="K237" s="16" t="s">
        <v>48</v>
      </c>
      <c r="L237" s="16" t="s">
        <v>48</v>
      </c>
      <c r="M237" s="16" t="s">
        <v>48</v>
      </c>
      <c r="N237" s="16">
        <v>27</v>
      </c>
      <c r="O237" s="16" t="s">
        <v>1768</v>
      </c>
      <c r="P237" s="16" t="s">
        <v>1790</v>
      </c>
      <c r="Q237" s="32" t="s">
        <v>1791</v>
      </c>
    </row>
    <row r="238" spans="1:17" ht="17.100000000000001" customHeight="1">
      <c r="A238" s="53">
        <v>45828</v>
      </c>
      <c r="B238" s="36" t="s">
        <v>174</v>
      </c>
      <c r="C238" s="16" t="s">
        <v>1792</v>
      </c>
      <c r="D238" s="16" t="s">
        <v>1783</v>
      </c>
      <c r="E238" s="16" t="s">
        <v>1793</v>
      </c>
      <c r="F238" s="16" t="s">
        <v>48</v>
      </c>
      <c r="G238" s="16" t="s">
        <v>48</v>
      </c>
      <c r="H238" s="16" t="s">
        <v>48</v>
      </c>
      <c r="I238" s="16" t="s">
        <v>48</v>
      </c>
      <c r="J238" s="16" t="s">
        <v>48</v>
      </c>
      <c r="K238" s="16" t="s">
        <v>48</v>
      </c>
      <c r="L238" s="16" t="s">
        <v>48</v>
      </c>
      <c r="M238" s="16" t="s">
        <v>48</v>
      </c>
      <c r="N238" s="16">
        <v>27</v>
      </c>
      <c r="O238" s="16" t="s">
        <v>1768</v>
      </c>
      <c r="P238" s="16" t="s">
        <v>1790</v>
      </c>
      <c r="Q238" s="32" t="s">
        <v>1791</v>
      </c>
    </row>
    <row r="239" spans="1:17" ht="17.100000000000001" customHeight="1">
      <c r="A239" s="53">
        <v>45828</v>
      </c>
      <c r="B239" s="36" t="s">
        <v>174</v>
      </c>
      <c r="C239" s="16" t="s">
        <v>1792</v>
      </c>
      <c r="D239" s="16" t="s">
        <v>1783</v>
      </c>
      <c r="E239" s="16" t="s">
        <v>1794</v>
      </c>
      <c r="F239" s="16" t="s">
        <v>48</v>
      </c>
      <c r="G239" s="16" t="s">
        <v>48</v>
      </c>
      <c r="H239" s="16" t="s">
        <v>48</v>
      </c>
      <c r="I239" s="16" t="s">
        <v>48</v>
      </c>
      <c r="J239" s="16" t="s">
        <v>48</v>
      </c>
      <c r="K239" s="16" t="s">
        <v>48</v>
      </c>
      <c r="L239" s="16" t="s">
        <v>48</v>
      </c>
      <c r="M239" s="16" t="s">
        <v>48</v>
      </c>
      <c r="N239" s="16">
        <v>27</v>
      </c>
      <c r="O239" s="16" t="s">
        <v>1768</v>
      </c>
      <c r="P239" s="16" t="s">
        <v>1790</v>
      </c>
      <c r="Q239" s="32" t="s">
        <v>1791</v>
      </c>
    </row>
    <row r="240" spans="1:17" ht="17.100000000000001" customHeight="1">
      <c r="A240" s="53">
        <v>45828</v>
      </c>
      <c r="B240" s="36" t="s">
        <v>174</v>
      </c>
      <c r="C240" s="16" t="s">
        <v>1792</v>
      </c>
      <c r="D240" s="16" t="s">
        <v>1783</v>
      </c>
      <c r="E240" s="16" t="s">
        <v>1795</v>
      </c>
      <c r="F240" s="16" t="s">
        <v>48</v>
      </c>
      <c r="G240" s="16" t="s">
        <v>48</v>
      </c>
      <c r="H240" s="16" t="s">
        <v>48</v>
      </c>
      <c r="I240" s="16" t="s">
        <v>48</v>
      </c>
      <c r="J240" s="16" t="s">
        <v>48</v>
      </c>
      <c r="K240" s="16" t="s">
        <v>48</v>
      </c>
      <c r="L240" s="16" t="s">
        <v>48</v>
      </c>
      <c r="M240" s="16" t="s">
        <v>48</v>
      </c>
      <c r="N240" s="16">
        <v>27</v>
      </c>
      <c r="O240" s="16" t="s">
        <v>1768</v>
      </c>
      <c r="P240" s="16" t="s">
        <v>1790</v>
      </c>
      <c r="Q240" s="32" t="s">
        <v>1791</v>
      </c>
    </row>
    <row r="241" spans="1:17" ht="17.100000000000001" customHeight="1">
      <c r="A241" s="53">
        <v>45828</v>
      </c>
      <c r="B241" s="36" t="s">
        <v>174</v>
      </c>
      <c r="C241" s="16" t="s">
        <v>1792</v>
      </c>
      <c r="D241" s="16" t="s">
        <v>1796</v>
      </c>
      <c r="E241" s="16" t="s">
        <v>1784</v>
      </c>
      <c r="F241" s="16" t="s">
        <v>48</v>
      </c>
      <c r="G241" s="16" t="s">
        <v>48</v>
      </c>
      <c r="H241" s="16" t="s">
        <v>48</v>
      </c>
      <c r="I241" s="16" t="s">
        <v>48</v>
      </c>
      <c r="J241" s="16" t="s">
        <v>48</v>
      </c>
      <c r="K241" s="16" t="s">
        <v>48</v>
      </c>
      <c r="L241" s="16" t="s">
        <v>48</v>
      </c>
      <c r="M241" s="16" t="s">
        <v>48</v>
      </c>
      <c r="N241" s="16">
        <v>27</v>
      </c>
      <c r="O241" s="16" t="s">
        <v>1768</v>
      </c>
      <c r="P241" s="16" t="s">
        <v>1790</v>
      </c>
      <c r="Q241" s="32" t="s">
        <v>1791</v>
      </c>
    </row>
    <row r="242" spans="1:17" ht="17.100000000000001" customHeight="1">
      <c r="A242" s="53">
        <v>45828</v>
      </c>
      <c r="B242" s="36" t="s">
        <v>174</v>
      </c>
      <c r="C242" s="16" t="s">
        <v>1792</v>
      </c>
      <c r="D242" s="16" t="s">
        <v>1796</v>
      </c>
      <c r="E242" s="16" t="s">
        <v>1797</v>
      </c>
      <c r="F242" s="16" t="s">
        <v>48</v>
      </c>
      <c r="G242" s="16" t="s">
        <v>48</v>
      </c>
      <c r="H242" s="16" t="s">
        <v>48</v>
      </c>
      <c r="I242" s="16" t="s">
        <v>48</v>
      </c>
      <c r="J242" s="16" t="s">
        <v>48</v>
      </c>
      <c r="K242" s="16" t="s">
        <v>48</v>
      </c>
      <c r="L242" s="16" t="s">
        <v>48</v>
      </c>
      <c r="M242" s="16" t="s">
        <v>48</v>
      </c>
      <c r="N242" s="16">
        <v>27</v>
      </c>
      <c r="O242" s="16" t="s">
        <v>1768</v>
      </c>
      <c r="P242" s="16" t="s">
        <v>1790</v>
      </c>
      <c r="Q242" s="32" t="s">
        <v>1791</v>
      </c>
    </row>
    <row r="243" spans="1:17" ht="17.100000000000001" customHeight="1">
      <c r="A243" s="53">
        <v>45828</v>
      </c>
      <c r="B243" s="36" t="s">
        <v>174</v>
      </c>
      <c r="C243" s="16" t="s">
        <v>1792</v>
      </c>
      <c r="D243" s="16" t="s">
        <v>1796</v>
      </c>
      <c r="E243" s="16" t="s">
        <v>1787</v>
      </c>
      <c r="F243" s="16" t="s">
        <v>48</v>
      </c>
      <c r="G243" s="16" t="s">
        <v>48</v>
      </c>
      <c r="H243" s="16" t="s">
        <v>48</v>
      </c>
      <c r="I243" s="16" t="s">
        <v>48</v>
      </c>
      <c r="J243" s="16" t="s">
        <v>48</v>
      </c>
      <c r="K243" s="16" t="s">
        <v>48</v>
      </c>
      <c r="L243" s="16" t="s">
        <v>48</v>
      </c>
      <c r="M243" s="16" t="s">
        <v>48</v>
      </c>
      <c r="N243" s="16">
        <v>27</v>
      </c>
      <c r="O243" s="16" t="s">
        <v>1768</v>
      </c>
      <c r="P243" s="16" t="s">
        <v>1790</v>
      </c>
      <c r="Q243" s="32" t="s">
        <v>1791</v>
      </c>
    </row>
    <row r="244" spans="1:17" ht="17.100000000000001" customHeight="1">
      <c r="A244" s="53">
        <v>45828</v>
      </c>
      <c r="B244" s="36" t="s">
        <v>174</v>
      </c>
      <c r="C244" s="16" t="s">
        <v>1792</v>
      </c>
      <c r="D244" s="16" t="s">
        <v>1796</v>
      </c>
      <c r="E244" s="16" t="s">
        <v>1797</v>
      </c>
      <c r="F244" s="16" t="s">
        <v>48</v>
      </c>
      <c r="G244" s="16" t="s">
        <v>48</v>
      </c>
      <c r="H244" s="16" t="s">
        <v>48</v>
      </c>
      <c r="I244" s="16" t="s">
        <v>48</v>
      </c>
      <c r="J244" s="16" t="s">
        <v>48</v>
      </c>
      <c r="K244" s="16" t="s">
        <v>48</v>
      </c>
      <c r="L244" s="16" t="s">
        <v>48</v>
      </c>
      <c r="M244" s="16" t="s">
        <v>48</v>
      </c>
      <c r="N244" s="16">
        <v>27</v>
      </c>
      <c r="O244" s="16" t="s">
        <v>1768</v>
      </c>
      <c r="P244" s="16" t="s">
        <v>1790</v>
      </c>
      <c r="Q244" s="32" t="s">
        <v>1791</v>
      </c>
    </row>
    <row r="245" spans="1:17" ht="17.100000000000001" customHeight="1">
      <c r="A245" s="53">
        <v>45828</v>
      </c>
      <c r="B245" s="36" t="s">
        <v>174</v>
      </c>
      <c r="C245" s="16" t="s">
        <v>1792</v>
      </c>
      <c r="D245" s="16" t="s">
        <v>1796</v>
      </c>
      <c r="E245" s="16" t="s">
        <v>1795</v>
      </c>
      <c r="F245" s="16" t="s">
        <v>48</v>
      </c>
      <c r="G245" s="16" t="s">
        <v>48</v>
      </c>
      <c r="H245" s="16" t="s">
        <v>48</v>
      </c>
      <c r="I245" s="16" t="s">
        <v>48</v>
      </c>
      <c r="J245" s="16" t="s">
        <v>48</v>
      </c>
      <c r="K245" s="16" t="s">
        <v>48</v>
      </c>
      <c r="L245" s="16" t="s">
        <v>48</v>
      </c>
      <c r="M245" s="16" t="s">
        <v>48</v>
      </c>
      <c r="N245" s="16">
        <v>27</v>
      </c>
      <c r="O245" s="16" t="s">
        <v>1768</v>
      </c>
      <c r="P245" s="16" t="s">
        <v>1790</v>
      </c>
      <c r="Q245" s="32" t="s">
        <v>1791</v>
      </c>
    </row>
    <row r="246" spans="1:17" ht="17.100000000000001" customHeight="1">
      <c r="A246" s="53">
        <v>45828</v>
      </c>
      <c r="B246" s="36" t="s">
        <v>174</v>
      </c>
      <c r="C246" s="16" t="s">
        <v>1792</v>
      </c>
      <c r="D246" s="16" t="s">
        <v>1796</v>
      </c>
      <c r="E246" s="16" t="s">
        <v>1798</v>
      </c>
      <c r="F246" s="16" t="s">
        <v>48</v>
      </c>
      <c r="G246" s="16" t="s">
        <v>48</v>
      </c>
      <c r="H246" s="16" t="s">
        <v>48</v>
      </c>
      <c r="I246" s="16" t="s">
        <v>48</v>
      </c>
      <c r="J246" s="16" t="s">
        <v>48</v>
      </c>
      <c r="K246" s="16" t="s">
        <v>48</v>
      </c>
      <c r="L246" s="16" t="s">
        <v>48</v>
      </c>
      <c r="M246" s="16" t="s">
        <v>48</v>
      </c>
      <c r="N246" s="16">
        <v>27</v>
      </c>
      <c r="O246" s="16" t="s">
        <v>1768</v>
      </c>
      <c r="P246" s="16" t="s">
        <v>1790</v>
      </c>
      <c r="Q246" s="32" t="s">
        <v>1791</v>
      </c>
    </row>
    <row r="247" spans="1:17" ht="17.100000000000001" customHeight="1">
      <c r="A247" s="53">
        <v>45828</v>
      </c>
      <c r="B247" s="36" t="s">
        <v>174</v>
      </c>
      <c r="C247" s="16" t="s">
        <v>1792</v>
      </c>
      <c r="D247" s="16" t="s">
        <v>1796</v>
      </c>
      <c r="E247" s="16" t="s">
        <v>1799</v>
      </c>
      <c r="F247" s="16" t="s">
        <v>48</v>
      </c>
      <c r="G247" s="16" t="s">
        <v>48</v>
      </c>
      <c r="H247" s="16" t="s">
        <v>48</v>
      </c>
      <c r="I247" s="16" t="s">
        <v>48</v>
      </c>
      <c r="J247" s="16" t="s">
        <v>48</v>
      </c>
      <c r="K247" s="16" t="s">
        <v>48</v>
      </c>
      <c r="L247" s="16" t="s">
        <v>48</v>
      </c>
      <c r="M247" s="16" t="s">
        <v>48</v>
      </c>
      <c r="N247" s="16">
        <v>27</v>
      </c>
      <c r="O247" s="16" t="s">
        <v>1768</v>
      </c>
      <c r="P247" s="16" t="s">
        <v>1790</v>
      </c>
      <c r="Q247" s="32" t="s">
        <v>1791</v>
      </c>
    </row>
    <row r="248" spans="1:17" ht="17.100000000000001" customHeight="1">
      <c r="A248" s="53">
        <v>45828</v>
      </c>
      <c r="B248" s="36" t="s">
        <v>174</v>
      </c>
      <c r="C248" s="16" t="s">
        <v>1792</v>
      </c>
      <c r="D248" s="16" t="s">
        <v>1796</v>
      </c>
      <c r="E248" s="16" t="s">
        <v>1798</v>
      </c>
      <c r="F248" s="16" t="s">
        <v>48</v>
      </c>
      <c r="G248" s="16" t="s">
        <v>48</v>
      </c>
      <c r="H248" s="16" t="s">
        <v>48</v>
      </c>
      <c r="I248" s="16" t="s">
        <v>48</v>
      </c>
      <c r="J248" s="16" t="s">
        <v>48</v>
      </c>
      <c r="K248" s="16" t="s">
        <v>48</v>
      </c>
      <c r="L248" s="16" t="s">
        <v>48</v>
      </c>
      <c r="M248" s="16" t="s">
        <v>48</v>
      </c>
      <c r="N248" s="16">
        <v>27</v>
      </c>
      <c r="O248" s="16" t="s">
        <v>1768</v>
      </c>
      <c r="P248" s="16" t="s">
        <v>1790</v>
      </c>
      <c r="Q248" s="32" t="s">
        <v>1791</v>
      </c>
    </row>
    <row r="249" spans="1:17" ht="17.100000000000001" customHeight="1">
      <c r="A249" s="53">
        <v>45828</v>
      </c>
      <c r="B249" s="36" t="s">
        <v>174</v>
      </c>
      <c r="C249" s="16" t="s">
        <v>1792</v>
      </c>
      <c r="D249" s="16" t="s">
        <v>1796</v>
      </c>
      <c r="E249" s="16" t="s">
        <v>1800</v>
      </c>
      <c r="F249" s="16" t="s">
        <v>48</v>
      </c>
      <c r="G249" s="16" t="s">
        <v>48</v>
      </c>
      <c r="H249" s="16" t="s">
        <v>48</v>
      </c>
      <c r="I249" s="16" t="s">
        <v>48</v>
      </c>
      <c r="J249" s="16" t="s">
        <v>48</v>
      </c>
      <c r="K249" s="16" t="s">
        <v>48</v>
      </c>
      <c r="L249" s="16" t="s">
        <v>48</v>
      </c>
      <c r="M249" s="16" t="s">
        <v>48</v>
      </c>
      <c r="N249" s="16">
        <v>28</v>
      </c>
      <c r="O249" s="16" t="s">
        <v>1768</v>
      </c>
      <c r="P249" s="16" t="s">
        <v>1790</v>
      </c>
      <c r="Q249" s="32" t="s">
        <v>1791</v>
      </c>
    </row>
    <row r="250" spans="1:17" ht="17.100000000000001" customHeight="1">
      <c r="A250" s="53">
        <v>45828</v>
      </c>
      <c r="B250" s="36" t="s">
        <v>174</v>
      </c>
      <c r="C250" s="16" t="s">
        <v>1792</v>
      </c>
      <c r="D250" s="16" t="s">
        <v>1796</v>
      </c>
      <c r="E250" s="16" t="s">
        <v>1794</v>
      </c>
      <c r="F250" s="16" t="s">
        <v>48</v>
      </c>
      <c r="G250" s="16" t="s">
        <v>48</v>
      </c>
      <c r="H250" s="16" t="s">
        <v>48</v>
      </c>
      <c r="I250" s="16" t="s">
        <v>48</v>
      </c>
      <c r="J250" s="16" t="s">
        <v>48</v>
      </c>
      <c r="K250" s="16" t="s">
        <v>48</v>
      </c>
      <c r="L250" s="16" t="s">
        <v>48</v>
      </c>
      <c r="M250" s="16" t="s">
        <v>48</v>
      </c>
      <c r="N250" s="16">
        <v>27</v>
      </c>
      <c r="O250" s="16" t="s">
        <v>1768</v>
      </c>
      <c r="P250" s="16" t="s">
        <v>1790</v>
      </c>
      <c r="Q250" s="32" t="s">
        <v>1791</v>
      </c>
    </row>
    <row r="251" spans="1:17" ht="17.100000000000001" customHeight="1">
      <c r="A251" s="53">
        <v>45828</v>
      </c>
      <c r="B251" s="36" t="s">
        <v>174</v>
      </c>
      <c r="C251" s="16" t="s">
        <v>1792</v>
      </c>
      <c r="D251" s="16" t="s">
        <v>1796</v>
      </c>
      <c r="E251" s="16" t="s">
        <v>1799</v>
      </c>
      <c r="F251" s="16" t="s">
        <v>48</v>
      </c>
      <c r="G251" s="16" t="s">
        <v>48</v>
      </c>
      <c r="H251" s="16" t="s">
        <v>48</v>
      </c>
      <c r="I251" s="16" t="s">
        <v>48</v>
      </c>
      <c r="J251" s="16" t="s">
        <v>48</v>
      </c>
      <c r="K251" s="16" t="s">
        <v>48</v>
      </c>
      <c r="L251" s="16" t="s">
        <v>48</v>
      </c>
      <c r="M251" s="16" t="s">
        <v>48</v>
      </c>
      <c r="N251" s="16">
        <f>32/2</f>
        <v>16</v>
      </c>
      <c r="O251" s="16" t="s">
        <v>1768</v>
      </c>
      <c r="P251" s="16" t="s">
        <v>1790</v>
      </c>
      <c r="Q251" s="32" t="s">
        <v>1791</v>
      </c>
    </row>
    <row r="252" spans="1:17" ht="17.100000000000001" customHeight="1">
      <c r="A252" s="53">
        <v>45828</v>
      </c>
      <c r="B252" s="36" t="s">
        <v>531</v>
      </c>
      <c r="C252" s="16" t="s">
        <v>1792</v>
      </c>
      <c r="D252" s="16" t="s">
        <v>1796</v>
      </c>
      <c r="E252" s="16" t="s">
        <v>1799</v>
      </c>
      <c r="F252" s="16" t="s">
        <v>48</v>
      </c>
      <c r="G252" s="16" t="s">
        <v>48</v>
      </c>
      <c r="H252" s="16" t="s">
        <v>48</v>
      </c>
      <c r="I252" s="16" t="s">
        <v>48</v>
      </c>
      <c r="J252" s="16" t="s">
        <v>48</v>
      </c>
      <c r="K252" s="16" t="s">
        <v>48</v>
      </c>
      <c r="L252" s="16" t="s">
        <v>48</v>
      </c>
      <c r="M252" s="16" t="s">
        <v>48</v>
      </c>
      <c r="N252" s="16">
        <v>11</v>
      </c>
      <c r="O252" s="16" t="s">
        <v>1814</v>
      </c>
      <c r="P252" s="16" t="s">
        <v>1815</v>
      </c>
      <c r="Q252" s="32" t="s">
        <v>1816</v>
      </c>
    </row>
    <row r="253" spans="1:17" ht="17.100000000000001" customHeight="1">
      <c r="A253" s="53">
        <v>45828</v>
      </c>
      <c r="B253" s="36" t="s">
        <v>531</v>
      </c>
      <c r="C253" s="16" t="s">
        <v>1792</v>
      </c>
      <c r="D253" s="16" t="s">
        <v>1796</v>
      </c>
      <c r="E253" s="16" t="s">
        <v>1793</v>
      </c>
      <c r="F253" s="16" t="s">
        <v>48</v>
      </c>
      <c r="G253" s="16" t="s">
        <v>48</v>
      </c>
      <c r="H253" s="16" t="s">
        <v>48</v>
      </c>
      <c r="I253" s="16" t="s">
        <v>48</v>
      </c>
      <c r="J253" s="16" t="s">
        <v>48</v>
      </c>
      <c r="K253" s="16" t="s">
        <v>48</v>
      </c>
      <c r="L253" s="16" t="s">
        <v>48</v>
      </c>
      <c r="M253" s="16" t="s">
        <v>48</v>
      </c>
      <c r="N253" s="16">
        <v>27</v>
      </c>
      <c r="O253" s="16" t="s">
        <v>1814</v>
      </c>
      <c r="P253" s="16" t="s">
        <v>1815</v>
      </c>
      <c r="Q253" s="32" t="s">
        <v>1816</v>
      </c>
    </row>
    <row r="254" spans="1:17" ht="17.100000000000001" customHeight="1">
      <c r="A254" s="53">
        <v>45828</v>
      </c>
      <c r="B254" s="36" t="s">
        <v>531</v>
      </c>
      <c r="C254" s="16" t="s">
        <v>1792</v>
      </c>
      <c r="D254" s="16" t="s">
        <v>1796</v>
      </c>
      <c r="E254" s="16" t="s">
        <v>1801</v>
      </c>
      <c r="F254" s="16" t="s">
        <v>48</v>
      </c>
      <c r="G254" s="16" t="s">
        <v>48</v>
      </c>
      <c r="H254" s="16" t="s">
        <v>48</v>
      </c>
      <c r="I254" s="16" t="s">
        <v>48</v>
      </c>
      <c r="J254" s="16" t="s">
        <v>48</v>
      </c>
      <c r="K254" s="16" t="s">
        <v>48</v>
      </c>
      <c r="L254" s="16" t="s">
        <v>48</v>
      </c>
      <c r="M254" s="16" t="s">
        <v>48</v>
      </c>
      <c r="N254" s="16">
        <v>54</v>
      </c>
      <c r="O254" s="16" t="s">
        <v>1814</v>
      </c>
      <c r="P254" s="16" t="s">
        <v>1815</v>
      </c>
      <c r="Q254" s="32" t="s">
        <v>1816</v>
      </c>
    </row>
    <row r="255" spans="1:17" ht="17.100000000000001" customHeight="1">
      <c r="A255" s="53">
        <v>45828</v>
      </c>
      <c r="B255" s="36" t="s">
        <v>531</v>
      </c>
      <c r="C255" s="16" t="s">
        <v>1792</v>
      </c>
      <c r="D255" s="16" t="s">
        <v>1796</v>
      </c>
      <c r="E255" s="16" t="s">
        <v>1802</v>
      </c>
      <c r="F255" s="16" t="s">
        <v>48</v>
      </c>
      <c r="G255" s="16" t="s">
        <v>48</v>
      </c>
      <c r="H255" s="16" t="s">
        <v>48</v>
      </c>
      <c r="I255" s="16" t="s">
        <v>48</v>
      </c>
      <c r="J255" s="16" t="s">
        <v>48</v>
      </c>
      <c r="K255" s="16" t="s">
        <v>48</v>
      </c>
      <c r="L255" s="16" t="s">
        <v>48</v>
      </c>
      <c r="M255" s="16" t="s">
        <v>48</v>
      </c>
      <c r="N255" s="16">
        <v>27</v>
      </c>
      <c r="O255" s="16" t="s">
        <v>1814</v>
      </c>
      <c r="P255" s="16" t="s">
        <v>1815</v>
      </c>
      <c r="Q255" s="32" t="s">
        <v>1816</v>
      </c>
    </row>
    <row r="256" spans="1:17" ht="17.100000000000001" customHeight="1">
      <c r="A256" s="53">
        <v>45828</v>
      </c>
      <c r="B256" s="36" t="s">
        <v>531</v>
      </c>
      <c r="C256" s="16" t="s">
        <v>1792</v>
      </c>
      <c r="D256" s="16" t="s">
        <v>1803</v>
      </c>
      <c r="E256" s="16" t="s">
        <v>1804</v>
      </c>
      <c r="F256" s="16" t="s">
        <v>48</v>
      </c>
      <c r="G256" s="16" t="s">
        <v>48</v>
      </c>
      <c r="H256" s="16" t="s">
        <v>48</v>
      </c>
      <c r="I256" s="16" t="s">
        <v>48</v>
      </c>
      <c r="J256" s="16" t="s">
        <v>48</v>
      </c>
      <c r="K256" s="16" t="s">
        <v>48</v>
      </c>
      <c r="L256" s="16" t="s">
        <v>48</v>
      </c>
      <c r="M256" s="16" t="s">
        <v>48</v>
      </c>
      <c r="N256" s="16">
        <v>27</v>
      </c>
      <c r="O256" s="16" t="s">
        <v>1814</v>
      </c>
      <c r="P256" s="16" t="s">
        <v>1815</v>
      </c>
      <c r="Q256" s="32" t="s">
        <v>1816</v>
      </c>
    </row>
    <row r="257" spans="1:17" ht="17.100000000000001" customHeight="1">
      <c r="A257" s="53">
        <v>45828</v>
      </c>
      <c r="B257" s="36" t="s">
        <v>531</v>
      </c>
      <c r="C257" s="16" t="s">
        <v>1792</v>
      </c>
      <c r="D257" s="16" t="s">
        <v>1803</v>
      </c>
      <c r="E257" s="16" t="s">
        <v>1805</v>
      </c>
      <c r="F257" s="16" t="s">
        <v>48</v>
      </c>
      <c r="G257" s="16" t="s">
        <v>48</v>
      </c>
      <c r="H257" s="16" t="s">
        <v>48</v>
      </c>
      <c r="I257" s="16" t="s">
        <v>48</v>
      </c>
      <c r="J257" s="16" t="s">
        <v>48</v>
      </c>
      <c r="K257" s="16" t="s">
        <v>48</v>
      </c>
      <c r="L257" s="16" t="s">
        <v>48</v>
      </c>
      <c r="M257" s="16" t="s">
        <v>48</v>
      </c>
      <c r="N257" s="16">
        <v>27</v>
      </c>
      <c r="O257" s="16" t="s">
        <v>1814</v>
      </c>
      <c r="P257" s="16" t="s">
        <v>1815</v>
      </c>
      <c r="Q257" s="32" t="s">
        <v>1816</v>
      </c>
    </row>
    <row r="258" spans="1:17" ht="17.100000000000001" customHeight="1">
      <c r="A258" s="53">
        <v>45828</v>
      </c>
      <c r="B258" s="36" t="s">
        <v>531</v>
      </c>
      <c r="C258" s="16" t="s">
        <v>1792</v>
      </c>
      <c r="D258" s="16" t="s">
        <v>1803</v>
      </c>
      <c r="E258" s="16" t="s">
        <v>1806</v>
      </c>
      <c r="F258" s="16" t="s">
        <v>48</v>
      </c>
      <c r="G258" s="16" t="s">
        <v>48</v>
      </c>
      <c r="H258" s="16" t="s">
        <v>48</v>
      </c>
      <c r="I258" s="16" t="s">
        <v>48</v>
      </c>
      <c r="J258" s="16" t="s">
        <v>48</v>
      </c>
      <c r="K258" s="16" t="s">
        <v>48</v>
      </c>
      <c r="L258" s="16" t="s">
        <v>48</v>
      </c>
      <c r="M258" s="16" t="s">
        <v>48</v>
      </c>
      <c r="N258" s="16">
        <v>27</v>
      </c>
      <c r="O258" s="16" t="s">
        <v>1814</v>
      </c>
      <c r="P258" s="16" t="s">
        <v>1815</v>
      </c>
      <c r="Q258" s="32" t="s">
        <v>1816</v>
      </c>
    </row>
    <row r="259" spans="1:17" ht="17.100000000000001" customHeight="1">
      <c r="A259" s="53">
        <v>45828</v>
      </c>
      <c r="B259" s="36" t="s">
        <v>531</v>
      </c>
      <c r="C259" s="16" t="s">
        <v>1792</v>
      </c>
      <c r="D259" s="16" t="s">
        <v>1803</v>
      </c>
      <c r="E259" s="16" t="s">
        <v>1805</v>
      </c>
      <c r="F259" s="16" t="s">
        <v>48</v>
      </c>
      <c r="G259" s="16" t="s">
        <v>48</v>
      </c>
      <c r="H259" s="16" t="s">
        <v>48</v>
      </c>
      <c r="I259" s="16" t="s">
        <v>48</v>
      </c>
      <c r="J259" s="16" t="s">
        <v>48</v>
      </c>
      <c r="K259" s="16" t="s">
        <v>48</v>
      </c>
      <c r="L259" s="16" t="s">
        <v>48</v>
      </c>
      <c r="M259" s="16" t="s">
        <v>48</v>
      </c>
      <c r="N259" s="16">
        <v>27</v>
      </c>
      <c r="O259" s="16" t="s">
        <v>1814</v>
      </c>
      <c r="P259" s="16" t="s">
        <v>1815</v>
      </c>
      <c r="Q259" s="32" t="s">
        <v>1816</v>
      </c>
    </row>
    <row r="260" spans="1:17" ht="17.100000000000001" customHeight="1">
      <c r="A260" s="53">
        <v>45828</v>
      </c>
      <c r="B260" s="36" t="s">
        <v>531</v>
      </c>
      <c r="C260" s="16" t="s">
        <v>1792</v>
      </c>
      <c r="D260" s="16" t="s">
        <v>1803</v>
      </c>
      <c r="E260" s="16" t="s">
        <v>1807</v>
      </c>
      <c r="F260" s="16" t="s">
        <v>48</v>
      </c>
      <c r="G260" s="16" t="s">
        <v>48</v>
      </c>
      <c r="H260" s="16" t="s">
        <v>48</v>
      </c>
      <c r="I260" s="16" t="s">
        <v>48</v>
      </c>
      <c r="J260" s="16" t="s">
        <v>48</v>
      </c>
      <c r="K260" s="16" t="s">
        <v>48</v>
      </c>
      <c r="L260" s="16" t="s">
        <v>48</v>
      </c>
      <c r="M260" s="16" t="s">
        <v>48</v>
      </c>
      <c r="N260" s="16">
        <v>27</v>
      </c>
      <c r="O260" s="16" t="s">
        <v>1814</v>
      </c>
      <c r="P260" s="16" t="s">
        <v>1815</v>
      </c>
      <c r="Q260" s="32" t="s">
        <v>1816</v>
      </c>
    </row>
    <row r="261" spans="1:17" ht="17.100000000000001" customHeight="1">
      <c r="A261" s="53">
        <v>45828</v>
      </c>
      <c r="B261" s="36" t="s">
        <v>531</v>
      </c>
      <c r="C261" s="16" t="s">
        <v>1792</v>
      </c>
      <c r="D261" s="16" t="s">
        <v>1803</v>
      </c>
      <c r="E261" s="16" t="s">
        <v>1808</v>
      </c>
      <c r="F261" s="16" t="s">
        <v>48</v>
      </c>
      <c r="G261" s="16" t="s">
        <v>48</v>
      </c>
      <c r="H261" s="16" t="s">
        <v>48</v>
      </c>
      <c r="I261" s="16" t="s">
        <v>48</v>
      </c>
      <c r="J261" s="16" t="s">
        <v>48</v>
      </c>
      <c r="K261" s="16" t="s">
        <v>48</v>
      </c>
      <c r="L261" s="16" t="s">
        <v>48</v>
      </c>
      <c r="M261" s="16" t="s">
        <v>48</v>
      </c>
      <c r="N261" s="16">
        <v>27</v>
      </c>
      <c r="O261" s="16" t="s">
        <v>1814</v>
      </c>
      <c r="P261" s="16" t="s">
        <v>1815</v>
      </c>
      <c r="Q261" s="32" t="s">
        <v>1816</v>
      </c>
    </row>
    <row r="262" spans="1:17" ht="17.100000000000001" customHeight="1">
      <c r="A262" s="53">
        <v>45828</v>
      </c>
      <c r="B262" s="36" t="s">
        <v>531</v>
      </c>
      <c r="C262" s="16" t="s">
        <v>1792</v>
      </c>
      <c r="D262" s="16" t="s">
        <v>1803</v>
      </c>
      <c r="E262" s="16" t="s">
        <v>1809</v>
      </c>
      <c r="F262" s="16" t="s">
        <v>48</v>
      </c>
      <c r="G262" s="16" t="s">
        <v>48</v>
      </c>
      <c r="H262" s="16" t="s">
        <v>48</v>
      </c>
      <c r="I262" s="16" t="s">
        <v>48</v>
      </c>
      <c r="J262" s="16" t="s">
        <v>48</v>
      </c>
      <c r="K262" s="16" t="s">
        <v>48</v>
      </c>
      <c r="L262" s="16" t="s">
        <v>48</v>
      </c>
      <c r="M262" s="16" t="s">
        <v>48</v>
      </c>
      <c r="N262" s="16">
        <v>27</v>
      </c>
      <c r="O262" s="16" t="s">
        <v>1814</v>
      </c>
      <c r="P262" s="16" t="s">
        <v>1815</v>
      </c>
      <c r="Q262" s="32" t="s">
        <v>1816</v>
      </c>
    </row>
    <row r="263" spans="1:17" ht="17.100000000000001" customHeight="1">
      <c r="A263" s="53">
        <v>45828</v>
      </c>
      <c r="B263" s="36" t="s">
        <v>531</v>
      </c>
      <c r="C263" s="16" t="s">
        <v>1792</v>
      </c>
      <c r="D263" s="16" t="s">
        <v>1803</v>
      </c>
      <c r="E263" s="16" t="s">
        <v>1804</v>
      </c>
      <c r="F263" s="16" t="s">
        <v>48</v>
      </c>
      <c r="G263" s="16" t="s">
        <v>48</v>
      </c>
      <c r="H263" s="16" t="s">
        <v>48</v>
      </c>
      <c r="I263" s="16" t="s">
        <v>48</v>
      </c>
      <c r="J263" s="16" t="s">
        <v>48</v>
      </c>
      <c r="K263" s="16" t="s">
        <v>48</v>
      </c>
      <c r="L263" s="16" t="s">
        <v>48</v>
      </c>
      <c r="M263" s="16" t="s">
        <v>48</v>
      </c>
      <c r="N263" s="16">
        <v>27</v>
      </c>
      <c r="O263" s="16" t="s">
        <v>1814</v>
      </c>
      <c r="P263" s="16" t="s">
        <v>1815</v>
      </c>
      <c r="Q263" s="32" t="s">
        <v>1816</v>
      </c>
    </row>
    <row r="264" spans="1:17" ht="17.100000000000001" customHeight="1">
      <c r="A264" s="53">
        <v>45828</v>
      </c>
      <c r="B264" s="36" t="s">
        <v>531</v>
      </c>
      <c r="C264" s="16" t="s">
        <v>1792</v>
      </c>
      <c r="D264" s="16" t="s">
        <v>1803</v>
      </c>
      <c r="E264" s="16" t="s">
        <v>1807</v>
      </c>
      <c r="F264" s="16" t="s">
        <v>48</v>
      </c>
      <c r="G264" s="16" t="s">
        <v>48</v>
      </c>
      <c r="H264" s="16" t="s">
        <v>48</v>
      </c>
      <c r="I264" s="16" t="s">
        <v>48</v>
      </c>
      <c r="J264" s="16" t="s">
        <v>48</v>
      </c>
      <c r="K264" s="16" t="s">
        <v>48</v>
      </c>
      <c r="L264" s="16" t="s">
        <v>48</v>
      </c>
      <c r="M264" s="16" t="s">
        <v>48</v>
      </c>
      <c r="N264" s="16">
        <v>27</v>
      </c>
      <c r="O264" s="16" t="s">
        <v>1814</v>
      </c>
      <c r="P264" s="16" t="s">
        <v>1815</v>
      </c>
      <c r="Q264" s="32" t="s">
        <v>1816</v>
      </c>
    </row>
    <row r="265" spans="1:17" ht="17.100000000000001" customHeight="1">
      <c r="A265" s="53">
        <v>45828</v>
      </c>
      <c r="B265" s="36" t="s">
        <v>531</v>
      </c>
      <c r="C265" s="16" t="s">
        <v>1792</v>
      </c>
      <c r="D265" s="16" t="s">
        <v>1803</v>
      </c>
      <c r="E265" s="16" t="s">
        <v>1806</v>
      </c>
      <c r="F265" s="16" t="s">
        <v>48</v>
      </c>
      <c r="G265" s="16" t="s">
        <v>48</v>
      </c>
      <c r="H265" s="16" t="s">
        <v>48</v>
      </c>
      <c r="I265" s="16" t="s">
        <v>48</v>
      </c>
      <c r="J265" s="16" t="s">
        <v>48</v>
      </c>
      <c r="K265" s="16" t="s">
        <v>48</v>
      </c>
      <c r="L265" s="16" t="s">
        <v>48</v>
      </c>
      <c r="M265" s="16" t="s">
        <v>48</v>
      </c>
      <c r="N265" s="16">
        <v>27</v>
      </c>
      <c r="O265" s="16" t="s">
        <v>1814</v>
      </c>
      <c r="P265" s="16" t="s">
        <v>1815</v>
      </c>
      <c r="Q265" s="32" t="s">
        <v>1816</v>
      </c>
    </row>
    <row r="266" spans="1:17" ht="17.100000000000001" customHeight="1">
      <c r="A266" s="53">
        <v>45828</v>
      </c>
      <c r="B266" s="36" t="s">
        <v>531</v>
      </c>
      <c r="C266" s="16" t="s">
        <v>1792</v>
      </c>
      <c r="D266" s="16" t="s">
        <v>1803</v>
      </c>
      <c r="E266" s="16" t="s">
        <v>1810</v>
      </c>
      <c r="F266" s="16" t="s">
        <v>48</v>
      </c>
      <c r="G266" s="16" t="s">
        <v>48</v>
      </c>
      <c r="H266" s="16" t="s">
        <v>48</v>
      </c>
      <c r="I266" s="16" t="s">
        <v>48</v>
      </c>
      <c r="J266" s="16" t="s">
        <v>48</v>
      </c>
      <c r="K266" s="16" t="s">
        <v>48</v>
      </c>
      <c r="L266" s="16" t="s">
        <v>48</v>
      </c>
      <c r="M266" s="16" t="s">
        <v>48</v>
      </c>
      <c r="N266" s="16">
        <v>27</v>
      </c>
      <c r="O266" s="16" t="s">
        <v>1814</v>
      </c>
      <c r="P266" s="16" t="s">
        <v>1815</v>
      </c>
      <c r="Q266" s="32" t="s">
        <v>1816</v>
      </c>
    </row>
    <row r="267" spans="1:17" ht="17.100000000000001" customHeight="1">
      <c r="A267" s="53">
        <v>45828</v>
      </c>
      <c r="B267" s="36" t="s">
        <v>531</v>
      </c>
      <c r="C267" s="16" t="s">
        <v>1792</v>
      </c>
      <c r="D267" s="16" t="s">
        <v>1803</v>
      </c>
      <c r="E267" s="16" t="s">
        <v>1811</v>
      </c>
      <c r="F267" s="16" t="s">
        <v>48</v>
      </c>
      <c r="G267" s="16" t="s">
        <v>48</v>
      </c>
      <c r="H267" s="16" t="s">
        <v>48</v>
      </c>
      <c r="I267" s="16" t="s">
        <v>48</v>
      </c>
      <c r="J267" s="16" t="s">
        <v>48</v>
      </c>
      <c r="K267" s="16" t="s">
        <v>48</v>
      </c>
      <c r="L267" s="16" t="s">
        <v>48</v>
      </c>
      <c r="M267" s="16" t="s">
        <v>48</v>
      </c>
      <c r="N267" s="16">
        <v>27</v>
      </c>
      <c r="O267" s="16" t="s">
        <v>1814</v>
      </c>
      <c r="P267" s="16" t="s">
        <v>1815</v>
      </c>
      <c r="Q267" s="32" t="s">
        <v>1816</v>
      </c>
    </row>
    <row r="268" spans="1:17" ht="17.100000000000001" customHeight="1">
      <c r="A268" s="53">
        <v>45828</v>
      </c>
      <c r="B268" s="36" t="s">
        <v>531</v>
      </c>
      <c r="C268" s="16" t="s">
        <v>1792</v>
      </c>
      <c r="D268" s="16" t="s">
        <v>1803</v>
      </c>
      <c r="E268" s="16" t="s">
        <v>1812</v>
      </c>
      <c r="F268" s="16" t="s">
        <v>48</v>
      </c>
      <c r="G268" s="16" t="s">
        <v>48</v>
      </c>
      <c r="H268" s="16" t="s">
        <v>48</v>
      </c>
      <c r="I268" s="16" t="s">
        <v>48</v>
      </c>
      <c r="J268" s="16" t="s">
        <v>48</v>
      </c>
      <c r="K268" s="16" t="s">
        <v>48</v>
      </c>
      <c r="L268" s="16" t="s">
        <v>48</v>
      </c>
      <c r="M268" s="16" t="s">
        <v>48</v>
      </c>
      <c r="N268" s="16">
        <v>27</v>
      </c>
      <c r="O268" s="16" t="s">
        <v>1814</v>
      </c>
      <c r="P268" s="16" t="s">
        <v>1815</v>
      </c>
      <c r="Q268" s="32" t="s">
        <v>1816</v>
      </c>
    </row>
    <row r="269" spans="1:17" ht="17.100000000000001" customHeight="1">
      <c r="A269" s="53">
        <v>45828</v>
      </c>
      <c r="B269" s="36" t="s">
        <v>531</v>
      </c>
      <c r="C269" s="16" t="s">
        <v>1792</v>
      </c>
      <c r="D269" s="16" t="s">
        <v>1803</v>
      </c>
      <c r="E269" s="16" t="s">
        <v>1813</v>
      </c>
      <c r="F269" s="16" t="s">
        <v>48</v>
      </c>
      <c r="G269" s="16" t="s">
        <v>48</v>
      </c>
      <c r="H269" s="16" t="s">
        <v>48</v>
      </c>
      <c r="I269" s="16" t="s">
        <v>48</v>
      </c>
      <c r="J269" s="16" t="s">
        <v>48</v>
      </c>
      <c r="K269" s="16" t="s">
        <v>48</v>
      </c>
      <c r="L269" s="16" t="s">
        <v>48</v>
      </c>
      <c r="M269" s="16" t="s">
        <v>48</v>
      </c>
      <c r="N269" s="16">
        <v>27</v>
      </c>
      <c r="O269" s="16" t="s">
        <v>1814</v>
      </c>
      <c r="P269" s="16" t="s">
        <v>1815</v>
      </c>
      <c r="Q269" s="32" t="s">
        <v>1816</v>
      </c>
    </row>
    <row r="270" spans="1:17" ht="17.100000000000001" customHeight="1">
      <c r="A270" s="53">
        <v>45828</v>
      </c>
      <c r="B270" s="36" t="s">
        <v>531</v>
      </c>
      <c r="C270" s="16" t="s">
        <v>1792</v>
      </c>
      <c r="D270" s="16" t="s">
        <v>1803</v>
      </c>
      <c r="E270" s="16" t="s">
        <v>1812</v>
      </c>
      <c r="F270" s="16" t="s">
        <v>48</v>
      </c>
      <c r="G270" s="16" t="s">
        <v>48</v>
      </c>
      <c r="H270" s="16" t="s">
        <v>48</v>
      </c>
      <c r="I270" s="16" t="s">
        <v>48</v>
      </c>
      <c r="J270" s="16" t="s">
        <v>48</v>
      </c>
      <c r="K270" s="16" t="s">
        <v>48</v>
      </c>
      <c r="L270" s="16" t="s">
        <v>48</v>
      </c>
      <c r="M270" s="16" t="s">
        <v>48</v>
      </c>
      <c r="N270" s="16">
        <v>3</v>
      </c>
      <c r="O270" s="16" t="s">
        <v>1814</v>
      </c>
      <c r="P270" s="16" t="s">
        <v>1815</v>
      </c>
      <c r="Q270" s="32" t="s">
        <v>1816</v>
      </c>
    </row>
    <row r="271" spans="1:17" ht="17.100000000000001" customHeight="1">
      <c r="A271" s="53">
        <v>45831</v>
      </c>
      <c r="B271" s="36" t="s">
        <v>531</v>
      </c>
      <c r="C271" s="16" t="s">
        <v>1830</v>
      </c>
      <c r="D271" s="16" t="s">
        <v>1817</v>
      </c>
      <c r="E271" s="16" t="s">
        <v>1812</v>
      </c>
      <c r="F271" s="16" t="s">
        <v>48</v>
      </c>
      <c r="G271" s="16" t="s">
        <v>48</v>
      </c>
      <c r="H271" s="16" t="s">
        <v>48</v>
      </c>
      <c r="I271" s="16" t="s">
        <v>48</v>
      </c>
      <c r="J271" s="16" t="s">
        <v>48</v>
      </c>
      <c r="K271" s="16" t="s">
        <v>48</v>
      </c>
      <c r="L271" s="16" t="s">
        <v>48</v>
      </c>
      <c r="M271" s="16" t="s">
        <v>48</v>
      </c>
      <c r="N271" s="16">
        <v>24</v>
      </c>
      <c r="O271" s="16" t="s">
        <v>1814</v>
      </c>
      <c r="P271" s="16" t="s">
        <v>1832</v>
      </c>
      <c r="Q271" s="32" t="s">
        <v>1833</v>
      </c>
    </row>
    <row r="272" spans="1:17" ht="17.100000000000001" customHeight="1">
      <c r="A272" s="53">
        <v>45831</v>
      </c>
      <c r="B272" s="36" t="s">
        <v>531</v>
      </c>
      <c r="C272" s="16" t="s">
        <v>1830</v>
      </c>
      <c r="D272" s="16" t="s">
        <v>1817</v>
      </c>
      <c r="E272" s="16" t="s">
        <v>1818</v>
      </c>
      <c r="F272" s="16" t="s">
        <v>48</v>
      </c>
      <c r="G272" s="16" t="s">
        <v>48</v>
      </c>
      <c r="H272" s="16" t="s">
        <v>48</v>
      </c>
      <c r="I272" s="16" t="s">
        <v>48</v>
      </c>
      <c r="J272" s="16" t="s">
        <v>48</v>
      </c>
      <c r="K272" s="16" t="s">
        <v>48</v>
      </c>
      <c r="L272" s="16" t="s">
        <v>48</v>
      </c>
      <c r="M272" s="16" t="s">
        <v>48</v>
      </c>
      <c r="N272" s="16">
        <v>27</v>
      </c>
      <c r="O272" s="16" t="s">
        <v>1814</v>
      </c>
      <c r="P272" s="16" t="s">
        <v>1832</v>
      </c>
      <c r="Q272" s="32" t="s">
        <v>1833</v>
      </c>
    </row>
    <row r="273" spans="1:17" ht="17.100000000000001" customHeight="1">
      <c r="A273" s="53">
        <v>45831</v>
      </c>
      <c r="B273" s="36" t="s">
        <v>531</v>
      </c>
      <c r="C273" s="16" t="s">
        <v>1830</v>
      </c>
      <c r="D273" s="16" t="s">
        <v>1817</v>
      </c>
      <c r="E273" s="16" t="s">
        <v>1810</v>
      </c>
      <c r="F273" s="16" t="s">
        <v>48</v>
      </c>
      <c r="G273" s="16" t="s">
        <v>48</v>
      </c>
      <c r="H273" s="16" t="s">
        <v>48</v>
      </c>
      <c r="I273" s="16" t="s">
        <v>48</v>
      </c>
      <c r="J273" s="16" t="s">
        <v>48</v>
      </c>
      <c r="K273" s="16" t="s">
        <v>48</v>
      </c>
      <c r="L273" s="16" t="s">
        <v>48</v>
      </c>
      <c r="M273" s="16" t="s">
        <v>48</v>
      </c>
      <c r="N273" s="16">
        <v>27</v>
      </c>
      <c r="O273" s="16" t="s">
        <v>1814</v>
      </c>
      <c r="P273" s="16" t="s">
        <v>1832</v>
      </c>
      <c r="Q273" s="32" t="s">
        <v>1833</v>
      </c>
    </row>
    <row r="274" spans="1:17" ht="17.100000000000001" customHeight="1">
      <c r="A274" s="53">
        <v>45831</v>
      </c>
      <c r="B274" s="36" t="s">
        <v>531</v>
      </c>
      <c r="C274" s="16" t="s">
        <v>1830</v>
      </c>
      <c r="D274" s="16" t="s">
        <v>1817</v>
      </c>
      <c r="E274" s="16" t="s">
        <v>1819</v>
      </c>
      <c r="F274" s="16" t="s">
        <v>48</v>
      </c>
      <c r="G274" s="16" t="s">
        <v>48</v>
      </c>
      <c r="H274" s="16" t="s">
        <v>48</v>
      </c>
      <c r="I274" s="16" t="s">
        <v>48</v>
      </c>
      <c r="J274" s="16" t="s">
        <v>48</v>
      </c>
      <c r="K274" s="16" t="s">
        <v>48</v>
      </c>
      <c r="L274" s="16" t="s">
        <v>48</v>
      </c>
      <c r="M274" s="16" t="s">
        <v>48</v>
      </c>
      <c r="N274" s="46">
        <v>20</v>
      </c>
      <c r="O274" s="16" t="s">
        <v>1814</v>
      </c>
      <c r="P274" s="16" t="s">
        <v>1832</v>
      </c>
      <c r="Q274" s="32" t="s">
        <v>1833</v>
      </c>
    </row>
    <row r="275" spans="1:17" ht="17.100000000000001" customHeight="1">
      <c r="A275" s="53">
        <v>45831</v>
      </c>
      <c r="B275" s="36" t="s">
        <v>531</v>
      </c>
      <c r="C275" s="16" t="s">
        <v>1830</v>
      </c>
      <c r="D275" s="16" t="s">
        <v>1817</v>
      </c>
      <c r="E275" s="16" t="s">
        <v>1811</v>
      </c>
      <c r="F275" s="16" t="s">
        <v>48</v>
      </c>
      <c r="G275" s="16" t="s">
        <v>48</v>
      </c>
      <c r="H275" s="16" t="s">
        <v>48</v>
      </c>
      <c r="I275" s="16" t="s">
        <v>48</v>
      </c>
      <c r="J275" s="16" t="s">
        <v>48</v>
      </c>
      <c r="K275" s="16" t="s">
        <v>48</v>
      </c>
      <c r="L275" s="16" t="s">
        <v>48</v>
      </c>
      <c r="M275" s="16" t="s">
        <v>48</v>
      </c>
      <c r="N275" s="16">
        <v>27</v>
      </c>
      <c r="O275" s="16" t="s">
        <v>1814</v>
      </c>
      <c r="P275" s="16" t="s">
        <v>1832</v>
      </c>
      <c r="Q275" s="32" t="s">
        <v>1833</v>
      </c>
    </row>
    <row r="276" spans="1:17" ht="16.5" customHeight="1">
      <c r="A276" s="53">
        <v>45831</v>
      </c>
      <c r="B276" s="36" t="s">
        <v>531</v>
      </c>
      <c r="C276" s="16" t="s">
        <v>1830</v>
      </c>
      <c r="D276" s="47" t="s">
        <v>1817</v>
      </c>
      <c r="E276" s="16" t="s">
        <v>1818</v>
      </c>
      <c r="F276" s="16" t="s">
        <v>48</v>
      </c>
      <c r="G276" s="16" t="s">
        <v>48</v>
      </c>
      <c r="H276" s="16" t="s">
        <v>48</v>
      </c>
      <c r="I276" s="16" t="s">
        <v>48</v>
      </c>
      <c r="J276" s="16" t="s">
        <v>48</v>
      </c>
      <c r="K276" s="16" t="s">
        <v>48</v>
      </c>
      <c r="L276" s="16" t="s">
        <v>48</v>
      </c>
      <c r="M276" s="16" t="s">
        <v>48</v>
      </c>
      <c r="N276" s="47">
        <v>27</v>
      </c>
      <c r="O276" s="16" t="s">
        <v>1814</v>
      </c>
      <c r="P276" s="16" t="s">
        <v>1832</v>
      </c>
      <c r="Q276" s="32" t="s">
        <v>1833</v>
      </c>
    </row>
    <row r="277" spans="1:17" ht="17.100000000000001" customHeight="1">
      <c r="A277" s="53">
        <v>45831</v>
      </c>
      <c r="B277" s="36" t="s">
        <v>531</v>
      </c>
      <c r="C277" s="16" t="s">
        <v>1830</v>
      </c>
      <c r="D277" s="47" t="s">
        <v>1817</v>
      </c>
      <c r="E277" s="16" t="s">
        <v>1813</v>
      </c>
      <c r="F277" s="16" t="s">
        <v>48</v>
      </c>
      <c r="G277" s="16" t="s">
        <v>48</v>
      </c>
      <c r="H277" s="16" t="s">
        <v>48</v>
      </c>
      <c r="I277" s="16" t="s">
        <v>48</v>
      </c>
      <c r="J277" s="16" t="s">
        <v>48</v>
      </c>
      <c r="K277" s="16" t="s">
        <v>48</v>
      </c>
      <c r="L277" s="16" t="s">
        <v>48</v>
      </c>
      <c r="M277" s="16" t="s">
        <v>48</v>
      </c>
      <c r="N277" s="16">
        <v>27</v>
      </c>
      <c r="O277" s="16" t="s">
        <v>1814</v>
      </c>
      <c r="P277" s="16" t="s">
        <v>1832</v>
      </c>
      <c r="Q277" s="32" t="s">
        <v>1833</v>
      </c>
    </row>
    <row r="278" spans="1:17" ht="17.100000000000001" customHeight="1">
      <c r="A278" s="53">
        <v>45831</v>
      </c>
      <c r="B278" s="36" t="s">
        <v>531</v>
      </c>
      <c r="C278" s="16" t="s">
        <v>1830</v>
      </c>
      <c r="D278" s="47" t="s">
        <v>1817</v>
      </c>
      <c r="E278" s="16" t="s">
        <v>1820</v>
      </c>
      <c r="F278" s="16" t="s">
        <v>48</v>
      </c>
      <c r="G278" s="16" t="s">
        <v>48</v>
      </c>
      <c r="H278" s="16" t="s">
        <v>48</v>
      </c>
      <c r="I278" s="16" t="s">
        <v>48</v>
      </c>
      <c r="J278" s="16" t="s">
        <v>48</v>
      </c>
      <c r="K278" s="16" t="s">
        <v>48</v>
      </c>
      <c r="L278" s="16" t="s">
        <v>48</v>
      </c>
      <c r="M278" s="16" t="s">
        <v>48</v>
      </c>
      <c r="N278" s="16">
        <f>36/2</f>
        <v>18</v>
      </c>
      <c r="O278" s="16" t="s">
        <v>1814</v>
      </c>
      <c r="P278" s="16" t="s">
        <v>1832</v>
      </c>
      <c r="Q278" s="32" t="s">
        <v>1833</v>
      </c>
    </row>
    <row r="279" spans="1:17" ht="17.100000000000001" customHeight="1">
      <c r="A279" s="53">
        <v>45831</v>
      </c>
      <c r="B279" s="36" t="s">
        <v>531</v>
      </c>
      <c r="C279" s="16" t="s">
        <v>1830</v>
      </c>
      <c r="D279" s="47" t="s">
        <v>1817</v>
      </c>
      <c r="E279" s="16" t="s">
        <v>1821</v>
      </c>
      <c r="F279" s="16" t="s">
        <v>48</v>
      </c>
      <c r="G279" s="16" t="s">
        <v>48</v>
      </c>
      <c r="H279" s="16" t="s">
        <v>48</v>
      </c>
      <c r="I279" s="16" t="s">
        <v>48</v>
      </c>
      <c r="J279" s="16" t="s">
        <v>48</v>
      </c>
      <c r="K279" s="16" t="s">
        <v>48</v>
      </c>
      <c r="L279" s="16" t="s">
        <v>48</v>
      </c>
      <c r="M279" s="16" t="s">
        <v>48</v>
      </c>
      <c r="N279" s="16">
        <v>27</v>
      </c>
      <c r="O279" s="16" t="s">
        <v>1831</v>
      </c>
      <c r="P279" s="16" t="s">
        <v>1832</v>
      </c>
      <c r="Q279" s="32" t="s">
        <v>1833</v>
      </c>
    </row>
    <row r="280" spans="1:17" ht="17.100000000000001" customHeight="1">
      <c r="A280" s="53">
        <v>45831</v>
      </c>
      <c r="B280" s="36" t="s">
        <v>531</v>
      </c>
      <c r="C280" s="16" t="s">
        <v>1830</v>
      </c>
      <c r="D280" s="16" t="s">
        <v>1822</v>
      </c>
      <c r="E280" s="16" t="s">
        <v>1823</v>
      </c>
      <c r="F280" s="16" t="s">
        <v>48</v>
      </c>
      <c r="G280" s="16" t="s">
        <v>48</v>
      </c>
      <c r="H280" s="16" t="s">
        <v>48</v>
      </c>
      <c r="I280" s="16" t="s">
        <v>48</v>
      </c>
      <c r="J280" s="16" t="s">
        <v>48</v>
      </c>
      <c r="K280" s="16" t="s">
        <v>48</v>
      </c>
      <c r="L280" s="16" t="s">
        <v>48</v>
      </c>
      <c r="M280" s="16" t="s">
        <v>48</v>
      </c>
      <c r="N280" s="16">
        <v>27</v>
      </c>
      <c r="O280" s="16" t="s">
        <v>1831</v>
      </c>
      <c r="P280" s="16" t="s">
        <v>1832</v>
      </c>
      <c r="Q280" s="32" t="s">
        <v>1833</v>
      </c>
    </row>
    <row r="281" spans="1:17" ht="17.100000000000001" customHeight="1">
      <c r="A281" s="53">
        <v>45831</v>
      </c>
      <c r="B281" s="36" t="s">
        <v>531</v>
      </c>
      <c r="C281" s="16" t="s">
        <v>1830</v>
      </c>
      <c r="D281" s="16" t="s">
        <v>1822</v>
      </c>
      <c r="E281" s="16" t="s">
        <v>1824</v>
      </c>
      <c r="F281" s="16" t="s">
        <v>48</v>
      </c>
      <c r="G281" s="16" t="s">
        <v>48</v>
      </c>
      <c r="H281" s="16" t="s">
        <v>48</v>
      </c>
      <c r="I281" s="16" t="s">
        <v>48</v>
      </c>
      <c r="J281" s="16" t="s">
        <v>48</v>
      </c>
      <c r="K281" s="16" t="s">
        <v>48</v>
      </c>
      <c r="L281" s="16" t="s">
        <v>48</v>
      </c>
      <c r="M281" s="16" t="s">
        <v>48</v>
      </c>
      <c r="N281" s="16">
        <v>27</v>
      </c>
      <c r="O281" s="16" t="s">
        <v>1831</v>
      </c>
      <c r="P281" s="16" t="s">
        <v>1832</v>
      </c>
      <c r="Q281" s="32" t="s">
        <v>1833</v>
      </c>
    </row>
    <row r="282" spans="1:17" ht="17.100000000000001" customHeight="1">
      <c r="A282" s="53">
        <v>45831</v>
      </c>
      <c r="B282" s="36" t="s">
        <v>531</v>
      </c>
      <c r="C282" s="16" t="s">
        <v>1830</v>
      </c>
      <c r="D282" s="16" t="s">
        <v>1822</v>
      </c>
      <c r="E282" s="16" t="s">
        <v>1825</v>
      </c>
      <c r="F282" s="16" t="s">
        <v>48</v>
      </c>
      <c r="G282" s="16" t="s">
        <v>48</v>
      </c>
      <c r="H282" s="16" t="s">
        <v>48</v>
      </c>
      <c r="I282" s="16" t="s">
        <v>48</v>
      </c>
      <c r="J282" s="16" t="s">
        <v>48</v>
      </c>
      <c r="K282" s="16" t="s">
        <v>48</v>
      </c>
      <c r="L282" s="16" t="s">
        <v>48</v>
      </c>
      <c r="M282" s="16" t="s">
        <v>48</v>
      </c>
      <c r="N282" s="16">
        <v>27</v>
      </c>
      <c r="O282" s="16" t="s">
        <v>1831</v>
      </c>
      <c r="P282" s="16" t="s">
        <v>1832</v>
      </c>
      <c r="Q282" s="32" t="s">
        <v>1833</v>
      </c>
    </row>
    <row r="283" spans="1:17" ht="17.100000000000001" customHeight="1">
      <c r="A283" s="53">
        <v>45831</v>
      </c>
      <c r="B283" s="36" t="s">
        <v>531</v>
      </c>
      <c r="C283" s="16" t="s">
        <v>1830</v>
      </c>
      <c r="D283" s="16" t="s">
        <v>1822</v>
      </c>
      <c r="E283" s="16" t="s">
        <v>1826</v>
      </c>
      <c r="F283" s="16" t="s">
        <v>48</v>
      </c>
      <c r="G283" s="16" t="s">
        <v>48</v>
      </c>
      <c r="H283" s="16" t="s">
        <v>48</v>
      </c>
      <c r="I283" s="16" t="s">
        <v>48</v>
      </c>
      <c r="J283" s="16" t="s">
        <v>48</v>
      </c>
      <c r="K283" s="16" t="s">
        <v>48</v>
      </c>
      <c r="L283" s="16" t="s">
        <v>48</v>
      </c>
      <c r="M283" s="16" t="s">
        <v>48</v>
      </c>
      <c r="N283" s="16">
        <v>27</v>
      </c>
      <c r="O283" s="16" t="s">
        <v>1831</v>
      </c>
      <c r="P283" s="16" t="s">
        <v>1832</v>
      </c>
      <c r="Q283" s="32" t="s">
        <v>1833</v>
      </c>
    </row>
    <row r="284" spans="1:17" ht="17.100000000000001" customHeight="1">
      <c r="A284" s="53">
        <v>45831</v>
      </c>
      <c r="B284" s="36" t="s">
        <v>531</v>
      </c>
      <c r="C284" s="16" t="s">
        <v>1830</v>
      </c>
      <c r="D284" s="16" t="s">
        <v>1822</v>
      </c>
      <c r="E284" s="16" t="s">
        <v>1823</v>
      </c>
      <c r="F284" s="16" t="s">
        <v>48</v>
      </c>
      <c r="G284" s="16" t="s">
        <v>48</v>
      </c>
      <c r="H284" s="16" t="s">
        <v>48</v>
      </c>
      <c r="I284" s="16" t="s">
        <v>48</v>
      </c>
      <c r="J284" s="16" t="s">
        <v>48</v>
      </c>
      <c r="K284" s="16" t="s">
        <v>48</v>
      </c>
      <c r="L284" s="16" t="s">
        <v>48</v>
      </c>
      <c r="M284" s="16" t="s">
        <v>48</v>
      </c>
      <c r="N284" s="16">
        <v>27</v>
      </c>
      <c r="O284" s="16" t="s">
        <v>1831</v>
      </c>
      <c r="P284" s="16" t="s">
        <v>1832</v>
      </c>
      <c r="Q284" s="32" t="s">
        <v>1833</v>
      </c>
    </row>
    <row r="285" spans="1:17" ht="17.100000000000001" customHeight="1">
      <c r="A285" s="53">
        <v>45831</v>
      </c>
      <c r="B285" s="36" t="s">
        <v>531</v>
      </c>
      <c r="C285" s="16" t="s">
        <v>1830</v>
      </c>
      <c r="D285" s="16" t="s">
        <v>1822</v>
      </c>
      <c r="E285" s="16" t="s">
        <v>1827</v>
      </c>
      <c r="F285" s="16" t="s">
        <v>48</v>
      </c>
      <c r="G285" s="16" t="s">
        <v>48</v>
      </c>
      <c r="H285" s="16" t="s">
        <v>48</v>
      </c>
      <c r="I285" s="16" t="s">
        <v>48</v>
      </c>
      <c r="J285" s="16" t="s">
        <v>48</v>
      </c>
      <c r="K285" s="16" t="s">
        <v>48</v>
      </c>
      <c r="L285" s="16" t="s">
        <v>48</v>
      </c>
      <c r="M285" s="16" t="s">
        <v>48</v>
      </c>
      <c r="N285" s="16">
        <v>27</v>
      </c>
      <c r="O285" s="16" t="s">
        <v>1831</v>
      </c>
      <c r="P285" s="16" t="s">
        <v>1832</v>
      </c>
      <c r="Q285" s="32" t="s">
        <v>1833</v>
      </c>
    </row>
    <row r="286" spans="1:17" ht="17.100000000000001" customHeight="1">
      <c r="A286" s="53">
        <v>45831</v>
      </c>
      <c r="B286" s="36" t="s">
        <v>531</v>
      </c>
      <c r="C286" s="16" t="s">
        <v>1830</v>
      </c>
      <c r="D286" s="16" t="s">
        <v>1822</v>
      </c>
      <c r="E286" s="16" t="s">
        <v>1824</v>
      </c>
      <c r="F286" s="16" t="s">
        <v>48</v>
      </c>
      <c r="G286" s="16" t="s">
        <v>48</v>
      </c>
      <c r="H286" s="16" t="s">
        <v>48</v>
      </c>
      <c r="I286" s="16" t="s">
        <v>48</v>
      </c>
      <c r="J286" s="16" t="s">
        <v>48</v>
      </c>
      <c r="K286" s="16" t="s">
        <v>48</v>
      </c>
      <c r="L286" s="16" t="s">
        <v>48</v>
      </c>
      <c r="M286" s="16" t="s">
        <v>48</v>
      </c>
      <c r="N286" s="16">
        <v>27</v>
      </c>
      <c r="O286" s="16" t="s">
        <v>1831</v>
      </c>
      <c r="P286" s="16" t="s">
        <v>1832</v>
      </c>
      <c r="Q286" s="32" t="s">
        <v>1833</v>
      </c>
    </row>
    <row r="287" spans="1:17" ht="17.100000000000001" customHeight="1">
      <c r="A287" s="53">
        <v>45831</v>
      </c>
      <c r="B287" s="36" t="s">
        <v>531</v>
      </c>
      <c r="C287" s="16" t="s">
        <v>1830</v>
      </c>
      <c r="D287" s="16" t="s">
        <v>1822</v>
      </c>
      <c r="E287" s="16" t="s">
        <v>1827</v>
      </c>
      <c r="F287" s="16" t="s">
        <v>48</v>
      </c>
      <c r="G287" s="16" t="s">
        <v>48</v>
      </c>
      <c r="H287" s="16" t="s">
        <v>48</v>
      </c>
      <c r="I287" s="16" t="s">
        <v>48</v>
      </c>
      <c r="J287" s="16" t="s">
        <v>48</v>
      </c>
      <c r="K287" s="16" t="s">
        <v>48</v>
      </c>
      <c r="L287" s="16" t="s">
        <v>48</v>
      </c>
      <c r="M287" s="16" t="s">
        <v>48</v>
      </c>
      <c r="N287" s="16">
        <v>27</v>
      </c>
      <c r="O287" s="16" t="s">
        <v>1831</v>
      </c>
      <c r="P287" s="16" t="s">
        <v>1832</v>
      </c>
      <c r="Q287" s="32" t="s">
        <v>1833</v>
      </c>
    </row>
    <row r="288" spans="1:17" ht="17.100000000000001" customHeight="1">
      <c r="A288" s="53">
        <v>45831</v>
      </c>
      <c r="B288" s="36" t="s">
        <v>531</v>
      </c>
      <c r="C288" s="16" t="s">
        <v>1830</v>
      </c>
      <c r="D288" s="16" t="s">
        <v>1822</v>
      </c>
      <c r="E288" s="16" t="s">
        <v>1828</v>
      </c>
      <c r="F288" s="16" t="s">
        <v>48</v>
      </c>
      <c r="G288" s="16" t="s">
        <v>48</v>
      </c>
      <c r="H288" s="16" t="s">
        <v>48</v>
      </c>
      <c r="I288" s="16" t="s">
        <v>48</v>
      </c>
      <c r="J288" s="16" t="s">
        <v>48</v>
      </c>
      <c r="K288" s="16" t="s">
        <v>48</v>
      </c>
      <c r="L288" s="16" t="s">
        <v>48</v>
      </c>
      <c r="M288" s="16" t="s">
        <v>48</v>
      </c>
      <c r="N288" s="16">
        <v>27</v>
      </c>
      <c r="O288" s="16" t="s">
        <v>1831</v>
      </c>
      <c r="P288" s="16" t="s">
        <v>1832</v>
      </c>
      <c r="Q288" s="32" t="s">
        <v>1833</v>
      </c>
    </row>
    <row r="289" spans="1:17" ht="17.100000000000001" customHeight="1">
      <c r="A289" s="53">
        <v>45831</v>
      </c>
      <c r="B289" s="36" t="s">
        <v>531</v>
      </c>
      <c r="C289" s="16" t="s">
        <v>1830</v>
      </c>
      <c r="D289" s="16" t="s">
        <v>1822</v>
      </c>
      <c r="E289" s="16" t="s">
        <v>1829</v>
      </c>
      <c r="F289" s="16" t="s">
        <v>48</v>
      </c>
      <c r="G289" s="16" t="s">
        <v>48</v>
      </c>
      <c r="H289" s="16" t="s">
        <v>48</v>
      </c>
      <c r="I289" s="16" t="s">
        <v>48</v>
      </c>
      <c r="J289" s="16" t="s">
        <v>48</v>
      </c>
      <c r="K289" s="16" t="s">
        <v>48</v>
      </c>
      <c r="L289" s="16" t="s">
        <v>48</v>
      </c>
      <c r="M289" s="16" t="s">
        <v>48</v>
      </c>
      <c r="N289" s="16">
        <v>27</v>
      </c>
      <c r="O289" s="16" t="s">
        <v>1831</v>
      </c>
      <c r="P289" s="16" t="s">
        <v>1832</v>
      </c>
      <c r="Q289" s="32" t="s">
        <v>1833</v>
      </c>
    </row>
    <row r="290" spans="1:17" ht="17.100000000000001" customHeight="1">
      <c r="A290" s="53">
        <v>45831</v>
      </c>
      <c r="B290" s="36" t="s">
        <v>531</v>
      </c>
      <c r="C290" s="16" t="s">
        <v>1830</v>
      </c>
      <c r="D290" s="16" t="s">
        <v>1822</v>
      </c>
      <c r="E290" s="16" t="s">
        <v>1826</v>
      </c>
      <c r="F290" s="16" t="s">
        <v>48</v>
      </c>
      <c r="G290" s="16" t="s">
        <v>48</v>
      </c>
      <c r="H290" s="16" t="s">
        <v>48</v>
      </c>
      <c r="I290" s="16" t="s">
        <v>48</v>
      </c>
      <c r="J290" s="16" t="s">
        <v>48</v>
      </c>
      <c r="K290" s="16" t="s">
        <v>48</v>
      </c>
      <c r="L290" s="16" t="s">
        <v>48</v>
      </c>
      <c r="M290" s="16" t="s">
        <v>48</v>
      </c>
      <c r="N290" s="16">
        <v>6</v>
      </c>
      <c r="O290" s="16" t="s">
        <v>1831</v>
      </c>
      <c r="P290" s="16" t="s">
        <v>1832</v>
      </c>
      <c r="Q290" s="32" t="s">
        <v>1833</v>
      </c>
    </row>
    <row r="291" spans="1:17" ht="17.100000000000001" customHeight="1">
      <c r="A291" s="53">
        <v>45831</v>
      </c>
      <c r="B291" s="36" t="s">
        <v>531</v>
      </c>
      <c r="C291" s="16" t="s">
        <v>1830</v>
      </c>
      <c r="D291" s="16" t="s">
        <v>1822</v>
      </c>
      <c r="E291" s="16" t="s">
        <v>1826</v>
      </c>
      <c r="F291" s="16" t="s">
        <v>48</v>
      </c>
      <c r="G291" s="16" t="s">
        <v>48</v>
      </c>
      <c r="H291" s="16" t="s">
        <v>48</v>
      </c>
      <c r="I291" s="16" t="s">
        <v>48</v>
      </c>
      <c r="J291" s="16" t="s">
        <v>48</v>
      </c>
      <c r="K291" s="16" t="s">
        <v>48</v>
      </c>
      <c r="L291" s="16" t="s">
        <v>48</v>
      </c>
      <c r="M291" s="16" t="s">
        <v>48</v>
      </c>
      <c r="N291" s="16">
        <f>27-6</f>
        <v>21</v>
      </c>
      <c r="O291" s="16" t="s">
        <v>1831</v>
      </c>
      <c r="P291" s="15" t="s">
        <v>1837</v>
      </c>
      <c r="Q291" s="33" t="s">
        <v>1838</v>
      </c>
    </row>
    <row r="292" spans="1:17" ht="17.100000000000001" customHeight="1">
      <c r="A292" s="53">
        <v>45831</v>
      </c>
      <c r="B292" s="36" t="s">
        <v>531</v>
      </c>
      <c r="C292" s="16" t="s">
        <v>1830</v>
      </c>
      <c r="D292" s="16" t="s">
        <v>1822</v>
      </c>
      <c r="E292" s="16" t="s">
        <v>1834</v>
      </c>
      <c r="F292" s="16" t="s">
        <v>48</v>
      </c>
      <c r="G292" s="16" t="s">
        <v>48</v>
      </c>
      <c r="H292" s="16" t="s">
        <v>48</v>
      </c>
      <c r="I292" s="16" t="s">
        <v>48</v>
      </c>
      <c r="J292" s="16" t="s">
        <v>48</v>
      </c>
      <c r="K292" s="16" t="s">
        <v>48</v>
      </c>
      <c r="L292" s="16" t="s">
        <v>48</v>
      </c>
      <c r="M292" s="16" t="s">
        <v>48</v>
      </c>
      <c r="N292" s="16">
        <v>27</v>
      </c>
      <c r="O292" s="16" t="s">
        <v>1831</v>
      </c>
      <c r="P292" s="15" t="s">
        <v>1837</v>
      </c>
      <c r="Q292" s="33" t="s">
        <v>1838</v>
      </c>
    </row>
    <row r="293" spans="1:17" ht="17.100000000000001" customHeight="1">
      <c r="A293" s="53">
        <v>45831</v>
      </c>
      <c r="B293" s="36" t="s">
        <v>531</v>
      </c>
      <c r="C293" s="16" t="s">
        <v>1830</v>
      </c>
      <c r="D293" s="16" t="s">
        <v>1822</v>
      </c>
      <c r="E293" s="16" t="s">
        <v>1835</v>
      </c>
      <c r="F293" s="16" t="s">
        <v>48</v>
      </c>
      <c r="G293" s="16" t="s">
        <v>48</v>
      </c>
      <c r="H293" s="16" t="s">
        <v>48</v>
      </c>
      <c r="I293" s="16" t="s">
        <v>48</v>
      </c>
      <c r="J293" s="16" t="s">
        <v>48</v>
      </c>
      <c r="K293" s="16" t="s">
        <v>48</v>
      </c>
      <c r="L293" s="16" t="s">
        <v>48</v>
      </c>
      <c r="M293" s="16" t="s">
        <v>48</v>
      </c>
      <c r="N293" s="16">
        <v>27</v>
      </c>
      <c r="O293" s="16" t="s">
        <v>1831</v>
      </c>
      <c r="P293" s="15" t="s">
        <v>1837</v>
      </c>
      <c r="Q293" s="33" t="s">
        <v>1838</v>
      </c>
    </row>
    <row r="294" spans="1:17" ht="17.100000000000001" customHeight="1">
      <c r="A294" s="53">
        <v>45831</v>
      </c>
      <c r="B294" s="36" t="s">
        <v>531</v>
      </c>
      <c r="C294" s="16" t="s">
        <v>1830</v>
      </c>
      <c r="D294" s="16" t="s">
        <v>1822</v>
      </c>
      <c r="E294" s="16" t="s">
        <v>1828</v>
      </c>
      <c r="F294" s="16" t="s">
        <v>48</v>
      </c>
      <c r="G294" s="16" t="s">
        <v>48</v>
      </c>
      <c r="H294" s="16" t="s">
        <v>48</v>
      </c>
      <c r="I294" s="16" t="s">
        <v>48</v>
      </c>
      <c r="J294" s="16" t="s">
        <v>48</v>
      </c>
      <c r="K294" s="16" t="s">
        <v>48</v>
      </c>
      <c r="L294" s="16" t="s">
        <v>48</v>
      </c>
      <c r="M294" s="16" t="s">
        <v>48</v>
      </c>
      <c r="N294" s="16">
        <v>27</v>
      </c>
      <c r="O294" s="16" t="s">
        <v>1831</v>
      </c>
      <c r="P294" s="15" t="s">
        <v>1837</v>
      </c>
      <c r="Q294" s="33" t="s">
        <v>1838</v>
      </c>
    </row>
    <row r="295" spans="1:17" ht="17.100000000000001" customHeight="1">
      <c r="A295" s="53">
        <v>45831</v>
      </c>
      <c r="B295" s="36" t="s">
        <v>531</v>
      </c>
      <c r="C295" s="16" t="s">
        <v>1830</v>
      </c>
      <c r="D295" s="16" t="s">
        <v>1822</v>
      </c>
      <c r="E295" s="16" t="s">
        <v>1836</v>
      </c>
      <c r="F295" s="16" t="s">
        <v>48</v>
      </c>
      <c r="G295" s="16" t="s">
        <v>48</v>
      </c>
      <c r="H295" s="16" t="s">
        <v>48</v>
      </c>
      <c r="I295" s="16" t="s">
        <v>48</v>
      </c>
      <c r="J295" s="16" t="s">
        <v>48</v>
      </c>
      <c r="K295" s="16" t="s">
        <v>48</v>
      </c>
      <c r="L295" s="16" t="s">
        <v>48</v>
      </c>
      <c r="M295" s="16" t="s">
        <v>48</v>
      </c>
      <c r="N295" s="16">
        <v>27</v>
      </c>
      <c r="O295" s="16" t="s">
        <v>1831</v>
      </c>
      <c r="P295" s="15" t="s">
        <v>1837</v>
      </c>
      <c r="Q295" s="33" t="s">
        <v>1838</v>
      </c>
    </row>
    <row r="296" spans="1:17" ht="17.100000000000001" customHeight="1">
      <c r="A296" s="53">
        <v>45831</v>
      </c>
      <c r="B296" s="36" t="s">
        <v>531</v>
      </c>
      <c r="C296" s="16" t="s">
        <v>1830</v>
      </c>
      <c r="D296" s="16" t="s">
        <v>1822</v>
      </c>
      <c r="E296" s="16" t="s">
        <v>1829</v>
      </c>
      <c r="F296" s="16" t="s">
        <v>48</v>
      </c>
      <c r="G296" s="16" t="s">
        <v>48</v>
      </c>
      <c r="H296" s="16" t="s">
        <v>48</v>
      </c>
      <c r="I296" s="16" t="s">
        <v>48</v>
      </c>
      <c r="J296" s="16" t="s">
        <v>48</v>
      </c>
      <c r="K296" s="16" t="s">
        <v>48</v>
      </c>
      <c r="L296" s="16" t="s">
        <v>48</v>
      </c>
      <c r="M296" s="16" t="s">
        <v>48</v>
      </c>
      <c r="N296" s="16">
        <v>27</v>
      </c>
      <c r="O296" s="16" t="s">
        <v>1831</v>
      </c>
      <c r="P296" s="15" t="s">
        <v>1837</v>
      </c>
      <c r="Q296" s="33" t="s">
        <v>1838</v>
      </c>
    </row>
    <row r="297" spans="1:17" ht="17.100000000000001" customHeight="1">
      <c r="A297" s="53">
        <v>45831</v>
      </c>
      <c r="B297" s="36" t="s">
        <v>531</v>
      </c>
      <c r="C297" s="16" t="s">
        <v>1830</v>
      </c>
      <c r="D297" s="16" t="s">
        <v>1822</v>
      </c>
      <c r="E297" s="16" t="s">
        <v>1836</v>
      </c>
      <c r="F297" s="16" t="s">
        <v>48</v>
      </c>
      <c r="G297" s="16" t="s">
        <v>48</v>
      </c>
      <c r="H297" s="16" t="s">
        <v>48</v>
      </c>
      <c r="I297" s="16" t="s">
        <v>48</v>
      </c>
      <c r="J297" s="16" t="s">
        <v>48</v>
      </c>
      <c r="K297" s="16" t="s">
        <v>48</v>
      </c>
      <c r="L297" s="16" t="s">
        <v>48</v>
      </c>
      <c r="M297" s="16" t="s">
        <v>48</v>
      </c>
      <c r="N297" s="16">
        <v>27</v>
      </c>
      <c r="O297" s="16" t="s">
        <v>1831</v>
      </c>
      <c r="P297" s="15" t="s">
        <v>1837</v>
      </c>
      <c r="Q297" s="33" t="s">
        <v>1838</v>
      </c>
    </row>
    <row r="298" spans="1:17" ht="17.100000000000001" customHeight="1">
      <c r="A298" s="53">
        <v>45831</v>
      </c>
      <c r="B298" s="36" t="s">
        <v>531</v>
      </c>
      <c r="C298" s="16" t="s">
        <v>1830</v>
      </c>
      <c r="D298" s="16" t="s">
        <v>1822</v>
      </c>
      <c r="E298" s="16" t="s">
        <v>1835</v>
      </c>
      <c r="F298" s="16" t="s">
        <v>48</v>
      </c>
      <c r="G298" s="16" t="s">
        <v>48</v>
      </c>
      <c r="H298" s="16" t="s">
        <v>48</v>
      </c>
      <c r="I298" s="16" t="s">
        <v>48</v>
      </c>
      <c r="J298" s="16" t="s">
        <v>48</v>
      </c>
      <c r="K298" s="16" t="s">
        <v>48</v>
      </c>
      <c r="L298" s="16" t="s">
        <v>48</v>
      </c>
      <c r="M298" s="16" t="s">
        <v>48</v>
      </c>
      <c r="N298" s="16">
        <v>17</v>
      </c>
      <c r="O298" s="16" t="s">
        <v>1831</v>
      </c>
      <c r="P298" s="15" t="s">
        <v>1837</v>
      </c>
      <c r="Q298" s="33" t="s">
        <v>1838</v>
      </c>
    </row>
    <row r="299" spans="1:17" ht="17.100000000000001" customHeight="1">
      <c r="A299" s="53">
        <v>45831</v>
      </c>
      <c r="B299" s="36" t="s">
        <v>531</v>
      </c>
      <c r="C299" s="16" t="s">
        <v>1830</v>
      </c>
      <c r="D299" s="16" t="s">
        <v>1841</v>
      </c>
      <c r="E299" s="16" t="s">
        <v>1835</v>
      </c>
      <c r="F299" s="16" t="s">
        <v>48</v>
      </c>
      <c r="G299" s="16" t="s">
        <v>48</v>
      </c>
      <c r="H299" s="16" t="s">
        <v>48</v>
      </c>
      <c r="I299" s="16" t="s">
        <v>48</v>
      </c>
      <c r="J299" s="16" t="s">
        <v>48</v>
      </c>
      <c r="K299" s="16" t="s">
        <v>48</v>
      </c>
      <c r="L299" s="16" t="s">
        <v>48</v>
      </c>
      <c r="M299" s="16" t="s">
        <v>48</v>
      </c>
      <c r="N299" s="16">
        <v>10</v>
      </c>
      <c r="O299" s="16" t="s">
        <v>1831</v>
      </c>
      <c r="P299" s="15" t="s">
        <v>1837</v>
      </c>
      <c r="Q299" s="33" t="s">
        <v>1838</v>
      </c>
    </row>
    <row r="300" spans="1:17" ht="17.100000000000001" customHeight="1">
      <c r="A300" s="53">
        <v>45831</v>
      </c>
      <c r="B300" s="36" t="s">
        <v>531</v>
      </c>
      <c r="C300" s="16" t="s">
        <v>1830</v>
      </c>
      <c r="D300" s="16" t="s">
        <v>1841</v>
      </c>
      <c r="E300" s="16" t="s">
        <v>1839</v>
      </c>
      <c r="F300" s="16" t="s">
        <v>48</v>
      </c>
      <c r="G300" s="16" t="s">
        <v>48</v>
      </c>
      <c r="H300" s="16" t="s">
        <v>48</v>
      </c>
      <c r="I300" s="16" t="s">
        <v>48</v>
      </c>
      <c r="J300" s="16" t="s">
        <v>48</v>
      </c>
      <c r="K300" s="16" t="s">
        <v>48</v>
      </c>
      <c r="L300" s="16" t="s">
        <v>48</v>
      </c>
      <c r="M300" s="16" t="s">
        <v>48</v>
      </c>
      <c r="N300" s="16">
        <v>27</v>
      </c>
      <c r="O300" s="16" t="s">
        <v>1831</v>
      </c>
      <c r="P300" s="15" t="s">
        <v>1837</v>
      </c>
      <c r="Q300" s="33" t="s">
        <v>1838</v>
      </c>
    </row>
    <row r="301" spans="1:17" ht="17.100000000000001" customHeight="1">
      <c r="A301" s="53">
        <v>45831</v>
      </c>
      <c r="B301" s="36" t="s">
        <v>531</v>
      </c>
      <c r="C301" s="16" t="s">
        <v>1830</v>
      </c>
      <c r="D301" s="16" t="s">
        <v>1841</v>
      </c>
      <c r="E301" s="16" t="s">
        <v>1825</v>
      </c>
      <c r="F301" s="16" t="s">
        <v>48</v>
      </c>
      <c r="G301" s="16" t="s">
        <v>48</v>
      </c>
      <c r="H301" s="16" t="s">
        <v>48</v>
      </c>
      <c r="I301" s="16" t="s">
        <v>48</v>
      </c>
      <c r="J301" s="16" t="s">
        <v>48</v>
      </c>
      <c r="K301" s="16" t="s">
        <v>48</v>
      </c>
      <c r="L301" s="16" t="s">
        <v>48</v>
      </c>
      <c r="M301" s="16" t="s">
        <v>48</v>
      </c>
      <c r="N301" s="16">
        <v>27</v>
      </c>
      <c r="O301" s="16" t="s">
        <v>1831</v>
      </c>
      <c r="P301" s="15" t="s">
        <v>1837</v>
      </c>
      <c r="Q301" s="33" t="s">
        <v>1838</v>
      </c>
    </row>
    <row r="302" spans="1:17" ht="17.100000000000001" customHeight="1">
      <c r="A302" s="53">
        <v>45831</v>
      </c>
      <c r="B302" s="36" t="s">
        <v>531</v>
      </c>
      <c r="C302" s="16" t="s">
        <v>1830</v>
      </c>
      <c r="D302" s="16" t="s">
        <v>1841</v>
      </c>
      <c r="E302" s="16" t="s">
        <v>1839</v>
      </c>
      <c r="F302" s="16" t="s">
        <v>48</v>
      </c>
      <c r="G302" s="16" t="s">
        <v>48</v>
      </c>
      <c r="H302" s="16" t="s">
        <v>48</v>
      </c>
      <c r="I302" s="16" t="s">
        <v>48</v>
      </c>
      <c r="J302" s="16" t="s">
        <v>48</v>
      </c>
      <c r="K302" s="16" t="s">
        <v>48</v>
      </c>
      <c r="L302" s="16" t="s">
        <v>48</v>
      </c>
      <c r="M302" s="16" t="s">
        <v>48</v>
      </c>
      <c r="N302" s="16">
        <v>27</v>
      </c>
      <c r="O302" s="16" t="s">
        <v>1831</v>
      </c>
      <c r="P302" s="15" t="s">
        <v>1837</v>
      </c>
      <c r="Q302" s="33" t="s">
        <v>1838</v>
      </c>
    </row>
    <row r="303" spans="1:17" ht="17.100000000000001" customHeight="1">
      <c r="A303" s="53">
        <v>45831</v>
      </c>
      <c r="B303" s="36" t="s">
        <v>531</v>
      </c>
      <c r="C303" s="16" t="s">
        <v>1830</v>
      </c>
      <c r="D303" s="16" t="s">
        <v>1841</v>
      </c>
      <c r="E303" s="16" t="s">
        <v>1840</v>
      </c>
      <c r="F303" s="16" t="s">
        <v>48</v>
      </c>
      <c r="G303" s="16" t="s">
        <v>48</v>
      </c>
      <c r="H303" s="16" t="s">
        <v>48</v>
      </c>
      <c r="I303" s="16" t="s">
        <v>48</v>
      </c>
      <c r="J303" s="16" t="s">
        <v>48</v>
      </c>
      <c r="K303" s="16" t="s">
        <v>48</v>
      </c>
      <c r="L303" s="16" t="s">
        <v>48</v>
      </c>
      <c r="M303" s="16" t="s">
        <v>48</v>
      </c>
      <c r="N303" s="16">
        <v>15</v>
      </c>
      <c r="O303" s="16" t="s">
        <v>1831</v>
      </c>
      <c r="P303" s="15" t="s">
        <v>1837</v>
      </c>
      <c r="Q303" s="33" t="s">
        <v>1838</v>
      </c>
    </row>
    <row r="304" spans="1:17" ht="17.100000000000001" customHeight="1">
      <c r="A304" s="53">
        <v>45831</v>
      </c>
      <c r="B304" s="36" t="s">
        <v>531</v>
      </c>
      <c r="C304" s="16" t="s">
        <v>1830</v>
      </c>
      <c r="D304" s="16" t="s">
        <v>1841</v>
      </c>
      <c r="E304" s="16" t="s">
        <v>1842</v>
      </c>
      <c r="F304" s="16" t="s">
        <v>48</v>
      </c>
      <c r="G304" s="16" t="s">
        <v>48</v>
      </c>
      <c r="H304" s="16" t="s">
        <v>48</v>
      </c>
      <c r="I304" s="16" t="s">
        <v>48</v>
      </c>
      <c r="J304" s="16" t="s">
        <v>48</v>
      </c>
      <c r="K304" s="16" t="s">
        <v>48</v>
      </c>
      <c r="L304" s="16" t="s">
        <v>48</v>
      </c>
      <c r="M304" s="16" t="s">
        <v>48</v>
      </c>
      <c r="N304" s="16">
        <v>27</v>
      </c>
      <c r="O304" s="16" t="s">
        <v>1831</v>
      </c>
      <c r="P304" s="15" t="s">
        <v>1837</v>
      </c>
      <c r="Q304" s="33" t="s">
        <v>1838</v>
      </c>
    </row>
    <row r="305" spans="1:17" ht="17.100000000000001" customHeight="1">
      <c r="A305" s="53">
        <v>45832</v>
      </c>
      <c r="B305" s="36" t="s">
        <v>531</v>
      </c>
      <c r="C305" s="16" t="s">
        <v>1847</v>
      </c>
      <c r="D305" s="16" t="s">
        <v>1841</v>
      </c>
      <c r="E305" s="16" t="s">
        <v>1843</v>
      </c>
      <c r="F305" s="16" t="s">
        <v>48</v>
      </c>
      <c r="G305" s="16" t="s">
        <v>48</v>
      </c>
      <c r="H305" s="16" t="s">
        <v>48</v>
      </c>
      <c r="I305" s="16" t="s">
        <v>48</v>
      </c>
      <c r="J305" s="16" t="s">
        <v>48</v>
      </c>
      <c r="K305" s="16" t="s">
        <v>48</v>
      </c>
      <c r="L305" s="16" t="s">
        <v>48</v>
      </c>
      <c r="M305" s="16" t="s">
        <v>48</v>
      </c>
      <c r="N305" s="16">
        <v>27</v>
      </c>
      <c r="O305" s="16" t="s">
        <v>1848</v>
      </c>
      <c r="P305" s="15" t="s">
        <v>1837</v>
      </c>
      <c r="Q305" s="33" t="s">
        <v>1838</v>
      </c>
    </row>
    <row r="306" spans="1:17" ht="17.100000000000001" customHeight="1">
      <c r="A306" s="53">
        <v>45832</v>
      </c>
      <c r="B306" s="36" t="s">
        <v>531</v>
      </c>
      <c r="C306" s="16" t="s">
        <v>1847</v>
      </c>
      <c r="D306" s="16" t="s">
        <v>1841</v>
      </c>
      <c r="E306" s="16" t="s">
        <v>1844</v>
      </c>
      <c r="F306" s="16" t="s">
        <v>48</v>
      </c>
      <c r="G306" s="16" t="s">
        <v>48</v>
      </c>
      <c r="H306" s="16" t="s">
        <v>48</v>
      </c>
      <c r="I306" s="16" t="s">
        <v>48</v>
      </c>
      <c r="J306" s="16" t="s">
        <v>48</v>
      </c>
      <c r="K306" s="16" t="s">
        <v>48</v>
      </c>
      <c r="L306" s="16" t="s">
        <v>48</v>
      </c>
      <c r="M306" s="16" t="s">
        <v>48</v>
      </c>
      <c r="N306" s="16">
        <v>27</v>
      </c>
      <c r="O306" s="16" t="s">
        <v>1848</v>
      </c>
      <c r="P306" s="15" t="s">
        <v>1837</v>
      </c>
      <c r="Q306" s="33" t="s">
        <v>1838</v>
      </c>
    </row>
    <row r="307" spans="1:17" ht="17.100000000000001" customHeight="1">
      <c r="A307" s="53">
        <v>45832</v>
      </c>
      <c r="B307" s="36" t="s">
        <v>531</v>
      </c>
      <c r="C307" s="16" t="s">
        <v>1847</v>
      </c>
      <c r="D307" s="16" t="s">
        <v>1841</v>
      </c>
      <c r="E307" s="16" t="s">
        <v>1844</v>
      </c>
      <c r="F307" s="16" t="s">
        <v>48</v>
      </c>
      <c r="G307" s="16" t="s">
        <v>48</v>
      </c>
      <c r="H307" s="16" t="s">
        <v>48</v>
      </c>
      <c r="I307" s="16" t="s">
        <v>48</v>
      </c>
      <c r="J307" s="16" t="s">
        <v>48</v>
      </c>
      <c r="K307" s="16" t="s">
        <v>48</v>
      </c>
      <c r="L307" s="16" t="s">
        <v>48</v>
      </c>
      <c r="M307" s="16" t="s">
        <v>48</v>
      </c>
      <c r="N307" s="16">
        <v>25</v>
      </c>
      <c r="O307" s="16" t="s">
        <v>1848</v>
      </c>
      <c r="P307" s="15" t="s">
        <v>1837</v>
      </c>
      <c r="Q307" s="33" t="s">
        <v>1838</v>
      </c>
    </row>
    <row r="308" spans="1:17" ht="17.100000000000001" customHeight="1">
      <c r="A308" s="53">
        <v>45832</v>
      </c>
      <c r="B308" s="36" t="s">
        <v>531</v>
      </c>
      <c r="C308" s="16" t="s">
        <v>1847</v>
      </c>
      <c r="D308" s="16" t="s">
        <v>1841</v>
      </c>
      <c r="E308" s="16" t="s">
        <v>1845</v>
      </c>
      <c r="F308" s="16" t="s">
        <v>48</v>
      </c>
      <c r="G308" s="16" t="s">
        <v>48</v>
      </c>
      <c r="H308" s="16" t="s">
        <v>48</v>
      </c>
      <c r="I308" s="16" t="s">
        <v>48</v>
      </c>
      <c r="J308" s="16" t="s">
        <v>48</v>
      </c>
      <c r="K308" s="16" t="s">
        <v>48</v>
      </c>
      <c r="L308" s="16" t="s">
        <v>48</v>
      </c>
      <c r="M308" s="16" t="s">
        <v>48</v>
      </c>
      <c r="N308" s="16">
        <v>27</v>
      </c>
      <c r="O308" s="16" t="s">
        <v>1848</v>
      </c>
      <c r="P308" s="15" t="s">
        <v>1837</v>
      </c>
      <c r="Q308" s="33" t="s">
        <v>1838</v>
      </c>
    </row>
    <row r="309" spans="1:17" ht="17.100000000000001" customHeight="1">
      <c r="A309" s="53">
        <v>45832</v>
      </c>
      <c r="B309" s="36" t="s">
        <v>531</v>
      </c>
      <c r="C309" s="16" t="s">
        <v>1847</v>
      </c>
      <c r="D309" s="16" t="s">
        <v>1841</v>
      </c>
      <c r="E309" s="16" t="s">
        <v>1843</v>
      </c>
      <c r="F309" s="16" t="s">
        <v>48</v>
      </c>
      <c r="G309" s="16" t="s">
        <v>48</v>
      </c>
      <c r="H309" s="16" t="s">
        <v>48</v>
      </c>
      <c r="I309" s="16" t="s">
        <v>48</v>
      </c>
      <c r="J309" s="16" t="s">
        <v>48</v>
      </c>
      <c r="K309" s="16" t="s">
        <v>48</v>
      </c>
      <c r="L309" s="16" t="s">
        <v>48</v>
      </c>
      <c r="M309" s="16" t="s">
        <v>48</v>
      </c>
      <c r="N309" s="16">
        <v>28</v>
      </c>
      <c r="O309" s="16" t="s">
        <v>1848</v>
      </c>
      <c r="P309" s="15" t="s">
        <v>1837</v>
      </c>
      <c r="Q309" s="33" t="s">
        <v>1838</v>
      </c>
    </row>
    <row r="310" spans="1:17" ht="17.100000000000001" customHeight="1">
      <c r="A310" s="53">
        <v>45832</v>
      </c>
      <c r="B310" s="36" t="s">
        <v>531</v>
      </c>
      <c r="C310" s="16" t="s">
        <v>1847</v>
      </c>
      <c r="D310" s="16" t="s">
        <v>1841</v>
      </c>
      <c r="E310" s="16" t="s">
        <v>1842</v>
      </c>
      <c r="F310" s="16" t="s">
        <v>48</v>
      </c>
      <c r="G310" s="16" t="s">
        <v>48</v>
      </c>
      <c r="H310" s="16" t="s">
        <v>48</v>
      </c>
      <c r="I310" s="16" t="s">
        <v>48</v>
      </c>
      <c r="J310" s="16" t="s">
        <v>48</v>
      </c>
      <c r="K310" s="16" t="s">
        <v>48</v>
      </c>
      <c r="L310" s="16" t="s">
        <v>48</v>
      </c>
      <c r="M310" s="16" t="s">
        <v>48</v>
      </c>
      <c r="N310" s="16">
        <v>27</v>
      </c>
      <c r="O310" s="16" t="s">
        <v>1848</v>
      </c>
      <c r="P310" s="15" t="s">
        <v>1837</v>
      </c>
      <c r="Q310" s="33" t="s">
        <v>1838</v>
      </c>
    </row>
    <row r="311" spans="1:17" ht="17.100000000000001" customHeight="1">
      <c r="A311" s="53">
        <v>45832</v>
      </c>
      <c r="B311" s="36" t="s">
        <v>531</v>
      </c>
      <c r="C311" s="16" t="s">
        <v>1847</v>
      </c>
      <c r="D311" s="16" t="s">
        <v>1841</v>
      </c>
      <c r="E311" s="16" t="s">
        <v>1846</v>
      </c>
      <c r="F311" s="16" t="s">
        <v>48</v>
      </c>
      <c r="G311" s="16" t="s">
        <v>48</v>
      </c>
      <c r="H311" s="16" t="s">
        <v>48</v>
      </c>
      <c r="I311" s="16" t="s">
        <v>48</v>
      </c>
      <c r="J311" s="16" t="s">
        <v>48</v>
      </c>
      <c r="K311" s="16" t="s">
        <v>48</v>
      </c>
      <c r="L311" s="16" t="s">
        <v>48</v>
      </c>
      <c r="M311" s="16" t="s">
        <v>48</v>
      </c>
      <c r="N311" s="16">
        <v>6</v>
      </c>
      <c r="O311" s="16" t="s">
        <v>1848</v>
      </c>
      <c r="P311" s="15" t="s">
        <v>1837</v>
      </c>
      <c r="Q311" s="33" t="s">
        <v>1838</v>
      </c>
    </row>
    <row r="312" spans="1:17" ht="17.100000000000001" customHeight="1">
      <c r="A312" s="53">
        <v>45832</v>
      </c>
      <c r="B312" s="36" t="s">
        <v>143</v>
      </c>
      <c r="C312" s="16" t="s">
        <v>1847</v>
      </c>
      <c r="D312" s="16" t="s">
        <v>1849</v>
      </c>
      <c r="E312" s="16" t="s">
        <v>48</v>
      </c>
      <c r="F312" s="16" t="s">
        <v>48</v>
      </c>
      <c r="G312" s="16" t="s">
        <v>48</v>
      </c>
      <c r="H312" s="16" t="s">
        <v>48</v>
      </c>
      <c r="I312" s="16" t="s">
        <v>48</v>
      </c>
      <c r="J312" s="16" t="s">
        <v>48</v>
      </c>
      <c r="K312" s="16" t="s">
        <v>48</v>
      </c>
      <c r="L312" s="16" t="s">
        <v>48</v>
      </c>
      <c r="M312" s="16" t="s">
        <v>48</v>
      </c>
      <c r="N312" s="16">
        <v>60</v>
      </c>
      <c r="O312" s="16" t="s">
        <v>1848</v>
      </c>
      <c r="P312" s="16" t="s">
        <v>1850</v>
      </c>
      <c r="Q312" s="32" t="s">
        <v>1851</v>
      </c>
    </row>
    <row r="313" spans="1:17" ht="17.100000000000001" customHeight="1">
      <c r="A313" s="53">
        <v>45832</v>
      </c>
      <c r="B313" s="36" t="s">
        <v>1326</v>
      </c>
      <c r="C313" s="16" t="s">
        <v>1847</v>
      </c>
      <c r="D313" s="16" t="s">
        <v>48</v>
      </c>
      <c r="E313" s="16" t="s">
        <v>48</v>
      </c>
      <c r="F313" s="16" t="s">
        <v>48</v>
      </c>
      <c r="G313" s="16" t="s">
        <v>48</v>
      </c>
      <c r="H313" s="16" t="s">
        <v>48</v>
      </c>
      <c r="I313" s="16" t="s">
        <v>48</v>
      </c>
      <c r="J313" s="16" t="s">
        <v>48</v>
      </c>
      <c r="K313" s="16" t="s">
        <v>48</v>
      </c>
      <c r="L313" s="16" t="s">
        <v>48</v>
      </c>
      <c r="M313" s="16" t="s">
        <v>48</v>
      </c>
      <c r="N313" s="16">
        <v>400</v>
      </c>
      <c r="O313" s="16" t="s">
        <v>55</v>
      </c>
      <c r="P313" s="16" t="s">
        <v>1857</v>
      </c>
      <c r="Q313" s="32" t="s">
        <v>1858</v>
      </c>
    </row>
    <row r="314" spans="1:17" ht="17.100000000000001" customHeight="1">
      <c r="A314" s="53">
        <v>45832</v>
      </c>
      <c r="B314" s="36" t="s">
        <v>28</v>
      </c>
      <c r="C314" s="16" t="s">
        <v>1847</v>
      </c>
      <c r="D314" s="16" t="s">
        <v>1852</v>
      </c>
      <c r="E314" s="16" t="s">
        <v>1853</v>
      </c>
      <c r="F314" s="16" t="s">
        <v>48</v>
      </c>
      <c r="G314" s="16" t="s">
        <v>48</v>
      </c>
      <c r="H314" s="16" t="s">
        <v>48</v>
      </c>
      <c r="I314" s="16" t="s">
        <v>48</v>
      </c>
      <c r="J314" s="16" t="s">
        <v>48</v>
      </c>
      <c r="K314" s="16" t="s">
        <v>48</v>
      </c>
      <c r="L314" s="16" t="s">
        <v>48</v>
      </c>
      <c r="M314" s="16" t="s">
        <v>48</v>
      </c>
      <c r="N314" s="16">
        <v>40</v>
      </c>
      <c r="O314" s="16" t="s">
        <v>1848</v>
      </c>
      <c r="P314" s="16" t="s">
        <v>1859</v>
      </c>
      <c r="Q314" s="32" t="s">
        <v>1860</v>
      </c>
    </row>
    <row r="315" spans="1:17" ht="17.100000000000001" customHeight="1">
      <c r="A315" s="53">
        <v>45832</v>
      </c>
      <c r="B315" s="36" t="s">
        <v>29</v>
      </c>
      <c r="C315" s="16" t="s">
        <v>1847</v>
      </c>
      <c r="D315" s="16" t="s">
        <v>1854</v>
      </c>
      <c r="E315" s="16" t="s">
        <v>48</v>
      </c>
      <c r="F315" s="16" t="s">
        <v>48</v>
      </c>
      <c r="G315" s="16" t="s">
        <v>48</v>
      </c>
      <c r="H315" s="16" t="s">
        <v>48</v>
      </c>
      <c r="I315" s="16" t="s">
        <v>48</v>
      </c>
      <c r="J315" s="16" t="s">
        <v>48</v>
      </c>
      <c r="K315" s="16" t="s">
        <v>48</v>
      </c>
      <c r="L315" s="16" t="s">
        <v>48</v>
      </c>
      <c r="M315" s="16" t="s">
        <v>48</v>
      </c>
      <c r="N315" s="16">
        <v>125</v>
      </c>
      <c r="O315" s="16" t="s">
        <v>1848</v>
      </c>
      <c r="P315" s="16" t="s">
        <v>1861</v>
      </c>
      <c r="Q315" s="32" t="s">
        <v>1862</v>
      </c>
    </row>
    <row r="316" spans="1:17" ht="17.100000000000001" customHeight="1">
      <c r="A316" s="53">
        <v>45832</v>
      </c>
      <c r="B316" s="36" t="s">
        <v>68</v>
      </c>
      <c r="C316" s="16" t="s">
        <v>1847</v>
      </c>
      <c r="D316" s="16" t="s">
        <v>1856</v>
      </c>
      <c r="E316" s="16" t="s">
        <v>1855</v>
      </c>
      <c r="F316" s="16" t="s">
        <v>48</v>
      </c>
      <c r="G316" s="16" t="s">
        <v>48</v>
      </c>
      <c r="H316" s="16" t="s">
        <v>48</v>
      </c>
      <c r="I316" s="16" t="s">
        <v>48</v>
      </c>
      <c r="J316" s="16" t="s">
        <v>48</v>
      </c>
      <c r="K316" s="16" t="s">
        <v>48</v>
      </c>
      <c r="L316" s="16" t="s">
        <v>48</v>
      </c>
      <c r="M316" s="16" t="s">
        <v>48</v>
      </c>
      <c r="N316" s="16">
        <v>125</v>
      </c>
      <c r="O316" s="16" t="s">
        <v>55</v>
      </c>
      <c r="P316" s="16" t="s">
        <v>1863</v>
      </c>
      <c r="Q316" s="32" t="s">
        <v>1864</v>
      </c>
    </row>
    <row r="317" spans="1:17" ht="17.100000000000001" customHeight="1">
      <c r="A317" s="53">
        <v>45832</v>
      </c>
      <c r="B317" s="36" t="s">
        <v>907</v>
      </c>
      <c r="C317" s="16" t="s">
        <v>1847</v>
      </c>
      <c r="D317" s="16" t="s">
        <v>48</v>
      </c>
      <c r="E317" s="16" t="s">
        <v>48</v>
      </c>
      <c r="F317" s="16" t="s">
        <v>48</v>
      </c>
      <c r="G317" s="16" t="s">
        <v>48</v>
      </c>
      <c r="H317" s="16" t="s">
        <v>48</v>
      </c>
      <c r="I317" s="16" t="s">
        <v>48</v>
      </c>
      <c r="J317" s="16" t="s">
        <v>48</v>
      </c>
      <c r="K317" s="16" t="s">
        <v>48</v>
      </c>
      <c r="L317" s="16" t="s">
        <v>48</v>
      </c>
      <c r="M317" s="16" t="s">
        <v>1867</v>
      </c>
      <c r="N317" s="16">
        <v>10</v>
      </c>
      <c r="O317" s="16" t="s">
        <v>55</v>
      </c>
      <c r="P317" s="16" t="s">
        <v>1865</v>
      </c>
      <c r="Q317" s="32" t="s">
        <v>1866</v>
      </c>
    </row>
    <row r="318" spans="1:17" ht="17.100000000000001" customHeight="1">
      <c r="A318" s="53">
        <v>45832</v>
      </c>
      <c r="B318" s="36" t="s">
        <v>214</v>
      </c>
      <c r="C318" s="16" t="s">
        <v>1847</v>
      </c>
      <c r="D318" s="16" t="s">
        <v>48</v>
      </c>
      <c r="E318" s="16" t="s">
        <v>48</v>
      </c>
      <c r="F318" s="16" t="s">
        <v>48</v>
      </c>
      <c r="G318" s="16" t="s">
        <v>48</v>
      </c>
      <c r="H318" s="16" t="s">
        <v>48</v>
      </c>
      <c r="I318" s="16" t="s">
        <v>48</v>
      </c>
      <c r="J318" s="16" t="s">
        <v>48</v>
      </c>
      <c r="K318" s="16" t="s">
        <v>48</v>
      </c>
      <c r="L318" s="16" t="s">
        <v>48</v>
      </c>
      <c r="M318" s="16" t="s">
        <v>48</v>
      </c>
      <c r="N318" s="16">
        <v>100</v>
      </c>
      <c r="O318" s="16" t="s">
        <v>1874</v>
      </c>
      <c r="P318" s="16" t="s">
        <v>1868</v>
      </c>
      <c r="Q318" s="32" t="s">
        <v>1869</v>
      </c>
    </row>
    <row r="319" spans="1:17" ht="17.100000000000001" customHeight="1">
      <c r="A319" s="53">
        <v>45832</v>
      </c>
      <c r="B319" s="36" t="s">
        <v>39</v>
      </c>
      <c r="C319" s="16" t="s">
        <v>1847</v>
      </c>
      <c r="D319" s="16" t="s">
        <v>48</v>
      </c>
      <c r="E319" s="16" t="s">
        <v>48</v>
      </c>
      <c r="F319" s="16" t="s">
        <v>48</v>
      </c>
      <c r="G319" s="16" t="s">
        <v>48</v>
      </c>
      <c r="H319" s="16" t="s">
        <v>48</v>
      </c>
      <c r="I319" s="16" t="s">
        <v>48</v>
      </c>
      <c r="J319" s="16" t="s">
        <v>48</v>
      </c>
      <c r="K319" s="16" t="s">
        <v>48</v>
      </c>
      <c r="L319" s="16" t="s">
        <v>48</v>
      </c>
      <c r="M319" s="16" t="s">
        <v>48</v>
      </c>
      <c r="N319" s="16">
        <v>50</v>
      </c>
      <c r="O319" s="16" t="s">
        <v>1874</v>
      </c>
      <c r="P319" s="16" t="s">
        <v>1870</v>
      </c>
      <c r="Q319" s="32" t="s">
        <v>1871</v>
      </c>
    </row>
    <row r="320" spans="1:17" ht="17.100000000000001" customHeight="1">
      <c r="A320" s="53">
        <v>45832</v>
      </c>
      <c r="B320" s="36" t="s">
        <v>338</v>
      </c>
      <c r="C320" s="16" t="s">
        <v>1847</v>
      </c>
      <c r="D320" s="16" t="s">
        <v>48</v>
      </c>
      <c r="E320" s="16" t="s">
        <v>48</v>
      </c>
      <c r="F320" s="16" t="s">
        <v>48</v>
      </c>
      <c r="G320" s="16" t="s">
        <v>48</v>
      </c>
      <c r="H320" s="16" t="s">
        <v>48</v>
      </c>
      <c r="I320" s="16" t="s">
        <v>48</v>
      </c>
      <c r="J320" s="16" t="s">
        <v>48</v>
      </c>
      <c r="K320" s="16" t="s">
        <v>48</v>
      </c>
      <c r="L320" s="16" t="s">
        <v>48</v>
      </c>
      <c r="M320" s="16" t="s">
        <v>48</v>
      </c>
      <c r="N320" s="16">
        <v>1000</v>
      </c>
      <c r="O320" s="16" t="s">
        <v>1874</v>
      </c>
      <c r="P320" s="16" t="s">
        <v>1872</v>
      </c>
      <c r="Q320" s="32" t="s">
        <v>1873</v>
      </c>
    </row>
    <row r="321" spans="1:17" ht="17.100000000000001" customHeight="1">
      <c r="A321" s="53">
        <v>45832</v>
      </c>
      <c r="B321" s="36" t="s">
        <v>114</v>
      </c>
      <c r="C321" s="16" t="s">
        <v>1847</v>
      </c>
      <c r="D321" s="16" t="s">
        <v>48</v>
      </c>
      <c r="E321" s="16" t="s">
        <v>48</v>
      </c>
      <c r="F321" s="16" t="s">
        <v>48</v>
      </c>
      <c r="G321" s="16" t="s">
        <v>48</v>
      </c>
      <c r="H321" s="16" t="s">
        <v>48</v>
      </c>
      <c r="I321" s="16" t="s">
        <v>48</v>
      </c>
      <c r="J321" s="16" t="s">
        <v>48</v>
      </c>
      <c r="K321" s="16" t="s">
        <v>48</v>
      </c>
      <c r="L321" s="16" t="s">
        <v>48</v>
      </c>
      <c r="M321" s="16" t="s">
        <v>48</v>
      </c>
      <c r="N321" s="16">
        <v>12</v>
      </c>
      <c r="O321" s="16" t="s">
        <v>55</v>
      </c>
      <c r="P321" s="16" t="s">
        <v>1875</v>
      </c>
      <c r="Q321" s="32"/>
    </row>
    <row r="322" spans="1:17" ht="17.100000000000001" customHeight="1">
      <c r="A322" s="53">
        <v>45833</v>
      </c>
      <c r="B322" s="36" t="s">
        <v>62</v>
      </c>
      <c r="C322" s="16" t="s">
        <v>1878</v>
      </c>
      <c r="D322" s="16" t="s">
        <v>1879</v>
      </c>
      <c r="E322" s="16" t="s">
        <v>48</v>
      </c>
      <c r="F322" s="16" t="s">
        <v>48</v>
      </c>
      <c r="G322" s="16" t="s">
        <v>48</v>
      </c>
      <c r="H322" s="16" t="s">
        <v>48</v>
      </c>
      <c r="I322" s="16" t="s">
        <v>48</v>
      </c>
      <c r="J322" s="16" t="s">
        <v>48</v>
      </c>
      <c r="K322" s="16" t="s">
        <v>48</v>
      </c>
      <c r="L322" s="16" t="s">
        <v>48</v>
      </c>
      <c r="M322" s="16" t="s">
        <v>48</v>
      </c>
      <c r="N322" s="16">
        <v>12</v>
      </c>
      <c r="O322" s="16" t="s">
        <v>1880</v>
      </c>
      <c r="P322" s="16" t="s">
        <v>1876</v>
      </c>
      <c r="Q322" s="32" t="s">
        <v>1877</v>
      </c>
    </row>
    <row r="323" spans="1:17" ht="17.100000000000001" customHeight="1">
      <c r="A323" s="53">
        <v>45833</v>
      </c>
      <c r="B323" s="36" t="s">
        <v>654</v>
      </c>
      <c r="C323" s="16" t="s">
        <v>1878</v>
      </c>
      <c r="D323" s="16" t="s">
        <v>905</v>
      </c>
      <c r="E323" s="16" t="s">
        <v>1881</v>
      </c>
      <c r="F323" s="16" t="s">
        <v>48</v>
      </c>
      <c r="G323" s="16" t="s">
        <v>48</v>
      </c>
      <c r="H323" s="16" t="s">
        <v>48</v>
      </c>
      <c r="I323" s="16" t="s">
        <v>48</v>
      </c>
      <c r="J323" s="16" t="s">
        <v>48</v>
      </c>
      <c r="K323" s="16" t="s">
        <v>48</v>
      </c>
      <c r="L323" s="16" t="s">
        <v>48</v>
      </c>
      <c r="M323" s="16" t="s">
        <v>48</v>
      </c>
      <c r="N323" s="16">
        <v>1</v>
      </c>
      <c r="O323" s="16" t="s">
        <v>55</v>
      </c>
      <c r="P323" s="16" t="s">
        <v>1883</v>
      </c>
      <c r="Q323" s="32" t="s">
        <v>1884</v>
      </c>
    </row>
    <row r="324" spans="1:17" ht="17.100000000000001" customHeight="1">
      <c r="A324" s="53">
        <v>45833</v>
      </c>
      <c r="B324" s="36" t="s">
        <v>1407</v>
      </c>
      <c r="C324" s="16" t="s">
        <v>48</v>
      </c>
      <c r="D324" s="16" t="s">
        <v>48</v>
      </c>
      <c r="E324" s="16" t="s">
        <v>48</v>
      </c>
      <c r="F324" s="16" t="s">
        <v>48</v>
      </c>
      <c r="G324" s="16" t="s">
        <v>48</v>
      </c>
      <c r="H324" s="16" t="s">
        <v>48</v>
      </c>
      <c r="I324" s="16" t="s">
        <v>48</v>
      </c>
      <c r="J324" s="16" t="s">
        <v>48</v>
      </c>
      <c r="K324" s="16" t="s">
        <v>48</v>
      </c>
      <c r="L324" s="16" t="s">
        <v>48</v>
      </c>
      <c r="M324" s="16" t="s">
        <v>1558</v>
      </c>
      <c r="N324" s="16">
        <v>40</v>
      </c>
      <c r="O324" s="16" t="s">
        <v>1279</v>
      </c>
      <c r="P324" s="16" t="s">
        <v>1882</v>
      </c>
      <c r="Q324" s="32" t="s">
        <v>1885</v>
      </c>
    </row>
    <row r="325" spans="1:17" ht="17.100000000000001" customHeight="1">
      <c r="A325" s="53">
        <v>45833</v>
      </c>
      <c r="B325" s="36" t="s">
        <v>222</v>
      </c>
      <c r="C325" s="16" t="s">
        <v>48</v>
      </c>
      <c r="D325" s="16" t="s">
        <v>48</v>
      </c>
      <c r="E325" s="16" t="s">
        <v>48</v>
      </c>
      <c r="F325" s="16" t="s">
        <v>48</v>
      </c>
      <c r="G325" s="16" t="s">
        <v>48</v>
      </c>
      <c r="H325" s="16" t="s">
        <v>48</v>
      </c>
      <c r="I325" s="16" t="s">
        <v>48</v>
      </c>
      <c r="J325" s="16" t="s">
        <v>48</v>
      </c>
      <c r="K325" s="16" t="s">
        <v>48</v>
      </c>
      <c r="L325" s="16" t="s">
        <v>48</v>
      </c>
      <c r="M325" s="16" t="s">
        <v>1886</v>
      </c>
      <c r="N325" s="16">
        <v>4</v>
      </c>
      <c r="O325" s="16" t="s">
        <v>55</v>
      </c>
      <c r="P325" s="16" t="s">
        <v>1887</v>
      </c>
      <c r="Q325" s="32" t="s">
        <v>1888</v>
      </c>
    </row>
    <row r="326" spans="1:17" ht="17.100000000000001" customHeight="1">
      <c r="A326" s="53">
        <v>45833</v>
      </c>
      <c r="B326" s="36" t="s">
        <v>1154</v>
      </c>
      <c r="C326" s="16" t="s">
        <v>1878</v>
      </c>
      <c r="D326" s="16" t="s">
        <v>1889</v>
      </c>
      <c r="E326" s="16" t="s">
        <v>1890</v>
      </c>
      <c r="F326" s="16" t="s">
        <v>48</v>
      </c>
      <c r="G326" s="16" t="s">
        <v>48</v>
      </c>
      <c r="H326" s="16" t="s">
        <v>48</v>
      </c>
      <c r="I326" s="16" t="s">
        <v>48</v>
      </c>
      <c r="J326" s="16" t="s">
        <v>48</v>
      </c>
      <c r="K326" s="16" t="s">
        <v>48</v>
      </c>
      <c r="L326" s="16" t="s">
        <v>48</v>
      </c>
      <c r="M326" s="16" t="s">
        <v>48</v>
      </c>
      <c r="N326" s="16">
        <v>220</v>
      </c>
      <c r="O326" s="16" t="s">
        <v>1880</v>
      </c>
      <c r="P326" s="16" t="s">
        <v>1893</v>
      </c>
      <c r="Q326" s="32" t="s">
        <v>1894</v>
      </c>
    </row>
    <row r="327" spans="1:17" ht="17.100000000000001" customHeight="1">
      <c r="A327" s="53">
        <v>45833</v>
      </c>
      <c r="B327" s="36" t="s">
        <v>1154</v>
      </c>
      <c r="C327" s="16" t="s">
        <v>1878</v>
      </c>
      <c r="D327" s="16" t="s">
        <v>1879</v>
      </c>
      <c r="E327" s="16" t="s">
        <v>1890</v>
      </c>
      <c r="F327" s="16" t="s">
        <v>48</v>
      </c>
      <c r="G327" s="16" t="s">
        <v>48</v>
      </c>
      <c r="H327" s="16" t="s">
        <v>48</v>
      </c>
      <c r="I327" s="16" t="s">
        <v>48</v>
      </c>
      <c r="J327" s="16" t="s">
        <v>48</v>
      </c>
      <c r="K327" s="16" t="s">
        <v>48</v>
      </c>
      <c r="L327" s="16" t="s">
        <v>48</v>
      </c>
      <c r="M327" s="16" t="s">
        <v>48</v>
      </c>
      <c r="N327" s="16">
        <v>20</v>
      </c>
      <c r="O327" s="16" t="s">
        <v>1880</v>
      </c>
      <c r="P327" s="16" t="s">
        <v>1893</v>
      </c>
      <c r="Q327" s="32" t="s">
        <v>1894</v>
      </c>
    </row>
    <row r="328" spans="1:17" ht="17.100000000000001" customHeight="1">
      <c r="A328" s="53">
        <v>45833</v>
      </c>
      <c r="B328" s="36" t="s">
        <v>29</v>
      </c>
      <c r="C328" s="16" t="s">
        <v>1878</v>
      </c>
      <c r="D328" s="16" t="s">
        <v>1895</v>
      </c>
      <c r="E328" s="16" t="s">
        <v>48</v>
      </c>
      <c r="F328" s="16" t="s">
        <v>48</v>
      </c>
      <c r="G328" s="16" t="s">
        <v>48</v>
      </c>
      <c r="H328" s="16" t="s">
        <v>48</v>
      </c>
      <c r="I328" s="16" t="s">
        <v>48</v>
      </c>
      <c r="J328" s="16" t="s">
        <v>48</v>
      </c>
      <c r="K328" s="16" t="s">
        <v>48</v>
      </c>
      <c r="L328" s="16" t="s">
        <v>48</v>
      </c>
      <c r="M328" s="16" t="s">
        <v>48</v>
      </c>
      <c r="N328" s="16">
        <v>200</v>
      </c>
      <c r="O328" s="16" t="s">
        <v>1880</v>
      </c>
      <c r="P328" s="16" t="s">
        <v>1891</v>
      </c>
      <c r="Q328" s="32" t="s">
        <v>1892</v>
      </c>
    </row>
    <row r="329" spans="1:17" ht="17.100000000000001" customHeight="1">
      <c r="A329" s="53">
        <v>45833</v>
      </c>
      <c r="B329" s="36" t="s">
        <v>29</v>
      </c>
      <c r="C329" s="16" t="s">
        <v>1878</v>
      </c>
      <c r="D329" s="16" t="s">
        <v>1896</v>
      </c>
      <c r="E329" s="16" t="s">
        <v>48</v>
      </c>
      <c r="F329" s="16" t="s">
        <v>48</v>
      </c>
      <c r="G329" s="16" t="s">
        <v>48</v>
      </c>
      <c r="H329" s="16" t="s">
        <v>48</v>
      </c>
      <c r="I329" s="16" t="s">
        <v>48</v>
      </c>
      <c r="J329" s="16" t="s">
        <v>48</v>
      </c>
      <c r="K329" s="16" t="s">
        <v>48</v>
      </c>
      <c r="L329" s="16" t="s">
        <v>48</v>
      </c>
      <c r="M329" s="16" t="s">
        <v>48</v>
      </c>
      <c r="N329" s="16">
        <v>200</v>
      </c>
      <c r="O329" s="16" t="s">
        <v>1880</v>
      </c>
      <c r="P329" s="16" t="s">
        <v>1891</v>
      </c>
      <c r="Q329" s="32" t="s">
        <v>1892</v>
      </c>
    </row>
    <row r="330" spans="1:17" ht="17.100000000000001" customHeight="1">
      <c r="A330" s="53">
        <v>45833</v>
      </c>
      <c r="B330" s="36" t="s">
        <v>29</v>
      </c>
      <c r="C330" s="16" t="s">
        <v>1878</v>
      </c>
      <c r="D330" s="16" t="s">
        <v>1897</v>
      </c>
      <c r="E330" s="16" t="s">
        <v>48</v>
      </c>
      <c r="F330" s="16" t="s">
        <v>48</v>
      </c>
      <c r="G330" s="16" t="s">
        <v>48</v>
      </c>
      <c r="H330" s="16" t="s">
        <v>48</v>
      </c>
      <c r="I330" s="16" t="s">
        <v>48</v>
      </c>
      <c r="J330" s="16" t="s">
        <v>48</v>
      </c>
      <c r="K330" s="16" t="s">
        <v>48</v>
      </c>
      <c r="L330" s="16" t="s">
        <v>48</v>
      </c>
      <c r="M330" s="16" t="s">
        <v>48</v>
      </c>
      <c r="N330" s="16">
        <v>100</v>
      </c>
      <c r="O330" s="16" t="s">
        <v>1880</v>
      </c>
      <c r="P330" s="16" t="s">
        <v>1891</v>
      </c>
      <c r="Q330" s="32" t="s">
        <v>1892</v>
      </c>
    </row>
    <row r="331" spans="1:17" ht="17.100000000000001" customHeight="1">
      <c r="A331" s="53">
        <v>45833</v>
      </c>
      <c r="B331" s="36" t="s">
        <v>162</v>
      </c>
      <c r="C331" s="16" t="s">
        <v>1878</v>
      </c>
      <c r="D331" s="16" t="s">
        <v>1852</v>
      </c>
      <c r="E331" s="16" t="s">
        <v>1900</v>
      </c>
      <c r="F331" s="16" t="s">
        <v>48</v>
      </c>
      <c r="G331" s="16" t="s">
        <v>48</v>
      </c>
      <c r="H331" s="16" t="s">
        <v>48</v>
      </c>
      <c r="I331" s="16" t="s">
        <v>48</v>
      </c>
      <c r="J331" s="16" t="s">
        <v>48</v>
      </c>
      <c r="K331" s="16" t="s">
        <v>48</v>
      </c>
      <c r="L331" s="16" t="s">
        <v>48</v>
      </c>
      <c r="M331" s="16" t="s">
        <v>48</v>
      </c>
      <c r="N331" s="16">
        <v>40</v>
      </c>
      <c r="O331" s="16" t="s">
        <v>1880</v>
      </c>
      <c r="P331" s="16" t="s">
        <v>1898</v>
      </c>
      <c r="Q331" s="32" t="s">
        <v>1899</v>
      </c>
    </row>
    <row r="332" spans="1:17" ht="17.100000000000001" customHeight="1">
      <c r="A332" s="53">
        <v>45834</v>
      </c>
      <c r="B332" s="36" t="s">
        <v>29</v>
      </c>
      <c r="C332" s="16" t="s">
        <v>1901</v>
      </c>
      <c r="D332" s="16" t="s">
        <v>1897</v>
      </c>
      <c r="E332" s="16" t="s">
        <v>48</v>
      </c>
      <c r="F332" s="16" t="s">
        <v>48</v>
      </c>
      <c r="G332" s="16" t="s">
        <v>48</v>
      </c>
      <c r="H332" s="16" t="s">
        <v>48</v>
      </c>
      <c r="I332" s="16" t="s">
        <v>48</v>
      </c>
      <c r="J332" s="16" t="s">
        <v>48</v>
      </c>
      <c r="K332" s="16" t="s">
        <v>48</v>
      </c>
      <c r="L332" s="16" t="s">
        <v>48</v>
      </c>
      <c r="M332" s="16" t="s">
        <v>48</v>
      </c>
      <c r="N332" s="16">
        <v>100</v>
      </c>
      <c r="O332" s="16" t="s">
        <v>1903</v>
      </c>
      <c r="P332" s="16" t="s">
        <v>1891</v>
      </c>
      <c r="Q332" s="32" t="s">
        <v>1892</v>
      </c>
    </row>
    <row r="333" spans="1:17" ht="17.100000000000001" customHeight="1">
      <c r="A333" s="53">
        <v>45834</v>
      </c>
      <c r="B333" s="36" t="s">
        <v>29</v>
      </c>
      <c r="C333" s="16" t="s">
        <v>1901</v>
      </c>
      <c r="D333" s="16" t="s">
        <v>1902</v>
      </c>
      <c r="E333" s="16" t="s">
        <v>48</v>
      </c>
      <c r="F333" s="16" t="s">
        <v>48</v>
      </c>
      <c r="G333" s="16" t="s">
        <v>48</v>
      </c>
      <c r="H333" s="16" t="s">
        <v>48</v>
      </c>
      <c r="I333" s="16" t="s">
        <v>48</v>
      </c>
      <c r="J333" s="16" t="s">
        <v>48</v>
      </c>
      <c r="K333" s="16" t="s">
        <v>48</v>
      </c>
      <c r="L333" s="16" t="s">
        <v>48</v>
      </c>
      <c r="M333" s="16" t="s">
        <v>48</v>
      </c>
      <c r="N333" s="16">
        <v>15</v>
      </c>
      <c r="O333" s="16" t="s">
        <v>1903</v>
      </c>
      <c r="P333" s="16" t="s">
        <v>1891</v>
      </c>
      <c r="Q333" s="32" t="s">
        <v>1892</v>
      </c>
    </row>
    <row r="334" spans="1:17" ht="17.100000000000001" customHeight="1">
      <c r="A334" s="53">
        <v>45834</v>
      </c>
      <c r="B334" s="36" t="s">
        <v>29</v>
      </c>
      <c r="C334" s="16" t="s">
        <v>1901</v>
      </c>
      <c r="D334" s="16" t="s">
        <v>1896</v>
      </c>
      <c r="E334" s="16" t="s">
        <v>48</v>
      </c>
      <c r="F334" s="16" t="s">
        <v>48</v>
      </c>
      <c r="G334" s="16" t="s">
        <v>48</v>
      </c>
      <c r="H334" s="16" t="s">
        <v>48</v>
      </c>
      <c r="I334" s="16" t="s">
        <v>48</v>
      </c>
      <c r="J334" s="16" t="s">
        <v>48</v>
      </c>
      <c r="K334" s="16" t="s">
        <v>48</v>
      </c>
      <c r="L334" s="16" t="s">
        <v>48</v>
      </c>
      <c r="M334" s="16" t="s">
        <v>48</v>
      </c>
      <c r="N334" s="16">
        <v>10</v>
      </c>
      <c r="O334" s="16" t="s">
        <v>1903</v>
      </c>
      <c r="P334" s="16" t="s">
        <v>1891</v>
      </c>
      <c r="Q334" s="32" t="s">
        <v>1892</v>
      </c>
    </row>
    <row r="335" spans="1:17" ht="17.100000000000001" customHeight="1">
      <c r="A335" s="53">
        <v>45834</v>
      </c>
      <c r="B335" s="36" t="s">
        <v>1407</v>
      </c>
      <c r="C335" s="16" t="s">
        <v>1901</v>
      </c>
      <c r="D335" s="16" t="s">
        <v>48</v>
      </c>
      <c r="E335" s="16" t="s">
        <v>48</v>
      </c>
      <c r="F335" s="16" t="s">
        <v>48</v>
      </c>
      <c r="G335" s="16" t="s">
        <v>48</v>
      </c>
      <c r="H335" s="16" t="s">
        <v>48</v>
      </c>
      <c r="I335" s="16" t="s">
        <v>48</v>
      </c>
      <c r="J335" s="16" t="s">
        <v>48</v>
      </c>
      <c r="K335" s="16" t="s">
        <v>48</v>
      </c>
      <c r="L335" s="16" t="s">
        <v>48</v>
      </c>
      <c r="M335" s="16">
        <v>24726</v>
      </c>
      <c r="N335" s="16">
        <v>160</v>
      </c>
      <c r="O335" s="16" t="s">
        <v>1903</v>
      </c>
      <c r="P335" s="16" t="s">
        <v>1882</v>
      </c>
      <c r="Q335" s="32" t="s">
        <v>1885</v>
      </c>
    </row>
    <row r="336" spans="1:17" ht="17.100000000000001" customHeight="1">
      <c r="A336" s="53">
        <v>45834</v>
      </c>
      <c r="B336" s="36" t="s">
        <v>168</v>
      </c>
      <c r="C336" s="16" t="s">
        <v>48</v>
      </c>
      <c r="D336" s="16" t="s">
        <v>48</v>
      </c>
      <c r="E336" s="16" t="s">
        <v>48</v>
      </c>
      <c r="F336" s="16" t="s">
        <v>48</v>
      </c>
      <c r="G336" s="16" t="s">
        <v>48</v>
      </c>
      <c r="H336" s="16" t="s">
        <v>48</v>
      </c>
      <c r="I336" s="16" t="s">
        <v>48</v>
      </c>
      <c r="J336" s="16" t="s">
        <v>48</v>
      </c>
      <c r="K336" s="16" t="s">
        <v>48</v>
      </c>
      <c r="L336" s="16" t="s">
        <v>48</v>
      </c>
      <c r="M336" s="16" t="s">
        <v>48</v>
      </c>
      <c r="N336" s="16">
        <v>250</v>
      </c>
      <c r="O336" s="16" t="s">
        <v>546</v>
      </c>
      <c r="P336" s="16" t="s">
        <v>1904</v>
      </c>
      <c r="Q336" s="32" t="s">
        <v>1905</v>
      </c>
    </row>
    <row r="337" spans="1:17" ht="17.100000000000001" customHeight="1">
      <c r="A337" s="53">
        <v>45834</v>
      </c>
      <c r="B337" s="36" t="s">
        <v>162</v>
      </c>
      <c r="C337" s="16" t="s">
        <v>1901</v>
      </c>
      <c r="D337" s="16" t="s">
        <v>1889</v>
      </c>
      <c r="E337" s="16" t="s">
        <v>1906</v>
      </c>
      <c r="F337" s="16" t="s">
        <v>48</v>
      </c>
      <c r="G337" s="16" t="s">
        <v>48</v>
      </c>
      <c r="H337" s="16" t="s">
        <v>48</v>
      </c>
      <c r="I337" s="16" t="s">
        <v>48</v>
      </c>
      <c r="J337" s="16" t="s">
        <v>48</v>
      </c>
      <c r="K337" s="16" t="s">
        <v>48</v>
      </c>
      <c r="L337" s="16" t="s">
        <v>48</v>
      </c>
      <c r="M337" s="16" t="s">
        <v>48</v>
      </c>
      <c r="N337" s="16">
        <v>40</v>
      </c>
      <c r="O337" s="16" t="s">
        <v>546</v>
      </c>
      <c r="P337" s="16" t="s">
        <v>1898</v>
      </c>
      <c r="Q337" s="32" t="s">
        <v>1899</v>
      </c>
    </row>
    <row r="338" spans="1:17" ht="17.100000000000001" customHeight="1">
      <c r="A338" s="53">
        <v>45834</v>
      </c>
      <c r="B338" s="36" t="s">
        <v>1317</v>
      </c>
      <c r="C338" s="16" t="s">
        <v>1901</v>
      </c>
      <c r="D338" s="16" t="s">
        <v>1890</v>
      </c>
      <c r="E338" s="16" t="s">
        <v>48</v>
      </c>
      <c r="F338" s="16" t="s">
        <v>48</v>
      </c>
      <c r="G338" s="16" t="s">
        <v>48</v>
      </c>
      <c r="H338" s="16" t="s">
        <v>48</v>
      </c>
      <c r="I338" s="16" t="s">
        <v>48</v>
      </c>
      <c r="J338" s="16" t="s">
        <v>48</v>
      </c>
      <c r="K338" s="16" t="s">
        <v>48</v>
      </c>
      <c r="L338" s="16" t="s">
        <v>48</v>
      </c>
      <c r="M338" s="16" t="s">
        <v>48</v>
      </c>
      <c r="N338" s="16">
        <v>80</v>
      </c>
      <c r="O338" s="16" t="s">
        <v>546</v>
      </c>
      <c r="P338" s="16" t="s">
        <v>1907</v>
      </c>
      <c r="Q338" s="32" t="s">
        <v>1908</v>
      </c>
    </row>
    <row r="339" spans="1:17" ht="17.100000000000001" customHeight="1">
      <c r="A339" s="53">
        <v>45834</v>
      </c>
      <c r="B339" s="36" t="s">
        <v>440</v>
      </c>
      <c r="C339" s="16" t="s">
        <v>1901</v>
      </c>
      <c r="D339" s="16" t="s">
        <v>1909</v>
      </c>
      <c r="E339" s="16" t="s">
        <v>1910</v>
      </c>
      <c r="F339" s="16" t="s">
        <v>48</v>
      </c>
      <c r="G339" s="16" t="s">
        <v>48</v>
      </c>
      <c r="H339" s="16" t="s">
        <v>48</v>
      </c>
      <c r="I339" s="16" t="s">
        <v>48</v>
      </c>
      <c r="J339" s="16" t="s">
        <v>48</v>
      </c>
      <c r="K339" s="16" t="s">
        <v>48</v>
      </c>
      <c r="L339" s="16" t="s">
        <v>48</v>
      </c>
      <c r="M339" s="16" t="s">
        <v>48</v>
      </c>
      <c r="N339" s="16">
        <v>68</v>
      </c>
      <c r="O339" s="16" t="s">
        <v>546</v>
      </c>
      <c r="P339" s="16" t="s">
        <v>1912</v>
      </c>
      <c r="Q339" s="32" t="s">
        <v>1913</v>
      </c>
    </row>
    <row r="340" spans="1:17" ht="17.100000000000001" customHeight="1">
      <c r="A340" s="53">
        <v>45834</v>
      </c>
      <c r="B340" s="36" t="s">
        <v>440</v>
      </c>
      <c r="C340" s="16" t="s">
        <v>1901</v>
      </c>
      <c r="D340" s="16" t="s">
        <v>1909</v>
      </c>
      <c r="E340" s="16" t="s">
        <v>1911</v>
      </c>
      <c r="F340" s="16" t="s">
        <v>48</v>
      </c>
      <c r="G340" s="16" t="s">
        <v>48</v>
      </c>
      <c r="H340" s="16" t="s">
        <v>48</v>
      </c>
      <c r="I340" s="16" t="s">
        <v>48</v>
      </c>
      <c r="J340" s="16" t="s">
        <v>48</v>
      </c>
      <c r="K340" s="16" t="s">
        <v>48</v>
      </c>
      <c r="L340" s="16" t="s">
        <v>48</v>
      </c>
      <c r="M340" s="16" t="s">
        <v>48</v>
      </c>
      <c r="N340" s="16">
        <f>90/2</f>
        <v>45</v>
      </c>
      <c r="O340" s="16" t="s">
        <v>546</v>
      </c>
      <c r="P340" s="16" t="s">
        <v>1912</v>
      </c>
      <c r="Q340" s="32" t="s">
        <v>1913</v>
      </c>
    </row>
    <row r="341" spans="1:17" ht="17.100000000000001" customHeight="1">
      <c r="A341" s="53">
        <v>45834</v>
      </c>
      <c r="B341" s="36" t="s">
        <v>440</v>
      </c>
      <c r="C341" s="16" t="s">
        <v>1901</v>
      </c>
      <c r="D341" s="16" t="s">
        <v>1909</v>
      </c>
      <c r="E341" s="16" t="s">
        <v>1918</v>
      </c>
      <c r="F341" s="16" t="s">
        <v>48</v>
      </c>
      <c r="G341" s="16" t="s">
        <v>48</v>
      </c>
      <c r="H341" s="16" t="s">
        <v>48</v>
      </c>
      <c r="I341" s="16" t="s">
        <v>48</v>
      </c>
      <c r="J341" s="16" t="s">
        <v>48</v>
      </c>
      <c r="K341" s="16" t="s">
        <v>48</v>
      </c>
      <c r="L341" s="16" t="s">
        <v>48</v>
      </c>
      <c r="M341" s="16" t="s">
        <v>48</v>
      </c>
      <c r="N341" s="16">
        <f>108/2</f>
        <v>54</v>
      </c>
      <c r="O341" s="16" t="s">
        <v>546</v>
      </c>
      <c r="P341" s="16" t="s">
        <v>1912</v>
      </c>
      <c r="Q341" s="32" t="s">
        <v>1913</v>
      </c>
    </row>
    <row r="342" spans="1:17" ht="17.100000000000001" customHeight="1">
      <c r="A342" s="53">
        <v>45835</v>
      </c>
      <c r="B342" s="36" t="s">
        <v>1914</v>
      </c>
      <c r="C342" s="16" t="s">
        <v>48</v>
      </c>
      <c r="D342" s="16" t="s">
        <v>48</v>
      </c>
      <c r="E342" s="16" t="s">
        <v>48</v>
      </c>
      <c r="F342" s="16" t="s">
        <v>48</v>
      </c>
      <c r="G342" s="16" t="s">
        <v>48</v>
      </c>
      <c r="H342" s="16" t="s">
        <v>48</v>
      </c>
      <c r="I342" s="16" t="s">
        <v>48</v>
      </c>
      <c r="J342" s="16" t="s">
        <v>48</v>
      </c>
      <c r="K342" s="16" t="s">
        <v>48</v>
      </c>
      <c r="L342" s="16" t="s">
        <v>48</v>
      </c>
      <c r="M342" s="16" t="s">
        <v>1915</v>
      </c>
      <c r="N342" s="16">
        <v>4</v>
      </c>
      <c r="O342" s="16" t="s">
        <v>55</v>
      </c>
      <c r="P342" s="16" t="s">
        <v>1921</v>
      </c>
      <c r="Q342" s="32" t="s">
        <v>1922</v>
      </c>
    </row>
    <row r="343" spans="1:17" ht="17.100000000000001" customHeight="1">
      <c r="A343" s="53">
        <v>45835</v>
      </c>
      <c r="B343" s="36" t="s">
        <v>1916</v>
      </c>
      <c r="C343" s="16" t="s">
        <v>48</v>
      </c>
      <c r="D343" s="16" t="s">
        <v>48</v>
      </c>
      <c r="E343" s="16" t="s">
        <v>48</v>
      </c>
      <c r="F343" s="16" t="s">
        <v>48</v>
      </c>
      <c r="G343" s="16" t="s">
        <v>48</v>
      </c>
      <c r="H343" s="16" t="s">
        <v>48</v>
      </c>
      <c r="I343" s="16" t="s">
        <v>48</v>
      </c>
      <c r="J343" s="16" t="s">
        <v>48</v>
      </c>
      <c r="K343" s="16" t="s">
        <v>48</v>
      </c>
      <c r="L343" s="16" t="s">
        <v>48</v>
      </c>
      <c r="M343" s="16" t="s">
        <v>1917</v>
      </c>
      <c r="N343" s="16">
        <v>5</v>
      </c>
      <c r="O343" s="16" t="s">
        <v>55</v>
      </c>
      <c r="P343" s="16" t="s">
        <v>1923</v>
      </c>
      <c r="Q343" s="32" t="s">
        <v>1924</v>
      </c>
    </row>
    <row r="344" spans="1:17" ht="17.100000000000001" customHeight="1">
      <c r="A344" s="53">
        <v>45835</v>
      </c>
      <c r="B344" s="36" t="s">
        <v>440</v>
      </c>
      <c r="C344" s="16" t="s">
        <v>1919</v>
      </c>
      <c r="D344" s="16" t="s">
        <v>1909</v>
      </c>
      <c r="E344" s="16" t="s">
        <v>1918</v>
      </c>
      <c r="F344" s="16" t="s">
        <v>48</v>
      </c>
      <c r="G344" s="16" t="s">
        <v>48</v>
      </c>
      <c r="H344" s="16" t="s">
        <v>48</v>
      </c>
      <c r="I344" s="16" t="s">
        <v>48</v>
      </c>
      <c r="J344" s="16" t="s">
        <v>48</v>
      </c>
      <c r="K344" s="16" t="s">
        <v>48</v>
      </c>
      <c r="L344" s="16" t="s">
        <v>48</v>
      </c>
      <c r="M344" s="16" t="s">
        <v>48</v>
      </c>
      <c r="N344" s="16">
        <v>45</v>
      </c>
      <c r="O344" s="16"/>
      <c r="P344" s="16" t="s">
        <v>1912</v>
      </c>
      <c r="Q344" s="32" t="s">
        <v>1924</v>
      </c>
    </row>
    <row r="345" spans="1:17" ht="17.100000000000001" customHeight="1">
      <c r="A345" s="53">
        <v>45835</v>
      </c>
      <c r="B345" s="36" t="s">
        <v>440</v>
      </c>
      <c r="C345" s="16" t="s">
        <v>1919</v>
      </c>
      <c r="D345" s="16" t="s">
        <v>1909</v>
      </c>
      <c r="E345" s="16" t="s">
        <v>1918</v>
      </c>
      <c r="F345" s="16" t="s">
        <v>48</v>
      </c>
      <c r="G345" s="16" t="s">
        <v>48</v>
      </c>
      <c r="H345" s="16" t="s">
        <v>48</v>
      </c>
      <c r="I345" s="16" t="s">
        <v>48</v>
      </c>
      <c r="J345" s="16" t="s">
        <v>48</v>
      </c>
      <c r="K345" s="16" t="s">
        <v>48</v>
      </c>
      <c r="L345" s="16" t="s">
        <v>48</v>
      </c>
      <c r="M345" s="16" t="s">
        <v>48</v>
      </c>
      <c r="N345" s="16">
        <f>44/2</f>
        <v>22</v>
      </c>
      <c r="O345" s="16" t="s">
        <v>1938</v>
      </c>
      <c r="P345" s="16" t="s">
        <v>1912</v>
      </c>
      <c r="Q345" s="32" t="s">
        <v>1924</v>
      </c>
    </row>
    <row r="346" spans="1:17" ht="17.100000000000001" customHeight="1">
      <c r="A346" s="53">
        <v>45835</v>
      </c>
      <c r="B346" s="36" t="s">
        <v>440</v>
      </c>
      <c r="C346" s="16" t="s">
        <v>1919</v>
      </c>
      <c r="D346" s="16" t="s">
        <v>1909</v>
      </c>
      <c r="E346" s="16" t="s">
        <v>1911</v>
      </c>
      <c r="F346" s="16" t="s">
        <v>48</v>
      </c>
      <c r="G346" s="16" t="s">
        <v>48</v>
      </c>
      <c r="H346" s="16" t="s">
        <v>48</v>
      </c>
      <c r="I346" s="16" t="s">
        <v>48</v>
      </c>
      <c r="J346" s="16" t="s">
        <v>48</v>
      </c>
      <c r="K346" s="16" t="s">
        <v>48</v>
      </c>
      <c r="L346" s="16" t="s">
        <v>48</v>
      </c>
      <c r="M346" s="16" t="s">
        <v>48</v>
      </c>
      <c r="N346" s="16">
        <v>10</v>
      </c>
      <c r="O346" s="16" t="s">
        <v>1938</v>
      </c>
      <c r="P346" s="16" t="s">
        <v>1912</v>
      </c>
      <c r="Q346" s="32" t="s">
        <v>1924</v>
      </c>
    </row>
    <row r="347" spans="1:17" ht="17.100000000000001" customHeight="1">
      <c r="A347" s="53">
        <v>45835</v>
      </c>
      <c r="B347" s="36" t="s">
        <v>440</v>
      </c>
      <c r="C347" s="16" t="s">
        <v>1919</v>
      </c>
      <c r="D347" s="16" t="s">
        <v>1909</v>
      </c>
      <c r="E347" s="16" t="s">
        <v>1911</v>
      </c>
      <c r="F347" s="16" t="s">
        <v>48</v>
      </c>
      <c r="G347" s="16" t="s">
        <v>48</v>
      </c>
      <c r="H347" s="16" t="s">
        <v>48</v>
      </c>
      <c r="I347" s="16" t="s">
        <v>48</v>
      </c>
      <c r="J347" s="16" t="s">
        <v>48</v>
      </c>
      <c r="K347" s="16" t="s">
        <v>48</v>
      </c>
      <c r="L347" s="16" t="s">
        <v>48</v>
      </c>
      <c r="M347" s="16" t="s">
        <v>48</v>
      </c>
      <c r="N347" s="16">
        <f>44/2</f>
        <v>22</v>
      </c>
      <c r="O347" s="16" t="s">
        <v>1938</v>
      </c>
      <c r="P347" s="16" t="s">
        <v>1912</v>
      </c>
      <c r="Q347" s="32" t="s">
        <v>1924</v>
      </c>
    </row>
    <row r="348" spans="1:17" ht="17.100000000000001" customHeight="1">
      <c r="A348" s="53">
        <v>45835</v>
      </c>
      <c r="B348" s="36" t="s">
        <v>440</v>
      </c>
      <c r="C348" s="16" t="s">
        <v>1919</v>
      </c>
      <c r="D348" s="16" t="s">
        <v>1909</v>
      </c>
      <c r="E348" s="16" t="s">
        <v>1911</v>
      </c>
      <c r="F348" s="16" t="s">
        <v>48</v>
      </c>
      <c r="G348" s="16" t="s">
        <v>48</v>
      </c>
      <c r="H348" s="16" t="s">
        <v>48</v>
      </c>
      <c r="I348" s="16" t="s">
        <v>48</v>
      </c>
      <c r="J348" s="16" t="s">
        <v>48</v>
      </c>
      <c r="K348" s="16" t="s">
        <v>48</v>
      </c>
      <c r="L348" s="16" t="s">
        <v>48</v>
      </c>
      <c r="M348" s="16" t="s">
        <v>48</v>
      </c>
      <c r="N348" s="16">
        <v>45</v>
      </c>
      <c r="O348" s="16" t="s">
        <v>1938</v>
      </c>
      <c r="P348" s="16" t="s">
        <v>1912</v>
      </c>
      <c r="Q348" s="32" t="s">
        <v>1924</v>
      </c>
    </row>
    <row r="349" spans="1:17" ht="17.100000000000001" customHeight="1">
      <c r="A349" s="53">
        <v>45835</v>
      </c>
      <c r="B349" s="36" t="s">
        <v>440</v>
      </c>
      <c r="C349" s="16" t="s">
        <v>1919</v>
      </c>
      <c r="D349" s="16" t="s">
        <v>1909</v>
      </c>
      <c r="E349" s="16" t="s">
        <v>1911</v>
      </c>
      <c r="F349" s="16" t="s">
        <v>48</v>
      </c>
      <c r="G349" s="16" t="s">
        <v>48</v>
      </c>
      <c r="H349" s="16" t="s">
        <v>48</v>
      </c>
      <c r="I349" s="16" t="s">
        <v>48</v>
      </c>
      <c r="J349" s="16" t="s">
        <v>48</v>
      </c>
      <c r="K349" s="16" t="s">
        <v>48</v>
      </c>
      <c r="L349" s="16" t="s">
        <v>48</v>
      </c>
      <c r="M349" s="16" t="s">
        <v>48</v>
      </c>
      <c r="N349" s="16">
        <f>44/2</f>
        <v>22</v>
      </c>
      <c r="O349" s="16" t="s">
        <v>1938</v>
      </c>
      <c r="P349" s="16" t="s">
        <v>1912</v>
      </c>
      <c r="Q349" s="32" t="s">
        <v>1924</v>
      </c>
    </row>
    <row r="350" spans="1:17" ht="17.100000000000001" customHeight="1">
      <c r="A350" s="53">
        <v>45835</v>
      </c>
      <c r="B350" s="36" t="s">
        <v>440</v>
      </c>
      <c r="C350" s="16" t="s">
        <v>1919</v>
      </c>
      <c r="D350" s="16" t="s">
        <v>1909</v>
      </c>
      <c r="E350" s="16" t="s">
        <v>1911</v>
      </c>
      <c r="F350" s="16" t="s">
        <v>48</v>
      </c>
      <c r="G350" s="16" t="s">
        <v>48</v>
      </c>
      <c r="H350" s="16" t="s">
        <v>48</v>
      </c>
      <c r="I350" s="16" t="s">
        <v>48</v>
      </c>
      <c r="J350" s="16" t="s">
        <v>48</v>
      </c>
      <c r="K350" s="16" t="s">
        <v>48</v>
      </c>
      <c r="L350" s="16" t="s">
        <v>48</v>
      </c>
      <c r="M350" s="16" t="s">
        <v>48</v>
      </c>
      <c r="N350" s="16">
        <v>11</v>
      </c>
      <c r="O350" s="16" t="s">
        <v>1938</v>
      </c>
      <c r="P350" s="16" t="s">
        <v>1912</v>
      </c>
      <c r="Q350" s="32" t="s">
        <v>1924</v>
      </c>
    </row>
    <row r="351" spans="1:17" ht="17.100000000000001" customHeight="1">
      <c r="A351" s="53">
        <v>45835</v>
      </c>
      <c r="B351" s="36" t="s">
        <v>440</v>
      </c>
      <c r="C351" s="16" t="s">
        <v>1919</v>
      </c>
      <c r="D351" s="16" t="s">
        <v>1909</v>
      </c>
      <c r="E351" s="16" t="s">
        <v>1917</v>
      </c>
      <c r="F351" s="16" t="s">
        <v>48</v>
      </c>
      <c r="G351" s="16" t="s">
        <v>48</v>
      </c>
      <c r="H351" s="16" t="s">
        <v>48</v>
      </c>
      <c r="I351" s="16" t="s">
        <v>48</v>
      </c>
      <c r="J351" s="16" t="s">
        <v>48</v>
      </c>
      <c r="K351" s="16" t="s">
        <v>48</v>
      </c>
      <c r="L351" s="16" t="s">
        <v>48</v>
      </c>
      <c r="M351" s="16" t="s">
        <v>48</v>
      </c>
      <c r="N351" s="16">
        <v>5</v>
      </c>
      <c r="O351" s="16" t="s">
        <v>1938</v>
      </c>
      <c r="P351" s="16" t="s">
        <v>1912</v>
      </c>
      <c r="Q351" s="32" t="s">
        <v>1924</v>
      </c>
    </row>
    <row r="352" spans="1:17" ht="17.100000000000001" customHeight="1">
      <c r="A352" s="53">
        <v>45835</v>
      </c>
      <c r="B352" s="36" t="s">
        <v>440</v>
      </c>
      <c r="C352" s="16" t="s">
        <v>1919</v>
      </c>
      <c r="D352" s="16" t="s">
        <v>1909</v>
      </c>
      <c r="E352" s="16" t="s">
        <v>1917</v>
      </c>
      <c r="F352" s="16" t="s">
        <v>48</v>
      </c>
      <c r="G352" s="16" t="s">
        <v>48</v>
      </c>
      <c r="H352" s="16" t="s">
        <v>48</v>
      </c>
      <c r="I352" s="16" t="s">
        <v>48</v>
      </c>
      <c r="J352" s="16" t="s">
        <v>48</v>
      </c>
      <c r="K352" s="16" t="s">
        <v>48</v>
      </c>
      <c r="L352" s="16" t="s">
        <v>48</v>
      </c>
      <c r="M352" s="16" t="s">
        <v>48</v>
      </c>
      <c r="N352" s="16">
        <v>27</v>
      </c>
      <c r="O352" s="16" t="s">
        <v>1938</v>
      </c>
      <c r="P352" s="16" t="s">
        <v>1912</v>
      </c>
      <c r="Q352" s="32" t="s">
        <v>1924</v>
      </c>
    </row>
    <row r="353" spans="1:17" ht="17.100000000000001" customHeight="1">
      <c r="A353" s="53">
        <v>45835</v>
      </c>
      <c r="B353" s="36" t="s">
        <v>440</v>
      </c>
      <c r="C353" s="16" t="s">
        <v>1919</v>
      </c>
      <c r="D353" s="16" t="s">
        <v>1909</v>
      </c>
      <c r="E353" s="16" t="s">
        <v>1911</v>
      </c>
      <c r="F353" s="16" t="s">
        <v>48</v>
      </c>
      <c r="G353" s="16" t="s">
        <v>48</v>
      </c>
      <c r="H353" s="16" t="s">
        <v>48</v>
      </c>
      <c r="I353" s="16" t="s">
        <v>48</v>
      </c>
      <c r="J353" s="16" t="s">
        <v>48</v>
      </c>
      <c r="K353" s="16" t="s">
        <v>48</v>
      </c>
      <c r="L353" s="16" t="s">
        <v>48</v>
      </c>
      <c r="M353" s="16" t="s">
        <v>48</v>
      </c>
      <c r="N353" s="16">
        <v>45</v>
      </c>
      <c r="O353" s="16" t="s">
        <v>1938</v>
      </c>
      <c r="P353" s="16" t="s">
        <v>1912</v>
      </c>
      <c r="Q353" s="32" t="s">
        <v>1924</v>
      </c>
    </row>
    <row r="354" spans="1:17" ht="17.100000000000001" customHeight="1">
      <c r="A354" s="53">
        <v>45835</v>
      </c>
      <c r="B354" s="36" t="s">
        <v>440</v>
      </c>
      <c r="C354" s="16" t="s">
        <v>1919</v>
      </c>
      <c r="D354" s="16" t="s">
        <v>1909</v>
      </c>
      <c r="E354" s="16" t="s">
        <v>1911</v>
      </c>
      <c r="F354" s="16" t="s">
        <v>48</v>
      </c>
      <c r="G354" s="16" t="s">
        <v>48</v>
      </c>
      <c r="H354" s="16" t="s">
        <v>48</v>
      </c>
      <c r="I354" s="16" t="s">
        <v>48</v>
      </c>
      <c r="J354" s="16" t="s">
        <v>48</v>
      </c>
      <c r="K354" s="16" t="s">
        <v>48</v>
      </c>
      <c r="L354" s="16" t="s">
        <v>48</v>
      </c>
      <c r="M354" s="16" t="s">
        <v>48</v>
      </c>
      <c r="N354" s="16">
        <v>45</v>
      </c>
      <c r="O354" s="16" t="s">
        <v>1938</v>
      </c>
      <c r="P354" s="16" t="s">
        <v>1912</v>
      </c>
      <c r="Q354" s="32" t="s">
        <v>1924</v>
      </c>
    </row>
    <row r="355" spans="1:17" ht="17.100000000000001" customHeight="1">
      <c r="A355" s="53">
        <v>45835</v>
      </c>
      <c r="B355" s="36" t="s">
        <v>440</v>
      </c>
      <c r="C355" s="16" t="s">
        <v>1919</v>
      </c>
      <c r="D355" s="16" t="s">
        <v>1909</v>
      </c>
      <c r="E355" s="16" t="s">
        <v>1911</v>
      </c>
      <c r="F355" s="16" t="s">
        <v>48</v>
      </c>
      <c r="G355" s="16" t="s">
        <v>48</v>
      </c>
      <c r="H355" s="16" t="s">
        <v>48</v>
      </c>
      <c r="I355" s="16" t="s">
        <v>48</v>
      </c>
      <c r="J355" s="16" t="s">
        <v>48</v>
      </c>
      <c r="K355" s="16" t="s">
        <v>48</v>
      </c>
      <c r="L355" s="16" t="s">
        <v>48</v>
      </c>
      <c r="M355" s="16" t="s">
        <v>48</v>
      </c>
      <c r="N355" s="16">
        <v>34</v>
      </c>
      <c r="O355" s="16" t="s">
        <v>1938</v>
      </c>
      <c r="P355" s="16" t="s">
        <v>1912</v>
      </c>
      <c r="Q355" s="32" t="s">
        <v>1924</v>
      </c>
    </row>
    <row r="356" spans="1:17" ht="17.100000000000001" customHeight="1">
      <c r="A356" s="53">
        <v>45835</v>
      </c>
      <c r="B356" s="36" t="s">
        <v>1920</v>
      </c>
      <c r="C356" s="16" t="s">
        <v>1919</v>
      </c>
      <c r="D356" s="16" t="s">
        <v>1925</v>
      </c>
      <c r="E356" s="16" t="s">
        <v>1926</v>
      </c>
      <c r="F356" s="16" t="s">
        <v>48</v>
      </c>
      <c r="G356" s="16" t="s">
        <v>48</v>
      </c>
      <c r="H356" s="16" t="s">
        <v>48</v>
      </c>
      <c r="I356" s="16" t="s">
        <v>48</v>
      </c>
      <c r="J356" s="16" t="s">
        <v>48</v>
      </c>
      <c r="K356" s="16" t="s">
        <v>48</v>
      </c>
      <c r="L356" s="16" t="s">
        <v>48</v>
      </c>
      <c r="M356" s="16" t="s">
        <v>48</v>
      </c>
      <c r="N356" s="16">
        <v>27</v>
      </c>
      <c r="O356" s="16" t="s">
        <v>1938</v>
      </c>
      <c r="P356" s="16" t="s">
        <v>1939</v>
      </c>
      <c r="Q356" s="32" t="s">
        <v>1940</v>
      </c>
    </row>
    <row r="357" spans="1:17" ht="17.100000000000001" customHeight="1">
      <c r="A357" s="53">
        <v>45835</v>
      </c>
      <c r="B357" s="36" t="s">
        <v>1920</v>
      </c>
      <c r="C357" s="16" t="s">
        <v>1919</v>
      </c>
      <c r="D357" s="16" t="s">
        <v>1925</v>
      </c>
      <c r="E357" s="16" t="s">
        <v>1927</v>
      </c>
      <c r="F357" s="16" t="s">
        <v>48</v>
      </c>
      <c r="G357" s="16" t="s">
        <v>48</v>
      </c>
      <c r="H357" s="16" t="s">
        <v>48</v>
      </c>
      <c r="I357" s="16" t="s">
        <v>48</v>
      </c>
      <c r="J357" s="16" t="s">
        <v>48</v>
      </c>
      <c r="K357" s="16" t="s">
        <v>48</v>
      </c>
      <c r="L357" s="16" t="s">
        <v>48</v>
      </c>
      <c r="M357" s="16" t="s">
        <v>48</v>
      </c>
      <c r="N357" s="16">
        <v>27</v>
      </c>
      <c r="O357" s="16" t="s">
        <v>1938</v>
      </c>
      <c r="P357" s="16" t="s">
        <v>1939</v>
      </c>
      <c r="Q357" s="32" t="s">
        <v>1940</v>
      </c>
    </row>
    <row r="358" spans="1:17" ht="17.100000000000001" customHeight="1">
      <c r="A358" s="53">
        <v>45835</v>
      </c>
      <c r="B358" s="36" t="s">
        <v>1920</v>
      </c>
      <c r="C358" s="16" t="s">
        <v>1919</v>
      </c>
      <c r="D358" s="16" t="s">
        <v>1925</v>
      </c>
      <c r="E358" s="16" t="s">
        <v>1928</v>
      </c>
      <c r="F358" s="16" t="s">
        <v>48</v>
      </c>
      <c r="G358" s="16" t="s">
        <v>48</v>
      </c>
      <c r="H358" s="16" t="s">
        <v>48</v>
      </c>
      <c r="I358" s="16" t="s">
        <v>48</v>
      </c>
      <c r="J358" s="16" t="s">
        <v>48</v>
      </c>
      <c r="K358" s="16" t="s">
        <v>48</v>
      </c>
      <c r="L358" s="16" t="s">
        <v>48</v>
      </c>
      <c r="M358" s="16" t="s">
        <v>48</v>
      </c>
      <c r="N358" s="16">
        <v>27</v>
      </c>
      <c r="O358" s="16" t="s">
        <v>1938</v>
      </c>
      <c r="P358" s="16" t="s">
        <v>1939</v>
      </c>
      <c r="Q358" s="32" t="s">
        <v>1940</v>
      </c>
    </row>
    <row r="359" spans="1:17" ht="17.100000000000001" customHeight="1">
      <c r="A359" s="53">
        <v>45835</v>
      </c>
      <c r="B359" s="36" t="s">
        <v>1920</v>
      </c>
      <c r="C359" s="16" t="s">
        <v>1919</v>
      </c>
      <c r="D359" s="16" t="s">
        <v>1925</v>
      </c>
      <c r="E359" s="16" t="s">
        <v>1929</v>
      </c>
      <c r="F359" s="16" t="s">
        <v>48</v>
      </c>
      <c r="G359" s="16" t="s">
        <v>48</v>
      </c>
      <c r="H359" s="16" t="s">
        <v>48</v>
      </c>
      <c r="I359" s="16" t="s">
        <v>48</v>
      </c>
      <c r="J359" s="16" t="s">
        <v>48</v>
      </c>
      <c r="K359" s="16" t="s">
        <v>48</v>
      </c>
      <c r="L359" s="16" t="s">
        <v>48</v>
      </c>
      <c r="M359" s="16" t="s">
        <v>48</v>
      </c>
      <c r="N359" s="16">
        <v>27</v>
      </c>
      <c r="O359" s="16" t="s">
        <v>1938</v>
      </c>
      <c r="P359" s="16" t="s">
        <v>1939</v>
      </c>
      <c r="Q359" s="32" t="s">
        <v>1940</v>
      </c>
    </row>
    <row r="360" spans="1:17" ht="17.100000000000001" customHeight="1">
      <c r="A360" s="53">
        <v>45835</v>
      </c>
      <c r="B360" s="36" t="s">
        <v>1920</v>
      </c>
      <c r="C360" s="16" t="s">
        <v>1919</v>
      </c>
      <c r="D360" s="16" t="s">
        <v>1897</v>
      </c>
      <c r="E360" s="16" t="s">
        <v>1930</v>
      </c>
      <c r="F360" s="16" t="s">
        <v>48</v>
      </c>
      <c r="G360" s="16" t="s">
        <v>48</v>
      </c>
      <c r="H360" s="16" t="s">
        <v>48</v>
      </c>
      <c r="I360" s="16" t="s">
        <v>48</v>
      </c>
      <c r="J360" s="16" t="s">
        <v>48</v>
      </c>
      <c r="K360" s="16" t="s">
        <v>48</v>
      </c>
      <c r="L360" s="16" t="s">
        <v>48</v>
      </c>
      <c r="M360" s="16" t="s">
        <v>48</v>
      </c>
      <c r="N360" s="16">
        <v>27</v>
      </c>
      <c r="O360" s="16" t="s">
        <v>1938</v>
      </c>
      <c r="P360" s="16" t="s">
        <v>1939</v>
      </c>
      <c r="Q360" s="32" t="s">
        <v>1940</v>
      </c>
    </row>
    <row r="361" spans="1:17" ht="17.100000000000001" customHeight="1">
      <c r="A361" s="53">
        <v>45835</v>
      </c>
      <c r="B361" s="36" t="s">
        <v>1920</v>
      </c>
      <c r="C361" s="16" t="s">
        <v>1919</v>
      </c>
      <c r="D361" s="16" t="s">
        <v>1897</v>
      </c>
      <c r="E361" s="16" t="s">
        <v>1931</v>
      </c>
      <c r="F361" s="16" t="s">
        <v>48</v>
      </c>
      <c r="G361" s="16" t="s">
        <v>48</v>
      </c>
      <c r="H361" s="16" t="s">
        <v>48</v>
      </c>
      <c r="I361" s="16" t="s">
        <v>48</v>
      </c>
      <c r="J361" s="16" t="s">
        <v>48</v>
      </c>
      <c r="K361" s="16" t="s">
        <v>48</v>
      </c>
      <c r="L361" s="16" t="s">
        <v>48</v>
      </c>
      <c r="M361" s="16" t="s">
        <v>48</v>
      </c>
      <c r="N361" s="16">
        <v>27</v>
      </c>
      <c r="O361" s="16" t="s">
        <v>1938</v>
      </c>
      <c r="P361" s="16" t="s">
        <v>1939</v>
      </c>
      <c r="Q361" s="32" t="s">
        <v>1940</v>
      </c>
    </row>
    <row r="362" spans="1:17" ht="17.100000000000001" customHeight="1">
      <c r="A362" s="53">
        <v>45835</v>
      </c>
      <c r="B362" s="36" t="s">
        <v>1920</v>
      </c>
      <c r="C362" s="16" t="s">
        <v>1919</v>
      </c>
      <c r="D362" s="16" t="s">
        <v>1932</v>
      </c>
      <c r="E362" s="16" t="s">
        <v>1930</v>
      </c>
      <c r="F362" s="16" t="s">
        <v>48</v>
      </c>
      <c r="G362" s="16" t="s">
        <v>48</v>
      </c>
      <c r="H362" s="16" t="s">
        <v>48</v>
      </c>
      <c r="I362" s="16" t="s">
        <v>48</v>
      </c>
      <c r="J362" s="16" t="s">
        <v>48</v>
      </c>
      <c r="K362" s="16" t="s">
        <v>48</v>
      </c>
      <c r="L362" s="16" t="s">
        <v>48</v>
      </c>
      <c r="M362" s="16" t="s">
        <v>48</v>
      </c>
      <c r="N362" s="16">
        <v>26</v>
      </c>
      <c r="O362" s="16" t="s">
        <v>1938</v>
      </c>
      <c r="P362" s="16" t="s">
        <v>1939</v>
      </c>
      <c r="Q362" s="32" t="s">
        <v>1940</v>
      </c>
    </row>
    <row r="363" spans="1:17" ht="17.100000000000001" customHeight="1">
      <c r="A363" s="53">
        <v>45835</v>
      </c>
      <c r="B363" s="36" t="s">
        <v>1920</v>
      </c>
      <c r="C363" s="16" t="s">
        <v>1919</v>
      </c>
      <c r="D363" s="16" t="s">
        <v>1897</v>
      </c>
      <c r="E363" s="16" t="s">
        <v>1931</v>
      </c>
      <c r="F363" s="16" t="s">
        <v>48</v>
      </c>
      <c r="G363" s="16" t="s">
        <v>48</v>
      </c>
      <c r="H363" s="16" t="s">
        <v>48</v>
      </c>
      <c r="I363" s="16" t="s">
        <v>48</v>
      </c>
      <c r="J363" s="16" t="s">
        <v>48</v>
      </c>
      <c r="K363" s="16" t="s">
        <v>48</v>
      </c>
      <c r="L363" s="16" t="s">
        <v>48</v>
      </c>
      <c r="M363" s="16" t="s">
        <v>48</v>
      </c>
      <c r="N363" s="16">
        <v>27</v>
      </c>
      <c r="O363" s="16" t="s">
        <v>1938</v>
      </c>
      <c r="P363" s="16" t="s">
        <v>1939</v>
      </c>
      <c r="Q363" s="32" t="s">
        <v>1940</v>
      </c>
    </row>
    <row r="364" spans="1:17" ht="17.100000000000001" customHeight="1">
      <c r="A364" s="53">
        <v>45835</v>
      </c>
      <c r="B364" s="36" t="s">
        <v>1920</v>
      </c>
      <c r="C364" s="16" t="s">
        <v>1919</v>
      </c>
      <c r="D364" s="16" t="s">
        <v>1897</v>
      </c>
      <c r="E364" s="16" t="s">
        <v>1927</v>
      </c>
      <c r="F364" s="16" t="s">
        <v>48</v>
      </c>
      <c r="G364" s="16" t="s">
        <v>48</v>
      </c>
      <c r="H364" s="16" t="s">
        <v>48</v>
      </c>
      <c r="I364" s="16" t="s">
        <v>48</v>
      </c>
      <c r="J364" s="16" t="s">
        <v>48</v>
      </c>
      <c r="K364" s="16" t="s">
        <v>48</v>
      </c>
      <c r="L364" s="16" t="s">
        <v>48</v>
      </c>
      <c r="M364" s="16" t="s">
        <v>48</v>
      </c>
      <c r="N364" s="16">
        <v>27</v>
      </c>
      <c r="O364" s="16" t="s">
        <v>1938</v>
      </c>
      <c r="P364" s="16" t="s">
        <v>1939</v>
      </c>
      <c r="Q364" s="32" t="s">
        <v>1940</v>
      </c>
    </row>
    <row r="365" spans="1:17" ht="17.100000000000001" customHeight="1">
      <c r="A365" s="53">
        <v>45835</v>
      </c>
      <c r="B365" s="36" t="s">
        <v>1920</v>
      </c>
      <c r="C365" s="16" t="s">
        <v>1919</v>
      </c>
      <c r="D365" s="16" t="s">
        <v>1897</v>
      </c>
      <c r="E365" s="16" t="s">
        <v>1929</v>
      </c>
      <c r="F365" s="16" t="s">
        <v>48</v>
      </c>
      <c r="G365" s="16" t="s">
        <v>48</v>
      </c>
      <c r="H365" s="16" t="s">
        <v>48</v>
      </c>
      <c r="I365" s="16" t="s">
        <v>48</v>
      </c>
      <c r="J365" s="16" t="s">
        <v>48</v>
      </c>
      <c r="K365" s="16" t="s">
        <v>48</v>
      </c>
      <c r="L365" s="16" t="s">
        <v>48</v>
      </c>
      <c r="M365" s="16" t="s">
        <v>48</v>
      </c>
      <c r="N365" s="16">
        <v>27</v>
      </c>
      <c r="O365" s="16" t="s">
        <v>1938</v>
      </c>
      <c r="P365" s="16" t="s">
        <v>1939</v>
      </c>
      <c r="Q365" s="32" t="s">
        <v>1940</v>
      </c>
    </row>
    <row r="366" spans="1:17" ht="17.100000000000001" customHeight="1">
      <c r="A366" s="53">
        <v>45835</v>
      </c>
      <c r="B366" s="36" t="s">
        <v>1920</v>
      </c>
      <c r="C366" s="16" t="s">
        <v>1919</v>
      </c>
      <c r="D366" s="16" t="s">
        <v>1897</v>
      </c>
      <c r="E366" s="16" t="s">
        <v>1926</v>
      </c>
      <c r="F366" s="16" t="s">
        <v>48</v>
      </c>
      <c r="G366" s="16" t="s">
        <v>48</v>
      </c>
      <c r="H366" s="16" t="s">
        <v>48</v>
      </c>
      <c r="I366" s="16" t="s">
        <v>48</v>
      </c>
      <c r="J366" s="16" t="s">
        <v>48</v>
      </c>
      <c r="K366" s="16" t="s">
        <v>48</v>
      </c>
      <c r="L366" s="16" t="s">
        <v>48</v>
      </c>
      <c r="M366" s="16" t="s">
        <v>48</v>
      </c>
      <c r="N366" s="16">
        <f>28/2</f>
        <v>14</v>
      </c>
      <c r="O366" s="16" t="s">
        <v>1938</v>
      </c>
      <c r="P366" s="16" t="s">
        <v>1939</v>
      </c>
      <c r="Q366" s="32" t="s">
        <v>1940</v>
      </c>
    </row>
    <row r="367" spans="1:17" ht="17.100000000000001" customHeight="1">
      <c r="A367" s="53">
        <v>45835</v>
      </c>
      <c r="B367" s="36" t="s">
        <v>1920</v>
      </c>
      <c r="C367" s="16" t="s">
        <v>1919</v>
      </c>
      <c r="D367" s="16" t="s">
        <v>1897</v>
      </c>
      <c r="E367" s="16" t="s">
        <v>1933</v>
      </c>
      <c r="F367" s="16" t="s">
        <v>48</v>
      </c>
      <c r="G367" s="16" t="s">
        <v>48</v>
      </c>
      <c r="H367" s="16" t="s">
        <v>48</v>
      </c>
      <c r="I367" s="16" t="s">
        <v>48</v>
      </c>
      <c r="J367" s="16" t="s">
        <v>48</v>
      </c>
      <c r="K367" s="16" t="s">
        <v>48</v>
      </c>
      <c r="L367" s="16" t="s">
        <v>48</v>
      </c>
      <c r="M367" s="16" t="s">
        <v>48</v>
      </c>
      <c r="N367" s="16">
        <v>27</v>
      </c>
      <c r="O367" s="16" t="s">
        <v>1938</v>
      </c>
      <c r="P367" s="16" t="s">
        <v>1939</v>
      </c>
      <c r="Q367" s="32" t="s">
        <v>1940</v>
      </c>
    </row>
    <row r="368" spans="1:17" ht="17.100000000000001" customHeight="1">
      <c r="A368" s="53">
        <v>45835</v>
      </c>
      <c r="B368" s="36" t="s">
        <v>1920</v>
      </c>
      <c r="C368" s="16" t="s">
        <v>1919</v>
      </c>
      <c r="D368" s="16" t="s">
        <v>1934</v>
      </c>
      <c r="E368" s="16" t="s">
        <v>1933</v>
      </c>
      <c r="F368" s="16" t="s">
        <v>48</v>
      </c>
      <c r="G368" s="16" t="s">
        <v>48</v>
      </c>
      <c r="H368" s="16" t="s">
        <v>48</v>
      </c>
      <c r="I368" s="16" t="s">
        <v>48</v>
      </c>
      <c r="J368" s="16" t="s">
        <v>48</v>
      </c>
      <c r="K368" s="16" t="s">
        <v>48</v>
      </c>
      <c r="L368" s="16" t="s">
        <v>48</v>
      </c>
      <c r="M368" s="16" t="s">
        <v>48</v>
      </c>
      <c r="N368" s="16">
        <v>27</v>
      </c>
      <c r="O368" s="16" t="s">
        <v>1938</v>
      </c>
      <c r="P368" s="16" t="s">
        <v>1939</v>
      </c>
      <c r="Q368" s="32" t="s">
        <v>1940</v>
      </c>
    </row>
    <row r="369" spans="1:17" ht="17.100000000000001" customHeight="1">
      <c r="A369" s="53">
        <v>45835</v>
      </c>
      <c r="B369" s="36" t="s">
        <v>1920</v>
      </c>
      <c r="C369" s="16" t="s">
        <v>1919</v>
      </c>
      <c r="D369" s="16" t="s">
        <v>1934</v>
      </c>
      <c r="E369" s="16" t="s">
        <v>1935</v>
      </c>
      <c r="F369" s="16" t="s">
        <v>48</v>
      </c>
      <c r="G369" s="16" t="s">
        <v>48</v>
      </c>
      <c r="H369" s="16" t="s">
        <v>48</v>
      </c>
      <c r="I369" s="16" t="s">
        <v>48</v>
      </c>
      <c r="J369" s="16" t="s">
        <v>48</v>
      </c>
      <c r="K369" s="16" t="s">
        <v>48</v>
      </c>
      <c r="L369" s="16" t="s">
        <v>48</v>
      </c>
      <c r="M369" s="16" t="s">
        <v>48</v>
      </c>
      <c r="N369" s="16">
        <v>27</v>
      </c>
      <c r="O369" s="16" t="s">
        <v>1938</v>
      </c>
      <c r="P369" s="16" t="s">
        <v>1939</v>
      </c>
      <c r="Q369" s="32" t="s">
        <v>1940</v>
      </c>
    </row>
    <row r="370" spans="1:17" ht="17.100000000000001" customHeight="1">
      <c r="A370" s="53">
        <v>45835</v>
      </c>
      <c r="B370" s="36" t="s">
        <v>1920</v>
      </c>
      <c r="C370" s="16" t="s">
        <v>1919</v>
      </c>
      <c r="D370" s="16" t="s">
        <v>1934</v>
      </c>
      <c r="E370" s="16" t="s">
        <v>1928</v>
      </c>
      <c r="F370" s="16" t="s">
        <v>48</v>
      </c>
      <c r="G370" s="16" t="s">
        <v>48</v>
      </c>
      <c r="H370" s="16" t="s">
        <v>48</v>
      </c>
      <c r="I370" s="16" t="s">
        <v>48</v>
      </c>
      <c r="J370" s="16" t="s">
        <v>48</v>
      </c>
      <c r="K370" s="16" t="s">
        <v>48</v>
      </c>
      <c r="L370" s="16" t="s">
        <v>48</v>
      </c>
      <c r="M370" s="16" t="s">
        <v>48</v>
      </c>
      <c r="N370" s="16">
        <v>27</v>
      </c>
      <c r="O370" s="16" t="s">
        <v>1938</v>
      </c>
      <c r="P370" s="16" t="s">
        <v>1939</v>
      </c>
      <c r="Q370" s="32" t="s">
        <v>1940</v>
      </c>
    </row>
    <row r="371" spans="1:17" ht="17.100000000000001" customHeight="1" thickBot="1">
      <c r="A371" s="53">
        <v>45835</v>
      </c>
      <c r="B371" s="36" t="s">
        <v>1920</v>
      </c>
      <c r="C371" s="16" t="s">
        <v>1919</v>
      </c>
      <c r="D371" s="16" t="s">
        <v>1934</v>
      </c>
      <c r="E371" s="20" t="s">
        <v>1935</v>
      </c>
      <c r="F371" s="16" t="s">
        <v>48</v>
      </c>
      <c r="G371" s="16" t="s">
        <v>48</v>
      </c>
      <c r="H371" s="16" t="s">
        <v>48</v>
      </c>
      <c r="I371" s="16" t="s">
        <v>48</v>
      </c>
      <c r="J371" s="16" t="s">
        <v>48</v>
      </c>
      <c r="K371" s="16" t="s">
        <v>48</v>
      </c>
      <c r="L371" s="16" t="s">
        <v>48</v>
      </c>
      <c r="M371" s="16" t="s">
        <v>48</v>
      </c>
      <c r="N371" s="20">
        <v>27</v>
      </c>
      <c r="O371" s="16" t="s">
        <v>1938</v>
      </c>
      <c r="P371" s="16" t="s">
        <v>1939</v>
      </c>
      <c r="Q371" s="32" t="s">
        <v>1940</v>
      </c>
    </row>
    <row r="372" spans="1:17" ht="17.100000000000001" customHeight="1">
      <c r="A372" s="53">
        <v>45838</v>
      </c>
      <c r="B372" s="36" t="s">
        <v>1920</v>
      </c>
      <c r="C372" s="16" t="s">
        <v>1941</v>
      </c>
      <c r="D372" s="16" t="s">
        <v>1934</v>
      </c>
      <c r="E372" s="16" t="s">
        <v>1936</v>
      </c>
      <c r="F372" s="16" t="s">
        <v>48</v>
      </c>
      <c r="G372" s="16" t="s">
        <v>48</v>
      </c>
      <c r="H372" s="16" t="s">
        <v>48</v>
      </c>
      <c r="I372" s="16" t="s">
        <v>48</v>
      </c>
      <c r="J372" s="16" t="s">
        <v>48</v>
      </c>
      <c r="K372" s="16" t="s">
        <v>48</v>
      </c>
      <c r="L372" s="16" t="s">
        <v>48</v>
      </c>
      <c r="M372" s="16" t="s">
        <v>48</v>
      </c>
      <c r="N372" s="16">
        <v>54</v>
      </c>
      <c r="O372" s="16" t="s">
        <v>1938</v>
      </c>
      <c r="P372" s="16" t="s">
        <v>1939</v>
      </c>
      <c r="Q372" s="32" t="s">
        <v>1940</v>
      </c>
    </row>
    <row r="373" spans="1:17" ht="17.100000000000001" customHeight="1">
      <c r="A373" s="53">
        <v>45838</v>
      </c>
      <c r="B373" s="36" t="s">
        <v>1920</v>
      </c>
      <c r="C373" s="16" t="s">
        <v>1941</v>
      </c>
      <c r="D373" s="16" t="s">
        <v>1934</v>
      </c>
      <c r="E373" s="16" t="s">
        <v>1935</v>
      </c>
      <c r="F373" s="16" t="s">
        <v>48</v>
      </c>
      <c r="G373" s="16" t="s">
        <v>48</v>
      </c>
      <c r="H373" s="16" t="s">
        <v>48</v>
      </c>
      <c r="I373" s="16" t="s">
        <v>48</v>
      </c>
      <c r="J373" s="16" t="s">
        <v>48</v>
      </c>
      <c r="K373" s="16" t="s">
        <v>48</v>
      </c>
      <c r="L373" s="16" t="s">
        <v>48</v>
      </c>
      <c r="M373" s="16" t="s">
        <v>48</v>
      </c>
      <c r="N373" s="16">
        <v>27</v>
      </c>
      <c r="O373" s="16" t="s">
        <v>1938</v>
      </c>
      <c r="P373" s="16" t="s">
        <v>1939</v>
      </c>
      <c r="Q373" s="32" t="s">
        <v>1940</v>
      </c>
    </row>
    <row r="374" spans="1:17" ht="17.100000000000001" customHeight="1">
      <c r="A374" s="53">
        <v>45838</v>
      </c>
      <c r="B374" s="36" t="s">
        <v>1920</v>
      </c>
      <c r="C374" s="16" t="s">
        <v>1941</v>
      </c>
      <c r="D374" s="16" t="s">
        <v>1934</v>
      </c>
      <c r="E374" s="16" t="s">
        <v>1937</v>
      </c>
      <c r="F374" s="16" t="s">
        <v>48</v>
      </c>
      <c r="G374" s="16" t="s">
        <v>48</v>
      </c>
      <c r="H374" s="16" t="s">
        <v>48</v>
      </c>
      <c r="I374" s="16" t="s">
        <v>48</v>
      </c>
      <c r="J374" s="16" t="s">
        <v>48</v>
      </c>
      <c r="K374" s="16" t="s">
        <v>48</v>
      </c>
      <c r="L374" s="16" t="s">
        <v>48</v>
      </c>
      <c r="M374" s="16" t="s">
        <v>48</v>
      </c>
      <c r="N374" s="16">
        <v>1</v>
      </c>
      <c r="O374" s="16" t="s">
        <v>1938</v>
      </c>
      <c r="P374" s="16" t="s">
        <v>1939</v>
      </c>
      <c r="Q374" s="32" t="s">
        <v>1940</v>
      </c>
    </row>
    <row r="375" spans="1:17" ht="17.100000000000001" customHeight="1">
      <c r="A375" s="53">
        <v>45838</v>
      </c>
      <c r="B375" s="36" t="s">
        <v>79</v>
      </c>
      <c r="C375" s="16" t="s">
        <v>1941</v>
      </c>
      <c r="D375" s="16" t="s">
        <v>1942</v>
      </c>
      <c r="E375" s="16" t="s">
        <v>1937</v>
      </c>
      <c r="F375" s="16" t="s">
        <v>48</v>
      </c>
      <c r="G375" s="16" t="s">
        <v>48</v>
      </c>
      <c r="H375" s="16" t="s">
        <v>48</v>
      </c>
      <c r="I375" s="16" t="s">
        <v>48</v>
      </c>
      <c r="J375" s="16" t="s">
        <v>48</v>
      </c>
      <c r="K375" s="16" t="s">
        <v>48</v>
      </c>
      <c r="L375" s="16" t="s">
        <v>48</v>
      </c>
      <c r="M375" s="16" t="s">
        <v>48</v>
      </c>
      <c r="N375" s="16">
        <v>26</v>
      </c>
      <c r="O375" s="16" t="s">
        <v>1938</v>
      </c>
      <c r="P375" s="16" t="s">
        <v>1498</v>
      </c>
      <c r="Q375" s="32" t="s">
        <v>1520</v>
      </c>
    </row>
    <row r="376" spans="1:17" ht="17.100000000000001" customHeight="1">
      <c r="A376" s="53">
        <v>45838</v>
      </c>
      <c r="B376" s="36" t="s">
        <v>79</v>
      </c>
      <c r="C376" s="16" t="s">
        <v>1941</v>
      </c>
      <c r="D376" s="16" t="s">
        <v>1942</v>
      </c>
      <c r="E376" s="16" t="s">
        <v>1943</v>
      </c>
      <c r="F376" s="16" t="s">
        <v>48</v>
      </c>
      <c r="G376" s="16" t="s">
        <v>48</v>
      </c>
      <c r="H376" s="16" t="s">
        <v>48</v>
      </c>
      <c r="I376" s="16" t="s">
        <v>48</v>
      </c>
      <c r="J376" s="16" t="s">
        <v>48</v>
      </c>
      <c r="K376" s="16" t="s">
        <v>48</v>
      </c>
      <c r="L376" s="16" t="s">
        <v>48</v>
      </c>
      <c r="M376" s="16" t="s">
        <v>48</v>
      </c>
      <c r="N376" s="16">
        <v>27</v>
      </c>
      <c r="O376" s="16" t="s">
        <v>1938</v>
      </c>
      <c r="P376" s="16" t="s">
        <v>1498</v>
      </c>
      <c r="Q376" s="32" t="s">
        <v>1520</v>
      </c>
    </row>
    <row r="377" spans="1:17" ht="17.100000000000001" customHeight="1">
      <c r="A377" s="53">
        <v>45838</v>
      </c>
      <c r="B377" s="36" t="s">
        <v>79</v>
      </c>
      <c r="C377" s="16" t="s">
        <v>1941</v>
      </c>
      <c r="D377" s="16" t="s">
        <v>1942</v>
      </c>
      <c r="E377" s="16" t="s">
        <v>1944</v>
      </c>
      <c r="F377" s="16" t="s">
        <v>48</v>
      </c>
      <c r="G377" s="16" t="s">
        <v>48</v>
      </c>
      <c r="H377" s="16" t="s">
        <v>48</v>
      </c>
      <c r="I377" s="16" t="s">
        <v>48</v>
      </c>
      <c r="J377" s="16" t="s">
        <v>48</v>
      </c>
      <c r="K377" s="16" t="s">
        <v>48</v>
      </c>
      <c r="L377" s="16" t="s">
        <v>48</v>
      </c>
      <c r="M377" s="16" t="s">
        <v>48</v>
      </c>
      <c r="N377" s="16">
        <v>27</v>
      </c>
      <c r="O377" s="16" t="s">
        <v>1938</v>
      </c>
      <c r="P377" s="16" t="s">
        <v>1498</v>
      </c>
      <c r="Q377" s="32" t="s">
        <v>1520</v>
      </c>
    </row>
    <row r="378" spans="1:17" ht="17.100000000000001" customHeight="1">
      <c r="A378" s="53">
        <v>45838</v>
      </c>
      <c r="B378" s="36" t="s">
        <v>79</v>
      </c>
      <c r="C378" s="16" t="s">
        <v>1941</v>
      </c>
      <c r="D378" s="16" t="s">
        <v>1942</v>
      </c>
      <c r="E378" s="16" t="s">
        <v>1945</v>
      </c>
      <c r="F378" s="16" t="s">
        <v>48</v>
      </c>
      <c r="G378" s="16" t="s">
        <v>48</v>
      </c>
      <c r="H378" s="16" t="s">
        <v>48</v>
      </c>
      <c r="I378" s="16" t="s">
        <v>48</v>
      </c>
      <c r="J378" s="16" t="s">
        <v>48</v>
      </c>
      <c r="K378" s="16" t="s">
        <v>48</v>
      </c>
      <c r="L378" s="16" t="s">
        <v>48</v>
      </c>
      <c r="M378" s="16" t="s">
        <v>48</v>
      </c>
      <c r="N378" s="16">
        <v>27</v>
      </c>
      <c r="O378" s="16" t="s">
        <v>1938</v>
      </c>
      <c r="P378" s="16" t="s">
        <v>1498</v>
      </c>
      <c r="Q378" s="32" t="s">
        <v>1520</v>
      </c>
    </row>
    <row r="379" spans="1:17" ht="17.100000000000001" customHeight="1">
      <c r="A379" s="53">
        <v>45838</v>
      </c>
      <c r="B379" s="36" t="s">
        <v>79</v>
      </c>
      <c r="C379" s="16" t="s">
        <v>1941</v>
      </c>
      <c r="D379" s="16" t="s">
        <v>1934</v>
      </c>
      <c r="E379" s="16" t="s">
        <v>1946</v>
      </c>
      <c r="F379" s="16" t="s">
        <v>48</v>
      </c>
      <c r="G379" s="16" t="s">
        <v>48</v>
      </c>
      <c r="H379" s="16" t="s">
        <v>48</v>
      </c>
      <c r="I379" s="16" t="s">
        <v>48</v>
      </c>
      <c r="J379" s="16" t="s">
        <v>48</v>
      </c>
      <c r="K379" s="16" t="s">
        <v>48</v>
      </c>
      <c r="L379" s="16" t="s">
        <v>48</v>
      </c>
      <c r="M379" s="16" t="s">
        <v>48</v>
      </c>
      <c r="N379" s="16">
        <v>27</v>
      </c>
      <c r="O379" s="16" t="s">
        <v>1938</v>
      </c>
      <c r="P379" s="16" t="s">
        <v>1498</v>
      </c>
      <c r="Q379" s="32" t="s">
        <v>1520</v>
      </c>
    </row>
    <row r="380" spans="1:17" ht="17.100000000000001" customHeight="1">
      <c r="A380" s="53">
        <v>45838</v>
      </c>
      <c r="B380" s="36" t="s">
        <v>79</v>
      </c>
      <c r="C380" s="16" t="s">
        <v>1941</v>
      </c>
      <c r="D380" s="16" t="s">
        <v>1934</v>
      </c>
      <c r="E380" s="16" t="s">
        <v>1947</v>
      </c>
      <c r="F380" s="16" t="s">
        <v>48</v>
      </c>
      <c r="G380" s="16" t="s">
        <v>48</v>
      </c>
      <c r="H380" s="16" t="s">
        <v>48</v>
      </c>
      <c r="I380" s="16" t="s">
        <v>48</v>
      </c>
      <c r="J380" s="16" t="s">
        <v>48</v>
      </c>
      <c r="K380" s="16" t="s">
        <v>48</v>
      </c>
      <c r="L380" s="16" t="s">
        <v>48</v>
      </c>
      <c r="M380" s="16" t="s">
        <v>48</v>
      </c>
      <c r="N380" s="16">
        <v>54</v>
      </c>
      <c r="O380" s="16" t="s">
        <v>1938</v>
      </c>
      <c r="P380" s="16" t="s">
        <v>1498</v>
      </c>
      <c r="Q380" s="32" t="s">
        <v>1520</v>
      </c>
    </row>
    <row r="381" spans="1:17" ht="17.100000000000001" customHeight="1">
      <c r="A381" s="53">
        <v>45838</v>
      </c>
      <c r="B381" s="36" t="s">
        <v>79</v>
      </c>
      <c r="C381" s="16" t="s">
        <v>1941</v>
      </c>
      <c r="D381" s="16" t="s">
        <v>1934</v>
      </c>
      <c r="E381" s="16" t="s">
        <v>1946</v>
      </c>
      <c r="F381" s="16" t="s">
        <v>48</v>
      </c>
      <c r="G381" s="16" t="s">
        <v>48</v>
      </c>
      <c r="H381" s="16" t="s">
        <v>48</v>
      </c>
      <c r="I381" s="16" t="s">
        <v>48</v>
      </c>
      <c r="J381" s="16" t="s">
        <v>48</v>
      </c>
      <c r="K381" s="16" t="s">
        <v>48</v>
      </c>
      <c r="L381" s="16" t="s">
        <v>48</v>
      </c>
      <c r="M381" s="16" t="s">
        <v>48</v>
      </c>
      <c r="N381" s="16">
        <v>27</v>
      </c>
      <c r="O381" s="16" t="s">
        <v>1938</v>
      </c>
      <c r="P381" s="16" t="s">
        <v>1498</v>
      </c>
      <c r="Q381" s="32" t="s">
        <v>1520</v>
      </c>
    </row>
    <row r="382" spans="1:17" ht="17.100000000000001" customHeight="1">
      <c r="A382" s="53">
        <v>45838</v>
      </c>
      <c r="B382" s="36" t="s">
        <v>79</v>
      </c>
      <c r="C382" s="16" t="s">
        <v>1941</v>
      </c>
      <c r="D382" s="16" t="s">
        <v>1934</v>
      </c>
      <c r="E382" s="16" t="s">
        <v>1948</v>
      </c>
      <c r="F382" s="16" t="s">
        <v>48</v>
      </c>
      <c r="G382" s="16" t="s">
        <v>48</v>
      </c>
      <c r="H382" s="16" t="s">
        <v>48</v>
      </c>
      <c r="I382" s="16" t="s">
        <v>48</v>
      </c>
      <c r="J382" s="16" t="s">
        <v>48</v>
      </c>
      <c r="K382" s="16" t="s">
        <v>48</v>
      </c>
      <c r="L382" s="16" t="s">
        <v>48</v>
      </c>
      <c r="M382" s="16" t="s">
        <v>48</v>
      </c>
      <c r="N382" s="16">
        <v>12</v>
      </c>
      <c r="O382" s="16" t="s">
        <v>1938</v>
      </c>
      <c r="P382" s="16" t="s">
        <v>1498</v>
      </c>
      <c r="Q382" s="32" t="s">
        <v>1520</v>
      </c>
    </row>
    <row r="383" spans="1:17" ht="17.100000000000001" customHeight="1">
      <c r="A383" s="53">
        <v>45838</v>
      </c>
      <c r="B383" s="36" t="s">
        <v>79</v>
      </c>
      <c r="C383" s="16" t="s">
        <v>1941</v>
      </c>
      <c r="D383" s="16" t="s">
        <v>1934</v>
      </c>
      <c r="E383" s="16" t="s">
        <v>1949</v>
      </c>
      <c r="F383" s="16" t="s">
        <v>48</v>
      </c>
      <c r="G383" s="16" t="s">
        <v>48</v>
      </c>
      <c r="H383" s="16" t="s">
        <v>48</v>
      </c>
      <c r="I383" s="16" t="s">
        <v>48</v>
      </c>
      <c r="J383" s="16" t="s">
        <v>48</v>
      </c>
      <c r="K383" s="16" t="s">
        <v>48</v>
      </c>
      <c r="L383" s="16" t="s">
        <v>48</v>
      </c>
      <c r="M383" s="16" t="s">
        <v>48</v>
      </c>
      <c r="N383" s="16">
        <f>32/2</f>
        <v>16</v>
      </c>
      <c r="O383" s="16" t="s">
        <v>1938</v>
      </c>
      <c r="P383" s="16" t="s">
        <v>1498</v>
      </c>
      <c r="Q383" s="32" t="s">
        <v>1520</v>
      </c>
    </row>
    <row r="384" spans="1:17" ht="17.100000000000001" customHeight="1">
      <c r="A384" s="53">
        <v>45838</v>
      </c>
      <c r="B384" s="36" t="s">
        <v>79</v>
      </c>
      <c r="C384" s="16" t="s">
        <v>1941</v>
      </c>
      <c r="D384" s="16" t="s">
        <v>1934</v>
      </c>
      <c r="E384" s="16" t="s">
        <v>1950</v>
      </c>
      <c r="F384" s="16" t="s">
        <v>48</v>
      </c>
      <c r="G384" s="16" t="s">
        <v>48</v>
      </c>
      <c r="H384" s="16" t="s">
        <v>48</v>
      </c>
      <c r="I384" s="16" t="s">
        <v>48</v>
      </c>
      <c r="J384" s="16" t="s">
        <v>48</v>
      </c>
      <c r="K384" s="16" t="s">
        <v>48</v>
      </c>
      <c r="L384" s="16" t="s">
        <v>48</v>
      </c>
      <c r="M384" s="16" t="s">
        <v>48</v>
      </c>
      <c r="N384" s="16">
        <v>54</v>
      </c>
      <c r="O384" s="16" t="s">
        <v>1938</v>
      </c>
      <c r="P384" s="16" t="s">
        <v>1498</v>
      </c>
      <c r="Q384" s="32" t="s">
        <v>1520</v>
      </c>
    </row>
    <row r="385" spans="1:17" ht="17.100000000000001" customHeight="1">
      <c r="A385" s="53">
        <v>45838</v>
      </c>
      <c r="B385" s="36" t="s">
        <v>79</v>
      </c>
      <c r="C385" s="16" t="s">
        <v>1941</v>
      </c>
      <c r="D385" s="16" t="s">
        <v>1942</v>
      </c>
      <c r="E385" s="16" t="s">
        <v>1951</v>
      </c>
      <c r="F385" s="16" t="s">
        <v>48</v>
      </c>
      <c r="G385" s="16" t="s">
        <v>48</v>
      </c>
      <c r="H385" s="16" t="s">
        <v>48</v>
      </c>
      <c r="I385" s="16" t="s">
        <v>48</v>
      </c>
      <c r="J385" s="16" t="s">
        <v>48</v>
      </c>
      <c r="K385" s="16" t="s">
        <v>48</v>
      </c>
      <c r="L385" s="16" t="s">
        <v>48</v>
      </c>
      <c r="M385" s="16" t="s">
        <v>48</v>
      </c>
      <c r="N385" s="16">
        <v>27</v>
      </c>
      <c r="O385" s="16" t="s">
        <v>1938</v>
      </c>
      <c r="P385" s="16" t="s">
        <v>1498</v>
      </c>
      <c r="Q385" s="32" t="s">
        <v>1520</v>
      </c>
    </row>
    <row r="386" spans="1:17" ht="17.100000000000001" customHeight="1">
      <c r="A386" s="53">
        <v>45838</v>
      </c>
      <c r="B386" s="36" t="s">
        <v>79</v>
      </c>
      <c r="C386" s="16" t="s">
        <v>1941</v>
      </c>
      <c r="D386" s="16" t="s">
        <v>1942</v>
      </c>
      <c r="E386" s="16" t="s">
        <v>1949</v>
      </c>
      <c r="F386" s="16" t="s">
        <v>48</v>
      </c>
      <c r="G386" s="16" t="s">
        <v>48</v>
      </c>
      <c r="H386" s="16" t="s">
        <v>48</v>
      </c>
      <c r="I386" s="16" t="s">
        <v>48</v>
      </c>
      <c r="J386" s="16" t="s">
        <v>48</v>
      </c>
      <c r="K386" s="16" t="s">
        <v>48</v>
      </c>
      <c r="L386" s="16" t="s">
        <v>48</v>
      </c>
      <c r="M386" s="16" t="s">
        <v>48</v>
      </c>
      <c r="N386" s="16">
        <v>38</v>
      </c>
      <c r="O386" s="16" t="s">
        <v>1938</v>
      </c>
      <c r="P386" s="16" t="s">
        <v>1498</v>
      </c>
      <c r="Q386" s="32" t="s">
        <v>1520</v>
      </c>
    </row>
    <row r="387" spans="1:17" ht="17.100000000000001" customHeight="1">
      <c r="A387" s="53">
        <v>45838</v>
      </c>
      <c r="B387" s="36" t="s">
        <v>79</v>
      </c>
      <c r="C387" s="16" t="s">
        <v>1941</v>
      </c>
      <c r="D387" s="16" t="s">
        <v>1942</v>
      </c>
      <c r="E387" s="16" t="s">
        <v>1952</v>
      </c>
      <c r="F387" s="16" t="s">
        <v>48</v>
      </c>
      <c r="G387" s="16" t="s">
        <v>48</v>
      </c>
      <c r="H387" s="16" t="s">
        <v>48</v>
      </c>
      <c r="I387" s="16" t="s">
        <v>48</v>
      </c>
      <c r="J387" s="16" t="s">
        <v>48</v>
      </c>
      <c r="K387" s="16" t="s">
        <v>48</v>
      </c>
      <c r="L387" s="16" t="s">
        <v>48</v>
      </c>
      <c r="M387" s="16" t="s">
        <v>48</v>
      </c>
      <c r="N387" s="16">
        <v>26</v>
      </c>
      <c r="O387" s="16" t="s">
        <v>1938</v>
      </c>
      <c r="P387" s="16" t="s">
        <v>1498</v>
      </c>
      <c r="Q387" s="32" t="s">
        <v>1520</v>
      </c>
    </row>
    <row r="388" spans="1:17" ht="17.100000000000001" customHeight="1">
      <c r="A388" s="21">
        <v>45838</v>
      </c>
      <c r="B388" s="15" t="s">
        <v>79</v>
      </c>
      <c r="C388" s="16" t="s">
        <v>1941</v>
      </c>
      <c r="D388" s="16" t="s">
        <v>1934</v>
      </c>
      <c r="E388" s="16" t="s">
        <v>1950</v>
      </c>
      <c r="F388" s="16" t="s">
        <v>48</v>
      </c>
      <c r="G388" s="16" t="s">
        <v>48</v>
      </c>
      <c r="H388" s="16" t="s">
        <v>48</v>
      </c>
      <c r="I388" s="16" t="s">
        <v>48</v>
      </c>
      <c r="J388" s="16" t="s">
        <v>48</v>
      </c>
      <c r="K388" s="16" t="s">
        <v>48</v>
      </c>
      <c r="L388" s="16" t="s">
        <v>48</v>
      </c>
      <c r="M388" s="16" t="s">
        <v>48</v>
      </c>
      <c r="N388" s="16">
        <v>27</v>
      </c>
      <c r="O388" s="16" t="s">
        <v>1938</v>
      </c>
      <c r="P388" s="16" t="s">
        <v>1498</v>
      </c>
      <c r="Q388" s="32" t="s">
        <v>1520</v>
      </c>
    </row>
    <row r="389" spans="1:17" ht="17.100000000000001" customHeight="1">
      <c r="A389" s="21">
        <v>45838</v>
      </c>
      <c r="B389" s="15" t="s">
        <v>79</v>
      </c>
      <c r="C389" s="16" t="s">
        <v>1941</v>
      </c>
      <c r="D389" s="16" t="s">
        <v>1934</v>
      </c>
      <c r="E389" s="16" t="s">
        <v>1952</v>
      </c>
      <c r="F389" s="16" t="s">
        <v>48</v>
      </c>
      <c r="G389" s="16" t="s">
        <v>48</v>
      </c>
      <c r="H389" s="16" t="s">
        <v>48</v>
      </c>
      <c r="I389" s="16" t="s">
        <v>48</v>
      </c>
      <c r="J389" s="16" t="s">
        <v>48</v>
      </c>
      <c r="K389" s="16" t="s">
        <v>48</v>
      </c>
      <c r="L389" s="16" t="s">
        <v>48</v>
      </c>
      <c r="M389" s="16" t="s">
        <v>48</v>
      </c>
      <c r="N389" s="16">
        <v>27</v>
      </c>
      <c r="O389" s="16" t="s">
        <v>1938</v>
      </c>
      <c r="P389" s="16" t="s">
        <v>1498</v>
      </c>
      <c r="Q389" s="32" t="s">
        <v>1520</v>
      </c>
    </row>
    <row r="390" spans="1:17" ht="17.100000000000001" customHeight="1">
      <c r="A390" s="21">
        <v>45838</v>
      </c>
      <c r="B390" s="15" t="s">
        <v>79</v>
      </c>
      <c r="C390" s="16" t="s">
        <v>1941</v>
      </c>
      <c r="D390" s="16" t="s">
        <v>1934</v>
      </c>
      <c r="E390" s="16" t="s">
        <v>1951</v>
      </c>
      <c r="F390" s="16" t="s">
        <v>48</v>
      </c>
      <c r="G390" s="16" t="s">
        <v>48</v>
      </c>
      <c r="H390" s="16" t="s">
        <v>48</v>
      </c>
      <c r="I390" s="16" t="s">
        <v>48</v>
      </c>
      <c r="J390" s="16" t="s">
        <v>48</v>
      </c>
      <c r="K390" s="16" t="s">
        <v>48</v>
      </c>
      <c r="L390" s="16" t="s">
        <v>48</v>
      </c>
      <c r="M390" s="16" t="s">
        <v>48</v>
      </c>
      <c r="N390" s="16">
        <v>27</v>
      </c>
      <c r="O390" s="16" t="s">
        <v>1938</v>
      </c>
      <c r="P390" s="16" t="s">
        <v>1498</v>
      </c>
      <c r="Q390" s="32" t="s">
        <v>1520</v>
      </c>
    </row>
    <row r="391" spans="1:17" ht="17.100000000000001" customHeight="1">
      <c r="A391" s="21">
        <v>45838</v>
      </c>
      <c r="B391" s="15" t="s">
        <v>79</v>
      </c>
      <c r="C391" s="16" t="s">
        <v>1941</v>
      </c>
      <c r="D391" s="16" t="s">
        <v>1934</v>
      </c>
      <c r="E391" s="16" t="s">
        <v>1953</v>
      </c>
      <c r="F391" s="16" t="s">
        <v>48</v>
      </c>
      <c r="G391" s="16" t="s">
        <v>48</v>
      </c>
      <c r="H391" s="16" t="s">
        <v>48</v>
      </c>
      <c r="I391" s="16" t="s">
        <v>48</v>
      </c>
      <c r="J391" s="16" t="s">
        <v>48</v>
      </c>
      <c r="K391" s="16" t="s">
        <v>48</v>
      </c>
      <c r="L391" s="16" t="s">
        <v>48</v>
      </c>
      <c r="M391" s="16" t="s">
        <v>48</v>
      </c>
      <c r="N391" s="16">
        <v>27</v>
      </c>
      <c r="O391" s="16" t="s">
        <v>1938</v>
      </c>
      <c r="P391" s="16" t="s">
        <v>1498</v>
      </c>
      <c r="Q391" s="32" t="s">
        <v>1520</v>
      </c>
    </row>
    <row r="392" spans="1:17" ht="17.100000000000001" customHeight="1">
      <c r="A392" s="21">
        <v>45838</v>
      </c>
      <c r="B392" s="15" t="s">
        <v>79</v>
      </c>
      <c r="C392" s="16" t="s">
        <v>1941</v>
      </c>
      <c r="D392" s="16" t="s">
        <v>1934</v>
      </c>
      <c r="E392" s="16" t="s">
        <v>1953</v>
      </c>
      <c r="F392" s="16" t="s">
        <v>48</v>
      </c>
      <c r="G392" s="16" t="s">
        <v>48</v>
      </c>
      <c r="H392" s="16" t="s">
        <v>48</v>
      </c>
      <c r="I392" s="16" t="s">
        <v>48</v>
      </c>
      <c r="J392" s="16" t="s">
        <v>48</v>
      </c>
      <c r="K392" s="16" t="s">
        <v>48</v>
      </c>
      <c r="L392" s="16" t="s">
        <v>48</v>
      </c>
      <c r="M392" s="16" t="s">
        <v>48</v>
      </c>
      <c r="N392" s="16">
        <v>4</v>
      </c>
      <c r="O392" s="16" t="s">
        <v>1938</v>
      </c>
      <c r="P392" s="16" t="s">
        <v>1498</v>
      </c>
      <c r="Q392" s="32" t="s">
        <v>1520</v>
      </c>
    </row>
    <row r="393" spans="1:17" ht="17.100000000000001" customHeight="1">
      <c r="A393" s="21">
        <v>45838</v>
      </c>
      <c r="B393" s="15" t="s">
        <v>338</v>
      </c>
      <c r="C393" s="16" t="s">
        <v>1941</v>
      </c>
      <c r="D393" s="16" t="s">
        <v>48</v>
      </c>
      <c r="E393" s="16" t="s">
        <v>48</v>
      </c>
      <c r="F393" s="16" t="s">
        <v>48</v>
      </c>
      <c r="G393" s="16" t="s">
        <v>48</v>
      </c>
      <c r="H393" s="16" t="s">
        <v>48</v>
      </c>
      <c r="I393" s="16" t="s">
        <v>48</v>
      </c>
      <c r="J393" s="16" t="s">
        <v>48</v>
      </c>
      <c r="K393" s="16" t="s">
        <v>48</v>
      </c>
      <c r="L393" s="16" t="s">
        <v>48</v>
      </c>
      <c r="M393" s="16" t="s">
        <v>48</v>
      </c>
      <c r="N393" s="16">
        <v>2000</v>
      </c>
      <c r="O393" s="16" t="s">
        <v>1954</v>
      </c>
      <c r="P393" s="16" t="s">
        <v>1568</v>
      </c>
      <c r="Q393" s="32" t="s">
        <v>1569</v>
      </c>
    </row>
    <row r="394" spans="1:17" ht="17.100000000000001" customHeight="1">
      <c r="A394" s="21">
        <v>45838</v>
      </c>
      <c r="B394" s="15" t="s">
        <v>214</v>
      </c>
      <c r="C394" s="16" t="s">
        <v>1941</v>
      </c>
      <c r="D394" s="16" t="s">
        <v>48</v>
      </c>
      <c r="E394" s="16" t="s">
        <v>48</v>
      </c>
      <c r="F394" s="16" t="s">
        <v>48</v>
      </c>
      <c r="G394" s="16" t="s">
        <v>48</v>
      </c>
      <c r="H394" s="16" t="s">
        <v>48</v>
      </c>
      <c r="I394" s="16" t="s">
        <v>48</v>
      </c>
      <c r="J394" s="16" t="s">
        <v>48</v>
      </c>
      <c r="K394" s="16" t="s">
        <v>48</v>
      </c>
      <c r="L394" s="16" t="s">
        <v>48</v>
      </c>
      <c r="M394" s="16" t="s">
        <v>48</v>
      </c>
      <c r="N394" s="16">
        <v>600</v>
      </c>
      <c r="O394" s="16" t="s">
        <v>1955</v>
      </c>
      <c r="P394" s="16" t="s">
        <v>1956</v>
      </c>
      <c r="Q394" s="32" t="s">
        <v>1957</v>
      </c>
    </row>
    <row r="395" spans="1:17" ht="17.100000000000001" customHeight="1">
      <c r="A395" s="21"/>
      <c r="B395" s="15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32"/>
    </row>
    <row r="396" spans="1:17" ht="17.100000000000001" customHeight="1">
      <c r="A396" s="17"/>
      <c r="B396" s="15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32"/>
    </row>
    <row r="397" spans="1:17" ht="17.100000000000001" customHeight="1">
      <c r="A397" s="17"/>
      <c r="B397" s="15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32"/>
    </row>
    <row r="398" spans="1:17" ht="17.100000000000001" customHeight="1" thickBot="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16"/>
      <c r="Q398" s="32"/>
    </row>
    <row r="399" spans="1:17">
      <c r="A399" s="25" t="s">
        <v>352</v>
      </c>
      <c r="B399" s="13"/>
      <c r="C399" s="13"/>
      <c r="D399" s="12"/>
      <c r="E399" s="13"/>
      <c r="H399" s="13"/>
      <c r="I399" s="13"/>
      <c r="J399" s="12"/>
      <c r="K399" s="13"/>
      <c r="L399" s="12" t="s">
        <v>18</v>
      </c>
      <c r="M399" s="12"/>
      <c r="N399" s="14"/>
    </row>
    <row r="400" spans="1:17">
      <c r="M400" s="2" t="s">
        <v>19</v>
      </c>
    </row>
    <row r="401" spans="13:13">
      <c r="M401" s="2" t="s">
        <v>20</v>
      </c>
    </row>
    <row r="402" spans="13:13">
      <c r="M402" s="2" t="s">
        <v>21</v>
      </c>
    </row>
    <row r="403" spans="13:13">
      <c r="M403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conditionalFormatting sqref="B137">
    <cfRule type="expression" dxfId="25" priority="1">
      <formula>$AF137="OK"</formula>
    </cfRule>
    <cfRule type="expression" dxfId="24" priority="4">
      <formula>$AF137="LACKING"</formula>
    </cfRule>
    <cfRule type="expression" dxfId="23" priority="5">
      <formula>$AF137="PARTIAL"</formula>
    </cfRule>
    <cfRule type="expression" dxfId="22" priority="6">
      <formula>$AF137="OK"</formula>
    </cfRule>
    <cfRule type="expression" dxfId="21" priority="7">
      <formula>$AF137="FOR POSTING"</formula>
    </cfRule>
    <cfRule type="expression" dxfId="20" priority="9">
      <formula>$AF138="LACKING"</formula>
    </cfRule>
    <cfRule type="expression" dxfId="19" priority="10">
      <formula>$AF138="PARTIAL"</formula>
    </cfRule>
    <cfRule type="expression" dxfId="18" priority="11">
      <formula>$AF137="OK"</formula>
    </cfRule>
    <cfRule type="expression" dxfId="17" priority="13">
      <formula>#REF!="OK"</formula>
    </cfRule>
    <cfRule type="expression" dxfId="16" priority="14">
      <formula>$AF137="LACKING"</formula>
    </cfRule>
    <cfRule type="expression" dxfId="15" priority="15">
      <formula>$AF137="PARTIAL"</formula>
    </cfRule>
    <cfRule type="expression" dxfId="14" priority="16">
      <formula>$AF137="OK"</formula>
    </cfRule>
    <cfRule type="expression" dxfId="13" priority="17">
      <formula>$AF137="FOR POSTING"</formula>
    </cfRule>
    <cfRule type="expression" dxfId="12" priority="18">
      <formula>#REF!="OK"</formula>
    </cfRule>
    <cfRule type="expression" dxfId="11" priority="19">
      <formula>$AF138="LACKING"</formula>
    </cfRule>
    <cfRule type="expression" dxfId="10" priority="20">
      <formula>$AF138="PARTIAL"</formula>
    </cfRule>
  </conditionalFormatting>
  <printOptions horizontalCentered="1" verticalCentered="1"/>
  <pageMargins left="0.01" right="0.01" top="0.25" bottom="0.25" header="0.25" footer="0.25"/>
  <pageSetup paperSize="9" scale="1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Q214"/>
  <sheetViews>
    <sheetView view="pageBreakPreview" topLeftCell="A175" zoomScaleNormal="100" zoomScaleSheetLayoutView="100" workbookViewId="0">
      <selection activeCell="E178" sqref="E178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27.28515625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/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21">
        <v>45839</v>
      </c>
      <c r="B9" s="15" t="s">
        <v>174</v>
      </c>
      <c r="C9" s="16" t="s">
        <v>1958</v>
      </c>
      <c r="D9" s="16" t="s">
        <v>1942</v>
      </c>
      <c r="E9" s="16" t="s">
        <v>1953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f>46/2</f>
        <v>23</v>
      </c>
      <c r="O9" s="16" t="s">
        <v>1973</v>
      </c>
      <c r="P9" s="15" t="s">
        <v>1974</v>
      </c>
      <c r="Q9" s="33" t="s">
        <v>1976</v>
      </c>
    </row>
    <row r="10" spans="1:17" ht="17.100000000000001" customHeight="1">
      <c r="A10" s="21">
        <v>45839</v>
      </c>
      <c r="B10" s="15" t="s">
        <v>174</v>
      </c>
      <c r="C10" s="16" t="s">
        <v>1958</v>
      </c>
      <c r="D10" s="16" t="s">
        <v>1942</v>
      </c>
      <c r="E10" s="16" t="s">
        <v>1959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f>56/2</f>
        <v>28</v>
      </c>
      <c r="O10" s="16" t="s">
        <v>1973</v>
      </c>
      <c r="P10" s="15" t="s">
        <v>1974</v>
      </c>
      <c r="Q10" s="33" t="s">
        <v>1976</v>
      </c>
    </row>
    <row r="11" spans="1:17" ht="17.100000000000001" customHeight="1">
      <c r="A11" s="21">
        <v>45839</v>
      </c>
      <c r="B11" s="15" t="s">
        <v>174</v>
      </c>
      <c r="C11" s="16" t="s">
        <v>1958</v>
      </c>
      <c r="D11" s="16" t="s">
        <v>1942</v>
      </c>
      <c r="E11" s="16" t="s">
        <v>1960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54</v>
      </c>
      <c r="O11" s="16" t="s">
        <v>1973</v>
      </c>
      <c r="P11" s="15" t="s">
        <v>1974</v>
      </c>
      <c r="Q11" s="33" t="s">
        <v>1976</v>
      </c>
    </row>
    <row r="12" spans="1:17" ht="17.100000000000001" customHeight="1">
      <c r="A12" s="21">
        <v>45839</v>
      </c>
      <c r="B12" s="15" t="s">
        <v>174</v>
      </c>
      <c r="C12" s="16" t="s">
        <v>1958</v>
      </c>
      <c r="D12" s="16" t="s">
        <v>1942</v>
      </c>
      <c r="E12" s="16" t="s">
        <v>1961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54</v>
      </c>
      <c r="O12" s="16" t="s">
        <v>1973</v>
      </c>
      <c r="P12" s="15" t="s">
        <v>1974</v>
      </c>
      <c r="Q12" s="33" t="s">
        <v>1976</v>
      </c>
    </row>
    <row r="13" spans="1:17" ht="17.100000000000001" customHeight="1">
      <c r="A13" s="21">
        <v>45839</v>
      </c>
      <c r="B13" s="15" t="s">
        <v>174</v>
      </c>
      <c r="C13" s="16" t="s">
        <v>1958</v>
      </c>
      <c r="D13" s="16" t="s">
        <v>1942</v>
      </c>
      <c r="E13" s="16" t="s">
        <v>1962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54</v>
      </c>
      <c r="O13" s="16" t="s">
        <v>1973</v>
      </c>
      <c r="P13" s="15" t="s">
        <v>1974</v>
      </c>
      <c r="Q13" s="33" t="s">
        <v>1976</v>
      </c>
    </row>
    <row r="14" spans="1:17" ht="17.100000000000001" customHeight="1">
      <c r="A14" s="21">
        <v>45839</v>
      </c>
      <c r="B14" s="15" t="s">
        <v>174</v>
      </c>
      <c r="C14" s="16" t="s">
        <v>1958</v>
      </c>
      <c r="D14" s="16" t="s">
        <v>1942</v>
      </c>
      <c r="E14" s="16" t="s">
        <v>1963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27</v>
      </c>
      <c r="O14" s="16" t="s">
        <v>1973</v>
      </c>
      <c r="P14" s="15" t="s">
        <v>1974</v>
      </c>
      <c r="Q14" s="33" t="s">
        <v>1976</v>
      </c>
    </row>
    <row r="15" spans="1:17" ht="17.100000000000001" customHeight="1">
      <c r="A15" s="21">
        <v>45839</v>
      </c>
      <c r="B15" s="15" t="s">
        <v>174</v>
      </c>
      <c r="C15" s="16" t="s">
        <v>1958</v>
      </c>
      <c r="D15" s="16" t="s">
        <v>1942</v>
      </c>
      <c r="E15" s="16" t="s">
        <v>1964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54</v>
      </c>
      <c r="O15" s="16" t="s">
        <v>1973</v>
      </c>
      <c r="P15" s="15" t="s">
        <v>1974</v>
      </c>
      <c r="Q15" s="33" t="s">
        <v>1976</v>
      </c>
    </row>
    <row r="16" spans="1:17" ht="17.100000000000001" customHeight="1">
      <c r="A16" s="21">
        <v>45839</v>
      </c>
      <c r="B16" s="15" t="s">
        <v>174</v>
      </c>
      <c r="C16" s="16" t="s">
        <v>1958</v>
      </c>
      <c r="D16" s="16" t="s">
        <v>1853</v>
      </c>
      <c r="E16" s="16" t="s">
        <v>1965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54</v>
      </c>
      <c r="O16" s="16" t="s">
        <v>1973</v>
      </c>
      <c r="P16" s="15" t="s">
        <v>1974</v>
      </c>
      <c r="Q16" s="33" t="s">
        <v>1976</v>
      </c>
    </row>
    <row r="17" spans="1:17" ht="17.100000000000001" customHeight="1">
      <c r="A17" s="21">
        <v>45839</v>
      </c>
      <c r="B17" s="15" t="s">
        <v>174</v>
      </c>
      <c r="C17" s="16" t="s">
        <v>1958</v>
      </c>
      <c r="D17" s="16" t="s">
        <v>1853</v>
      </c>
      <c r="E17" s="16" t="s">
        <v>1966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27</v>
      </c>
      <c r="O17" s="16" t="s">
        <v>1973</v>
      </c>
      <c r="P17" s="15" t="s">
        <v>1974</v>
      </c>
      <c r="Q17" s="33" t="s">
        <v>1976</v>
      </c>
    </row>
    <row r="18" spans="1:17" ht="17.100000000000001" customHeight="1">
      <c r="A18" s="21">
        <v>45839</v>
      </c>
      <c r="B18" s="15" t="s">
        <v>174</v>
      </c>
      <c r="C18" s="16" t="s">
        <v>1958</v>
      </c>
      <c r="D18" s="16" t="s">
        <v>1853</v>
      </c>
      <c r="E18" s="16" t="s">
        <v>1967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27</v>
      </c>
      <c r="O18" s="16" t="s">
        <v>1973</v>
      </c>
      <c r="P18" s="15" t="s">
        <v>1974</v>
      </c>
      <c r="Q18" s="33" t="s">
        <v>1976</v>
      </c>
    </row>
    <row r="19" spans="1:17" ht="17.100000000000001" customHeight="1">
      <c r="A19" s="21">
        <v>45839</v>
      </c>
      <c r="B19" s="15" t="s">
        <v>174</v>
      </c>
      <c r="C19" s="16" t="s">
        <v>1958</v>
      </c>
      <c r="D19" s="16" t="s">
        <v>1853</v>
      </c>
      <c r="E19" s="16" t="s">
        <v>1968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27</v>
      </c>
      <c r="O19" s="16" t="s">
        <v>1973</v>
      </c>
      <c r="P19" s="15" t="s">
        <v>1974</v>
      </c>
      <c r="Q19" s="33" t="s">
        <v>1976</v>
      </c>
    </row>
    <row r="20" spans="1:17" ht="17.100000000000001" customHeight="1">
      <c r="A20" s="21">
        <v>45839</v>
      </c>
      <c r="B20" s="15" t="s">
        <v>174</v>
      </c>
      <c r="C20" s="16" t="s">
        <v>1958</v>
      </c>
      <c r="D20" s="16" t="s">
        <v>1853</v>
      </c>
      <c r="E20" s="16" t="s">
        <v>1966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27</v>
      </c>
      <c r="O20" s="16" t="s">
        <v>1973</v>
      </c>
      <c r="P20" s="15" t="s">
        <v>1974</v>
      </c>
      <c r="Q20" s="33" t="s">
        <v>1976</v>
      </c>
    </row>
    <row r="21" spans="1:17" ht="17.100000000000001" customHeight="1">
      <c r="A21" s="21">
        <v>45839</v>
      </c>
      <c r="B21" s="15" t="s">
        <v>174</v>
      </c>
      <c r="C21" s="16" t="s">
        <v>1958</v>
      </c>
      <c r="D21" s="16" t="s">
        <v>1853</v>
      </c>
      <c r="E21" s="16" t="s">
        <v>1967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27</v>
      </c>
      <c r="O21" s="16" t="s">
        <v>1973</v>
      </c>
      <c r="P21" s="15" t="s">
        <v>1974</v>
      </c>
      <c r="Q21" s="33" t="s">
        <v>1976</v>
      </c>
    </row>
    <row r="22" spans="1:17" ht="17.100000000000001" customHeight="1">
      <c r="A22" s="21">
        <v>45839</v>
      </c>
      <c r="B22" s="15" t="s">
        <v>174</v>
      </c>
      <c r="C22" s="16" t="s">
        <v>1958</v>
      </c>
      <c r="D22" s="16" t="s">
        <v>1853</v>
      </c>
      <c r="E22" s="16" t="s">
        <v>1968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17</v>
      </c>
      <c r="O22" s="16" t="s">
        <v>1973</v>
      </c>
      <c r="P22" s="15" t="s">
        <v>1974</v>
      </c>
      <c r="Q22" s="33" t="s">
        <v>1976</v>
      </c>
    </row>
    <row r="23" spans="1:17" ht="17.100000000000001" customHeight="1">
      <c r="A23" s="21">
        <v>45839</v>
      </c>
      <c r="B23" s="15" t="s">
        <v>174</v>
      </c>
      <c r="C23" s="16" t="s">
        <v>1958</v>
      </c>
      <c r="D23" s="16" t="s">
        <v>1969</v>
      </c>
      <c r="E23" s="16" t="s">
        <v>1968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10</v>
      </c>
      <c r="O23" s="16" t="s">
        <v>1973</v>
      </c>
      <c r="P23" s="15" t="s">
        <v>1975</v>
      </c>
      <c r="Q23" s="33" t="s">
        <v>1977</v>
      </c>
    </row>
    <row r="24" spans="1:17" ht="17.100000000000001" customHeight="1">
      <c r="A24" s="21">
        <v>45839</v>
      </c>
      <c r="B24" s="15" t="s">
        <v>174</v>
      </c>
      <c r="C24" s="16" t="s">
        <v>1958</v>
      </c>
      <c r="D24" s="16" t="s">
        <v>1969</v>
      </c>
      <c r="E24" s="16" t="s">
        <v>1970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27</v>
      </c>
      <c r="O24" s="16" t="s">
        <v>1973</v>
      </c>
      <c r="P24" s="15" t="s">
        <v>1975</v>
      </c>
      <c r="Q24" s="33" t="s">
        <v>1977</v>
      </c>
    </row>
    <row r="25" spans="1:17" ht="17.100000000000001" customHeight="1">
      <c r="A25" s="21">
        <v>45839</v>
      </c>
      <c r="B25" s="15" t="s">
        <v>174</v>
      </c>
      <c r="C25" s="16" t="s">
        <v>1958</v>
      </c>
      <c r="D25" s="16" t="s">
        <v>1969</v>
      </c>
      <c r="E25" s="16" t="s">
        <v>1972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27</v>
      </c>
      <c r="O25" s="16" t="s">
        <v>1973</v>
      </c>
      <c r="P25" s="15" t="s">
        <v>1975</v>
      </c>
      <c r="Q25" s="33" t="s">
        <v>1977</v>
      </c>
    </row>
    <row r="26" spans="1:17" ht="17.100000000000001" customHeight="1">
      <c r="A26" s="21">
        <v>45839</v>
      </c>
      <c r="B26" s="15" t="s">
        <v>174</v>
      </c>
      <c r="C26" s="16" t="s">
        <v>1958</v>
      </c>
      <c r="D26" s="16" t="s">
        <v>1969</v>
      </c>
      <c r="E26" s="16" t="s">
        <v>1971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11</v>
      </c>
      <c r="O26" s="16" t="s">
        <v>1973</v>
      </c>
      <c r="P26" s="15" t="s">
        <v>1975</v>
      </c>
      <c r="Q26" s="33" t="s">
        <v>1977</v>
      </c>
    </row>
    <row r="27" spans="1:17" ht="17.100000000000001" customHeight="1">
      <c r="A27" s="21">
        <v>45839</v>
      </c>
      <c r="B27" s="15" t="s">
        <v>663</v>
      </c>
      <c r="C27" s="16" t="s">
        <v>1958</v>
      </c>
      <c r="D27" s="16" t="s">
        <v>48</v>
      </c>
      <c r="E27" s="16" t="s">
        <v>1971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7</v>
      </c>
      <c r="O27" s="16" t="s">
        <v>300</v>
      </c>
      <c r="P27" s="16" t="s">
        <v>1978</v>
      </c>
      <c r="Q27" s="48" t="s">
        <v>1979</v>
      </c>
    </row>
    <row r="28" spans="1:17" ht="17.100000000000001" customHeight="1">
      <c r="A28" s="21">
        <v>45839</v>
      </c>
      <c r="B28" s="15" t="s">
        <v>235</v>
      </c>
      <c r="C28" s="16" t="s">
        <v>1958</v>
      </c>
      <c r="D28" s="16" t="s">
        <v>48</v>
      </c>
      <c r="E28" s="16" t="s">
        <v>48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1980</v>
      </c>
      <c r="N28" s="16">
        <v>30</v>
      </c>
      <c r="O28" s="16" t="s">
        <v>55</v>
      </c>
      <c r="P28" s="16" t="s">
        <v>1981</v>
      </c>
      <c r="Q28" s="32" t="s">
        <v>1982</v>
      </c>
    </row>
    <row r="29" spans="1:17" ht="17.100000000000001" customHeight="1">
      <c r="A29" s="21">
        <v>45839</v>
      </c>
      <c r="B29" s="15" t="s">
        <v>222</v>
      </c>
      <c r="C29" s="16" t="s">
        <v>1958</v>
      </c>
      <c r="D29" s="16" t="s">
        <v>48</v>
      </c>
      <c r="E29" s="16" t="s">
        <v>48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1983</v>
      </c>
      <c r="N29" s="16">
        <v>16</v>
      </c>
      <c r="O29" s="16" t="s">
        <v>55</v>
      </c>
      <c r="P29" s="16" t="s">
        <v>1984</v>
      </c>
      <c r="Q29" s="32" t="s">
        <v>1985</v>
      </c>
    </row>
    <row r="30" spans="1:17" ht="17.100000000000001" customHeight="1">
      <c r="A30" s="21">
        <v>45839</v>
      </c>
      <c r="B30" s="15" t="s">
        <v>220</v>
      </c>
      <c r="C30" s="16" t="s">
        <v>1958</v>
      </c>
      <c r="D30" s="16" t="s">
        <v>1986</v>
      </c>
      <c r="E30" s="16" t="s">
        <v>1987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1983</v>
      </c>
      <c r="N30" s="16">
        <v>50</v>
      </c>
      <c r="O30" s="16" t="s">
        <v>790</v>
      </c>
      <c r="P30" s="16" t="s">
        <v>1988</v>
      </c>
      <c r="Q30" s="32" t="s">
        <v>1989</v>
      </c>
    </row>
    <row r="31" spans="1:17" ht="17.100000000000001" customHeight="1">
      <c r="A31" s="21">
        <v>45839</v>
      </c>
      <c r="B31" s="15" t="s">
        <v>101</v>
      </c>
      <c r="C31" s="16" t="s">
        <v>1958</v>
      </c>
      <c r="D31" s="16" t="s">
        <v>48</v>
      </c>
      <c r="E31" s="16" t="s">
        <v>48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1983</v>
      </c>
      <c r="N31" s="16">
        <v>150</v>
      </c>
      <c r="O31" s="16" t="s">
        <v>1990</v>
      </c>
      <c r="P31" s="16" t="s">
        <v>1991</v>
      </c>
      <c r="Q31" s="32" t="s">
        <v>1992</v>
      </c>
    </row>
    <row r="32" spans="1:17" ht="17.100000000000001" customHeight="1">
      <c r="A32" s="21">
        <v>45840</v>
      </c>
      <c r="B32" s="15" t="s">
        <v>174</v>
      </c>
      <c r="C32" s="16" t="s">
        <v>1993</v>
      </c>
      <c r="D32" s="16" t="s">
        <v>1969</v>
      </c>
      <c r="E32" s="16" t="s">
        <v>1971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16</v>
      </c>
      <c r="O32" s="16" t="s">
        <v>1997</v>
      </c>
      <c r="P32" s="15" t="s">
        <v>1975</v>
      </c>
      <c r="Q32" s="33" t="s">
        <v>1977</v>
      </c>
    </row>
    <row r="33" spans="1:17" ht="17.100000000000001" customHeight="1">
      <c r="A33" s="21">
        <v>45840</v>
      </c>
      <c r="B33" s="15" t="s">
        <v>174</v>
      </c>
      <c r="C33" s="16" t="s">
        <v>1993</v>
      </c>
      <c r="D33" s="16" t="s">
        <v>1969</v>
      </c>
      <c r="E33" s="16" t="s">
        <v>1972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27</v>
      </c>
      <c r="O33" s="16" t="s">
        <v>1997</v>
      </c>
      <c r="P33" s="15" t="s">
        <v>1975</v>
      </c>
      <c r="Q33" s="33" t="s">
        <v>1977</v>
      </c>
    </row>
    <row r="34" spans="1:17" ht="17.100000000000001" customHeight="1">
      <c r="A34" s="21">
        <v>45840</v>
      </c>
      <c r="B34" s="15" t="s">
        <v>174</v>
      </c>
      <c r="C34" s="16" t="s">
        <v>1993</v>
      </c>
      <c r="D34" s="16" t="s">
        <v>1969</v>
      </c>
      <c r="E34" s="16" t="s">
        <v>1994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27</v>
      </c>
      <c r="O34" s="16" t="s">
        <v>1997</v>
      </c>
      <c r="P34" s="15" t="s">
        <v>1975</v>
      </c>
      <c r="Q34" s="33" t="s">
        <v>1977</v>
      </c>
    </row>
    <row r="35" spans="1:17" ht="17.100000000000001" customHeight="1">
      <c r="A35" s="21">
        <v>45840</v>
      </c>
      <c r="B35" s="15" t="s">
        <v>174</v>
      </c>
      <c r="C35" s="16" t="s">
        <v>1993</v>
      </c>
      <c r="D35" s="16" t="s">
        <v>1969</v>
      </c>
      <c r="E35" s="16" t="s">
        <v>1972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27</v>
      </c>
      <c r="O35" s="16" t="s">
        <v>1997</v>
      </c>
      <c r="P35" s="15" t="s">
        <v>1975</v>
      </c>
      <c r="Q35" s="33" t="s">
        <v>1977</v>
      </c>
    </row>
    <row r="36" spans="1:17" ht="17.100000000000001" customHeight="1">
      <c r="A36" s="21">
        <v>45840</v>
      </c>
      <c r="B36" s="15" t="s">
        <v>174</v>
      </c>
      <c r="C36" s="16" t="s">
        <v>1993</v>
      </c>
      <c r="D36" s="16" t="s">
        <v>1969</v>
      </c>
      <c r="E36" s="16" t="s">
        <v>1994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27</v>
      </c>
      <c r="O36" s="16" t="s">
        <v>1997</v>
      </c>
      <c r="P36" s="15" t="s">
        <v>1975</v>
      </c>
      <c r="Q36" s="33" t="s">
        <v>1977</v>
      </c>
    </row>
    <row r="37" spans="1:17" ht="17.100000000000001" customHeight="1">
      <c r="A37" s="21">
        <v>45840</v>
      </c>
      <c r="B37" s="15" t="s">
        <v>174</v>
      </c>
      <c r="C37" s="16" t="s">
        <v>1993</v>
      </c>
      <c r="D37" s="16" t="s">
        <v>1969</v>
      </c>
      <c r="E37" s="16" t="s">
        <v>1970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27</v>
      </c>
      <c r="O37" s="16" t="s">
        <v>1997</v>
      </c>
      <c r="P37" s="15" t="s">
        <v>1975</v>
      </c>
      <c r="Q37" s="33" t="s">
        <v>1977</v>
      </c>
    </row>
    <row r="38" spans="1:17" ht="17.100000000000001" customHeight="1">
      <c r="A38" s="21">
        <v>45840</v>
      </c>
      <c r="B38" s="15" t="s">
        <v>174</v>
      </c>
      <c r="C38" s="16" t="s">
        <v>1993</v>
      </c>
      <c r="D38" s="16" t="s">
        <v>1969</v>
      </c>
      <c r="E38" s="16" t="s">
        <v>1995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54</v>
      </c>
      <c r="O38" s="16" t="s">
        <v>1997</v>
      </c>
      <c r="P38" s="15" t="s">
        <v>1975</v>
      </c>
      <c r="Q38" s="33" t="s">
        <v>1977</v>
      </c>
    </row>
    <row r="39" spans="1:17" ht="17.100000000000001" customHeight="1">
      <c r="A39" s="21">
        <v>45840</v>
      </c>
      <c r="B39" s="15" t="s">
        <v>174</v>
      </c>
      <c r="C39" s="16" t="s">
        <v>1993</v>
      </c>
      <c r="D39" s="16" t="s">
        <v>1969</v>
      </c>
      <c r="E39" s="16" t="s">
        <v>1996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27</v>
      </c>
      <c r="O39" s="16" t="s">
        <v>1997</v>
      </c>
      <c r="P39" s="15" t="s">
        <v>1975</v>
      </c>
      <c r="Q39" s="33" t="s">
        <v>1977</v>
      </c>
    </row>
    <row r="40" spans="1:17" ht="17.100000000000001" customHeight="1">
      <c r="A40" s="21">
        <v>45840</v>
      </c>
      <c r="B40" s="15" t="s">
        <v>174</v>
      </c>
      <c r="C40" s="16" t="s">
        <v>1993</v>
      </c>
      <c r="D40" s="16" t="s">
        <v>1969</v>
      </c>
      <c r="E40" s="16" t="s">
        <v>1971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27</v>
      </c>
      <c r="O40" s="16" t="s">
        <v>1997</v>
      </c>
      <c r="P40" s="15" t="s">
        <v>1975</v>
      </c>
      <c r="Q40" s="33" t="s">
        <v>1977</v>
      </c>
    </row>
    <row r="41" spans="1:17" ht="17.100000000000001" customHeight="1">
      <c r="A41" s="21">
        <v>45840</v>
      </c>
      <c r="B41" s="15" t="s">
        <v>174</v>
      </c>
      <c r="C41" s="16" t="s">
        <v>1993</v>
      </c>
      <c r="D41" s="16" t="s">
        <v>1969</v>
      </c>
      <c r="E41" s="16" t="s">
        <v>1998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54</v>
      </c>
      <c r="O41" s="16" t="s">
        <v>1997</v>
      </c>
      <c r="P41" s="15" t="s">
        <v>1975</v>
      </c>
      <c r="Q41" s="33" t="s">
        <v>1977</v>
      </c>
    </row>
    <row r="42" spans="1:17" ht="17.100000000000001" customHeight="1">
      <c r="A42" s="21">
        <v>45840</v>
      </c>
      <c r="B42" s="15" t="s">
        <v>174</v>
      </c>
      <c r="C42" s="16" t="s">
        <v>1993</v>
      </c>
      <c r="D42" s="16" t="s">
        <v>1969</v>
      </c>
      <c r="E42" s="16" t="s">
        <v>1999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27</v>
      </c>
      <c r="O42" s="16" t="s">
        <v>1997</v>
      </c>
      <c r="P42" s="15" t="s">
        <v>1975</v>
      </c>
      <c r="Q42" s="33" t="s">
        <v>1977</v>
      </c>
    </row>
    <row r="43" spans="1:17" ht="17.100000000000001" customHeight="1">
      <c r="A43" s="21">
        <v>45840</v>
      </c>
      <c r="B43" s="15" t="s">
        <v>174</v>
      </c>
      <c r="C43" s="16" t="s">
        <v>1993</v>
      </c>
      <c r="D43" s="16" t="s">
        <v>1969</v>
      </c>
      <c r="E43" s="16" t="s">
        <v>2000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31</v>
      </c>
      <c r="O43" s="16" t="s">
        <v>1997</v>
      </c>
      <c r="P43" s="15" t="s">
        <v>1975</v>
      </c>
      <c r="Q43" s="33" t="s">
        <v>1977</v>
      </c>
    </row>
    <row r="44" spans="1:17" ht="17.100000000000001" customHeight="1">
      <c r="A44" s="21">
        <v>45840</v>
      </c>
      <c r="B44" s="15" t="s">
        <v>174</v>
      </c>
      <c r="C44" s="16" t="s">
        <v>1993</v>
      </c>
      <c r="D44" s="16" t="s">
        <v>1969</v>
      </c>
      <c r="E44" s="16" t="s">
        <v>2001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27</v>
      </c>
      <c r="O44" s="16" t="s">
        <v>1997</v>
      </c>
      <c r="P44" s="15" t="s">
        <v>1975</v>
      </c>
      <c r="Q44" s="33" t="s">
        <v>1977</v>
      </c>
    </row>
    <row r="45" spans="1:17" ht="17.100000000000001" customHeight="1">
      <c r="A45" s="21">
        <v>45840</v>
      </c>
      <c r="B45" s="15" t="s">
        <v>174</v>
      </c>
      <c r="C45" s="16" t="s">
        <v>1993</v>
      </c>
      <c r="D45" s="16" t="s">
        <v>1969</v>
      </c>
      <c r="E45" s="16" t="s">
        <v>2002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27</v>
      </c>
      <c r="O45" s="16" t="s">
        <v>1997</v>
      </c>
      <c r="P45" s="15" t="s">
        <v>1975</v>
      </c>
      <c r="Q45" s="33" t="s">
        <v>1977</v>
      </c>
    </row>
    <row r="46" spans="1:17" ht="17.100000000000001" customHeight="1">
      <c r="A46" s="21">
        <v>45840</v>
      </c>
      <c r="B46" s="15" t="s">
        <v>2004</v>
      </c>
      <c r="C46" s="16" t="s">
        <v>1993</v>
      </c>
      <c r="D46" s="16" t="s">
        <v>2003</v>
      </c>
      <c r="E46" s="16" t="s">
        <v>48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10</v>
      </c>
      <c r="O46" s="16" t="s">
        <v>2005</v>
      </c>
      <c r="P46" s="16" t="s">
        <v>2006</v>
      </c>
      <c r="Q46" s="32" t="s">
        <v>2015</v>
      </c>
    </row>
    <row r="47" spans="1:17" ht="17.100000000000001" customHeight="1">
      <c r="A47" s="21">
        <v>45840</v>
      </c>
      <c r="B47" s="15" t="s">
        <v>174</v>
      </c>
      <c r="C47" s="16" t="s">
        <v>1993</v>
      </c>
      <c r="D47" s="16" t="s">
        <v>1879</v>
      </c>
      <c r="E47" s="16" t="s">
        <v>2000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f>46/2</f>
        <v>23</v>
      </c>
      <c r="O47" s="16" t="s">
        <v>1997</v>
      </c>
      <c r="P47" s="15" t="s">
        <v>2007</v>
      </c>
      <c r="Q47" s="32" t="s">
        <v>2014</v>
      </c>
    </row>
    <row r="48" spans="1:17" ht="17.100000000000001" customHeight="1">
      <c r="A48" s="21">
        <v>45840</v>
      </c>
      <c r="B48" s="15" t="s">
        <v>174</v>
      </c>
      <c r="C48" s="16" t="s">
        <v>1993</v>
      </c>
      <c r="D48" s="16" t="s">
        <v>1879</v>
      </c>
      <c r="E48" s="16" t="s">
        <v>2008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27</v>
      </c>
      <c r="O48" s="16" t="s">
        <v>1997</v>
      </c>
      <c r="P48" s="15" t="s">
        <v>2007</v>
      </c>
      <c r="Q48" s="32" t="s">
        <v>2014</v>
      </c>
    </row>
    <row r="49" spans="1:17" ht="17.100000000000001" customHeight="1">
      <c r="A49" s="21">
        <v>45840</v>
      </c>
      <c r="B49" s="15" t="s">
        <v>174</v>
      </c>
      <c r="C49" s="16" t="s">
        <v>1993</v>
      </c>
      <c r="D49" s="16" t="s">
        <v>1879</v>
      </c>
      <c r="E49" s="16" t="s">
        <v>1999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27</v>
      </c>
      <c r="O49" s="16" t="s">
        <v>1997</v>
      </c>
      <c r="P49" s="15" t="s">
        <v>2007</v>
      </c>
      <c r="Q49" s="32" t="s">
        <v>2014</v>
      </c>
    </row>
    <row r="50" spans="1:17" ht="17.100000000000001" customHeight="1">
      <c r="A50" s="21">
        <v>45840</v>
      </c>
      <c r="B50" s="15" t="s">
        <v>174</v>
      </c>
      <c r="C50" s="16" t="s">
        <v>1993</v>
      </c>
      <c r="D50" s="16" t="s">
        <v>1879</v>
      </c>
      <c r="E50" s="16" t="s">
        <v>2001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27</v>
      </c>
      <c r="O50" s="16" t="s">
        <v>1997</v>
      </c>
      <c r="P50" s="15" t="s">
        <v>2007</v>
      </c>
      <c r="Q50" s="32" t="s">
        <v>2014</v>
      </c>
    </row>
    <row r="51" spans="1:17" ht="17.100000000000001" customHeight="1">
      <c r="A51" s="21">
        <v>45840</v>
      </c>
      <c r="B51" s="15" t="s">
        <v>174</v>
      </c>
      <c r="C51" s="16" t="s">
        <v>1993</v>
      </c>
      <c r="D51" s="16" t="s">
        <v>2009</v>
      </c>
      <c r="E51" s="16" t="s">
        <v>2002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27</v>
      </c>
      <c r="O51" s="16" t="s">
        <v>1997</v>
      </c>
      <c r="P51" s="15" t="s">
        <v>2007</v>
      </c>
      <c r="Q51" s="32" t="s">
        <v>2014</v>
      </c>
    </row>
    <row r="52" spans="1:17" ht="17.100000000000001" customHeight="1">
      <c r="A52" s="21">
        <v>45840</v>
      </c>
      <c r="B52" s="15" t="s">
        <v>174</v>
      </c>
      <c r="C52" s="16" t="s">
        <v>1993</v>
      </c>
      <c r="D52" s="16" t="s">
        <v>2009</v>
      </c>
      <c r="E52" s="16" t="s">
        <v>2010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28</v>
      </c>
      <c r="O52" s="16" t="s">
        <v>1997</v>
      </c>
      <c r="P52" s="15" t="s">
        <v>2007</v>
      </c>
      <c r="Q52" s="32" t="s">
        <v>2014</v>
      </c>
    </row>
    <row r="53" spans="1:17" ht="17.100000000000001" customHeight="1">
      <c r="A53" s="21">
        <v>45840</v>
      </c>
      <c r="B53" s="15" t="s">
        <v>174</v>
      </c>
      <c r="C53" s="16" t="s">
        <v>1993</v>
      </c>
      <c r="D53" s="16" t="s">
        <v>2009</v>
      </c>
      <c r="E53" s="16" t="s">
        <v>2011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f>27+28</f>
        <v>55</v>
      </c>
      <c r="O53" s="16" t="s">
        <v>1997</v>
      </c>
      <c r="P53" s="15" t="s">
        <v>2007</v>
      </c>
      <c r="Q53" s="32" t="s">
        <v>2014</v>
      </c>
    </row>
    <row r="54" spans="1:17" ht="17.100000000000001" customHeight="1">
      <c r="A54" s="21">
        <v>45840</v>
      </c>
      <c r="B54" s="15" t="s">
        <v>174</v>
      </c>
      <c r="C54" s="16" t="s">
        <v>1993</v>
      </c>
      <c r="D54" s="16" t="s">
        <v>1879</v>
      </c>
      <c r="E54" s="16" t="s">
        <v>2012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27</v>
      </c>
      <c r="O54" s="16" t="s">
        <v>1997</v>
      </c>
      <c r="P54" s="15" t="s">
        <v>2007</v>
      </c>
      <c r="Q54" s="32" t="s">
        <v>2014</v>
      </c>
    </row>
    <row r="55" spans="1:17" ht="17.100000000000001" customHeight="1">
      <c r="A55" s="21">
        <v>45840</v>
      </c>
      <c r="B55" s="15" t="s">
        <v>174</v>
      </c>
      <c r="C55" s="16" t="s">
        <v>1993</v>
      </c>
      <c r="D55" s="16" t="s">
        <v>1879</v>
      </c>
      <c r="E55" s="16" t="s">
        <v>2010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27</v>
      </c>
      <c r="O55" s="16" t="s">
        <v>1997</v>
      </c>
      <c r="P55" s="15" t="s">
        <v>2007</v>
      </c>
      <c r="Q55" s="32" t="s">
        <v>2014</v>
      </c>
    </row>
    <row r="56" spans="1:17" ht="17.100000000000001" customHeight="1">
      <c r="A56" s="21">
        <v>45840</v>
      </c>
      <c r="B56" s="15" t="s">
        <v>174</v>
      </c>
      <c r="C56" s="16" t="s">
        <v>1993</v>
      </c>
      <c r="D56" s="16" t="s">
        <v>1879</v>
      </c>
      <c r="E56" s="16" t="s">
        <v>2013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7</v>
      </c>
      <c r="O56" s="16" t="s">
        <v>1997</v>
      </c>
      <c r="P56" s="15" t="s">
        <v>2007</v>
      </c>
      <c r="Q56" s="32" t="s">
        <v>2014</v>
      </c>
    </row>
    <row r="57" spans="1:17" ht="17.100000000000001" customHeight="1">
      <c r="A57" s="21">
        <v>45841</v>
      </c>
      <c r="B57" s="15" t="s">
        <v>174</v>
      </c>
      <c r="C57" s="16" t="s">
        <v>2022</v>
      </c>
      <c r="D57" s="16" t="s">
        <v>1879</v>
      </c>
      <c r="E57" s="16" t="s">
        <v>2013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20</v>
      </c>
      <c r="O57" s="16" t="s">
        <v>1997</v>
      </c>
      <c r="P57" s="15" t="s">
        <v>2007</v>
      </c>
      <c r="Q57" s="32" t="s">
        <v>2014</v>
      </c>
    </row>
    <row r="58" spans="1:17" ht="17.100000000000001" customHeight="1">
      <c r="A58" s="21">
        <v>45841</v>
      </c>
      <c r="B58" s="15" t="s">
        <v>174</v>
      </c>
      <c r="C58" s="16" t="s">
        <v>2022</v>
      </c>
      <c r="D58" s="16" t="s">
        <v>1879</v>
      </c>
      <c r="E58" s="16" t="s">
        <v>2012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27</v>
      </c>
      <c r="O58" s="16" t="s">
        <v>1997</v>
      </c>
      <c r="P58" s="15" t="s">
        <v>2007</v>
      </c>
      <c r="Q58" s="32" t="s">
        <v>2014</v>
      </c>
    </row>
    <row r="59" spans="1:17" ht="17.100000000000001" customHeight="1">
      <c r="A59" s="21">
        <v>45841</v>
      </c>
      <c r="B59" s="15" t="s">
        <v>174</v>
      </c>
      <c r="C59" s="16" t="s">
        <v>2022</v>
      </c>
      <c r="D59" s="16" t="s">
        <v>1879</v>
      </c>
      <c r="E59" s="16" t="s">
        <v>2018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27</v>
      </c>
      <c r="O59" s="16" t="s">
        <v>1997</v>
      </c>
      <c r="P59" s="15" t="s">
        <v>2007</v>
      </c>
      <c r="Q59" s="32" t="s">
        <v>2014</v>
      </c>
    </row>
    <row r="60" spans="1:17" ht="17.100000000000001" customHeight="1">
      <c r="A60" s="21">
        <v>45841</v>
      </c>
      <c r="B60" s="15" t="s">
        <v>174</v>
      </c>
      <c r="C60" s="16" t="s">
        <v>2022</v>
      </c>
      <c r="D60" s="16" t="s">
        <v>1879</v>
      </c>
      <c r="E60" s="16" t="s">
        <v>2019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54</v>
      </c>
      <c r="O60" s="16" t="s">
        <v>1997</v>
      </c>
      <c r="P60" s="15" t="s">
        <v>2007</v>
      </c>
      <c r="Q60" s="32" t="s">
        <v>2014</v>
      </c>
    </row>
    <row r="61" spans="1:17" ht="17.100000000000001" customHeight="1">
      <c r="A61" s="21">
        <v>45841</v>
      </c>
      <c r="B61" s="15" t="s">
        <v>174</v>
      </c>
      <c r="C61" s="16" t="s">
        <v>2022</v>
      </c>
      <c r="D61" s="16" t="s">
        <v>1900</v>
      </c>
      <c r="E61" s="16" t="s">
        <v>2008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27</v>
      </c>
      <c r="O61" s="16" t="s">
        <v>1997</v>
      </c>
      <c r="P61" s="15" t="s">
        <v>2007</v>
      </c>
      <c r="Q61" s="32" t="s">
        <v>2014</v>
      </c>
    </row>
    <row r="62" spans="1:17" ht="17.100000000000001" customHeight="1">
      <c r="A62" s="21">
        <v>45841</v>
      </c>
      <c r="B62" s="15" t="s">
        <v>174</v>
      </c>
      <c r="C62" s="16" t="s">
        <v>2022</v>
      </c>
      <c r="D62" s="16" t="s">
        <v>1900</v>
      </c>
      <c r="E62" s="16" t="s">
        <v>2020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27</v>
      </c>
      <c r="O62" s="16" t="s">
        <v>1997</v>
      </c>
      <c r="P62" s="15" t="s">
        <v>2007</v>
      </c>
      <c r="Q62" s="32" t="s">
        <v>2014</v>
      </c>
    </row>
    <row r="63" spans="1:17" ht="17.100000000000001" customHeight="1">
      <c r="A63" s="21">
        <v>45841</v>
      </c>
      <c r="B63" s="15" t="s">
        <v>174</v>
      </c>
      <c r="C63" s="16" t="s">
        <v>2022</v>
      </c>
      <c r="D63" s="16" t="s">
        <v>1900</v>
      </c>
      <c r="E63" s="16" t="s">
        <v>2021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27</v>
      </c>
      <c r="O63" s="16" t="s">
        <v>1997</v>
      </c>
      <c r="P63" s="15" t="s">
        <v>2007</v>
      </c>
      <c r="Q63" s="32" t="s">
        <v>2014</v>
      </c>
    </row>
    <row r="64" spans="1:17" ht="17.100000000000001" customHeight="1">
      <c r="A64" s="21">
        <v>45841</v>
      </c>
      <c r="B64" s="15" t="s">
        <v>174</v>
      </c>
      <c r="C64" s="16" t="s">
        <v>2022</v>
      </c>
      <c r="D64" s="16" t="s">
        <v>1900</v>
      </c>
      <c r="E64" s="16" t="s">
        <v>2013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16</v>
      </c>
      <c r="O64" s="16" t="s">
        <v>1997</v>
      </c>
      <c r="P64" s="15" t="s">
        <v>2007</v>
      </c>
      <c r="Q64" s="32" t="s">
        <v>2014</v>
      </c>
    </row>
    <row r="65" spans="1:17" ht="17.100000000000001" customHeight="1">
      <c r="A65" s="21">
        <v>45842</v>
      </c>
      <c r="B65" s="15" t="s">
        <v>174</v>
      </c>
      <c r="C65" s="16" t="s">
        <v>2035</v>
      </c>
      <c r="D65" s="16" t="s">
        <v>2025</v>
      </c>
      <c r="E65" s="16" t="s">
        <v>2013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f>27-16</f>
        <v>11</v>
      </c>
      <c r="O65" s="16" t="s">
        <v>2036</v>
      </c>
      <c r="P65" s="16" t="s">
        <v>2023</v>
      </c>
      <c r="Q65" s="32" t="s">
        <v>2024</v>
      </c>
    </row>
    <row r="66" spans="1:17" ht="17.100000000000001" customHeight="1">
      <c r="A66" s="21">
        <v>45842</v>
      </c>
      <c r="B66" s="15" t="s">
        <v>174</v>
      </c>
      <c r="C66" s="16" t="s">
        <v>2035</v>
      </c>
      <c r="D66" s="16" t="s">
        <v>2025</v>
      </c>
      <c r="E66" s="16" t="s">
        <v>2020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27</v>
      </c>
      <c r="O66" s="16" t="s">
        <v>2036</v>
      </c>
      <c r="P66" s="16" t="s">
        <v>2023</v>
      </c>
      <c r="Q66" s="32" t="s">
        <v>2024</v>
      </c>
    </row>
    <row r="67" spans="1:17" ht="17.100000000000001" customHeight="1">
      <c r="A67" s="21">
        <v>45842</v>
      </c>
      <c r="B67" s="15" t="s">
        <v>174</v>
      </c>
      <c r="C67" s="16" t="s">
        <v>2035</v>
      </c>
      <c r="D67" s="16" t="s">
        <v>2025</v>
      </c>
      <c r="E67" s="16" t="s">
        <v>2026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54</v>
      </c>
      <c r="O67" s="16" t="s">
        <v>2036</v>
      </c>
      <c r="P67" s="16" t="s">
        <v>2023</v>
      </c>
      <c r="Q67" s="32" t="s">
        <v>2024</v>
      </c>
    </row>
    <row r="68" spans="1:17" ht="17.100000000000001" customHeight="1">
      <c r="A68" s="21">
        <v>45842</v>
      </c>
      <c r="B68" s="15" t="s">
        <v>174</v>
      </c>
      <c r="C68" s="16" t="s">
        <v>2035</v>
      </c>
      <c r="D68" s="16" t="s">
        <v>2025</v>
      </c>
      <c r="E68" s="16" t="s">
        <v>2027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27</v>
      </c>
      <c r="O68" s="16" t="s">
        <v>2036</v>
      </c>
      <c r="P68" s="16" t="s">
        <v>2023</v>
      </c>
      <c r="Q68" s="32" t="s">
        <v>2024</v>
      </c>
    </row>
    <row r="69" spans="1:17" ht="17.100000000000001" customHeight="1">
      <c r="A69" s="21">
        <v>45842</v>
      </c>
      <c r="B69" s="15" t="s">
        <v>174</v>
      </c>
      <c r="C69" s="16" t="s">
        <v>2035</v>
      </c>
      <c r="D69" s="16" t="s">
        <v>2025</v>
      </c>
      <c r="E69" s="16" t="s">
        <v>2028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27</v>
      </c>
      <c r="O69" s="16" t="s">
        <v>2036</v>
      </c>
      <c r="P69" s="16" t="s">
        <v>2023</v>
      </c>
      <c r="Q69" s="32" t="s">
        <v>2024</v>
      </c>
    </row>
    <row r="70" spans="1:17" ht="17.100000000000001" customHeight="1">
      <c r="A70" s="21">
        <v>45842</v>
      </c>
      <c r="B70" s="15" t="s">
        <v>174</v>
      </c>
      <c r="C70" s="16" t="s">
        <v>2035</v>
      </c>
      <c r="D70" s="16" t="s">
        <v>2025</v>
      </c>
      <c r="E70" s="16" t="s">
        <v>2029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27</v>
      </c>
      <c r="O70" s="16" t="s">
        <v>2036</v>
      </c>
      <c r="P70" s="16" t="s">
        <v>2023</v>
      </c>
      <c r="Q70" s="32" t="s">
        <v>2024</v>
      </c>
    </row>
    <row r="71" spans="1:17" ht="17.100000000000001" customHeight="1">
      <c r="A71" s="21">
        <v>45842</v>
      </c>
      <c r="B71" s="15" t="s">
        <v>174</v>
      </c>
      <c r="C71" s="16" t="s">
        <v>2035</v>
      </c>
      <c r="D71" s="16" t="s">
        <v>2025</v>
      </c>
      <c r="E71" s="16" t="s">
        <v>2030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27</v>
      </c>
      <c r="O71" s="16" t="s">
        <v>2036</v>
      </c>
      <c r="P71" s="16" t="s">
        <v>2023</v>
      </c>
      <c r="Q71" s="32" t="s">
        <v>2024</v>
      </c>
    </row>
    <row r="72" spans="1:17" ht="17.100000000000001" customHeight="1">
      <c r="A72" s="21">
        <v>45842</v>
      </c>
      <c r="B72" s="15" t="s">
        <v>174</v>
      </c>
      <c r="C72" s="16" t="s">
        <v>2035</v>
      </c>
      <c r="D72" s="16" t="s">
        <v>2025</v>
      </c>
      <c r="E72" s="16" t="s">
        <v>2027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27</v>
      </c>
      <c r="O72" s="16" t="s">
        <v>2036</v>
      </c>
      <c r="P72" s="16" t="s">
        <v>2023</v>
      </c>
      <c r="Q72" s="32" t="s">
        <v>2024</v>
      </c>
    </row>
    <row r="73" spans="1:17" ht="17.100000000000001" customHeight="1">
      <c r="A73" s="21">
        <v>45842</v>
      </c>
      <c r="B73" s="15" t="s">
        <v>174</v>
      </c>
      <c r="C73" s="16" t="s">
        <v>2035</v>
      </c>
      <c r="D73" s="16" t="s">
        <v>2025</v>
      </c>
      <c r="E73" s="16" t="s">
        <v>2028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27</v>
      </c>
      <c r="O73" s="16" t="s">
        <v>2036</v>
      </c>
      <c r="P73" s="16" t="s">
        <v>2023</v>
      </c>
      <c r="Q73" s="32" t="s">
        <v>2024</v>
      </c>
    </row>
    <row r="74" spans="1:17" ht="17.100000000000001" customHeight="1">
      <c r="A74" s="21">
        <v>45842</v>
      </c>
      <c r="B74" s="15" t="s">
        <v>174</v>
      </c>
      <c r="C74" s="16" t="s">
        <v>2035</v>
      </c>
      <c r="D74" s="16" t="s">
        <v>2025</v>
      </c>
      <c r="E74" s="16" t="s">
        <v>2031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27</v>
      </c>
      <c r="O74" s="16" t="s">
        <v>2036</v>
      </c>
      <c r="P74" s="16" t="s">
        <v>2023</v>
      </c>
      <c r="Q74" s="32" t="s">
        <v>2024</v>
      </c>
    </row>
    <row r="75" spans="1:17" ht="17.100000000000001" customHeight="1">
      <c r="A75" s="21">
        <v>45842</v>
      </c>
      <c r="B75" s="15" t="s">
        <v>174</v>
      </c>
      <c r="C75" s="16" t="s">
        <v>2035</v>
      </c>
      <c r="D75" s="16" t="s">
        <v>2025</v>
      </c>
      <c r="E75" s="16" t="s">
        <v>2030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27</v>
      </c>
      <c r="O75" s="16" t="s">
        <v>2036</v>
      </c>
      <c r="P75" s="16" t="s">
        <v>2023</v>
      </c>
      <c r="Q75" s="32" t="s">
        <v>2024</v>
      </c>
    </row>
    <row r="76" spans="1:17" ht="17.100000000000001" customHeight="1">
      <c r="A76" s="21">
        <v>45842</v>
      </c>
      <c r="B76" s="15" t="s">
        <v>174</v>
      </c>
      <c r="C76" s="16" t="s">
        <v>2035</v>
      </c>
      <c r="D76" s="16" t="s">
        <v>2025</v>
      </c>
      <c r="E76" s="16" t="s">
        <v>2029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27</v>
      </c>
      <c r="O76" s="16" t="s">
        <v>2036</v>
      </c>
      <c r="P76" s="16" t="s">
        <v>2023</v>
      </c>
      <c r="Q76" s="32" t="s">
        <v>2024</v>
      </c>
    </row>
    <row r="77" spans="1:17" ht="17.100000000000001" customHeight="1">
      <c r="A77" s="21">
        <v>45842</v>
      </c>
      <c r="B77" s="15" t="s">
        <v>174</v>
      </c>
      <c r="C77" s="16" t="s">
        <v>2035</v>
      </c>
      <c r="D77" s="16" t="s">
        <v>2025</v>
      </c>
      <c r="E77" s="16" t="s">
        <v>2026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49</v>
      </c>
      <c r="O77" s="16" t="s">
        <v>2036</v>
      </c>
      <c r="P77" s="16" t="s">
        <v>2023</v>
      </c>
      <c r="Q77" s="32" t="s">
        <v>2024</v>
      </c>
    </row>
    <row r="78" spans="1:17" ht="17.100000000000001" customHeight="1">
      <c r="A78" s="21">
        <v>45842</v>
      </c>
      <c r="B78" s="15" t="s">
        <v>174</v>
      </c>
      <c r="C78" s="16" t="s">
        <v>2035</v>
      </c>
      <c r="D78" s="16" t="s">
        <v>2025</v>
      </c>
      <c r="E78" s="16" t="s">
        <v>2031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27</v>
      </c>
      <c r="O78" s="16" t="s">
        <v>2036</v>
      </c>
      <c r="P78" s="16" t="s">
        <v>2023</v>
      </c>
      <c r="Q78" s="32" t="s">
        <v>2024</v>
      </c>
    </row>
    <row r="79" spans="1:17" ht="17.100000000000001" customHeight="1">
      <c r="A79" s="21">
        <v>45842</v>
      </c>
      <c r="B79" s="15" t="s">
        <v>174</v>
      </c>
      <c r="C79" s="16" t="s">
        <v>2035</v>
      </c>
      <c r="D79" s="16" t="s">
        <v>1906</v>
      </c>
      <c r="E79" s="16" t="s">
        <v>2032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53</v>
      </c>
      <c r="O79" s="16" t="s">
        <v>2036</v>
      </c>
      <c r="P79" s="16" t="s">
        <v>2023</v>
      </c>
      <c r="Q79" s="32" t="s">
        <v>2024</v>
      </c>
    </row>
    <row r="80" spans="1:17" ht="17.100000000000001" customHeight="1">
      <c r="A80" s="21">
        <v>45842</v>
      </c>
      <c r="B80" s="15" t="s">
        <v>174</v>
      </c>
      <c r="C80" s="16" t="s">
        <v>2035</v>
      </c>
      <c r="D80" s="16" t="s">
        <v>1906</v>
      </c>
      <c r="E80" s="16" t="s">
        <v>2033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20</v>
      </c>
      <c r="O80" s="16" t="s">
        <v>2036</v>
      </c>
      <c r="P80" s="16" t="s">
        <v>2023</v>
      </c>
      <c r="Q80" s="32" t="s">
        <v>2024</v>
      </c>
    </row>
    <row r="81" spans="1:17" ht="17.100000000000001" customHeight="1">
      <c r="A81" s="21">
        <v>45842</v>
      </c>
      <c r="B81" s="15" t="s">
        <v>174</v>
      </c>
      <c r="C81" s="16" t="s">
        <v>2035</v>
      </c>
      <c r="D81" s="16" t="s">
        <v>1906</v>
      </c>
      <c r="E81" s="16" t="s">
        <v>2034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16</v>
      </c>
      <c r="O81" s="16" t="s">
        <v>2036</v>
      </c>
      <c r="P81" s="16" t="s">
        <v>2023</v>
      </c>
      <c r="Q81" s="32" t="s">
        <v>2024</v>
      </c>
    </row>
    <row r="82" spans="1:17" ht="17.100000000000001" customHeight="1">
      <c r="A82" s="21">
        <v>45842</v>
      </c>
      <c r="B82" s="15" t="s">
        <v>2037</v>
      </c>
      <c r="C82" s="16" t="s">
        <v>2035</v>
      </c>
      <c r="D82" s="16" t="s">
        <v>48</v>
      </c>
      <c r="E82" s="16" t="s">
        <v>48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>
        <v>250623</v>
      </c>
      <c r="N82" s="16">
        <v>4</v>
      </c>
      <c r="O82" s="16" t="s">
        <v>55</v>
      </c>
      <c r="P82" s="16" t="s">
        <v>2038</v>
      </c>
      <c r="Q82" s="32" t="s">
        <v>2039</v>
      </c>
    </row>
    <row r="83" spans="1:17" ht="17.100000000000001" customHeight="1">
      <c r="A83" s="21">
        <v>45842</v>
      </c>
      <c r="B83" s="15" t="s">
        <v>1483</v>
      </c>
      <c r="C83" s="16" t="s">
        <v>2035</v>
      </c>
      <c r="D83" s="16" t="s">
        <v>48</v>
      </c>
      <c r="E83" s="16" t="s">
        <v>48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2042</v>
      </c>
      <c r="N83" s="16">
        <v>4</v>
      </c>
      <c r="O83" s="16" t="s">
        <v>55</v>
      </c>
      <c r="P83" s="16" t="s">
        <v>2040</v>
      </c>
      <c r="Q83" s="32" t="s">
        <v>2041</v>
      </c>
    </row>
    <row r="84" spans="1:17" ht="17.100000000000001" customHeight="1">
      <c r="A84" s="21">
        <v>45842</v>
      </c>
      <c r="B84" s="15" t="s">
        <v>2043</v>
      </c>
      <c r="C84" s="16" t="s">
        <v>2035</v>
      </c>
      <c r="D84" s="16" t="s">
        <v>48</v>
      </c>
      <c r="E84" s="16" t="s">
        <v>48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2044</v>
      </c>
      <c r="N84" s="16">
        <v>4</v>
      </c>
      <c r="O84" s="16" t="s">
        <v>55</v>
      </c>
      <c r="P84" s="16" t="s">
        <v>2045</v>
      </c>
      <c r="Q84" s="32" t="s">
        <v>2046</v>
      </c>
    </row>
    <row r="85" spans="1:17" ht="17.100000000000001" customHeight="1">
      <c r="A85" s="21">
        <v>45842</v>
      </c>
      <c r="B85" s="15" t="s">
        <v>1484</v>
      </c>
      <c r="C85" s="16" t="s">
        <v>2035</v>
      </c>
      <c r="D85" s="16" t="s">
        <v>48</v>
      </c>
      <c r="E85" s="16" t="s">
        <v>48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4</v>
      </c>
      <c r="O85" s="16" t="s">
        <v>55</v>
      </c>
      <c r="P85" s="16" t="s">
        <v>2047</v>
      </c>
      <c r="Q85" s="32" t="s">
        <v>2048</v>
      </c>
    </row>
    <row r="86" spans="1:17" ht="17.100000000000001" customHeight="1">
      <c r="A86" s="21">
        <v>45845</v>
      </c>
      <c r="B86" s="15" t="s">
        <v>174</v>
      </c>
      <c r="C86" s="16" t="s">
        <v>2049</v>
      </c>
      <c r="D86" s="16" t="s">
        <v>2053</v>
      </c>
      <c r="E86" s="16" t="s">
        <v>2034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f>38/2</f>
        <v>19</v>
      </c>
      <c r="O86" s="16" t="s">
        <v>2036</v>
      </c>
      <c r="P86" s="16" t="s">
        <v>2065</v>
      </c>
      <c r="Q86" s="32" t="s">
        <v>2066</v>
      </c>
    </row>
    <row r="87" spans="1:17" ht="17.100000000000001" customHeight="1">
      <c r="A87" s="21">
        <v>45845</v>
      </c>
      <c r="B87" s="15" t="s">
        <v>174</v>
      </c>
      <c r="C87" s="16" t="s">
        <v>2049</v>
      </c>
      <c r="D87" s="16" t="s">
        <v>2053</v>
      </c>
      <c r="E87" s="16" t="s">
        <v>2050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6</v>
      </c>
      <c r="O87" s="16" t="s">
        <v>2036</v>
      </c>
      <c r="P87" s="16" t="s">
        <v>2065</v>
      </c>
      <c r="Q87" s="32" t="s">
        <v>2066</v>
      </c>
    </row>
    <row r="88" spans="1:17" ht="17.100000000000001" customHeight="1">
      <c r="A88" s="21">
        <v>45845</v>
      </c>
      <c r="B88" s="15" t="s">
        <v>174</v>
      </c>
      <c r="C88" s="16" t="s">
        <v>2049</v>
      </c>
      <c r="D88" s="16" t="s">
        <v>2053</v>
      </c>
      <c r="E88" s="16" t="s">
        <v>2050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21</v>
      </c>
      <c r="O88" s="16" t="s">
        <v>2067</v>
      </c>
      <c r="P88" s="16" t="s">
        <v>2065</v>
      </c>
      <c r="Q88" s="32" t="s">
        <v>2066</v>
      </c>
    </row>
    <row r="89" spans="1:17" ht="17.100000000000001" customHeight="1">
      <c r="A89" s="21">
        <v>45845</v>
      </c>
      <c r="B89" s="15" t="s">
        <v>174</v>
      </c>
      <c r="C89" s="16" t="s">
        <v>2049</v>
      </c>
      <c r="D89" s="16" t="s">
        <v>2053</v>
      </c>
      <c r="E89" s="16" t="s">
        <v>2051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54</v>
      </c>
      <c r="O89" s="16" t="s">
        <v>2067</v>
      </c>
      <c r="P89" s="16" t="s">
        <v>2065</v>
      </c>
      <c r="Q89" s="32" t="s">
        <v>2066</v>
      </c>
    </row>
    <row r="90" spans="1:17" ht="17.100000000000001" customHeight="1">
      <c r="A90" s="21">
        <v>45845</v>
      </c>
      <c r="B90" s="15" t="s">
        <v>174</v>
      </c>
      <c r="C90" s="16" t="s">
        <v>2049</v>
      </c>
      <c r="D90" s="16" t="s">
        <v>2053</v>
      </c>
      <c r="E90" s="16" t="s">
        <v>2052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27</v>
      </c>
      <c r="O90" s="16" t="s">
        <v>2067</v>
      </c>
      <c r="P90" s="16" t="s">
        <v>2065</v>
      </c>
      <c r="Q90" s="32" t="s">
        <v>2066</v>
      </c>
    </row>
    <row r="91" spans="1:17" ht="17.100000000000001" customHeight="1">
      <c r="A91" s="21">
        <v>45845</v>
      </c>
      <c r="B91" s="15" t="s">
        <v>174</v>
      </c>
      <c r="C91" s="16" t="s">
        <v>2049</v>
      </c>
      <c r="D91" s="16" t="s">
        <v>2053</v>
      </c>
      <c r="E91" s="16" t="s">
        <v>2054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27</v>
      </c>
      <c r="O91" s="16" t="s">
        <v>2067</v>
      </c>
      <c r="P91" s="16" t="s">
        <v>2065</v>
      </c>
      <c r="Q91" s="32" t="s">
        <v>2066</v>
      </c>
    </row>
    <row r="92" spans="1:17" ht="17.100000000000001" customHeight="1">
      <c r="A92" s="21">
        <v>45845</v>
      </c>
      <c r="B92" s="15" t="s">
        <v>174</v>
      </c>
      <c r="C92" s="16" t="s">
        <v>2049</v>
      </c>
      <c r="D92" s="16" t="s">
        <v>2053</v>
      </c>
      <c r="E92" s="16" t="s">
        <v>2055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27</v>
      </c>
      <c r="O92" s="16" t="s">
        <v>2067</v>
      </c>
      <c r="P92" s="16" t="s">
        <v>2065</v>
      </c>
      <c r="Q92" s="32" t="s">
        <v>2066</v>
      </c>
    </row>
    <row r="93" spans="1:17" ht="17.100000000000001" customHeight="1">
      <c r="A93" s="21">
        <v>45845</v>
      </c>
      <c r="B93" s="15" t="s">
        <v>174</v>
      </c>
      <c r="C93" s="16" t="s">
        <v>2049</v>
      </c>
      <c r="D93" s="16" t="s">
        <v>2053</v>
      </c>
      <c r="E93" s="16" t="s">
        <v>2056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27</v>
      </c>
      <c r="O93" s="16" t="s">
        <v>2067</v>
      </c>
      <c r="P93" s="16" t="s">
        <v>2065</v>
      </c>
      <c r="Q93" s="32" t="s">
        <v>2066</v>
      </c>
    </row>
    <row r="94" spans="1:17" ht="17.100000000000001" customHeight="1">
      <c r="A94" s="21">
        <v>45845</v>
      </c>
      <c r="B94" s="15" t="s">
        <v>174</v>
      </c>
      <c r="C94" s="16" t="s">
        <v>2049</v>
      </c>
      <c r="D94" s="16" t="s">
        <v>2053</v>
      </c>
      <c r="E94" s="16" t="s">
        <v>2057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27</v>
      </c>
      <c r="O94" s="16" t="s">
        <v>2068</v>
      </c>
      <c r="P94" s="16" t="s">
        <v>2065</v>
      </c>
      <c r="Q94" s="32" t="s">
        <v>2066</v>
      </c>
    </row>
    <row r="95" spans="1:17" ht="17.100000000000001" customHeight="1">
      <c r="A95" s="21">
        <v>45845</v>
      </c>
      <c r="B95" s="15" t="s">
        <v>174</v>
      </c>
      <c r="C95" s="16" t="s">
        <v>2049</v>
      </c>
      <c r="D95" s="16" t="s">
        <v>2053</v>
      </c>
      <c r="E95" s="16" t="s">
        <v>2054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27</v>
      </c>
      <c r="O95" s="16" t="s">
        <v>2068</v>
      </c>
      <c r="P95" s="16" t="s">
        <v>2065</v>
      </c>
      <c r="Q95" s="32" t="s">
        <v>2066</v>
      </c>
    </row>
    <row r="96" spans="1:17" ht="17.100000000000001" customHeight="1">
      <c r="A96" s="21">
        <v>45845</v>
      </c>
      <c r="B96" s="15" t="s">
        <v>174</v>
      </c>
      <c r="C96" s="16" t="s">
        <v>2049</v>
      </c>
      <c r="D96" s="16" t="s">
        <v>2053</v>
      </c>
      <c r="E96" s="16" t="s">
        <v>2058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27</v>
      </c>
      <c r="O96" s="16" t="s">
        <v>2068</v>
      </c>
      <c r="P96" s="16" t="s">
        <v>2065</v>
      </c>
      <c r="Q96" s="32" t="s">
        <v>2066</v>
      </c>
    </row>
    <row r="97" spans="1:17" ht="17.100000000000001" customHeight="1">
      <c r="A97" s="21">
        <v>45845</v>
      </c>
      <c r="B97" s="15" t="s">
        <v>174</v>
      </c>
      <c r="C97" s="16" t="s">
        <v>2049</v>
      </c>
      <c r="D97" s="16" t="s">
        <v>2053</v>
      </c>
      <c r="E97" s="16" t="s">
        <v>2056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27</v>
      </c>
      <c r="O97" s="16" t="s">
        <v>2068</v>
      </c>
      <c r="P97" s="16" t="s">
        <v>2065</v>
      </c>
      <c r="Q97" s="32" t="s">
        <v>2066</v>
      </c>
    </row>
    <row r="98" spans="1:17" ht="17.100000000000001" customHeight="1">
      <c r="A98" s="21">
        <v>45845</v>
      </c>
      <c r="B98" s="15" t="s">
        <v>174</v>
      </c>
      <c r="C98" s="16" t="s">
        <v>2049</v>
      </c>
      <c r="D98" s="16" t="s">
        <v>2053</v>
      </c>
      <c r="E98" s="16" t="s">
        <v>2059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27</v>
      </c>
      <c r="O98" s="16" t="s">
        <v>2068</v>
      </c>
      <c r="P98" s="16" t="s">
        <v>2065</v>
      </c>
      <c r="Q98" s="32" t="s">
        <v>2066</v>
      </c>
    </row>
    <row r="99" spans="1:17" ht="17.100000000000001" customHeight="1">
      <c r="A99" s="21">
        <v>45845</v>
      </c>
      <c r="B99" s="15" t="s">
        <v>174</v>
      </c>
      <c r="C99" s="16" t="s">
        <v>2049</v>
      </c>
      <c r="D99" s="16" t="s">
        <v>2053</v>
      </c>
      <c r="E99" s="16" t="s">
        <v>2055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27</v>
      </c>
      <c r="O99" s="16" t="s">
        <v>2068</v>
      </c>
      <c r="P99" s="16" t="s">
        <v>2065</v>
      </c>
      <c r="Q99" s="32" t="s">
        <v>2066</v>
      </c>
    </row>
    <row r="100" spans="1:17" ht="17.100000000000001" customHeight="1">
      <c r="A100" s="21">
        <v>45845</v>
      </c>
      <c r="B100" s="15" t="s">
        <v>174</v>
      </c>
      <c r="C100" s="16" t="s">
        <v>2049</v>
      </c>
      <c r="D100" s="16" t="s">
        <v>2053</v>
      </c>
      <c r="E100" s="16" t="s">
        <v>2060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27</v>
      </c>
      <c r="O100" s="16" t="s">
        <v>2068</v>
      </c>
      <c r="P100" s="16" t="s">
        <v>2065</v>
      </c>
      <c r="Q100" s="32" t="s">
        <v>2066</v>
      </c>
    </row>
    <row r="101" spans="1:17" ht="17.100000000000001" customHeight="1">
      <c r="A101" s="21">
        <v>45845</v>
      </c>
      <c r="B101" s="15" t="s">
        <v>174</v>
      </c>
      <c r="C101" s="16" t="s">
        <v>2049</v>
      </c>
      <c r="D101" s="16" t="s">
        <v>2053</v>
      </c>
      <c r="E101" s="16" t="s">
        <v>2061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27</v>
      </c>
      <c r="O101" s="16" t="s">
        <v>2068</v>
      </c>
      <c r="P101" s="16" t="s">
        <v>2065</v>
      </c>
      <c r="Q101" s="32" t="s">
        <v>2066</v>
      </c>
    </row>
    <row r="102" spans="1:17" ht="17.100000000000001" customHeight="1">
      <c r="A102" s="21">
        <v>45845</v>
      </c>
      <c r="B102" s="15" t="s">
        <v>174</v>
      </c>
      <c r="C102" s="16" t="s">
        <v>2049</v>
      </c>
      <c r="D102" s="16" t="s">
        <v>2063</v>
      </c>
      <c r="E102" s="16" t="s">
        <v>2062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27</v>
      </c>
      <c r="O102" s="16" t="s">
        <v>2068</v>
      </c>
      <c r="P102" s="16" t="s">
        <v>2065</v>
      </c>
      <c r="Q102" s="32" t="s">
        <v>2066</v>
      </c>
    </row>
    <row r="103" spans="1:17" ht="17.100000000000001" customHeight="1">
      <c r="A103" s="21">
        <v>45845</v>
      </c>
      <c r="B103" s="15" t="s">
        <v>174</v>
      </c>
      <c r="C103" s="16" t="s">
        <v>2049</v>
      </c>
      <c r="D103" s="16" t="s">
        <v>2063</v>
      </c>
      <c r="E103" s="16" t="s">
        <v>2061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27</v>
      </c>
      <c r="O103" s="16" t="s">
        <v>2068</v>
      </c>
      <c r="P103" s="16" t="s">
        <v>2065</v>
      </c>
      <c r="Q103" s="32" t="s">
        <v>2066</v>
      </c>
    </row>
    <row r="104" spans="1:17" ht="17.100000000000001" customHeight="1">
      <c r="A104" s="21">
        <v>45845</v>
      </c>
      <c r="B104" s="15" t="s">
        <v>174</v>
      </c>
      <c r="C104" s="16" t="s">
        <v>2049</v>
      </c>
      <c r="D104" s="16" t="s">
        <v>2063</v>
      </c>
      <c r="E104" s="16" t="s">
        <v>2064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47</v>
      </c>
      <c r="O104" s="16" t="s">
        <v>2068</v>
      </c>
      <c r="P104" s="16" t="s">
        <v>2065</v>
      </c>
      <c r="Q104" s="32" t="s">
        <v>2066</v>
      </c>
    </row>
    <row r="105" spans="1:17" ht="17.100000000000001" customHeight="1">
      <c r="A105" s="21">
        <v>45845</v>
      </c>
      <c r="B105" s="15" t="s">
        <v>174</v>
      </c>
      <c r="C105" s="16" t="s">
        <v>2049</v>
      </c>
      <c r="D105" s="16" t="s">
        <v>2070</v>
      </c>
      <c r="E105" s="16" t="s">
        <v>2064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37</v>
      </c>
      <c r="O105" s="16" t="s">
        <v>2068</v>
      </c>
      <c r="P105" s="16" t="s">
        <v>2071</v>
      </c>
      <c r="Q105" s="32" t="s">
        <v>2072</v>
      </c>
    </row>
    <row r="106" spans="1:17" ht="17.100000000000001" customHeight="1">
      <c r="A106" s="21">
        <v>45845</v>
      </c>
      <c r="B106" s="15" t="s">
        <v>174</v>
      </c>
      <c r="C106" s="16" t="s">
        <v>2049</v>
      </c>
      <c r="D106" s="16" t="s">
        <v>2070</v>
      </c>
      <c r="E106" s="16" t="s">
        <v>2069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38</v>
      </c>
      <c r="O106" s="16" t="s">
        <v>2068</v>
      </c>
      <c r="P106" s="16" t="s">
        <v>2071</v>
      </c>
      <c r="Q106" s="32" t="s">
        <v>2072</v>
      </c>
    </row>
    <row r="107" spans="1:17" ht="17.100000000000001" customHeight="1">
      <c r="A107" s="21">
        <v>45846</v>
      </c>
      <c r="B107" s="15" t="s">
        <v>174</v>
      </c>
      <c r="C107" s="16" t="s">
        <v>2049</v>
      </c>
      <c r="D107" s="16" t="s">
        <v>2070</v>
      </c>
      <c r="E107" s="16" t="s">
        <v>2069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16</v>
      </c>
      <c r="O107" s="16" t="s">
        <v>2068</v>
      </c>
      <c r="P107" s="16" t="s">
        <v>2071</v>
      </c>
      <c r="Q107" s="32" t="s">
        <v>2072</v>
      </c>
    </row>
    <row r="108" spans="1:17" ht="17.100000000000001" customHeight="1">
      <c r="A108" s="21">
        <v>45846</v>
      </c>
      <c r="B108" s="15" t="s">
        <v>174</v>
      </c>
      <c r="C108" s="16" t="s">
        <v>2073</v>
      </c>
      <c r="D108" s="16" t="s">
        <v>2070</v>
      </c>
      <c r="E108" s="16" t="s">
        <v>2074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54</v>
      </c>
      <c r="O108" s="16" t="s">
        <v>2083</v>
      </c>
      <c r="P108" s="16" t="s">
        <v>2071</v>
      </c>
      <c r="Q108" s="32" t="s">
        <v>2072</v>
      </c>
    </row>
    <row r="109" spans="1:17" ht="17.100000000000001" customHeight="1">
      <c r="A109" s="21">
        <v>45846</v>
      </c>
      <c r="B109" s="15" t="s">
        <v>174</v>
      </c>
      <c r="C109" s="16" t="s">
        <v>2073</v>
      </c>
      <c r="D109" s="16" t="s">
        <v>2070</v>
      </c>
      <c r="E109" s="16" t="s">
        <v>2075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54</v>
      </c>
      <c r="O109" s="16" t="s">
        <v>2083</v>
      </c>
      <c r="P109" s="16" t="s">
        <v>2071</v>
      </c>
      <c r="Q109" s="32" t="s">
        <v>2072</v>
      </c>
    </row>
    <row r="110" spans="1:17" ht="17.100000000000001" customHeight="1">
      <c r="A110" s="21">
        <v>45846</v>
      </c>
      <c r="B110" s="15" t="s">
        <v>174</v>
      </c>
      <c r="C110" s="16" t="s">
        <v>2073</v>
      </c>
      <c r="D110" s="16" t="s">
        <v>2070</v>
      </c>
      <c r="E110" s="16" t="s">
        <v>2076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54</v>
      </c>
      <c r="O110" s="16" t="s">
        <v>2083</v>
      </c>
      <c r="P110" s="16" t="s">
        <v>2071</v>
      </c>
      <c r="Q110" s="32" t="s">
        <v>2072</v>
      </c>
    </row>
    <row r="111" spans="1:17" ht="17.100000000000001" customHeight="1">
      <c r="A111" s="21">
        <v>45846</v>
      </c>
      <c r="B111" s="15" t="s">
        <v>174</v>
      </c>
      <c r="C111" s="16" t="s">
        <v>2073</v>
      </c>
      <c r="D111" s="16" t="s">
        <v>2070</v>
      </c>
      <c r="E111" s="16" t="s">
        <v>2077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54</v>
      </c>
      <c r="O111" s="16" t="s">
        <v>2083</v>
      </c>
      <c r="P111" s="16" t="s">
        <v>2071</v>
      </c>
      <c r="Q111" s="32" t="s">
        <v>2072</v>
      </c>
    </row>
    <row r="112" spans="1:17" ht="17.100000000000001" customHeight="1">
      <c r="A112" s="21">
        <v>45846</v>
      </c>
      <c r="B112" s="15" t="s">
        <v>174</v>
      </c>
      <c r="C112" s="16" t="s">
        <v>2073</v>
      </c>
      <c r="D112" s="16" t="s">
        <v>2084</v>
      </c>
      <c r="E112" s="16" t="s">
        <v>2078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48</v>
      </c>
      <c r="N112" s="16">
        <v>54</v>
      </c>
      <c r="O112" s="16" t="s">
        <v>2083</v>
      </c>
      <c r="P112" s="16" t="s">
        <v>2071</v>
      </c>
      <c r="Q112" s="32" t="s">
        <v>2072</v>
      </c>
    </row>
    <row r="113" spans="1:17" ht="17.100000000000001" customHeight="1">
      <c r="A113" s="21">
        <v>45846</v>
      </c>
      <c r="B113" s="15" t="s">
        <v>174</v>
      </c>
      <c r="C113" s="16" t="s">
        <v>2073</v>
      </c>
      <c r="D113" s="16" t="s">
        <v>2084</v>
      </c>
      <c r="E113" s="16" t="s">
        <v>2079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27</v>
      </c>
      <c r="O113" s="16" t="s">
        <v>2083</v>
      </c>
      <c r="P113" s="16" t="s">
        <v>2071</v>
      </c>
      <c r="Q113" s="32" t="s">
        <v>2072</v>
      </c>
    </row>
    <row r="114" spans="1:17" ht="17.100000000000001" customHeight="1">
      <c r="A114" s="21">
        <v>45846</v>
      </c>
      <c r="B114" s="15" t="s">
        <v>174</v>
      </c>
      <c r="C114" s="16" t="s">
        <v>2073</v>
      </c>
      <c r="D114" s="16" t="s">
        <v>2084</v>
      </c>
      <c r="E114" s="16" t="s">
        <v>2080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54</v>
      </c>
      <c r="O114" s="16" t="s">
        <v>2083</v>
      </c>
      <c r="P114" s="16" t="s">
        <v>2071</v>
      </c>
      <c r="Q114" s="32" t="s">
        <v>2072</v>
      </c>
    </row>
    <row r="115" spans="1:17" ht="17.100000000000001" customHeight="1">
      <c r="A115" s="21">
        <v>45846</v>
      </c>
      <c r="B115" s="15" t="s">
        <v>174</v>
      </c>
      <c r="C115" s="16" t="s">
        <v>2073</v>
      </c>
      <c r="D115" s="16" t="s">
        <v>2084</v>
      </c>
      <c r="E115" s="16" t="s">
        <v>2062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27</v>
      </c>
      <c r="O115" s="16" t="s">
        <v>2083</v>
      </c>
      <c r="P115" s="16" t="s">
        <v>2071</v>
      </c>
      <c r="Q115" s="32" t="s">
        <v>2072</v>
      </c>
    </row>
    <row r="116" spans="1:17" ht="17.100000000000001" customHeight="1">
      <c r="A116" s="21">
        <v>45846</v>
      </c>
      <c r="B116" s="15" t="s">
        <v>174</v>
      </c>
      <c r="C116" s="16" t="s">
        <v>2073</v>
      </c>
      <c r="D116" s="16" t="s">
        <v>2084</v>
      </c>
      <c r="E116" s="16" t="s">
        <v>2081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f>38/2</f>
        <v>19</v>
      </c>
      <c r="O116" s="16" t="s">
        <v>2083</v>
      </c>
      <c r="P116" s="16" t="s">
        <v>2071</v>
      </c>
      <c r="Q116" s="32" t="s">
        <v>2072</v>
      </c>
    </row>
    <row r="117" spans="1:17" ht="17.100000000000001" customHeight="1">
      <c r="A117" s="21">
        <v>45846</v>
      </c>
      <c r="B117" s="15" t="s">
        <v>174</v>
      </c>
      <c r="C117" s="16" t="s">
        <v>2073</v>
      </c>
      <c r="D117" s="16" t="s">
        <v>2084</v>
      </c>
      <c r="E117" s="16" t="s">
        <v>2082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12</v>
      </c>
      <c r="O117" s="16" t="s">
        <v>2083</v>
      </c>
      <c r="P117" s="16" t="s">
        <v>2071</v>
      </c>
      <c r="Q117" s="32" t="s">
        <v>2072</v>
      </c>
    </row>
    <row r="118" spans="1:17" ht="17.100000000000001" customHeight="1">
      <c r="A118" s="21">
        <v>45846</v>
      </c>
      <c r="B118" s="15" t="s">
        <v>261</v>
      </c>
      <c r="C118" s="16" t="s">
        <v>2073</v>
      </c>
      <c r="D118" s="16" t="s">
        <v>2085</v>
      </c>
      <c r="E118" s="16" t="s">
        <v>48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100</v>
      </c>
      <c r="O118" s="16" t="s">
        <v>2083</v>
      </c>
      <c r="P118" s="16" t="s">
        <v>2087</v>
      </c>
      <c r="Q118" s="31"/>
    </row>
    <row r="119" spans="1:17" ht="17.100000000000001" customHeight="1">
      <c r="A119" s="21">
        <v>45846</v>
      </c>
      <c r="B119" s="15" t="s">
        <v>261</v>
      </c>
      <c r="C119" s="16" t="s">
        <v>2073</v>
      </c>
      <c r="D119" s="16" t="s">
        <v>2086</v>
      </c>
      <c r="E119" s="16" t="s">
        <v>48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25</v>
      </c>
      <c r="O119" s="16" t="s">
        <v>2083</v>
      </c>
      <c r="P119" s="16" t="s">
        <v>2087</v>
      </c>
      <c r="Q119" s="31"/>
    </row>
    <row r="120" spans="1:17" ht="17.100000000000001" customHeight="1">
      <c r="A120" s="21">
        <v>45847</v>
      </c>
      <c r="B120" s="15" t="s">
        <v>261</v>
      </c>
      <c r="C120" s="16" t="s">
        <v>2088</v>
      </c>
      <c r="D120" s="16" t="s">
        <v>2086</v>
      </c>
      <c r="E120" s="16" t="s">
        <v>48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75</v>
      </c>
      <c r="O120" s="16" t="s">
        <v>2083</v>
      </c>
      <c r="P120" s="16" t="s">
        <v>2087</v>
      </c>
      <c r="Q120" s="31"/>
    </row>
    <row r="121" spans="1:17" ht="17.100000000000001" customHeight="1">
      <c r="A121" s="21">
        <v>45847</v>
      </c>
      <c r="B121" s="15" t="s">
        <v>261</v>
      </c>
      <c r="C121" s="16" t="s">
        <v>2088</v>
      </c>
      <c r="D121" s="16" t="s">
        <v>2085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100</v>
      </c>
      <c r="O121" s="16" t="s">
        <v>2083</v>
      </c>
      <c r="P121" s="16" t="s">
        <v>2087</v>
      </c>
      <c r="Q121" s="31"/>
    </row>
    <row r="122" spans="1:17" ht="17.100000000000001" customHeight="1">
      <c r="A122" s="21">
        <v>45847</v>
      </c>
      <c r="B122" s="15" t="s">
        <v>261</v>
      </c>
      <c r="C122" s="16" t="s">
        <v>2088</v>
      </c>
      <c r="D122" s="16" t="s">
        <v>2089</v>
      </c>
      <c r="E122" s="16" t="s">
        <v>48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100</v>
      </c>
      <c r="O122" s="16" t="s">
        <v>2083</v>
      </c>
      <c r="P122" s="16" t="s">
        <v>2087</v>
      </c>
      <c r="Q122" s="31"/>
    </row>
    <row r="123" spans="1:17" ht="17.100000000000001" customHeight="1">
      <c r="A123" s="21">
        <v>45847</v>
      </c>
      <c r="B123" s="15" t="s">
        <v>261</v>
      </c>
      <c r="C123" s="16" t="s">
        <v>2088</v>
      </c>
      <c r="D123" s="16" t="s">
        <v>2090</v>
      </c>
      <c r="E123" s="16" t="s">
        <v>48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100</v>
      </c>
      <c r="O123" s="16" t="s">
        <v>2083</v>
      </c>
      <c r="P123" s="16" t="s">
        <v>2087</v>
      </c>
      <c r="Q123" s="31"/>
    </row>
    <row r="124" spans="1:17" ht="17.100000000000001" customHeight="1">
      <c r="A124" s="21">
        <v>45847</v>
      </c>
      <c r="B124" s="15" t="s">
        <v>261</v>
      </c>
      <c r="C124" s="16" t="s">
        <v>2088</v>
      </c>
      <c r="D124" s="16" t="s">
        <v>2090</v>
      </c>
      <c r="E124" s="16" t="s">
        <v>48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100</v>
      </c>
      <c r="O124" s="16" t="s">
        <v>2083</v>
      </c>
      <c r="P124" s="16" t="s">
        <v>2091</v>
      </c>
      <c r="Q124" s="31"/>
    </row>
    <row r="125" spans="1:17" ht="17.100000000000001" customHeight="1">
      <c r="A125" s="21">
        <v>45847</v>
      </c>
      <c r="B125" s="15" t="s">
        <v>261</v>
      </c>
      <c r="C125" s="16" t="s">
        <v>2088</v>
      </c>
      <c r="D125" s="16" t="s">
        <v>2089</v>
      </c>
      <c r="E125" s="16" t="s">
        <v>48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300</v>
      </c>
      <c r="O125" s="16" t="s">
        <v>2083</v>
      </c>
      <c r="P125" s="16" t="s">
        <v>2091</v>
      </c>
      <c r="Q125" s="31"/>
    </row>
    <row r="126" spans="1:17" ht="17.100000000000001" customHeight="1">
      <c r="A126" s="21">
        <v>45847</v>
      </c>
      <c r="B126" s="15" t="s">
        <v>261</v>
      </c>
      <c r="C126" s="16" t="s">
        <v>2088</v>
      </c>
      <c r="D126" s="16" t="s">
        <v>2092</v>
      </c>
      <c r="E126" s="16" t="s">
        <v>48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100</v>
      </c>
      <c r="O126" s="16" t="s">
        <v>2083</v>
      </c>
      <c r="P126" s="16" t="s">
        <v>2091</v>
      </c>
      <c r="Q126" s="31"/>
    </row>
    <row r="127" spans="1:17" ht="17.100000000000001" customHeight="1">
      <c r="A127" s="21">
        <v>45847</v>
      </c>
      <c r="B127" s="15" t="s">
        <v>1213</v>
      </c>
      <c r="C127" s="16" t="s">
        <v>2088</v>
      </c>
      <c r="D127" s="16" t="s">
        <v>48</v>
      </c>
      <c r="E127" s="16" t="s">
        <v>48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30</v>
      </c>
      <c r="O127" s="16" t="s">
        <v>1487</v>
      </c>
      <c r="P127" s="16" t="s">
        <v>2093</v>
      </c>
      <c r="Q127" s="31"/>
    </row>
    <row r="128" spans="1:17" ht="17.100000000000001" customHeight="1">
      <c r="A128" s="21">
        <v>45848</v>
      </c>
      <c r="B128" s="15" t="s">
        <v>2094</v>
      </c>
      <c r="C128" s="16" t="s">
        <v>2095</v>
      </c>
      <c r="D128" s="16" t="s">
        <v>2096</v>
      </c>
      <c r="E128" s="16" t="s">
        <v>2097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f>384/2</f>
        <v>192</v>
      </c>
      <c r="O128" s="16" t="s">
        <v>2109</v>
      </c>
      <c r="P128" s="16" t="s">
        <v>2100</v>
      </c>
      <c r="Q128" s="32" t="s">
        <v>2101</v>
      </c>
    </row>
    <row r="129" spans="1:17" ht="17.100000000000001" customHeight="1">
      <c r="A129" s="21">
        <v>45848</v>
      </c>
      <c r="B129" s="15" t="s">
        <v>2094</v>
      </c>
      <c r="C129" s="16" t="s">
        <v>2095</v>
      </c>
      <c r="D129" s="16" t="s">
        <v>2096</v>
      </c>
      <c r="E129" s="16" t="s">
        <v>2098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f>96/2</f>
        <v>48</v>
      </c>
      <c r="O129" s="16" t="s">
        <v>2099</v>
      </c>
      <c r="P129" s="16" t="s">
        <v>2100</v>
      </c>
      <c r="Q129" s="32" t="s">
        <v>2101</v>
      </c>
    </row>
    <row r="130" spans="1:17" ht="17.100000000000001" customHeight="1">
      <c r="A130" s="21">
        <v>45848</v>
      </c>
      <c r="B130" s="15" t="s">
        <v>469</v>
      </c>
      <c r="C130" s="16" t="s">
        <v>2095</v>
      </c>
      <c r="D130" s="16" t="s">
        <v>48</v>
      </c>
      <c r="E130" s="16" t="s">
        <v>2098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2</v>
      </c>
      <c r="O130" s="16" t="s">
        <v>55</v>
      </c>
      <c r="P130" s="16" t="s">
        <v>2102</v>
      </c>
      <c r="Q130" s="32" t="s">
        <v>2114</v>
      </c>
    </row>
    <row r="131" spans="1:17" ht="17.100000000000001" customHeight="1">
      <c r="A131" s="21">
        <v>45848</v>
      </c>
      <c r="B131" s="15" t="s">
        <v>323</v>
      </c>
      <c r="C131" s="16" t="s">
        <v>2095</v>
      </c>
      <c r="D131" s="16" t="s">
        <v>48</v>
      </c>
      <c r="E131" s="16" t="s">
        <v>2112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5</v>
      </c>
      <c r="O131" s="16" t="s">
        <v>55</v>
      </c>
      <c r="P131" s="16" t="s">
        <v>2103</v>
      </c>
      <c r="Q131" s="32" t="s">
        <v>2116</v>
      </c>
    </row>
    <row r="132" spans="1:17" ht="17.100000000000001" customHeight="1">
      <c r="A132" s="21">
        <v>45848</v>
      </c>
      <c r="B132" s="15" t="s">
        <v>2104</v>
      </c>
      <c r="C132" s="16" t="s">
        <v>2095</v>
      </c>
      <c r="D132" s="16" t="s">
        <v>48</v>
      </c>
      <c r="E132" s="16" t="s">
        <v>48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2111</v>
      </c>
      <c r="N132" s="16">
        <v>30</v>
      </c>
      <c r="O132" s="16" t="s">
        <v>55</v>
      </c>
      <c r="P132" s="16" t="s">
        <v>2105</v>
      </c>
      <c r="Q132" s="32" t="s">
        <v>2115</v>
      </c>
    </row>
    <row r="133" spans="1:17" ht="17.100000000000001" customHeight="1">
      <c r="A133" s="21">
        <v>45848</v>
      </c>
      <c r="B133" s="15" t="s">
        <v>157</v>
      </c>
      <c r="C133" s="16" t="s">
        <v>2095</v>
      </c>
      <c r="D133" s="16" t="s">
        <v>48</v>
      </c>
      <c r="E133" s="16">
        <v>2503011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5</v>
      </c>
      <c r="O133" s="16" t="s">
        <v>55</v>
      </c>
      <c r="P133" s="16" t="s">
        <v>2106</v>
      </c>
      <c r="Q133" s="32" t="s">
        <v>2118</v>
      </c>
    </row>
    <row r="134" spans="1:17" ht="17.100000000000001" customHeight="1">
      <c r="A134" s="21">
        <v>45848</v>
      </c>
      <c r="B134" s="15" t="s">
        <v>65</v>
      </c>
      <c r="C134" s="16" t="s">
        <v>2095</v>
      </c>
      <c r="D134" s="16" t="s">
        <v>48</v>
      </c>
      <c r="E134" s="16" t="s">
        <v>48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500</v>
      </c>
      <c r="O134" s="16" t="s">
        <v>1487</v>
      </c>
      <c r="P134" s="16" t="s">
        <v>2107</v>
      </c>
      <c r="Q134" s="32" t="s">
        <v>2117</v>
      </c>
    </row>
    <row r="135" spans="1:17" ht="17.100000000000001" customHeight="1">
      <c r="A135" s="21">
        <v>45848</v>
      </c>
      <c r="B135" s="15" t="s">
        <v>1407</v>
      </c>
      <c r="C135" s="16" t="s">
        <v>2095</v>
      </c>
      <c r="D135" s="16" t="s">
        <v>48</v>
      </c>
      <c r="E135" s="16" t="s">
        <v>48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40</v>
      </c>
      <c r="O135" s="16" t="s">
        <v>2099</v>
      </c>
      <c r="P135" s="16" t="s">
        <v>2108</v>
      </c>
      <c r="Q135" s="32" t="s">
        <v>2119</v>
      </c>
    </row>
    <row r="136" spans="1:17" ht="17.100000000000001" customHeight="1">
      <c r="A136" s="21">
        <v>45848</v>
      </c>
      <c r="B136" s="15" t="s">
        <v>663</v>
      </c>
      <c r="C136" s="16" t="s">
        <v>2095</v>
      </c>
      <c r="D136" s="16" t="s">
        <v>48</v>
      </c>
      <c r="E136" s="16" t="s">
        <v>2121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10</v>
      </c>
      <c r="O136" s="16" t="s">
        <v>55</v>
      </c>
      <c r="P136" s="16" t="s">
        <v>2113</v>
      </c>
      <c r="Q136" s="32" t="s">
        <v>2120</v>
      </c>
    </row>
    <row r="137" spans="1:17">
      <c r="A137" s="21">
        <v>45849</v>
      </c>
      <c r="B137" s="15" t="s">
        <v>59</v>
      </c>
      <c r="C137" s="16" t="s">
        <v>2110</v>
      </c>
      <c r="D137" s="16" t="s">
        <v>2122</v>
      </c>
      <c r="E137" s="16" t="s">
        <v>48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f>196/2</f>
        <v>98</v>
      </c>
      <c r="O137" s="16" t="s">
        <v>2099</v>
      </c>
      <c r="P137" s="16" t="s">
        <v>2136</v>
      </c>
      <c r="Q137" s="32" t="s">
        <v>2146</v>
      </c>
    </row>
    <row r="138" spans="1:17">
      <c r="A138" s="21">
        <v>45849</v>
      </c>
      <c r="B138" s="15" t="s">
        <v>59</v>
      </c>
      <c r="C138" s="16" t="s">
        <v>2110</v>
      </c>
      <c r="D138" s="16" t="s">
        <v>2096</v>
      </c>
      <c r="E138" s="16" t="s">
        <v>48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22</v>
      </c>
      <c r="O138" s="16" t="s">
        <v>2099</v>
      </c>
      <c r="P138" s="16" t="s">
        <v>2136</v>
      </c>
      <c r="Q138" s="32" t="s">
        <v>2146</v>
      </c>
    </row>
    <row r="139" spans="1:17">
      <c r="A139" s="21">
        <v>45849</v>
      </c>
      <c r="B139" s="15" t="s">
        <v>2123</v>
      </c>
      <c r="C139" s="16" t="s">
        <v>2110</v>
      </c>
      <c r="D139" s="16" t="s">
        <v>48</v>
      </c>
      <c r="E139" s="16" t="s">
        <v>48</v>
      </c>
      <c r="F139" s="16" t="s">
        <v>2124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100</v>
      </c>
      <c r="O139" s="16" t="s">
        <v>2127</v>
      </c>
      <c r="P139" s="16" t="s">
        <v>2135</v>
      </c>
      <c r="Q139" s="32" t="s">
        <v>2147</v>
      </c>
    </row>
    <row r="140" spans="1:17">
      <c r="A140" s="21">
        <v>45849</v>
      </c>
      <c r="B140" s="15" t="s">
        <v>417</v>
      </c>
      <c r="C140" s="16" t="s">
        <v>2110</v>
      </c>
      <c r="D140" s="16" t="s">
        <v>48</v>
      </c>
      <c r="E140" s="16" t="s">
        <v>48</v>
      </c>
      <c r="F140" s="16" t="s">
        <v>2148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40</v>
      </c>
      <c r="O140" s="16" t="s">
        <v>2127</v>
      </c>
      <c r="P140" s="16" t="s">
        <v>2156</v>
      </c>
      <c r="Q140" s="32" t="s">
        <v>2152</v>
      </c>
    </row>
    <row r="141" spans="1:17">
      <c r="A141" s="21">
        <v>45849</v>
      </c>
      <c r="B141" s="15" t="s">
        <v>68</v>
      </c>
      <c r="C141" s="16" t="s">
        <v>2110</v>
      </c>
      <c r="D141" s="16" t="s">
        <v>48</v>
      </c>
      <c r="E141" s="16" t="s">
        <v>48</v>
      </c>
      <c r="F141" s="16" t="s">
        <v>2149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125</v>
      </c>
      <c r="O141" s="16" t="s">
        <v>2127</v>
      </c>
      <c r="P141" s="16" t="s">
        <v>2157</v>
      </c>
      <c r="Q141" s="32" t="s">
        <v>2153</v>
      </c>
    </row>
    <row r="142" spans="1:17">
      <c r="A142" s="21">
        <v>45849</v>
      </c>
      <c r="B142" s="15" t="s">
        <v>1590</v>
      </c>
      <c r="C142" s="16" t="s">
        <v>2110</v>
      </c>
      <c r="D142" s="16" t="s">
        <v>48</v>
      </c>
      <c r="E142" s="16" t="s">
        <v>48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50</v>
      </c>
      <c r="O142" s="16" t="s">
        <v>2151</v>
      </c>
      <c r="P142" s="16" t="s">
        <v>2158</v>
      </c>
      <c r="Q142" s="32" t="s">
        <v>2154</v>
      </c>
    </row>
    <row r="143" spans="1:17">
      <c r="A143" s="21">
        <v>45849</v>
      </c>
      <c r="B143" s="15" t="s">
        <v>420</v>
      </c>
      <c r="C143" s="16" t="s">
        <v>2110</v>
      </c>
      <c r="D143" s="16" t="s">
        <v>48</v>
      </c>
      <c r="E143" s="16" t="s">
        <v>48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100</v>
      </c>
      <c r="O143" s="16" t="s">
        <v>693</v>
      </c>
      <c r="P143" s="16" t="s">
        <v>2159</v>
      </c>
      <c r="Q143" s="32" t="s">
        <v>2155</v>
      </c>
    </row>
    <row r="144" spans="1:17">
      <c r="A144" s="21">
        <v>45849</v>
      </c>
      <c r="B144" s="15" t="s">
        <v>1326</v>
      </c>
      <c r="C144" s="16" t="s">
        <v>2110</v>
      </c>
      <c r="D144" s="16" t="s">
        <v>48</v>
      </c>
      <c r="E144" s="16" t="s">
        <v>48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>
        <v>400</v>
      </c>
      <c r="O144" s="16" t="s">
        <v>2150</v>
      </c>
      <c r="P144" s="16" t="s">
        <v>2139</v>
      </c>
      <c r="Q144" s="32" t="s">
        <v>2142</v>
      </c>
    </row>
    <row r="145" spans="1:17">
      <c r="A145" s="21">
        <v>45852</v>
      </c>
      <c r="B145" s="15" t="s">
        <v>104</v>
      </c>
      <c r="C145" s="16" t="s">
        <v>2178</v>
      </c>
      <c r="D145" s="16" t="s">
        <v>48</v>
      </c>
      <c r="E145" s="16" t="s">
        <v>48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>
        <v>250415</v>
      </c>
      <c r="N145" s="16">
        <v>1000</v>
      </c>
      <c r="O145" s="16" t="s">
        <v>2125</v>
      </c>
      <c r="P145" s="16" t="s">
        <v>2126</v>
      </c>
      <c r="Q145" s="32" t="s">
        <v>2145</v>
      </c>
    </row>
    <row r="146" spans="1:17">
      <c r="A146" s="21">
        <v>45852</v>
      </c>
      <c r="B146" s="15" t="s">
        <v>29</v>
      </c>
      <c r="C146" s="16" t="s">
        <v>2178</v>
      </c>
      <c r="D146" s="16" t="s">
        <v>2128</v>
      </c>
      <c r="E146" s="16" t="s">
        <v>48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100</v>
      </c>
      <c r="O146" s="16" t="s">
        <v>2130</v>
      </c>
      <c r="P146" s="16" t="s">
        <v>2137</v>
      </c>
      <c r="Q146" s="32" t="s">
        <v>2144</v>
      </c>
    </row>
    <row r="147" spans="1:17">
      <c r="A147" s="21">
        <v>45852</v>
      </c>
      <c r="B147" s="15" t="s">
        <v>29</v>
      </c>
      <c r="C147" s="16" t="s">
        <v>2178</v>
      </c>
      <c r="D147" s="16" t="s">
        <v>2129</v>
      </c>
      <c r="E147" s="16" t="s">
        <v>48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150</v>
      </c>
      <c r="O147" s="16" t="s">
        <v>2130</v>
      </c>
      <c r="P147" s="16" t="s">
        <v>2137</v>
      </c>
      <c r="Q147" s="32" t="s">
        <v>2144</v>
      </c>
    </row>
    <row r="148" spans="1:17">
      <c r="A148" s="21">
        <v>45852</v>
      </c>
      <c r="B148" s="15" t="s">
        <v>222</v>
      </c>
      <c r="C148" s="16" t="s">
        <v>2178</v>
      </c>
      <c r="D148" s="16" t="s">
        <v>48</v>
      </c>
      <c r="E148" s="16" t="s">
        <v>48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2131</v>
      </c>
      <c r="N148" s="16">
        <v>37</v>
      </c>
      <c r="O148" s="16" t="s">
        <v>55</v>
      </c>
      <c r="P148" s="16" t="s">
        <v>2138</v>
      </c>
      <c r="Q148" s="32" t="s">
        <v>2143</v>
      </c>
    </row>
    <row r="149" spans="1:17">
      <c r="A149" s="21">
        <v>45852</v>
      </c>
      <c r="B149" s="15" t="s">
        <v>222</v>
      </c>
      <c r="C149" s="16" t="s">
        <v>2178</v>
      </c>
      <c r="D149" s="16" t="s">
        <v>48</v>
      </c>
      <c r="E149" s="16" t="s">
        <v>48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2132</v>
      </c>
      <c r="N149" s="16">
        <v>163</v>
      </c>
      <c r="O149" s="16" t="s">
        <v>55</v>
      </c>
      <c r="P149" s="16" t="s">
        <v>2138</v>
      </c>
      <c r="Q149" s="32" t="s">
        <v>2143</v>
      </c>
    </row>
    <row r="150" spans="1:17">
      <c r="A150" s="21">
        <v>45852</v>
      </c>
      <c r="B150" s="15" t="s">
        <v>2133</v>
      </c>
      <c r="C150" s="16" t="s">
        <v>2178</v>
      </c>
      <c r="D150" s="16" t="s">
        <v>48</v>
      </c>
      <c r="E150" s="16" t="s">
        <v>48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1000</v>
      </c>
      <c r="O150" s="16" t="s">
        <v>2134</v>
      </c>
      <c r="P150" s="16" t="s">
        <v>2140</v>
      </c>
      <c r="Q150" s="32" t="s">
        <v>2141</v>
      </c>
    </row>
    <row r="151" spans="1:17">
      <c r="A151" s="21">
        <v>45852</v>
      </c>
      <c r="B151" s="15" t="s">
        <v>1326</v>
      </c>
      <c r="C151" s="16" t="s">
        <v>2178</v>
      </c>
      <c r="D151" s="16" t="s">
        <v>48</v>
      </c>
      <c r="E151" s="16" t="s">
        <v>48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800</v>
      </c>
      <c r="O151" s="16" t="s">
        <v>2166</v>
      </c>
      <c r="P151" s="16" t="s">
        <v>2139</v>
      </c>
      <c r="Q151" s="32" t="s">
        <v>2142</v>
      </c>
    </row>
    <row r="152" spans="1:17">
      <c r="A152" s="21">
        <v>45853</v>
      </c>
      <c r="B152" s="15" t="s">
        <v>29</v>
      </c>
      <c r="C152" s="16" t="s">
        <v>2178</v>
      </c>
      <c r="D152" s="16" t="s">
        <v>2129</v>
      </c>
      <c r="E152" s="16" t="s">
        <v>48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300</v>
      </c>
      <c r="O152" s="16" t="s">
        <v>2166</v>
      </c>
      <c r="P152" s="16" t="s">
        <v>2137</v>
      </c>
      <c r="Q152" s="32" t="s">
        <v>2144</v>
      </c>
    </row>
    <row r="153" spans="1:17">
      <c r="A153" s="21">
        <v>45853</v>
      </c>
      <c r="B153" s="15" t="s">
        <v>29</v>
      </c>
      <c r="C153" s="16" t="s">
        <v>2179</v>
      </c>
      <c r="D153" s="16" t="s">
        <v>2112</v>
      </c>
      <c r="E153" s="16" t="s">
        <v>48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v>225</v>
      </c>
      <c r="O153" s="16" t="s">
        <v>2166</v>
      </c>
      <c r="P153" s="16" t="s">
        <v>2137</v>
      </c>
      <c r="Q153" s="32" t="s">
        <v>2144</v>
      </c>
    </row>
    <row r="154" spans="1:17">
      <c r="A154" s="21">
        <v>45853</v>
      </c>
      <c r="B154" s="15" t="s">
        <v>29</v>
      </c>
      <c r="C154" s="16" t="s">
        <v>2179</v>
      </c>
      <c r="D154" s="16" t="s">
        <v>2112</v>
      </c>
      <c r="E154" s="16" t="s">
        <v>48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100</v>
      </c>
      <c r="O154" s="16" t="s">
        <v>2166</v>
      </c>
      <c r="P154" s="16" t="s">
        <v>2137</v>
      </c>
      <c r="Q154" s="32" t="s">
        <v>2144</v>
      </c>
    </row>
    <row r="155" spans="1:17">
      <c r="A155" s="21">
        <v>45853</v>
      </c>
      <c r="B155" s="15" t="s">
        <v>28</v>
      </c>
      <c r="C155" s="16" t="s">
        <v>2179</v>
      </c>
      <c r="D155" s="16" t="s">
        <v>2160</v>
      </c>
      <c r="E155" s="16" t="s">
        <v>2161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40</v>
      </c>
      <c r="O155" s="16" t="s">
        <v>2166</v>
      </c>
      <c r="P155" s="16" t="s">
        <v>2162</v>
      </c>
      <c r="Q155" s="32" t="s">
        <v>2163</v>
      </c>
    </row>
    <row r="156" spans="1:17">
      <c r="A156" s="21">
        <v>45853</v>
      </c>
      <c r="B156" s="15" t="s">
        <v>112</v>
      </c>
      <c r="C156" s="16" t="s">
        <v>2179</v>
      </c>
      <c r="D156" s="16" t="s">
        <v>48</v>
      </c>
      <c r="E156" s="16" t="s">
        <v>48</v>
      </c>
      <c r="F156" s="16" t="s">
        <v>48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20</v>
      </c>
      <c r="O156" s="16" t="s">
        <v>1487</v>
      </c>
      <c r="P156" s="16" t="s">
        <v>2165</v>
      </c>
      <c r="Q156" s="32" t="s">
        <v>2164</v>
      </c>
    </row>
    <row r="157" spans="1:17">
      <c r="A157" s="21">
        <v>45854</v>
      </c>
      <c r="B157" s="15" t="s">
        <v>420</v>
      </c>
      <c r="C157" s="16" t="s">
        <v>2180</v>
      </c>
      <c r="D157" s="16" t="s">
        <v>48</v>
      </c>
      <c r="E157" s="16" t="s">
        <v>48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2170</v>
      </c>
      <c r="N157" s="16">
        <v>20</v>
      </c>
      <c r="O157" s="16" t="s">
        <v>2167</v>
      </c>
      <c r="P157" s="16" t="s">
        <v>2171</v>
      </c>
      <c r="Q157" s="32" t="s">
        <v>2172</v>
      </c>
    </row>
    <row r="158" spans="1:17">
      <c r="A158" s="21">
        <v>45854</v>
      </c>
      <c r="B158" s="15" t="s">
        <v>471</v>
      </c>
      <c r="C158" s="16" t="s">
        <v>2180</v>
      </c>
      <c r="D158" s="16" t="s">
        <v>2173</v>
      </c>
      <c r="E158" s="16" t="s">
        <v>2174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109</v>
      </c>
      <c r="O158" s="16" t="s">
        <v>2167</v>
      </c>
      <c r="P158" s="16" t="s">
        <v>2169</v>
      </c>
      <c r="Q158" s="32" t="s">
        <v>2168</v>
      </c>
    </row>
    <row r="159" spans="1:17">
      <c r="A159" s="21">
        <v>45854</v>
      </c>
      <c r="B159" s="15" t="s">
        <v>471</v>
      </c>
      <c r="C159" s="16" t="s">
        <v>2180</v>
      </c>
      <c r="D159" s="16" t="s">
        <v>2173</v>
      </c>
      <c r="E159" s="16" t="s">
        <v>2175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200</v>
      </c>
      <c r="O159" s="16" t="s">
        <v>2167</v>
      </c>
      <c r="P159" s="16" t="s">
        <v>2169</v>
      </c>
      <c r="Q159" s="32" t="s">
        <v>2168</v>
      </c>
    </row>
    <row r="160" spans="1:17">
      <c r="A160" s="21">
        <v>45854</v>
      </c>
      <c r="B160" s="15" t="s">
        <v>471</v>
      </c>
      <c r="C160" s="16" t="s">
        <v>2180</v>
      </c>
      <c r="D160" s="16" t="s">
        <v>2176</v>
      </c>
      <c r="E160" s="16" t="s">
        <v>2177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41</v>
      </c>
      <c r="O160" s="16" t="s">
        <v>2167</v>
      </c>
      <c r="P160" s="16" t="s">
        <v>2169</v>
      </c>
      <c r="Q160" s="32" t="s">
        <v>2168</v>
      </c>
    </row>
    <row r="161" spans="1:17">
      <c r="A161" s="21">
        <v>45855</v>
      </c>
      <c r="B161" s="15" t="s">
        <v>471</v>
      </c>
      <c r="C161" s="16" t="s">
        <v>2181</v>
      </c>
      <c r="D161" s="16" t="s">
        <v>2176</v>
      </c>
      <c r="E161" s="16" t="s">
        <v>2177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150</v>
      </c>
      <c r="O161" s="16" t="s">
        <v>2167</v>
      </c>
      <c r="P161" s="16" t="s">
        <v>2169</v>
      </c>
      <c r="Q161" s="32" t="s">
        <v>2168</v>
      </c>
    </row>
    <row r="162" spans="1:17">
      <c r="A162" s="21">
        <v>45859</v>
      </c>
      <c r="B162" s="15" t="s">
        <v>1191</v>
      </c>
      <c r="C162" s="16" t="s">
        <v>2182</v>
      </c>
      <c r="D162" s="16" t="s">
        <v>2186</v>
      </c>
      <c r="E162" s="16" t="s">
        <v>2183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f>288/2</f>
        <v>144</v>
      </c>
      <c r="O162" s="16" t="s">
        <v>693</v>
      </c>
      <c r="P162" s="16" t="s">
        <v>2185</v>
      </c>
      <c r="Q162" s="32" t="s">
        <v>2187</v>
      </c>
    </row>
    <row r="163" spans="1:17">
      <c r="A163" s="21">
        <v>45859</v>
      </c>
      <c r="B163" s="15" t="s">
        <v>1191</v>
      </c>
      <c r="C163" s="16" t="s">
        <v>2182</v>
      </c>
      <c r="D163" s="16" t="s">
        <v>2186</v>
      </c>
      <c r="E163" s="16" t="s">
        <v>2184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f>570/2</f>
        <v>285</v>
      </c>
      <c r="O163" s="16" t="s">
        <v>693</v>
      </c>
      <c r="P163" s="16" t="s">
        <v>2185</v>
      </c>
      <c r="Q163" s="32" t="s">
        <v>2187</v>
      </c>
    </row>
    <row r="164" spans="1:17">
      <c r="A164" s="21">
        <v>45859</v>
      </c>
      <c r="B164" s="15" t="s">
        <v>1191</v>
      </c>
      <c r="C164" s="16" t="s">
        <v>2182</v>
      </c>
      <c r="D164" s="16" t="s">
        <v>2186</v>
      </c>
      <c r="E164" s="16" t="s">
        <v>2184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21</v>
      </c>
      <c r="O164" s="16" t="s">
        <v>693</v>
      </c>
      <c r="P164" s="16" t="s">
        <v>2185</v>
      </c>
      <c r="Q164" s="32" t="s">
        <v>2187</v>
      </c>
    </row>
    <row r="165" spans="1:17">
      <c r="A165" s="21">
        <v>45860</v>
      </c>
      <c r="B165" s="15" t="s">
        <v>1191</v>
      </c>
      <c r="C165" s="16" t="s">
        <v>2190</v>
      </c>
      <c r="D165" s="16" t="s">
        <v>2186</v>
      </c>
      <c r="E165" s="16" t="s">
        <v>2184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50</v>
      </c>
      <c r="O165" s="16" t="s">
        <v>693</v>
      </c>
      <c r="P165" s="16" t="s">
        <v>2185</v>
      </c>
      <c r="Q165" s="32" t="s">
        <v>2187</v>
      </c>
    </row>
    <row r="166" spans="1:17">
      <c r="A166" s="21">
        <v>45860</v>
      </c>
      <c r="B166" s="15" t="s">
        <v>41</v>
      </c>
      <c r="C166" s="16" t="s">
        <v>2190</v>
      </c>
      <c r="D166" s="16" t="s">
        <v>2193</v>
      </c>
      <c r="E166" s="16" t="s">
        <v>2191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f>450/2</f>
        <v>225</v>
      </c>
      <c r="O166" s="16" t="s">
        <v>693</v>
      </c>
      <c r="P166" s="16" t="s">
        <v>2189</v>
      </c>
      <c r="Q166" s="32" t="s">
        <v>2188</v>
      </c>
    </row>
    <row r="167" spans="1:17">
      <c r="A167" s="21">
        <v>45860</v>
      </c>
      <c r="B167" s="15" t="s">
        <v>41</v>
      </c>
      <c r="C167" s="16" t="s">
        <v>2190</v>
      </c>
      <c r="D167" s="16" t="s">
        <v>2193</v>
      </c>
      <c r="E167" s="16" t="s">
        <v>2192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15</v>
      </c>
      <c r="O167" s="16" t="s">
        <v>693</v>
      </c>
      <c r="P167" s="16" t="s">
        <v>2189</v>
      </c>
      <c r="Q167" s="32" t="s">
        <v>2188</v>
      </c>
    </row>
    <row r="168" spans="1:17">
      <c r="A168" s="21">
        <v>45861</v>
      </c>
      <c r="B168" s="15" t="s">
        <v>28</v>
      </c>
      <c r="C168" s="16" t="s">
        <v>2194</v>
      </c>
      <c r="D168" s="16" t="s">
        <v>2195</v>
      </c>
      <c r="E168" s="16" t="s">
        <v>2196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40</v>
      </c>
      <c r="O168" s="16" t="s">
        <v>55</v>
      </c>
      <c r="P168" s="16" t="s">
        <v>2201</v>
      </c>
      <c r="Q168" s="32" t="s">
        <v>2197</v>
      </c>
    </row>
    <row r="169" spans="1:17">
      <c r="A169" s="21">
        <v>45861</v>
      </c>
      <c r="B169" s="15" t="s">
        <v>114</v>
      </c>
      <c r="C169" s="16" t="s">
        <v>2194</v>
      </c>
      <c r="D169" s="16" t="s">
        <v>48</v>
      </c>
      <c r="E169" s="16" t="s">
        <v>48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6</v>
      </c>
      <c r="O169" s="16" t="s">
        <v>55</v>
      </c>
      <c r="P169" s="16" t="s">
        <v>2202</v>
      </c>
      <c r="Q169" s="32" t="s">
        <v>2198</v>
      </c>
    </row>
    <row r="170" spans="1:17">
      <c r="A170" s="21">
        <v>45861</v>
      </c>
      <c r="B170" s="15" t="s">
        <v>37</v>
      </c>
      <c r="C170" s="16" t="s">
        <v>2194</v>
      </c>
      <c r="D170" s="16" t="s">
        <v>48</v>
      </c>
      <c r="E170" s="16" t="s">
        <v>48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40</v>
      </c>
      <c r="O170" s="16" t="s">
        <v>55</v>
      </c>
      <c r="P170" s="16" t="s">
        <v>2203</v>
      </c>
      <c r="Q170" s="32" t="s">
        <v>2199</v>
      </c>
    </row>
    <row r="171" spans="1:17">
      <c r="A171" s="21">
        <v>45861</v>
      </c>
      <c r="B171" s="15" t="s">
        <v>1407</v>
      </c>
      <c r="C171" s="16" t="s">
        <v>2194</v>
      </c>
      <c r="D171" s="16" t="s">
        <v>48</v>
      </c>
      <c r="E171" s="16" t="s">
        <v>48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40</v>
      </c>
      <c r="O171" s="16" t="s">
        <v>55</v>
      </c>
      <c r="P171" s="16" t="s">
        <v>2204</v>
      </c>
      <c r="Q171" s="32" t="s">
        <v>2200</v>
      </c>
    </row>
    <row r="172" spans="1:17">
      <c r="A172" s="21">
        <v>45861</v>
      </c>
      <c r="B172" s="15" t="s">
        <v>1317</v>
      </c>
      <c r="C172" s="16" t="s">
        <v>2194</v>
      </c>
      <c r="D172" s="16" t="s">
        <v>48</v>
      </c>
      <c r="E172" s="16" t="s">
        <v>48</v>
      </c>
      <c r="F172" s="16" t="s">
        <v>48</v>
      </c>
      <c r="G172" s="16" t="s">
        <v>48</v>
      </c>
      <c r="H172" s="16" t="s">
        <v>48</v>
      </c>
      <c r="I172" s="16" t="s">
        <v>48</v>
      </c>
      <c r="J172" s="16" t="s">
        <v>48</v>
      </c>
      <c r="K172" s="16" t="s">
        <v>48</v>
      </c>
      <c r="L172" s="16" t="s">
        <v>48</v>
      </c>
      <c r="M172" s="16" t="s">
        <v>48</v>
      </c>
      <c r="N172" s="16">
        <v>40</v>
      </c>
      <c r="O172" s="16" t="s">
        <v>55</v>
      </c>
      <c r="P172" s="16" t="s">
        <v>2205</v>
      </c>
      <c r="Q172" s="32" t="s">
        <v>2206</v>
      </c>
    </row>
    <row r="173" spans="1:17">
      <c r="A173" s="21">
        <v>45866</v>
      </c>
      <c r="B173" s="15" t="s">
        <v>29</v>
      </c>
      <c r="C173" s="16" t="s">
        <v>2207</v>
      </c>
      <c r="D173" s="16" t="s">
        <v>2208</v>
      </c>
      <c r="E173" s="16" t="s">
        <v>48</v>
      </c>
      <c r="F173" s="16" t="s">
        <v>48</v>
      </c>
      <c r="G173" s="16" t="s">
        <v>48</v>
      </c>
      <c r="H173" s="16" t="s">
        <v>48</v>
      </c>
      <c r="I173" s="16" t="s">
        <v>48</v>
      </c>
      <c r="J173" s="16" t="s">
        <v>48</v>
      </c>
      <c r="K173" s="16" t="s">
        <v>48</v>
      </c>
      <c r="L173" s="16" t="s">
        <v>48</v>
      </c>
      <c r="M173" s="16" t="s">
        <v>48</v>
      </c>
      <c r="N173" s="16">
        <v>375</v>
      </c>
      <c r="O173" s="16" t="s">
        <v>2209</v>
      </c>
      <c r="P173" s="16" t="s">
        <v>2216</v>
      </c>
      <c r="Q173" s="32" t="s">
        <v>2217</v>
      </c>
    </row>
    <row r="174" spans="1:17">
      <c r="A174" s="21">
        <v>45866</v>
      </c>
      <c r="B174" s="15" t="s">
        <v>62</v>
      </c>
      <c r="C174" s="16" t="s">
        <v>2207</v>
      </c>
      <c r="D174" s="16" t="s">
        <v>2210</v>
      </c>
      <c r="E174" s="16" t="s">
        <v>48</v>
      </c>
      <c r="F174" s="16" t="s">
        <v>48</v>
      </c>
      <c r="G174" s="16" t="s">
        <v>48</v>
      </c>
      <c r="H174" s="16" t="s">
        <v>48</v>
      </c>
      <c r="I174" s="16" t="s">
        <v>48</v>
      </c>
      <c r="J174" s="16" t="s">
        <v>48</v>
      </c>
      <c r="K174" s="16" t="s">
        <v>48</v>
      </c>
      <c r="L174" s="16" t="s">
        <v>48</v>
      </c>
      <c r="M174" s="16" t="s">
        <v>48</v>
      </c>
      <c r="N174" s="16">
        <v>60</v>
      </c>
      <c r="O174" s="16" t="s">
        <v>2211</v>
      </c>
      <c r="P174" s="16" t="s">
        <v>2215</v>
      </c>
      <c r="Q174" s="32" t="s">
        <v>2213</v>
      </c>
    </row>
    <row r="175" spans="1:17">
      <c r="A175" s="21">
        <v>45866</v>
      </c>
      <c r="B175" s="15" t="s">
        <v>904</v>
      </c>
      <c r="C175" s="16" t="s">
        <v>2207</v>
      </c>
      <c r="D175" s="16" t="s">
        <v>1853</v>
      </c>
      <c r="E175" s="16" t="s">
        <v>48</v>
      </c>
      <c r="F175" s="16" t="s">
        <v>48</v>
      </c>
      <c r="G175" s="16" t="s">
        <v>48</v>
      </c>
      <c r="H175" s="16" t="s">
        <v>48</v>
      </c>
      <c r="I175" s="16" t="s">
        <v>48</v>
      </c>
      <c r="J175" s="16" t="s">
        <v>48</v>
      </c>
      <c r="K175" s="16" t="s">
        <v>48</v>
      </c>
      <c r="L175" s="16" t="s">
        <v>48</v>
      </c>
      <c r="M175" s="16" t="s">
        <v>48</v>
      </c>
      <c r="N175" s="16">
        <v>1</v>
      </c>
      <c r="O175" s="16" t="s">
        <v>55</v>
      </c>
      <c r="P175" s="16" t="s">
        <v>2214</v>
      </c>
      <c r="Q175" s="32" t="s">
        <v>2212</v>
      </c>
    </row>
    <row r="176" spans="1:17">
      <c r="A176" s="21">
        <v>45866</v>
      </c>
      <c r="B176" s="15" t="s">
        <v>24</v>
      </c>
      <c r="C176" s="16" t="s">
        <v>2207</v>
      </c>
      <c r="D176" s="16" t="s">
        <v>48</v>
      </c>
      <c r="E176" s="16" t="s">
        <v>48</v>
      </c>
      <c r="F176" s="16" t="s">
        <v>48</v>
      </c>
      <c r="G176" s="16" t="s">
        <v>48</v>
      </c>
      <c r="H176" s="16" t="s">
        <v>48</v>
      </c>
      <c r="I176" s="16" t="s">
        <v>48</v>
      </c>
      <c r="J176" s="16" t="s">
        <v>48</v>
      </c>
      <c r="K176" s="16" t="s">
        <v>48</v>
      </c>
      <c r="L176" s="16" t="s">
        <v>48</v>
      </c>
      <c r="M176" s="16" t="s">
        <v>48</v>
      </c>
      <c r="N176" s="16">
        <v>100</v>
      </c>
      <c r="O176" s="16" t="s">
        <v>2220</v>
      </c>
      <c r="P176" s="16" t="s">
        <v>2218</v>
      </c>
      <c r="Q176" s="32" t="s">
        <v>2219</v>
      </c>
    </row>
    <row r="177" spans="1:17">
      <c r="A177" s="21">
        <v>45866</v>
      </c>
      <c r="B177" s="15" t="s">
        <v>907</v>
      </c>
      <c r="C177" s="16" t="s">
        <v>2207</v>
      </c>
      <c r="D177" s="16" t="s">
        <v>48</v>
      </c>
      <c r="E177" s="16" t="s">
        <v>48</v>
      </c>
      <c r="F177" s="16" t="s">
        <v>48</v>
      </c>
      <c r="G177" s="16" t="s">
        <v>48</v>
      </c>
      <c r="H177" s="16" t="s">
        <v>48</v>
      </c>
      <c r="I177" s="16" t="s">
        <v>48</v>
      </c>
      <c r="J177" s="16" t="s">
        <v>48</v>
      </c>
      <c r="K177" s="16" t="s">
        <v>48</v>
      </c>
      <c r="L177" s="16" t="s">
        <v>48</v>
      </c>
      <c r="M177" s="16" t="s">
        <v>48</v>
      </c>
      <c r="N177" s="16">
        <v>10</v>
      </c>
      <c r="O177" s="16" t="s">
        <v>55</v>
      </c>
      <c r="P177" s="16" t="s">
        <v>2222</v>
      </c>
      <c r="Q177" s="32" t="s">
        <v>2221</v>
      </c>
    </row>
    <row r="178" spans="1:17">
      <c r="A178" s="21">
        <v>45866</v>
      </c>
      <c r="B178" s="15" t="s">
        <v>1167</v>
      </c>
      <c r="C178" s="16" t="s">
        <v>2207</v>
      </c>
      <c r="D178" s="16" t="s">
        <v>2224</v>
      </c>
      <c r="E178" s="16" t="s">
        <v>48</v>
      </c>
      <c r="F178" s="16" t="s">
        <v>48</v>
      </c>
      <c r="G178" s="16" t="s">
        <v>48</v>
      </c>
      <c r="H178" s="16" t="s">
        <v>48</v>
      </c>
      <c r="I178" s="16" t="s">
        <v>48</v>
      </c>
      <c r="J178" s="16" t="s">
        <v>48</v>
      </c>
      <c r="K178" s="16" t="s">
        <v>48</v>
      </c>
      <c r="L178" s="16" t="s">
        <v>48</v>
      </c>
      <c r="M178" s="16" t="s">
        <v>48</v>
      </c>
      <c r="N178" s="16">
        <v>200</v>
      </c>
      <c r="O178" s="16" t="s">
        <v>2225</v>
      </c>
      <c r="P178" s="16" t="s">
        <v>2226</v>
      </c>
      <c r="Q178" s="32" t="s">
        <v>2227</v>
      </c>
    </row>
    <row r="179" spans="1:17">
      <c r="A179" s="21">
        <v>45867</v>
      </c>
      <c r="B179" s="15" t="s">
        <v>1167</v>
      </c>
      <c r="C179" s="16" t="s">
        <v>2231</v>
      </c>
      <c r="D179" s="16" t="s">
        <v>2223</v>
      </c>
      <c r="E179" s="16" t="s">
        <v>48</v>
      </c>
      <c r="F179" s="16" t="s">
        <v>48</v>
      </c>
      <c r="G179" s="16" t="s">
        <v>48</v>
      </c>
      <c r="H179" s="16" t="s">
        <v>48</v>
      </c>
      <c r="I179" s="16" t="s">
        <v>48</v>
      </c>
      <c r="J179" s="16" t="s">
        <v>48</v>
      </c>
      <c r="K179" s="16" t="s">
        <v>48</v>
      </c>
      <c r="L179" s="16" t="s">
        <v>48</v>
      </c>
      <c r="M179" s="16" t="s">
        <v>48</v>
      </c>
      <c r="N179" s="16">
        <v>200</v>
      </c>
      <c r="O179" s="16" t="s">
        <v>2228</v>
      </c>
      <c r="P179" s="16" t="s">
        <v>2226</v>
      </c>
      <c r="Q179" s="32" t="s">
        <v>2227</v>
      </c>
    </row>
    <row r="180" spans="1:17">
      <c r="A180" s="21">
        <v>45867</v>
      </c>
      <c r="B180" s="15" t="s">
        <v>108</v>
      </c>
      <c r="C180" s="16" t="s">
        <v>2231</v>
      </c>
      <c r="D180" s="16" t="s">
        <v>48</v>
      </c>
      <c r="E180" s="16" t="s">
        <v>48</v>
      </c>
      <c r="F180" s="16" t="s">
        <v>2232</v>
      </c>
      <c r="G180" s="16" t="s">
        <v>48</v>
      </c>
      <c r="H180" s="16" t="s">
        <v>48</v>
      </c>
      <c r="I180" s="16" t="s">
        <v>48</v>
      </c>
      <c r="J180" s="16" t="s">
        <v>48</v>
      </c>
      <c r="K180" s="16" t="s">
        <v>48</v>
      </c>
      <c r="L180" s="16" t="s">
        <v>48</v>
      </c>
      <c r="M180" s="16" t="s">
        <v>48</v>
      </c>
      <c r="N180" s="16">
        <v>40</v>
      </c>
      <c r="O180" s="16" t="s">
        <v>2239</v>
      </c>
      <c r="P180" s="16" t="s">
        <v>2229</v>
      </c>
      <c r="Q180" s="32" t="s">
        <v>2230</v>
      </c>
    </row>
    <row r="181" spans="1:17">
      <c r="A181" s="21">
        <v>45867</v>
      </c>
      <c r="B181" s="15" t="s">
        <v>74</v>
      </c>
      <c r="C181" s="16" t="s">
        <v>2231</v>
      </c>
      <c r="D181" s="16" t="s">
        <v>48</v>
      </c>
      <c r="E181" s="16" t="s">
        <v>48</v>
      </c>
      <c r="F181" s="16" t="s">
        <v>2232</v>
      </c>
      <c r="G181" s="16" t="s">
        <v>48</v>
      </c>
      <c r="H181" s="16" t="s">
        <v>48</v>
      </c>
      <c r="I181" s="16" t="s">
        <v>48</v>
      </c>
      <c r="J181" s="16" t="s">
        <v>48</v>
      </c>
      <c r="K181" s="16" t="s">
        <v>48</v>
      </c>
      <c r="L181" s="16" t="s">
        <v>48</v>
      </c>
      <c r="M181" s="16" t="s">
        <v>48</v>
      </c>
      <c r="N181" s="16">
        <v>10</v>
      </c>
      <c r="O181" s="16" t="s">
        <v>2239</v>
      </c>
      <c r="P181" s="16" t="s">
        <v>2233</v>
      </c>
      <c r="Q181" s="32" t="s">
        <v>2234</v>
      </c>
    </row>
    <row r="182" spans="1:17">
      <c r="A182" s="21">
        <v>45867</v>
      </c>
      <c r="B182" s="15" t="s">
        <v>28</v>
      </c>
      <c r="C182" s="16" t="s">
        <v>2231</v>
      </c>
      <c r="D182" s="16" t="s">
        <v>2237</v>
      </c>
      <c r="E182" s="16" t="s">
        <v>2238</v>
      </c>
      <c r="F182" s="16" t="s">
        <v>48</v>
      </c>
      <c r="G182" s="16" t="s">
        <v>48</v>
      </c>
      <c r="H182" s="16" t="s">
        <v>48</v>
      </c>
      <c r="I182" s="16" t="s">
        <v>48</v>
      </c>
      <c r="J182" s="16" t="s">
        <v>48</v>
      </c>
      <c r="K182" s="16" t="s">
        <v>48</v>
      </c>
      <c r="L182" s="16" t="s">
        <v>48</v>
      </c>
      <c r="M182" s="16" t="s">
        <v>48</v>
      </c>
      <c r="N182" s="16">
        <v>40</v>
      </c>
      <c r="O182" s="16" t="s">
        <v>2239</v>
      </c>
      <c r="P182" s="16" t="s">
        <v>2236</v>
      </c>
      <c r="Q182" s="32" t="s">
        <v>2235</v>
      </c>
    </row>
    <row r="183" spans="1:17">
      <c r="A183" s="21">
        <v>45867</v>
      </c>
      <c r="B183" s="15" t="s">
        <v>71</v>
      </c>
      <c r="C183" s="16" t="s">
        <v>2231</v>
      </c>
      <c r="D183" s="16" t="s">
        <v>48</v>
      </c>
      <c r="E183" s="16" t="s">
        <v>48</v>
      </c>
      <c r="F183" s="16" t="s">
        <v>48</v>
      </c>
      <c r="G183" s="16" t="s">
        <v>48</v>
      </c>
      <c r="H183" s="16" t="s">
        <v>48</v>
      </c>
      <c r="I183" s="16" t="s">
        <v>48</v>
      </c>
      <c r="J183" s="16" t="s">
        <v>48</v>
      </c>
      <c r="K183" s="16" t="s">
        <v>48</v>
      </c>
      <c r="L183" s="16" t="s">
        <v>48</v>
      </c>
      <c r="M183" s="16" t="s">
        <v>48</v>
      </c>
      <c r="N183" s="16">
        <v>150</v>
      </c>
      <c r="O183" s="16" t="s">
        <v>2242</v>
      </c>
      <c r="P183" s="16" t="s">
        <v>2240</v>
      </c>
      <c r="Q183" s="32" t="s">
        <v>2241</v>
      </c>
    </row>
    <row r="184" spans="1:17">
      <c r="A184" s="21">
        <v>45867</v>
      </c>
      <c r="B184" s="15" t="s">
        <v>2243</v>
      </c>
      <c r="C184" s="16" t="s">
        <v>2231</v>
      </c>
      <c r="D184" s="16" t="s">
        <v>2246</v>
      </c>
      <c r="E184" s="16">
        <v>2506021</v>
      </c>
      <c r="F184" s="16" t="s">
        <v>48</v>
      </c>
      <c r="G184" s="16" t="s">
        <v>48</v>
      </c>
      <c r="H184" s="16" t="s">
        <v>48</v>
      </c>
      <c r="I184" s="16" t="s">
        <v>48</v>
      </c>
      <c r="J184" s="16" t="s">
        <v>48</v>
      </c>
      <c r="K184" s="16" t="s">
        <v>48</v>
      </c>
      <c r="L184" s="16" t="s">
        <v>48</v>
      </c>
      <c r="M184" s="16" t="s">
        <v>48</v>
      </c>
      <c r="N184" s="16">
        <v>24</v>
      </c>
      <c r="O184" s="16" t="s">
        <v>2239</v>
      </c>
      <c r="P184" s="16" t="s">
        <v>2245</v>
      </c>
      <c r="Q184" s="32" t="s">
        <v>2244</v>
      </c>
    </row>
    <row r="185" spans="1:17">
      <c r="A185" s="21">
        <v>45868</v>
      </c>
      <c r="B185" s="15" t="s">
        <v>1486</v>
      </c>
      <c r="C185" s="16" t="s">
        <v>2257</v>
      </c>
      <c r="D185" s="16" t="s">
        <v>48</v>
      </c>
      <c r="E185" s="16" t="s">
        <v>48</v>
      </c>
      <c r="F185" s="16" t="s">
        <v>48</v>
      </c>
      <c r="G185" s="16" t="s">
        <v>48</v>
      </c>
      <c r="H185" s="16" t="s">
        <v>48</v>
      </c>
      <c r="I185" s="16" t="s">
        <v>48</v>
      </c>
      <c r="J185" s="16" t="s">
        <v>48</v>
      </c>
      <c r="K185" s="16" t="s">
        <v>48</v>
      </c>
      <c r="L185" s="16" t="s">
        <v>48</v>
      </c>
      <c r="M185" s="16" t="s">
        <v>48</v>
      </c>
      <c r="N185" s="16">
        <v>100</v>
      </c>
      <c r="O185" s="16" t="s">
        <v>55</v>
      </c>
      <c r="P185" s="16" t="s">
        <v>2248</v>
      </c>
      <c r="Q185" s="32" t="s">
        <v>2249</v>
      </c>
    </row>
    <row r="186" spans="1:17">
      <c r="A186" s="21">
        <v>45868</v>
      </c>
      <c r="B186" s="15" t="s">
        <v>214</v>
      </c>
      <c r="C186" s="16" t="s">
        <v>2257</v>
      </c>
      <c r="D186" s="16" t="s">
        <v>48</v>
      </c>
      <c r="E186" s="16" t="s">
        <v>48</v>
      </c>
      <c r="F186" s="16" t="s">
        <v>48</v>
      </c>
      <c r="G186" s="16" t="s">
        <v>48</v>
      </c>
      <c r="H186" s="16" t="s">
        <v>48</v>
      </c>
      <c r="I186" s="16" t="s">
        <v>48</v>
      </c>
      <c r="J186" s="16" t="s">
        <v>48</v>
      </c>
      <c r="K186" s="16" t="s">
        <v>48</v>
      </c>
      <c r="L186" s="16" t="s">
        <v>48</v>
      </c>
      <c r="M186" s="16" t="s">
        <v>48</v>
      </c>
      <c r="N186" s="16">
        <v>200</v>
      </c>
      <c r="O186" s="16" t="s">
        <v>2258</v>
      </c>
      <c r="P186" s="16" t="s">
        <v>2233</v>
      </c>
      <c r="Q186" s="32" t="s">
        <v>2247</v>
      </c>
    </row>
    <row r="187" spans="1:17">
      <c r="A187" s="21">
        <v>45868</v>
      </c>
      <c r="B187" s="15" t="s">
        <v>421</v>
      </c>
      <c r="C187" s="16" t="s">
        <v>2257</v>
      </c>
      <c r="D187" s="16" t="s">
        <v>48</v>
      </c>
      <c r="E187" s="16" t="s">
        <v>48</v>
      </c>
      <c r="F187" s="16" t="s">
        <v>48</v>
      </c>
      <c r="G187" s="16" t="s">
        <v>48</v>
      </c>
      <c r="H187" s="16" t="s">
        <v>48</v>
      </c>
      <c r="I187" s="16" t="s">
        <v>48</v>
      </c>
      <c r="J187" s="16" t="s">
        <v>48</v>
      </c>
      <c r="K187" s="16" t="s">
        <v>48</v>
      </c>
      <c r="L187" s="16" t="s">
        <v>48</v>
      </c>
      <c r="M187" s="16" t="s">
        <v>48</v>
      </c>
      <c r="N187" s="16">
        <v>100</v>
      </c>
      <c r="O187" s="16" t="s">
        <v>2259</v>
      </c>
      <c r="P187" s="16" t="s">
        <v>2253</v>
      </c>
      <c r="Q187" s="32" t="s">
        <v>2250</v>
      </c>
    </row>
    <row r="188" spans="1:17">
      <c r="A188" s="21">
        <v>45868</v>
      </c>
      <c r="B188" s="15" t="s">
        <v>101</v>
      </c>
      <c r="C188" s="16" t="s">
        <v>2257</v>
      </c>
      <c r="D188" s="16" t="s">
        <v>48</v>
      </c>
      <c r="E188" s="16" t="s">
        <v>48</v>
      </c>
      <c r="F188" s="16" t="s">
        <v>48</v>
      </c>
      <c r="G188" s="16" t="s">
        <v>48</v>
      </c>
      <c r="H188" s="16" t="s">
        <v>48</v>
      </c>
      <c r="I188" s="16" t="s">
        <v>48</v>
      </c>
      <c r="J188" s="16" t="s">
        <v>48</v>
      </c>
      <c r="K188" s="16" t="s">
        <v>48</v>
      </c>
      <c r="L188" s="16" t="s">
        <v>48</v>
      </c>
      <c r="M188" s="16" t="s">
        <v>48</v>
      </c>
      <c r="N188" s="16">
        <v>50</v>
      </c>
      <c r="O188" s="16" t="s">
        <v>2259</v>
      </c>
      <c r="P188" s="16" t="s">
        <v>2254</v>
      </c>
      <c r="Q188" s="32" t="s">
        <v>2251</v>
      </c>
    </row>
    <row r="189" spans="1:17">
      <c r="A189" s="21">
        <v>45868</v>
      </c>
      <c r="B189" s="15" t="s">
        <v>2256</v>
      </c>
      <c r="C189" s="16" t="s">
        <v>2257</v>
      </c>
      <c r="D189" s="16" t="s">
        <v>48</v>
      </c>
      <c r="E189" s="16" t="s">
        <v>48</v>
      </c>
      <c r="F189" s="16" t="s">
        <v>48</v>
      </c>
      <c r="G189" s="16" t="s">
        <v>48</v>
      </c>
      <c r="H189" s="16" t="s">
        <v>48</v>
      </c>
      <c r="I189" s="16" t="s">
        <v>48</v>
      </c>
      <c r="J189" s="16" t="s">
        <v>48</v>
      </c>
      <c r="K189" s="16" t="s">
        <v>48</v>
      </c>
      <c r="L189" s="16" t="s">
        <v>48</v>
      </c>
      <c r="M189" s="16" t="s">
        <v>48</v>
      </c>
      <c r="N189" s="16">
        <v>30</v>
      </c>
      <c r="O189" s="16" t="s">
        <v>2259</v>
      </c>
      <c r="P189" s="16" t="s">
        <v>2255</v>
      </c>
      <c r="Q189" s="32" t="s">
        <v>2252</v>
      </c>
    </row>
    <row r="190" spans="1:17">
      <c r="A190" s="21">
        <v>45868</v>
      </c>
      <c r="B190" s="15" t="s">
        <v>79</v>
      </c>
      <c r="C190" s="16" t="s">
        <v>2257</v>
      </c>
      <c r="D190" s="16" t="s">
        <v>2263</v>
      </c>
      <c r="E190" s="16" t="s">
        <v>2261</v>
      </c>
      <c r="F190" s="16" t="s">
        <v>48</v>
      </c>
      <c r="G190" s="16" t="s">
        <v>48</v>
      </c>
      <c r="H190" s="16" t="s">
        <v>48</v>
      </c>
      <c r="I190" s="16" t="s">
        <v>48</v>
      </c>
      <c r="J190" s="16" t="s">
        <v>48</v>
      </c>
      <c r="K190" s="16" t="s">
        <v>48</v>
      </c>
      <c r="L190" s="16" t="s">
        <v>48</v>
      </c>
      <c r="M190" s="16" t="s">
        <v>48</v>
      </c>
      <c r="N190" s="16">
        <v>54</v>
      </c>
      <c r="O190" s="16" t="s">
        <v>2266</v>
      </c>
      <c r="P190" s="16" t="s">
        <v>2260</v>
      </c>
      <c r="Q190" s="32" t="s">
        <v>2247</v>
      </c>
    </row>
    <row r="191" spans="1:17">
      <c r="A191" s="21">
        <v>45868</v>
      </c>
      <c r="B191" s="15" t="s">
        <v>79</v>
      </c>
      <c r="C191" s="16" t="s">
        <v>2257</v>
      </c>
      <c r="D191" s="16" t="s">
        <v>2263</v>
      </c>
      <c r="E191" s="16" t="s">
        <v>2262</v>
      </c>
      <c r="F191" s="16" t="s">
        <v>48</v>
      </c>
      <c r="G191" s="16" t="s">
        <v>48</v>
      </c>
      <c r="H191" s="16" t="s">
        <v>48</v>
      </c>
      <c r="I191" s="16" t="s">
        <v>48</v>
      </c>
      <c r="J191" s="16" t="s">
        <v>48</v>
      </c>
      <c r="K191" s="16" t="s">
        <v>48</v>
      </c>
      <c r="L191" s="16" t="s">
        <v>48</v>
      </c>
      <c r="M191" s="16" t="s">
        <v>48</v>
      </c>
      <c r="N191" s="16">
        <v>46</v>
      </c>
      <c r="O191" s="16" t="s">
        <v>2266</v>
      </c>
      <c r="P191" s="16" t="s">
        <v>2260</v>
      </c>
      <c r="Q191" s="32" t="s">
        <v>2247</v>
      </c>
    </row>
    <row r="192" spans="1:17">
      <c r="A192" s="21">
        <v>45868</v>
      </c>
      <c r="B192" s="15" t="s">
        <v>79</v>
      </c>
      <c r="C192" s="16" t="s">
        <v>2257</v>
      </c>
      <c r="D192" s="16" t="s">
        <v>2264</v>
      </c>
      <c r="E192" s="16" t="s">
        <v>2262</v>
      </c>
      <c r="F192" s="16" t="s">
        <v>48</v>
      </c>
      <c r="G192" s="16" t="s">
        <v>48</v>
      </c>
      <c r="H192" s="16" t="s">
        <v>48</v>
      </c>
      <c r="I192" s="16" t="s">
        <v>48</v>
      </c>
      <c r="J192" s="16" t="s">
        <v>48</v>
      </c>
      <c r="K192" s="16" t="s">
        <v>48</v>
      </c>
      <c r="L192" s="16" t="s">
        <v>48</v>
      </c>
      <c r="M192" s="16" t="s">
        <v>48</v>
      </c>
      <c r="N192" s="16">
        <v>8</v>
      </c>
      <c r="O192" s="16" t="s">
        <v>2266</v>
      </c>
      <c r="P192" s="16" t="s">
        <v>2260</v>
      </c>
      <c r="Q192" s="32" t="s">
        <v>2247</v>
      </c>
    </row>
    <row r="193" spans="1:17">
      <c r="A193" s="21">
        <v>45868</v>
      </c>
      <c r="B193" s="15" t="s">
        <v>79</v>
      </c>
      <c r="C193" s="16" t="s">
        <v>2257</v>
      </c>
      <c r="D193" s="16" t="s">
        <v>2264</v>
      </c>
      <c r="E193" s="16" t="s">
        <v>2265</v>
      </c>
      <c r="F193" s="16" t="s">
        <v>48</v>
      </c>
      <c r="G193" s="16" t="s">
        <v>48</v>
      </c>
      <c r="H193" s="16" t="s">
        <v>48</v>
      </c>
      <c r="I193" s="16" t="s">
        <v>48</v>
      </c>
      <c r="J193" s="16" t="s">
        <v>48</v>
      </c>
      <c r="K193" s="16" t="s">
        <v>48</v>
      </c>
      <c r="L193" s="16" t="s">
        <v>48</v>
      </c>
      <c r="M193" s="16" t="s">
        <v>48</v>
      </c>
      <c r="N193" s="16">
        <v>54</v>
      </c>
      <c r="O193" s="16" t="s">
        <v>2266</v>
      </c>
      <c r="P193" s="16" t="s">
        <v>2260</v>
      </c>
      <c r="Q193" s="32" t="s">
        <v>2247</v>
      </c>
    </row>
    <row r="194" spans="1:17">
      <c r="A194" s="21">
        <v>45868</v>
      </c>
      <c r="B194" s="15" t="s">
        <v>79</v>
      </c>
      <c r="C194" s="16" t="s">
        <v>2257</v>
      </c>
      <c r="D194" s="16" t="s">
        <v>2264</v>
      </c>
      <c r="E194" s="16" t="s">
        <v>2267</v>
      </c>
      <c r="F194" s="16" t="s">
        <v>48</v>
      </c>
      <c r="G194" s="16" t="s">
        <v>48</v>
      </c>
      <c r="H194" s="16" t="s">
        <v>48</v>
      </c>
      <c r="I194" s="16" t="s">
        <v>48</v>
      </c>
      <c r="J194" s="16" t="s">
        <v>48</v>
      </c>
      <c r="K194" s="16" t="s">
        <v>48</v>
      </c>
      <c r="L194" s="16" t="s">
        <v>48</v>
      </c>
      <c r="M194" s="16" t="s">
        <v>48</v>
      </c>
      <c r="N194" s="16">
        <v>27</v>
      </c>
      <c r="O194" s="16" t="s">
        <v>2266</v>
      </c>
      <c r="P194" s="16" t="s">
        <v>2260</v>
      </c>
      <c r="Q194" s="32" t="s">
        <v>2247</v>
      </c>
    </row>
    <row r="195" spans="1:17">
      <c r="A195" s="21">
        <v>45868</v>
      </c>
      <c r="B195" s="15" t="s">
        <v>79</v>
      </c>
      <c r="C195" s="16" t="s">
        <v>2257</v>
      </c>
      <c r="D195" s="16" t="s">
        <v>2264</v>
      </c>
      <c r="E195" s="16" t="s">
        <v>2268</v>
      </c>
      <c r="F195" s="16" t="s">
        <v>48</v>
      </c>
      <c r="G195" s="16" t="s">
        <v>48</v>
      </c>
      <c r="H195" s="16" t="s">
        <v>48</v>
      </c>
      <c r="I195" s="16" t="s">
        <v>48</v>
      </c>
      <c r="J195" s="16" t="s">
        <v>48</v>
      </c>
      <c r="K195" s="16" t="s">
        <v>48</v>
      </c>
      <c r="L195" s="16" t="s">
        <v>48</v>
      </c>
      <c r="M195" s="16" t="s">
        <v>48</v>
      </c>
      <c r="N195" s="16">
        <v>11</v>
      </c>
      <c r="O195" s="16" t="s">
        <v>2266</v>
      </c>
      <c r="P195" s="16" t="s">
        <v>2260</v>
      </c>
      <c r="Q195" s="32" t="s">
        <v>2247</v>
      </c>
    </row>
    <row r="196" spans="1:17">
      <c r="A196" s="21">
        <v>45868</v>
      </c>
      <c r="B196" s="15" t="s">
        <v>79</v>
      </c>
      <c r="C196" s="16" t="s">
        <v>2257</v>
      </c>
      <c r="D196" s="16" t="s">
        <v>2269</v>
      </c>
      <c r="E196" s="16" t="s">
        <v>2268</v>
      </c>
      <c r="F196" s="16" t="s">
        <v>48</v>
      </c>
      <c r="G196" s="16" t="s">
        <v>48</v>
      </c>
      <c r="H196" s="16" t="s">
        <v>48</v>
      </c>
      <c r="I196" s="16" t="s">
        <v>48</v>
      </c>
      <c r="J196" s="16" t="s">
        <v>48</v>
      </c>
      <c r="K196" s="16" t="s">
        <v>48</v>
      </c>
      <c r="L196" s="16" t="s">
        <v>48</v>
      </c>
      <c r="M196" s="16" t="s">
        <v>48</v>
      </c>
      <c r="N196" s="16">
        <f>27+16</f>
        <v>43</v>
      </c>
      <c r="O196" s="16" t="s">
        <v>2266</v>
      </c>
      <c r="P196" s="16" t="s">
        <v>2260</v>
      </c>
      <c r="Q196" s="32" t="s">
        <v>2247</v>
      </c>
    </row>
    <row r="197" spans="1:17">
      <c r="A197" s="21">
        <v>45868</v>
      </c>
      <c r="B197" s="15" t="s">
        <v>79</v>
      </c>
      <c r="C197" s="16" t="s">
        <v>2257</v>
      </c>
      <c r="D197" s="16" t="s">
        <v>2269</v>
      </c>
      <c r="E197" s="16" t="s">
        <v>2270</v>
      </c>
      <c r="F197" s="16" t="s">
        <v>48</v>
      </c>
      <c r="G197" s="16" t="s">
        <v>48</v>
      </c>
      <c r="H197" s="16" t="s">
        <v>48</v>
      </c>
      <c r="I197" s="16" t="s">
        <v>48</v>
      </c>
      <c r="J197" s="16" t="s">
        <v>48</v>
      </c>
      <c r="K197" s="16" t="s">
        <v>48</v>
      </c>
      <c r="L197" s="16" t="s">
        <v>48</v>
      </c>
      <c r="M197" s="16" t="s">
        <v>48</v>
      </c>
      <c r="N197" s="16">
        <v>7</v>
      </c>
      <c r="O197" s="16" t="s">
        <v>2266</v>
      </c>
      <c r="P197" s="16" t="s">
        <v>2260</v>
      </c>
      <c r="Q197" s="32" t="s">
        <v>2247</v>
      </c>
    </row>
    <row r="198" spans="1:17">
      <c r="A198" s="21">
        <v>45869</v>
      </c>
      <c r="B198" s="15" t="s">
        <v>79</v>
      </c>
      <c r="C198" s="16" t="s">
        <v>2271</v>
      </c>
      <c r="D198" s="16" t="s">
        <v>2269</v>
      </c>
      <c r="E198" s="16" t="s">
        <v>2270</v>
      </c>
      <c r="F198" s="16" t="s">
        <v>48</v>
      </c>
      <c r="G198" s="16" t="s">
        <v>48</v>
      </c>
      <c r="H198" s="16" t="s">
        <v>48</v>
      </c>
      <c r="I198" s="16" t="s">
        <v>48</v>
      </c>
      <c r="J198" s="16" t="s">
        <v>48</v>
      </c>
      <c r="K198" s="16" t="s">
        <v>48</v>
      </c>
      <c r="L198" s="16" t="s">
        <v>48</v>
      </c>
      <c r="M198" s="16" t="s">
        <v>48</v>
      </c>
      <c r="N198" s="16">
        <v>47</v>
      </c>
      <c r="O198" s="16" t="s">
        <v>2277</v>
      </c>
      <c r="P198" s="16" t="s">
        <v>2260</v>
      </c>
      <c r="Q198" s="32" t="s">
        <v>2247</v>
      </c>
    </row>
    <row r="199" spans="1:17">
      <c r="A199" s="21">
        <v>45869</v>
      </c>
      <c r="B199" s="15" t="s">
        <v>79</v>
      </c>
      <c r="C199" s="16" t="s">
        <v>2271</v>
      </c>
      <c r="D199" s="16" t="s">
        <v>2269</v>
      </c>
      <c r="E199" s="16" t="s">
        <v>2272</v>
      </c>
      <c r="F199" s="16" t="s">
        <v>48</v>
      </c>
      <c r="G199" s="16" t="s">
        <v>48</v>
      </c>
      <c r="H199" s="16" t="s">
        <v>48</v>
      </c>
      <c r="I199" s="16" t="s">
        <v>48</v>
      </c>
      <c r="J199" s="16" t="s">
        <v>48</v>
      </c>
      <c r="K199" s="16" t="s">
        <v>48</v>
      </c>
      <c r="L199" s="16" t="s">
        <v>48</v>
      </c>
      <c r="M199" s="16" t="s">
        <v>48</v>
      </c>
      <c r="N199" s="16">
        <v>28</v>
      </c>
      <c r="O199" s="16" t="s">
        <v>2277</v>
      </c>
      <c r="P199" s="16" t="s">
        <v>2260</v>
      </c>
      <c r="Q199" s="32" t="s">
        <v>2247</v>
      </c>
    </row>
    <row r="200" spans="1:17">
      <c r="A200" s="21">
        <v>45869</v>
      </c>
      <c r="B200" s="15" t="s">
        <v>79</v>
      </c>
      <c r="C200" s="16" t="s">
        <v>2271</v>
      </c>
      <c r="D200" s="16" t="s">
        <v>2269</v>
      </c>
      <c r="E200" s="16" t="s">
        <v>2273</v>
      </c>
      <c r="F200" s="16" t="s">
        <v>48</v>
      </c>
      <c r="G200" s="16" t="s">
        <v>48</v>
      </c>
      <c r="H200" s="16" t="s">
        <v>48</v>
      </c>
      <c r="I200" s="16" t="s">
        <v>48</v>
      </c>
      <c r="J200" s="16" t="s">
        <v>48</v>
      </c>
      <c r="K200" s="16" t="s">
        <v>48</v>
      </c>
      <c r="L200" s="16" t="s">
        <v>48</v>
      </c>
      <c r="M200" s="16" t="s">
        <v>48</v>
      </c>
      <c r="N200" s="16">
        <v>27</v>
      </c>
      <c r="O200" s="16" t="s">
        <v>2277</v>
      </c>
      <c r="P200" s="16" t="s">
        <v>2260</v>
      </c>
      <c r="Q200" s="32" t="s">
        <v>2247</v>
      </c>
    </row>
    <row r="201" spans="1:17">
      <c r="A201" s="21">
        <v>45869</v>
      </c>
      <c r="B201" s="15" t="s">
        <v>79</v>
      </c>
      <c r="C201" s="16" t="s">
        <v>2271</v>
      </c>
      <c r="D201" s="16" t="s">
        <v>2269</v>
      </c>
      <c r="E201" s="16" t="s">
        <v>2274</v>
      </c>
      <c r="F201" s="16" t="s">
        <v>48</v>
      </c>
      <c r="G201" s="16" t="s">
        <v>48</v>
      </c>
      <c r="H201" s="16" t="s">
        <v>48</v>
      </c>
      <c r="I201" s="16" t="s">
        <v>48</v>
      </c>
      <c r="J201" s="16" t="s">
        <v>48</v>
      </c>
      <c r="K201" s="16" t="s">
        <v>48</v>
      </c>
      <c r="L201" s="16" t="s">
        <v>48</v>
      </c>
      <c r="M201" s="16" t="s">
        <v>48</v>
      </c>
      <c r="N201" s="16">
        <v>54</v>
      </c>
      <c r="O201" s="16" t="s">
        <v>2277</v>
      </c>
      <c r="P201" s="16" t="s">
        <v>2260</v>
      </c>
      <c r="Q201" s="32" t="s">
        <v>2247</v>
      </c>
    </row>
    <row r="202" spans="1:17">
      <c r="A202" s="21">
        <v>45869</v>
      </c>
      <c r="B202" s="15" t="s">
        <v>79</v>
      </c>
      <c r="C202" s="16" t="s">
        <v>2271</v>
      </c>
      <c r="D202" s="16" t="s">
        <v>2269</v>
      </c>
      <c r="E202" s="16" t="s">
        <v>2275</v>
      </c>
      <c r="F202" s="16" t="s">
        <v>48</v>
      </c>
      <c r="G202" s="16" t="s">
        <v>48</v>
      </c>
      <c r="H202" s="16" t="s">
        <v>48</v>
      </c>
      <c r="I202" s="16" t="s">
        <v>48</v>
      </c>
      <c r="J202" s="16" t="s">
        <v>48</v>
      </c>
      <c r="K202" s="16" t="s">
        <v>48</v>
      </c>
      <c r="L202" s="16" t="s">
        <v>48</v>
      </c>
      <c r="M202" s="16" t="s">
        <v>48</v>
      </c>
      <c r="N202" s="16">
        <v>27</v>
      </c>
      <c r="O202" s="16" t="s">
        <v>2277</v>
      </c>
      <c r="P202" s="16" t="s">
        <v>2260</v>
      </c>
      <c r="Q202" s="32" t="s">
        <v>2247</v>
      </c>
    </row>
    <row r="203" spans="1:17">
      <c r="A203" s="21">
        <v>45869</v>
      </c>
      <c r="B203" s="15" t="s">
        <v>79</v>
      </c>
      <c r="C203" s="16" t="s">
        <v>2271</v>
      </c>
      <c r="D203" s="16" t="s">
        <v>2269</v>
      </c>
      <c r="E203" s="16" t="s">
        <v>2276</v>
      </c>
      <c r="F203" s="16" t="s">
        <v>48</v>
      </c>
      <c r="G203" s="16" t="s">
        <v>48</v>
      </c>
      <c r="H203" s="16" t="s">
        <v>48</v>
      </c>
      <c r="I203" s="16" t="s">
        <v>48</v>
      </c>
      <c r="J203" s="16" t="s">
        <v>48</v>
      </c>
      <c r="K203" s="16" t="s">
        <v>48</v>
      </c>
      <c r="L203" s="16" t="s">
        <v>48</v>
      </c>
      <c r="M203" s="16" t="s">
        <v>48</v>
      </c>
      <c r="N203" s="16">
        <v>54</v>
      </c>
      <c r="O203" s="16" t="s">
        <v>2277</v>
      </c>
      <c r="P203" s="16" t="s">
        <v>2260</v>
      </c>
      <c r="Q203" s="32" t="s">
        <v>2247</v>
      </c>
    </row>
    <row r="204" spans="1:17">
      <c r="A204" s="21">
        <v>45869</v>
      </c>
      <c r="B204" s="15" t="s">
        <v>79</v>
      </c>
      <c r="C204" s="16" t="s">
        <v>2271</v>
      </c>
      <c r="D204" s="16" t="s">
        <v>2269</v>
      </c>
      <c r="E204" s="16" t="s">
        <v>2278</v>
      </c>
      <c r="F204" s="16" t="s">
        <v>48</v>
      </c>
      <c r="G204" s="16" t="s">
        <v>48</v>
      </c>
      <c r="H204" s="16" t="s">
        <v>48</v>
      </c>
      <c r="I204" s="16" t="s">
        <v>48</v>
      </c>
      <c r="J204" s="16" t="s">
        <v>48</v>
      </c>
      <c r="K204" s="16" t="s">
        <v>48</v>
      </c>
      <c r="L204" s="16" t="s">
        <v>48</v>
      </c>
      <c r="M204" s="16" t="s">
        <v>48</v>
      </c>
      <c r="N204" s="16">
        <v>13</v>
      </c>
      <c r="O204" s="16" t="s">
        <v>2277</v>
      </c>
      <c r="P204" s="16" t="s">
        <v>2260</v>
      </c>
      <c r="Q204" s="32" t="s">
        <v>2247</v>
      </c>
    </row>
    <row r="205" spans="1:17">
      <c r="A205" s="21"/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31"/>
    </row>
    <row r="206" spans="1:17">
      <c r="A206" s="21"/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31"/>
    </row>
    <row r="207" spans="1:17">
      <c r="A207" s="17"/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31"/>
    </row>
    <row r="208" spans="1:17">
      <c r="A208" s="17"/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31"/>
    </row>
    <row r="209" spans="1:17">
      <c r="A209" s="17"/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31"/>
    </row>
    <row r="210" spans="1:17">
      <c r="A210" s="25" t="s">
        <v>352</v>
      </c>
      <c r="B210" s="13"/>
      <c r="C210" s="13"/>
      <c r="D210" s="12"/>
      <c r="E210" s="13"/>
      <c r="H210" s="13"/>
      <c r="I210" s="13"/>
      <c r="J210" s="12"/>
      <c r="K210" s="13"/>
      <c r="L210" s="12" t="s">
        <v>18</v>
      </c>
      <c r="M210" s="12"/>
      <c r="N210" s="14"/>
    </row>
    <row r="211" spans="1:17">
      <c r="M211" s="2" t="s">
        <v>19</v>
      </c>
    </row>
    <row r="212" spans="1:17">
      <c r="M212" s="2" t="s">
        <v>20</v>
      </c>
    </row>
    <row r="213" spans="1:17">
      <c r="M213" s="2" t="s">
        <v>21</v>
      </c>
    </row>
    <row r="214" spans="1:17">
      <c r="M214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Q231"/>
  <sheetViews>
    <sheetView view="pageBreakPreview" topLeftCell="A158" zoomScaleNormal="100" zoomScaleSheetLayoutView="100" workbookViewId="0">
      <selection activeCell="D151" sqref="D151:D154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23" style="2" customWidth="1"/>
    <col min="5" max="5" width="18.42578125" style="2" customWidth="1"/>
    <col min="6" max="6" width="17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25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/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35">
        <v>45870</v>
      </c>
      <c r="B9" s="36" t="s">
        <v>1477</v>
      </c>
      <c r="C9" s="16" t="s">
        <v>2283</v>
      </c>
      <c r="D9" s="16" t="s">
        <v>48</v>
      </c>
      <c r="E9" s="16" t="s">
        <v>48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2280</v>
      </c>
      <c r="N9" s="16">
        <v>100</v>
      </c>
      <c r="O9" s="16" t="s">
        <v>2281</v>
      </c>
      <c r="P9" s="15" t="s">
        <v>2282</v>
      </c>
      <c r="Q9" s="33" t="s">
        <v>2279</v>
      </c>
    </row>
    <row r="10" spans="1:17" ht="17.100000000000001" customHeight="1">
      <c r="A10" s="35">
        <v>45873</v>
      </c>
      <c r="B10" s="36" t="s">
        <v>654</v>
      </c>
      <c r="C10" s="16" t="s">
        <v>2284</v>
      </c>
      <c r="D10" s="16" t="s">
        <v>905</v>
      </c>
      <c r="E10" s="16" t="s">
        <v>1300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6</v>
      </c>
      <c r="O10" s="16" t="s">
        <v>55</v>
      </c>
      <c r="P10" s="15" t="s">
        <v>2285</v>
      </c>
      <c r="Q10" s="33" t="s">
        <v>2292</v>
      </c>
    </row>
    <row r="11" spans="1:17" ht="17.100000000000001" customHeight="1">
      <c r="A11" s="35">
        <v>45873</v>
      </c>
      <c r="B11" s="36" t="s">
        <v>654</v>
      </c>
      <c r="C11" s="16" t="s">
        <v>2284</v>
      </c>
      <c r="D11" s="16" t="s">
        <v>1598</v>
      </c>
      <c r="E11" s="16" t="s">
        <v>1300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4</v>
      </c>
      <c r="O11" s="16" t="s">
        <v>55</v>
      </c>
      <c r="P11" s="15" t="s">
        <v>2285</v>
      </c>
      <c r="Q11" s="33" t="s">
        <v>2292</v>
      </c>
    </row>
    <row r="12" spans="1:17" ht="17.100000000000001" customHeight="1">
      <c r="A12" s="35">
        <v>45873</v>
      </c>
      <c r="B12" s="36" t="s">
        <v>41</v>
      </c>
      <c r="C12" s="16" t="s">
        <v>2284</v>
      </c>
      <c r="D12" s="16" t="s">
        <v>2288</v>
      </c>
      <c r="E12" s="16" t="s">
        <v>2289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192</v>
      </c>
      <c r="O12" s="16" t="s">
        <v>2287</v>
      </c>
      <c r="P12" s="15" t="s">
        <v>2286</v>
      </c>
      <c r="Q12" s="33" t="s">
        <v>2291</v>
      </c>
    </row>
    <row r="13" spans="1:17" ht="17.100000000000001" customHeight="1">
      <c r="A13" s="35">
        <v>45874</v>
      </c>
      <c r="B13" s="36" t="s">
        <v>41</v>
      </c>
      <c r="C13" s="16" t="s">
        <v>2295</v>
      </c>
      <c r="D13" s="16" t="s">
        <v>2288</v>
      </c>
      <c r="E13" s="16" t="s">
        <v>2289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13</v>
      </c>
      <c r="O13" s="16" t="s">
        <v>2287</v>
      </c>
      <c r="P13" s="15" t="s">
        <v>2286</v>
      </c>
      <c r="Q13" s="33" t="s">
        <v>2291</v>
      </c>
    </row>
    <row r="14" spans="1:17" ht="17.100000000000001" customHeight="1">
      <c r="A14" s="35">
        <v>45874</v>
      </c>
      <c r="B14" s="36" t="s">
        <v>41</v>
      </c>
      <c r="C14" s="16" t="s">
        <v>2295</v>
      </c>
      <c r="D14" s="16" t="s">
        <v>2290</v>
      </c>
      <c r="E14" s="16" t="s">
        <v>2289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35</v>
      </c>
      <c r="O14" s="16" t="s">
        <v>2287</v>
      </c>
      <c r="P14" s="15" t="s">
        <v>2286</v>
      </c>
      <c r="Q14" s="33" t="s">
        <v>2291</v>
      </c>
    </row>
    <row r="15" spans="1:17" ht="17.100000000000001" customHeight="1">
      <c r="A15" s="35">
        <v>45874</v>
      </c>
      <c r="B15" s="36" t="s">
        <v>28</v>
      </c>
      <c r="C15" s="16" t="s">
        <v>2295</v>
      </c>
      <c r="D15" s="16" t="s">
        <v>2296</v>
      </c>
      <c r="E15" s="16" t="s">
        <v>2297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40</v>
      </c>
      <c r="O15" s="16" t="s">
        <v>2287</v>
      </c>
      <c r="P15" s="15" t="s">
        <v>2294</v>
      </c>
      <c r="Q15" s="33" t="s">
        <v>2293</v>
      </c>
    </row>
    <row r="16" spans="1:17" ht="17.100000000000001" customHeight="1">
      <c r="A16" s="35">
        <v>45874</v>
      </c>
      <c r="B16" s="36" t="s">
        <v>37</v>
      </c>
      <c r="C16" s="16" t="s">
        <v>2295</v>
      </c>
      <c r="D16" s="16" t="s">
        <v>48</v>
      </c>
      <c r="E16" s="16" t="s">
        <v>48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2300</v>
      </c>
      <c r="N16" s="16">
        <v>40</v>
      </c>
      <c r="O16" s="16" t="s">
        <v>2287</v>
      </c>
      <c r="P16" s="15" t="s">
        <v>2299</v>
      </c>
      <c r="Q16" s="33" t="s">
        <v>2298</v>
      </c>
    </row>
    <row r="17" spans="1:17" ht="17.100000000000001" customHeight="1">
      <c r="A17" s="35">
        <v>45874</v>
      </c>
      <c r="B17" s="50" t="s">
        <v>1317</v>
      </c>
      <c r="C17" s="16" t="s">
        <v>2295</v>
      </c>
      <c r="D17" s="16" t="s">
        <v>48</v>
      </c>
      <c r="E17" s="16" t="s">
        <v>48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2300</v>
      </c>
      <c r="N17" s="16">
        <v>80</v>
      </c>
      <c r="O17" s="16" t="s">
        <v>2287</v>
      </c>
      <c r="P17" s="15" t="s">
        <v>2302</v>
      </c>
      <c r="Q17" s="33" t="s">
        <v>2301</v>
      </c>
    </row>
    <row r="18" spans="1:17" ht="17.100000000000001" customHeight="1">
      <c r="A18" s="35">
        <v>45874</v>
      </c>
      <c r="B18" s="36" t="s">
        <v>239</v>
      </c>
      <c r="C18" s="16" t="s">
        <v>2295</v>
      </c>
      <c r="D18" s="16" t="s">
        <v>48</v>
      </c>
      <c r="E18" s="16" t="s">
        <v>48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10</v>
      </c>
      <c r="O18" s="16" t="s">
        <v>2287</v>
      </c>
      <c r="P18" s="15" t="s">
        <v>2304</v>
      </c>
      <c r="Q18" s="33" t="s">
        <v>2303</v>
      </c>
    </row>
    <row r="19" spans="1:17" ht="17.100000000000001" customHeight="1">
      <c r="A19" s="35">
        <v>45874</v>
      </c>
      <c r="B19" s="36" t="s">
        <v>337</v>
      </c>
      <c r="C19" s="16" t="s">
        <v>2295</v>
      </c>
      <c r="D19" s="16" t="s">
        <v>48</v>
      </c>
      <c r="E19" s="16" t="s">
        <v>48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100</v>
      </c>
      <c r="O19" s="16" t="s">
        <v>2305</v>
      </c>
      <c r="P19" s="15" t="s">
        <v>2307</v>
      </c>
      <c r="Q19" s="33" t="s">
        <v>2306</v>
      </c>
    </row>
    <row r="20" spans="1:17" ht="17.100000000000001" customHeight="1">
      <c r="A20" s="35">
        <v>45874</v>
      </c>
      <c r="B20" s="36" t="s">
        <v>2308</v>
      </c>
      <c r="C20" s="16" t="s">
        <v>2295</v>
      </c>
      <c r="D20" s="16" t="s">
        <v>2297</v>
      </c>
      <c r="E20" s="16" t="s">
        <v>48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60</v>
      </c>
      <c r="O20" s="16" t="s">
        <v>2309</v>
      </c>
      <c r="P20" s="15" t="s">
        <v>2311</v>
      </c>
      <c r="Q20" s="33" t="s">
        <v>2310</v>
      </c>
    </row>
    <row r="21" spans="1:17" ht="17.100000000000001" customHeight="1">
      <c r="A21" s="35">
        <v>45874</v>
      </c>
      <c r="B21" s="36" t="s">
        <v>2312</v>
      </c>
      <c r="C21" s="16" t="s">
        <v>2313</v>
      </c>
      <c r="D21" s="16" t="s">
        <v>48</v>
      </c>
      <c r="E21" s="16" t="s">
        <v>48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2314</v>
      </c>
      <c r="N21" s="16">
        <v>1</v>
      </c>
      <c r="O21" s="16" t="s">
        <v>55</v>
      </c>
      <c r="P21" s="15" t="s">
        <v>2315</v>
      </c>
      <c r="Q21" s="33" t="s">
        <v>2316</v>
      </c>
    </row>
    <row r="22" spans="1:17" ht="17.100000000000001" customHeight="1">
      <c r="A22" s="35">
        <v>45875</v>
      </c>
      <c r="B22" s="36" t="s">
        <v>2317</v>
      </c>
      <c r="C22" s="16" t="s">
        <v>2318</v>
      </c>
      <c r="D22" s="16" t="s">
        <v>2246</v>
      </c>
      <c r="E22" s="16" t="s">
        <v>2319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54">
        <f>72/2</f>
        <v>36</v>
      </c>
      <c r="O22" s="16" t="s">
        <v>2323</v>
      </c>
      <c r="P22" s="15" t="s">
        <v>2348</v>
      </c>
      <c r="Q22" s="33" t="s">
        <v>2349</v>
      </c>
    </row>
    <row r="23" spans="1:17" ht="17.100000000000001" customHeight="1">
      <c r="A23" s="35">
        <v>45875</v>
      </c>
      <c r="B23" s="36" t="s">
        <v>2317</v>
      </c>
      <c r="C23" s="16" t="s">
        <v>2318</v>
      </c>
      <c r="D23" s="16" t="s">
        <v>2246</v>
      </c>
      <c r="E23" s="16" t="s">
        <v>2319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54">
        <v>14</v>
      </c>
      <c r="O23" s="16" t="s">
        <v>2323</v>
      </c>
      <c r="P23" s="15" t="s">
        <v>2348</v>
      </c>
      <c r="Q23" s="33" t="s">
        <v>2349</v>
      </c>
    </row>
    <row r="24" spans="1:17" ht="17.100000000000001" customHeight="1">
      <c r="A24" s="35">
        <v>45875</v>
      </c>
      <c r="B24" s="36" t="s">
        <v>2317</v>
      </c>
      <c r="C24" s="16" t="s">
        <v>2318</v>
      </c>
      <c r="D24" s="16" t="s">
        <v>2232</v>
      </c>
      <c r="E24" s="16" t="s">
        <v>2320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54">
        <f>108-14</f>
        <v>94</v>
      </c>
      <c r="O24" s="16" t="s">
        <v>2323</v>
      </c>
      <c r="P24" s="15" t="s">
        <v>2348</v>
      </c>
      <c r="Q24" s="33" t="s">
        <v>2349</v>
      </c>
    </row>
    <row r="25" spans="1:17" ht="17.100000000000001" customHeight="1">
      <c r="A25" s="35">
        <v>45875</v>
      </c>
      <c r="B25" s="36" t="s">
        <v>2317</v>
      </c>
      <c r="C25" s="16" t="s">
        <v>2318</v>
      </c>
      <c r="D25" s="16" t="s">
        <v>2322</v>
      </c>
      <c r="E25" s="16" t="s">
        <v>2321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54">
        <v>192</v>
      </c>
      <c r="O25" s="16" t="s">
        <v>2323</v>
      </c>
      <c r="P25" s="15" t="s">
        <v>2348</v>
      </c>
      <c r="Q25" s="33" t="s">
        <v>2349</v>
      </c>
    </row>
    <row r="26" spans="1:17" ht="17.100000000000001" customHeight="1">
      <c r="A26" s="35">
        <v>45875</v>
      </c>
      <c r="B26" s="36" t="s">
        <v>1914</v>
      </c>
      <c r="C26" s="16" t="s">
        <v>2318</v>
      </c>
      <c r="D26" s="16" t="s">
        <v>48</v>
      </c>
      <c r="E26" s="16" t="s">
        <v>48</v>
      </c>
      <c r="F26" s="16" t="s">
        <v>2300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4</v>
      </c>
      <c r="O26" s="16" t="s">
        <v>55</v>
      </c>
      <c r="P26" s="28" t="s">
        <v>2347</v>
      </c>
      <c r="Q26" s="55" t="s">
        <v>2346</v>
      </c>
    </row>
    <row r="27" spans="1:17" ht="17.100000000000001" customHeight="1">
      <c r="A27" s="35">
        <v>45875</v>
      </c>
      <c r="B27" s="36" t="s">
        <v>654</v>
      </c>
      <c r="C27" s="16" t="s">
        <v>2318</v>
      </c>
      <c r="D27" s="16" t="s">
        <v>2324</v>
      </c>
      <c r="E27" s="16" t="s">
        <v>2325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5</v>
      </c>
      <c r="O27" s="16" t="s">
        <v>55</v>
      </c>
      <c r="P27" s="16" t="s">
        <v>2345</v>
      </c>
      <c r="Q27" s="48" t="s">
        <v>2344</v>
      </c>
    </row>
    <row r="28" spans="1:17" ht="17.100000000000001" customHeight="1">
      <c r="A28" s="35">
        <v>45876</v>
      </c>
      <c r="B28" s="36" t="s">
        <v>174</v>
      </c>
      <c r="C28" s="16" t="s">
        <v>2326</v>
      </c>
      <c r="D28" s="16" t="s">
        <v>2196</v>
      </c>
      <c r="E28" s="16" t="s">
        <v>2327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27</v>
      </c>
      <c r="O28" s="16" t="s">
        <v>2328</v>
      </c>
      <c r="P28" s="16" t="s">
        <v>2342</v>
      </c>
      <c r="Q28" s="32" t="s">
        <v>2343</v>
      </c>
    </row>
    <row r="29" spans="1:17" ht="17.100000000000001" customHeight="1">
      <c r="A29" s="35">
        <v>45876</v>
      </c>
      <c r="B29" s="36" t="s">
        <v>174</v>
      </c>
      <c r="C29" s="16" t="s">
        <v>2326</v>
      </c>
      <c r="D29" s="16" t="s">
        <v>2196</v>
      </c>
      <c r="E29" s="16" t="s">
        <v>2329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27</v>
      </c>
      <c r="O29" s="16" t="s">
        <v>2328</v>
      </c>
      <c r="P29" s="16" t="s">
        <v>2342</v>
      </c>
      <c r="Q29" s="32" t="s">
        <v>2343</v>
      </c>
    </row>
    <row r="30" spans="1:17" ht="17.100000000000001" customHeight="1">
      <c r="A30" s="35">
        <v>45876</v>
      </c>
      <c r="B30" s="36" t="s">
        <v>174</v>
      </c>
      <c r="C30" s="16" t="s">
        <v>2326</v>
      </c>
      <c r="D30" s="16" t="s">
        <v>2196</v>
      </c>
      <c r="E30" s="16" t="s">
        <v>2330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27</v>
      </c>
      <c r="O30" s="16" t="s">
        <v>2328</v>
      </c>
      <c r="P30" s="16" t="s">
        <v>2342</v>
      </c>
      <c r="Q30" s="32" t="s">
        <v>2343</v>
      </c>
    </row>
    <row r="31" spans="1:17" ht="17.100000000000001" customHeight="1">
      <c r="A31" s="35">
        <v>45876</v>
      </c>
      <c r="B31" s="36" t="s">
        <v>174</v>
      </c>
      <c r="C31" s="16" t="s">
        <v>2326</v>
      </c>
      <c r="D31" s="16" t="s">
        <v>2196</v>
      </c>
      <c r="E31" s="16" t="s">
        <v>2331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27</v>
      </c>
      <c r="O31" s="16" t="s">
        <v>2328</v>
      </c>
      <c r="P31" s="16" t="s">
        <v>2342</v>
      </c>
      <c r="Q31" s="32" t="s">
        <v>2343</v>
      </c>
    </row>
    <row r="32" spans="1:17" ht="17.100000000000001" customHeight="1">
      <c r="A32" s="35">
        <v>45876</v>
      </c>
      <c r="B32" s="36" t="s">
        <v>174</v>
      </c>
      <c r="C32" s="16" t="s">
        <v>2326</v>
      </c>
      <c r="D32" s="16" t="s">
        <v>2196</v>
      </c>
      <c r="E32" s="16" t="s">
        <v>2332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27</v>
      </c>
      <c r="O32" s="16" t="s">
        <v>2328</v>
      </c>
      <c r="P32" s="16" t="s">
        <v>2342</v>
      </c>
      <c r="Q32" s="32" t="s">
        <v>2343</v>
      </c>
    </row>
    <row r="33" spans="1:17" ht="17.100000000000001" customHeight="1">
      <c r="A33" s="35">
        <v>45876</v>
      </c>
      <c r="B33" s="36" t="s">
        <v>174</v>
      </c>
      <c r="C33" s="16" t="s">
        <v>2326</v>
      </c>
      <c r="D33" s="16" t="s">
        <v>2196</v>
      </c>
      <c r="E33" s="16" t="s">
        <v>2333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27</v>
      </c>
      <c r="O33" s="16" t="s">
        <v>2336</v>
      </c>
      <c r="P33" s="16" t="s">
        <v>2342</v>
      </c>
      <c r="Q33" s="32" t="s">
        <v>2343</v>
      </c>
    </row>
    <row r="34" spans="1:17" ht="17.100000000000001" customHeight="1">
      <c r="A34" s="35">
        <v>45876</v>
      </c>
      <c r="B34" s="36" t="s">
        <v>174</v>
      </c>
      <c r="C34" s="16" t="s">
        <v>2326</v>
      </c>
      <c r="D34" s="16" t="s">
        <v>2337</v>
      </c>
      <c r="E34" s="16" t="s">
        <v>2334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27</v>
      </c>
      <c r="O34" s="16" t="s">
        <v>2336</v>
      </c>
      <c r="P34" s="16" t="s">
        <v>2342</v>
      </c>
      <c r="Q34" s="32" t="s">
        <v>2343</v>
      </c>
    </row>
    <row r="35" spans="1:17" ht="17.100000000000001" customHeight="1">
      <c r="A35" s="35">
        <v>45876</v>
      </c>
      <c r="B35" s="36" t="s">
        <v>174</v>
      </c>
      <c r="C35" s="16" t="s">
        <v>2326</v>
      </c>
      <c r="D35" s="16" t="s">
        <v>2337</v>
      </c>
      <c r="E35" s="16" t="s">
        <v>2335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54</v>
      </c>
      <c r="O35" s="16" t="s">
        <v>2328</v>
      </c>
      <c r="P35" s="16" t="s">
        <v>2342</v>
      </c>
      <c r="Q35" s="32" t="s">
        <v>2343</v>
      </c>
    </row>
    <row r="36" spans="1:17" ht="17.100000000000001" customHeight="1">
      <c r="A36" s="35">
        <v>45876</v>
      </c>
      <c r="B36" s="36" t="s">
        <v>174</v>
      </c>
      <c r="C36" s="16" t="s">
        <v>2326</v>
      </c>
      <c r="D36" s="16" t="s">
        <v>2196</v>
      </c>
      <c r="E36" s="16" t="s">
        <v>2333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27</v>
      </c>
      <c r="O36" s="16" t="s">
        <v>2328</v>
      </c>
      <c r="P36" s="16" t="s">
        <v>2342</v>
      </c>
      <c r="Q36" s="32" t="s">
        <v>2343</v>
      </c>
    </row>
    <row r="37" spans="1:17" ht="17.100000000000001" customHeight="1">
      <c r="A37" s="35">
        <v>45876</v>
      </c>
      <c r="B37" s="36" t="s">
        <v>174</v>
      </c>
      <c r="C37" s="16" t="s">
        <v>2326</v>
      </c>
      <c r="D37" s="16" t="s">
        <v>2196</v>
      </c>
      <c r="E37" s="16" t="s">
        <v>2332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27</v>
      </c>
      <c r="O37" s="16" t="s">
        <v>2328</v>
      </c>
      <c r="P37" s="16" t="s">
        <v>2342</v>
      </c>
      <c r="Q37" s="32" t="s">
        <v>2343</v>
      </c>
    </row>
    <row r="38" spans="1:17" ht="17.100000000000001" customHeight="1">
      <c r="A38" s="35">
        <v>45876</v>
      </c>
      <c r="B38" s="36" t="s">
        <v>174</v>
      </c>
      <c r="C38" s="16" t="s">
        <v>2326</v>
      </c>
      <c r="D38" s="16" t="s">
        <v>2196</v>
      </c>
      <c r="E38" s="16" t="s">
        <v>2327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27</v>
      </c>
      <c r="O38" s="16" t="s">
        <v>2328</v>
      </c>
      <c r="P38" s="16" t="s">
        <v>2342</v>
      </c>
      <c r="Q38" s="32" t="s">
        <v>2343</v>
      </c>
    </row>
    <row r="39" spans="1:17" ht="17.100000000000001" customHeight="1">
      <c r="A39" s="35">
        <v>45876</v>
      </c>
      <c r="B39" s="36" t="s">
        <v>174</v>
      </c>
      <c r="C39" s="16" t="s">
        <v>2326</v>
      </c>
      <c r="D39" s="16" t="s">
        <v>2337</v>
      </c>
      <c r="E39" s="16" t="s">
        <v>2338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54</v>
      </c>
      <c r="O39" s="16" t="s">
        <v>2328</v>
      </c>
      <c r="P39" s="16" t="s">
        <v>2342</v>
      </c>
      <c r="Q39" s="32" t="s">
        <v>2343</v>
      </c>
    </row>
    <row r="40" spans="1:17" ht="17.100000000000001" customHeight="1">
      <c r="A40" s="35">
        <v>45876</v>
      </c>
      <c r="B40" s="36" t="s">
        <v>174</v>
      </c>
      <c r="C40" s="16" t="s">
        <v>2326</v>
      </c>
      <c r="D40" s="16" t="s">
        <v>2337</v>
      </c>
      <c r="E40" s="16" t="s">
        <v>2339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27</v>
      </c>
      <c r="O40" s="16" t="s">
        <v>2328</v>
      </c>
      <c r="P40" s="16" t="s">
        <v>2342</v>
      </c>
      <c r="Q40" s="32" t="s">
        <v>2343</v>
      </c>
    </row>
    <row r="41" spans="1:17" ht="17.100000000000001" customHeight="1">
      <c r="A41" s="35">
        <v>45876</v>
      </c>
      <c r="B41" s="36" t="s">
        <v>174</v>
      </c>
      <c r="C41" s="16" t="s">
        <v>2326</v>
      </c>
      <c r="D41" s="16" t="s">
        <v>2337</v>
      </c>
      <c r="E41" s="16" t="s">
        <v>2340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20</v>
      </c>
      <c r="O41" s="16" t="s">
        <v>2328</v>
      </c>
      <c r="P41" s="16" t="s">
        <v>2342</v>
      </c>
      <c r="Q41" s="32" t="s">
        <v>2343</v>
      </c>
    </row>
    <row r="42" spans="1:17" ht="17.100000000000001" customHeight="1">
      <c r="A42" s="35">
        <v>45877</v>
      </c>
      <c r="B42" s="36" t="s">
        <v>174</v>
      </c>
      <c r="C42" s="16" t="s">
        <v>2341</v>
      </c>
      <c r="D42" s="16" t="s">
        <v>2337</v>
      </c>
      <c r="E42" s="16" t="s">
        <v>2340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34</v>
      </c>
      <c r="O42" s="16" t="s">
        <v>2328</v>
      </c>
      <c r="P42" s="16" t="s">
        <v>2342</v>
      </c>
      <c r="Q42" s="32" t="s">
        <v>2343</v>
      </c>
    </row>
    <row r="43" spans="1:17" ht="17.100000000000001" customHeight="1">
      <c r="A43" s="35">
        <v>45877</v>
      </c>
      <c r="B43" s="36" t="s">
        <v>174</v>
      </c>
      <c r="C43" s="16" t="s">
        <v>2341</v>
      </c>
      <c r="D43" s="16" t="s">
        <v>2337</v>
      </c>
      <c r="E43" s="16" t="s">
        <v>2330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27</v>
      </c>
      <c r="O43" s="16" t="s">
        <v>2328</v>
      </c>
      <c r="P43" s="16" t="s">
        <v>2342</v>
      </c>
      <c r="Q43" s="32" t="s">
        <v>2343</v>
      </c>
    </row>
    <row r="44" spans="1:17" ht="17.100000000000001" customHeight="1">
      <c r="A44" s="35">
        <v>45877</v>
      </c>
      <c r="B44" s="36" t="s">
        <v>174</v>
      </c>
      <c r="C44" s="16" t="s">
        <v>2341</v>
      </c>
      <c r="D44" s="16" t="s">
        <v>2337</v>
      </c>
      <c r="E44" s="16" t="s">
        <v>2331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14</v>
      </c>
      <c r="O44" s="16" t="s">
        <v>2328</v>
      </c>
      <c r="P44" s="16" t="s">
        <v>2342</v>
      </c>
      <c r="Q44" s="32" t="s">
        <v>2343</v>
      </c>
    </row>
    <row r="45" spans="1:17" ht="17.100000000000001" customHeight="1">
      <c r="A45" s="35">
        <v>45876</v>
      </c>
      <c r="B45" s="36" t="s">
        <v>119</v>
      </c>
      <c r="C45" s="16" t="s">
        <v>2326</v>
      </c>
      <c r="D45" s="16" t="s">
        <v>2350</v>
      </c>
      <c r="E45" s="16" t="s">
        <v>48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24</v>
      </c>
      <c r="O45" s="16" t="s">
        <v>2328</v>
      </c>
      <c r="P45" s="16" t="s">
        <v>2355</v>
      </c>
      <c r="Q45" s="32" t="s">
        <v>2354</v>
      </c>
    </row>
    <row r="46" spans="1:17" ht="17.100000000000001" customHeight="1">
      <c r="A46" s="35">
        <v>45877</v>
      </c>
      <c r="B46" s="36" t="s">
        <v>119</v>
      </c>
      <c r="C46" s="16" t="s">
        <v>2341</v>
      </c>
      <c r="D46" s="16" t="s">
        <v>2350</v>
      </c>
      <c r="E46" s="16" t="s">
        <v>48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f>152/2</f>
        <v>76</v>
      </c>
      <c r="O46" s="16" t="s">
        <v>2328</v>
      </c>
      <c r="P46" s="16" t="s">
        <v>2355</v>
      </c>
      <c r="Q46" s="32" t="s">
        <v>2354</v>
      </c>
    </row>
    <row r="47" spans="1:17" ht="17.100000000000001" customHeight="1">
      <c r="A47" s="35">
        <v>45877</v>
      </c>
      <c r="B47" s="36" t="s">
        <v>119</v>
      </c>
      <c r="C47" s="16" t="s">
        <v>2341</v>
      </c>
      <c r="D47" s="16" t="s">
        <v>2352</v>
      </c>
      <c r="E47" s="16" t="s">
        <v>48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53</v>
      </c>
      <c r="O47" s="16" t="s">
        <v>2328</v>
      </c>
      <c r="P47" s="16" t="s">
        <v>2355</v>
      </c>
      <c r="Q47" s="32" t="s">
        <v>2354</v>
      </c>
    </row>
    <row r="48" spans="1:17" ht="17.100000000000001" customHeight="1">
      <c r="A48" s="35">
        <v>45877</v>
      </c>
      <c r="B48" s="36" t="s">
        <v>119</v>
      </c>
      <c r="C48" s="16" t="s">
        <v>2341</v>
      </c>
      <c r="D48" s="16" t="s">
        <v>2353</v>
      </c>
      <c r="E48" s="16" t="s">
        <v>48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54</v>
      </c>
      <c r="O48" s="16" t="s">
        <v>2328</v>
      </c>
      <c r="P48" s="16" t="s">
        <v>2355</v>
      </c>
      <c r="Q48" s="32" t="s">
        <v>2354</v>
      </c>
    </row>
    <row r="49" spans="1:17" ht="17.100000000000001" customHeight="1">
      <c r="A49" s="35">
        <v>45877</v>
      </c>
      <c r="B49" s="36" t="s">
        <v>119</v>
      </c>
      <c r="C49" s="16" t="s">
        <v>2341</v>
      </c>
      <c r="D49" s="16" t="s">
        <v>2351</v>
      </c>
      <c r="E49" s="16" t="s">
        <v>48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33</v>
      </c>
      <c r="O49" s="16" t="s">
        <v>2328</v>
      </c>
      <c r="P49" s="16" t="s">
        <v>2355</v>
      </c>
      <c r="Q49" s="32" t="s">
        <v>2354</v>
      </c>
    </row>
    <row r="50" spans="1:17" ht="17.100000000000001" customHeight="1">
      <c r="A50" s="35">
        <v>45880</v>
      </c>
      <c r="B50" s="56" t="s">
        <v>162</v>
      </c>
      <c r="C50" s="16" t="s">
        <v>2358</v>
      </c>
      <c r="D50" s="53" t="s">
        <v>2359</v>
      </c>
      <c r="E50" s="54" t="s">
        <v>2360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40</v>
      </c>
      <c r="O50" s="16" t="s">
        <v>2362</v>
      </c>
      <c r="P50" s="16" t="s">
        <v>2357</v>
      </c>
      <c r="Q50" s="32" t="s">
        <v>2356</v>
      </c>
    </row>
    <row r="51" spans="1:17" ht="17.100000000000001" customHeight="1">
      <c r="A51" s="35">
        <v>45880</v>
      </c>
      <c r="B51" s="16" t="s">
        <v>2123</v>
      </c>
      <c r="C51" s="16" t="s">
        <v>2358</v>
      </c>
      <c r="D51" s="16" t="s">
        <v>48</v>
      </c>
      <c r="E51" s="16" t="s">
        <v>48</v>
      </c>
      <c r="F51" s="16" t="s">
        <v>2361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50</v>
      </c>
      <c r="O51" s="16" t="s">
        <v>2287</v>
      </c>
      <c r="P51" s="16"/>
      <c r="Q51" s="31"/>
    </row>
    <row r="52" spans="1:17" ht="17.100000000000001" customHeight="1">
      <c r="A52" s="35">
        <v>45880</v>
      </c>
      <c r="B52" s="15" t="s">
        <v>174</v>
      </c>
      <c r="C52" s="16" t="s">
        <v>2358</v>
      </c>
      <c r="D52" s="16" t="s">
        <v>2374</v>
      </c>
      <c r="E52" s="16" t="s">
        <v>2363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54</v>
      </c>
      <c r="O52" s="16" t="s">
        <v>2328</v>
      </c>
      <c r="P52" s="16" t="s">
        <v>2342</v>
      </c>
      <c r="Q52" s="32" t="s">
        <v>2343</v>
      </c>
    </row>
    <row r="53" spans="1:17" ht="17.100000000000001" customHeight="1">
      <c r="A53" s="35">
        <v>45880</v>
      </c>
      <c r="B53" s="15" t="s">
        <v>174</v>
      </c>
      <c r="C53" s="16" t="s">
        <v>2358</v>
      </c>
      <c r="D53" s="16" t="s">
        <v>2374</v>
      </c>
      <c r="E53" s="16" t="s">
        <v>2364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54</v>
      </c>
      <c r="O53" s="16" t="s">
        <v>2328</v>
      </c>
      <c r="P53" s="16" t="s">
        <v>2342</v>
      </c>
      <c r="Q53" s="32" t="s">
        <v>2343</v>
      </c>
    </row>
    <row r="54" spans="1:17" ht="17.100000000000001" customHeight="1">
      <c r="A54" s="35">
        <v>45880</v>
      </c>
      <c r="B54" s="15" t="s">
        <v>174</v>
      </c>
      <c r="C54" s="16" t="s">
        <v>2358</v>
      </c>
      <c r="D54" s="16" t="s">
        <v>2375</v>
      </c>
      <c r="E54" s="16" t="s">
        <v>2365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54</v>
      </c>
      <c r="O54" s="16" t="s">
        <v>2328</v>
      </c>
      <c r="P54" s="16" t="s">
        <v>2342</v>
      </c>
      <c r="Q54" s="32" t="s">
        <v>2343</v>
      </c>
    </row>
    <row r="55" spans="1:17" ht="17.100000000000001" customHeight="1">
      <c r="A55" s="35">
        <v>45880</v>
      </c>
      <c r="B55" s="15" t="s">
        <v>174</v>
      </c>
      <c r="C55" s="16" t="s">
        <v>2358</v>
      </c>
      <c r="D55" s="16" t="s">
        <v>2375</v>
      </c>
      <c r="E55" s="16" t="s">
        <v>2366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54</v>
      </c>
      <c r="O55" s="16" t="s">
        <v>2328</v>
      </c>
      <c r="P55" s="16" t="s">
        <v>2342</v>
      </c>
      <c r="Q55" s="32" t="s">
        <v>2343</v>
      </c>
    </row>
    <row r="56" spans="1:17" ht="17.100000000000001" customHeight="1">
      <c r="A56" s="35">
        <v>45880</v>
      </c>
      <c r="B56" s="15" t="s">
        <v>174</v>
      </c>
      <c r="C56" s="16" t="s">
        <v>2358</v>
      </c>
      <c r="D56" s="16" t="s">
        <v>2375</v>
      </c>
      <c r="E56" s="16" t="s">
        <v>2367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27</v>
      </c>
      <c r="O56" s="16" t="s">
        <v>2328</v>
      </c>
      <c r="P56" s="16" t="s">
        <v>2342</v>
      </c>
      <c r="Q56" s="32" t="s">
        <v>2343</v>
      </c>
    </row>
    <row r="57" spans="1:17" ht="17.100000000000001" customHeight="1">
      <c r="A57" s="35">
        <v>45880</v>
      </c>
      <c r="B57" s="15" t="s">
        <v>174</v>
      </c>
      <c r="C57" s="16" t="s">
        <v>2358</v>
      </c>
      <c r="D57" s="16" t="s">
        <v>2375</v>
      </c>
      <c r="E57" s="16" t="s">
        <v>2331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13</v>
      </c>
      <c r="O57" s="16" t="s">
        <v>2328</v>
      </c>
      <c r="P57" s="16" t="s">
        <v>2342</v>
      </c>
      <c r="Q57" s="32" t="s">
        <v>2343</v>
      </c>
    </row>
    <row r="58" spans="1:17" ht="17.100000000000001" customHeight="1">
      <c r="A58" s="35">
        <v>45880</v>
      </c>
      <c r="B58" s="15" t="s">
        <v>174</v>
      </c>
      <c r="C58" s="16" t="s">
        <v>2358</v>
      </c>
      <c r="D58" s="16" t="s">
        <v>2375</v>
      </c>
      <c r="E58" s="16" t="s">
        <v>2368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27</v>
      </c>
      <c r="O58" s="16" t="s">
        <v>2328</v>
      </c>
      <c r="P58" s="16" t="s">
        <v>2342</v>
      </c>
      <c r="Q58" s="32" t="s">
        <v>2343</v>
      </c>
    </row>
    <row r="59" spans="1:17" ht="17.100000000000001" customHeight="1">
      <c r="A59" s="35">
        <v>45880</v>
      </c>
      <c r="B59" s="15" t="s">
        <v>174</v>
      </c>
      <c r="C59" s="16" t="s">
        <v>2358</v>
      </c>
      <c r="D59" s="16" t="s">
        <v>2374</v>
      </c>
      <c r="E59" s="16" t="s">
        <v>2369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54</v>
      </c>
      <c r="O59" s="16" t="s">
        <v>2328</v>
      </c>
      <c r="P59" s="16" t="s">
        <v>2342</v>
      </c>
      <c r="Q59" s="32" t="s">
        <v>2343</v>
      </c>
    </row>
    <row r="60" spans="1:17" ht="17.100000000000001" customHeight="1">
      <c r="A60" s="35">
        <v>45880</v>
      </c>
      <c r="B60" s="15" t="s">
        <v>174</v>
      </c>
      <c r="C60" s="16" t="s">
        <v>2358</v>
      </c>
      <c r="D60" s="16" t="s">
        <v>2374</v>
      </c>
      <c r="E60" s="16" t="s">
        <v>2370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54</v>
      </c>
      <c r="O60" s="16" t="s">
        <v>2328</v>
      </c>
      <c r="P60" s="16" t="s">
        <v>2342</v>
      </c>
      <c r="Q60" s="32" t="s">
        <v>2343</v>
      </c>
    </row>
    <row r="61" spans="1:17" ht="17.100000000000001" customHeight="1">
      <c r="A61" s="35">
        <v>45880</v>
      </c>
      <c r="B61" s="15" t="s">
        <v>174</v>
      </c>
      <c r="C61" s="16" t="s">
        <v>2358</v>
      </c>
      <c r="D61" s="16" t="s">
        <v>2375</v>
      </c>
      <c r="E61" s="16" t="s">
        <v>2371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54</v>
      </c>
      <c r="O61" s="16" t="s">
        <v>2328</v>
      </c>
      <c r="P61" s="16" t="s">
        <v>2342</v>
      </c>
      <c r="Q61" s="32" t="s">
        <v>2343</v>
      </c>
    </row>
    <row r="62" spans="1:17" ht="17.100000000000001" customHeight="1">
      <c r="A62" s="35">
        <v>45880</v>
      </c>
      <c r="B62" s="15" t="s">
        <v>174</v>
      </c>
      <c r="C62" s="16" t="s">
        <v>2358</v>
      </c>
      <c r="D62" s="16" t="s">
        <v>2375</v>
      </c>
      <c r="E62" s="16" t="s">
        <v>2372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27</v>
      </c>
      <c r="O62" s="16" t="s">
        <v>2328</v>
      </c>
      <c r="P62" s="16" t="s">
        <v>2342</v>
      </c>
      <c r="Q62" s="32" t="s">
        <v>2343</v>
      </c>
    </row>
    <row r="63" spans="1:17" ht="17.100000000000001" customHeight="1">
      <c r="A63" s="35">
        <v>45880</v>
      </c>
      <c r="B63" s="15" t="s">
        <v>174</v>
      </c>
      <c r="C63" s="16" t="s">
        <v>2358</v>
      </c>
      <c r="D63" s="16" t="s">
        <v>2375</v>
      </c>
      <c r="E63" s="16" t="s">
        <v>2373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17</v>
      </c>
      <c r="O63" s="16" t="s">
        <v>2328</v>
      </c>
      <c r="P63" s="16" t="s">
        <v>2342</v>
      </c>
      <c r="Q63" s="32" t="s">
        <v>2343</v>
      </c>
    </row>
    <row r="64" spans="1:17" ht="17.100000000000001" customHeight="1">
      <c r="A64" s="35">
        <v>45880</v>
      </c>
      <c r="B64" s="15" t="s">
        <v>174</v>
      </c>
      <c r="C64" s="16" t="s">
        <v>2358</v>
      </c>
      <c r="D64" s="16" t="s">
        <v>2375</v>
      </c>
      <c r="E64" s="16" t="s">
        <v>2376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11</v>
      </c>
      <c r="O64" s="16" t="s">
        <v>2328</v>
      </c>
      <c r="P64" s="16" t="s">
        <v>2342</v>
      </c>
      <c r="Q64" s="32" t="s">
        <v>2343</v>
      </c>
    </row>
    <row r="65" spans="1:17" ht="17.100000000000001" customHeight="1">
      <c r="A65" s="35">
        <v>45881</v>
      </c>
      <c r="B65" s="15" t="s">
        <v>174</v>
      </c>
      <c r="C65" s="16" t="s">
        <v>2377</v>
      </c>
      <c r="D65" s="16" t="s">
        <v>2375</v>
      </c>
      <c r="E65" s="16" t="s">
        <v>2378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27</v>
      </c>
      <c r="O65" s="16" t="s">
        <v>2328</v>
      </c>
      <c r="P65" s="16" t="s">
        <v>2342</v>
      </c>
      <c r="Q65" s="32" t="s">
        <v>2343</v>
      </c>
    </row>
    <row r="66" spans="1:17" ht="17.100000000000001" customHeight="1">
      <c r="A66" s="35">
        <v>45881</v>
      </c>
      <c r="B66" s="15" t="s">
        <v>174</v>
      </c>
      <c r="C66" s="16" t="s">
        <v>2377</v>
      </c>
      <c r="D66" s="16" t="s">
        <v>2375</v>
      </c>
      <c r="E66" s="16" t="s">
        <v>2379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54</v>
      </c>
      <c r="O66" s="16" t="s">
        <v>2328</v>
      </c>
      <c r="P66" s="16" t="s">
        <v>2342</v>
      </c>
      <c r="Q66" s="32" t="s">
        <v>2343</v>
      </c>
    </row>
    <row r="67" spans="1:17" ht="17.100000000000001" customHeight="1">
      <c r="A67" s="35">
        <v>45881</v>
      </c>
      <c r="B67" s="15" t="s">
        <v>174</v>
      </c>
      <c r="C67" s="16" t="s">
        <v>2377</v>
      </c>
      <c r="D67" s="16" t="s">
        <v>2375</v>
      </c>
      <c r="E67" s="16" t="s">
        <v>2380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27</v>
      </c>
      <c r="O67" s="16" t="s">
        <v>2389</v>
      </c>
      <c r="P67" s="16" t="s">
        <v>2342</v>
      </c>
      <c r="Q67" s="32" t="s">
        <v>2343</v>
      </c>
    </row>
    <row r="68" spans="1:17" ht="17.100000000000001" customHeight="1">
      <c r="A68" s="35">
        <v>45881</v>
      </c>
      <c r="B68" s="15" t="s">
        <v>174</v>
      </c>
      <c r="C68" s="16" t="s">
        <v>2377</v>
      </c>
      <c r="D68" s="16" t="s">
        <v>2374</v>
      </c>
      <c r="E68" s="16" t="s">
        <v>2381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27</v>
      </c>
      <c r="O68" s="16" t="s">
        <v>2389</v>
      </c>
      <c r="P68" s="16" t="s">
        <v>2342</v>
      </c>
      <c r="Q68" s="32" t="s">
        <v>2343</v>
      </c>
    </row>
    <row r="69" spans="1:17" ht="17.100000000000001" customHeight="1">
      <c r="A69" s="35">
        <v>45881</v>
      </c>
      <c r="B69" s="15" t="s">
        <v>174</v>
      </c>
      <c r="C69" s="16" t="s">
        <v>2377</v>
      </c>
      <c r="D69" s="16" t="s">
        <v>2374</v>
      </c>
      <c r="E69" s="16" t="s">
        <v>2382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27</v>
      </c>
      <c r="O69" s="16" t="s">
        <v>2389</v>
      </c>
      <c r="P69" s="16" t="s">
        <v>2342</v>
      </c>
      <c r="Q69" s="32" t="s">
        <v>2343</v>
      </c>
    </row>
    <row r="70" spans="1:17" ht="17.100000000000001" customHeight="1">
      <c r="A70" s="35">
        <v>45881</v>
      </c>
      <c r="B70" s="15" t="s">
        <v>174</v>
      </c>
      <c r="C70" s="16" t="s">
        <v>2377</v>
      </c>
      <c r="D70" s="16" t="s">
        <v>2374</v>
      </c>
      <c r="E70" s="16" t="s">
        <v>2383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27</v>
      </c>
      <c r="O70" s="16" t="s">
        <v>2389</v>
      </c>
      <c r="P70" s="16" t="s">
        <v>2342</v>
      </c>
      <c r="Q70" s="32" t="s">
        <v>2343</v>
      </c>
    </row>
    <row r="71" spans="1:17" ht="17.100000000000001" customHeight="1">
      <c r="A71" s="35">
        <v>45881</v>
      </c>
      <c r="B71" s="15" t="s">
        <v>174</v>
      </c>
      <c r="C71" s="16" t="s">
        <v>2377</v>
      </c>
      <c r="D71" s="16" t="s">
        <v>2374</v>
      </c>
      <c r="E71" s="16" t="s">
        <v>2384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27</v>
      </c>
      <c r="O71" s="16" t="s">
        <v>2389</v>
      </c>
      <c r="P71" s="16" t="s">
        <v>2342</v>
      </c>
      <c r="Q71" s="32" t="s">
        <v>2343</v>
      </c>
    </row>
    <row r="72" spans="1:17" ht="17.100000000000001" customHeight="1">
      <c r="A72" s="35">
        <v>45881</v>
      </c>
      <c r="B72" s="15" t="s">
        <v>174</v>
      </c>
      <c r="C72" s="16" t="s">
        <v>2377</v>
      </c>
      <c r="D72" s="16" t="s">
        <v>2374</v>
      </c>
      <c r="E72" s="16" t="s">
        <v>2385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54</v>
      </c>
      <c r="O72" s="16" t="s">
        <v>2389</v>
      </c>
      <c r="P72" s="16" t="s">
        <v>2342</v>
      </c>
      <c r="Q72" s="32" t="s">
        <v>2343</v>
      </c>
    </row>
    <row r="73" spans="1:17" ht="17.100000000000001" customHeight="1">
      <c r="A73" s="35">
        <v>45881</v>
      </c>
      <c r="B73" s="15" t="s">
        <v>174</v>
      </c>
      <c r="C73" s="16" t="s">
        <v>2377</v>
      </c>
      <c r="D73" s="16" t="s">
        <v>2374</v>
      </c>
      <c r="E73" s="16" t="s">
        <v>2386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54</v>
      </c>
      <c r="O73" s="16" t="s">
        <v>2389</v>
      </c>
      <c r="P73" s="16" t="s">
        <v>2342</v>
      </c>
      <c r="Q73" s="32" t="s">
        <v>2343</v>
      </c>
    </row>
    <row r="74" spans="1:17" ht="17.100000000000001" customHeight="1">
      <c r="A74" s="35">
        <v>45881</v>
      </c>
      <c r="B74" s="15" t="s">
        <v>174</v>
      </c>
      <c r="C74" s="16" t="s">
        <v>2377</v>
      </c>
      <c r="D74" s="16" t="s">
        <v>2374</v>
      </c>
      <c r="E74" s="16" t="s">
        <v>2387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27</v>
      </c>
      <c r="O74" s="16" t="s">
        <v>2389</v>
      </c>
      <c r="P74" s="16" t="s">
        <v>2342</v>
      </c>
      <c r="Q74" s="32" t="s">
        <v>2343</v>
      </c>
    </row>
    <row r="75" spans="1:17" ht="17.100000000000001" customHeight="1">
      <c r="A75" s="35">
        <v>45881</v>
      </c>
      <c r="B75" s="15" t="s">
        <v>174</v>
      </c>
      <c r="C75" s="16" t="s">
        <v>2377</v>
      </c>
      <c r="D75" s="16" t="s">
        <v>2374</v>
      </c>
      <c r="E75" s="16" t="s">
        <v>2367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27</v>
      </c>
      <c r="O75" s="16" t="s">
        <v>2389</v>
      </c>
      <c r="P75" s="16" t="s">
        <v>2342</v>
      </c>
      <c r="Q75" s="32" t="s">
        <v>2343</v>
      </c>
    </row>
    <row r="76" spans="1:17" ht="17.100000000000001" customHeight="1">
      <c r="A76" s="35">
        <v>45881</v>
      </c>
      <c r="B76" s="15" t="s">
        <v>174</v>
      </c>
      <c r="C76" s="16" t="s">
        <v>2377</v>
      </c>
      <c r="D76" s="16" t="s">
        <v>2374</v>
      </c>
      <c r="E76" s="16" t="s">
        <v>2388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27</v>
      </c>
      <c r="O76" s="16" t="s">
        <v>2389</v>
      </c>
      <c r="P76" s="16" t="s">
        <v>2342</v>
      </c>
      <c r="Q76" s="32" t="s">
        <v>2343</v>
      </c>
    </row>
    <row r="77" spans="1:17" ht="17.100000000000001" customHeight="1">
      <c r="A77" s="35">
        <v>45881</v>
      </c>
      <c r="B77" s="15" t="s">
        <v>174</v>
      </c>
      <c r="C77" s="16" t="s">
        <v>2377</v>
      </c>
      <c r="D77" s="16" t="s">
        <v>2392</v>
      </c>
      <c r="E77" s="16" t="s">
        <v>2391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27</v>
      </c>
      <c r="O77" s="16" t="s">
        <v>2389</v>
      </c>
      <c r="P77" s="16" t="s">
        <v>2342</v>
      </c>
      <c r="Q77" s="32" t="s">
        <v>2343</v>
      </c>
    </row>
    <row r="78" spans="1:17" ht="17.100000000000001" customHeight="1">
      <c r="A78" s="35">
        <v>45881</v>
      </c>
      <c r="B78" s="15" t="s">
        <v>174</v>
      </c>
      <c r="C78" s="16" t="s">
        <v>2377</v>
      </c>
      <c r="D78" s="16" t="s">
        <v>2392</v>
      </c>
      <c r="E78" s="16" t="s">
        <v>2368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27</v>
      </c>
      <c r="O78" s="16" t="s">
        <v>2389</v>
      </c>
      <c r="P78" s="16" t="s">
        <v>2342</v>
      </c>
      <c r="Q78" s="32" t="s">
        <v>2343</v>
      </c>
    </row>
    <row r="79" spans="1:17" ht="17.100000000000001" customHeight="1">
      <c r="A79" s="35">
        <v>45881</v>
      </c>
      <c r="B79" s="15" t="s">
        <v>174</v>
      </c>
      <c r="C79" s="16" t="s">
        <v>2377</v>
      </c>
      <c r="D79" s="16" t="s">
        <v>2392</v>
      </c>
      <c r="E79" s="16" t="s">
        <v>2388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27</v>
      </c>
      <c r="O79" s="16" t="s">
        <v>2389</v>
      </c>
      <c r="P79" s="16" t="s">
        <v>2342</v>
      </c>
      <c r="Q79" s="32" t="s">
        <v>2343</v>
      </c>
    </row>
    <row r="80" spans="1:17" ht="17.100000000000001" customHeight="1">
      <c r="A80" s="35">
        <v>45881</v>
      </c>
      <c r="B80" s="15" t="s">
        <v>174</v>
      </c>
      <c r="C80" s="16" t="s">
        <v>2377</v>
      </c>
      <c r="D80" s="16" t="s">
        <v>2392</v>
      </c>
      <c r="E80" s="16" t="s">
        <v>2390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14</v>
      </c>
      <c r="O80" s="16" t="s">
        <v>2389</v>
      </c>
      <c r="P80" s="16" t="s">
        <v>2342</v>
      </c>
      <c r="Q80" s="32" t="s">
        <v>2343</v>
      </c>
    </row>
    <row r="81" spans="1:17" ht="17.100000000000001" customHeight="1">
      <c r="A81" s="35">
        <v>45881</v>
      </c>
      <c r="B81" s="15" t="s">
        <v>29</v>
      </c>
      <c r="C81" s="16" t="s">
        <v>2377</v>
      </c>
      <c r="D81" s="16" t="s">
        <v>2411</v>
      </c>
      <c r="E81" s="16" t="s">
        <v>48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100</v>
      </c>
      <c r="O81" s="16" t="s">
        <v>2413</v>
      </c>
      <c r="P81" s="16" t="s">
        <v>2393</v>
      </c>
      <c r="Q81" s="32" t="s">
        <v>2394</v>
      </c>
    </row>
    <row r="82" spans="1:17" ht="17.100000000000001" customHeight="1">
      <c r="A82" s="35">
        <v>45881</v>
      </c>
      <c r="B82" s="15" t="s">
        <v>29</v>
      </c>
      <c r="C82" s="16" t="s">
        <v>2377</v>
      </c>
      <c r="D82" s="16" t="s">
        <v>2392</v>
      </c>
      <c r="E82" s="16" t="s">
        <v>48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200</v>
      </c>
      <c r="O82" s="16" t="s">
        <v>2413</v>
      </c>
      <c r="P82" s="16" t="s">
        <v>2393</v>
      </c>
      <c r="Q82" s="32" t="s">
        <v>2394</v>
      </c>
    </row>
    <row r="83" spans="1:17" ht="17.100000000000001" customHeight="1">
      <c r="A83" s="35">
        <v>45881</v>
      </c>
      <c r="B83" s="15" t="s">
        <v>29</v>
      </c>
      <c r="C83" s="16" t="s">
        <v>2377</v>
      </c>
      <c r="D83" s="16" t="s">
        <v>2412</v>
      </c>
      <c r="E83" s="16" t="s">
        <v>48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100</v>
      </c>
      <c r="O83" s="16" t="s">
        <v>2414</v>
      </c>
      <c r="P83" s="16" t="s">
        <v>2393</v>
      </c>
      <c r="Q83" s="32" t="s">
        <v>2394</v>
      </c>
    </row>
    <row r="84" spans="1:17" ht="17.100000000000001" customHeight="1">
      <c r="A84" s="35">
        <v>45881</v>
      </c>
      <c r="B84" s="15" t="s">
        <v>29</v>
      </c>
      <c r="C84" s="16" t="s">
        <v>2377</v>
      </c>
      <c r="D84" s="16" t="s">
        <v>2238</v>
      </c>
      <c r="E84" s="16" t="s">
        <v>48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100</v>
      </c>
      <c r="O84" s="16" t="s">
        <v>2414</v>
      </c>
      <c r="P84" s="16" t="s">
        <v>2393</v>
      </c>
      <c r="Q84" s="32" t="s">
        <v>2394</v>
      </c>
    </row>
    <row r="85" spans="1:17" ht="17.100000000000001" customHeight="1">
      <c r="A85" s="35">
        <v>45882</v>
      </c>
      <c r="B85" s="15" t="s">
        <v>1307</v>
      </c>
      <c r="C85" s="16" t="s">
        <v>2397</v>
      </c>
      <c r="D85" s="16" t="s">
        <v>48</v>
      </c>
      <c r="E85" s="16" t="s">
        <v>48</v>
      </c>
      <c r="F85" s="16" t="s">
        <v>2415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108</v>
      </c>
      <c r="O85" s="16" t="s">
        <v>2414</v>
      </c>
      <c r="P85" s="16" t="s">
        <v>2395</v>
      </c>
      <c r="Q85" s="32" t="s">
        <v>2396</v>
      </c>
    </row>
    <row r="86" spans="1:17" ht="17.100000000000001" customHeight="1">
      <c r="A86" s="35">
        <v>45882</v>
      </c>
      <c r="B86" s="15" t="s">
        <v>1307</v>
      </c>
      <c r="C86" s="16" t="s">
        <v>2397</v>
      </c>
      <c r="D86" s="16" t="s">
        <v>48</v>
      </c>
      <c r="E86" s="16" t="s">
        <v>48</v>
      </c>
      <c r="F86" s="16" t="s">
        <v>2416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17</v>
      </c>
      <c r="O86" s="16" t="s">
        <v>2414</v>
      </c>
      <c r="P86" s="16" t="s">
        <v>2395</v>
      </c>
      <c r="Q86" s="32" t="s">
        <v>2396</v>
      </c>
    </row>
    <row r="87" spans="1:17" ht="17.100000000000001" customHeight="1">
      <c r="A87" s="35">
        <v>45882</v>
      </c>
      <c r="B87" s="15" t="s">
        <v>843</v>
      </c>
      <c r="C87" s="16" t="s">
        <v>2397</v>
      </c>
      <c r="D87" s="16" t="s">
        <v>48</v>
      </c>
      <c r="E87" s="16" t="s">
        <v>48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606</v>
      </c>
      <c r="O87" s="16" t="s">
        <v>2406</v>
      </c>
      <c r="P87" s="16"/>
      <c r="Q87" s="32"/>
    </row>
    <row r="88" spans="1:17" ht="17.100000000000001" customHeight="1">
      <c r="A88" s="35">
        <v>45882</v>
      </c>
      <c r="B88" s="15" t="s">
        <v>843</v>
      </c>
      <c r="C88" s="16" t="s">
        <v>2397</v>
      </c>
      <c r="D88" s="16" t="s">
        <v>48</v>
      </c>
      <c r="E88" s="16" t="s">
        <v>48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1394</v>
      </c>
      <c r="O88" s="16" t="s">
        <v>2417</v>
      </c>
      <c r="P88" s="16"/>
      <c r="Q88" s="32"/>
    </row>
    <row r="89" spans="1:17" ht="17.100000000000001" customHeight="1">
      <c r="A89" s="35">
        <v>45882</v>
      </c>
      <c r="B89" s="15" t="s">
        <v>2419</v>
      </c>
      <c r="C89" s="16" t="s">
        <v>2397</v>
      </c>
      <c r="D89" s="16" t="s">
        <v>48</v>
      </c>
      <c r="E89" s="16" t="s">
        <v>48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150</v>
      </c>
      <c r="O89" s="16" t="s">
        <v>2418</v>
      </c>
      <c r="P89" s="16"/>
      <c r="Q89" s="32"/>
    </row>
    <row r="90" spans="1:17" ht="17.100000000000001" customHeight="1">
      <c r="A90" s="35">
        <v>45883</v>
      </c>
      <c r="B90" s="15" t="s">
        <v>193</v>
      </c>
      <c r="C90" s="16" t="s">
        <v>2398</v>
      </c>
      <c r="D90" s="16" t="s">
        <v>2409</v>
      </c>
      <c r="E90" s="16" t="s">
        <v>2381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27</v>
      </c>
      <c r="O90" s="16" t="s">
        <v>2406</v>
      </c>
      <c r="P90" s="16" t="s">
        <v>2408</v>
      </c>
      <c r="Q90" s="32" t="s">
        <v>2407</v>
      </c>
    </row>
    <row r="91" spans="1:17" ht="17.100000000000001" customHeight="1">
      <c r="A91" s="35">
        <v>45883</v>
      </c>
      <c r="B91" s="15" t="s">
        <v>193</v>
      </c>
      <c r="C91" s="16" t="s">
        <v>2398</v>
      </c>
      <c r="D91" s="16" t="s">
        <v>2410</v>
      </c>
      <c r="E91" s="16" t="s">
        <v>2399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54</v>
      </c>
      <c r="O91" s="16" t="s">
        <v>2406</v>
      </c>
      <c r="P91" s="16" t="s">
        <v>2408</v>
      </c>
      <c r="Q91" s="32" t="s">
        <v>2407</v>
      </c>
    </row>
    <row r="92" spans="1:17" ht="17.100000000000001" customHeight="1">
      <c r="A92" s="35">
        <v>45883</v>
      </c>
      <c r="B92" s="15" t="s">
        <v>193</v>
      </c>
      <c r="C92" s="16" t="s">
        <v>2398</v>
      </c>
      <c r="D92" s="16" t="s">
        <v>2410</v>
      </c>
      <c r="E92" s="16" t="s">
        <v>2390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40</v>
      </c>
      <c r="O92" s="16" t="s">
        <v>2406</v>
      </c>
      <c r="P92" s="16" t="s">
        <v>2408</v>
      </c>
      <c r="Q92" s="32" t="s">
        <v>2407</v>
      </c>
    </row>
    <row r="93" spans="1:17" ht="17.100000000000001" customHeight="1">
      <c r="A93" s="35">
        <v>45883</v>
      </c>
      <c r="B93" s="15" t="s">
        <v>193</v>
      </c>
      <c r="C93" s="16" t="s">
        <v>2398</v>
      </c>
      <c r="D93" s="16" t="s">
        <v>2410</v>
      </c>
      <c r="E93" s="16" t="s">
        <v>2391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27</v>
      </c>
      <c r="O93" s="16" t="s">
        <v>2406</v>
      </c>
      <c r="P93" s="16" t="s">
        <v>2408</v>
      </c>
      <c r="Q93" s="32" t="s">
        <v>2407</v>
      </c>
    </row>
    <row r="94" spans="1:17" ht="17.100000000000001" customHeight="1">
      <c r="A94" s="35">
        <v>45883</v>
      </c>
      <c r="B94" s="15" t="s">
        <v>193</v>
      </c>
      <c r="C94" s="16" t="s">
        <v>2398</v>
      </c>
      <c r="D94" s="16" t="s">
        <v>2410</v>
      </c>
      <c r="E94" s="16" t="s">
        <v>2400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54</v>
      </c>
      <c r="O94" s="16" t="s">
        <v>2406</v>
      </c>
      <c r="P94" s="16" t="s">
        <v>2408</v>
      </c>
      <c r="Q94" s="32" t="s">
        <v>2407</v>
      </c>
    </row>
    <row r="95" spans="1:17" ht="17.100000000000001" customHeight="1">
      <c r="A95" s="35">
        <v>45883</v>
      </c>
      <c r="B95" s="15" t="s">
        <v>193</v>
      </c>
      <c r="C95" s="16" t="s">
        <v>2398</v>
      </c>
      <c r="D95" s="16" t="s">
        <v>2410</v>
      </c>
      <c r="E95" s="16" t="s">
        <v>2401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27</v>
      </c>
      <c r="O95" s="16" t="s">
        <v>2406</v>
      </c>
      <c r="P95" s="16" t="s">
        <v>2408</v>
      </c>
      <c r="Q95" s="32" t="s">
        <v>2407</v>
      </c>
    </row>
    <row r="96" spans="1:17" ht="17.100000000000001" customHeight="1">
      <c r="A96" s="35">
        <v>45883</v>
      </c>
      <c r="B96" s="15" t="s">
        <v>193</v>
      </c>
      <c r="C96" s="16" t="s">
        <v>2398</v>
      </c>
      <c r="D96" s="16" t="s">
        <v>2410</v>
      </c>
      <c r="E96" s="16" t="s">
        <v>2372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27</v>
      </c>
      <c r="O96" s="16" t="s">
        <v>2406</v>
      </c>
      <c r="P96" s="16" t="s">
        <v>2408</v>
      </c>
      <c r="Q96" s="32" t="s">
        <v>2407</v>
      </c>
    </row>
    <row r="97" spans="1:17" ht="17.100000000000001" customHeight="1">
      <c r="A97" s="35">
        <v>45883</v>
      </c>
      <c r="B97" s="15" t="s">
        <v>193</v>
      </c>
      <c r="C97" s="16" t="s">
        <v>2398</v>
      </c>
      <c r="D97" s="16" t="s">
        <v>2410</v>
      </c>
      <c r="E97" s="16" t="s">
        <v>2380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27</v>
      </c>
      <c r="O97" s="16" t="s">
        <v>2406</v>
      </c>
      <c r="P97" s="16" t="s">
        <v>2408</v>
      </c>
      <c r="Q97" s="32" t="s">
        <v>2407</v>
      </c>
    </row>
    <row r="98" spans="1:17" ht="17.100000000000001" customHeight="1">
      <c r="A98" s="35">
        <v>45883</v>
      </c>
      <c r="B98" s="15" t="s">
        <v>193</v>
      </c>
      <c r="C98" s="16" t="s">
        <v>2398</v>
      </c>
      <c r="D98" s="16" t="s">
        <v>2410</v>
      </c>
      <c r="E98" s="16" t="s">
        <v>2402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54</v>
      </c>
      <c r="O98" s="16" t="s">
        <v>2406</v>
      </c>
      <c r="P98" s="16" t="s">
        <v>2408</v>
      </c>
      <c r="Q98" s="32" t="s">
        <v>2407</v>
      </c>
    </row>
    <row r="99" spans="1:17" ht="17.100000000000001" customHeight="1">
      <c r="A99" s="35">
        <v>45883</v>
      </c>
      <c r="B99" s="15" t="s">
        <v>193</v>
      </c>
      <c r="C99" s="16" t="s">
        <v>2398</v>
      </c>
      <c r="D99" s="16" t="s">
        <v>2410</v>
      </c>
      <c r="E99" s="16" t="s">
        <v>2403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54</v>
      </c>
      <c r="O99" s="16" t="s">
        <v>2406</v>
      </c>
      <c r="P99" s="16" t="s">
        <v>2408</v>
      </c>
      <c r="Q99" s="32" t="s">
        <v>2407</v>
      </c>
    </row>
    <row r="100" spans="1:17" ht="17.100000000000001" customHeight="1">
      <c r="A100" s="35">
        <v>45883</v>
      </c>
      <c r="B100" s="15" t="s">
        <v>193</v>
      </c>
      <c r="C100" s="16" t="s">
        <v>2398</v>
      </c>
      <c r="D100" s="16" t="s">
        <v>2410</v>
      </c>
      <c r="E100" s="16" t="s">
        <v>2404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54</v>
      </c>
      <c r="O100" s="16" t="s">
        <v>2406</v>
      </c>
      <c r="P100" s="16" t="s">
        <v>2408</v>
      </c>
      <c r="Q100" s="32" t="s">
        <v>2407</v>
      </c>
    </row>
    <row r="101" spans="1:17" ht="17.100000000000001" customHeight="1">
      <c r="A101" s="35">
        <v>45883</v>
      </c>
      <c r="B101" s="15" t="s">
        <v>193</v>
      </c>
      <c r="C101" s="16" t="s">
        <v>2398</v>
      </c>
      <c r="D101" s="16" t="s">
        <v>2410</v>
      </c>
      <c r="E101" s="16" t="s">
        <v>2403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54</v>
      </c>
      <c r="O101" s="16" t="s">
        <v>2406</v>
      </c>
      <c r="P101" s="16" t="s">
        <v>2408</v>
      </c>
      <c r="Q101" s="32" t="s">
        <v>2407</v>
      </c>
    </row>
    <row r="102" spans="1:17" ht="17.100000000000001" customHeight="1">
      <c r="A102" s="35">
        <v>45883</v>
      </c>
      <c r="B102" s="15" t="s">
        <v>193</v>
      </c>
      <c r="C102" s="16" t="s">
        <v>2398</v>
      </c>
      <c r="D102" s="16" t="s">
        <v>2410</v>
      </c>
      <c r="E102" s="16" t="s">
        <v>2405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1</v>
      </c>
      <c r="O102" s="16" t="s">
        <v>2406</v>
      </c>
      <c r="P102" s="16" t="s">
        <v>2408</v>
      </c>
      <c r="Q102" s="32" t="s">
        <v>2407</v>
      </c>
    </row>
    <row r="103" spans="1:17" ht="17.100000000000001" customHeight="1">
      <c r="A103" s="35">
        <v>45887</v>
      </c>
      <c r="B103" s="15" t="s">
        <v>143</v>
      </c>
      <c r="C103" s="16" t="s">
        <v>2421</v>
      </c>
      <c r="D103" s="16" t="s">
        <v>2422</v>
      </c>
      <c r="E103" s="16" t="s">
        <v>48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44</v>
      </c>
      <c r="O103" s="16" t="s">
        <v>2437</v>
      </c>
      <c r="P103" s="16" t="s">
        <v>2420</v>
      </c>
      <c r="Q103" s="32" t="s">
        <v>2425</v>
      </c>
    </row>
    <row r="104" spans="1:17" ht="17.100000000000001" customHeight="1">
      <c r="A104" s="35">
        <v>45887</v>
      </c>
      <c r="B104" s="15" t="s">
        <v>143</v>
      </c>
      <c r="C104" s="16" t="s">
        <v>2421</v>
      </c>
      <c r="D104" s="16" t="s">
        <v>2423</v>
      </c>
      <c r="E104" s="16" t="s">
        <v>48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14</v>
      </c>
      <c r="O104" s="16" t="s">
        <v>2437</v>
      </c>
      <c r="P104" s="16" t="s">
        <v>2420</v>
      </c>
      <c r="Q104" s="32" t="s">
        <v>2425</v>
      </c>
    </row>
    <row r="105" spans="1:17" ht="17.100000000000001" customHeight="1">
      <c r="A105" s="35">
        <v>45887</v>
      </c>
      <c r="B105" s="15" t="s">
        <v>143</v>
      </c>
      <c r="C105" s="16" t="s">
        <v>2421</v>
      </c>
      <c r="D105" s="16" t="s">
        <v>2424</v>
      </c>
      <c r="E105" s="16" t="s">
        <v>48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2</v>
      </c>
      <c r="O105" s="16" t="s">
        <v>2437</v>
      </c>
      <c r="P105" s="16" t="s">
        <v>2420</v>
      </c>
      <c r="Q105" s="32" t="s">
        <v>2425</v>
      </c>
    </row>
    <row r="106" spans="1:17" ht="17.100000000000001" customHeight="1">
      <c r="A106" s="35">
        <v>45887</v>
      </c>
      <c r="B106" s="15" t="s">
        <v>29</v>
      </c>
      <c r="C106" s="16" t="s">
        <v>2421</v>
      </c>
      <c r="D106" s="16" t="s">
        <v>2428</v>
      </c>
      <c r="E106" s="16" t="s">
        <v>48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150</v>
      </c>
      <c r="O106" s="16" t="s">
        <v>2437</v>
      </c>
      <c r="P106" s="16" t="s">
        <v>2426</v>
      </c>
      <c r="Q106" s="32" t="s">
        <v>2427</v>
      </c>
    </row>
    <row r="107" spans="1:17" ht="17.100000000000001" customHeight="1">
      <c r="A107" s="35">
        <v>45887</v>
      </c>
      <c r="B107" s="15" t="s">
        <v>29</v>
      </c>
      <c r="C107" s="16" t="s">
        <v>2421</v>
      </c>
      <c r="D107" s="16" t="s">
        <v>2429</v>
      </c>
      <c r="E107" s="16" t="s">
        <v>48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100</v>
      </c>
      <c r="O107" s="16" t="s">
        <v>2437</v>
      </c>
      <c r="P107" s="16" t="s">
        <v>2426</v>
      </c>
      <c r="Q107" s="32" t="s">
        <v>2427</v>
      </c>
    </row>
    <row r="108" spans="1:17" ht="17.100000000000001" customHeight="1">
      <c r="A108" s="35">
        <v>45887</v>
      </c>
      <c r="B108" s="15" t="s">
        <v>1455</v>
      </c>
      <c r="C108" s="16" t="s">
        <v>2421</v>
      </c>
      <c r="D108" s="16" t="s">
        <v>48</v>
      </c>
      <c r="E108" s="16" t="s">
        <v>48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600</v>
      </c>
      <c r="O108" s="16" t="s">
        <v>2432</v>
      </c>
      <c r="P108" s="16" t="s">
        <v>2430</v>
      </c>
      <c r="Q108" s="32" t="s">
        <v>2431</v>
      </c>
    </row>
    <row r="109" spans="1:17" ht="17.100000000000001" customHeight="1">
      <c r="A109" s="35">
        <v>45887</v>
      </c>
      <c r="B109" s="15" t="s">
        <v>1664</v>
      </c>
      <c r="C109" s="16" t="s">
        <v>2421</v>
      </c>
      <c r="D109" s="16" t="s">
        <v>48</v>
      </c>
      <c r="E109" s="16" t="s">
        <v>48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200</v>
      </c>
      <c r="O109" s="16" t="s">
        <v>55</v>
      </c>
      <c r="P109" s="16" t="s">
        <v>2433</v>
      </c>
      <c r="Q109" s="32" t="s">
        <v>2434</v>
      </c>
    </row>
    <row r="110" spans="1:17" ht="17.100000000000001" customHeight="1">
      <c r="A110" s="35">
        <v>45888</v>
      </c>
      <c r="B110" s="15" t="s">
        <v>1167</v>
      </c>
      <c r="C110" s="16" t="s">
        <v>2421</v>
      </c>
      <c r="D110" s="16" t="s">
        <v>2439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400</v>
      </c>
      <c r="O110" s="16" t="s">
        <v>2438</v>
      </c>
      <c r="P110" s="16" t="s">
        <v>2436</v>
      </c>
      <c r="Q110" s="32" t="s">
        <v>2435</v>
      </c>
    </row>
    <row r="111" spans="1:17" ht="17.100000000000001" customHeight="1">
      <c r="A111" s="35">
        <v>45888</v>
      </c>
      <c r="B111" s="15" t="s">
        <v>28</v>
      </c>
      <c r="C111" s="16" t="s">
        <v>2440</v>
      </c>
      <c r="D111" s="16" t="s">
        <v>2441</v>
      </c>
      <c r="E111" s="16" t="s">
        <v>2442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45</v>
      </c>
      <c r="O111" s="16" t="s">
        <v>2437</v>
      </c>
      <c r="P111" s="16" t="s">
        <v>2445</v>
      </c>
      <c r="Q111" s="32" t="s">
        <v>2444</v>
      </c>
    </row>
    <row r="112" spans="1:17" ht="17.100000000000001" customHeight="1">
      <c r="A112" s="35">
        <v>45888</v>
      </c>
      <c r="B112" s="15" t="s">
        <v>28</v>
      </c>
      <c r="C112" s="16" t="s">
        <v>2440</v>
      </c>
      <c r="D112" s="16" t="s">
        <v>2441</v>
      </c>
      <c r="E112" s="16" t="s">
        <v>2443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48</v>
      </c>
      <c r="N112" s="16">
        <v>35</v>
      </c>
      <c r="O112" s="16" t="s">
        <v>2437</v>
      </c>
      <c r="P112" s="16" t="s">
        <v>2445</v>
      </c>
      <c r="Q112" s="32" t="s">
        <v>2444</v>
      </c>
    </row>
    <row r="113" spans="1:17" ht="17.100000000000001" customHeight="1">
      <c r="A113" s="35">
        <v>45888</v>
      </c>
      <c r="B113" s="15" t="s">
        <v>471</v>
      </c>
      <c r="C113" s="16" t="s">
        <v>2440</v>
      </c>
      <c r="D113" s="16" t="s">
        <v>2446</v>
      </c>
      <c r="E113" s="16" t="s">
        <v>2447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f>320/2</f>
        <v>160</v>
      </c>
      <c r="O113" s="16" t="s">
        <v>2450</v>
      </c>
      <c r="P113" s="16" t="s">
        <v>2457</v>
      </c>
      <c r="Q113" s="32" t="s">
        <v>2456</v>
      </c>
    </row>
    <row r="114" spans="1:17" ht="17.100000000000001" customHeight="1">
      <c r="A114" s="35">
        <v>45888</v>
      </c>
      <c r="B114" s="15" t="s">
        <v>471</v>
      </c>
      <c r="C114" s="16" t="s">
        <v>2440</v>
      </c>
      <c r="D114" s="16" t="s">
        <v>2446</v>
      </c>
      <c r="E114" s="16" t="s">
        <v>2448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40</v>
      </c>
      <c r="O114" s="16" t="s">
        <v>2450</v>
      </c>
      <c r="P114" s="16" t="s">
        <v>2457</v>
      </c>
      <c r="Q114" s="32" t="s">
        <v>2456</v>
      </c>
    </row>
    <row r="115" spans="1:17" ht="17.100000000000001" customHeight="1">
      <c r="A115" s="35">
        <v>45888</v>
      </c>
      <c r="B115" s="15" t="s">
        <v>471</v>
      </c>
      <c r="C115" s="16" t="s">
        <v>2440</v>
      </c>
      <c r="D115" s="16" t="s">
        <v>2446</v>
      </c>
      <c r="E115" s="16" t="s">
        <v>2449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160</v>
      </c>
      <c r="O115" s="16" t="s">
        <v>2450</v>
      </c>
      <c r="P115" s="16" t="s">
        <v>2457</v>
      </c>
      <c r="Q115" s="32" t="s">
        <v>2456</v>
      </c>
    </row>
    <row r="116" spans="1:17" ht="17.100000000000001" customHeight="1">
      <c r="A116" s="35">
        <v>45888</v>
      </c>
      <c r="B116" s="15" t="s">
        <v>471</v>
      </c>
      <c r="C116" s="16" t="s">
        <v>2440</v>
      </c>
      <c r="D116" s="16" t="s">
        <v>2446</v>
      </c>
      <c r="E116" s="16" t="s">
        <v>2451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v>140</v>
      </c>
      <c r="O116" s="16" t="s">
        <v>2450</v>
      </c>
      <c r="P116" s="16" t="s">
        <v>2457</v>
      </c>
      <c r="Q116" s="32" t="s">
        <v>2456</v>
      </c>
    </row>
    <row r="117" spans="1:17" ht="17.100000000000001" customHeight="1">
      <c r="A117" s="35">
        <v>45889</v>
      </c>
      <c r="B117" s="15" t="s">
        <v>41</v>
      </c>
      <c r="C117" s="16" t="s">
        <v>2452</v>
      </c>
      <c r="D117" s="16" t="s">
        <v>2459</v>
      </c>
      <c r="E117" s="16" t="s">
        <v>2458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168</v>
      </c>
      <c r="O117" s="16" t="s">
        <v>2453</v>
      </c>
      <c r="P117" s="16" t="s">
        <v>2455</v>
      </c>
      <c r="Q117" s="32" t="s">
        <v>2454</v>
      </c>
    </row>
    <row r="118" spans="1:17" ht="17.100000000000001" customHeight="1">
      <c r="A118" s="35">
        <v>45891</v>
      </c>
      <c r="B118" s="15" t="s">
        <v>41</v>
      </c>
      <c r="C118" s="16" t="s">
        <v>2460</v>
      </c>
      <c r="D118" s="16" t="s">
        <v>2459</v>
      </c>
      <c r="E118" s="16" t="s">
        <v>2458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32</v>
      </c>
      <c r="O118" s="16" t="s">
        <v>2336</v>
      </c>
      <c r="P118" s="16" t="s">
        <v>2455</v>
      </c>
      <c r="Q118" s="32" t="s">
        <v>2454</v>
      </c>
    </row>
    <row r="119" spans="1:17" ht="17.100000000000001" customHeight="1">
      <c r="A119" s="35">
        <v>45891</v>
      </c>
      <c r="B119" s="15" t="s">
        <v>41</v>
      </c>
      <c r="C119" s="16" t="s">
        <v>2460</v>
      </c>
      <c r="D119" s="16" t="s">
        <v>2461</v>
      </c>
      <c r="E119" s="16" t="s">
        <v>2458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40</v>
      </c>
      <c r="O119" s="16" t="s">
        <v>2336</v>
      </c>
      <c r="P119" s="16" t="s">
        <v>2455</v>
      </c>
      <c r="Q119" s="32" t="s">
        <v>2454</v>
      </c>
    </row>
    <row r="120" spans="1:17" ht="17.100000000000001" customHeight="1">
      <c r="A120" s="35">
        <v>45891</v>
      </c>
      <c r="B120" s="15" t="s">
        <v>261</v>
      </c>
      <c r="C120" s="16" t="s">
        <v>2460</v>
      </c>
      <c r="D120" s="16" t="s">
        <v>2462</v>
      </c>
      <c r="E120" s="16" t="s">
        <v>48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100</v>
      </c>
      <c r="O120" s="16" t="s">
        <v>2463</v>
      </c>
      <c r="P120" s="16" t="s">
        <v>2464</v>
      </c>
      <c r="Q120" s="32" t="s">
        <v>2465</v>
      </c>
    </row>
    <row r="121" spans="1:17" ht="17.100000000000001" customHeight="1">
      <c r="A121" s="35">
        <v>45891</v>
      </c>
      <c r="B121" s="15" t="s">
        <v>261</v>
      </c>
      <c r="C121" s="16" t="s">
        <v>2460</v>
      </c>
      <c r="D121" s="16" t="s">
        <v>2290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400</v>
      </c>
      <c r="O121" s="16" t="s">
        <v>2463</v>
      </c>
      <c r="P121" s="16" t="s">
        <v>2464</v>
      </c>
      <c r="Q121" s="32" t="s">
        <v>2465</v>
      </c>
    </row>
    <row r="122" spans="1:17" ht="17.100000000000001" customHeight="1">
      <c r="A122" s="35">
        <v>45891</v>
      </c>
      <c r="B122" s="15" t="s">
        <v>59</v>
      </c>
      <c r="C122" s="16" t="s">
        <v>2460</v>
      </c>
      <c r="D122" s="16" t="s">
        <v>2459</v>
      </c>
      <c r="E122" s="16" t="s">
        <v>48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60</v>
      </c>
      <c r="O122" s="16" t="s">
        <v>2336</v>
      </c>
      <c r="P122" s="16" t="s">
        <v>2467</v>
      </c>
      <c r="Q122" s="32" t="s">
        <v>2466</v>
      </c>
    </row>
    <row r="123" spans="1:17" ht="17.100000000000001" customHeight="1">
      <c r="A123" s="35">
        <v>45891</v>
      </c>
      <c r="B123" s="15" t="s">
        <v>469</v>
      </c>
      <c r="C123" s="16" t="s">
        <v>2460</v>
      </c>
      <c r="D123" s="16" t="s">
        <v>48</v>
      </c>
      <c r="E123" s="16" t="s">
        <v>2471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4</v>
      </c>
      <c r="O123" s="16" t="s">
        <v>2336</v>
      </c>
      <c r="P123" s="16" t="s">
        <v>2473</v>
      </c>
      <c r="Q123" s="32" t="s">
        <v>2472</v>
      </c>
    </row>
    <row r="124" spans="1:17" ht="17.100000000000001" customHeight="1">
      <c r="A124" s="35">
        <v>45891</v>
      </c>
      <c r="B124" s="15" t="s">
        <v>2123</v>
      </c>
      <c r="C124" s="16" t="s">
        <v>2460</v>
      </c>
      <c r="D124" s="16" t="s">
        <v>48</v>
      </c>
      <c r="E124" s="16" t="s">
        <v>48</v>
      </c>
      <c r="F124" s="16" t="s">
        <v>2458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50</v>
      </c>
      <c r="O124" s="16" t="s">
        <v>2463</v>
      </c>
      <c r="P124" s="16" t="s">
        <v>2469</v>
      </c>
      <c r="Q124" s="32" t="s">
        <v>2468</v>
      </c>
    </row>
    <row r="125" spans="1:17" ht="17.100000000000001" customHeight="1">
      <c r="A125" s="35">
        <v>45895</v>
      </c>
      <c r="B125" s="15" t="s">
        <v>59</v>
      </c>
      <c r="C125" s="16" t="s">
        <v>2470</v>
      </c>
      <c r="D125" s="16" t="s">
        <v>2459</v>
      </c>
      <c r="E125" s="16" t="s">
        <v>48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290</v>
      </c>
      <c r="O125" s="16" t="s">
        <v>2498</v>
      </c>
      <c r="P125" s="16" t="s">
        <v>2467</v>
      </c>
      <c r="Q125" s="32" t="s">
        <v>2466</v>
      </c>
    </row>
    <row r="126" spans="1:17" ht="17.100000000000001" customHeight="1">
      <c r="A126" s="35">
        <v>45895</v>
      </c>
      <c r="B126" s="15" t="s">
        <v>59</v>
      </c>
      <c r="C126" s="16" t="s">
        <v>2470</v>
      </c>
      <c r="D126" s="16" t="s">
        <v>2461</v>
      </c>
      <c r="E126" s="16" t="s">
        <v>48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10</v>
      </c>
      <c r="O126" s="16" t="s">
        <v>2498</v>
      </c>
      <c r="P126" s="16" t="s">
        <v>2467</v>
      </c>
      <c r="Q126" s="32" t="s">
        <v>2466</v>
      </c>
    </row>
    <row r="127" spans="1:17" ht="17.100000000000001" customHeight="1">
      <c r="A127" s="35">
        <v>45895</v>
      </c>
      <c r="B127" s="15" t="s">
        <v>2104</v>
      </c>
      <c r="C127" s="16" t="s">
        <v>2470</v>
      </c>
      <c r="D127" s="16" t="s">
        <v>48</v>
      </c>
      <c r="E127" s="16" t="s">
        <v>48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2500</v>
      </c>
      <c r="N127" s="16">
        <v>10</v>
      </c>
      <c r="O127" s="16" t="s">
        <v>55</v>
      </c>
      <c r="P127" s="16" t="s">
        <v>2475</v>
      </c>
      <c r="Q127" s="32" t="s">
        <v>2474</v>
      </c>
    </row>
    <row r="128" spans="1:17" ht="17.100000000000001" customHeight="1">
      <c r="A128" s="35">
        <v>45895</v>
      </c>
      <c r="B128" s="15" t="s">
        <v>110</v>
      </c>
      <c r="C128" s="16" t="s">
        <v>2470</v>
      </c>
      <c r="D128" s="16" t="s">
        <v>48</v>
      </c>
      <c r="E128" s="16" t="s">
        <v>48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2501</v>
      </c>
      <c r="N128" s="16">
        <v>10</v>
      </c>
      <c r="O128" s="16" t="s">
        <v>55</v>
      </c>
      <c r="P128" s="16" t="s">
        <v>2477</v>
      </c>
      <c r="Q128" s="32" t="s">
        <v>2476</v>
      </c>
    </row>
    <row r="129" spans="1:17" ht="17.100000000000001" customHeight="1">
      <c r="A129" s="35">
        <v>45895</v>
      </c>
      <c r="B129" s="15" t="s">
        <v>68</v>
      </c>
      <c r="C129" s="16" t="s">
        <v>2470</v>
      </c>
      <c r="D129" s="16" t="s">
        <v>48</v>
      </c>
      <c r="E129" s="16" t="s">
        <v>48</v>
      </c>
      <c r="F129" s="16" t="s">
        <v>2493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108</v>
      </c>
      <c r="O129" s="16" t="s">
        <v>2492</v>
      </c>
      <c r="P129" s="16" t="s">
        <v>2479</v>
      </c>
      <c r="Q129" s="15" t="s">
        <v>2478</v>
      </c>
    </row>
    <row r="130" spans="1:17" ht="17.100000000000001" customHeight="1">
      <c r="A130" s="35">
        <v>45895</v>
      </c>
      <c r="B130" s="15" t="s">
        <v>68</v>
      </c>
      <c r="C130" s="16" t="s">
        <v>2470</v>
      </c>
      <c r="D130" s="16" t="s">
        <v>48</v>
      </c>
      <c r="E130" s="16" t="s">
        <v>48</v>
      </c>
      <c r="F130" s="16" t="s">
        <v>2494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5</v>
      </c>
      <c r="O130" s="16" t="s">
        <v>2492</v>
      </c>
      <c r="P130" s="16" t="s">
        <v>2479</v>
      </c>
      <c r="Q130" s="15" t="s">
        <v>2478</v>
      </c>
    </row>
    <row r="131" spans="1:17" ht="17.100000000000001" customHeight="1">
      <c r="A131" s="35">
        <v>45895</v>
      </c>
      <c r="B131" s="15" t="s">
        <v>68</v>
      </c>
      <c r="C131" s="16" t="s">
        <v>2470</v>
      </c>
      <c r="D131" s="16" t="s">
        <v>48</v>
      </c>
      <c r="E131" s="16" t="s">
        <v>48</v>
      </c>
      <c r="F131" s="16" t="s">
        <v>2495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12</v>
      </c>
      <c r="O131" s="16" t="s">
        <v>2492</v>
      </c>
      <c r="P131" s="16" t="s">
        <v>2479</v>
      </c>
      <c r="Q131" s="15" t="s">
        <v>2478</v>
      </c>
    </row>
    <row r="132" spans="1:17" ht="16.5" customHeight="1">
      <c r="A132" s="35">
        <v>45895</v>
      </c>
      <c r="B132" s="15" t="s">
        <v>71</v>
      </c>
      <c r="C132" s="16" t="s">
        <v>2470</v>
      </c>
      <c r="D132" s="16" t="s">
        <v>2488</v>
      </c>
      <c r="E132" s="16" t="s">
        <v>2489</v>
      </c>
      <c r="F132" s="16" t="s">
        <v>2490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300</v>
      </c>
      <c r="O132" s="16" t="s">
        <v>2491</v>
      </c>
      <c r="P132" s="15" t="s">
        <v>2481</v>
      </c>
      <c r="Q132" s="32" t="s">
        <v>2480</v>
      </c>
    </row>
    <row r="133" spans="1:17" ht="17.100000000000001" customHeight="1">
      <c r="A133" s="35">
        <v>45895</v>
      </c>
      <c r="B133" s="15" t="s">
        <v>31</v>
      </c>
      <c r="C133" s="16" t="s">
        <v>2470</v>
      </c>
      <c r="D133" s="16" t="s">
        <v>48</v>
      </c>
      <c r="E133" s="16" t="s">
        <v>48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200</v>
      </c>
      <c r="O133" s="16" t="s">
        <v>2496</v>
      </c>
      <c r="P133" s="16" t="s">
        <v>2483</v>
      </c>
      <c r="Q133" s="32" t="s">
        <v>2482</v>
      </c>
    </row>
    <row r="134" spans="1:17" ht="17.100000000000001" customHeight="1">
      <c r="A134" s="35">
        <v>45895</v>
      </c>
      <c r="B134" s="15" t="s">
        <v>843</v>
      </c>
      <c r="C134" s="16" t="s">
        <v>2470</v>
      </c>
      <c r="D134" s="16" t="s">
        <v>48</v>
      </c>
      <c r="E134" s="16" t="s">
        <v>48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650</v>
      </c>
      <c r="O134" s="16" t="s">
        <v>2497</v>
      </c>
      <c r="P134" s="16" t="s">
        <v>2485</v>
      </c>
      <c r="Q134" s="33" t="s">
        <v>2484</v>
      </c>
    </row>
    <row r="135" spans="1:17" ht="17.100000000000001" customHeight="1">
      <c r="A135" s="35">
        <v>45895</v>
      </c>
      <c r="B135" s="15" t="s">
        <v>214</v>
      </c>
      <c r="C135" s="16" t="s">
        <v>2470</v>
      </c>
      <c r="D135" s="16" t="s">
        <v>48</v>
      </c>
      <c r="E135" s="16" t="s">
        <v>48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700</v>
      </c>
      <c r="O135" s="16" t="s">
        <v>2499</v>
      </c>
      <c r="P135" s="16" t="s">
        <v>2487</v>
      </c>
      <c r="Q135" s="33" t="s">
        <v>2486</v>
      </c>
    </row>
    <row r="136" spans="1:17" ht="17.100000000000001" customHeight="1">
      <c r="A136" s="35">
        <v>45896</v>
      </c>
      <c r="B136" s="15" t="s">
        <v>843</v>
      </c>
      <c r="C136" s="16" t="s">
        <v>2502</v>
      </c>
      <c r="D136" s="16" t="s">
        <v>48</v>
      </c>
      <c r="E136" s="16" t="s">
        <v>48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350</v>
      </c>
      <c r="O136" s="16" t="s">
        <v>2497</v>
      </c>
      <c r="P136" s="16" t="s">
        <v>2485</v>
      </c>
      <c r="Q136" s="33" t="s">
        <v>2484</v>
      </c>
    </row>
    <row r="137" spans="1:17" ht="17.100000000000001" customHeight="1">
      <c r="A137" s="35">
        <v>45895</v>
      </c>
      <c r="B137" s="15" t="s">
        <v>217</v>
      </c>
      <c r="C137" s="16" t="s">
        <v>2470</v>
      </c>
      <c r="D137" s="16" t="s">
        <v>2503</v>
      </c>
      <c r="E137" s="16" t="s">
        <v>2504</v>
      </c>
      <c r="F137" s="16" t="s">
        <v>2490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v>900</v>
      </c>
      <c r="O137" s="16" t="s">
        <v>2491</v>
      </c>
      <c r="P137" s="15" t="s">
        <v>2505</v>
      </c>
      <c r="Q137" s="33"/>
    </row>
    <row r="138" spans="1:17" ht="17.100000000000001" customHeight="1">
      <c r="A138" s="35">
        <v>45897</v>
      </c>
      <c r="B138" s="15" t="s">
        <v>174</v>
      </c>
      <c r="C138" s="16" t="s">
        <v>2506</v>
      </c>
      <c r="D138" s="16" t="s">
        <v>2360</v>
      </c>
      <c r="E138" s="16" t="s">
        <v>2507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54</v>
      </c>
      <c r="O138" s="16" t="s">
        <v>2510</v>
      </c>
      <c r="P138" s="15" t="s">
        <v>2512</v>
      </c>
      <c r="Q138" s="33"/>
    </row>
    <row r="139" spans="1:17" ht="17.100000000000001" customHeight="1">
      <c r="A139" s="35">
        <v>45897</v>
      </c>
      <c r="B139" s="15" t="s">
        <v>174</v>
      </c>
      <c r="C139" s="16" t="s">
        <v>2506</v>
      </c>
      <c r="D139" s="16" t="s">
        <v>2360</v>
      </c>
      <c r="E139" s="16" t="s">
        <v>2508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27</v>
      </c>
      <c r="O139" s="16" t="s">
        <v>2510</v>
      </c>
      <c r="P139" s="15" t="s">
        <v>2512</v>
      </c>
      <c r="Q139" s="33"/>
    </row>
    <row r="140" spans="1:17" ht="17.100000000000001" customHeight="1">
      <c r="A140" s="35">
        <v>45897</v>
      </c>
      <c r="B140" s="15" t="s">
        <v>174</v>
      </c>
      <c r="C140" s="16" t="s">
        <v>2506</v>
      </c>
      <c r="D140" s="16" t="s">
        <v>2360</v>
      </c>
      <c r="E140" s="16" t="s">
        <v>2509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27</v>
      </c>
      <c r="O140" s="16" t="s">
        <v>2510</v>
      </c>
      <c r="P140" s="15" t="s">
        <v>2512</v>
      </c>
      <c r="Q140" s="32"/>
    </row>
    <row r="141" spans="1:17" ht="17.100000000000001" customHeight="1">
      <c r="A141" s="35">
        <v>45897</v>
      </c>
      <c r="B141" s="15" t="s">
        <v>174</v>
      </c>
      <c r="C141" s="16" t="s">
        <v>2506</v>
      </c>
      <c r="D141" s="16" t="s">
        <v>2513</v>
      </c>
      <c r="E141" s="16" t="s">
        <v>2514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27</v>
      </c>
      <c r="O141" s="16" t="s">
        <v>2511</v>
      </c>
      <c r="P141" s="15" t="s">
        <v>2512</v>
      </c>
      <c r="Q141" s="32"/>
    </row>
    <row r="142" spans="1:17" ht="17.100000000000001" customHeight="1">
      <c r="A142" s="35">
        <v>45897</v>
      </c>
      <c r="B142" s="15" t="s">
        <v>174</v>
      </c>
      <c r="C142" s="16" t="s">
        <v>2506</v>
      </c>
      <c r="D142" s="16" t="s">
        <v>2513</v>
      </c>
      <c r="E142" s="16" t="s">
        <v>2515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54</v>
      </c>
      <c r="O142" s="16" t="s">
        <v>2511</v>
      </c>
      <c r="P142" s="15" t="s">
        <v>2512</v>
      </c>
      <c r="Q142" s="33"/>
    </row>
    <row r="143" spans="1:17" ht="17.100000000000001" customHeight="1">
      <c r="A143" s="35">
        <v>45897</v>
      </c>
      <c r="B143" s="15" t="s">
        <v>174</v>
      </c>
      <c r="C143" s="16" t="s">
        <v>2506</v>
      </c>
      <c r="D143" s="16" t="s">
        <v>2513</v>
      </c>
      <c r="E143" s="16" t="s">
        <v>2516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54</v>
      </c>
      <c r="O143" s="16" t="s">
        <v>2511</v>
      </c>
      <c r="P143" s="15" t="s">
        <v>2512</v>
      </c>
      <c r="Q143" s="33"/>
    </row>
    <row r="144" spans="1:17" ht="17.100000000000001" customHeight="1">
      <c r="A144" s="35">
        <v>45897</v>
      </c>
      <c r="B144" s="15" t="s">
        <v>174</v>
      </c>
      <c r="C144" s="16" t="s">
        <v>2506</v>
      </c>
      <c r="D144" s="16" t="s">
        <v>2360</v>
      </c>
      <c r="E144" s="16" t="s">
        <v>2517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>
        <v>27</v>
      </c>
      <c r="O144" s="16" t="s">
        <v>2511</v>
      </c>
      <c r="P144" s="15" t="s">
        <v>2512</v>
      </c>
      <c r="Q144" s="33"/>
    </row>
    <row r="145" spans="1:17" ht="17.100000000000001" customHeight="1">
      <c r="A145" s="35">
        <v>45897</v>
      </c>
      <c r="B145" s="15" t="s">
        <v>174</v>
      </c>
      <c r="C145" s="16" t="s">
        <v>2506</v>
      </c>
      <c r="D145" s="16" t="s">
        <v>2360</v>
      </c>
      <c r="E145" s="16" t="s">
        <v>2518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16">
        <v>27</v>
      </c>
      <c r="O145" s="16" t="s">
        <v>2511</v>
      </c>
      <c r="P145" s="15" t="s">
        <v>2512</v>
      </c>
      <c r="Q145" s="33"/>
    </row>
    <row r="146" spans="1:17" ht="17.100000000000001" customHeight="1">
      <c r="A146" s="35">
        <v>45897</v>
      </c>
      <c r="B146" s="15" t="s">
        <v>174</v>
      </c>
      <c r="C146" s="16" t="s">
        <v>2506</v>
      </c>
      <c r="D146" s="16" t="s">
        <v>2360</v>
      </c>
      <c r="E146" s="16" t="s">
        <v>2519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54</v>
      </c>
      <c r="O146" s="16" t="s">
        <v>2511</v>
      </c>
      <c r="P146" s="15" t="s">
        <v>2512</v>
      </c>
      <c r="Q146" s="33"/>
    </row>
    <row r="147" spans="1:17" ht="17.100000000000001" customHeight="1">
      <c r="A147" s="35">
        <v>45897</v>
      </c>
      <c r="B147" s="15" t="s">
        <v>174</v>
      </c>
      <c r="C147" s="16" t="s">
        <v>2506</v>
      </c>
      <c r="D147" s="16" t="s">
        <v>2360</v>
      </c>
      <c r="E147" s="16" t="s">
        <v>2514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27</v>
      </c>
      <c r="O147" s="16" t="s">
        <v>2511</v>
      </c>
      <c r="P147" s="15" t="s">
        <v>2512</v>
      </c>
      <c r="Q147" s="33"/>
    </row>
    <row r="148" spans="1:17" ht="17.100000000000001" customHeight="1">
      <c r="A148" s="35">
        <v>45897</v>
      </c>
      <c r="B148" s="15" t="s">
        <v>174</v>
      </c>
      <c r="C148" s="16" t="s">
        <v>2506</v>
      </c>
      <c r="D148" s="16" t="s">
        <v>2360</v>
      </c>
      <c r="E148" s="16" t="s">
        <v>2520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54</v>
      </c>
      <c r="O148" s="16" t="s">
        <v>2511</v>
      </c>
      <c r="P148" s="15" t="s">
        <v>2512</v>
      </c>
      <c r="Q148" s="33"/>
    </row>
    <row r="149" spans="1:17" ht="17.100000000000001" customHeight="1">
      <c r="A149" s="35">
        <v>45897</v>
      </c>
      <c r="B149" s="15" t="s">
        <v>174</v>
      </c>
      <c r="C149" s="16" t="s">
        <v>2506</v>
      </c>
      <c r="D149" s="16" t="s">
        <v>2523</v>
      </c>
      <c r="E149" s="16" t="s">
        <v>2521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48</v>
      </c>
      <c r="N149" s="16">
        <v>54</v>
      </c>
      <c r="O149" s="16" t="s">
        <v>2511</v>
      </c>
      <c r="P149" s="15" t="s">
        <v>2512</v>
      </c>
      <c r="Q149" s="33"/>
    </row>
    <row r="150" spans="1:17" ht="17.100000000000001" customHeight="1">
      <c r="A150" s="35">
        <v>45897</v>
      </c>
      <c r="B150" s="15" t="s">
        <v>174</v>
      </c>
      <c r="C150" s="16" t="s">
        <v>2506</v>
      </c>
      <c r="D150" s="16" t="s">
        <v>2523</v>
      </c>
      <c r="E150" s="16" t="s">
        <v>2522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14</v>
      </c>
      <c r="O150" s="16" t="s">
        <v>2511</v>
      </c>
      <c r="P150" s="15" t="s">
        <v>2512</v>
      </c>
      <c r="Q150" s="33"/>
    </row>
    <row r="151" spans="1:17" ht="17.100000000000001" customHeight="1">
      <c r="A151" s="35">
        <v>45897</v>
      </c>
      <c r="B151" s="15" t="s">
        <v>440</v>
      </c>
      <c r="C151" s="16" t="s">
        <v>2506</v>
      </c>
      <c r="D151" s="16" t="s">
        <v>2525</v>
      </c>
      <c r="E151" s="16" t="s">
        <v>2471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f>568/2</f>
        <v>284</v>
      </c>
      <c r="O151" s="16" t="s">
        <v>2511</v>
      </c>
      <c r="P151" s="16"/>
      <c r="Q151" s="33"/>
    </row>
    <row r="152" spans="1:17" ht="17.100000000000001" customHeight="1">
      <c r="A152" s="35">
        <v>45897</v>
      </c>
      <c r="B152" s="15" t="s">
        <v>440</v>
      </c>
      <c r="C152" s="16" t="s">
        <v>2506</v>
      </c>
      <c r="D152" s="16" t="s">
        <v>2525</v>
      </c>
      <c r="E152" s="16" t="s">
        <v>2526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f>144/2</f>
        <v>72</v>
      </c>
      <c r="O152" s="16" t="s">
        <v>2511</v>
      </c>
      <c r="P152" s="16"/>
      <c r="Q152" s="33"/>
    </row>
    <row r="153" spans="1:17" ht="17.100000000000001" customHeight="1">
      <c r="A153" s="35">
        <v>45897</v>
      </c>
      <c r="B153" s="15" t="s">
        <v>440</v>
      </c>
      <c r="C153" s="16" t="s">
        <v>2506</v>
      </c>
      <c r="D153" s="16" t="s">
        <v>2525</v>
      </c>
      <c r="E153" s="16" t="s">
        <v>2524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f t="shared" ref="N153:N154" si="0">144/2</f>
        <v>72</v>
      </c>
      <c r="O153" s="16"/>
      <c r="P153" s="16"/>
      <c r="Q153" s="33"/>
    </row>
    <row r="154" spans="1:17" ht="17.100000000000001" customHeight="1">
      <c r="A154" s="35">
        <v>45897</v>
      </c>
      <c r="B154" s="15" t="s">
        <v>440</v>
      </c>
      <c r="C154" s="16" t="s">
        <v>2506</v>
      </c>
      <c r="D154" s="16" t="s">
        <v>2525</v>
      </c>
      <c r="E154" s="16" t="s">
        <v>2527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f t="shared" si="0"/>
        <v>72</v>
      </c>
      <c r="O154" s="16"/>
      <c r="P154" s="16"/>
      <c r="Q154" s="33"/>
    </row>
    <row r="155" spans="1:17" ht="17.100000000000001" customHeight="1">
      <c r="A155" s="35">
        <v>45898</v>
      </c>
      <c r="B155" s="15" t="s">
        <v>174</v>
      </c>
      <c r="C155" s="16" t="s">
        <v>2528</v>
      </c>
      <c r="D155" s="16" t="s">
        <v>2532</v>
      </c>
      <c r="E155" s="16" t="s">
        <v>2529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54</v>
      </c>
      <c r="O155" s="16" t="s">
        <v>2531</v>
      </c>
      <c r="P155" s="15" t="s">
        <v>2512</v>
      </c>
      <c r="Q155" s="33"/>
    </row>
    <row r="156" spans="1:17" ht="17.100000000000001" customHeight="1">
      <c r="A156" s="35">
        <v>45898</v>
      </c>
      <c r="B156" s="15" t="s">
        <v>174</v>
      </c>
      <c r="C156" s="16" t="s">
        <v>2528</v>
      </c>
      <c r="D156" s="16" t="s">
        <v>2532</v>
      </c>
      <c r="E156" s="16" t="s">
        <v>2530</v>
      </c>
      <c r="F156" s="16" t="s">
        <v>48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54</v>
      </c>
      <c r="O156" s="16" t="s">
        <v>2531</v>
      </c>
      <c r="P156" s="15" t="s">
        <v>2512</v>
      </c>
      <c r="Q156" s="33"/>
    </row>
    <row r="157" spans="1:17" ht="17.100000000000001" customHeight="1">
      <c r="A157" s="35">
        <v>45898</v>
      </c>
      <c r="B157" s="15" t="s">
        <v>174</v>
      </c>
      <c r="C157" s="16" t="s">
        <v>2528</v>
      </c>
      <c r="D157" s="16" t="s">
        <v>2540</v>
      </c>
      <c r="E157" s="16" t="s">
        <v>2534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27</v>
      </c>
      <c r="O157" s="16" t="s">
        <v>2531</v>
      </c>
      <c r="P157" s="15" t="s">
        <v>2512</v>
      </c>
      <c r="Q157" s="33"/>
    </row>
    <row r="158" spans="1:17" ht="17.100000000000001" customHeight="1">
      <c r="A158" s="35">
        <v>45898</v>
      </c>
      <c r="B158" s="15" t="s">
        <v>174</v>
      </c>
      <c r="C158" s="16" t="s">
        <v>2528</v>
      </c>
      <c r="D158" s="16" t="s">
        <v>2540</v>
      </c>
      <c r="E158" s="16" t="s">
        <v>2535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27</v>
      </c>
      <c r="O158" s="16" t="s">
        <v>2531</v>
      </c>
      <c r="P158" s="15" t="s">
        <v>2512</v>
      </c>
      <c r="Q158" s="33"/>
    </row>
    <row r="159" spans="1:17" ht="17.100000000000001" customHeight="1">
      <c r="A159" s="35">
        <v>45898</v>
      </c>
      <c r="B159" s="15" t="s">
        <v>174</v>
      </c>
      <c r="C159" s="16" t="s">
        <v>2528</v>
      </c>
      <c r="D159" s="16" t="s">
        <v>2540</v>
      </c>
      <c r="E159" s="16" t="s">
        <v>2536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27</v>
      </c>
      <c r="O159" s="16" t="s">
        <v>2531</v>
      </c>
      <c r="P159" s="15" t="s">
        <v>2512</v>
      </c>
      <c r="Q159" s="33"/>
    </row>
    <row r="160" spans="1:17" ht="17.100000000000001" customHeight="1">
      <c r="A160" s="35">
        <v>45898</v>
      </c>
      <c r="B160" s="15" t="s">
        <v>174</v>
      </c>
      <c r="C160" s="16" t="s">
        <v>2528</v>
      </c>
      <c r="D160" s="16" t="s">
        <v>2359</v>
      </c>
      <c r="E160" s="16" t="s">
        <v>2537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27</v>
      </c>
      <c r="O160" s="16" t="s">
        <v>2531</v>
      </c>
      <c r="P160" s="15" t="s">
        <v>2512</v>
      </c>
      <c r="Q160" s="33"/>
    </row>
    <row r="161" spans="1:17" ht="17.100000000000001" customHeight="1">
      <c r="A161" s="35">
        <v>45898</v>
      </c>
      <c r="B161" s="15" t="s">
        <v>174</v>
      </c>
      <c r="C161" s="16" t="s">
        <v>2528</v>
      </c>
      <c r="D161" s="16" t="s">
        <v>2359</v>
      </c>
      <c r="E161" s="16" t="s">
        <v>2509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27</v>
      </c>
      <c r="O161" s="16" t="s">
        <v>2531</v>
      </c>
      <c r="P161" s="15" t="s">
        <v>2512</v>
      </c>
      <c r="Q161" s="33"/>
    </row>
    <row r="162" spans="1:17" ht="17.100000000000001" customHeight="1">
      <c r="A162" s="35">
        <v>45898</v>
      </c>
      <c r="B162" s="15" t="s">
        <v>174</v>
      </c>
      <c r="C162" s="16" t="s">
        <v>2528</v>
      </c>
      <c r="D162" s="16" t="s">
        <v>2359</v>
      </c>
      <c r="E162" s="16" t="s">
        <v>2538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v>27</v>
      </c>
      <c r="O162" s="16" t="s">
        <v>2531</v>
      </c>
      <c r="P162" s="15" t="s">
        <v>2512</v>
      </c>
      <c r="Q162" s="33"/>
    </row>
    <row r="163" spans="1:17" ht="17.100000000000001" customHeight="1">
      <c r="A163" s="35">
        <v>45898</v>
      </c>
      <c r="B163" s="15" t="s">
        <v>174</v>
      </c>
      <c r="C163" s="16" t="s">
        <v>2528</v>
      </c>
      <c r="D163" s="16" t="s">
        <v>2533</v>
      </c>
      <c r="E163" s="16" t="s">
        <v>2539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54</v>
      </c>
      <c r="O163" s="16" t="s">
        <v>2531</v>
      </c>
      <c r="P163" s="15" t="s">
        <v>2512</v>
      </c>
      <c r="Q163" s="33"/>
    </row>
    <row r="164" spans="1:17" ht="17.100000000000001" customHeight="1">
      <c r="A164" s="35">
        <v>45898</v>
      </c>
      <c r="B164" s="15" t="s">
        <v>174</v>
      </c>
      <c r="C164" s="16" t="s">
        <v>2528</v>
      </c>
      <c r="D164" s="16" t="s">
        <v>2533</v>
      </c>
      <c r="E164" s="16" t="s">
        <v>2534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27</v>
      </c>
      <c r="O164" s="16" t="s">
        <v>2531</v>
      </c>
      <c r="P164" s="15" t="s">
        <v>2512</v>
      </c>
      <c r="Q164" s="33"/>
    </row>
    <row r="165" spans="1:17" ht="17.100000000000001" customHeight="1">
      <c r="A165" s="35">
        <v>45898</v>
      </c>
      <c r="B165" s="15" t="s">
        <v>174</v>
      </c>
      <c r="C165" s="16" t="s">
        <v>2528</v>
      </c>
      <c r="D165" s="16" t="s">
        <v>2360</v>
      </c>
      <c r="E165" s="16" t="s">
        <v>2541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54</v>
      </c>
      <c r="O165" s="16" t="s">
        <v>2531</v>
      </c>
      <c r="P165" s="15" t="s">
        <v>2512</v>
      </c>
      <c r="Q165" s="33"/>
    </row>
    <row r="166" spans="1:17" ht="17.100000000000001" customHeight="1">
      <c r="A166" s="35">
        <v>45898</v>
      </c>
      <c r="B166" s="15" t="s">
        <v>174</v>
      </c>
      <c r="C166" s="16" t="s">
        <v>2528</v>
      </c>
      <c r="D166" s="16" t="s">
        <v>2360</v>
      </c>
      <c r="E166" s="16" t="s">
        <v>2542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27</v>
      </c>
      <c r="O166" s="16" t="s">
        <v>2531</v>
      </c>
      <c r="P166" s="15" t="s">
        <v>2512</v>
      </c>
      <c r="Q166" s="33"/>
    </row>
    <row r="167" spans="1:17" ht="17.100000000000001" customHeight="1">
      <c r="A167" s="35">
        <v>45898</v>
      </c>
      <c r="B167" s="15" t="s">
        <v>174</v>
      </c>
      <c r="C167" s="16" t="s">
        <v>2528</v>
      </c>
      <c r="D167" s="16" t="s">
        <v>2360</v>
      </c>
      <c r="E167" s="16" t="s">
        <v>2543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54</v>
      </c>
      <c r="O167" s="16" t="s">
        <v>2531</v>
      </c>
      <c r="P167" s="15" t="s">
        <v>2512</v>
      </c>
      <c r="Q167" s="33"/>
    </row>
    <row r="168" spans="1:17" ht="17.100000000000001" customHeight="1">
      <c r="A168" s="35">
        <v>45898</v>
      </c>
      <c r="B168" s="15" t="s">
        <v>174</v>
      </c>
      <c r="C168" s="16" t="s">
        <v>2528</v>
      </c>
      <c r="D168" s="16" t="s">
        <v>2533</v>
      </c>
      <c r="E168" s="16" t="s">
        <v>2544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54</v>
      </c>
      <c r="O168" s="16" t="s">
        <v>2531</v>
      </c>
      <c r="P168" s="15" t="s">
        <v>2512</v>
      </c>
      <c r="Q168" s="33"/>
    </row>
    <row r="169" spans="1:17" ht="17.100000000000001" customHeight="1">
      <c r="A169" s="35">
        <v>45898</v>
      </c>
      <c r="B169" s="15" t="s">
        <v>174</v>
      </c>
      <c r="C169" s="16" t="s">
        <v>2528</v>
      </c>
      <c r="D169" s="16" t="s">
        <v>2533</v>
      </c>
      <c r="E169" s="16" t="s">
        <v>2545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54</v>
      </c>
      <c r="O169" s="16" t="s">
        <v>2531</v>
      </c>
      <c r="P169" s="15" t="s">
        <v>2512</v>
      </c>
      <c r="Q169" s="33"/>
    </row>
    <row r="170" spans="1:17" ht="17.100000000000001" customHeight="1">
      <c r="A170" s="35">
        <v>45898</v>
      </c>
      <c r="B170" s="15" t="s">
        <v>174</v>
      </c>
      <c r="C170" s="16" t="s">
        <v>2528</v>
      </c>
      <c r="D170" s="16" t="s">
        <v>2532</v>
      </c>
      <c r="E170" s="16" t="s">
        <v>2546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54</v>
      </c>
      <c r="O170" s="16" t="s">
        <v>2531</v>
      </c>
      <c r="P170" s="15" t="s">
        <v>2512</v>
      </c>
      <c r="Q170" s="33"/>
    </row>
    <row r="171" spans="1:17" ht="17.100000000000001" customHeight="1">
      <c r="A171" s="35">
        <v>45898</v>
      </c>
      <c r="B171" s="15" t="s">
        <v>174</v>
      </c>
      <c r="C171" s="16" t="s">
        <v>2528</v>
      </c>
      <c r="D171" s="16" t="s">
        <v>2532</v>
      </c>
      <c r="E171" s="16" t="s">
        <v>2547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27</v>
      </c>
      <c r="O171" s="16" t="s">
        <v>2531</v>
      </c>
      <c r="P171" s="15" t="s">
        <v>2512</v>
      </c>
      <c r="Q171" s="33"/>
    </row>
    <row r="172" spans="1:17" ht="17.100000000000001" customHeight="1">
      <c r="A172" s="35">
        <v>45898</v>
      </c>
      <c r="B172" s="15" t="s">
        <v>174</v>
      </c>
      <c r="C172" s="16" t="s">
        <v>2528</v>
      </c>
      <c r="D172" s="16" t="s">
        <v>2532</v>
      </c>
      <c r="E172" s="16" t="s">
        <v>2538</v>
      </c>
      <c r="F172" s="16" t="s">
        <v>48</v>
      </c>
      <c r="G172" s="16" t="s">
        <v>48</v>
      </c>
      <c r="H172" s="16" t="s">
        <v>48</v>
      </c>
      <c r="I172" s="16" t="s">
        <v>48</v>
      </c>
      <c r="J172" s="16" t="s">
        <v>48</v>
      </c>
      <c r="K172" s="16" t="s">
        <v>48</v>
      </c>
      <c r="L172" s="16" t="s">
        <v>48</v>
      </c>
      <c r="M172" s="16" t="s">
        <v>48</v>
      </c>
      <c r="N172" s="16">
        <v>27</v>
      </c>
      <c r="O172" s="16" t="s">
        <v>2531</v>
      </c>
      <c r="P172" s="15" t="s">
        <v>2512</v>
      </c>
      <c r="Q172" s="33"/>
    </row>
    <row r="173" spans="1:17" ht="17.100000000000001" customHeight="1">
      <c r="A173" s="35">
        <v>45898</v>
      </c>
      <c r="B173" s="15" t="s">
        <v>174</v>
      </c>
      <c r="C173" s="16" t="s">
        <v>2528</v>
      </c>
      <c r="D173" s="16" t="s">
        <v>2359</v>
      </c>
      <c r="E173" s="16" t="s">
        <v>2548</v>
      </c>
      <c r="F173" s="16" t="s">
        <v>48</v>
      </c>
      <c r="G173" s="16" t="s">
        <v>48</v>
      </c>
      <c r="H173" s="16" t="s">
        <v>48</v>
      </c>
      <c r="I173" s="16" t="s">
        <v>48</v>
      </c>
      <c r="J173" s="16" t="s">
        <v>48</v>
      </c>
      <c r="K173" s="16" t="s">
        <v>48</v>
      </c>
      <c r="L173" s="16" t="s">
        <v>48</v>
      </c>
      <c r="M173" s="16" t="s">
        <v>48</v>
      </c>
      <c r="N173" s="16">
        <v>27</v>
      </c>
      <c r="O173" s="16" t="s">
        <v>2531</v>
      </c>
      <c r="P173" s="15" t="s">
        <v>2512</v>
      </c>
      <c r="Q173" s="31"/>
    </row>
    <row r="174" spans="1:17" ht="17.100000000000001" customHeight="1">
      <c r="A174" s="35">
        <v>45898</v>
      </c>
      <c r="B174" s="15" t="s">
        <v>174</v>
      </c>
      <c r="C174" s="16" t="s">
        <v>2528</v>
      </c>
      <c r="D174" s="16" t="s">
        <v>2359</v>
      </c>
      <c r="E174" s="16" t="s">
        <v>2549</v>
      </c>
      <c r="F174" s="16" t="s">
        <v>48</v>
      </c>
      <c r="G174" s="16" t="s">
        <v>48</v>
      </c>
      <c r="H174" s="16" t="s">
        <v>48</v>
      </c>
      <c r="I174" s="16" t="s">
        <v>48</v>
      </c>
      <c r="J174" s="16" t="s">
        <v>48</v>
      </c>
      <c r="K174" s="16" t="s">
        <v>48</v>
      </c>
      <c r="L174" s="16" t="s">
        <v>48</v>
      </c>
      <c r="M174" s="16" t="s">
        <v>48</v>
      </c>
      <c r="N174" s="16">
        <v>54</v>
      </c>
      <c r="O174" s="16" t="s">
        <v>2531</v>
      </c>
      <c r="P174" s="15" t="s">
        <v>2512</v>
      </c>
      <c r="Q174" s="31"/>
    </row>
    <row r="175" spans="1:17" ht="17.100000000000001" customHeight="1">
      <c r="A175" s="35">
        <v>45898</v>
      </c>
      <c r="B175" s="15" t="s">
        <v>174</v>
      </c>
      <c r="C175" s="16" t="s">
        <v>2528</v>
      </c>
      <c r="D175" s="16" t="s">
        <v>2359</v>
      </c>
      <c r="E175" s="16" t="s">
        <v>2550</v>
      </c>
      <c r="F175" s="16" t="s">
        <v>48</v>
      </c>
      <c r="G175" s="16" t="s">
        <v>48</v>
      </c>
      <c r="H175" s="16" t="s">
        <v>48</v>
      </c>
      <c r="I175" s="16" t="s">
        <v>48</v>
      </c>
      <c r="J175" s="16" t="s">
        <v>48</v>
      </c>
      <c r="K175" s="16" t="s">
        <v>48</v>
      </c>
      <c r="L175" s="16" t="s">
        <v>48</v>
      </c>
      <c r="M175" s="16" t="s">
        <v>48</v>
      </c>
      <c r="N175" s="16">
        <v>54</v>
      </c>
      <c r="O175" s="16" t="s">
        <v>2531</v>
      </c>
      <c r="P175" s="15" t="s">
        <v>2512</v>
      </c>
      <c r="Q175" s="31"/>
    </row>
    <row r="176" spans="1:17" ht="17.100000000000001" customHeight="1">
      <c r="A176" s="35">
        <v>45898</v>
      </c>
      <c r="B176" s="15" t="s">
        <v>174</v>
      </c>
      <c r="C176" s="16" t="s">
        <v>2528</v>
      </c>
      <c r="D176" s="16" t="s">
        <v>2533</v>
      </c>
      <c r="E176" s="16" t="s">
        <v>2551</v>
      </c>
      <c r="F176" s="16" t="s">
        <v>48</v>
      </c>
      <c r="G176" s="16" t="s">
        <v>48</v>
      </c>
      <c r="H176" s="16" t="s">
        <v>48</v>
      </c>
      <c r="I176" s="16" t="s">
        <v>48</v>
      </c>
      <c r="J176" s="16" t="s">
        <v>48</v>
      </c>
      <c r="K176" s="16" t="s">
        <v>48</v>
      </c>
      <c r="L176" s="16" t="s">
        <v>48</v>
      </c>
      <c r="M176" s="16" t="s">
        <v>48</v>
      </c>
      <c r="N176" s="16">
        <v>54</v>
      </c>
      <c r="O176" s="16" t="s">
        <v>2531</v>
      </c>
      <c r="P176" s="15" t="s">
        <v>2512</v>
      </c>
      <c r="Q176" s="31"/>
    </row>
    <row r="177" spans="1:17" ht="17.100000000000001" customHeight="1">
      <c r="A177" s="35">
        <v>45898</v>
      </c>
      <c r="B177" s="15" t="s">
        <v>174</v>
      </c>
      <c r="C177" s="16" t="s">
        <v>2528</v>
      </c>
      <c r="D177" s="16" t="s">
        <v>2533</v>
      </c>
      <c r="E177" s="16" t="s">
        <v>2552</v>
      </c>
      <c r="F177" s="16" t="s">
        <v>48</v>
      </c>
      <c r="G177" s="16" t="s">
        <v>48</v>
      </c>
      <c r="H177" s="16" t="s">
        <v>48</v>
      </c>
      <c r="I177" s="16" t="s">
        <v>48</v>
      </c>
      <c r="J177" s="16" t="s">
        <v>48</v>
      </c>
      <c r="K177" s="16" t="s">
        <v>48</v>
      </c>
      <c r="L177" s="16" t="s">
        <v>48</v>
      </c>
      <c r="M177" s="16" t="s">
        <v>48</v>
      </c>
      <c r="N177" s="16">
        <v>27</v>
      </c>
      <c r="O177" s="16" t="s">
        <v>2531</v>
      </c>
      <c r="P177" s="15" t="s">
        <v>2512</v>
      </c>
      <c r="Q177" s="31"/>
    </row>
    <row r="178" spans="1:17" ht="17.100000000000001" customHeight="1">
      <c r="A178" s="35">
        <v>45898</v>
      </c>
      <c r="B178" s="15" t="s">
        <v>174</v>
      </c>
      <c r="C178" s="16" t="s">
        <v>2528</v>
      </c>
      <c r="D178" s="16" t="s">
        <v>2360</v>
      </c>
      <c r="E178" s="16" t="s">
        <v>2553</v>
      </c>
      <c r="F178" s="16" t="s">
        <v>48</v>
      </c>
      <c r="G178" s="16" t="s">
        <v>48</v>
      </c>
      <c r="H178" s="16" t="s">
        <v>48</v>
      </c>
      <c r="I178" s="16" t="s">
        <v>48</v>
      </c>
      <c r="J178" s="16" t="s">
        <v>48</v>
      </c>
      <c r="K178" s="16" t="s">
        <v>48</v>
      </c>
      <c r="L178" s="16" t="s">
        <v>48</v>
      </c>
      <c r="M178" s="16" t="s">
        <v>48</v>
      </c>
      <c r="N178" s="16">
        <v>54</v>
      </c>
      <c r="O178" s="16" t="s">
        <v>2531</v>
      </c>
      <c r="P178" s="15" t="s">
        <v>2512</v>
      </c>
      <c r="Q178" s="31"/>
    </row>
    <row r="179" spans="1:17" ht="17.100000000000001" customHeight="1">
      <c r="A179" s="35">
        <v>45898</v>
      </c>
      <c r="B179" s="15" t="s">
        <v>174</v>
      </c>
      <c r="C179" s="16" t="s">
        <v>2528</v>
      </c>
      <c r="D179" s="16" t="s">
        <v>2360</v>
      </c>
      <c r="E179" s="16" t="s">
        <v>2554</v>
      </c>
      <c r="F179" s="16" t="s">
        <v>48</v>
      </c>
      <c r="G179" s="16" t="s">
        <v>48</v>
      </c>
      <c r="H179" s="16" t="s">
        <v>48</v>
      </c>
      <c r="I179" s="16" t="s">
        <v>48</v>
      </c>
      <c r="J179" s="16" t="s">
        <v>48</v>
      </c>
      <c r="K179" s="16" t="s">
        <v>48</v>
      </c>
      <c r="L179" s="16" t="s">
        <v>48</v>
      </c>
      <c r="M179" s="16" t="s">
        <v>48</v>
      </c>
      <c r="N179" s="16">
        <v>28</v>
      </c>
      <c r="O179" s="16" t="s">
        <v>2531</v>
      </c>
      <c r="P179" s="15" t="s">
        <v>2512</v>
      </c>
      <c r="Q179" s="31"/>
    </row>
    <row r="180" spans="1:17" ht="17.100000000000001" customHeight="1">
      <c r="A180" s="22"/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31"/>
    </row>
    <row r="181" spans="1:17" ht="17.100000000000001" customHeight="1">
      <c r="A181" s="17"/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31"/>
    </row>
    <row r="182" spans="1:17" ht="17.100000000000001" customHeight="1">
      <c r="A182" s="17"/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31"/>
    </row>
    <row r="183" spans="1:17" ht="17.100000000000001" customHeight="1">
      <c r="A183" s="17"/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31"/>
    </row>
    <row r="184" spans="1:17" ht="17.100000000000001" customHeight="1">
      <c r="A184" s="17"/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31"/>
    </row>
    <row r="185" spans="1:17" ht="17.100000000000001" customHeight="1">
      <c r="A185" s="17"/>
      <c r="B185" s="15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31"/>
    </row>
    <row r="186" spans="1:17" ht="17.100000000000001" customHeight="1">
      <c r="A186" s="17"/>
      <c r="B186" s="15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31"/>
    </row>
    <row r="187" spans="1:17" ht="17.100000000000001" customHeight="1">
      <c r="A187" s="17"/>
      <c r="B187" s="15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31"/>
    </row>
    <row r="188" spans="1:17" ht="17.100000000000001" customHeight="1">
      <c r="A188" s="17"/>
      <c r="B188" s="15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31"/>
    </row>
    <row r="189" spans="1:17" ht="17.100000000000001" customHeight="1">
      <c r="A189" s="17"/>
      <c r="B189" s="15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31"/>
    </row>
    <row r="190" spans="1:17" ht="17.100000000000001" customHeight="1">
      <c r="A190" s="17"/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31"/>
    </row>
    <row r="191" spans="1:17" ht="17.100000000000001" customHeight="1">
      <c r="A191" s="17"/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31"/>
    </row>
    <row r="192" spans="1:17" ht="17.100000000000001" customHeight="1">
      <c r="A192" s="17"/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31"/>
    </row>
    <row r="193" spans="1:17" ht="17.100000000000001" customHeight="1">
      <c r="A193" s="17"/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31"/>
    </row>
    <row r="194" spans="1:17" ht="17.100000000000001" customHeight="1">
      <c r="A194" s="17"/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31"/>
    </row>
    <row r="195" spans="1:17" ht="17.100000000000001" customHeight="1">
      <c r="A195" s="17"/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31"/>
    </row>
    <row r="196" spans="1:17" ht="17.100000000000001" customHeight="1">
      <c r="A196" s="17"/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31"/>
    </row>
    <row r="197" spans="1:17" ht="17.100000000000001" customHeight="1">
      <c r="A197" s="17"/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31"/>
    </row>
    <row r="198" spans="1:17" ht="17.100000000000001" customHeight="1">
      <c r="A198" s="17"/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31"/>
    </row>
    <row r="199" spans="1:17" ht="17.100000000000001" customHeight="1">
      <c r="A199" s="17"/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31"/>
    </row>
    <row r="200" spans="1:17" ht="17.100000000000001" customHeight="1">
      <c r="A200" s="17"/>
      <c r="B200" s="15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31"/>
    </row>
    <row r="201" spans="1:17" ht="17.100000000000001" customHeight="1">
      <c r="A201" s="17"/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31"/>
    </row>
    <row r="202" spans="1:17" ht="17.100000000000001" customHeight="1">
      <c r="A202" s="17"/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31"/>
    </row>
    <row r="203" spans="1:17" ht="17.100000000000001" customHeight="1">
      <c r="A203" s="17"/>
      <c r="B203" s="15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31"/>
    </row>
    <row r="204" spans="1:17" ht="17.100000000000001" customHeight="1">
      <c r="A204" s="17"/>
      <c r="B204" s="15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31"/>
    </row>
    <row r="205" spans="1:17" ht="17.100000000000001" customHeight="1">
      <c r="A205" s="17"/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31"/>
    </row>
    <row r="206" spans="1:17" ht="17.100000000000001" customHeight="1">
      <c r="A206" s="17"/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31"/>
    </row>
    <row r="207" spans="1:17" ht="17.100000000000001" customHeight="1">
      <c r="A207" s="17"/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31"/>
    </row>
    <row r="208" spans="1:17" ht="17.100000000000001" customHeight="1">
      <c r="A208" s="17"/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31"/>
    </row>
    <row r="209" spans="1:17" ht="17.100000000000001" customHeight="1">
      <c r="A209" s="17"/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31"/>
    </row>
    <row r="210" spans="1:17" ht="17.100000000000001" customHeight="1">
      <c r="A210" s="17"/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31"/>
    </row>
    <row r="211" spans="1:17" ht="17.100000000000001" customHeight="1">
      <c r="A211" s="17"/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31"/>
    </row>
    <row r="212" spans="1:17" ht="17.100000000000001" customHeight="1">
      <c r="A212" s="17"/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31"/>
    </row>
    <row r="213" spans="1:17" ht="17.100000000000001" customHeight="1">
      <c r="A213" s="17"/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31"/>
    </row>
    <row r="214" spans="1:17" ht="17.100000000000001" customHeight="1">
      <c r="A214" s="17"/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31"/>
    </row>
    <row r="215" spans="1:17" ht="17.100000000000001" customHeight="1">
      <c r="A215" s="17"/>
      <c r="B215" s="15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31"/>
    </row>
    <row r="216" spans="1:17" ht="17.100000000000001" customHeight="1">
      <c r="A216" s="17"/>
      <c r="B216" s="15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31"/>
    </row>
    <row r="217" spans="1:17" ht="17.100000000000001" customHeight="1">
      <c r="A217" s="17"/>
      <c r="B217" s="15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31"/>
    </row>
    <row r="218" spans="1:17" ht="17.100000000000001" customHeight="1">
      <c r="A218" s="17"/>
      <c r="B218" s="15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31"/>
    </row>
    <row r="219" spans="1:17" ht="17.100000000000001" customHeight="1">
      <c r="A219" s="17"/>
      <c r="B219" s="15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31"/>
    </row>
    <row r="220" spans="1:17" ht="17.100000000000001" customHeight="1">
      <c r="A220" s="35"/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32"/>
    </row>
    <row r="221" spans="1:17" ht="17.100000000000001" customHeight="1">
      <c r="A221" s="35"/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32"/>
    </row>
    <row r="222" spans="1:17" ht="17.100000000000001" customHeight="1">
      <c r="A222" s="35"/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32"/>
    </row>
    <row r="223" spans="1:17" ht="17.100000000000001" customHeight="1">
      <c r="A223" s="17"/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32"/>
    </row>
    <row r="224" spans="1:17" ht="17.100000000000001" customHeight="1">
      <c r="A224" s="17"/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32"/>
    </row>
    <row r="225" spans="1:17" ht="17.100000000000001" customHeight="1">
      <c r="A225" s="17"/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32"/>
    </row>
    <row r="226" spans="1:17" ht="15" thickBot="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16"/>
      <c r="Q226" s="32"/>
    </row>
    <row r="227" spans="1:17">
      <c r="A227" s="25" t="s">
        <v>352</v>
      </c>
      <c r="B227" s="13"/>
      <c r="C227" s="13"/>
      <c r="D227" s="12"/>
      <c r="E227" s="13"/>
      <c r="H227" s="13"/>
      <c r="I227" s="13"/>
      <c r="J227" s="12"/>
      <c r="K227" s="13"/>
      <c r="L227" s="12" t="s">
        <v>18</v>
      </c>
      <c r="M227" s="12"/>
      <c r="N227" s="14"/>
    </row>
    <row r="228" spans="1:17">
      <c r="M228" s="2" t="s">
        <v>19</v>
      </c>
    </row>
    <row r="229" spans="1:17">
      <c r="M229" s="2" t="s">
        <v>20</v>
      </c>
    </row>
    <row r="230" spans="1:17">
      <c r="M230" s="2" t="s">
        <v>21</v>
      </c>
    </row>
    <row r="231" spans="1:17">
      <c r="M231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XFD260"/>
  <sheetViews>
    <sheetView view="pageBreakPreview" topLeftCell="A148" zoomScaleNormal="100" zoomScaleSheetLayoutView="100" workbookViewId="0">
      <selection activeCell="E173" sqref="E173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27.5703125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/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22">
        <v>45901</v>
      </c>
      <c r="B9" s="15" t="s">
        <v>174</v>
      </c>
      <c r="C9" s="16" t="s">
        <v>2555</v>
      </c>
      <c r="D9" s="16" t="s">
        <v>2557</v>
      </c>
      <c r="E9" s="16" t="s">
        <v>2448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41</v>
      </c>
      <c r="O9" s="16" t="s">
        <v>2559</v>
      </c>
      <c r="P9" s="15" t="s">
        <v>2563</v>
      </c>
      <c r="Q9" s="33" t="s">
        <v>2562</v>
      </c>
    </row>
    <row r="10" spans="1:17" ht="17.100000000000001" customHeight="1">
      <c r="A10" s="22">
        <v>45901</v>
      </c>
      <c r="B10" s="15" t="s">
        <v>174</v>
      </c>
      <c r="C10" s="16" t="s">
        <v>2555</v>
      </c>
      <c r="D10" s="16" t="s">
        <v>2557</v>
      </c>
      <c r="E10" s="16" t="s">
        <v>2556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27</v>
      </c>
      <c r="O10" s="16" t="s">
        <v>2559</v>
      </c>
      <c r="P10" s="15" t="s">
        <v>2563</v>
      </c>
      <c r="Q10" s="33" t="s">
        <v>2562</v>
      </c>
    </row>
    <row r="11" spans="1:17" ht="17.100000000000001" customHeight="1">
      <c r="A11" s="22">
        <v>45901</v>
      </c>
      <c r="B11" s="15" t="s">
        <v>174</v>
      </c>
      <c r="C11" s="16" t="s">
        <v>2555</v>
      </c>
      <c r="D11" s="16" t="s">
        <v>2557</v>
      </c>
      <c r="E11" s="16" t="s">
        <v>2449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27</v>
      </c>
      <c r="O11" s="16" t="s">
        <v>2559</v>
      </c>
      <c r="P11" s="15" t="s">
        <v>2563</v>
      </c>
      <c r="Q11" s="33" t="s">
        <v>2562</v>
      </c>
    </row>
    <row r="12" spans="1:17" ht="17.100000000000001" customHeight="1">
      <c r="A12" s="22">
        <v>45901</v>
      </c>
      <c r="B12" s="15" t="s">
        <v>174</v>
      </c>
      <c r="C12" s="16" t="s">
        <v>2555</v>
      </c>
      <c r="D12" s="16" t="s">
        <v>2557</v>
      </c>
      <c r="E12" s="16" t="s">
        <v>2558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15</v>
      </c>
      <c r="O12" s="16" t="s">
        <v>2559</v>
      </c>
      <c r="P12" s="15" t="s">
        <v>2563</v>
      </c>
      <c r="Q12" s="33" t="s">
        <v>2562</v>
      </c>
    </row>
    <row r="13" spans="1:17" ht="17.100000000000001" customHeight="1">
      <c r="A13" s="22">
        <v>45901</v>
      </c>
      <c r="B13" s="15" t="s">
        <v>174</v>
      </c>
      <c r="C13" s="16" t="s">
        <v>2555</v>
      </c>
      <c r="D13" s="16" t="s">
        <v>2557</v>
      </c>
      <c r="E13" s="16" t="s">
        <v>2560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27</v>
      </c>
      <c r="O13" s="16" t="s">
        <v>2559</v>
      </c>
      <c r="P13" s="15" t="s">
        <v>2563</v>
      </c>
      <c r="Q13" s="33" t="s">
        <v>2562</v>
      </c>
    </row>
    <row r="14" spans="1:17" ht="17.100000000000001" customHeight="1">
      <c r="A14" s="22">
        <v>45901</v>
      </c>
      <c r="B14" s="15" t="s">
        <v>174</v>
      </c>
      <c r="C14" s="16" t="s">
        <v>2555</v>
      </c>
      <c r="D14" s="16" t="s">
        <v>2557</v>
      </c>
      <c r="E14" s="16" t="s">
        <v>2561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27</v>
      </c>
      <c r="O14" s="16" t="s">
        <v>2559</v>
      </c>
      <c r="P14" s="15" t="s">
        <v>2563</v>
      </c>
      <c r="Q14" s="33" t="s">
        <v>2562</v>
      </c>
    </row>
    <row r="15" spans="1:17" ht="17.100000000000001" customHeight="1">
      <c r="A15" s="22">
        <v>45901</v>
      </c>
      <c r="B15" s="15" t="s">
        <v>174</v>
      </c>
      <c r="C15" s="16" t="s">
        <v>2555</v>
      </c>
      <c r="D15" s="16" t="s">
        <v>2557</v>
      </c>
      <c r="E15" s="16" t="s">
        <v>2556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27</v>
      </c>
      <c r="O15" s="16" t="s">
        <v>2559</v>
      </c>
      <c r="P15" s="15" t="s">
        <v>2563</v>
      </c>
      <c r="Q15" s="33" t="s">
        <v>2562</v>
      </c>
    </row>
    <row r="16" spans="1:17" ht="17.100000000000001" customHeight="1">
      <c r="A16" s="22">
        <v>45901</v>
      </c>
      <c r="B16" s="15" t="s">
        <v>174</v>
      </c>
      <c r="C16" s="16" t="s">
        <v>2555</v>
      </c>
      <c r="D16" s="16" t="s">
        <v>2557</v>
      </c>
      <c r="E16" s="16" t="s">
        <v>2515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54</v>
      </c>
      <c r="O16" s="16" t="s">
        <v>2559</v>
      </c>
      <c r="P16" s="15" t="s">
        <v>2563</v>
      </c>
      <c r="Q16" s="33" t="s">
        <v>2562</v>
      </c>
    </row>
    <row r="17" spans="1:17" ht="17.100000000000001" customHeight="1">
      <c r="A17" s="22">
        <v>45901</v>
      </c>
      <c r="B17" s="15" t="s">
        <v>174</v>
      </c>
      <c r="C17" s="16" t="s">
        <v>2555</v>
      </c>
      <c r="D17" s="16" t="s">
        <v>2557</v>
      </c>
      <c r="E17" s="16" t="s">
        <v>2564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54</v>
      </c>
      <c r="O17" s="16" t="s">
        <v>2559</v>
      </c>
      <c r="P17" s="15" t="s">
        <v>2563</v>
      </c>
      <c r="Q17" s="33" t="s">
        <v>2562</v>
      </c>
    </row>
    <row r="18" spans="1:17" ht="17.100000000000001" customHeight="1">
      <c r="A18" s="22">
        <v>45901</v>
      </c>
      <c r="B18" s="15" t="s">
        <v>174</v>
      </c>
      <c r="C18" s="16" t="s">
        <v>2555</v>
      </c>
      <c r="D18" s="16" t="s">
        <v>2557</v>
      </c>
      <c r="E18" s="16" t="s">
        <v>2565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54</v>
      </c>
      <c r="O18" s="16" t="s">
        <v>2559</v>
      </c>
      <c r="P18" s="15" t="s">
        <v>2563</v>
      </c>
      <c r="Q18" s="33" t="s">
        <v>2562</v>
      </c>
    </row>
    <row r="19" spans="1:17" ht="17.100000000000001" customHeight="1">
      <c r="A19" s="22">
        <v>45901</v>
      </c>
      <c r="B19" s="15" t="s">
        <v>174</v>
      </c>
      <c r="C19" s="16" t="s">
        <v>2555</v>
      </c>
      <c r="D19" s="16" t="s">
        <v>2557</v>
      </c>
      <c r="E19" s="16" t="s">
        <v>2547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27</v>
      </c>
      <c r="O19" s="16" t="s">
        <v>2559</v>
      </c>
      <c r="P19" s="15" t="s">
        <v>2563</v>
      </c>
      <c r="Q19" s="33" t="s">
        <v>2562</v>
      </c>
    </row>
    <row r="20" spans="1:17" ht="17.100000000000001" customHeight="1">
      <c r="A20" s="22">
        <v>45901</v>
      </c>
      <c r="B20" s="15" t="s">
        <v>174</v>
      </c>
      <c r="C20" s="16" t="s">
        <v>2555</v>
      </c>
      <c r="D20" s="16" t="s">
        <v>2557</v>
      </c>
      <c r="E20" s="16" t="s">
        <v>2566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27</v>
      </c>
      <c r="O20" s="16" t="s">
        <v>2559</v>
      </c>
      <c r="P20" s="15" t="s">
        <v>2563</v>
      </c>
      <c r="Q20" s="33" t="s">
        <v>2562</v>
      </c>
    </row>
    <row r="21" spans="1:17" ht="17.100000000000001" customHeight="1">
      <c r="A21" s="22">
        <v>45901</v>
      </c>
      <c r="B21" s="15" t="s">
        <v>174</v>
      </c>
      <c r="C21" s="16" t="s">
        <v>2555</v>
      </c>
      <c r="D21" s="16" t="s">
        <v>2557</v>
      </c>
      <c r="E21" s="16" t="s">
        <v>2548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27</v>
      </c>
      <c r="O21" s="16" t="s">
        <v>2559</v>
      </c>
      <c r="P21" s="15" t="s">
        <v>2563</v>
      </c>
      <c r="Q21" s="33" t="s">
        <v>2562</v>
      </c>
    </row>
    <row r="22" spans="1:17" ht="17.100000000000001" customHeight="1">
      <c r="A22" s="22">
        <v>45901</v>
      </c>
      <c r="B22" s="15" t="s">
        <v>174</v>
      </c>
      <c r="C22" s="16" t="s">
        <v>2555</v>
      </c>
      <c r="D22" s="16" t="s">
        <v>2557</v>
      </c>
      <c r="E22" s="16" t="s">
        <v>2553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27</v>
      </c>
      <c r="O22" s="16" t="s">
        <v>2559</v>
      </c>
      <c r="P22" s="15" t="s">
        <v>2563</v>
      </c>
      <c r="Q22" s="33" t="s">
        <v>2562</v>
      </c>
    </row>
    <row r="23" spans="1:17" ht="17.100000000000001" customHeight="1">
      <c r="A23" s="22">
        <v>45901</v>
      </c>
      <c r="B23" s="15" t="s">
        <v>174</v>
      </c>
      <c r="C23" s="16" t="s">
        <v>2555</v>
      </c>
      <c r="D23" s="16" t="s">
        <v>2557</v>
      </c>
      <c r="E23" s="16" t="s">
        <v>2567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27</v>
      </c>
      <c r="O23" s="16" t="s">
        <v>2559</v>
      </c>
      <c r="P23" s="15" t="s">
        <v>2563</v>
      </c>
      <c r="Q23" s="33" t="s">
        <v>2562</v>
      </c>
    </row>
    <row r="24" spans="1:17" ht="17.100000000000001" customHeight="1">
      <c r="A24" s="22">
        <v>45901</v>
      </c>
      <c r="B24" s="15" t="s">
        <v>174</v>
      </c>
      <c r="C24" s="16" t="s">
        <v>2555</v>
      </c>
      <c r="D24" s="16" t="s">
        <v>2557</v>
      </c>
      <c r="E24" s="16" t="s">
        <v>2554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27</v>
      </c>
      <c r="O24" s="16" t="s">
        <v>2559</v>
      </c>
      <c r="P24" s="15" t="s">
        <v>2563</v>
      </c>
      <c r="Q24" s="33" t="s">
        <v>2562</v>
      </c>
    </row>
    <row r="25" spans="1:17" ht="17.100000000000001" customHeight="1">
      <c r="A25" s="22">
        <v>45901</v>
      </c>
      <c r="B25" s="15" t="s">
        <v>174</v>
      </c>
      <c r="C25" s="16" t="s">
        <v>2555</v>
      </c>
      <c r="D25" s="16" t="s">
        <v>2557</v>
      </c>
      <c r="E25" s="16" t="s">
        <v>2568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54</v>
      </c>
      <c r="O25" s="16" t="s">
        <v>2559</v>
      </c>
      <c r="P25" s="15" t="s">
        <v>2563</v>
      </c>
      <c r="Q25" s="33" t="s">
        <v>2562</v>
      </c>
    </row>
    <row r="26" spans="1:17" ht="17.100000000000001" customHeight="1">
      <c r="A26" s="22">
        <v>45901</v>
      </c>
      <c r="B26" s="15" t="s">
        <v>174</v>
      </c>
      <c r="C26" s="16" t="s">
        <v>2555</v>
      </c>
      <c r="D26" s="16" t="s">
        <v>2532</v>
      </c>
      <c r="E26" s="16" t="s">
        <v>2569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54</v>
      </c>
      <c r="O26" s="16" t="s">
        <v>2559</v>
      </c>
      <c r="P26" s="15" t="s">
        <v>2563</v>
      </c>
      <c r="Q26" s="33" t="s">
        <v>2562</v>
      </c>
    </row>
    <row r="27" spans="1:17" ht="17.100000000000001" customHeight="1">
      <c r="A27" s="22">
        <v>45901</v>
      </c>
      <c r="B27" s="15" t="s">
        <v>174</v>
      </c>
      <c r="C27" s="16" t="s">
        <v>2555</v>
      </c>
      <c r="D27" s="16" t="s">
        <v>2532</v>
      </c>
      <c r="E27" s="16" t="s">
        <v>2570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54</v>
      </c>
      <c r="O27" s="16" t="s">
        <v>2559</v>
      </c>
      <c r="P27" s="15" t="s">
        <v>2563</v>
      </c>
      <c r="Q27" s="33" t="s">
        <v>2562</v>
      </c>
    </row>
    <row r="28" spans="1:17" ht="17.100000000000001" customHeight="1">
      <c r="A28" s="22">
        <v>45901</v>
      </c>
      <c r="B28" s="15" t="s">
        <v>174</v>
      </c>
      <c r="C28" s="16" t="s">
        <v>2555</v>
      </c>
      <c r="D28" s="16" t="s">
        <v>2532</v>
      </c>
      <c r="E28" s="16" t="s">
        <v>2571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12</v>
      </c>
      <c r="O28" s="16" t="s">
        <v>2559</v>
      </c>
      <c r="P28" s="15" t="s">
        <v>2563</v>
      </c>
      <c r="Q28" s="33" t="s">
        <v>2562</v>
      </c>
    </row>
    <row r="29" spans="1:17" ht="17.100000000000001" customHeight="1">
      <c r="A29" s="22">
        <v>45901</v>
      </c>
      <c r="B29" s="15" t="s">
        <v>174</v>
      </c>
      <c r="C29" s="16" t="s">
        <v>2555</v>
      </c>
      <c r="D29" s="16" t="s">
        <v>2532</v>
      </c>
      <c r="E29" s="16" t="s">
        <v>2572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31</v>
      </c>
      <c r="O29" s="16" t="s">
        <v>2559</v>
      </c>
      <c r="P29" s="15" t="s">
        <v>2563</v>
      </c>
      <c r="Q29" s="33" t="s">
        <v>2562</v>
      </c>
    </row>
    <row r="30" spans="1:17" ht="17.100000000000001" customHeight="1">
      <c r="A30" s="22">
        <v>45901</v>
      </c>
      <c r="B30" s="15" t="s">
        <v>174</v>
      </c>
      <c r="C30" s="16" t="s">
        <v>2555</v>
      </c>
      <c r="D30" s="16" t="s">
        <v>2532</v>
      </c>
      <c r="E30" s="16" t="s">
        <v>2573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30</v>
      </c>
      <c r="O30" s="16" t="s">
        <v>2559</v>
      </c>
      <c r="P30" s="15" t="s">
        <v>2563</v>
      </c>
      <c r="Q30" s="33" t="s">
        <v>2562</v>
      </c>
    </row>
    <row r="31" spans="1:17" ht="17.100000000000001" customHeight="1">
      <c r="A31" s="22">
        <v>45902</v>
      </c>
      <c r="B31" s="15" t="s">
        <v>174</v>
      </c>
      <c r="C31" s="16" t="s">
        <v>2574</v>
      </c>
      <c r="D31" s="16" t="s">
        <v>2532</v>
      </c>
      <c r="E31" s="16" t="s">
        <v>2573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49</v>
      </c>
      <c r="O31" s="16" t="s">
        <v>2559</v>
      </c>
      <c r="P31" s="15" t="s">
        <v>2563</v>
      </c>
      <c r="Q31" s="33" t="s">
        <v>2562</v>
      </c>
    </row>
    <row r="32" spans="1:17" ht="17.100000000000001" customHeight="1">
      <c r="A32" s="22">
        <v>45902</v>
      </c>
      <c r="B32" s="15" t="s">
        <v>174</v>
      </c>
      <c r="C32" s="16" t="s">
        <v>2574</v>
      </c>
      <c r="D32" s="16" t="s">
        <v>2579</v>
      </c>
      <c r="E32" s="16" t="s">
        <v>2575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53</v>
      </c>
      <c r="O32" s="16" t="s">
        <v>2559</v>
      </c>
      <c r="P32" s="15" t="s">
        <v>2563</v>
      </c>
      <c r="Q32" s="33" t="s">
        <v>2562</v>
      </c>
    </row>
    <row r="33" spans="1:17" ht="17.100000000000001" customHeight="1">
      <c r="A33" s="22">
        <v>45902</v>
      </c>
      <c r="B33" s="15" t="s">
        <v>174</v>
      </c>
      <c r="C33" s="16" t="s">
        <v>2574</v>
      </c>
      <c r="D33" s="16" t="s">
        <v>2579</v>
      </c>
      <c r="E33" s="16" t="s">
        <v>2576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54</v>
      </c>
      <c r="O33" s="16" t="s">
        <v>2559</v>
      </c>
      <c r="P33" s="15" t="s">
        <v>2563</v>
      </c>
      <c r="Q33" s="33" t="s">
        <v>2562</v>
      </c>
    </row>
    <row r="34" spans="1:17" ht="17.100000000000001" customHeight="1">
      <c r="A34" s="22">
        <v>45902</v>
      </c>
      <c r="B34" s="15" t="s">
        <v>174</v>
      </c>
      <c r="C34" s="16" t="s">
        <v>2574</v>
      </c>
      <c r="D34" s="16" t="s">
        <v>2579</v>
      </c>
      <c r="E34" s="16" t="s">
        <v>2577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54</v>
      </c>
      <c r="O34" s="16" t="s">
        <v>2559</v>
      </c>
      <c r="P34" s="15" t="s">
        <v>2563</v>
      </c>
      <c r="Q34" s="33" t="s">
        <v>2562</v>
      </c>
    </row>
    <row r="35" spans="1:17" ht="17.100000000000001" customHeight="1">
      <c r="A35" s="22">
        <v>45902</v>
      </c>
      <c r="B35" s="15" t="s">
        <v>174</v>
      </c>
      <c r="C35" s="16" t="s">
        <v>2574</v>
      </c>
      <c r="D35" s="16" t="s">
        <v>2579</v>
      </c>
      <c r="E35" s="16" t="s">
        <v>2578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f>27+13</f>
        <v>40</v>
      </c>
      <c r="O35" s="16" t="s">
        <v>2559</v>
      </c>
      <c r="P35" s="15" t="s">
        <v>2563</v>
      </c>
      <c r="Q35" s="33" t="s">
        <v>2562</v>
      </c>
    </row>
    <row r="36" spans="1:17" ht="17.100000000000001" customHeight="1">
      <c r="A36" s="22">
        <v>45902</v>
      </c>
      <c r="B36" s="15" t="s">
        <v>174</v>
      </c>
      <c r="C36" s="16" t="s">
        <v>2574</v>
      </c>
      <c r="D36" s="16" t="s">
        <v>2587</v>
      </c>
      <c r="E36" s="16" t="s">
        <v>2578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14</v>
      </c>
      <c r="O36" s="16" t="s">
        <v>2559</v>
      </c>
      <c r="P36" s="15" t="s">
        <v>2563</v>
      </c>
      <c r="Q36" s="33" t="s">
        <v>2562</v>
      </c>
    </row>
    <row r="37" spans="1:17" ht="17.100000000000001" customHeight="1">
      <c r="A37" s="22">
        <v>45902</v>
      </c>
      <c r="B37" s="15" t="s">
        <v>174</v>
      </c>
      <c r="C37" s="16" t="s">
        <v>2574</v>
      </c>
      <c r="D37" s="16" t="s">
        <v>2587</v>
      </c>
      <c r="E37" s="16" t="s">
        <v>2580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54</v>
      </c>
      <c r="O37" s="16" t="s">
        <v>2559</v>
      </c>
      <c r="P37" s="15" t="s">
        <v>2563</v>
      </c>
      <c r="Q37" s="33" t="s">
        <v>2562</v>
      </c>
    </row>
    <row r="38" spans="1:17" ht="17.100000000000001" customHeight="1">
      <c r="A38" s="22">
        <v>45902</v>
      </c>
      <c r="B38" s="15" t="s">
        <v>174</v>
      </c>
      <c r="C38" s="16" t="s">
        <v>2574</v>
      </c>
      <c r="D38" s="16" t="s">
        <v>2579</v>
      </c>
      <c r="E38" s="16" t="s">
        <v>2582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27</v>
      </c>
      <c r="O38" s="16" t="s">
        <v>2559</v>
      </c>
      <c r="P38" s="15" t="s">
        <v>2563</v>
      </c>
      <c r="Q38" s="33" t="s">
        <v>2562</v>
      </c>
    </row>
    <row r="39" spans="1:17" ht="17.100000000000001" customHeight="1">
      <c r="A39" s="22">
        <v>45902</v>
      </c>
      <c r="B39" s="15" t="s">
        <v>174</v>
      </c>
      <c r="C39" s="16" t="s">
        <v>2574</v>
      </c>
      <c r="D39" s="16" t="s">
        <v>2579</v>
      </c>
      <c r="E39" s="16" t="s">
        <v>2581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54</v>
      </c>
      <c r="O39" s="16" t="s">
        <v>2559</v>
      </c>
      <c r="P39" s="15" t="s">
        <v>2563</v>
      </c>
      <c r="Q39" s="33" t="s">
        <v>2562</v>
      </c>
    </row>
    <row r="40" spans="1:17" ht="17.100000000000001" customHeight="1">
      <c r="A40" s="22">
        <v>45902</v>
      </c>
      <c r="B40" s="15" t="s">
        <v>174</v>
      </c>
      <c r="C40" s="16" t="s">
        <v>2574</v>
      </c>
      <c r="D40" s="16" t="s">
        <v>2579</v>
      </c>
      <c r="E40" s="16" t="s">
        <v>2583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54</v>
      </c>
      <c r="O40" s="16" t="s">
        <v>2559</v>
      </c>
      <c r="P40" s="15" t="s">
        <v>2563</v>
      </c>
      <c r="Q40" s="33" t="s">
        <v>2562</v>
      </c>
    </row>
    <row r="41" spans="1:17" ht="17.100000000000001" customHeight="1">
      <c r="A41" s="22">
        <v>45902</v>
      </c>
      <c r="B41" s="15" t="s">
        <v>174</v>
      </c>
      <c r="C41" s="16" t="s">
        <v>2574</v>
      </c>
      <c r="D41" s="16" t="s">
        <v>2592</v>
      </c>
      <c r="E41" s="16" t="s">
        <v>2584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54</v>
      </c>
      <c r="O41" s="16" t="s">
        <v>2559</v>
      </c>
      <c r="P41" s="15" t="s">
        <v>2563</v>
      </c>
      <c r="Q41" s="33" t="s">
        <v>2562</v>
      </c>
    </row>
    <row r="42" spans="1:17" ht="17.100000000000001" customHeight="1">
      <c r="A42" s="22">
        <v>45902</v>
      </c>
      <c r="B42" s="15" t="s">
        <v>174</v>
      </c>
      <c r="C42" s="16" t="s">
        <v>2574</v>
      </c>
      <c r="D42" s="16" t="s">
        <v>2592</v>
      </c>
      <c r="E42" s="16" t="s">
        <v>2585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54</v>
      </c>
      <c r="O42" s="16" t="s">
        <v>2591</v>
      </c>
      <c r="P42" s="15" t="s">
        <v>2563</v>
      </c>
      <c r="Q42" s="33" t="s">
        <v>2562</v>
      </c>
    </row>
    <row r="43" spans="1:17" ht="17.100000000000001" customHeight="1">
      <c r="A43" s="22">
        <v>45902</v>
      </c>
      <c r="B43" s="15" t="s">
        <v>174</v>
      </c>
      <c r="C43" s="16" t="s">
        <v>2574</v>
      </c>
      <c r="D43" s="16" t="s">
        <v>2592</v>
      </c>
      <c r="E43" s="16" t="s">
        <v>2586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54</v>
      </c>
      <c r="O43" s="16" t="s">
        <v>2591</v>
      </c>
      <c r="P43" s="15" t="s">
        <v>2563</v>
      </c>
      <c r="Q43" s="33" t="s">
        <v>2562</v>
      </c>
    </row>
    <row r="44" spans="1:17" ht="17.100000000000001" customHeight="1">
      <c r="A44" s="22">
        <v>45902</v>
      </c>
      <c r="B44" s="15" t="s">
        <v>174</v>
      </c>
      <c r="C44" s="16" t="s">
        <v>2574</v>
      </c>
      <c r="D44" s="16" t="s">
        <v>2592</v>
      </c>
      <c r="E44" s="16" t="s">
        <v>2588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54</v>
      </c>
      <c r="O44" s="16" t="s">
        <v>2591</v>
      </c>
      <c r="P44" s="15" t="s">
        <v>2563</v>
      </c>
      <c r="Q44" s="33" t="s">
        <v>2562</v>
      </c>
    </row>
    <row r="45" spans="1:17" ht="17.100000000000001" customHeight="1">
      <c r="A45" s="22">
        <v>45902</v>
      </c>
      <c r="B45" s="15" t="s">
        <v>174</v>
      </c>
      <c r="C45" s="16" t="s">
        <v>2574</v>
      </c>
      <c r="D45" s="16" t="s">
        <v>2587</v>
      </c>
      <c r="E45" s="16" t="s">
        <v>2589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54</v>
      </c>
      <c r="O45" s="16" t="s">
        <v>2559</v>
      </c>
      <c r="P45" s="15" t="s">
        <v>2563</v>
      </c>
      <c r="Q45" s="33" t="s">
        <v>2562</v>
      </c>
    </row>
    <row r="46" spans="1:17" ht="17.100000000000001" customHeight="1">
      <c r="A46" s="22">
        <v>45902</v>
      </c>
      <c r="B46" s="15" t="s">
        <v>174</v>
      </c>
      <c r="C46" s="16" t="s">
        <v>2574</v>
      </c>
      <c r="D46" s="16" t="s">
        <v>2587</v>
      </c>
      <c r="E46" s="16" t="s">
        <v>2590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27</v>
      </c>
      <c r="O46" s="16" t="s">
        <v>2559</v>
      </c>
      <c r="P46" s="15" t="s">
        <v>2563</v>
      </c>
      <c r="Q46" s="33" t="s">
        <v>2562</v>
      </c>
    </row>
    <row r="47" spans="1:17" ht="17.100000000000001" customHeight="1">
      <c r="A47" s="22">
        <v>45902</v>
      </c>
      <c r="B47" s="15" t="s">
        <v>174</v>
      </c>
      <c r="C47" s="16" t="s">
        <v>2574</v>
      </c>
      <c r="D47" s="16" t="s">
        <v>2594</v>
      </c>
      <c r="E47" s="16" t="s">
        <v>2590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27</v>
      </c>
      <c r="O47" s="16" t="s">
        <v>2559</v>
      </c>
      <c r="P47" s="15" t="s">
        <v>2563</v>
      </c>
      <c r="Q47" s="33" t="s">
        <v>2562</v>
      </c>
    </row>
    <row r="48" spans="1:17" ht="17.100000000000001" customHeight="1">
      <c r="A48" s="22">
        <v>45902</v>
      </c>
      <c r="B48" s="15" t="s">
        <v>174</v>
      </c>
      <c r="C48" s="16" t="s">
        <v>2574</v>
      </c>
      <c r="D48" s="16" t="s">
        <v>2594</v>
      </c>
      <c r="E48" s="16" t="s">
        <v>2593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23</v>
      </c>
      <c r="O48" s="16" t="s">
        <v>2559</v>
      </c>
      <c r="P48" s="15" t="s">
        <v>2563</v>
      </c>
      <c r="Q48" s="33" t="s">
        <v>2562</v>
      </c>
    </row>
    <row r="49" spans="1:17" ht="17.100000000000001" customHeight="1">
      <c r="A49" s="22">
        <v>45903</v>
      </c>
      <c r="B49" s="15" t="s">
        <v>174</v>
      </c>
      <c r="C49" s="16" t="s">
        <v>2595</v>
      </c>
      <c r="D49" s="16" t="s">
        <v>2594</v>
      </c>
      <c r="E49" s="16" t="s">
        <v>2593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4</v>
      </c>
      <c r="O49" s="16" t="s">
        <v>2559</v>
      </c>
      <c r="P49" s="15" t="s">
        <v>2563</v>
      </c>
      <c r="Q49" s="33" t="s">
        <v>2562</v>
      </c>
    </row>
    <row r="50" spans="1:17" ht="17.100000000000001" customHeight="1">
      <c r="A50" s="22">
        <v>45903</v>
      </c>
      <c r="B50" s="15" t="s">
        <v>174</v>
      </c>
      <c r="C50" s="16" t="s">
        <v>2595</v>
      </c>
      <c r="D50" s="16" t="s">
        <v>2594</v>
      </c>
      <c r="E50" s="16" t="s">
        <v>2596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54</v>
      </c>
      <c r="O50" s="16" t="s">
        <v>2559</v>
      </c>
      <c r="P50" s="15" t="s">
        <v>2563</v>
      </c>
      <c r="Q50" s="33" t="s">
        <v>2562</v>
      </c>
    </row>
    <row r="51" spans="1:17" ht="17.100000000000001" customHeight="1">
      <c r="A51" s="22">
        <v>45903</v>
      </c>
      <c r="B51" s="15" t="s">
        <v>174</v>
      </c>
      <c r="C51" s="16" t="s">
        <v>2595</v>
      </c>
      <c r="D51" s="16" t="s">
        <v>2587</v>
      </c>
      <c r="E51" s="16" t="s">
        <v>2593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27</v>
      </c>
      <c r="O51" s="16" t="s">
        <v>2559</v>
      </c>
      <c r="P51" s="15" t="s">
        <v>2563</v>
      </c>
      <c r="Q51" s="33" t="s">
        <v>2562</v>
      </c>
    </row>
    <row r="52" spans="1:17" ht="17.100000000000001" customHeight="1">
      <c r="A52" s="22">
        <v>45903</v>
      </c>
      <c r="B52" s="15" t="s">
        <v>174</v>
      </c>
      <c r="C52" s="16" t="s">
        <v>2595</v>
      </c>
      <c r="D52" s="16" t="s">
        <v>2587</v>
      </c>
      <c r="E52" s="16" t="s">
        <v>2597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54</v>
      </c>
      <c r="O52" s="16" t="s">
        <v>2559</v>
      </c>
      <c r="P52" s="15" t="s">
        <v>2563</v>
      </c>
      <c r="Q52" s="33" t="s">
        <v>2562</v>
      </c>
    </row>
    <row r="53" spans="1:17" ht="17.100000000000001" customHeight="1">
      <c r="A53" s="22">
        <v>45903</v>
      </c>
      <c r="B53" s="15" t="s">
        <v>174</v>
      </c>
      <c r="C53" s="16" t="s">
        <v>2595</v>
      </c>
      <c r="D53" s="16" t="s">
        <v>2587</v>
      </c>
      <c r="E53" s="16" t="s">
        <v>2598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27</v>
      </c>
      <c r="O53" s="16" t="s">
        <v>2559</v>
      </c>
      <c r="P53" s="15" t="s">
        <v>2563</v>
      </c>
      <c r="Q53" s="33" t="s">
        <v>2562</v>
      </c>
    </row>
    <row r="54" spans="1:17" ht="17.100000000000001" customHeight="1">
      <c r="A54" s="22">
        <v>45903</v>
      </c>
      <c r="B54" s="15" t="s">
        <v>174</v>
      </c>
      <c r="C54" s="16" t="s">
        <v>2595</v>
      </c>
      <c r="D54" s="16" t="s">
        <v>2587</v>
      </c>
      <c r="E54" s="16" t="s">
        <v>2599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54</v>
      </c>
      <c r="O54" s="16" t="s">
        <v>2559</v>
      </c>
      <c r="P54" s="15" t="s">
        <v>2563</v>
      </c>
      <c r="Q54" s="33" t="s">
        <v>2562</v>
      </c>
    </row>
    <row r="55" spans="1:17" ht="17.100000000000001" customHeight="1">
      <c r="A55" s="22">
        <v>45903</v>
      </c>
      <c r="B55" s="15" t="s">
        <v>174</v>
      </c>
      <c r="C55" s="16" t="s">
        <v>2595</v>
      </c>
      <c r="D55" s="16" t="s">
        <v>2594</v>
      </c>
      <c r="E55" s="16" t="s">
        <v>2582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54</v>
      </c>
      <c r="O55" s="16" t="s">
        <v>2559</v>
      </c>
      <c r="P55" s="15" t="s">
        <v>2563</v>
      </c>
      <c r="Q55" s="33" t="s">
        <v>2562</v>
      </c>
    </row>
    <row r="56" spans="1:17" ht="17.100000000000001" customHeight="1">
      <c r="A56" s="22">
        <v>45903</v>
      </c>
      <c r="B56" s="15" t="s">
        <v>174</v>
      </c>
      <c r="C56" s="16" t="s">
        <v>2595</v>
      </c>
      <c r="D56" s="16" t="s">
        <v>2594</v>
      </c>
      <c r="E56" s="16" t="s">
        <v>2522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19</v>
      </c>
      <c r="O56" s="16" t="s">
        <v>2559</v>
      </c>
      <c r="P56" s="15" t="s">
        <v>2563</v>
      </c>
      <c r="Q56" s="33" t="s">
        <v>2562</v>
      </c>
    </row>
    <row r="57" spans="1:17" ht="17.100000000000001" customHeight="1">
      <c r="A57" s="22">
        <v>45903</v>
      </c>
      <c r="B57" s="15" t="s">
        <v>174</v>
      </c>
      <c r="C57" s="16" t="s">
        <v>2595</v>
      </c>
      <c r="D57" s="16" t="s">
        <v>2594</v>
      </c>
      <c r="E57" s="16" t="s">
        <v>2600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27</v>
      </c>
      <c r="O57" s="16" t="s">
        <v>2559</v>
      </c>
      <c r="P57" s="15" t="s">
        <v>2563</v>
      </c>
      <c r="Q57" s="33" t="s">
        <v>2562</v>
      </c>
    </row>
    <row r="58" spans="1:17" ht="17.100000000000001" customHeight="1">
      <c r="A58" s="22">
        <v>45903</v>
      </c>
      <c r="B58" s="15" t="s">
        <v>174</v>
      </c>
      <c r="C58" s="16" t="s">
        <v>2595</v>
      </c>
      <c r="D58" s="16" t="s">
        <v>2604</v>
      </c>
      <c r="E58" s="16" t="s">
        <v>2601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54</v>
      </c>
      <c r="O58" s="16" t="s">
        <v>2559</v>
      </c>
      <c r="P58" s="15" t="s">
        <v>2563</v>
      </c>
      <c r="Q58" s="33" t="s">
        <v>2562</v>
      </c>
    </row>
    <row r="59" spans="1:17" ht="17.100000000000001" customHeight="1">
      <c r="A59" s="22">
        <v>45903</v>
      </c>
      <c r="B59" s="15" t="s">
        <v>174</v>
      </c>
      <c r="C59" s="16" t="s">
        <v>2595</v>
      </c>
      <c r="D59" s="16" t="s">
        <v>2604</v>
      </c>
      <c r="E59" s="16" t="s">
        <v>2602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54</v>
      </c>
      <c r="O59" s="16" t="s">
        <v>2559</v>
      </c>
      <c r="P59" s="15" t="s">
        <v>2563</v>
      </c>
      <c r="Q59" s="33" t="s">
        <v>2562</v>
      </c>
    </row>
    <row r="60" spans="1:17" ht="17.100000000000001" customHeight="1">
      <c r="A60" s="22">
        <v>45903</v>
      </c>
      <c r="B60" s="15" t="s">
        <v>174</v>
      </c>
      <c r="C60" s="16" t="s">
        <v>2595</v>
      </c>
      <c r="D60" s="16" t="s">
        <v>2604</v>
      </c>
      <c r="E60" s="16" t="s">
        <v>2603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22</v>
      </c>
      <c r="O60" s="16" t="s">
        <v>2559</v>
      </c>
      <c r="P60" s="15" t="s">
        <v>2563</v>
      </c>
      <c r="Q60" s="33" t="s">
        <v>2562</v>
      </c>
    </row>
    <row r="61" spans="1:17" ht="17.100000000000001" customHeight="1">
      <c r="A61" s="22">
        <v>45903</v>
      </c>
      <c r="B61" s="15" t="s">
        <v>136</v>
      </c>
      <c r="C61" s="16" t="s">
        <v>2595</v>
      </c>
      <c r="D61" s="16" t="s">
        <v>2624</v>
      </c>
      <c r="E61" s="16" t="s">
        <v>48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4</v>
      </c>
      <c r="O61" s="16" t="s">
        <v>55</v>
      </c>
      <c r="P61" s="16" t="s">
        <v>2605</v>
      </c>
      <c r="Q61" s="33" t="s">
        <v>2606</v>
      </c>
    </row>
    <row r="62" spans="1:17" ht="17.100000000000001" customHeight="1">
      <c r="A62" s="22">
        <v>45903</v>
      </c>
      <c r="B62" s="15" t="s">
        <v>660</v>
      </c>
      <c r="C62" s="16" t="s">
        <v>2595</v>
      </c>
      <c r="D62" s="16" t="s">
        <v>2625</v>
      </c>
      <c r="E62" s="16" t="s">
        <v>48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10</v>
      </c>
      <c r="O62" s="16" t="s">
        <v>55</v>
      </c>
      <c r="P62" s="16" t="s">
        <v>2608</v>
      </c>
      <c r="Q62" s="33" t="s">
        <v>2607</v>
      </c>
    </row>
    <row r="63" spans="1:17" ht="17.100000000000001" customHeight="1">
      <c r="A63" s="22">
        <v>45903</v>
      </c>
      <c r="B63" s="15" t="s">
        <v>660</v>
      </c>
      <c r="C63" s="16" t="s">
        <v>2595</v>
      </c>
      <c r="D63" s="16" t="s">
        <v>2626</v>
      </c>
      <c r="E63" s="16" t="s">
        <v>48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10</v>
      </c>
      <c r="O63" s="16" t="s">
        <v>55</v>
      </c>
      <c r="P63" s="16" t="s">
        <v>2608</v>
      </c>
      <c r="Q63" s="33" t="s">
        <v>2607</v>
      </c>
    </row>
    <row r="64" spans="1:17" ht="17.100000000000001" customHeight="1">
      <c r="A64" s="22">
        <v>45903</v>
      </c>
      <c r="B64" s="15" t="s">
        <v>161</v>
      </c>
      <c r="C64" s="16" t="s">
        <v>2595</v>
      </c>
      <c r="D64" s="16" t="s">
        <v>48</v>
      </c>
      <c r="E64" s="16" t="s">
        <v>48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50</v>
      </c>
      <c r="O64" s="16" t="s">
        <v>2620</v>
      </c>
      <c r="P64" s="16" t="s">
        <v>2610</v>
      </c>
      <c r="Q64" s="33" t="s">
        <v>2611</v>
      </c>
    </row>
    <row r="65" spans="1:17" ht="17.100000000000001" customHeight="1">
      <c r="A65" s="22">
        <v>45903</v>
      </c>
      <c r="B65" s="15" t="s">
        <v>72</v>
      </c>
      <c r="C65" s="16" t="s">
        <v>2595</v>
      </c>
      <c r="D65" s="16" t="s">
        <v>48</v>
      </c>
      <c r="E65" s="16" t="s">
        <v>48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10</v>
      </c>
      <c r="O65" s="16" t="s">
        <v>2621</v>
      </c>
      <c r="P65" s="16" t="s">
        <v>2616</v>
      </c>
      <c r="Q65" s="33" t="s">
        <v>2612</v>
      </c>
    </row>
    <row r="66" spans="1:17" ht="17.100000000000001" customHeight="1">
      <c r="A66" s="22">
        <v>45903</v>
      </c>
      <c r="B66" s="15" t="s">
        <v>37</v>
      </c>
      <c r="C66" s="16" t="s">
        <v>2595</v>
      </c>
      <c r="D66" s="16" t="s">
        <v>48</v>
      </c>
      <c r="E66" s="16" t="s">
        <v>48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40</v>
      </c>
      <c r="O66" s="16" t="s">
        <v>2622</v>
      </c>
      <c r="P66" s="16" t="s">
        <v>2617</v>
      </c>
      <c r="Q66" s="33" t="s">
        <v>2613</v>
      </c>
    </row>
    <row r="67" spans="1:17" ht="17.100000000000001" customHeight="1">
      <c r="A67" s="22">
        <v>45903</v>
      </c>
      <c r="B67" s="57" t="s">
        <v>1317</v>
      </c>
      <c r="C67" s="16" t="s">
        <v>2595</v>
      </c>
      <c r="D67" s="16" t="s">
        <v>48</v>
      </c>
      <c r="E67" s="16" t="s">
        <v>48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40</v>
      </c>
      <c r="O67" s="16" t="s">
        <v>2623</v>
      </c>
      <c r="P67" s="16" t="s">
        <v>2618</v>
      </c>
      <c r="Q67" s="33" t="s">
        <v>2614</v>
      </c>
    </row>
    <row r="68" spans="1:17" ht="17.100000000000001" customHeight="1">
      <c r="A68" s="22">
        <v>45903</v>
      </c>
      <c r="B68" s="57" t="s">
        <v>2609</v>
      </c>
      <c r="C68" s="16" t="s">
        <v>2595</v>
      </c>
      <c r="D68" s="16" t="s">
        <v>48</v>
      </c>
      <c r="E68" s="16" t="s">
        <v>48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10</v>
      </c>
      <c r="O68" s="16" t="s">
        <v>2621</v>
      </c>
      <c r="P68" s="16" t="s">
        <v>2619</v>
      </c>
      <c r="Q68" s="33" t="s">
        <v>2615</v>
      </c>
    </row>
    <row r="69" spans="1:17" ht="17.100000000000001" customHeight="1">
      <c r="A69" s="22">
        <v>45903</v>
      </c>
      <c r="B69" s="15" t="s">
        <v>143</v>
      </c>
      <c r="C69" s="16" t="s">
        <v>2595</v>
      </c>
      <c r="D69" s="16" t="s">
        <v>2627</v>
      </c>
      <c r="E69" s="16" t="s">
        <v>48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66</v>
      </c>
      <c r="O69" s="16" t="s">
        <v>2559</v>
      </c>
      <c r="P69" s="16" t="s">
        <v>2631</v>
      </c>
      <c r="Q69" s="33" t="s">
        <v>2630</v>
      </c>
    </row>
    <row r="70" spans="1:17" ht="17.100000000000001" customHeight="1">
      <c r="A70" s="22">
        <v>45903</v>
      </c>
      <c r="B70" s="15" t="s">
        <v>143</v>
      </c>
      <c r="C70" s="16" t="s">
        <v>2595</v>
      </c>
      <c r="D70" s="16" t="s">
        <v>2628</v>
      </c>
      <c r="E70" s="16" t="s">
        <v>48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3</v>
      </c>
      <c r="O70" s="16" t="s">
        <v>2559</v>
      </c>
      <c r="P70" s="16" t="s">
        <v>2631</v>
      </c>
      <c r="Q70" s="33" t="s">
        <v>2630</v>
      </c>
    </row>
    <row r="71" spans="1:17" ht="17.100000000000001" customHeight="1">
      <c r="A71" s="22">
        <v>45903</v>
      </c>
      <c r="B71" s="15" t="s">
        <v>143</v>
      </c>
      <c r="C71" s="16" t="s">
        <v>2595</v>
      </c>
      <c r="D71" s="16" t="s">
        <v>2422</v>
      </c>
      <c r="E71" s="16" t="s">
        <v>48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1</v>
      </c>
      <c r="O71" s="16" t="s">
        <v>2559</v>
      </c>
      <c r="P71" s="16" t="s">
        <v>2631</v>
      </c>
      <c r="Q71" s="33" t="s">
        <v>2630</v>
      </c>
    </row>
    <row r="72" spans="1:17" ht="17.100000000000001" customHeight="1">
      <c r="A72" s="22">
        <v>45903</v>
      </c>
      <c r="B72" s="15" t="s">
        <v>143</v>
      </c>
      <c r="C72" s="16" t="s">
        <v>2595</v>
      </c>
      <c r="D72" s="16" t="s">
        <v>2629</v>
      </c>
      <c r="E72" s="16" t="s">
        <v>48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50</v>
      </c>
      <c r="O72" s="16" t="s">
        <v>2559</v>
      </c>
      <c r="P72" s="16" t="s">
        <v>2631</v>
      </c>
      <c r="Q72" s="33" t="s">
        <v>2630</v>
      </c>
    </row>
    <row r="73" spans="1:17" ht="17.100000000000001" customHeight="1">
      <c r="A73" s="22">
        <v>45904</v>
      </c>
      <c r="B73" s="15" t="s">
        <v>125</v>
      </c>
      <c r="C73" s="16" t="s">
        <v>2632</v>
      </c>
      <c r="D73" s="16" t="s">
        <v>2422</v>
      </c>
      <c r="E73" s="16" t="s">
        <v>48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7</v>
      </c>
      <c r="O73" s="16" t="s">
        <v>2559</v>
      </c>
      <c r="P73" s="16" t="s">
        <v>2636</v>
      </c>
      <c r="Q73" s="33"/>
    </row>
    <row r="74" spans="1:17" ht="17.100000000000001" customHeight="1">
      <c r="A74" s="22">
        <v>45904</v>
      </c>
      <c r="B74" s="15" t="s">
        <v>125</v>
      </c>
      <c r="C74" s="16" t="s">
        <v>2632</v>
      </c>
      <c r="D74" s="16" t="s">
        <v>2633</v>
      </c>
      <c r="E74" s="16" t="s">
        <v>48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30</v>
      </c>
      <c r="O74" s="16" t="s">
        <v>2559</v>
      </c>
      <c r="P74" s="16" t="s">
        <v>2636</v>
      </c>
      <c r="Q74" s="33"/>
    </row>
    <row r="75" spans="1:17" ht="17.100000000000001" customHeight="1">
      <c r="A75" s="22">
        <v>45904</v>
      </c>
      <c r="B75" s="15" t="s">
        <v>125</v>
      </c>
      <c r="C75" s="16" t="s">
        <v>2632</v>
      </c>
      <c r="D75" s="16" t="s">
        <v>2634</v>
      </c>
      <c r="E75" s="16" t="s">
        <v>48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12</v>
      </c>
      <c r="O75" s="16" t="s">
        <v>2559</v>
      </c>
      <c r="P75" s="16" t="s">
        <v>2636</v>
      </c>
      <c r="Q75" s="33"/>
    </row>
    <row r="76" spans="1:17" ht="17.100000000000001" customHeight="1">
      <c r="A76" s="22">
        <v>45904</v>
      </c>
      <c r="B76" s="15" t="s">
        <v>125</v>
      </c>
      <c r="C76" s="16" t="s">
        <v>2632</v>
      </c>
      <c r="D76" s="16" t="s">
        <v>2458</v>
      </c>
      <c r="E76" s="16" t="s">
        <v>48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65</v>
      </c>
      <c r="O76" s="16" t="s">
        <v>2559</v>
      </c>
      <c r="P76" s="16" t="s">
        <v>2636</v>
      </c>
      <c r="Q76" s="33"/>
    </row>
    <row r="77" spans="1:17" ht="17.100000000000001" customHeight="1">
      <c r="A77" s="22">
        <v>45904</v>
      </c>
      <c r="B77" s="15" t="s">
        <v>125</v>
      </c>
      <c r="C77" s="16" t="s">
        <v>2632</v>
      </c>
      <c r="D77" s="16" t="s">
        <v>2635</v>
      </c>
      <c r="E77" s="16" t="s">
        <v>48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50</v>
      </c>
      <c r="O77" s="16" t="s">
        <v>2559</v>
      </c>
      <c r="P77" s="16" t="s">
        <v>2636</v>
      </c>
      <c r="Q77" s="33"/>
    </row>
    <row r="78" spans="1:17" ht="17.100000000000001" customHeight="1">
      <c r="A78" s="22">
        <v>45904</v>
      </c>
      <c r="B78" s="15" t="s">
        <v>125</v>
      </c>
      <c r="C78" s="16" t="s">
        <v>2632</v>
      </c>
      <c r="D78" s="16" t="s">
        <v>2629</v>
      </c>
      <c r="E78" s="16" t="s">
        <v>48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40</v>
      </c>
      <c r="O78" s="16" t="s">
        <v>2559</v>
      </c>
      <c r="P78" s="16" t="s">
        <v>2636</v>
      </c>
      <c r="Q78" s="33"/>
    </row>
    <row r="79" spans="1:17" ht="17.100000000000001" customHeight="1">
      <c r="A79" s="22">
        <v>45905</v>
      </c>
      <c r="B79" s="15" t="s">
        <v>125</v>
      </c>
      <c r="C79" s="16" t="s">
        <v>2637</v>
      </c>
      <c r="D79" s="16" t="s">
        <v>2458</v>
      </c>
      <c r="E79" s="16" t="s">
        <v>48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36</v>
      </c>
      <c r="O79" s="16" t="s">
        <v>2559</v>
      </c>
      <c r="P79" s="16" t="s">
        <v>2636</v>
      </c>
      <c r="Q79" s="33"/>
    </row>
    <row r="80" spans="1:17" ht="17.100000000000001" customHeight="1">
      <c r="A80" s="22">
        <v>45905</v>
      </c>
      <c r="B80" s="15" t="s">
        <v>1213</v>
      </c>
      <c r="C80" s="16" t="s">
        <v>2637</v>
      </c>
      <c r="D80" s="16" t="s">
        <v>2627</v>
      </c>
      <c r="E80" s="16" t="s">
        <v>48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59</v>
      </c>
      <c r="O80" s="16" t="s">
        <v>2336</v>
      </c>
      <c r="P80" s="16" t="s">
        <v>2639</v>
      </c>
      <c r="Q80" s="33"/>
    </row>
    <row r="81" spans="1:17" ht="17.100000000000001" customHeight="1">
      <c r="A81" s="22">
        <v>45905</v>
      </c>
      <c r="B81" s="15" t="s">
        <v>1213</v>
      </c>
      <c r="C81" s="16" t="s">
        <v>2637</v>
      </c>
      <c r="D81" s="16" t="s">
        <v>2638</v>
      </c>
      <c r="E81" s="16" t="s">
        <v>48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</v>
      </c>
      <c r="O81" s="16" t="s">
        <v>2336</v>
      </c>
      <c r="P81" s="16" t="s">
        <v>2639</v>
      </c>
      <c r="Q81" s="33"/>
    </row>
    <row r="82" spans="1:17" ht="17.100000000000001" customHeight="1">
      <c r="A82" s="22">
        <v>45905</v>
      </c>
      <c r="B82" s="15" t="s">
        <v>29</v>
      </c>
      <c r="C82" s="16" t="s">
        <v>2637</v>
      </c>
      <c r="D82" s="16" t="s">
        <v>2443</v>
      </c>
      <c r="E82" s="16" t="s">
        <v>48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375</v>
      </c>
      <c r="O82" s="16" t="s">
        <v>2463</v>
      </c>
      <c r="P82" s="16" t="s">
        <v>2640</v>
      </c>
      <c r="Q82" s="33"/>
    </row>
    <row r="83" spans="1:17" ht="17.100000000000001" customHeight="1">
      <c r="A83" s="22">
        <v>45905</v>
      </c>
      <c r="B83" s="15" t="s">
        <v>575</v>
      </c>
      <c r="C83" s="16" t="s">
        <v>2637</v>
      </c>
      <c r="D83" s="16" t="s">
        <v>2641</v>
      </c>
      <c r="E83" s="16" t="s">
        <v>2642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27</v>
      </c>
      <c r="O83" s="16" t="s">
        <v>2463</v>
      </c>
      <c r="P83" s="16" t="s">
        <v>2646</v>
      </c>
      <c r="Q83" s="33" t="s">
        <v>2660</v>
      </c>
    </row>
    <row r="84" spans="1:17" ht="17.100000000000001" customHeight="1">
      <c r="A84" s="22">
        <v>45905</v>
      </c>
      <c r="B84" s="15" t="s">
        <v>531</v>
      </c>
      <c r="C84" s="16" t="s">
        <v>2637</v>
      </c>
      <c r="D84" s="16" t="s">
        <v>2641</v>
      </c>
      <c r="E84" s="16" t="s">
        <v>2643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54</v>
      </c>
      <c r="O84" s="16" t="s">
        <v>2463</v>
      </c>
      <c r="P84" s="16" t="s">
        <v>2646</v>
      </c>
      <c r="Q84" s="33" t="s">
        <v>2660</v>
      </c>
    </row>
    <row r="85" spans="1:17" ht="17.100000000000001" customHeight="1">
      <c r="A85" s="22">
        <v>45905</v>
      </c>
      <c r="B85" s="15" t="s">
        <v>531</v>
      </c>
      <c r="C85" s="16" t="s">
        <v>2637</v>
      </c>
      <c r="D85" s="16" t="s">
        <v>2641</v>
      </c>
      <c r="E85" s="16" t="s">
        <v>2644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44</v>
      </c>
      <c r="O85" s="16" t="s">
        <v>2463</v>
      </c>
      <c r="P85" s="16" t="s">
        <v>2646</v>
      </c>
      <c r="Q85" s="33" t="s">
        <v>2660</v>
      </c>
    </row>
    <row r="86" spans="1:17" ht="17.100000000000001" customHeight="1">
      <c r="A86" s="22">
        <v>45908</v>
      </c>
      <c r="B86" s="15" t="s">
        <v>531</v>
      </c>
      <c r="C86" s="16" t="s">
        <v>2645</v>
      </c>
      <c r="D86" s="16" t="s">
        <v>2641</v>
      </c>
      <c r="E86" s="16" t="s">
        <v>2644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10</v>
      </c>
      <c r="O86" s="16" t="s">
        <v>2498</v>
      </c>
      <c r="P86" s="16" t="s">
        <v>2646</v>
      </c>
      <c r="Q86" s="33" t="s">
        <v>2660</v>
      </c>
    </row>
    <row r="87" spans="1:17" ht="17.100000000000001" customHeight="1">
      <c r="A87" s="22">
        <v>45908</v>
      </c>
      <c r="B87" s="15" t="s">
        <v>531</v>
      </c>
      <c r="C87" s="16" t="s">
        <v>2645</v>
      </c>
      <c r="D87" s="16" t="s">
        <v>2641</v>
      </c>
      <c r="E87" s="16" t="s">
        <v>2647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27</v>
      </c>
      <c r="O87" s="16" t="s">
        <v>2498</v>
      </c>
      <c r="P87" s="16" t="s">
        <v>2646</v>
      </c>
      <c r="Q87" s="33" t="s">
        <v>2660</v>
      </c>
    </row>
    <row r="88" spans="1:17" ht="17.100000000000001" customHeight="1">
      <c r="A88" s="22">
        <v>45908</v>
      </c>
      <c r="B88" s="15" t="s">
        <v>531</v>
      </c>
      <c r="C88" s="16" t="s">
        <v>2645</v>
      </c>
      <c r="D88" s="16" t="s">
        <v>2641</v>
      </c>
      <c r="E88" s="16" t="s">
        <v>2648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54</v>
      </c>
      <c r="O88" s="16" t="s">
        <v>2498</v>
      </c>
      <c r="P88" s="16" t="s">
        <v>2646</v>
      </c>
      <c r="Q88" s="33" t="s">
        <v>2660</v>
      </c>
    </row>
    <row r="89" spans="1:17" ht="17.100000000000001" customHeight="1">
      <c r="A89" s="22">
        <v>45908</v>
      </c>
      <c r="B89" s="15" t="s">
        <v>531</v>
      </c>
      <c r="C89" s="16" t="s">
        <v>2645</v>
      </c>
      <c r="D89" s="16" t="s">
        <v>2461</v>
      </c>
      <c r="E89" s="16" t="s">
        <v>2649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27</v>
      </c>
      <c r="O89" s="16" t="s">
        <v>2498</v>
      </c>
      <c r="P89" s="16" t="s">
        <v>2646</v>
      </c>
      <c r="Q89" s="33" t="s">
        <v>2660</v>
      </c>
    </row>
    <row r="90" spans="1:17" ht="17.100000000000001" customHeight="1">
      <c r="A90" s="22">
        <v>45908</v>
      </c>
      <c r="B90" s="15" t="s">
        <v>531</v>
      </c>
      <c r="C90" s="16" t="s">
        <v>2645</v>
      </c>
      <c r="D90" s="16" t="s">
        <v>2461</v>
      </c>
      <c r="E90" s="16" t="s">
        <v>2650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27</v>
      </c>
      <c r="O90" s="16" t="s">
        <v>2498</v>
      </c>
      <c r="P90" s="16" t="s">
        <v>2646</v>
      </c>
      <c r="Q90" s="33" t="s">
        <v>2660</v>
      </c>
    </row>
    <row r="91" spans="1:17" ht="17.100000000000001" customHeight="1">
      <c r="A91" s="22">
        <v>45908</v>
      </c>
      <c r="B91" s="15" t="s">
        <v>531</v>
      </c>
      <c r="C91" s="16" t="s">
        <v>2645</v>
      </c>
      <c r="D91" s="16" t="s">
        <v>2641</v>
      </c>
      <c r="E91" s="16" t="s">
        <v>2651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54</v>
      </c>
      <c r="O91" s="16" t="s">
        <v>2498</v>
      </c>
      <c r="P91" s="16" t="s">
        <v>2646</v>
      </c>
      <c r="Q91" s="33" t="s">
        <v>2660</v>
      </c>
    </row>
    <row r="92" spans="1:17" ht="17.100000000000001" customHeight="1">
      <c r="A92" s="22">
        <v>45908</v>
      </c>
      <c r="B92" s="15" t="s">
        <v>531</v>
      </c>
      <c r="C92" s="16" t="s">
        <v>2645</v>
      </c>
      <c r="D92" s="16" t="s">
        <v>2641</v>
      </c>
      <c r="E92" s="16" t="s">
        <v>2652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54</v>
      </c>
      <c r="O92" s="16" t="s">
        <v>2498</v>
      </c>
      <c r="P92" s="16" t="s">
        <v>2646</v>
      </c>
      <c r="Q92" s="33" t="s">
        <v>2660</v>
      </c>
    </row>
    <row r="93" spans="1:17" ht="17.100000000000001" customHeight="1">
      <c r="A93" s="22">
        <v>45908</v>
      </c>
      <c r="B93" s="15" t="s">
        <v>531</v>
      </c>
      <c r="C93" s="16" t="s">
        <v>2645</v>
      </c>
      <c r="D93" s="16" t="s">
        <v>2641</v>
      </c>
      <c r="E93" s="16" t="s">
        <v>2653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27</v>
      </c>
      <c r="O93" s="16" t="s">
        <v>2498</v>
      </c>
      <c r="P93" s="16" t="s">
        <v>2646</v>
      </c>
      <c r="Q93" s="33" t="s">
        <v>2660</v>
      </c>
    </row>
    <row r="94" spans="1:17" ht="17.100000000000001" customHeight="1">
      <c r="A94" s="22">
        <v>45908</v>
      </c>
      <c r="B94" s="15" t="s">
        <v>531</v>
      </c>
      <c r="C94" s="16" t="s">
        <v>2645</v>
      </c>
      <c r="D94" s="16" t="s">
        <v>2443</v>
      </c>
      <c r="E94" s="16" t="s">
        <v>2656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41</v>
      </c>
      <c r="O94" s="16" t="s">
        <v>2498</v>
      </c>
      <c r="P94" s="16" t="s">
        <v>2646</v>
      </c>
      <c r="Q94" s="33" t="s">
        <v>2660</v>
      </c>
    </row>
    <row r="95" spans="1:17" ht="17.100000000000001" customHeight="1">
      <c r="A95" s="22">
        <v>45908</v>
      </c>
      <c r="B95" s="15" t="s">
        <v>531</v>
      </c>
      <c r="C95" s="16" t="s">
        <v>2645</v>
      </c>
      <c r="D95" s="16" t="s">
        <v>2443</v>
      </c>
      <c r="E95" s="16" t="s">
        <v>2653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27</v>
      </c>
      <c r="O95" s="16" t="s">
        <v>2498</v>
      </c>
      <c r="P95" s="16" t="s">
        <v>2646</v>
      </c>
      <c r="Q95" s="33" t="s">
        <v>2660</v>
      </c>
    </row>
    <row r="96" spans="1:17" ht="17.100000000000001" customHeight="1">
      <c r="A96" s="22">
        <v>45908</v>
      </c>
      <c r="B96" s="15" t="s">
        <v>531</v>
      </c>
      <c r="C96" s="16" t="s">
        <v>2645</v>
      </c>
      <c r="D96" s="16" t="s">
        <v>2443</v>
      </c>
      <c r="E96" s="16" t="s">
        <v>2657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27</v>
      </c>
      <c r="O96" s="16" t="s">
        <v>2498</v>
      </c>
      <c r="P96" s="16" t="s">
        <v>2646</v>
      </c>
      <c r="Q96" s="33" t="s">
        <v>2660</v>
      </c>
    </row>
    <row r="97" spans="1:17" ht="17.100000000000001" customHeight="1">
      <c r="A97" s="22">
        <v>45908</v>
      </c>
      <c r="B97" s="15" t="s">
        <v>2658</v>
      </c>
      <c r="C97" s="16" t="s">
        <v>2645</v>
      </c>
      <c r="D97" s="16" t="s">
        <v>2654</v>
      </c>
      <c r="E97" s="16" t="s">
        <v>48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140</v>
      </c>
      <c r="O97" s="16" t="s">
        <v>2659</v>
      </c>
      <c r="P97" s="16" t="s">
        <v>2662</v>
      </c>
      <c r="Q97" s="33" t="s">
        <v>2661</v>
      </c>
    </row>
    <row r="98" spans="1:17" ht="17.100000000000001" customHeight="1">
      <c r="A98" s="22">
        <v>45908</v>
      </c>
      <c r="B98" s="15" t="s">
        <v>2658</v>
      </c>
      <c r="C98" s="16" t="s">
        <v>2645</v>
      </c>
      <c r="D98" s="16" t="s">
        <v>2655</v>
      </c>
      <c r="E98" s="16" t="s">
        <v>48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100</v>
      </c>
      <c r="O98" s="16" t="s">
        <v>2659</v>
      </c>
      <c r="P98" s="16" t="s">
        <v>2662</v>
      </c>
      <c r="Q98" s="33" t="s">
        <v>2661</v>
      </c>
    </row>
    <row r="99" spans="1:17" ht="17.100000000000001" customHeight="1">
      <c r="A99" s="22">
        <v>45909</v>
      </c>
      <c r="B99" s="15" t="s">
        <v>143</v>
      </c>
      <c r="C99" s="16" t="s">
        <v>2663</v>
      </c>
      <c r="D99" s="16" t="s">
        <v>2664</v>
      </c>
      <c r="E99" s="16" t="s">
        <v>48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f>172/2</f>
        <v>86</v>
      </c>
      <c r="O99" s="16" t="s">
        <v>2498</v>
      </c>
      <c r="P99" s="16" t="s">
        <v>2674</v>
      </c>
      <c r="Q99" s="33" t="s">
        <v>2673</v>
      </c>
    </row>
    <row r="100" spans="1:17" ht="17.100000000000001" customHeight="1">
      <c r="A100" s="22">
        <v>45909</v>
      </c>
      <c r="B100" s="15" t="s">
        <v>143</v>
      </c>
      <c r="C100" s="16" t="s">
        <v>2663</v>
      </c>
      <c r="D100" s="16" t="s">
        <v>2629</v>
      </c>
      <c r="E100" s="16" t="s">
        <v>48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50</v>
      </c>
      <c r="O100" s="16" t="s">
        <v>2498</v>
      </c>
      <c r="P100" s="16" t="s">
        <v>2674</v>
      </c>
      <c r="Q100" s="33" t="s">
        <v>2673</v>
      </c>
    </row>
    <row r="101" spans="1:17" ht="17.100000000000001" customHeight="1">
      <c r="A101" s="22">
        <v>45909</v>
      </c>
      <c r="B101" s="15" t="s">
        <v>143</v>
      </c>
      <c r="C101" s="16" t="s">
        <v>2663</v>
      </c>
      <c r="D101" s="16" t="s">
        <v>2665</v>
      </c>
      <c r="E101" s="16" t="s">
        <v>48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75</v>
      </c>
      <c r="O101" s="16" t="s">
        <v>2498</v>
      </c>
      <c r="P101" s="16" t="s">
        <v>2674</v>
      </c>
      <c r="Q101" s="33" t="s">
        <v>2673</v>
      </c>
    </row>
    <row r="102" spans="1:17" ht="17.100000000000001" customHeight="1">
      <c r="A102" s="22">
        <v>45909</v>
      </c>
      <c r="B102" s="15" t="s">
        <v>143</v>
      </c>
      <c r="C102" s="16" t="s">
        <v>2663</v>
      </c>
      <c r="D102" s="16" t="s">
        <v>2627</v>
      </c>
      <c r="E102" s="16" t="s">
        <v>48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15</v>
      </c>
      <c r="O102" s="16" t="s">
        <v>2498</v>
      </c>
      <c r="P102" s="16" t="s">
        <v>2674</v>
      </c>
      <c r="Q102" s="33" t="s">
        <v>2673</v>
      </c>
    </row>
    <row r="103" spans="1:17" ht="17.100000000000001" customHeight="1">
      <c r="A103" s="22">
        <v>45909</v>
      </c>
      <c r="B103" s="15" t="s">
        <v>143</v>
      </c>
      <c r="C103" s="16" t="s">
        <v>2663</v>
      </c>
      <c r="D103" s="16" t="s">
        <v>2666</v>
      </c>
      <c r="E103" s="16" t="s">
        <v>48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14</v>
      </c>
      <c r="O103" s="16" t="s">
        <v>2498</v>
      </c>
      <c r="P103" s="16" t="s">
        <v>2674</v>
      </c>
      <c r="Q103" s="33" t="s">
        <v>2673</v>
      </c>
    </row>
    <row r="104" spans="1:17" ht="17.100000000000001" customHeight="1">
      <c r="A104" s="22">
        <v>45909</v>
      </c>
      <c r="B104" s="15" t="s">
        <v>374</v>
      </c>
      <c r="C104" s="16" t="s">
        <v>2663</v>
      </c>
      <c r="D104" s="16" t="s">
        <v>2667</v>
      </c>
      <c r="E104" s="16" t="s">
        <v>48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125</v>
      </c>
      <c r="O104" s="16" t="s">
        <v>2498</v>
      </c>
      <c r="P104" s="16" t="s">
        <v>2679</v>
      </c>
      <c r="Q104" s="33" t="s">
        <v>2678</v>
      </c>
    </row>
    <row r="105" spans="1:17" ht="17.100000000000001" customHeight="1">
      <c r="A105" s="22">
        <v>45909</v>
      </c>
      <c r="B105" s="15" t="s">
        <v>28</v>
      </c>
      <c r="C105" s="16" t="s">
        <v>2663</v>
      </c>
      <c r="D105" s="16" t="s">
        <v>2667</v>
      </c>
      <c r="E105" s="16" t="s">
        <v>2668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35</v>
      </c>
      <c r="O105" s="16" t="s">
        <v>2677</v>
      </c>
      <c r="P105" s="16" t="s">
        <v>2676</v>
      </c>
      <c r="Q105" s="33" t="s">
        <v>2675</v>
      </c>
    </row>
    <row r="106" spans="1:17" ht="17.100000000000001" customHeight="1">
      <c r="A106" s="22">
        <v>45909</v>
      </c>
      <c r="B106" s="15" t="s">
        <v>28</v>
      </c>
      <c r="C106" s="16" t="s">
        <v>2663</v>
      </c>
      <c r="D106" s="16" t="s">
        <v>2655</v>
      </c>
      <c r="E106" s="16" t="s">
        <v>2668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5</v>
      </c>
      <c r="O106" s="16" t="s">
        <v>2677</v>
      </c>
      <c r="P106" s="16" t="s">
        <v>2676</v>
      </c>
      <c r="Q106" s="33" t="s">
        <v>2675</v>
      </c>
    </row>
    <row r="107" spans="1:17" ht="17.100000000000001" customHeight="1">
      <c r="A107" s="22">
        <v>45909</v>
      </c>
      <c r="B107" s="15" t="s">
        <v>29</v>
      </c>
      <c r="C107" s="16" t="s">
        <v>2663</v>
      </c>
      <c r="D107" s="16" t="s">
        <v>2669</v>
      </c>
      <c r="E107" s="16" t="s">
        <v>48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200</v>
      </c>
      <c r="O107" s="16" t="s">
        <v>2670</v>
      </c>
      <c r="P107" s="16" t="s">
        <v>2672</v>
      </c>
      <c r="Q107" s="33" t="s">
        <v>2671</v>
      </c>
    </row>
    <row r="108" spans="1:17" ht="17.100000000000001" customHeight="1">
      <c r="A108" s="22">
        <v>45909</v>
      </c>
      <c r="B108" s="15" t="s">
        <v>29</v>
      </c>
      <c r="C108" s="16" t="s">
        <v>2663</v>
      </c>
      <c r="D108" s="16" t="s">
        <v>2655</v>
      </c>
      <c r="E108" s="16" t="s">
        <v>48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50</v>
      </c>
      <c r="O108" s="16" t="s">
        <v>2670</v>
      </c>
      <c r="P108" s="16" t="s">
        <v>2672</v>
      </c>
      <c r="Q108" s="33" t="s">
        <v>2671</v>
      </c>
    </row>
    <row r="109" spans="1:17" ht="17.100000000000001" customHeight="1">
      <c r="A109" s="22">
        <v>45909</v>
      </c>
      <c r="B109" s="15" t="s">
        <v>38</v>
      </c>
      <c r="C109" s="16" t="s">
        <v>2663</v>
      </c>
      <c r="D109" s="16" t="s">
        <v>48</v>
      </c>
      <c r="E109" s="16" t="s">
        <v>48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2683</v>
      </c>
      <c r="N109" s="16">
        <v>200</v>
      </c>
      <c r="O109" s="16" t="s">
        <v>2682</v>
      </c>
      <c r="P109" s="16" t="s">
        <v>2681</v>
      </c>
      <c r="Q109" s="33" t="s">
        <v>2680</v>
      </c>
    </row>
    <row r="110" spans="1:17" ht="17.100000000000001" customHeight="1">
      <c r="A110" s="22">
        <v>45909</v>
      </c>
      <c r="B110" s="15" t="s">
        <v>214</v>
      </c>
      <c r="C110" s="16" t="s">
        <v>2663</v>
      </c>
      <c r="D110" s="16" t="s">
        <v>48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100</v>
      </c>
      <c r="O110" s="16" t="s">
        <v>2682</v>
      </c>
      <c r="P110" s="16" t="s">
        <v>2685</v>
      </c>
      <c r="Q110" s="33" t="s">
        <v>2684</v>
      </c>
    </row>
    <row r="111" spans="1:17" ht="17.100000000000001" customHeight="1">
      <c r="A111" s="22">
        <v>45910</v>
      </c>
      <c r="B111" s="15" t="s">
        <v>1167</v>
      </c>
      <c r="C111" s="16" t="s">
        <v>2686</v>
      </c>
      <c r="D111" s="16" t="s">
        <v>2687</v>
      </c>
      <c r="E111" s="16" t="s">
        <v>48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400</v>
      </c>
      <c r="O111" s="16" t="s">
        <v>2688</v>
      </c>
      <c r="P111" s="16" t="s">
        <v>2744</v>
      </c>
      <c r="Q111" s="33" t="s">
        <v>2743</v>
      </c>
    </row>
    <row r="112" spans="1:17" ht="17.100000000000001" customHeight="1">
      <c r="A112" s="22">
        <v>45910</v>
      </c>
      <c r="B112" s="17" t="s">
        <v>37</v>
      </c>
      <c r="C112" s="16" t="s">
        <v>2686</v>
      </c>
      <c r="D112" s="16" t="s">
        <v>48</v>
      </c>
      <c r="E112" s="16" t="s">
        <v>48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2689</v>
      </c>
      <c r="N112" s="16">
        <v>40</v>
      </c>
      <c r="O112" s="16" t="s">
        <v>2690</v>
      </c>
      <c r="P112" s="16" t="s">
        <v>2742</v>
      </c>
      <c r="Q112" s="33" t="s">
        <v>2741</v>
      </c>
    </row>
    <row r="113" spans="1:17" ht="17.100000000000001" customHeight="1">
      <c r="A113" s="22">
        <v>45911</v>
      </c>
      <c r="B113" s="17" t="s">
        <v>2691</v>
      </c>
      <c r="C113" s="16" t="s">
        <v>2692</v>
      </c>
      <c r="D113" s="16" t="s">
        <v>2693</v>
      </c>
      <c r="E113" s="16" t="s">
        <v>48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20</v>
      </c>
      <c r="O113" s="16" t="s">
        <v>2694</v>
      </c>
      <c r="P113" s="16" t="s">
        <v>2746</v>
      </c>
      <c r="Q113" s="33" t="s">
        <v>2745</v>
      </c>
    </row>
    <row r="114" spans="1:17" ht="17.100000000000001" customHeight="1">
      <c r="A114" s="22">
        <v>45912</v>
      </c>
      <c r="B114" s="15" t="s">
        <v>29</v>
      </c>
      <c r="C114" s="16" t="s">
        <v>2695</v>
      </c>
      <c r="D114" s="16" t="s">
        <v>2696</v>
      </c>
      <c r="E114" s="16" t="s">
        <v>48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100</v>
      </c>
      <c r="O114" s="16" t="s">
        <v>2697</v>
      </c>
      <c r="P114" s="16" t="s">
        <v>2698</v>
      </c>
      <c r="Q114" s="33" t="s">
        <v>2671</v>
      </c>
    </row>
    <row r="115" spans="1:17" ht="17.100000000000001" customHeight="1">
      <c r="A115" s="22">
        <v>45912</v>
      </c>
      <c r="B115" s="15" t="s">
        <v>29</v>
      </c>
      <c r="C115" s="16" t="s">
        <v>2695</v>
      </c>
      <c r="D115" s="16" t="s">
        <v>2443</v>
      </c>
      <c r="E115" s="16" t="s">
        <v>48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25</v>
      </c>
      <c r="O115" s="16" t="s">
        <v>2697</v>
      </c>
      <c r="P115" s="16" t="s">
        <v>2698</v>
      </c>
      <c r="Q115" s="33" t="s">
        <v>2671</v>
      </c>
    </row>
    <row r="116" spans="1:17" ht="17.100000000000001" customHeight="1">
      <c r="A116" s="22">
        <v>45912</v>
      </c>
      <c r="B116" s="15" t="s">
        <v>1191</v>
      </c>
      <c r="C116" s="16" t="s">
        <v>2695</v>
      </c>
      <c r="D116" s="16" t="s">
        <v>2693</v>
      </c>
      <c r="E116" s="16" t="s">
        <v>2638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54">
        <f>180/2</f>
        <v>90</v>
      </c>
      <c r="O116" s="16" t="s">
        <v>2702</v>
      </c>
      <c r="P116" s="16" t="s">
        <v>2699</v>
      </c>
      <c r="Q116" s="33" t="s">
        <v>2740</v>
      </c>
    </row>
    <row r="117" spans="1:17" ht="17.100000000000001" customHeight="1">
      <c r="A117" s="22">
        <v>45912</v>
      </c>
      <c r="B117" s="15" t="s">
        <v>1191</v>
      </c>
      <c r="C117" s="16" t="s">
        <v>2695</v>
      </c>
      <c r="D117" s="16" t="s">
        <v>2693</v>
      </c>
      <c r="E117" s="16" t="s">
        <v>2666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410</v>
      </c>
      <c r="O117" s="16" t="s">
        <v>2702</v>
      </c>
      <c r="P117" s="16" t="s">
        <v>2699</v>
      </c>
      <c r="Q117" s="33" t="s">
        <v>2740</v>
      </c>
    </row>
    <row r="118" spans="1:17" ht="17.100000000000001" customHeight="1">
      <c r="A118" s="22">
        <v>45912</v>
      </c>
      <c r="B118" s="15" t="s">
        <v>2004</v>
      </c>
      <c r="C118" s="16" t="s">
        <v>2695</v>
      </c>
      <c r="D118" s="16" t="s">
        <v>2701</v>
      </c>
      <c r="E118" s="16" t="s">
        <v>48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40</v>
      </c>
      <c r="O118" s="16" t="s">
        <v>2703</v>
      </c>
      <c r="P118" s="16" t="s">
        <v>2700</v>
      </c>
      <c r="Q118" s="33" t="s">
        <v>2739</v>
      </c>
    </row>
    <row r="119" spans="1:17" ht="17.100000000000001" customHeight="1">
      <c r="A119" s="22">
        <v>45912</v>
      </c>
      <c r="B119" s="15" t="s">
        <v>59</v>
      </c>
      <c r="C119" s="16" t="s">
        <v>2695</v>
      </c>
      <c r="D119" s="16" t="s">
        <v>2705</v>
      </c>
      <c r="E119" s="16" t="s">
        <v>48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120</v>
      </c>
      <c r="O119" s="16" t="s">
        <v>2450</v>
      </c>
      <c r="P119" s="16" t="s">
        <v>2704</v>
      </c>
      <c r="Q119" s="33" t="s">
        <v>2738</v>
      </c>
    </row>
    <row r="120" spans="1:17" ht="17.100000000000001" customHeight="1">
      <c r="A120" s="22">
        <v>45912</v>
      </c>
      <c r="B120" s="15" t="s">
        <v>28</v>
      </c>
      <c r="C120" s="16" t="s">
        <v>2695</v>
      </c>
      <c r="D120" s="16" t="s">
        <v>2655</v>
      </c>
      <c r="E120" s="16" t="s">
        <v>2707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40</v>
      </c>
      <c r="O120" s="16" t="s">
        <v>2450</v>
      </c>
      <c r="P120" s="16" t="s">
        <v>2706</v>
      </c>
      <c r="Q120" s="33" t="s">
        <v>2737</v>
      </c>
    </row>
    <row r="121" spans="1:17" ht="17.100000000000001" customHeight="1">
      <c r="A121" s="22">
        <v>45912</v>
      </c>
      <c r="B121" s="15" t="s">
        <v>1407</v>
      </c>
      <c r="C121" s="16" t="s">
        <v>2695</v>
      </c>
      <c r="D121" s="16" t="s">
        <v>48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40</v>
      </c>
      <c r="O121" s="16" t="s">
        <v>2450</v>
      </c>
      <c r="P121" s="16" t="s">
        <v>2708</v>
      </c>
      <c r="Q121" s="33" t="s">
        <v>2736</v>
      </c>
    </row>
    <row r="122" spans="1:17" ht="17.100000000000001" customHeight="1">
      <c r="A122" s="22">
        <v>45912</v>
      </c>
      <c r="B122" s="15" t="s">
        <v>214</v>
      </c>
      <c r="C122" s="16" t="s">
        <v>2695</v>
      </c>
      <c r="D122" s="16" t="s">
        <v>48</v>
      </c>
      <c r="E122" s="16" t="s">
        <v>48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125</v>
      </c>
      <c r="O122" s="16" t="s">
        <v>2621</v>
      </c>
      <c r="P122" s="16" t="s">
        <v>2709</v>
      </c>
      <c r="Q122" s="33" t="s">
        <v>2735</v>
      </c>
    </row>
    <row r="123" spans="1:17" ht="17.100000000000001" customHeight="1">
      <c r="A123" s="22">
        <v>45912</v>
      </c>
      <c r="B123" s="15" t="s">
        <v>2714</v>
      </c>
      <c r="C123" s="16" t="s">
        <v>2710</v>
      </c>
      <c r="D123" s="16" t="s">
        <v>48</v>
      </c>
      <c r="E123" s="16" t="s">
        <v>48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2715</v>
      </c>
      <c r="N123" s="16">
        <v>40</v>
      </c>
      <c r="O123" s="16" t="s">
        <v>2716</v>
      </c>
      <c r="P123" s="16" t="s">
        <v>2713</v>
      </c>
      <c r="Q123" s="33" t="s">
        <v>2734</v>
      </c>
    </row>
    <row r="124" spans="1:17" ht="17.100000000000001" customHeight="1">
      <c r="A124" s="22">
        <v>45915</v>
      </c>
      <c r="B124" s="15" t="s">
        <v>68</v>
      </c>
      <c r="C124" s="16" t="s">
        <v>2710</v>
      </c>
      <c r="D124" s="16" t="s">
        <v>48</v>
      </c>
      <c r="E124" s="16" t="s">
        <v>48</v>
      </c>
      <c r="F124" s="16" t="s">
        <v>2711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108</v>
      </c>
      <c r="O124" s="16" t="s">
        <v>2712</v>
      </c>
      <c r="P124" s="16" t="s">
        <v>2698</v>
      </c>
      <c r="Q124" s="33" t="s">
        <v>2733</v>
      </c>
    </row>
    <row r="125" spans="1:17" ht="17.100000000000001" customHeight="1">
      <c r="A125" s="22">
        <v>45915</v>
      </c>
      <c r="B125" s="15" t="s">
        <v>68</v>
      </c>
      <c r="C125" s="16" t="s">
        <v>2710</v>
      </c>
      <c r="D125" s="16" t="s">
        <v>48</v>
      </c>
      <c r="E125" s="16" t="s">
        <v>48</v>
      </c>
      <c r="F125" s="16" t="s">
        <v>2718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12</v>
      </c>
      <c r="O125" s="16" t="s">
        <v>2712</v>
      </c>
      <c r="P125" s="16" t="s">
        <v>2698</v>
      </c>
      <c r="Q125" s="33" t="s">
        <v>2733</v>
      </c>
    </row>
    <row r="126" spans="1:17" ht="17.100000000000001" customHeight="1">
      <c r="A126" s="22">
        <v>45915</v>
      </c>
      <c r="B126" s="15" t="s">
        <v>68</v>
      </c>
      <c r="C126" s="16" t="s">
        <v>2710</v>
      </c>
      <c r="D126" s="16" t="s">
        <v>48</v>
      </c>
      <c r="E126" s="16" t="s">
        <v>48</v>
      </c>
      <c r="F126" s="16" t="s">
        <v>2719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5</v>
      </c>
      <c r="O126" s="16" t="s">
        <v>2712</v>
      </c>
      <c r="P126" s="16" t="s">
        <v>2698</v>
      </c>
      <c r="Q126" s="33" t="s">
        <v>2733</v>
      </c>
    </row>
    <row r="127" spans="1:17" ht="17.100000000000001" customHeight="1">
      <c r="A127" s="22">
        <v>45915</v>
      </c>
      <c r="B127" s="15" t="s">
        <v>2717</v>
      </c>
      <c r="C127" s="16" t="s">
        <v>2710</v>
      </c>
      <c r="D127" s="16" t="s">
        <v>2701</v>
      </c>
      <c r="E127" s="16" t="s">
        <v>2721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f>440/2</f>
        <v>220</v>
      </c>
      <c r="O127" s="16" t="s">
        <v>2724</v>
      </c>
      <c r="P127" s="16" t="s">
        <v>2729</v>
      </c>
      <c r="Q127" s="33" t="s">
        <v>2730</v>
      </c>
    </row>
    <row r="128" spans="1:17" ht="17.100000000000001" customHeight="1">
      <c r="A128" s="22">
        <v>45915</v>
      </c>
      <c r="B128" s="15" t="s">
        <v>2717</v>
      </c>
      <c r="C128" s="16" t="s">
        <v>2710</v>
      </c>
      <c r="D128" s="16" t="s">
        <v>2701</v>
      </c>
      <c r="E128" s="16" t="s">
        <v>2722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f>240/2</f>
        <v>120</v>
      </c>
      <c r="O128" s="16" t="s">
        <v>2724</v>
      </c>
      <c r="P128" s="16" t="s">
        <v>2729</v>
      </c>
      <c r="Q128" s="33" t="s">
        <v>2730</v>
      </c>
    </row>
    <row r="129" spans="1:1010 1025:2034 2049:3058 3073:4082 4097:5106 5121:6130 6145:7154 7169:8178 8193:9202 9217:10226 10241:11250 11265:12274 12289:13298 13313:14322 14337:15346 15361:16370" ht="17.100000000000001" customHeight="1">
      <c r="A129" s="22">
        <v>45915</v>
      </c>
      <c r="B129" s="15" t="s">
        <v>2717</v>
      </c>
      <c r="C129" s="16" t="s">
        <v>2710</v>
      </c>
      <c r="D129" s="16" t="s">
        <v>2720</v>
      </c>
      <c r="E129" s="16" t="s">
        <v>2723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160</v>
      </c>
      <c r="O129" s="16" t="s">
        <v>2724</v>
      </c>
      <c r="P129" s="16" t="s">
        <v>2729</v>
      </c>
      <c r="Q129" s="33" t="s">
        <v>2730</v>
      </c>
    </row>
    <row r="130" spans="1:1010 1025:2034 2049:3058 3073:4082 4097:5106 5121:6130 6145:7154 7169:8178 8193:9202 9217:10226 10241:11250 11265:12274 12289:13298 13313:14322 14337:15346 15361:16370" ht="17.100000000000001" customHeight="1">
      <c r="A130" s="22">
        <v>45917</v>
      </c>
      <c r="B130" s="15" t="s">
        <v>41</v>
      </c>
      <c r="C130" s="16" t="s">
        <v>2726</v>
      </c>
      <c r="D130" s="16" t="s">
        <v>2705</v>
      </c>
      <c r="E130" s="16" t="s">
        <v>2727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240</v>
      </c>
      <c r="O130" s="16" t="s">
        <v>2728</v>
      </c>
      <c r="P130" s="16" t="s">
        <v>2731</v>
      </c>
      <c r="Q130" s="33" t="s">
        <v>2732</v>
      </c>
    </row>
    <row r="131" spans="1:1010 1025:2034 2049:3058 3073:4082 4097:5106 5121:6130 6145:7154 7169:8178 8193:9202 9217:10226 10241:11250 11265:12274 12289:13298 13313:14322 14337:15346 15361:16370" ht="17.100000000000001" customHeight="1">
      <c r="A131" s="22">
        <v>45917</v>
      </c>
      <c r="B131" s="15" t="s">
        <v>41</v>
      </c>
      <c r="C131" s="16" t="s">
        <v>2726</v>
      </c>
      <c r="D131" s="16" t="s">
        <v>2725</v>
      </c>
      <c r="E131" s="16" t="s">
        <v>2715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f>144/2</f>
        <v>72</v>
      </c>
      <c r="O131" s="16" t="s">
        <v>2728</v>
      </c>
      <c r="P131" s="16" t="s">
        <v>2731</v>
      </c>
      <c r="Q131" s="33" t="s">
        <v>2732</v>
      </c>
    </row>
    <row r="132" spans="1:1010 1025:2034 2049:3058 3073:4082 4097:5106 5121:6130 6145:7154 7169:8178 8193:9202 9217:10226 10241:11250 11265:12274 12289:13298 13313:14322 14337:15346 15361:16370" ht="17.100000000000001" customHeight="1">
      <c r="A132" s="22">
        <v>45918</v>
      </c>
      <c r="B132" s="15" t="s">
        <v>41</v>
      </c>
      <c r="C132" s="16" t="s">
        <v>2748</v>
      </c>
      <c r="D132" s="16" t="s">
        <v>2725</v>
      </c>
      <c r="E132" s="16" t="s">
        <v>2727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120</v>
      </c>
      <c r="O132" s="16" t="s">
        <v>2728</v>
      </c>
      <c r="P132" s="16" t="s">
        <v>2731</v>
      </c>
      <c r="Q132" s="33" t="s">
        <v>2732</v>
      </c>
    </row>
    <row r="133" spans="1:1010 1025:2034 2049:3058 3073:4082 4097:5106 5121:6130 6145:7154 7169:8178 8193:9202 9217:10226 10241:11250 11265:12274 12289:13298 13313:14322 14337:15346 15361:16370" ht="17.100000000000001" customHeight="1">
      <c r="A133" s="22">
        <v>45918</v>
      </c>
      <c r="B133" s="15" t="s">
        <v>41</v>
      </c>
      <c r="C133" s="16" t="s">
        <v>2748</v>
      </c>
      <c r="D133" s="16" t="s">
        <v>2747</v>
      </c>
      <c r="E133" s="16" t="s">
        <v>2715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48</v>
      </c>
      <c r="O133" s="16" t="s">
        <v>2728</v>
      </c>
      <c r="P133" s="16" t="s">
        <v>2731</v>
      </c>
      <c r="Q133" s="33" t="s">
        <v>2732</v>
      </c>
    </row>
    <row r="134" spans="1:1010 1025:2034 2049:3058 3073:4082 4097:5106 5121:6130 6145:7154 7169:8178 8193:9202 9217:10226 10241:11250 11265:12274 12289:13298 13313:14322 14337:15346 15361:16370" ht="17.100000000000001" customHeight="1">
      <c r="A134" s="22">
        <v>45918</v>
      </c>
      <c r="B134" s="15" t="s">
        <v>904</v>
      </c>
      <c r="C134" s="16" t="s">
        <v>2748</v>
      </c>
      <c r="D134" s="16" t="s">
        <v>2749</v>
      </c>
      <c r="E134" s="16" t="s">
        <v>48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2727</v>
      </c>
      <c r="N134" s="16">
        <v>41</v>
      </c>
      <c r="O134" s="16" t="s">
        <v>2336</v>
      </c>
      <c r="P134" s="16" t="s">
        <v>2777</v>
      </c>
      <c r="Q134" s="33" t="s">
        <v>2773</v>
      </c>
    </row>
    <row r="135" spans="1:1010 1025:2034 2049:3058 3073:4082 4097:5106 5121:6130 6145:7154 7169:8178 8193:9202 9217:10226 10241:11250 11265:12274 12289:13298 13313:14322 14337:15346 15361:16370" s="16" customFormat="1" ht="17.100000000000001" customHeight="1">
      <c r="A135" s="22">
        <v>45922</v>
      </c>
      <c r="B135" s="15" t="s">
        <v>654</v>
      </c>
      <c r="C135" s="16" t="s">
        <v>2750</v>
      </c>
      <c r="D135" s="16" t="s">
        <v>2297</v>
      </c>
      <c r="E135" s="16" t="s">
        <v>2751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10</v>
      </c>
      <c r="O135" s="16" t="s">
        <v>55</v>
      </c>
      <c r="P135" s="16" t="s">
        <v>2774</v>
      </c>
      <c r="Q135" s="17" t="s">
        <v>2772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17"/>
      <c r="AH135" s="15"/>
      <c r="AW135" s="17"/>
      <c r="AX135" s="15"/>
      <c r="BM135" s="17"/>
      <c r="BN135" s="15"/>
      <c r="CC135" s="17"/>
      <c r="CD135" s="15"/>
      <c r="CS135" s="17"/>
      <c r="CT135" s="15"/>
      <c r="DI135" s="17"/>
      <c r="DJ135" s="15"/>
      <c r="DY135" s="17"/>
      <c r="DZ135" s="15"/>
      <c r="EO135" s="17"/>
      <c r="EP135" s="15"/>
      <c r="FE135" s="17"/>
      <c r="FF135" s="15"/>
      <c r="FU135" s="17"/>
      <c r="FV135" s="15"/>
      <c r="GK135" s="17"/>
      <c r="GL135" s="15"/>
      <c r="HA135" s="17"/>
      <c r="HB135" s="15"/>
      <c r="HQ135" s="17"/>
      <c r="HR135" s="15"/>
      <c r="IG135" s="17"/>
      <c r="IH135" s="15"/>
      <c r="IW135" s="17"/>
      <c r="IX135" s="15"/>
      <c r="JM135" s="17"/>
      <c r="JN135" s="15"/>
      <c r="KC135" s="17"/>
      <c r="KD135" s="15"/>
      <c r="KS135" s="17"/>
      <c r="KT135" s="15"/>
      <c r="LI135" s="17"/>
      <c r="LJ135" s="15"/>
      <c r="LY135" s="17"/>
      <c r="LZ135" s="15"/>
      <c r="MO135" s="17"/>
      <c r="MP135" s="15"/>
      <c r="NE135" s="17"/>
      <c r="NF135" s="15"/>
      <c r="NU135" s="17"/>
      <c r="NV135" s="15"/>
      <c r="OK135" s="17"/>
      <c r="OL135" s="15"/>
      <c r="PA135" s="17"/>
      <c r="PB135" s="15"/>
      <c r="PQ135" s="17"/>
      <c r="PR135" s="15"/>
      <c r="QG135" s="17"/>
      <c r="QH135" s="15"/>
      <c r="QW135" s="17"/>
      <c r="QX135" s="15"/>
      <c r="RM135" s="17"/>
      <c r="RN135" s="15"/>
      <c r="SC135" s="17"/>
      <c r="SD135" s="15"/>
      <c r="SS135" s="17"/>
      <c r="ST135" s="15"/>
      <c r="TI135" s="17"/>
      <c r="TJ135" s="15"/>
      <c r="TY135" s="17"/>
      <c r="TZ135" s="15"/>
      <c r="UO135" s="17"/>
      <c r="UP135" s="15"/>
      <c r="VE135" s="17"/>
      <c r="VF135" s="15"/>
      <c r="VU135" s="17"/>
      <c r="VV135" s="15"/>
      <c r="WK135" s="17"/>
      <c r="WL135" s="15"/>
      <c r="XA135" s="17"/>
      <c r="XB135" s="15"/>
      <c r="XQ135" s="17"/>
      <c r="XR135" s="15"/>
      <c r="YG135" s="17"/>
      <c r="YH135" s="15"/>
      <c r="YW135" s="17"/>
      <c r="YX135" s="15"/>
      <c r="ZM135" s="17"/>
      <c r="ZN135" s="15"/>
      <c r="AAC135" s="17"/>
      <c r="AAD135" s="15"/>
      <c r="AAS135" s="17"/>
      <c r="AAT135" s="15"/>
      <c r="ABI135" s="17"/>
      <c r="ABJ135" s="15"/>
      <c r="ABY135" s="17"/>
      <c r="ABZ135" s="15"/>
      <c r="ACO135" s="17"/>
      <c r="ACP135" s="15"/>
      <c r="ADE135" s="17"/>
      <c r="ADF135" s="15"/>
      <c r="ADU135" s="17"/>
      <c r="ADV135" s="15"/>
      <c r="AEK135" s="17"/>
      <c r="AEL135" s="15"/>
      <c r="AFA135" s="17"/>
      <c r="AFB135" s="15"/>
      <c r="AFQ135" s="17"/>
      <c r="AFR135" s="15"/>
      <c r="AGG135" s="17"/>
      <c r="AGH135" s="15"/>
      <c r="AGW135" s="17"/>
      <c r="AGX135" s="15"/>
      <c r="AHM135" s="17"/>
      <c r="AHN135" s="15"/>
      <c r="AIC135" s="17"/>
      <c r="AID135" s="15"/>
      <c r="AIS135" s="17"/>
      <c r="AIT135" s="15"/>
      <c r="AJI135" s="17"/>
      <c r="AJJ135" s="15"/>
      <c r="AJY135" s="17"/>
      <c r="AJZ135" s="15"/>
      <c r="AKO135" s="17"/>
      <c r="AKP135" s="15"/>
      <c r="ALE135" s="17"/>
      <c r="ALF135" s="15"/>
      <c r="ALU135" s="17"/>
      <c r="ALV135" s="15"/>
      <c r="AMK135" s="17"/>
      <c r="AML135" s="15"/>
      <c r="ANA135" s="17"/>
      <c r="ANB135" s="15"/>
      <c r="ANQ135" s="17"/>
      <c r="ANR135" s="15"/>
      <c r="AOG135" s="17"/>
      <c r="AOH135" s="15"/>
      <c r="AOW135" s="17"/>
      <c r="AOX135" s="15"/>
      <c r="APM135" s="17"/>
      <c r="APN135" s="15"/>
      <c r="AQC135" s="17"/>
      <c r="AQD135" s="15"/>
      <c r="AQS135" s="17"/>
      <c r="AQT135" s="15"/>
      <c r="ARI135" s="17"/>
      <c r="ARJ135" s="15"/>
      <c r="ARY135" s="17"/>
      <c r="ARZ135" s="15"/>
      <c r="ASO135" s="17"/>
      <c r="ASP135" s="15"/>
      <c r="ATE135" s="17"/>
      <c r="ATF135" s="15"/>
      <c r="ATU135" s="17"/>
      <c r="ATV135" s="15"/>
      <c r="AUK135" s="17"/>
      <c r="AUL135" s="15"/>
      <c r="AVA135" s="17"/>
      <c r="AVB135" s="15"/>
      <c r="AVQ135" s="17"/>
      <c r="AVR135" s="15"/>
      <c r="AWG135" s="17"/>
      <c r="AWH135" s="15"/>
      <c r="AWW135" s="17"/>
      <c r="AWX135" s="15"/>
      <c r="AXM135" s="17"/>
      <c r="AXN135" s="15"/>
      <c r="AYC135" s="17"/>
      <c r="AYD135" s="15"/>
      <c r="AYS135" s="17"/>
      <c r="AYT135" s="15"/>
      <c r="AZI135" s="17"/>
      <c r="AZJ135" s="15"/>
      <c r="AZY135" s="17"/>
      <c r="AZZ135" s="15"/>
      <c r="BAO135" s="17"/>
      <c r="BAP135" s="15"/>
      <c r="BBE135" s="17"/>
      <c r="BBF135" s="15"/>
      <c r="BBU135" s="17"/>
      <c r="BBV135" s="15"/>
      <c r="BCK135" s="17"/>
      <c r="BCL135" s="15"/>
      <c r="BDA135" s="17"/>
      <c r="BDB135" s="15"/>
      <c r="BDQ135" s="17"/>
      <c r="BDR135" s="15"/>
      <c r="BEG135" s="17"/>
      <c r="BEH135" s="15"/>
      <c r="BEW135" s="17"/>
      <c r="BEX135" s="15"/>
      <c r="BFM135" s="17"/>
      <c r="BFN135" s="15"/>
      <c r="BGC135" s="17"/>
      <c r="BGD135" s="15"/>
      <c r="BGS135" s="17"/>
      <c r="BGT135" s="15"/>
      <c r="BHI135" s="17"/>
      <c r="BHJ135" s="15"/>
      <c r="BHY135" s="17"/>
      <c r="BHZ135" s="15"/>
      <c r="BIO135" s="17"/>
      <c r="BIP135" s="15"/>
      <c r="BJE135" s="17"/>
      <c r="BJF135" s="15"/>
      <c r="BJU135" s="17"/>
      <c r="BJV135" s="15"/>
      <c r="BKK135" s="17"/>
      <c r="BKL135" s="15"/>
      <c r="BLA135" s="17"/>
      <c r="BLB135" s="15"/>
      <c r="BLQ135" s="17"/>
      <c r="BLR135" s="15"/>
      <c r="BMG135" s="17"/>
      <c r="BMH135" s="15"/>
      <c r="BMW135" s="17"/>
      <c r="BMX135" s="15"/>
      <c r="BNM135" s="17"/>
      <c r="BNN135" s="15"/>
      <c r="BOC135" s="17"/>
      <c r="BOD135" s="15"/>
      <c r="BOS135" s="17"/>
      <c r="BOT135" s="15"/>
      <c r="BPI135" s="17"/>
      <c r="BPJ135" s="15"/>
      <c r="BPY135" s="17"/>
      <c r="BPZ135" s="15"/>
      <c r="BQO135" s="17"/>
      <c r="BQP135" s="15"/>
      <c r="BRE135" s="17"/>
      <c r="BRF135" s="15"/>
      <c r="BRU135" s="17"/>
      <c r="BRV135" s="15"/>
      <c r="BSK135" s="17"/>
      <c r="BSL135" s="15"/>
      <c r="BTA135" s="17"/>
      <c r="BTB135" s="15"/>
      <c r="BTQ135" s="17"/>
      <c r="BTR135" s="15"/>
      <c r="BUG135" s="17"/>
      <c r="BUH135" s="15"/>
      <c r="BUW135" s="17"/>
      <c r="BUX135" s="15"/>
      <c r="BVM135" s="17"/>
      <c r="BVN135" s="15"/>
      <c r="BWC135" s="17"/>
      <c r="BWD135" s="15"/>
      <c r="BWS135" s="17"/>
      <c r="BWT135" s="15"/>
      <c r="BXI135" s="17"/>
      <c r="BXJ135" s="15"/>
      <c r="BXY135" s="17"/>
      <c r="BXZ135" s="15"/>
      <c r="BYO135" s="17"/>
      <c r="BYP135" s="15"/>
      <c r="BZE135" s="17"/>
      <c r="BZF135" s="15"/>
      <c r="BZU135" s="17"/>
      <c r="BZV135" s="15"/>
      <c r="CAK135" s="17"/>
      <c r="CAL135" s="15"/>
      <c r="CBA135" s="17"/>
      <c r="CBB135" s="15"/>
      <c r="CBQ135" s="17"/>
      <c r="CBR135" s="15"/>
      <c r="CCG135" s="17"/>
      <c r="CCH135" s="15"/>
      <c r="CCW135" s="17"/>
      <c r="CCX135" s="15"/>
      <c r="CDM135" s="17"/>
      <c r="CDN135" s="15"/>
      <c r="CEC135" s="17"/>
      <c r="CED135" s="15"/>
      <c r="CES135" s="17"/>
      <c r="CET135" s="15"/>
      <c r="CFI135" s="17"/>
      <c r="CFJ135" s="15"/>
      <c r="CFY135" s="17"/>
      <c r="CFZ135" s="15"/>
      <c r="CGO135" s="17"/>
      <c r="CGP135" s="15"/>
      <c r="CHE135" s="17"/>
      <c r="CHF135" s="15"/>
      <c r="CHU135" s="17"/>
      <c r="CHV135" s="15"/>
      <c r="CIK135" s="17"/>
      <c r="CIL135" s="15"/>
      <c r="CJA135" s="17"/>
      <c r="CJB135" s="15"/>
      <c r="CJQ135" s="17"/>
      <c r="CJR135" s="15"/>
      <c r="CKG135" s="17"/>
      <c r="CKH135" s="15"/>
      <c r="CKW135" s="17"/>
      <c r="CKX135" s="15"/>
      <c r="CLM135" s="17"/>
      <c r="CLN135" s="15"/>
      <c r="CMC135" s="17"/>
      <c r="CMD135" s="15"/>
      <c r="CMS135" s="17"/>
      <c r="CMT135" s="15"/>
      <c r="CNI135" s="17"/>
      <c r="CNJ135" s="15"/>
      <c r="CNY135" s="17"/>
      <c r="CNZ135" s="15"/>
      <c r="COO135" s="17"/>
      <c r="COP135" s="15"/>
      <c r="CPE135" s="17"/>
      <c r="CPF135" s="15"/>
      <c r="CPU135" s="17"/>
      <c r="CPV135" s="15"/>
      <c r="CQK135" s="17"/>
      <c r="CQL135" s="15"/>
      <c r="CRA135" s="17"/>
      <c r="CRB135" s="15"/>
      <c r="CRQ135" s="17"/>
      <c r="CRR135" s="15"/>
      <c r="CSG135" s="17"/>
      <c r="CSH135" s="15"/>
      <c r="CSW135" s="17"/>
      <c r="CSX135" s="15"/>
      <c r="CTM135" s="17"/>
      <c r="CTN135" s="15"/>
      <c r="CUC135" s="17"/>
      <c r="CUD135" s="15"/>
      <c r="CUS135" s="17"/>
      <c r="CUT135" s="15"/>
      <c r="CVI135" s="17"/>
      <c r="CVJ135" s="15"/>
      <c r="CVY135" s="17"/>
      <c r="CVZ135" s="15"/>
      <c r="CWO135" s="17"/>
      <c r="CWP135" s="15"/>
      <c r="CXE135" s="17"/>
      <c r="CXF135" s="15"/>
      <c r="CXU135" s="17"/>
      <c r="CXV135" s="15"/>
      <c r="CYK135" s="17"/>
      <c r="CYL135" s="15"/>
      <c r="CZA135" s="17"/>
      <c r="CZB135" s="15"/>
      <c r="CZQ135" s="17"/>
      <c r="CZR135" s="15"/>
      <c r="DAG135" s="17"/>
      <c r="DAH135" s="15"/>
      <c r="DAW135" s="17"/>
      <c r="DAX135" s="15"/>
      <c r="DBM135" s="17"/>
      <c r="DBN135" s="15"/>
      <c r="DCC135" s="17"/>
      <c r="DCD135" s="15"/>
      <c r="DCS135" s="17"/>
      <c r="DCT135" s="15"/>
      <c r="DDI135" s="17"/>
      <c r="DDJ135" s="15"/>
      <c r="DDY135" s="17"/>
      <c r="DDZ135" s="15"/>
      <c r="DEO135" s="17"/>
      <c r="DEP135" s="15"/>
      <c r="DFE135" s="17"/>
      <c r="DFF135" s="15"/>
      <c r="DFU135" s="17"/>
      <c r="DFV135" s="15"/>
      <c r="DGK135" s="17"/>
      <c r="DGL135" s="15"/>
      <c r="DHA135" s="17"/>
      <c r="DHB135" s="15"/>
      <c r="DHQ135" s="17"/>
      <c r="DHR135" s="15"/>
      <c r="DIG135" s="17"/>
      <c r="DIH135" s="15"/>
      <c r="DIW135" s="17"/>
      <c r="DIX135" s="15"/>
      <c r="DJM135" s="17"/>
      <c r="DJN135" s="15"/>
      <c r="DKC135" s="17"/>
      <c r="DKD135" s="15"/>
      <c r="DKS135" s="17"/>
      <c r="DKT135" s="15"/>
      <c r="DLI135" s="17"/>
      <c r="DLJ135" s="15"/>
      <c r="DLY135" s="17"/>
      <c r="DLZ135" s="15"/>
      <c r="DMO135" s="17"/>
      <c r="DMP135" s="15"/>
      <c r="DNE135" s="17"/>
      <c r="DNF135" s="15"/>
      <c r="DNU135" s="17"/>
      <c r="DNV135" s="15"/>
      <c r="DOK135" s="17"/>
      <c r="DOL135" s="15"/>
      <c r="DPA135" s="17"/>
      <c r="DPB135" s="15"/>
      <c r="DPQ135" s="17"/>
      <c r="DPR135" s="15"/>
      <c r="DQG135" s="17"/>
      <c r="DQH135" s="15"/>
      <c r="DQW135" s="17"/>
      <c r="DQX135" s="15"/>
      <c r="DRM135" s="17"/>
      <c r="DRN135" s="15"/>
      <c r="DSC135" s="17"/>
      <c r="DSD135" s="15"/>
      <c r="DSS135" s="17"/>
      <c r="DST135" s="15"/>
      <c r="DTI135" s="17"/>
      <c r="DTJ135" s="15"/>
      <c r="DTY135" s="17"/>
      <c r="DTZ135" s="15"/>
      <c r="DUO135" s="17"/>
      <c r="DUP135" s="15"/>
      <c r="DVE135" s="17"/>
      <c r="DVF135" s="15"/>
      <c r="DVU135" s="17"/>
      <c r="DVV135" s="15"/>
      <c r="DWK135" s="17"/>
      <c r="DWL135" s="15"/>
      <c r="DXA135" s="17"/>
      <c r="DXB135" s="15"/>
      <c r="DXQ135" s="17"/>
      <c r="DXR135" s="15"/>
      <c r="DYG135" s="17"/>
      <c r="DYH135" s="15"/>
      <c r="DYW135" s="17"/>
      <c r="DYX135" s="15"/>
      <c r="DZM135" s="17"/>
      <c r="DZN135" s="15"/>
      <c r="EAC135" s="17"/>
      <c r="EAD135" s="15"/>
      <c r="EAS135" s="17"/>
      <c r="EAT135" s="15"/>
      <c r="EBI135" s="17"/>
      <c r="EBJ135" s="15"/>
      <c r="EBY135" s="17"/>
      <c r="EBZ135" s="15"/>
      <c r="ECO135" s="17"/>
      <c r="ECP135" s="15"/>
      <c r="EDE135" s="17"/>
      <c r="EDF135" s="15"/>
      <c r="EDU135" s="17"/>
      <c r="EDV135" s="15"/>
      <c r="EEK135" s="17"/>
      <c r="EEL135" s="15"/>
      <c r="EFA135" s="17"/>
      <c r="EFB135" s="15"/>
      <c r="EFQ135" s="17"/>
      <c r="EFR135" s="15"/>
      <c r="EGG135" s="17"/>
      <c r="EGH135" s="15"/>
      <c r="EGW135" s="17"/>
      <c r="EGX135" s="15"/>
      <c r="EHM135" s="17"/>
      <c r="EHN135" s="15"/>
      <c r="EIC135" s="17"/>
      <c r="EID135" s="15"/>
      <c r="EIS135" s="17"/>
      <c r="EIT135" s="15"/>
      <c r="EJI135" s="17"/>
      <c r="EJJ135" s="15"/>
      <c r="EJY135" s="17"/>
      <c r="EJZ135" s="15"/>
      <c r="EKO135" s="17"/>
      <c r="EKP135" s="15"/>
      <c r="ELE135" s="17"/>
      <c r="ELF135" s="15"/>
      <c r="ELU135" s="17"/>
      <c r="ELV135" s="15"/>
      <c r="EMK135" s="17"/>
      <c r="EML135" s="15"/>
      <c r="ENA135" s="17"/>
      <c r="ENB135" s="15"/>
      <c r="ENQ135" s="17"/>
      <c r="ENR135" s="15"/>
      <c r="EOG135" s="17"/>
      <c r="EOH135" s="15"/>
      <c r="EOW135" s="17"/>
      <c r="EOX135" s="15"/>
      <c r="EPM135" s="17"/>
      <c r="EPN135" s="15"/>
      <c r="EQC135" s="17"/>
      <c r="EQD135" s="15"/>
      <c r="EQS135" s="17"/>
      <c r="EQT135" s="15"/>
      <c r="ERI135" s="17"/>
      <c r="ERJ135" s="15"/>
      <c r="ERY135" s="17"/>
      <c r="ERZ135" s="15"/>
      <c r="ESO135" s="17"/>
      <c r="ESP135" s="15"/>
      <c r="ETE135" s="17"/>
      <c r="ETF135" s="15"/>
      <c r="ETU135" s="17"/>
      <c r="ETV135" s="15"/>
      <c r="EUK135" s="17"/>
      <c r="EUL135" s="15"/>
      <c r="EVA135" s="17"/>
      <c r="EVB135" s="15"/>
      <c r="EVQ135" s="17"/>
      <c r="EVR135" s="15"/>
      <c r="EWG135" s="17"/>
      <c r="EWH135" s="15"/>
      <c r="EWW135" s="17"/>
      <c r="EWX135" s="15"/>
      <c r="EXM135" s="17"/>
      <c r="EXN135" s="15"/>
      <c r="EYC135" s="17"/>
      <c r="EYD135" s="15"/>
      <c r="EYS135" s="17"/>
      <c r="EYT135" s="15"/>
      <c r="EZI135" s="17"/>
      <c r="EZJ135" s="15"/>
      <c r="EZY135" s="17"/>
      <c r="EZZ135" s="15"/>
      <c r="FAO135" s="17"/>
      <c r="FAP135" s="15"/>
      <c r="FBE135" s="17"/>
      <c r="FBF135" s="15"/>
      <c r="FBU135" s="17"/>
      <c r="FBV135" s="15"/>
      <c r="FCK135" s="17"/>
      <c r="FCL135" s="15"/>
      <c r="FDA135" s="17"/>
      <c r="FDB135" s="15"/>
      <c r="FDQ135" s="17"/>
      <c r="FDR135" s="15"/>
      <c r="FEG135" s="17"/>
      <c r="FEH135" s="15"/>
      <c r="FEW135" s="17"/>
      <c r="FEX135" s="15"/>
      <c r="FFM135" s="17"/>
      <c r="FFN135" s="15"/>
      <c r="FGC135" s="17"/>
      <c r="FGD135" s="15"/>
      <c r="FGS135" s="17"/>
      <c r="FGT135" s="15"/>
      <c r="FHI135" s="17"/>
      <c r="FHJ135" s="15"/>
      <c r="FHY135" s="17"/>
      <c r="FHZ135" s="15"/>
      <c r="FIO135" s="17"/>
      <c r="FIP135" s="15"/>
      <c r="FJE135" s="17"/>
      <c r="FJF135" s="15"/>
      <c r="FJU135" s="17"/>
      <c r="FJV135" s="15"/>
      <c r="FKK135" s="17"/>
      <c r="FKL135" s="15"/>
      <c r="FLA135" s="17"/>
      <c r="FLB135" s="15"/>
      <c r="FLQ135" s="17"/>
      <c r="FLR135" s="15"/>
      <c r="FMG135" s="17"/>
      <c r="FMH135" s="15"/>
      <c r="FMW135" s="17"/>
      <c r="FMX135" s="15"/>
      <c r="FNM135" s="17"/>
      <c r="FNN135" s="15"/>
      <c r="FOC135" s="17"/>
      <c r="FOD135" s="15"/>
      <c r="FOS135" s="17"/>
      <c r="FOT135" s="15"/>
      <c r="FPI135" s="17"/>
      <c r="FPJ135" s="15"/>
      <c r="FPY135" s="17"/>
      <c r="FPZ135" s="15"/>
      <c r="FQO135" s="17"/>
      <c r="FQP135" s="15"/>
      <c r="FRE135" s="17"/>
      <c r="FRF135" s="15"/>
      <c r="FRU135" s="17"/>
      <c r="FRV135" s="15"/>
      <c r="FSK135" s="17"/>
      <c r="FSL135" s="15"/>
      <c r="FTA135" s="17"/>
      <c r="FTB135" s="15"/>
      <c r="FTQ135" s="17"/>
      <c r="FTR135" s="15"/>
      <c r="FUG135" s="17"/>
      <c r="FUH135" s="15"/>
      <c r="FUW135" s="17"/>
      <c r="FUX135" s="15"/>
      <c r="FVM135" s="17"/>
      <c r="FVN135" s="15"/>
      <c r="FWC135" s="17"/>
      <c r="FWD135" s="15"/>
      <c r="FWS135" s="17"/>
      <c r="FWT135" s="15"/>
      <c r="FXI135" s="17"/>
      <c r="FXJ135" s="15"/>
      <c r="FXY135" s="17"/>
      <c r="FXZ135" s="15"/>
      <c r="FYO135" s="17"/>
      <c r="FYP135" s="15"/>
      <c r="FZE135" s="17"/>
      <c r="FZF135" s="15"/>
      <c r="FZU135" s="17"/>
      <c r="FZV135" s="15"/>
      <c r="GAK135" s="17"/>
      <c r="GAL135" s="15"/>
      <c r="GBA135" s="17"/>
      <c r="GBB135" s="15"/>
      <c r="GBQ135" s="17"/>
      <c r="GBR135" s="15"/>
      <c r="GCG135" s="17"/>
      <c r="GCH135" s="15"/>
      <c r="GCW135" s="17"/>
      <c r="GCX135" s="15"/>
      <c r="GDM135" s="17"/>
      <c r="GDN135" s="15"/>
      <c r="GEC135" s="17"/>
      <c r="GED135" s="15"/>
      <c r="GES135" s="17"/>
      <c r="GET135" s="15"/>
      <c r="GFI135" s="17"/>
      <c r="GFJ135" s="15"/>
      <c r="GFY135" s="17"/>
      <c r="GFZ135" s="15"/>
      <c r="GGO135" s="17"/>
      <c r="GGP135" s="15"/>
      <c r="GHE135" s="17"/>
      <c r="GHF135" s="15"/>
      <c r="GHU135" s="17"/>
      <c r="GHV135" s="15"/>
      <c r="GIK135" s="17"/>
      <c r="GIL135" s="15"/>
      <c r="GJA135" s="17"/>
      <c r="GJB135" s="15"/>
      <c r="GJQ135" s="17"/>
      <c r="GJR135" s="15"/>
      <c r="GKG135" s="17"/>
      <c r="GKH135" s="15"/>
      <c r="GKW135" s="17"/>
      <c r="GKX135" s="15"/>
      <c r="GLM135" s="17"/>
      <c r="GLN135" s="15"/>
      <c r="GMC135" s="17"/>
      <c r="GMD135" s="15"/>
      <c r="GMS135" s="17"/>
      <c r="GMT135" s="15"/>
      <c r="GNI135" s="17"/>
      <c r="GNJ135" s="15"/>
      <c r="GNY135" s="17"/>
      <c r="GNZ135" s="15"/>
      <c r="GOO135" s="17"/>
      <c r="GOP135" s="15"/>
      <c r="GPE135" s="17"/>
      <c r="GPF135" s="15"/>
      <c r="GPU135" s="17"/>
      <c r="GPV135" s="15"/>
      <c r="GQK135" s="17"/>
      <c r="GQL135" s="15"/>
      <c r="GRA135" s="17"/>
      <c r="GRB135" s="15"/>
      <c r="GRQ135" s="17"/>
      <c r="GRR135" s="15"/>
      <c r="GSG135" s="17"/>
      <c r="GSH135" s="15"/>
      <c r="GSW135" s="17"/>
      <c r="GSX135" s="15"/>
      <c r="GTM135" s="17"/>
      <c r="GTN135" s="15"/>
      <c r="GUC135" s="17"/>
      <c r="GUD135" s="15"/>
      <c r="GUS135" s="17"/>
      <c r="GUT135" s="15"/>
      <c r="GVI135" s="17"/>
      <c r="GVJ135" s="15"/>
      <c r="GVY135" s="17"/>
      <c r="GVZ135" s="15"/>
      <c r="GWO135" s="17"/>
      <c r="GWP135" s="15"/>
      <c r="GXE135" s="17"/>
      <c r="GXF135" s="15"/>
      <c r="GXU135" s="17"/>
      <c r="GXV135" s="15"/>
      <c r="GYK135" s="17"/>
      <c r="GYL135" s="15"/>
      <c r="GZA135" s="17"/>
      <c r="GZB135" s="15"/>
      <c r="GZQ135" s="17"/>
      <c r="GZR135" s="15"/>
      <c r="HAG135" s="17"/>
      <c r="HAH135" s="15"/>
      <c r="HAW135" s="17"/>
      <c r="HAX135" s="15"/>
      <c r="HBM135" s="17"/>
      <c r="HBN135" s="15"/>
      <c r="HCC135" s="17"/>
      <c r="HCD135" s="15"/>
      <c r="HCS135" s="17"/>
      <c r="HCT135" s="15"/>
      <c r="HDI135" s="17"/>
      <c r="HDJ135" s="15"/>
      <c r="HDY135" s="17"/>
      <c r="HDZ135" s="15"/>
      <c r="HEO135" s="17"/>
      <c r="HEP135" s="15"/>
      <c r="HFE135" s="17"/>
      <c r="HFF135" s="15"/>
      <c r="HFU135" s="17"/>
      <c r="HFV135" s="15"/>
      <c r="HGK135" s="17"/>
      <c r="HGL135" s="15"/>
      <c r="HHA135" s="17"/>
      <c r="HHB135" s="15"/>
      <c r="HHQ135" s="17"/>
      <c r="HHR135" s="15"/>
      <c r="HIG135" s="17"/>
      <c r="HIH135" s="15"/>
      <c r="HIW135" s="17"/>
      <c r="HIX135" s="15"/>
      <c r="HJM135" s="17"/>
      <c r="HJN135" s="15"/>
      <c r="HKC135" s="17"/>
      <c r="HKD135" s="15"/>
      <c r="HKS135" s="17"/>
      <c r="HKT135" s="15"/>
      <c r="HLI135" s="17"/>
      <c r="HLJ135" s="15"/>
      <c r="HLY135" s="17"/>
      <c r="HLZ135" s="15"/>
      <c r="HMO135" s="17"/>
      <c r="HMP135" s="15"/>
      <c r="HNE135" s="17"/>
      <c r="HNF135" s="15"/>
      <c r="HNU135" s="17"/>
      <c r="HNV135" s="15"/>
      <c r="HOK135" s="17"/>
      <c r="HOL135" s="15"/>
      <c r="HPA135" s="17"/>
      <c r="HPB135" s="15"/>
      <c r="HPQ135" s="17"/>
      <c r="HPR135" s="15"/>
      <c r="HQG135" s="17"/>
      <c r="HQH135" s="15"/>
      <c r="HQW135" s="17"/>
      <c r="HQX135" s="15"/>
      <c r="HRM135" s="17"/>
      <c r="HRN135" s="15"/>
      <c r="HSC135" s="17"/>
      <c r="HSD135" s="15"/>
      <c r="HSS135" s="17"/>
      <c r="HST135" s="15"/>
      <c r="HTI135" s="17"/>
      <c r="HTJ135" s="15"/>
      <c r="HTY135" s="17"/>
      <c r="HTZ135" s="15"/>
      <c r="HUO135" s="17"/>
      <c r="HUP135" s="15"/>
      <c r="HVE135" s="17"/>
      <c r="HVF135" s="15"/>
      <c r="HVU135" s="17"/>
      <c r="HVV135" s="15"/>
      <c r="HWK135" s="17"/>
      <c r="HWL135" s="15"/>
      <c r="HXA135" s="17"/>
      <c r="HXB135" s="15"/>
      <c r="HXQ135" s="17"/>
      <c r="HXR135" s="15"/>
      <c r="HYG135" s="17"/>
      <c r="HYH135" s="15"/>
      <c r="HYW135" s="17"/>
      <c r="HYX135" s="15"/>
      <c r="HZM135" s="17"/>
      <c r="HZN135" s="15"/>
      <c r="IAC135" s="17"/>
      <c r="IAD135" s="15"/>
      <c r="IAS135" s="17"/>
      <c r="IAT135" s="15"/>
      <c r="IBI135" s="17"/>
      <c r="IBJ135" s="15"/>
      <c r="IBY135" s="17"/>
      <c r="IBZ135" s="15"/>
      <c r="ICO135" s="17"/>
      <c r="ICP135" s="15"/>
      <c r="IDE135" s="17"/>
      <c r="IDF135" s="15"/>
      <c r="IDU135" s="17"/>
      <c r="IDV135" s="15"/>
      <c r="IEK135" s="17"/>
      <c r="IEL135" s="15"/>
      <c r="IFA135" s="17"/>
      <c r="IFB135" s="15"/>
      <c r="IFQ135" s="17"/>
      <c r="IFR135" s="15"/>
      <c r="IGG135" s="17"/>
      <c r="IGH135" s="15"/>
      <c r="IGW135" s="17"/>
      <c r="IGX135" s="15"/>
      <c r="IHM135" s="17"/>
      <c r="IHN135" s="15"/>
      <c r="IIC135" s="17"/>
      <c r="IID135" s="15"/>
      <c r="IIS135" s="17"/>
      <c r="IIT135" s="15"/>
      <c r="IJI135" s="17"/>
      <c r="IJJ135" s="15"/>
      <c r="IJY135" s="17"/>
      <c r="IJZ135" s="15"/>
      <c r="IKO135" s="17"/>
      <c r="IKP135" s="15"/>
      <c r="ILE135" s="17"/>
      <c r="ILF135" s="15"/>
      <c r="ILU135" s="17"/>
      <c r="ILV135" s="15"/>
      <c r="IMK135" s="17"/>
      <c r="IML135" s="15"/>
      <c r="INA135" s="17"/>
      <c r="INB135" s="15"/>
      <c r="INQ135" s="17"/>
      <c r="INR135" s="15"/>
      <c r="IOG135" s="17"/>
      <c r="IOH135" s="15"/>
      <c r="IOW135" s="17"/>
      <c r="IOX135" s="15"/>
      <c r="IPM135" s="17"/>
      <c r="IPN135" s="15"/>
      <c r="IQC135" s="17"/>
      <c r="IQD135" s="15"/>
      <c r="IQS135" s="17"/>
      <c r="IQT135" s="15"/>
      <c r="IRI135" s="17"/>
      <c r="IRJ135" s="15"/>
      <c r="IRY135" s="17"/>
      <c r="IRZ135" s="15"/>
      <c r="ISO135" s="17"/>
      <c r="ISP135" s="15"/>
      <c r="ITE135" s="17"/>
      <c r="ITF135" s="15"/>
      <c r="ITU135" s="17"/>
      <c r="ITV135" s="15"/>
      <c r="IUK135" s="17"/>
      <c r="IUL135" s="15"/>
      <c r="IVA135" s="17"/>
      <c r="IVB135" s="15"/>
      <c r="IVQ135" s="17"/>
      <c r="IVR135" s="15"/>
      <c r="IWG135" s="17"/>
      <c r="IWH135" s="15"/>
      <c r="IWW135" s="17"/>
      <c r="IWX135" s="15"/>
      <c r="IXM135" s="17"/>
      <c r="IXN135" s="15"/>
      <c r="IYC135" s="17"/>
      <c r="IYD135" s="15"/>
      <c r="IYS135" s="17"/>
      <c r="IYT135" s="15"/>
      <c r="IZI135" s="17"/>
      <c r="IZJ135" s="15"/>
      <c r="IZY135" s="17"/>
      <c r="IZZ135" s="15"/>
      <c r="JAO135" s="17"/>
      <c r="JAP135" s="15"/>
      <c r="JBE135" s="17"/>
      <c r="JBF135" s="15"/>
      <c r="JBU135" s="17"/>
      <c r="JBV135" s="15"/>
      <c r="JCK135" s="17"/>
      <c r="JCL135" s="15"/>
      <c r="JDA135" s="17"/>
      <c r="JDB135" s="15"/>
      <c r="JDQ135" s="17"/>
      <c r="JDR135" s="15"/>
      <c r="JEG135" s="17"/>
      <c r="JEH135" s="15"/>
      <c r="JEW135" s="17"/>
      <c r="JEX135" s="15"/>
      <c r="JFM135" s="17"/>
      <c r="JFN135" s="15"/>
      <c r="JGC135" s="17"/>
      <c r="JGD135" s="15"/>
      <c r="JGS135" s="17"/>
      <c r="JGT135" s="15"/>
      <c r="JHI135" s="17"/>
      <c r="JHJ135" s="15"/>
      <c r="JHY135" s="17"/>
      <c r="JHZ135" s="15"/>
      <c r="JIO135" s="17"/>
      <c r="JIP135" s="15"/>
      <c r="JJE135" s="17"/>
      <c r="JJF135" s="15"/>
      <c r="JJU135" s="17"/>
      <c r="JJV135" s="15"/>
      <c r="JKK135" s="17"/>
      <c r="JKL135" s="15"/>
      <c r="JLA135" s="17"/>
      <c r="JLB135" s="15"/>
      <c r="JLQ135" s="17"/>
      <c r="JLR135" s="15"/>
      <c r="JMG135" s="17"/>
      <c r="JMH135" s="15"/>
      <c r="JMW135" s="17"/>
      <c r="JMX135" s="15"/>
      <c r="JNM135" s="17"/>
      <c r="JNN135" s="15"/>
      <c r="JOC135" s="17"/>
      <c r="JOD135" s="15"/>
      <c r="JOS135" s="17"/>
      <c r="JOT135" s="15"/>
      <c r="JPI135" s="17"/>
      <c r="JPJ135" s="15"/>
      <c r="JPY135" s="17"/>
      <c r="JPZ135" s="15"/>
      <c r="JQO135" s="17"/>
      <c r="JQP135" s="15"/>
      <c r="JRE135" s="17"/>
      <c r="JRF135" s="15"/>
      <c r="JRU135" s="17"/>
      <c r="JRV135" s="15"/>
      <c r="JSK135" s="17"/>
      <c r="JSL135" s="15"/>
      <c r="JTA135" s="17"/>
      <c r="JTB135" s="15"/>
      <c r="JTQ135" s="17"/>
      <c r="JTR135" s="15"/>
      <c r="JUG135" s="17"/>
      <c r="JUH135" s="15"/>
      <c r="JUW135" s="17"/>
      <c r="JUX135" s="15"/>
      <c r="JVM135" s="17"/>
      <c r="JVN135" s="15"/>
      <c r="JWC135" s="17"/>
      <c r="JWD135" s="15"/>
      <c r="JWS135" s="17"/>
      <c r="JWT135" s="15"/>
      <c r="JXI135" s="17"/>
      <c r="JXJ135" s="15"/>
      <c r="JXY135" s="17"/>
      <c r="JXZ135" s="15"/>
      <c r="JYO135" s="17"/>
      <c r="JYP135" s="15"/>
      <c r="JZE135" s="17"/>
      <c r="JZF135" s="15"/>
      <c r="JZU135" s="17"/>
      <c r="JZV135" s="15"/>
      <c r="KAK135" s="17"/>
      <c r="KAL135" s="15"/>
      <c r="KBA135" s="17"/>
      <c r="KBB135" s="15"/>
      <c r="KBQ135" s="17"/>
      <c r="KBR135" s="15"/>
      <c r="KCG135" s="17"/>
      <c r="KCH135" s="15"/>
      <c r="KCW135" s="17"/>
      <c r="KCX135" s="15"/>
      <c r="KDM135" s="17"/>
      <c r="KDN135" s="15"/>
      <c r="KEC135" s="17"/>
      <c r="KED135" s="15"/>
      <c r="KES135" s="17"/>
      <c r="KET135" s="15"/>
      <c r="KFI135" s="17"/>
      <c r="KFJ135" s="15"/>
      <c r="KFY135" s="17"/>
      <c r="KFZ135" s="15"/>
      <c r="KGO135" s="17"/>
      <c r="KGP135" s="15"/>
      <c r="KHE135" s="17"/>
      <c r="KHF135" s="15"/>
      <c r="KHU135" s="17"/>
      <c r="KHV135" s="15"/>
      <c r="KIK135" s="17"/>
      <c r="KIL135" s="15"/>
      <c r="KJA135" s="17"/>
      <c r="KJB135" s="15"/>
      <c r="KJQ135" s="17"/>
      <c r="KJR135" s="15"/>
      <c r="KKG135" s="17"/>
      <c r="KKH135" s="15"/>
      <c r="KKW135" s="17"/>
      <c r="KKX135" s="15"/>
      <c r="KLM135" s="17"/>
      <c r="KLN135" s="15"/>
      <c r="KMC135" s="17"/>
      <c r="KMD135" s="15"/>
      <c r="KMS135" s="17"/>
      <c r="KMT135" s="15"/>
      <c r="KNI135" s="17"/>
      <c r="KNJ135" s="15"/>
      <c r="KNY135" s="17"/>
      <c r="KNZ135" s="15"/>
      <c r="KOO135" s="17"/>
      <c r="KOP135" s="15"/>
      <c r="KPE135" s="17"/>
      <c r="KPF135" s="15"/>
      <c r="KPU135" s="17"/>
      <c r="KPV135" s="15"/>
      <c r="KQK135" s="17"/>
      <c r="KQL135" s="15"/>
      <c r="KRA135" s="17"/>
      <c r="KRB135" s="15"/>
      <c r="KRQ135" s="17"/>
      <c r="KRR135" s="15"/>
      <c r="KSG135" s="17"/>
      <c r="KSH135" s="15"/>
      <c r="KSW135" s="17"/>
      <c r="KSX135" s="15"/>
      <c r="KTM135" s="17"/>
      <c r="KTN135" s="15"/>
      <c r="KUC135" s="17"/>
      <c r="KUD135" s="15"/>
      <c r="KUS135" s="17"/>
      <c r="KUT135" s="15"/>
      <c r="KVI135" s="17"/>
      <c r="KVJ135" s="15"/>
      <c r="KVY135" s="17"/>
      <c r="KVZ135" s="15"/>
      <c r="KWO135" s="17"/>
      <c r="KWP135" s="15"/>
      <c r="KXE135" s="17"/>
      <c r="KXF135" s="15"/>
      <c r="KXU135" s="17"/>
      <c r="KXV135" s="15"/>
      <c r="KYK135" s="17"/>
      <c r="KYL135" s="15"/>
      <c r="KZA135" s="17"/>
      <c r="KZB135" s="15"/>
      <c r="KZQ135" s="17"/>
      <c r="KZR135" s="15"/>
      <c r="LAG135" s="17"/>
      <c r="LAH135" s="15"/>
      <c r="LAW135" s="17"/>
      <c r="LAX135" s="15"/>
      <c r="LBM135" s="17"/>
      <c r="LBN135" s="15"/>
      <c r="LCC135" s="17"/>
      <c r="LCD135" s="15"/>
      <c r="LCS135" s="17"/>
      <c r="LCT135" s="15"/>
      <c r="LDI135" s="17"/>
      <c r="LDJ135" s="15"/>
      <c r="LDY135" s="17"/>
      <c r="LDZ135" s="15"/>
      <c r="LEO135" s="17"/>
      <c r="LEP135" s="15"/>
      <c r="LFE135" s="17"/>
      <c r="LFF135" s="15"/>
      <c r="LFU135" s="17"/>
      <c r="LFV135" s="15"/>
      <c r="LGK135" s="17"/>
      <c r="LGL135" s="15"/>
      <c r="LHA135" s="17"/>
      <c r="LHB135" s="15"/>
      <c r="LHQ135" s="17"/>
      <c r="LHR135" s="15"/>
      <c r="LIG135" s="17"/>
      <c r="LIH135" s="15"/>
      <c r="LIW135" s="17"/>
      <c r="LIX135" s="15"/>
      <c r="LJM135" s="17"/>
      <c r="LJN135" s="15"/>
      <c r="LKC135" s="17"/>
      <c r="LKD135" s="15"/>
      <c r="LKS135" s="17"/>
      <c r="LKT135" s="15"/>
      <c r="LLI135" s="17"/>
      <c r="LLJ135" s="15"/>
      <c r="LLY135" s="17"/>
      <c r="LLZ135" s="15"/>
      <c r="LMO135" s="17"/>
      <c r="LMP135" s="15"/>
      <c r="LNE135" s="17"/>
      <c r="LNF135" s="15"/>
      <c r="LNU135" s="17"/>
      <c r="LNV135" s="15"/>
      <c r="LOK135" s="17"/>
      <c r="LOL135" s="15"/>
      <c r="LPA135" s="17"/>
      <c r="LPB135" s="15"/>
      <c r="LPQ135" s="17"/>
      <c r="LPR135" s="15"/>
      <c r="LQG135" s="17"/>
      <c r="LQH135" s="15"/>
      <c r="LQW135" s="17"/>
      <c r="LQX135" s="15"/>
      <c r="LRM135" s="17"/>
      <c r="LRN135" s="15"/>
      <c r="LSC135" s="17"/>
      <c r="LSD135" s="15"/>
      <c r="LSS135" s="17"/>
      <c r="LST135" s="15"/>
      <c r="LTI135" s="17"/>
      <c r="LTJ135" s="15"/>
      <c r="LTY135" s="17"/>
      <c r="LTZ135" s="15"/>
      <c r="LUO135" s="17"/>
      <c r="LUP135" s="15"/>
      <c r="LVE135" s="17"/>
      <c r="LVF135" s="15"/>
      <c r="LVU135" s="17"/>
      <c r="LVV135" s="15"/>
      <c r="LWK135" s="17"/>
      <c r="LWL135" s="15"/>
      <c r="LXA135" s="17"/>
      <c r="LXB135" s="15"/>
      <c r="LXQ135" s="17"/>
      <c r="LXR135" s="15"/>
      <c r="LYG135" s="17"/>
      <c r="LYH135" s="15"/>
      <c r="LYW135" s="17"/>
      <c r="LYX135" s="15"/>
      <c r="LZM135" s="17"/>
      <c r="LZN135" s="15"/>
      <c r="MAC135" s="17"/>
      <c r="MAD135" s="15"/>
      <c r="MAS135" s="17"/>
      <c r="MAT135" s="15"/>
      <c r="MBI135" s="17"/>
      <c r="MBJ135" s="15"/>
      <c r="MBY135" s="17"/>
      <c r="MBZ135" s="15"/>
      <c r="MCO135" s="17"/>
      <c r="MCP135" s="15"/>
      <c r="MDE135" s="17"/>
      <c r="MDF135" s="15"/>
      <c r="MDU135" s="17"/>
      <c r="MDV135" s="15"/>
      <c r="MEK135" s="17"/>
      <c r="MEL135" s="15"/>
      <c r="MFA135" s="17"/>
      <c r="MFB135" s="15"/>
      <c r="MFQ135" s="17"/>
      <c r="MFR135" s="15"/>
      <c r="MGG135" s="17"/>
      <c r="MGH135" s="15"/>
      <c r="MGW135" s="17"/>
      <c r="MGX135" s="15"/>
      <c r="MHM135" s="17"/>
      <c r="MHN135" s="15"/>
      <c r="MIC135" s="17"/>
      <c r="MID135" s="15"/>
      <c r="MIS135" s="17"/>
      <c r="MIT135" s="15"/>
      <c r="MJI135" s="17"/>
      <c r="MJJ135" s="15"/>
      <c r="MJY135" s="17"/>
      <c r="MJZ135" s="15"/>
      <c r="MKO135" s="17"/>
      <c r="MKP135" s="15"/>
      <c r="MLE135" s="17"/>
      <c r="MLF135" s="15"/>
      <c r="MLU135" s="17"/>
      <c r="MLV135" s="15"/>
      <c r="MMK135" s="17"/>
      <c r="MML135" s="15"/>
      <c r="MNA135" s="17"/>
      <c r="MNB135" s="15"/>
      <c r="MNQ135" s="17"/>
      <c r="MNR135" s="15"/>
      <c r="MOG135" s="17"/>
      <c r="MOH135" s="15"/>
      <c r="MOW135" s="17"/>
      <c r="MOX135" s="15"/>
      <c r="MPM135" s="17"/>
      <c r="MPN135" s="15"/>
      <c r="MQC135" s="17"/>
      <c r="MQD135" s="15"/>
      <c r="MQS135" s="17"/>
      <c r="MQT135" s="15"/>
      <c r="MRI135" s="17"/>
      <c r="MRJ135" s="15"/>
      <c r="MRY135" s="17"/>
      <c r="MRZ135" s="15"/>
      <c r="MSO135" s="17"/>
      <c r="MSP135" s="15"/>
      <c r="MTE135" s="17"/>
      <c r="MTF135" s="15"/>
      <c r="MTU135" s="17"/>
      <c r="MTV135" s="15"/>
      <c r="MUK135" s="17"/>
      <c r="MUL135" s="15"/>
      <c r="MVA135" s="17"/>
      <c r="MVB135" s="15"/>
      <c r="MVQ135" s="17"/>
      <c r="MVR135" s="15"/>
      <c r="MWG135" s="17"/>
      <c r="MWH135" s="15"/>
      <c r="MWW135" s="17"/>
      <c r="MWX135" s="15"/>
      <c r="MXM135" s="17"/>
      <c r="MXN135" s="15"/>
      <c r="MYC135" s="17"/>
      <c r="MYD135" s="15"/>
      <c r="MYS135" s="17"/>
      <c r="MYT135" s="15"/>
      <c r="MZI135" s="17"/>
      <c r="MZJ135" s="15"/>
      <c r="MZY135" s="17"/>
      <c r="MZZ135" s="15"/>
      <c r="NAO135" s="17"/>
      <c r="NAP135" s="15"/>
      <c r="NBE135" s="17"/>
      <c r="NBF135" s="15"/>
      <c r="NBU135" s="17"/>
      <c r="NBV135" s="15"/>
      <c r="NCK135" s="17"/>
      <c r="NCL135" s="15"/>
      <c r="NDA135" s="17"/>
      <c r="NDB135" s="15"/>
      <c r="NDQ135" s="17"/>
      <c r="NDR135" s="15"/>
      <c r="NEG135" s="17"/>
      <c r="NEH135" s="15"/>
      <c r="NEW135" s="17"/>
      <c r="NEX135" s="15"/>
      <c r="NFM135" s="17"/>
      <c r="NFN135" s="15"/>
      <c r="NGC135" s="17"/>
      <c r="NGD135" s="15"/>
      <c r="NGS135" s="17"/>
      <c r="NGT135" s="15"/>
      <c r="NHI135" s="17"/>
      <c r="NHJ135" s="15"/>
      <c r="NHY135" s="17"/>
      <c r="NHZ135" s="15"/>
      <c r="NIO135" s="17"/>
      <c r="NIP135" s="15"/>
      <c r="NJE135" s="17"/>
      <c r="NJF135" s="15"/>
      <c r="NJU135" s="17"/>
      <c r="NJV135" s="15"/>
      <c r="NKK135" s="17"/>
      <c r="NKL135" s="15"/>
      <c r="NLA135" s="17"/>
      <c r="NLB135" s="15"/>
      <c r="NLQ135" s="17"/>
      <c r="NLR135" s="15"/>
      <c r="NMG135" s="17"/>
      <c r="NMH135" s="15"/>
      <c r="NMW135" s="17"/>
      <c r="NMX135" s="15"/>
      <c r="NNM135" s="17"/>
      <c r="NNN135" s="15"/>
      <c r="NOC135" s="17"/>
      <c r="NOD135" s="15"/>
      <c r="NOS135" s="17"/>
      <c r="NOT135" s="15"/>
      <c r="NPI135" s="17"/>
      <c r="NPJ135" s="15"/>
      <c r="NPY135" s="17"/>
      <c r="NPZ135" s="15"/>
      <c r="NQO135" s="17"/>
      <c r="NQP135" s="15"/>
      <c r="NRE135" s="17"/>
      <c r="NRF135" s="15"/>
      <c r="NRU135" s="17"/>
      <c r="NRV135" s="15"/>
      <c r="NSK135" s="17"/>
      <c r="NSL135" s="15"/>
      <c r="NTA135" s="17"/>
      <c r="NTB135" s="15"/>
      <c r="NTQ135" s="17"/>
      <c r="NTR135" s="15"/>
      <c r="NUG135" s="17"/>
      <c r="NUH135" s="15"/>
      <c r="NUW135" s="17"/>
      <c r="NUX135" s="15"/>
      <c r="NVM135" s="17"/>
      <c r="NVN135" s="15"/>
      <c r="NWC135" s="17"/>
      <c r="NWD135" s="15"/>
      <c r="NWS135" s="17"/>
      <c r="NWT135" s="15"/>
      <c r="NXI135" s="17"/>
      <c r="NXJ135" s="15"/>
      <c r="NXY135" s="17"/>
      <c r="NXZ135" s="15"/>
      <c r="NYO135" s="17"/>
      <c r="NYP135" s="15"/>
      <c r="NZE135" s="17"/>
      <c r="NZF135" s="15"/>
      <c r="NZU135" s="17"/>
      <c r="NZV135" s="15"/>
      <c r="OAK135" s="17"/>
      <c r="OAL135" s="15"/>
      <c r="OBA135" s="17"/>
      <c r="OBB135" s="15"/>
      <c r="OBQ135" s="17"/>
      <c r="OBR135" s="15"/>
      <c r="OCG135" s="17"/>
      <c r="OCH135" s="15"/>
      <c r="OCW135" s="17"/>
      <c r="OCX135" s="15"/>
      <c r="ODM135" s="17"/>
      <c r="ODN135" s="15"/>
      <c r="OEC135" s="17"/>
      <c r="OED135" s="15"/>
      <c r="OES135" s="17"/>
      <c r="OET135" s="15"/>
      <c r="OFI135" s="17"/>
      <c r="OFJ135" s="15"/>
      <c r="OFY135" s="17"/>
      <c r="OFZ135" s="15"/>
      <c r="OGO135" s="17"/>
      <c r="OGP135" s="15"/>
      <c r="OHE135" s="17"/>
      <c r="OHF135" s="15"/>
      <c r="OHU135" s="17"/>
      <c r="OHV135" s="15"/>
      <c r="OIK135" s="17"/>
      <c r="OIL135" s="15"/>
      <c r="OJA135" s="17"/>
      <c r="OJB135" s="15"/>
      <c r="OJQ135" s="17"/>
      <c r="OJR135" s="15"/>
      <c r="OKG135" s="17"/>
      <c r="OKH135" s="15"/>
      <c r="OKW135" s="17"/>
      <c r="OKX135" s="15"/>
      <c r="OLM135" s="17"/>
      <c r="OLN135" s="15"/>
      <c r="OMC135" s="17"/>
      <c r="OMD135" s="15"/>
      <c r="OMS135" s="17"/>
      <c r="OMT135" s="15"/>
      <c r="ONI135" s="17"/>
      <c r="ONJ135" s="15"/>
      <c r="ONY135" s="17"/>
      <c r="ONZ135" s="15"/>
      <c r="OOO135" s="17"/>
      <c r="OOP135" s="15"/>
      <c r="OPE135" s="17"/>
      <c r="OPF135" s="15"/>
      <c r="OPU135" s="17"/>
      <c r="OPV135" s="15"/>
      <c r="OQK135" s="17"/>
      <c r="OQL135" s="15"/>
      <c r="ORA135" s="17"/>
      <c r="ORB135" s="15"/>
      <c r="ORQ135" s="17"/>
      <c r="ORR135" s="15"/>
      <c r="OSG135" s="17"/>
      <c r="OSH135" s="15"/>
      <c r="OSW135" s="17"/>
      <c r="OSX135" s="15"/>
      <c r="OTM135" s="17"/>
      <c r="OTN135" s="15"/>
      <c r="OUC135" s="17"/>
      <c r="OUD135" s="15"/>
      <c r="OUS135" s="17"/>
      <c r="OUT135" s="15"/>
      <c r="OVI135" s="17"/>
      <c r="OVJ135" s="15"/>
      <c r="OVY135" s="17"/>
      <c r="OVZ135" s="15"/>
      <c r="OWO135" s="17"/>
      <c r="OWP135" s="15"/>
      <c r="OXE135" s="17"/>
      <c r="OXF135" s="15"/>
      <c r="OXU135" s="17"/>
      <c r="OXV135" s="15"/>
      <c r="OYK135" s="17"/>
      <c r="OYL135" s="15"/>
      <c r="OZA135" s="17"/>
      <c r="OZB135" s="15"/>
      <c r="OZQ135" s="17"/>
      <c r="OZR135" s="15"/>
      <c r="PAG135" s="17"/>
      <c r="PAH135" s="15"/>
      <c r="PAW135" s="17"/>
      <c r="PAX135" s="15"/>
      <c r="PBM135" s="17"/>
      <c r="PBN135" s="15"/>
      <c r="PCC135" s="17"/>
      <c r="PCD135" s="15"/>
      <c r="PCS135" s="17"/>
      <c r="PCT135" s="15"/>
      <c r="PDI135" s="17"/>
      <c r="PDJ135" s="15"/>
      <c r="PDY135" s="17"/>
      <c r="PDZ135" s="15"/>
      <c r="PEO135" s="17"/>
      <c r="PEP135" s="15"/>
      <c r="PFE135" s="17"/>
      <c r="PFF135" s="15"/>
      <c r="PFU135" s="17"/>
      <c r="PFV135" s="15"/>
      <c r="PGK135" s="17"/>
      <c r="PGL135" s="15"/>
      <c r="PHA135" s="17"/>
      <c r="PHB135" s="15"/>
      <c r="PHQ135" s="17"/>
      <c r="PHR135" s="15"/>
      <c r="PIG135" s="17"/>
      <c r="PIH135" s="15"/>
      <c r="PIW135" s="17"/>
      <c r="PIX135" s="15"/>
      <c r="PJM135" s="17"/>
      <c r="PJN135" s="15"/>
      <c r="PKC135" s="17"/>
      <c r="PKD135" s="15"/>
      <c r="PKS135" s="17"/>
      <c r="PKT135" s="15"/>
      <c r="PLI135" s="17"/>
      <c r="PLJ135" s="15"/>
      <c r="PLY135" s="17"/>
      <c r="PLZ135" s="15"/>
      <c r="PMO135" s="17"/>
      <c r="PMP135" s="15"/>
      <c r="PNE135" s="17"/>
      <c r="PNF135" s="15"/>
      <c r="PNU135" s="17"/>
      <c r="PNV135" s="15"/>
      <c r="POK135" s="17"/>
      <c r="POL135" s="15"/>
      <c r="PPA135" s="17"/>
      <c r="PPB135" s="15"/>
      <c r="PPQ135" s="17"/>
      <c r="PPR135" s="15"/>
      <c r="PQG135" s="17"/>
      <c r="PQH135" s="15"/>
      <c r="PQW135" s="17"/>
      <c r="PQX135" s="15"/>
      <c r="PRM135" s="17"/>
      <c r="PRN135" s="15"/>
      <c r="PSC135" s="17"/>
      <c r="PSD135" s="15"/>
      <c r="PSS135" s="17"/>
      <c r="PST135" s="15"/>
      <c r="PTI135" s="17"/>
      <c r="PTJ135" s="15"/>
      <c r="PTY135" s="17"/>
      <c r="PTZ135" s="15"/>
      <c r="PUO135" s="17"/>
      <c r="PUP135" s="15"/>
      <c r="PVE135" s="17"/>
      <c r="PVF135" s="15"/>
      <c r="PVU135" s="17"/>
      <c r="PVV135" s="15"/>
      <c r="PWK135" s="17"/>
      <c r="PWL135" s="15"/>
      <c r="PXA135" s="17"/>
      <c r="PXB135" s="15"/>
      <c r="PXQ135" s="17"/>
      <c r="PXR135" s="15"/>
      <c r="PYG135" s="17"/>
      <c r="PYH135" s="15"/>
      <c r="PYW135" s="17"/>
      <c r="PYX135" s="15"/>
      <c r="PZM135" s="17"/>
      <c r="PZN135" s="15"/>
      <c r="QAC135" s="17"/>
      <c r="QAD135" s="15"/>
      <c r="QAS135" s="17"/>
      <c r="QAT135" s="15"/>
      <c r="QBI135" s="17"/>
      <c r="QBJ135" s="15"/>
      <c r="QBY135" s="17"/>
      <c r="QBZ135" s="15"/>
      <c r="QCO135" s="17"/>
      <c r="QCP135" s="15"/>
      <c r="QDE135" s="17"/>
      <c r="QDF135" s="15"/>
      <c r="QDU135" s="17"/>
      <c r="QDV135" s="15"/>
      <c r="QEK135" s="17"/>
      <c r="QEL135" s="15"/>
      <c r="QFA135" s="17"/>
      <c r="QFB135" s="15"/>
      <c r="QFQ135" s="17"/>
      <c r="QFR135" s="15"/>
      <c r="QGG135" s="17"/>
      <c r="QGH135" s="15"/>
      <c r="QGW135" s="17"/>
      <c r="QGX135" s="15"/>
      <c r="QHM135" s="17"/>
      <c r="QHN135" s="15"/>
      <c r="QIC135" s="17"/>
      <c r="QID135" s="15"/>
      <c r="QIS135" s="17"/>
      <c r="QIT135" s="15"/>
      <c r="QJI135" s="17"/>
      <c r="QJJ135" s="15"/>
      <c r="QJY135" s="17"/>
      <c r="QJZ135" s="15"/>
      <c r="QKO135" s="17"/>
      <c r="QKP135" s="15"/>
      <c r="QLE135" s="17"/>
      <c r="QLF135" s="15"/>
      <c r="QLU135" s="17"/>
      <c r="QLV135" s="15"/>
      <c r="QMK135" s="17"/>
      <c r="QML135" s="15"/>
      <c r="QNA135" s="17"/>
      <c r="QNB135" s="15"/>
      <c r="QNQ135" s="17"/>
      <c r="QNR135" s="15"/>
      <c r="QOG135" s="17"/>
      <c r="QOH135" s="15"/>
      <c r="QOW135" s="17"/>
      <c r="QOX135" s="15"/>
      <c r="QPM135" s="17"/>
      <c r="QPN135" s="15"/>
      <c r="QQC135" s="17"/>
      <c r="QQD135" s="15"/>
      <c r="QQS135" s="17"/>
      <c r="QQT135" s="15"/>
      <c r="QRI135" s="17"/>
      <c r="QRJ135" s="15"/>
      <c r="QRY135" s="17"/>
      <c r="QRZ135" s="15"/>
      <c r="QSO135" s="17"/>
      <c r="QSP135" s="15"/>
      <c r="QTE135" s="17"/>
      <c r="QTF135" s="15"/>
      <c r="QTU135" s="17"/>
      <c r="QTV135" s="15"/>
      <c r="QUK135" s="17"/>
      <c r="QUL135" s="15"/>
      <c r="QVA135" s="17"/>
      <c r="QVB135" s="15"/>
      <c r="QVQ135" s="17"/>
      <c r="QVR135" s="15"/>
      <c r="QWG135" s="17"/>
      <c r="QWH135" s="15"/>
      <c r="QWW135" s="17"/>
      <c r="QWX135" s="15"/>
      <c r="QXM135" s="17"/>
      <c r="QXN135" s="15"/>
      <c r="QYC135" s="17"/>
      <c r="QYD135" s="15"/>
      <c r="QYS135" s="17"/>
      <c r="QYT135" s="15"/>
      <c r="QZI135" s="17"/>
      <c r="QZJ135" s="15"/>
      <c r="QZY135" s="17"/>
      <c r="QZZ135" s="15"/>
      <c r="RAO135" s="17"/>
      <c r="RAP135" s="15"/>
      <c r="RBE135" s="17"/>
      <c r="RBF135" s="15"/>
      <c r="RBU135" s="17"/>
      <c r="RBV135" s="15"/>
      <c r="RCK135" s="17"/>
      <c r="RCL135" s="15"/>
      <c r="RDA135" s="17"/>
      <c r="RDB135" s="15"/>
      <c r="RDQ135" s="17"/>
      <c r="RDR135" s="15"/>
      <c r="REG135" s="17"/>
      <c r="REH135" s="15"/>
      <c r="REW135" s="17"/>
      <c r="REX135" s="15"/>
      <c r="RFM135" s="17"/>
      <c r="RFN135" s="15"/>
      <c r="RGC135" s="17"/>
      <c r="RGD135" s="15"/>
      <c r="RGS135" s="17"/>
      <c r="RGT135" s="15"/>
      <c r="RHI135" s="17"/>
      <c r="RHJ135" s="15"/>
      <c r="RHY135" s="17"/>
      <c r="RHZ135" s="15"/>
      <c r="RIO135" s="17"/>
      <c r="RIP135" s="15"/>
      <c r="RJE135" s="17"/>
      <c r="RJF135" s="15"/>
      <c r="RJU135" s="17"/>
      <c r="RJV135" s="15"/>
      <c r="RKK135" s="17"/>
      <c r="RKL135" s="15"/>
      <c r="RLA135" s="17"/>
      <c r="RLB135" s="15"/>
      <c r="RLQ135" s="17"/>
      <c r="RLR135" s="15"/>
      <c r="RMG135" s="17"/>
      <c r="RMH135" s="15"/>
      <c r="RMW135" s="17"/>
      <c r="RMX135" s="15"/>
      <c r="RNM135" s="17"/>
      <c r="RNN135" s="15"/>
      <c r="ROC135" s="17"/>
      <c r="ROD135" s="15"/>
      <c r="ROS135" s="17"/>
      <c r="ROT135" s="15"/>
      <c r="RPI135" s="17"/>
      <c r="RPJ135" s="15"/>
      <c r="RPY135" s="17"/>
      <c r="RPZ135" s="15"/>
      <c r="RQO135" s="17"/>
      <c r="RQP135" s="15"/>
      <c r="RRE135" s="17"/>
      <c r="RRF135" s="15"/>
      <c r="RRU135" s="17"/>
      <c r="RRV135" s="15"/>
      <c r="RSK135" s="17"/>
      <c r="RSL135" s="15"/>
      <c r="RTA135" s="17"/>
      <c r="RTB135" s="15"/>
      <c r="RTQ135" s="17"/>
      <c r="RTR135" s="15"/>
      <c r="RUG135" s="17"/>
      <c r="RUH135" s="15"/>
      <c r="RUW135" s="17"/>
      <c r="RUX135" s="15"/>
      <c r="RVM135" s="17"/>
      <c r="RVN135" s="15"/>
      <c r="RWC135" s="17"/>
      <c r="RWD135" s="15"/>
      <c r="RWS135" s="17"/>
      <c r="RWT135" s="15"/>
      <c r="RXI135" s="17"/>
      <c r="RXJ135" s="15"/>
      <c r="RXY135" s="17"/>
      <c r="RXZ135" s="15"/>
      <c r="RYO135" s="17"/>
      <c r="RYP135" s="15"/>
      <c r="RZE135" s="17"/>
      <c r="RZF135" s="15"/>
      <c r="RZU135" s="17"/>
      <c r="RZV135" s="15"/>
      <c r="SAK135" s="17"/>
      <c r="SAL135" s="15"/>
      <c r="SBA135" s="17"/>
      <c r="SBB135" s="15"/>
      <c r="SBQ135" s="17"/>
      <c r="SBR135" s="15"/>
      <c r="SCG135" s="17"/>
      <c r="SCH135" s="15"/>
      <c r="SCW135" s="17"/>
      <c r="SCX135" s="15"/>
      <c r="SDM135" s="17"/>
      <c r="SDN135" s="15"/>
      <c r="SEC135" s="17"/>
      <c r="SED135" s="15"/>
      <c r="SES135" s="17"/>
      <c r="SET135" s="15"/>
      <c r="SFI135" s="17"/>
      <c r="SFJ135" s="15"/>
      <c r="SFY135" s="17"/>
      <c r="SFZ135" s="15"/>
      <c r="SGO135" s="17"/>
      <c r="SGP135" s="15"/>
      <c r="SHE135" s="17"/>
      <c r="SHF135" s="15"/>
      <c r="SHU135" s="17"/>
      <c r="SHV135" s="15"/>
      <c r="SIK135" s="17"/>
      <c r="SIL135" s="15"/>
      <c r="SJA135" s="17"/>
      <c r="SJB135" s="15"/>
      <c r="SJQ135" s="17"/>
      <c r="SJR135" s="15"/>
      <c r="SKG135" s="17"/>
      <c r="SKH135" s="15"/>
      <c r="SKW135" s="17"/>
      <c r="SKX135" s="15"/>
      <c r="SLM135" s="17"/>
      <c r="SLN135" s="15"/>
      <c r="SMC135" s="17"/>
      <c r="SMD135" s="15"/>
      <c r="SMS135" s="17"/>
      <c r="SMT135" s="15"/>
      <c r="SNI135" s="17"/>
      <c r="SNJ135" s="15"/>
      <c r="SNY135" s="17"/>
      <c r="SNZ135" s="15"/>
      <c r="SOO135" s="17"/>
      <c r="SOP135" s="15"/>
      <c r="SPE135" s="17"/>
      <c r="SPF135" s="15"/>
      <c r="SPU135" s="17"/>
      <c r="SPV135" s="15"/>
      <c r="SQK135" s="17"/>
      <c r="SQL135" s="15"/>
      <c r="SRA135" s="17"/>
      <c r="SRB135" s="15"/>
      <c r="SRQ135" s="17"/>
      <c r="SRR135" s="15"/>
      <c r="SSG135" s="17"/>
      <c r="SSH135" s="15"/>
      <c r="SSW135" s="17"/>
      <c r="SSX135" s="15"/>
      <c r="STM135" s="17"/>
      <c r="STN135" s="15"/>
      <c r="SUC135" s="17"/>
      <c r="SUD135" s="15"/>
      <c r="SUS135" s="17"/>
      <c r="SUT135" s="15"/>
      <c r="SVI135" s="17"/>
      <c r="SVJ135" s="15"/>
      <c r="SVY135" s="17"/>
      <c r="SVZ135" s="15"/>
      <c r="SWO135" s="17"/>
      <c r="SWP135" s="15"/>
      <c r="SXE135" s="17"/>
      <c r="SXF135" s="15"/>
      <c r="SXU135" s="17"/>
      <c r="SXV135" s="15"/>
      <c r="SYK135" s="17"/>
      <c r="SYL135" s="15"/>
      <c r="SZA135" s="17"/>
      <c r="SZB135" s="15"/>
      <c r="SZQ135" s="17"/>
      <c r="SZR135" s="15"/>
      <c r="TAG135" s="17"/>
      <c r="TAH135" s="15"/>
      <c r="TAW135" s="17"/>
      <c r="TAX135" s="15"/>
      <c r="TBM135" s="17"/>
      <c r="TBN135" s="15"/>
      <c r="TCC135" s="17"/>
      <c r="TCD135" s="15"/>
      <c r="TCS135" s="17"/>
      <c r="TCT135" s="15"/>
      <c r="TDI135" s="17"/>
      <c r="TDJ135" s="15"/>
      <c r="TDY135" s="17"/>
      <c r="TDZ135" s="15"/>
      <c r="TEO135" s="17"/>
      <c r="TEP135" s="15"/>
      <c r="TFE135" s="17"/>
      <c r="TFF135" s="15"/>
      <c r="TFU135" s="17"/>
      <c r="TFV135" s="15"/>
      <c r="TGK135" s="17"/>
      <c r="TGL135" s="15"/>
      <c r="THA135" s="17"/>
      <c r="THB135" s="15"/>
      <c r="THQ135" s="17"/>
      <c r="THR135" s="15"/>
      <c r="TIG135" s="17"/>
      <c r="TIH135" s="15"/>
      <c r="TIW135" s="17"/>
      <c r="TIX135" s="15"/>
      <c r="TJM135" s="17"/>
      <c r="TJN135" s="15"/>
      <c r="TKC135" s="17"/>
      <c r="TKD135" s="15"/>
      <c r="TKS135" s="17"/>
      <c r="TKT135" s="15"/>
      <c r="TLI135" s="17"/>
      <c r="TLJ135" s="15"/>
      <c r="TLY135" s="17"/>
      <c r="TLZ135" s="15"/>
      <c r="TMO135" s="17"/>
      <c r="TMP135" s="15"/>
      <c r="TNE135" s="17"/>
      <c r="TNF135" s="15"/>
      <c r="TNU135" s="17"/>
      <c r="TNV135" s="15"/>
      <c r="TOK135" s="17"/>
      <c r="TOL135" s="15"/>
      <c r="TPA135" s="17"/>
      <c r="TPB135" s="15"/>
      <c r="TPQ135" s="17"/>
      <c r="TPR135" s="15"/>
      <c r="TQG135" s="17"/>
      <c r="TQH135" s="15"/>
      <c r="TQW135" s="17"/>
      <c r="TQX135" s="15"/>
      <c r="TRM135" s="17"/>
      <c r="TRN135" s="15"/>
      <c r="TSC135" s="17"/>
      <c r="TSD135" s="15"/>
      <c r="TSS135" s="17"/>
      <c r="TST135" s="15"/>
      <c r="TTI135" s="17"/>
      <c r="TTJ135" s="15"/>
      <c r="TTY135" s="17"/>
      <c r="TTZ135" s="15"/>
      <c r="TUO135" s="17"/>
      <c r="TUP135" s="15"/>
      <c r="TVE135" s="17"/>
      <c r="TVF135" s="15"/>
      <c r="TVU135" s="17"/>
      <c r="TVV135" s="15"/>
      <c r="TWK135" s="17"/>
      <c r="TWL135" s="15"/>
      <c r="TXA135" s="17"/>
      <c r="TXB135" s="15"/>
      <c r="TXQ135" s="17"/>
      <c r="TXR135" s="15"/>
      <c r="TYG135" s="17"/>
      <c r="TYH135" s="15"/>
      <c r="TYW135" s="17"/>
      <c r="TYX135" s="15"/>
      <c r="TZM135" s="17"/>
      <c r="TZN135" s="15"/>
      <c r="UAC135" s="17"/>
      <c r="UAD135" s="15"/>
      <c r="UAS135" s="17"/>
      <c r="UAT135" s="15"/>
      <c r="UBI135" s="17"/>
      <c r="UBJ135" s="15"/>
      <c r="UBY135" s="17"/>
      <c r="UBZ135" s="15"/>
      <c r="UCO135" s="17"/>
      <c r="UCP135" s="15"/>
      <c r="UDE135" s="17"/>
      <c r="UDF135" s="15"/>
      <c r="UDU135" s="17"/>
      <c r="UDV135" s="15"/>
      <c r="UEK135" s="17"/>
      <c r="UEL135" s="15"/>
      <c r="UFA135" s="17"/>
      <c r="UFB135" s="15"/>
      <c r="UFQ135" s="17"/>
      <c r="UFR135" s="15"/>
      <c r="UGG135" s="17"/>
      <c r="UGH135" s="15"/>
      <c r="UGW135" s="17"/>
      <c r="UGX135" s="15"/>
      <c r="UHM135" s="17"/>
      <c r="UHN135" s="15"/>
      <c r="UIC135" s="17"/>
      <c r="UID135" s="15"/>
      <c r="UIS135" s="17"/>
      <c r="UIT135" s="15"/>
      <c r="UJI135" s="17"/>
      <c r="UJJ135" s="15"/>
      <c r="UJY135" s="17"/>
      <c r="UJZ135" s="15"/>
      <c r="UKO135" s="17"/>
      <c r="UKP135" s="15"/>
      <c r="ULE135" s="17"/>
      <c r="ULF135" s="15"/>
      <c r="ULU135" s="17"/>
      <c r="ULV135" s="15"/>
      <c r="UMK135" s="17"/>
      <c r="UML135" s="15"/>
      <c r="UNA135" s="17"/>
      <c r="UNB135" s="15"/>
      <c r="UNQ135" s="17"/>
      <c r="UNR135" s="15"/>
      <c r="UOG135" s="17"/>
      <c r="UOH135" s="15"/>
      <c r="UOW135" s="17"/>
      <c r="UOX135" s="15"/>
      <c r="UPM135" s="17"/>
      <c r="UPN135" s="15"/>
      <c r="UQC135" s="17"/>
      <c r="UQD135" s="15"/>
      <c r="UQS135" s="17"/>
      <c r="UQT135" s="15"/>
      <c r="URI135" s="17"/>
      <c r="URJ135" s="15"/>
      <c r="URY135" s="17"/>
      <c r="URZ135" s="15"/>
      <c r="USO135" s="17"/>
      <c r="USP135" s="15"/>
      <c r="UTE135" s="17"/>
      <c r="UTF135" s="15"/>
      <c r="UTU135" s="17"/>
      <c r="UTV135" s="15"/>
      <c r="UUK135" s="17"/>
      <c r="UUL135" s="15"/>
      <c r="UVA135" s="17"/>
      <c r="UVB135" s="15"/>
      <c r="UVQ135" s="17"/>
      <c r="UVR135" s="15"/>
      <c r="UWG135" s="17"/>
      <c r="UWH135" s="15"/>
      <c r="UWW135" s="17"/>
      <c r="UWX135" s="15"/>
      <c r="UXM135" s="17"/>
      <c r="UXN135" s="15"/>
      <c r="UYC135" s="17"/>
      <c r="UYD135" s="15"/>
      <c r="UYS135" s="17"/>
      <c r="UYT135" s="15"/>
      <c r="UZI135" s="17"/>
      <c r="UZJ135" s="15"/>
      <c r="UZY135" s="17"/>
      <c r="UZZ135" s="15"/>
      <c r="VAO135" s="17"/>
      <c r="VAP135" s="15"/>
      <c r="VBE135" s="17"/>
      <c r="VBF135" s="15"/>
      <c r="VBU135" s="17"/>
      <c r="VBV135" s="15"/>
      <c r="VCK135" s="17"/>
      <c r="VCL135" s="15"/>
      <c r="VDA135" s="17"/>
      <c r="VDB135" s="15"/>
      <c r="VDQ135" s="17"/>
      <c r="VDR135" s="15"/>
      <c r="VEG135" s="17"/>
      <c r="VEH135" s="15"/>
      <c r="VEW135" s="17"/>
      <c r="VEX135" s="15"/>
      <c r="VFM135" s="17"/>
      <c r="VFN135" s="15"/>
      <c r="VGC135" s="17"/>
      <c r="VGD135" s="15"/>
      <c r="VGS135" s="17"/>
      <c r="VGT135" s="15"/>
      <c r="VHI135" s="17"/>
      <c r="VHJ135" s="15"/>
      <c r="VHY135" s="17"/>
      <c r="VHZ135" s="15"/>
      <c r="VIO135" s="17"/>
      <c r="VIP135" s="15"/>
      <c r="VJE135" s="17"/>
      <c r="VJF135" s="15"/>
      <c r="VJU135" s="17"/>
      <c r="VJV135" s="15"/>
      <c r="VKK135" s="17"/>
      <c r="VKL135" s="15"/>
      <c r="VLA135" s="17"/>
      <c r="VLB135" s="15"/>
      <c r="VLQ135" s="17"/>
      <c r="VLR135" s="15"/>
      <c r="VMG135" s="17"/>
      <c r="VMH135" s="15"/>
      <c r="VMW135" s="17"/>
      <c r="VMX135" s="15"/>
      <c r="VNM135" s="17"/>
      <c r="VNN135" s="15"/>
      <c r="VOC135" s="17"/>
      <c r="VOD135" s="15"/>
      <c r="VOS135" s="17"/>
      <c r="VOT135" s="15"/>
      <c r="VPI135" s="17"/>
      <c r="VPJ135" s="15"/>
      <c r="VPY135" s="17"/>
      <c r="VPZ135" s="15"/>
      <c r="VQO135" s="17"/>
      <c r="VQP135" s="15"/>
      <c r="VRE135" s="17"/>
      <c r="VRF135" s="15"/>
      <c r="VRU135" s="17"/>
      <c r="VRV135" s="15"/>
      <c r="VSK135" s="17"/>
      <c r="VSL135" s="15"/>
      <c r="VTA135" s="17"/>
      <c r="VTB135" s="15"/>
      <c r="VTQ135" s="17"/>
      <c r="VTR135" s="15"/>
      <c r="VUG135" s="17"/>
      <c r="VUH135" s="15"/>
      <c r="VUW135" s="17"/>
      <c r="VUX135" s="15"/>
      <c r="VVM135" s="17"/>
      <c r="VVN135" s="15"/>
      <c r="VWC135" s="17"/>
      <c r="VWD135" s="15"/>
      <c r="VWS135" s="17"/>
      <c r="VWT135" s="15"/>
      <c r="VXI135" s="17"/>
      <c r="VXJ135" s="15"/>
      <c r="VXY135" s="17"/>
      <c r="VXZ135" s="15"/>
      <c r="VYO135" s="17"/>
      <c r="VYP135" s="15"/>
      <c r="VZE135" s="17"/>
      <c r="VZF135" s="15"/>
      <c r="VZU135" s="17"/>
      <c r="VZV135" s="15"/>
      <c r="WAK135" s="17"/>
      <c r="WAL135" s="15"/>
      <c r="WBA135" s="17"/>
      <c r="WBB135" s="15"/>
      <c r="WBQ135" s="17"/>
      <c r="WBR135" s="15"/>
      <c r="WCG135" s="17"/>
      <c r="WCH135" s="15"/>
      <c r="WCW135" s="17"/>
      <c r="WCX135" s="15"/>
      <c r="WDM135" s="17"/>
      <c r="WDN135" s="15"/>
      <c r="WEC135" s="17"/>
      <c r="WED135" s="15"/>
      <c r="WES135" s="17"/>
      <c r="WET135" s="15"/>
      <c r="WFI135" s="17"/>
      <c r="WFJ135" s="15"/>
      <c r="WFY135" s="17"/>
      <c r="WFZ135" s="15"/>
      <c r="WGO135" s="17"/>
      <c r="WGP135" s="15"/>
      <c r="WHE135" s="17"/>
      <c r="WHF135" s="15"/>
      <c r="WHU135" s="17"/>
      <c r="WHV135" s="15"/>
      <c r="WIK135" s="17"/>
      <c r="WIL135" s="15"/>
      <c r="WJA135" s="17"/>
      <c r="WJB135" s="15"/>
      <c r="WJQ135" s="17"/>
      <c r="WJR135" s="15"/>
      <c r="WKG135" s="17"/>
      <c r="WKH135" s="15"/>
      <c r="WKW135" s="17"/>
      <c r="WKX135" s="15"/>
      <c r="WLM135" s="17"/>
      <c r="WLN135" s="15"/>
      <c r="WMC135" s="17"/>
      <c r="WMD135" s="15"/>
      <c r="WMS135" s="17"/>
      <c r="WMT135" s="15"/>
      <c r="WNI135" s="17"/>
      <c r="WNJ135" s="15"/>
      <c r="WNY135" s="17"/>
      <c r="WNZ135" s="15"/>
      <c r="WOO135" s="17"/>
      <c r="WOP135" s="15"/>
      <c r="WPE135" s="17"/>
      <c r="WPF135" s="15"/>
      <c r="WPU135" s="17"/>
      <c r="WPV135" s="15"/>
      <c r="WQK135" s="17"/>
      <c r="WQL135" s="15"/>
      <c r="WRA135" s="17"/>
      <c r="WRB135" s="15"/>
      <c r="WRQ135" s="17"/>
      <c r="WRR135" s="15"/>
      <c r="WSG135" s="17"/>
      <c r="WSH135" s="15"/>
      <c r="WSW135" s="17"/>
      <c r="WSX135" s="15"/>
      <c r="WTM135" s="17"/>
      <c r="WTN135" s="15"/>
      <c r="WUC135" s="17"/>
      <c r="WUD135" s="15"/>
      <c r="WUS135" s="17"/>
      <c r="WUT135" s="15"/>
      <c r="WVI135" s="17"/>
      <c r="WVJ135" s="15"/>
      <c r="WVY135" s="17"/>
      <c r="WVZ135" s="15"/>
      <c r="WWO135" s="17"/>
      <c r="WWP135" s="15"/>
      <c r="WXE135" s="17"/>
      <c r="WXF135" s="15"/>
      <c r="WXU135" s="17"/>
      <c r="WXV135" s="15"/>
      <c r="WYK135" s="17"/>
      <c r="WYL135" s="15"/>
      <c r="WZA135" s="17"/>
      <c r="WZB135" s="15"/>
      <c r="WZQ135" s="17"/>
      <c r="WZR135" s="15"/>
      <c r="XAG135" s="17"/>
      <c r="XAH135" s="15"/>
      <c r="XAW135" s="17"/>
      <c r="XAX135" s="15"/>
      <c r="XBM135" s="17"/>
      <c r="XBN135" s="15"/>
      <c r="XCC135" s="17"/>
      <c r="XCD135" s="15"/>
      <c r="XCS135" s="17"/>
      <c r="XCT135" s="15"/>
      <c r="XDI135" s="17"/>
      <c r="XDJ135" s="15"/>
      <c r="XDY135" s="17"/>
      <c r="XDZ135" s="15"/>
      <c r="XEO135" s="17"/>
      <c r="XEP135" s="15"/>
    </row>
    <row r="136" spans="1:1010 1025:2034 2049:3058 3073:4082 4097:5106 5121:6130 6145:7154 7169:8178 8193:9202 9217:10226 10241:11250 11265:12274 12289:13298 13313:14322 14337:15346 15361:16370" s="16" customFormat="1" ht="17.100000000000001" customHeight="1">
      <c r="A136" s="22">
        <v>45922</v>
      </c>
      <c r="B136" s="15" t="s">
        <v>2123</v>
      </c>
      <c r="C136" s="16" t="s">
        <v>2750</v>
      </c>
      <c r="D136" s="16" t="s">
        <v>48</v>
      </c>
      <c r="E136" s="16" t="s">
        <v>48</v>
      </c>
      <c r="F136" s="16" t="s">
        <v>2752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50</v>
      </c>
      <c r="O136" s="16" t="s">
        <v>2336</v>
      </c>
      <c r="P136" s="16" t="s">
        <v>2776</v>
      </c>
      <c r="Q136" s="17" t="s">
        <v>2775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17"/>
      <c r="AH136" s="15"/>
      <c r="AW136" s="17"/>
      <c r="AX136" s="15"/>
      <c r="BM136" s="17"/>
      <c r="BN136" s="15"/>
      <c r="CC136" s="17"/>
      <c r="CD136" s="15"/>
      <c r="CS136" s="17"/>
      <c r="CT136" s="15"/>
      <c r="DI136" s="17"/>
      <c r="DJ136" s="15"/>
      <c r="DY136" s="17"/>
      <c r="DZ136" s="15"/>
      <c r="EO136" s="17"/>
      <c r="EP136" s="15"/>
      <c r="FE136" s="17"/>
      <c r="FF136" s="15"/>
      <c r="FU136" s="17"/>
      <c r="FV136" s="15"/>
      <c r="GK136" s="17"/>
      <c r="GL136" s="15"/>
      <c r="HA136" s="17"/>
      <c r="HB136" s="15"/>
      <c r="HQ136" s="17"/>
      <c r="HR136" s="15"/>
      <c r="IG136" s="17"/>
      <c r="IH136" s="15"/>
      <c r="IW136" s="17"/>
      <c r="IX136" s="15"/>
      <c r="JM136" s="17"/>
      <c r="JN136" s="15"/>
      <c r="KC136" s="17"/>
      <c r="KD136" s="15"/>
      <c r="KS136" s="17"/>
      <c r="KT136" s="15"/>
      <c r="LI136" s="17"/>
      <c r="LJ136" s="15"/>
      <c r="LY136" s="17"/>
      <c r="LZ136" s="15"/>
      <c r="MO136" s="17"/>
      <c r="MP136" s="15"/>
      <c r="NE136" s="17"/>
      <c r="NF136" s="15"/>
      <c r="NU136" s="17"/>
      <c r="NV136" s="15"/>
      <c r="OK136" s="17"/>
      <c r="OL136" s="15"/>
      <c r="PA136" s="17"/>
      <c r="PB136" s="15"/>
      <c r="PQ136" s="17"/>
      <c r="PR136" s="15"/>
      <c r="QG136" s="17"/>
      <c r="QH136" s="15"/>
      <c r="QW136" s="17"/>
      <c r="QX136" s="15"/>
      <c r="RM136" s="17"/>
      <c r="RN136" s="15"/>
      <c r="SC136" s="17"/>
      <c r="SD136" s="15"/>
      <c r="SS136" s="17"/>
      <c r="ST136" s="15"/>
      <c r="TI136" s="17"/>
      <c r="TJ136" s="15"/>
      <c r="TY136" s="17"/>
      <c r="TZ136" s="15"/>
      <c r="UO136" s="17"/>
      <c r="UP136" s="15"/>
      <c r="VE136" s="17"/>
      <c r="VF136" s="15"/>
      <c r="VU136" s="17"/>
      <c r="VV136" s="15"/>
      <c r="WK136" s="17"/>
      <c r="WL136" s="15"/>
      <c r="XA136" s="17"/>
      <c r="XB136" s="15"/>
      <c r="XQ136" s="17"/>
      <c r="XR136" s="15"/>
      <c r="YG136" s="17"/>
      <c r="YH136" s="15"/>
      <c r="YW136" s="17"/>
      <c r="YX136" s="15"/>
      <c r="ZM136" s="17"/>
      <c r="ZN136" s="15"/>
      <c r="AAC136" s="17"/>
      <c r="AAD136" s="15"/>
      <c r="AAS136" s="17"/>
      <c r="AAT136" s="15"/>
      <c r="ABI136" s="17"/>
      <c r="ABJ136" s="15"/>
      <c r="ABY136" s="17"/>
      <c r="ABZ136" s="15"/>
      <c r="ACO136" s="17"/>
      <c r="ACP136" s="15"/>
      <c r="ADE136" s="17"/>
      <c r="ADF136" s="15"/>
      <c r="ADU136" s="17"/>
      <c r="ADV136" s="15"/>
      <c r="AEK136" s="17"/>
      <c r="AEL136" s="15"/>
      <c r="AFA136" s="17"/>
      <c r="AFB136" s="15"/>
      <c r="AFQ136" s="17"/>
      <c r="AFR136" s="15"/>
      <c r="AGG136" s="17"/>
      <c r="AGH136" s="15"/>
      <c r="AGW136" s="17"/>
      <c r="AGX136" s="15"/>
      <c r="AHM136" s="17"/>
      <c r="AHN136" s="15"/>
      <c r="AIC136" s="17"/>
      <c r="AID136" s="15"/>
      <c r="AIS136" s="17"/>
      <c r="AIT136" s="15"/>
      <c r="AJI136" s="17"/>
      <c r="AJJ136" s="15"/>
      <c r="AJY136" s="17"/>
      <c r="AJZ136" s="15"/>
      <c r="AKO136" s="17"/>
      <c r="AKP136" s="15"/>
      <c r="ALE136" s="17"/>
      <c r="ALF136" s="15"/>
      <c r="ALU136" s="17"/>
      <c r="ALV136" s="15"/>
      <c r="AMK136" s="17"/>
      <c r="AML136" s="15"/>
      <c r="ANA136" s="17"/>
      <c r="ANB136" s="15"/>
      <c r="ANQ136" s="17"/>
      <c r="ANR136" s="15"/>
      <c r="AOG136" s="17"/>
      <c r="AOH136" s="15"/>
      <c r="AOW136" s="17"/>
      <c r="AOX136" s="15"/>
      <c r="APM136" s="17"/>
      <c r="APN136" s="15"/>
      <c r="AQC136" s="17"/>
      <c r="AQD136" s="15"/>
      <c r="AQS136" s="17"/>
      <c r="AQT136" s="15"/>
      <c r="ARI136" s="17"/>
      <c r="ARJ136" s="15"/>
      <c r="ARY136" s="17"/>
      <c r="ARZ136" s="15"/>
      <c r="ASO136" s="17"/>
      <c r="ASP136" s="15"/>
      <c r="ATE136" s="17"/>
      <c r="ATF136" s="15"/>
      <c r="ATU136" s="17"/>
      <c r="ATV136" s="15"/>
      <c r="AUK136" s="17"/>
      <c r="AUL136" s="15"/>
      <c r="AVA136" s="17"/>
      <c r="AVB136" s="15"/>
      <c r="AVQ136" s="17"/>
      <c r="AVR136" s="15"/>
      <c r="AWG136" s="17"/>
      <c r="AWH136" s="15"/>
      <c r="AWW136" s="17"/>
      <c r="AWX136" s="15"/>
      <c r="AXM136" s="17"/>
      <c r="AXN136" s="15"/>
      <c r="AYC136" s="17"/>
      <c r="AYD136" s="15"/>
      <c r="AYS136" s="17"/>
      <c r="AYT136" s="15"/>
      <c r="AZI136" s="17"/>
      <c r="AZJ136" s="15"/>
      <c r="AZY136" s="17"/>
      <c r="AZZ136" s="15"/>
      <c r="BAO136" s="17"/>
      <c r="BAP136" s="15"/>
      <c r="BBE136" s="17"/>
      <c r="BBF136" s="15"/>
      <c r="BBU136" s="17"/>
      <c r="BBV136" s="15"/>
      <c r="BCK136" s="17"/>
      <c r="BCL136" s="15"/>
      <c r="BDA136" s="17"/>
      <c r="BDB136" s="15"/>
      <c r="BDQ136" s="17"/>
      <c r="BDR136" s="15"/>
      <c r="BEG136" s="17"/>
      <c r="BEH136" s="15"/>
      <c r="BEW136" s="17"/>
      <c r="BEX136" s="15"/>
      <c r="BFM136" s="17"/>
      <c r="BFN136" s="15"/>
      <c r="BGC136" s="17"/>
      <c r="BGD136" s="15"/>
      <c r="BGS136" s="17"/>
      <c r="BGT136" s="15"/>
      <c r="BHI136" s="17"/>
      <c r="BHJ136" s="15"/>
      <c r="BHY136" s="17"/>
      <c r="BHZ136" s="15"/>
      <c r="BIO136" s="17"/>
      <c r="BIP136" s="15"/>
      <c r="BJE136" s="17"/>
      <c r="BJF136" s="15"/>
      <c r="BJU136" s="17"/>
      <c r="BJV136" s="15"/>
      <c r="BKK136" s="17"/>
      <c r="BKL136" s="15"/>
      <c r="BLA136" s="17"/>
      <c r="BLB136" s="15"/>
      <c r="BLQ136" s="17"/>
      <c r="BLR136" s="15"/>
      <c r="BMG136" s="17"/>
      <c r="BMH136" s="15"/>
      <c r="BMW136" s="17"/>
      <c r="BMX136" s="15"/>
      <c r="BNM136" s="17"/>
      <c r="BNN136" s="15"/>
      <c r="BOC136" s="17"/>
      <c r="BOD136" s="15"/>
      <c r="BOS136" s="17"/>
      <c r="BOT136" s="15"/>
      <c r="BPI136" s="17"/>
      <c r="BPJ136" s="15"/>
      <c r="BPY136" s="17"/>
      <c r="BPZ136" s="15"/>
      <c r="BQO136" s="17"/>
      <c r="BQP136" s="15"/>
      <c r="BRE136" s="17"/>
      <c r="BRF136" s="15"/>
      <c r="BRU136" s="17"/>
      <c r="BRV136" s="15"/>
      <c r="BSK136" s="17"/>
      <c r="BSL136" s="15"/>
      <c r="BTA136" s="17"/>
      <c r="BTB136" s="15"/>
      <c r="BTQ136" s="17"/>
      <c r="BTR136" s="15"/>
      <c r="BUG136" s="17"/>
      <c r="BUH136" s="15"/>
      <c r="BUW136" s="17"/>
      <c r="BUX136" s="15"/>
      <c r="BVM136" s="17"/>
      <c r="BVN136" s="15"/>
      <c r="BWC136" s="17"/>
      <c r="BWD136" s="15"/>
      <c r="BWS136" s="17"/>
      <c r="BWT136" s="15"/>
      <c r="BXI136" s="17"/>
      <c r="BXJ136" s="15"/>
      <c r="BXY136" s="17"/>
      <c r="BXZ136" s="15"/>
      <c r="BYO136" s="17"/>
      <c r="BYP136" s="15"/>
      <c r="BZE136" s="17"/>
      <c r="BZF136" s="15"/>
      <c r="BZU136" s="17"/>
      <c r="BZV136" s="15"/>
      <c r="CAK136" s="17"/>
      <c r="CAL136" s="15"/>
      <c r="CBA136" s="17"/>
      <c r="CBB136" s="15"/>
      <c r="CBQ136" s="17"/>
      <c r="CBR136" s="15"/>
      <c r="CCG136" s="17"/>
      <c r="CCH136" s="15"/>
      <c r="CCW136" s="17"/>
      <c r="CCX136" s="15"/>
      <c r="CDM136" s="17"/>
      <c r="CDN136" s="15"/>
      <c r="CEC136" s="17"/>
      <c r="CED136" s="15"/>
      <c r="CES136" s="17"/>
      <c r="CET136" s="15"/>
      <c r="CFI136" s="17"/>
      <c r="CFJ136" s="15"/>
      <c r="CFY136" s="17"/>
      <c r="CFZ136" s="15"/>
      <c r="CGO136" s="17"/>
      <c r="CGP136" s="15"/>
      <c r="CHE136" s="17"/>
      <c r="CHF136" s="15"/>
      <c r="CHU136" s="17"/>
      <c r="CHV136" s="15"/>
      <c r="CIK136" s="17"/>
      <c r="CIL136" s="15"/>
      <c r="CJA136" s="17"/>
      <c r="CJB136" s="15"/>
      <c r="CJQ136" s="17"/>
      <c r="CJR136" s="15"/>
      <c r="CKG136" s="17"/>
      <c r="CKH136" s="15"/>
      <c r="CKW136" s="17"/>
      <c r="CKX136" s="15"/>
      <c r="CLM136" s="17"/>
      <c r="CLN136" s="15"/>
      <c r="CMC136" s="17"/>
      <c r="CMD136" s="15"/>
      <c r="CMS136" s="17"/>
      <c r="CMT136" s="15"/>
      <c r="CNI136" s="17"/>
      <c r="CNJ136" s="15"/>
      <c r="CNY136" s="17"/>
      <c r="CNZ136" s="15"/>
      <c r="COO136" s="17"/>
      <c r="COP136" s="15"/>
      <c r="CPE136" s="17"/>
      <c r="CPF136" s="15"/>
      <c r="CPU136" s="17"/>
      <c r="CPV136" s="15"/>
      <c r="CQK136" s="17"/>
      <c r="CQL136" s="15"/>
      <c r="CRA136" s="17"/>
      <c r="CRB136" s="15"/>
      <c r="CRQ136" s="17"/>
      <c r="CRR136" s="15"/>
      <c r="CSG136" s="17"/>
      <c r="CSH136" s="15"/>
      <c r="CSW136" s="17"/>
      <c r="CSX136" s="15"/>
      <c r="CTM136" s="17"/>
      <c r="CTN136" s="15"/>
      <c r="CUC136" s="17"/>
      <c r="CUD136" s="15"/>
      <c r="CUS136" s="17"/>
      <c r="CUT136" s="15"/>
      <c r="CVI136" s="17"/>
      <c r="CVJ136" s="15"/>
      <c r="CVY136" s="17"/>
      <c r="CVZ136" s="15"/>
      <c r="CWO136" s="17"/>
      <c r="CWP136" s="15"/>
      <c r="CXE136" s="17"/>
      <c r="CXF136" s="15"/>
      <c r="CXU136" s="17"/>
      <c r="CXV136" s="15"/>
      <c r="CYK136" s="17"/>
      <c r="CYL136" s="15"/>
      <c r="CZA136" s="17"/>
      <c r="CZB136" s="15"/>
      <c r="CZQ136" s="17"/>
      <c r="CZR136" s="15"/>
      <c r="DAG136" s="17"/>
      <c r="DAH136" s="15"/>
      <c r="DAW136" s="17"/>
      <c r="DAX136" s="15"/>
      <c r="DBM136" s="17"/>
      <c r="DBN136" s="15"/>
      <c r="DCC136" s="17"/>
      <c r="DCD136" s="15"/>
      <c r="DCS136" s="17"/>
      <c r="DCT136" s="15"/>
      <c r="DDI136" s="17"/>
      <c r="DDJ136" s="15"/>
      <c r="DDY136" s="17"/>
      <c r="DDZ136" s="15"/>
      <c r="DEO136" s="17"/>
      <c r="DEP136" s="15"/>
      <c r="DFE136" s="17"/>
      <c r="DFF136" s="15"/>
      <c r="DFU136" s="17"/>
      <c r="DFV136" s="15"/>
      <c r="DGK136" s="17"/>
      <c r="DGL136" s="15"/>
      <c r="DHA136" s="17"/>
      <c r="DHB136" s="15"/>
      <c r="DHQ136" s="17"/>
      <c r="DHR136" s="15"/>
      <c r="DIG136" s="17"/>
      <c r="DIH136" s="15"/>
      <c r="DIW136" s="17"/>
      <c r="DIX136" s="15"/>
      <c r="DJM136" s="17"/>
      <c r="DJN136" s="15"/>
      <c r="DKC136" s="17"/>
      <c r="DKD136" s="15"/>
      <c r="DKS136" s="17"/>
      <c r="DKT136" s="15"/>
      <c r="DLI136" s="17"/>
      <c r="DLJ136" s="15"/>
      <c r="DLY136" s="17"/>
      <c r="DLZ136" s="15"/>
      <c r="DMO136" s="17"/>
      <c r="DMP136" s="15"/>
      <c r="DNE136" s="17"/>
      <c r="DNF136" s="15"/>
      <c r="DNU136" s="17"/>
      <c r="DNV136" s="15"/>
      <c r="DOK136" s="17"/>
      <c r="DOL136" s="15"/>
      <c r="DPA136" s="17"/>
      <c r="DPB136" s="15"/>
      <c r="DPQ136" s="17"/>
      <c r="DPR136" s="15"/>
      <c r="DQG136" s="17"/>
      <c r="DQH136" s="15"/>
      <c r="DQW136" s="17"/>
      <c r="DQX136" s="15"/>
      <c r="DRM136" s="17"/>
      <c r="DRN136" s="15"/>
      <c r="DSC136" s="17"/>
      <c r="DSD136" s="15"/>
      <c r="DSS136" s="17"/>
      <c r="DST136" s="15"/>
      <c r="DTI136" s="17"/>
      <c r="DTJ136" s="15"/>
      <c r="DTY136" s="17"/>
      <c r="DTZ136" s="15"/>
      <c r="DUO136" s="17"/>
      <c r="DUP136" s="15"/>
      <c r="DVE136" s="17"/>
      <c r="DVF136" s="15"/>
      <c r="DVU136" s="17"/>
      <c r="DVV136" s="15"/>
      <c r="DWK136" s="17"/>
      <c r="DWL136" s="15"/>
      <c r="DXA136" s="17"/>
      <c r="DXB136" s="15"/>
      <c r="DXQ136" s="17"/>
      <c r="DXR136" s="15"/>
      <c r="DYG136" s="17"/>
      <c r="DYH136" s="15"/>
      <c r="DYW136" s="17"/>
      <c r="DYX136" s="15"/>
      <c r="DZM136" s="17"/>
      <c r="DZN136" s="15"/>
      <c r="EAC136" s="17"/>
      <c r="EAD136" s="15"/>
      <c r="EAS136" s="17"/>
      <c r="EAT136" s="15"/>
      <c r="EBI136" s="17"/>
      <c r="EBJ136" s="15"/>
      <c r="EBY136" s="17"/>
      <c r="EBZ136" s="15"/>
      <c r="ECO136" s="17"/>
      <c r="ECP136" s="15"/>
      <c r="EDE136" s="17"/>
      <c r="EDF136" s="15"/>
      <c r="EDU136" s="17"/>
      <c r="EDV136" s="15"/>
      <c r="EEK136" s="17"/>
      <c r="EEL136" s="15"/>
      <c r="EFA136" s="17"/>
      <c r="EFB136" s="15"/>
      <c r="EFQ136" s="17"/>
      <c r="EFR136" s="15"/>
      <c r="EGG136" s="17"/>
      <c r="EGH136" s="15"/>
      <c r="EGW136" s="17"/>
      <c r="EGX136" s="15"/>
      <c r="EHM136" s="17"/>
      <c r="EHN136" s="15"/>
      <c r="EIC136" s="17"/>
      <c r="EID136" s="15"/>
      <c r="EIS136" s="17"/>
      <c r="EIT136" s="15"/>
      <c r="EJI136" s="17"/>
      <c r="EJJ136" s="15"/>
      <c r="EJY136" s="17"/>
      <c r="EJZ136" s="15"/>
      <c r="EKO136" s="17"/>
      <c r="EKP136" s="15"/>
      <c r="ELE136" s="17"/>
      <c r="ELF136" s="15"/>
      <c r="ELU136" s="17"/>
      <c r="ELV136" s="15"/>
      <c r="EMK136" s="17"/>
      <c r="EML136" s="15"/>
      <c r="ENA136" s="17"/>
      <c r="ENB136" s="15"/>
      <c r="ENQ136" s="17"/>
      <c r="ENR136" s="15"/>
      <c r="EOG136" s="17"/>
      <c r="EOH136" s="15"/>
      <c r="EOW136" s="17"/>
      <c r="EOX136" s="15"/>
      <c r="EPM136" s="17"/>
      <c r="EPN136" s="15"/>
      <c r="EQC136" s="17"/>
      <c r="EQD136" s="15"/>
      <c r="EQS136" s="17"/>
      <c r="EQT136" s="15"/>
      <c r="ERI136" s="17"/>
      <c r="ERJ136" s="15"/>
      <c r="ERY136" s="17"/>
      <c r="ERZ136" s="15"/>
      <c r="ESO136" s="17"/>
      <c r="ESP136" s="15"/>
      <c r="ETE136" s="17"/>
      <c r="ETF136" s="15"/>
      <c r="ETU136" s="17"/>
      <c r="ETV136" s="15"/>
      <c r="EUK136" s="17"/>
      <c r="EUL136" s="15"/>
      <c r="EVA136" s="17"/>
      <c r="EVB136" s="15"/>
      <c r="EVQ136" s="17"/>
      <c r="EVR136" s="15"/>
      <c r="EWG136" s="17"/>
      <c r="EWH136" s="15"/>
      <c r="EWW136" s="17"/>
      <c r="EWX136" s="15"/>
      <c r="EXM136" s="17"/>
      <c r="EXN136" s="15"/>
      <c r="EYC136" s="17"/>
      <c r="EYD136" s="15"/>
      <c r="EYS136" s="17"/>
      <c r="EYT136" s="15"/>
      <c r="EZI136" s="17"/>
      <c r="EZJ136" s="15"/>
      <c r="EZY136" s="17"/>
      <c r="EZZ136" s="15"/>
      <c r="FAO136" s="17"/>
      <c r="FAP136" s="15"/>
      <c r="FBE136" s="17"/>
      <c r="FBF136" s="15"/>
      <c r="FBU136" s="17"/>
      <c r="FBV136" s="15"/>
      <c r="FCK136" s="17"/>
      <c r="FCL136" s="15"/>
      <c r="FDA136" s="17"/>
      <c r="FDB136" s="15"/>
      <c r="FDQ136" s="17"/>
      <c r="FDR136" s="15"/>
      <c r="FEG136" s="17"/>
      <c r="FEH136" s="15"/>
      <c r="FEW136" s="17"/>
      <c r="FEX136" s="15"/>
      <c r="FFM136" s="17"/>
      <c r="FFN136" s="15"/>
      <c r="FGC136" s="17"/>
      <c r="FGD136" s="15"/>
      <c r="FGS136" s="17"/>
      <c r="FGT136" s="15"/>
      <c r="FHI136" s="17"/>
      <c r="FHJ136" s="15"/>
      <c r="FHY136" s="17"/>
      <c r="FHZ136" s="15"/>
      <c r="FIO136" s="17"/>
      <c r="FIP136" s="15"/>
      <c r="FJE136" s="17"/>
      <c r="FJF136" s="15"/>
      <c r="FJU136" s="17"/>
      <c r="FJV136" s="15"/>
      <c r="FKK136" s="17"/>
      <c r="FKL136" s="15"/>
      <c r="FLA136" s="17"/>
      <c r="FLB136" s="15"/>
      <c r="FLQ136" s="17"/>
      <c r="FLR136" s="15"/>
      <c r="FMG136" s="17"/>
      <c r="FMH136" s="15"/>
      <c r="FMW136" s="17"/>
      <c r="FMX136" s="15"/>
      <c r="FNM136" s="17"/>
      <c r="FNN136" s="15"/>
      <c r="FOC136" s="17"/>
      <c r="FOD136" s="15"/>
      <c r="FOS136" s="17"/>
      <c r="FOT136" s="15"/>
      <c r="FPI136" s="17"/>
      <c r="FPJ136" s="15"/>
      <c r="FPY136" s="17"/>
      <c r="FPZ136" s="15"/>
      <c r="FQO136" s="17"/>
      <c r="FQP136" s="15"/>
      <c r="FRE136" s="17"/>
      <c r="FRF136" s="15"/>
      <c r="FRU136" s="17"/>
      <c r="FRV136" s="15"/>
      <c r="FSK136" s="17"/>
      <c r="FSL136" s="15"/>
      <c r="FTA136" s="17"/>
      <c r="FTB136" s="15"/>
      <c r="FTQ136" s="17"/>
      <c r="FTR136" s="15"/>
      <c r="FUG136" s="17"/>
      <c r="FUH136" s="15"/>
      <c r="FUW136" s="17"/>
      <c r="FUX136" s="15"/>
      <c r="FVM136" s="17"/>
      <c r="FVN136" s="15"/>
      <c r="FWC136" s="17"/>
      <c r="FWD136" s="15"/>
      <c r="FWS136" s="17"/>
      <c r="FWT136" s="15"/>
      <c r="FXI136" s="17"/>
      <c r="FXJ136" s="15"/>
      <c r="FXY136" s="17"/>
      <c r="FXZ136" s="15"/>
      <c r="FYO136" s="17"/>
      <c r="FYP136" s="15"/>
      <c r="FZE136" s="17"/>
      <c r="FZF136" s="15"/>
      <c r="FZU136" s="17"/>
      <c r="FZV136" s="15"/>
      <c r="GAK136" s="17"/>
      <c r="GAL136" s="15"/>
      <c r="GBA136" s="17"/>
      <c r="GBB136" s="15"/>
      <c r="GBQ136" s="17"/>
      <c r="GBR136" s="15"/>
      <c r="GCG136" s="17"/>
      <c r="GCH136" s="15"/>
      <c r="GCW136" s="17"/>
      <c r="GCX136" s="15"/>
      <c r="GDM136" s="17"/>
      <c r="GDN136" s="15"/>
      <c r="GEC136" s="17"/>
      <c r="GED136" s="15"/>
      <c r="GES136" s="17"/>
      <c r="GET136" s="15"/>
      <c r="GFI136" s="17"/>
      <c r="GFJ136" s="15"/>
      <c r="GFY136" s="17"/>
      <c r="GFZ136" s="15"/>
      <c r="GGO136" s="17"/>
      <c r="GGP136" s="15"/>
      <c r="GHE136" s="17"/>
      <c r="GHF136" s="15"/>
      <c r="GHU136" s="17"/>
      <c r="GHV136" s="15"/>
      <c r="GIK136" s="17"/>
      <c r="GIL136" s="15"/>
      <c r="GJA136" s="17"/>
      <c r="GJB136" s="15"/>
      <c r="GJQ136" s="17"/>
      <c r="GJR136" s="15"/>
      <c r="GKG136" s="17"/>
      <c r="GKH136" s="15"/>
      <c r="GKW136" s="17"/>
      <c r="GKX136" s="15"/>
      <c r="GLM136" s="17"/>
      <c r="GLN136" s="15"/>
      <c r="GMC136" s="17"/>
      <c r="GMD136" s="15"/>
      <c r="GMS136" s="17"/>
      <c r="GMT136" s="15"/>
      <c r="GNI136" s="17"/>
      <c r="GNJ136" s="15"/>
      <c r="GNY136" s="17"/>
      <c r="GNZ136" s="15"/>
      <c r="GOO136" s="17"/>
      <c r="GOP136" s="15"/>
      <c r="GPE136" s="17"/>
      <c r="GPF136" s="15"/>
      <c r="GPU136" s="17"/>
      <c r="GPV136" s="15"/>
      <c r="GQK136" s="17"/>
      <c r="GQL136" s="15"/>
      <c r="GRA136" s="17"/>
      <c r="GRB136" s="15"/>
      <c r="GRQ136" s="17"/>
      <c r="GRR136" s="15"/>
      <c r="GSG136" s="17"/>
      <c r="GSH136" s="15"/>
      <c r="GSW136" s="17"/>
      <c r="GSX136" s="15"/>
      <c r="GTM136" s="17"/>
      <c r="GTN136" s="15"/>
      <c r="GUC136" s="17"/>
      <c r="GUD136" s="15"/>
      <c r="GUS136" s="17"/>
      <c r="GUT136" s="15"/>
      <c r="GVI136" s="17"/>
      <c r="GVJ136" s="15"/>
      <c r="GVY136" s="17"/>
      <c r="GVZ136" s="15"/>
      <c r="GWO136" s="17"/>
      <c r="GWP136" s="15"/>
      <c r="GXE136" s="17"/>
      <c r="GXF136" s="15"/>
      <c r="GXU136" s="17"/>
      <c r="GXV136" s="15"/>
      <c r="GYK136" s="17"/>
      <c r="GYL136" s="15"/>
      <c r="GZA136" s="17"/>
      <c r="GZB136" s="15"/>
      <c r="GZQ136" s="17"/>
      <c r="GZR136" s="15"/>
      <c r="HAG136" s="17"/>
      <c r="HAH136" s="15"/>
      <c r="HAW136" s="17"/>
      <c r="HAX136" s="15"/>
      <c r="HBM136" s="17"/>
      <c r="HBN136" s="15"/>
      <c r="HCC136" s="17"/>
      <c r="HCD136" s="15"/>
      <c r="HCS136" s="17"/>
      <c r="HCT136" s="15"/>
      <c r="HDI136" s="17"/>
      <c r="HDJ136" s="15"/>
      <c r="HDY136" s="17"/>
      <c r="HDZ136" s="15"/>
      <c r="HEO136" s="17"/>
      <c r="HEP136" s="15"/>
      <c r="HFE136" s="17"/>
      <c r="HFF136" s="15"/>
      <c r="HFU136" s="17"/>
      <c r="HFV136" s="15"/>
      <c r="HGK136" s="17"/>
      <c r="HGL136" s="15"/>
      <c r="HHA136" s="17"/>
      <c r="HHB136" s="15"/>
      <c r="HHQ136" s="17"/>
      <c r="HHR136" s="15"/>
      <c r="HIG136" s="17"/>
      <c r="HIH136" s="15"/>
      <c r="HIW136" s="17"/>
      <c r="HIX136" s="15"/>
      <c r="HJM136" s="17"/>
      <c r="HJN136" s="15"/>
      <c r="HKC136" s="17"/>
      <c r="HKD136" s="15"/>
      <c r="HKS136" s="17"/>
      <c r="HKT136" s="15"/>
      <c r="HLI136" s="17"/>
      <c r="HLJ136" s="15"/>
      <c r="HLY136" s="17"/>
      <c r="HLZ136" s="15"/>
      <c r="HMO136" s="17"/>
      <c r="HMP136" s="15"/>
      <c r="HNE136" s="17"/>
      <c r="HNF136" s="15"/>
      <c r="HNU136" s="17"/>
      <c r="HNV136" s="15"/>
      <c r="HOK136" s="17"/>
      <c r="HOL136" s="15"/>
      <c r="HPA136" s="17"/>
      <c r="HPB136" s="15"/>
      <c r="HPQ136" s="17"/>
      <c r="HPR136" s="15"/>
      <c r="HQG136" s="17"/>
      <c r="HQH136" s="15"/>
      <c r="HQW136" s="17"/>
      <c r="HQX136" s="15"/>
      <c r="HRM136" s="17"/>
      <c r="HRN136" s="15"/>
      <c r="HSC136" s="17"/>
      <c r="HSD136" s="15"/>
      <c r="HSS136" s="17"/>
      <c r="HST136" s="15"/>
      <c r="HTI136" s="17"/>
      <c r="HTJ136" s="15"/>
      <c r="HTY136" s="17"/>
      <c r="HTZ136" s="15"/>
      <c r="HUO136" s="17"/>
      <c r="HUP136" s="15"/>
      <c r="HVE136" s="17"/>
      <c r="HVF136" s="15"/>
      <c r="HVU136" s="17"/>
      <c r="HVV136" s="15"/>
      <c r="HWK136" s="17"/>
      <c r="HWL136" s="15"/>
      <c r="HXA136" s="17"/>
      <c r="HXB136" s="15"/>
      <c r="HXQ136" s="17"/>
      <c r="HXR136" s="15"/>
      <c r="HYG136" s="17"/>
      <c r="HYH136" s="15"/>
      <c r="HYW136" s="17"/>
      <c r="HYX136" s="15"/>
      <c r="HZM136" s="17"/>
      <c r="HZN136" s="15"/>
      <c r="IAC136" s="17"/>
      <c r="IAD136" s="15"/>
      <c r="IAS136" s="17"/>
      <c r="IAT136" s="15"/>
      <c r="IBI136" s="17"/>
      <c r="IBJ136" s="15"/>
      <c r="IBY136" s="17"/>
      <c r="IBZ136" s="15"/>
      <c r="ICO136" s="17"/>
      <c r="ICP136" s="15"/>
      <c r="IDE136" s="17"/>
      <c r="IDF136" s="15"/>
      <c r="IDU136" s="17"/>
      <c r="IDV136" s="15"/>
      <c r="IEK136" s="17"/>
      <c r="IEL136" s="15"/>
      <c r="IFA136" s="17"/>
      <c r="IFB136" s="15"/>
      <c r="IFQ136" s="17"/>
      <c r="IFR136" s="15"/>
      <c r="IGG136" s="17"/>
      <c r="IGH136" s="15"/>
      <c r="IGW136" s="17"/>
      <c r="IGX136" s="15"/>
      <c r="IHM136" s="17"/>
      <c r="IHN136" s="15"/>
      <c r="IIC136" s="17"/>
      <c r="IID136" s="15"/>
      <c r="IIS136" s="17"/>
      <c r="IIT136" s="15"/>
      <c r="IJI136" s="17"/>
      <c r="IJJ136" s="15"/>
      <c r="IJY136" s="17"/>
      <c r="IJZ136" s="15"/>
      <c r="IKO136" s="17"/>
      <c r="IKP136" s="15"/>
      <c r="ILE136" s="17"/>
      <c r="ILF136" s="15"/>
      <c r="ILU136" s="17"/>
      <c r="ILV136" s="15"/>
      <c r="IMK136" s="17"/>
      <c r="IML136" s="15"/>
      <c r="INA136" s="17"/>
      <c r="INB136" s="15"/>
      <c r="INQ136" s="17"/>
      <c r="INR136" s="15"/>
      <c r="IOG136" s="17"/>
      <c r="IOH136" s="15"/>
      <c r="IOW136" s="17"/>
      <c r="IOX136" s="15"/>
      <c r="IPM136" s="17"/>
      <c r="IPN136" s="15"/>
      <c r="IQC136" s="17"/>
      <c r="IQD136" s="15"/>
      <c r="IQS136" s="17"/>
      <c r="IQT136" s="15"/>
      <c r="IRI136" s="17"/>
      <c r="IRJ136" s="15"/>
      <c r="IRY136" s="17"/>
      <c r="IRZ136" s="15"/>
      <c r="ISO136" s="17"/>
      <c r="ISP136" s="15"/>
      <c r="ITE136" s="17"/>
      <c r="ITF136" s="15"/>
      <c r="ITU136" s="17"/>
      <c r="ITV136" s="15"/>
      <c r="IUK136" s="17"/>
      <c r="IUL136" s="15"/>
      <c r="IVA136" s="17"/>
      <c r="IVB136" s="15"/>
      <c r="IVQ136" s="17"/>
      <c r="IVR136" s="15"/>
      <c r="IWG136" s="17"/>
      <c r="IWH136" s="15"/>
      <c r="IWW136" s="17"/>
      <c r="IWX136" s="15"/>
      <c r="IXM136" s="17"/>
      <c r="IXN136" s="15"/>
      <c r="IYC136" s="17"/>
      <c r="IYD136" s="15"/>
      <c r="IYS136" s="17"/>
      <c r="IYT136" s="15"/>
      <c r="IZI136" s="17"/>
      <c r="IZJ136" s="15"/>
      <c r="IZY136" s="17"/>
      <c r="IZZ136" s="15"/>
      <c r="JAO136" s="17"/>
      <c r="JAP136" s="15"/>
      <c r="JBE136" s="17"/>
      <c r="JBF136" s="15"/>
      <c r="JBU136" s="17"/>
      <c r="JBV136" s="15"/>
      <c r="JCK136" s="17"/>
      <c r="JCL136" s="15"/>
      <c r="JDA136" s="17"/>
      <c r="JDB136" s="15"/>
      <c r="JDQ136" s="17"/>
      <c r="JDR136" s="15"/>
      <c r="JEG136" s="17"/>
      <c r="JEH136" s="15"/>
      <c r="JEW136" s="17"/>
      <c r="JEX136" s="15"/>
      <c r="JFM136" s="17"/>
      <c r="JFN136" s="15"/>
      <c r="JGC136" s="17"/>
      <c r="JGD136" s="15"/>
      <c r="JGS136" s="17"/>
      <c r="JGT136" s="15"/>
      <c r="JHI136" s="17"/>
      <c r="JHJ136" s="15"/>
      <c r="JHY136" s="17"/>
      <c r="JHZ136" s="15"/>
      <c r="JIO136" s="17"/>
      <c r="JIP136" s="15"/>
      <c r="JJE136" s="17"/>
      <c r="JJF136" s="15"/>
      <c r="JJU136" s="17"/>
      <c r="JJV136" s="15"/>
      <c r="JKK136" s="17"/>
      <c r="JKL136" s="15"/>
      <c r="JLA136" s="17"/>
      <c r="JLB136" s="15"/>
      <c r="JLQ136" s="17"/>
      <c r="JLR136" s="15"/>
      <c r="JMG136" s="17"/>
      <c r="JMH136" s="15"/>
      <c r="JMW136" s="17"/>
      <c r="JMX136" s="15"/>
      <c r="JNM136" s="17"/>
      <c r="JNN136" s="15"/>
      <c r="JOC136" s="17"/>
      <c r="JOD136" s="15"/>
      <c r="JOS136" s="17"/>
      <c r="JOT136" s="15"/>
      <c r="JPI136" s="17"/>
      <c r="JPJ136" s="15"/>
      <c r="JPY136" s="17"/>
      <c r="JPZ136" s="15"/>
      <c r="JQO136" s="17"/>
      <c r="JQP136" s="15"/>
      <c r="JRE136" s="17"/>
      <c r="JRF136" s="15"/>
      <c r="JRU136" s="17"/>
      <c r="JRV136" s="15"/>
      <c r="JSK136" s="17"/>
      <c r="JSL136" s="15"/>
      <c r="JTA136" s="17"/>
      <c r="JTB136" s="15"/>
      <c r="JTQ136" s="17"/>
      <c r="JTR136" s="15"/>
      <c r="JUG136" s="17"/>
      <c r="JUH136" s="15"/>
      <c r="JUW136" s="17"/>
      <c r="JUX136" s="15"/>
      <c r="JVM136" s="17"/>
      <c r="JVN136" s="15"/>
      <c r="JWC136" s="17"/>
      <c r="JWD136" s="15"/>
      <c r="JWS136" s="17"/>
      <c r="JWT136" s="15"/>
      <c r="JXI136" s="17"/>
      <c r="JXJ136" s="15"/>
      <c r="JXY136" s="17"/>
      <c r="JXZ136" s="15"/>
      <c r="JYO136" s="17"/>
      <c r="JYP136" s="15"/>
      <c r="JZE136" s="17"/>
      <c r="JZF136" s="15"/>
      <c r="JZU136" s="17"/>
      <c r="JZV136" s="15"/>
      <c r="KAK136" s="17"/>
      <c r="KAL136" s="15"/>
      <c r="KBA136" s="17"/>
      <c r="KBB136" s="15"/>
      <c r="KBQ136" s="17"/>
      <c r="KBR136" s="15"/>
      <c r="KCG136" s="17"/>
      <c r="KCH136" s="15"/>
      <c r="KCW136" s="17"/>
      <c r="KCX136" s="15"/>
      <c r="KDM136" s="17"/>
      <c r="KDN136" s="15"/>
      <c r="KEC136" s="17"/>
      <c r="KED136" s="15"/>
      <c r="KES136" s="17"/>
      <c r="KET136" s="15"/>
      <c r="KFI136" s="17"/>
      <c r="KFJ136" s="15"/>
      <c r="KFY136" s="17"/>
      <c r="KFZ136" s="15"/>
      <c r="KGO136" s="17"/>
      <c r="KGP136" s="15"/>
      <c r="KHE136" s="17"/>
      <c r="KHF136" s="15"/>
      <c r="KHU136" s="17"/>
      <c r="KHV136" s="15"/>
      <c r="KIK136" s="17"/>
      <c r="KIL136" s="15"/>
      <c r="KJA136" s="17"/>
      <c r="KJB136" s="15"/>
      <c r="KJQ136" s="17"/>
      <c r="KJR136" s="15"/>
      <c r="KKG136" s="17"/>
      <c r="KKH136" s="15"/>
      <c r="KKW136" s="17"/>
      <c r="KKX136" s="15"/>
      <c r="KLM136" s="17"/>
      <c r="KLN136" s="15"/>
      <c r="KMC136" s="17"/>
      <c r="KMD136" s="15"/>
      <c r="KMS136" s="17"/>
      <c r="KMT136" s="15"/>
      <c r="KNI136" s="17"/>
      <c r="KNJ136" s="15"/>
      <c r="KNY136" s="17"/>
      <c r="KNZ136" s="15"/>
      <c r="KOO136" s="17"/>
      <c r="KOP136" s="15"/>
      <c r="KPE136" s="17"/>
      <c r="KPF136" s="15"/>
      <c r="KPU136" s="17"/>
      <c r="KPV136" s="15"/>
      <c r="KQK136" s="17"/>
      <c r="KQL136" s="15"/>
      <c r="KRA136" s="17"/>
      <c r="KRB136" s="15"/>
      <c r="KRQ136" s="17"/>
      <c r="KRR136" s="15"/>
      <c r="KSG136" s="17"/>
      <c r="KSH136" s="15"/>
      <c r="KSW136" s="17"/>
      <c r="KSX136" s="15"/>
      <c r="KTM136" s="17"/>
      <c r="KTN136" s="15"/>
      <c r="KUC136" s="17"/>
      <c r="KUD136" s="15"/>
      <c r="KUS136" s="17"/>
      <c r="KUT136" s="15"/>
      <c r="KVI136" s="17"/>
      <c r="KVJ136" s="15"/>
      <c r="KVY136" s="17"/>
      <c r="KVZ136" s="15"/>
      <c r="KWO136" s="17"/>
      <c r="KWP136" s="15"/>
      <c r="KXE136" s="17"/>
      <c r="KXF136" s="15"/>
      <c r="KXU136" s="17"/>
      <c r="KXV136" s="15"/>
      <c r="KYK136" s="17"/>
      <c r="KYL136" s="15"/>
      <c r="KZA136" s="17"/>
      <c r="KZB136" s="15"/>
      <c r="KZQ136" s="17"/>
      <c r="KZR136" s="15"/>
      <c r="LAG136" s="17"/>
      <c r="LAH136" s="15"/>
      <c r="LAW136" s="17"/>
      <c r="LAX136" s="15"/>
      <c r="LBM136" s="17"/>
      <c r="LBN136" s="15"/>
      <c r="LCC136" s="17"/>
      <c r="LCD136" s="15"/>
      <c r="LCS136" s="17"/>
      <c r="LCT136" s="15"/>
      <c r="LDI136" s="17"/>
      <c r="LDJ136" s="15"/>
      <c r="LDY136" s="17"/>
      <c r="LDZ136" s="15"/>
      <c r="LEO136" s="17"/>
      <c r="LEP136" s="15"/>
      <c r="LFE136" s="17"/>
      <c r="LFF136" s="15"/>
      <c r="LFU136" s="17"/>
      <c r="LFV136" s="15"/>
      <c r="LGK136" s="17"/>
      <c r="LGL136" s="15"/>
      <c r="LHA136" s="17"/>
      <c r="LHB136" s="15"/>
      <c r="LHQ136" s="17"/>
      <c r="LHR136" s="15"/>
      <c r="LIG136" s="17"/>
      <c r="LIH136" s="15"/>
      <c r="LIW136" s="17"/>
      <c r="LIX136" s="15"/>
      <c r="LJM136" s="17"/>
      <c r="LJN136" s="15"/>
      <c r="LKC136" s="17"/>
      <c r="LKD136" s="15"/>
      <c r="LKS136" s="17"/>
      <c r="LKT136" s="15"/>
      <c r="LLI136" s="17"/>
      <c r="LLJ136" s="15"/>
      <c r="LLY136" s="17"/>
      <c r="LLZ136" s="15"/>
      <c r="LMO136" s="17"/>
      <c r="LMP136" s="15"/>
      <c r="LNE136" s="17"/>
      <c r="LNF136" s="15"/>
      <c r="LNU136" s="17"/>
      <c r="LNV136" s="15"/>
      <c r="LOK136" s="17"/>
      <c r="LOL136" s="15"/>
      <c r="LPA136" s="17"/>
      <c r="LPB136" s="15"/>
      <c r="LPQ136" s="17"/>
      <c r="LPR136" s="15"/>
      <c r="LQG136" s="17"/>
      <c r="LQH136" s="15"/>
      <c r="LQW136" s="17"/>
      <c r="LQX136" s="15"/>
      <c r="LRM136" s="17"/>
      <c r="LRN136" s="15"/>
      <c r="LSC136" s="17"/>
      <c r="LSD136" s="15"/>
      <c r="LSS136" s="17"/>
      <c r="LST136" s="15"/>
      <c r="LTI136" s="17"/>
      <c r="LTJ136" s="15"/>
      <c r="LTY136" s="17"/>
      <c r="LTZ136" s="15"/>
      <c r="LUO136" s="17"/>
      <c r="LUP136" s="15"/>
      <c r="LVE136" s="17"/>
      <c r="LVF136" s="15"/>
      <c r="LVU136" s="17"/>
      <c r="LVV136" s="15"/>
      <c r="LWK136" s="17"/>
      <c r="LWL136" s="15"/>
      <c r="LXA136" s="17"/>
      <c r="LXB136" s="15"/>
      <c r="LXQ136" s="17"/>
      <c r="LXR136" s="15"/>
      <c r="LYG136" s="17"/>
      <c r="LYH136" s="15"/>
      <c r="LYW136" s="17"/>
      <c r="LYX136" s="15"/>
      <c r="LZM136" s="17"/>
      <c r="LZN136" s="15"/>
      <c r="MAC136" s="17"/>
      <c r="MAD136" s="15"/>
      <c r="MAS136" s="17"/>
      <c r="MAT136" s="15"/>
      <c r="MBI136" s="17"/>
      <c r="MBJ136" s="15"/>
      <c r="MBY136" s="17"/>
      <c r="MBZ136" s="15"/>
      <c r="MCO136" s="17"/>
      <c r="MCP136" s="15"/>
      <c r="MDE136" s="17"/>
      <c r="MDF136" s="15"/>
      <c r="MDU136" s="17"/>
      <c r="MDV136" s="15"/>
      <c r="MEK136" s="17"/>
      <c r="MEL136" s="15"/>
      <c r="MFA136" s="17"/>
      <c r="MFB136" s="15"/>
      <c r="MFQ136" s="17"/>
      <c r="MFR136" s="15"/>
      <c r="MGG136" s="17"/>
      <c r="MGH136" s="15"/>
      <c r="MGW136" s="17"/>
      <c r="MGX136" s="15"/>
      <c r="MHM136" s="17"/>
      <c r="MHN136" s="15"/>
      <c r="MIC136" s="17"/>
      <c r="MID136" s="15"/>
      <c r="MIS136" s="17"/>
      <c r="MIT136" s="15"/>
      <c r="MJI136" s="17"/>
      <c r="MJJ136" s="15"/>
      <c r="MJY136" s="17"/>
      <c r="MJZ136" s="15"/>
      <c r="MKO136" s="17"/>
      <c r="MKP136" s="15"/>
      <c r="MLE136" s="17"/>
      <c r="MLF136" s="15"/>
      <c r="MLU136" s="17"/>
      <c r="MLV136" s="15"/>
      <c r="MMK136" s="17"/>
      <c r="MML136" s="15"/>
      <c r="MNA136" s="17"/>
      <c r="MNB136" s="15"/>
      <c r="MNQ136" s="17"/>
      <c r="MNR136" s="15"/>
      <c r="MOG136" s="17"/>
      <c r="MOH136" s="15"/>
      <c r="MOW136" s="17"/>
      <c r="MOX136" s="15"/>
      <c r="MPM136" s="17"/>
      <c r="MPN136" s="15"/>
      <c r="MQC136" s="17"/>
      <c r="MQD136" s="15"/>
      <c r="MQS136" s="17"/>
      <c r="MQT136" s="15"/>
      <c r="MRI136" s="17"/>
      <c r="MRJ136" s="15"/>
      <c r="MRY136" s="17"/>
      <c r="MRZ136" s="15"/>
      <c r="MSO136" s="17"/>
      <c r="MSP136" s="15"/>
      <c r="MTE136" s="17"/>
      <c r="MTF136" s="15"/>
      <c r="MTU136" s="17"/>
      <c r="MTV136" s="15"/>
      <c r="MUK136" s="17"/>
      <c r="MUL136" s="15"/>
      <c r="MVA136" s="17"/>
      <c r="MVB136" s="15"/>
      <c r="MVQ136" s="17"/>
      <c r="MVR136" s="15"/>
      <c r="MWG136" s="17"/>
      <c r="MWH136" s="15"/>
      <c r="MWW136" s="17"/>
      <c r="MWX136" s="15"/>
      <c r="MXM136" s="17"/>
      <c r="MXN136" s="15"/>
      <c r="MYC136" s="17"/>
      <c r="MYD136" s="15"/>
      <c r="MYS136" s="17"/>
      <c r="MYT136" s="15"/>
      <c r="MZI136" s="17"/>
      <c r="MZJ136" s="15"/>
      <c r="MZY136" s="17"/>
      <c r="MZZ136" s="15"/>
      <c r="NAO136" s="17"/>
      <c r="NAP136" s="15"/>
      <c r="NBE136" s="17"/>
      <c r="NBF136" s="15"/>
      <c r="NBU136" s="17"/>
      <c r="NBV136" s="15"/>
      <c r="NCK136" s="17"/>
      <c r="NCL136" s="15"/>
      <c r="NDA136" s="17"/>
      <c r="NDB136" s="15"/>
      <c r="NDQ136" s="17"/>
      <c r="NDR136" s="15"/>
      <c r="NEG136" s="17"/>
      <c r="NEH136" s="15"/>
      <c r="NEW136" s="17"/>
      <c r="NEX136" s="15"/>
      <c r="NFM136" s="17"/>
      <c r="NFN136" s="15"/>
      <c r="NGC136" s="17"/>
      <c r="NGD136" s="15"/>
      <c r="NGS136" s="17"/>
      <c r="NGT136" s="15"/>
      <c r="NHI136" s="17"/>
      <c r="NHJ136" s="15"/>
      <c r="NHY136" s="17"/>
      <c r="NHZ136" s="15"/>
      <c r="NIO136" s="17"/>
      <c r="NIP136" s="15"/>
      <c r="NJE136" s="17"/>
      <c r="NJF136" s="15"/>
      <c r="NJU136" s="17"/>
      <c r="NJV136" s="15"/>
      <c r="NKK136" s="17"/>
      <c r="NKL136" s="15"/>
      <c r="NLA136" s="17"/>
      <c r="NLB136" s="15"/>
      <c r="NLQ136" s="17"/>
      <c r="NLR136" s="15"/>
      <c r="NMG136" s="17"/>
      <c r="NMH136" s="15"/>
      <c r="NMW136" s="17"/>
      <c r="NMX136" s="15"/>
      <c r="NNM136" s="17"/>
      <c r="NNN136" s="15"/>
      <c r="NOC136" s="17"/>
      <c r="NOD136" s="15"/>
      <c r="NOS136" s="17"/>
      <c r="NOT136" s="15"/>
      <c r="NPI136" s="17"/>
      <c r="NPJ136" s="15"/>
      <c r="NPY136" s="17"/>
      <c r="NPZ136" s="15"/>
      <c r="NQO136" s="17"/>
      <c r="NQP136" s="15"/>
      <c r="NRE136" s="17"/>
      <c r="NRF136" s="15"/>
      <c r="NRU136" s="17"/>
      <c r="NRV136" s="15"/>
      <c r="NSK136" s="17"/>
      <c r="NSL136" s="15"/>
      <c r="NTA136" s="17"/>
      <c r="NTB136" s="15"/>
      <c r="NTQ136" s="17"/>
      <c r="NTR136" s="15"/>
      <c r="NUG136" s="17"/>
      <c r="NUH136" s="15"/>
      <c r="NUW136" s="17"/>
      <c r="NUX136" s="15"/>
      <c r="NVM136" s="17"/>
      <c r="NVN136" s="15"/>
      <c r="NWC136" s="17"/>
      <c r="NWD136" s="15"/>
      <c r="NWS136" s="17"/>
      <c r="NWT136" s="15"/>
      <c r="NXI136" s="17"/>
      <c r="NXJ136" s="15"/>
      <c r="NXY136" s="17"/>
      <c r="NXZ136" s="15"/>
      <c r="NYO136" s="17"/>
      <c r="NYP136" s="15"/>
      <c r="NZE136" s="17"/>
      <c r="NZF136" s="15"/>
      <c r="NZU136" s="17"/>
      <c r="NZV136" s="15"/>
      <c r="OAK136" s="17"/>
      <c r="OAL136" s="15"/>
      <c r="OBA136" s="17"/>
      <c r="OBB136" s="15"/>
      <c r="OBQ136" s="17"/>
      <c r="OBR136" s="15"/>
      <c r="OCG136" s="17"/>
      <c r="OCH136" s="15"/>
      <c r="OCW136" s="17"/>
      <c r="OCX136" s="15"/>
      <c r="ODM136" s="17"/>
      <c r="ODN136" s="15"/>
      <c r="OEC136" s="17"/>
      <c r="OED136" s="15"/>
      <c r="OES136" s="17"/>
      <c r="OET136" s="15"/>
      <c r="OFI136" s="17"/>
      <c r="OFJ136" s="15"/>
      <c r="OFY136" s="17"/>
      <c r="OFZ136" s="15"/>
      <c r="OGO136" s="17"/>
      <c r="OGP136" s="15"/>
      <c r="OHE136" s="17"/>
      <c r="OHF136" s="15"/>
      <c r="OHU136" s="17"/>
      <c r="OHV136" s="15"/>
      <c r="OIK136" s="17"/>
      <c r="OIL136" s="15"/>
      <c r="OJA136" s="17"/>
      <c r="OJB136" s="15"/>
      <c r="OJQ136" s="17"/>
      <c r="OJR136" s="15"/>
      <c r="OKG136" s="17"/>
      <c r="OKH136" s="15"/>
      <c r="OKW136" s="17"/>
      <c r="OKX136" s="15"/>
      <c r="OLM136" s="17"/>
      <c r="OLN136" s="15"/>
      <c r="OMC136" s="17"/>
      <c r="OMD136" s="15"/>
      <c r="OMS136" s="17"/>
      <c r="OMT136" s="15"/>
      <c r="ONI136" s="17"/>
      <c r="ONJ136" s="15"/>
      <c r="ONY136" s="17"/>
      <c r="ONZ136" s="15"/>
      <c r="OOO136" s="17"/>
      <c r="OOP136" s="15"/>
      <c r="OPE136" s="17"/>
      <c r="OPF136" s="15"/>
      <c r="OPU136" s="17"/>
      <c r="OPV136" s="15"/>
      <c r="OQK136" s="17"/>
      <c r="OQL136" s="15"/>
      <c r="ORA136" s="17"/>
      <c r="ORB136" s="15"/>
      <c r="ORQ136" s="17"/>
      <c r="ORR136" s="15"/>
      <c r="OSG136" s="17"/>
      <c r="OSH136" s="15"/>
      <c r="OSW136" s="17"/>
      <c r="OSX136" s="15"/>
      <c r="OTM136" s="17"/>
      <c r="OTN136" s="15"/>
      <c r="OUC136" s="17"/>
      <c r="OUD136" s="15"/>
      <c r="OUS136" s="17"/>
      <c r="OUT136" s="15"/>
      <c r="OVI136" s="17"/>
      <c r="OVJ136" s="15"/>
      <c r="OVY136" s="17"/>
      <c r="OVZ136" s="15"/>
      <c r="OWO136" s="17"/>
      <c r="OWP136" s="15"/>
      <c r="OXE136" s="17"/>
      <c r="OXF136" s="15"/>
      <c r="OXU136" s="17"/>
      <c r="OXV136" s="15"/>
      <c r="OYK136" s="17"/>
      <c r="OYL136" s="15"/>
      <c r="OZA136" s="17"/>
      <c r="OZB136" s="15"/>
      <c r="OZQ136" s="17"/>
      <c r="OZR136" s="15"/>
      <c r="PAG136" s="17"/>
      <c r="PAH136" s="15"/>
      <c r="PAW136" s="17"/>
      <c r="PAX136" s="15"/>
      <c r="PBM136" s="17"/>
      <c r="PBN136" s="15"/>
      <c r="PCC136" s="17"/>
      <c r="PCD136" s="15"/>
      <c r="PCS136" s="17"/>
      <c r="PCT136" s="15"/>
      <c r="PDI136" s="17"/>
      <c r="PDJ136" s="15"/>
      <c r="PDY136" s="17"/>
      <c r="PDZ136" s="15"/>
      <c r="PEO136" s="17"/>
      <c r="PEP136" s="15"/>
      <c r="PFE136" s="17"/>
      <c r="PFF136" s="15"/>
      <c r="PFU136" s="17"/>
      <c r="PFV136" s="15"/>
      <c r="PGK136" s="17"/>
      <c r="PGL136" s="15"/>
      <c r="PHA136" s="17"/>
      <c r="PHB136" s="15"/>
      <c r="PHQ136" s="17"/>
      <c r="PHR136" s="15"/>
      <c r="PIG136" s="17"/>
      <c r="PIH136" s="15"/>
      <c r="PIW136" s="17"/>
      <c r="PIX136" s="15"/>
      <c r="PJM136" s="17"/>
      <c r="PJN136" s="15"/>
      <c r="PKC136" s="17"/>
      <c r="PKD136" s="15"/>
      <c r="PKS136" s="17"/>
      <c r="PKT136" s="15"/>
      <c r="PLI136" s="17"/>
      <c r="PLJ136" s="15"/>
      <c r="PLY136" s="17"/>
      <c r="PLZ136" s="15"/>
      <c r="PMO136" s="17"/>
      <c r="PMP136" s="15"/>
      <c r="PNE136" s="17"/>
      <c r="PNF136" s="15"/>
      <c r="PNU136" s="17"/>
      <c r="PNV136" s="15"/>
      <c r="POK136" s="17"/>
      <c r="POL136" s="15"/>
      <c r="PPA136" s="17"/>
      <c r="PPB136" s="15"/>
      <c r="PPQ136" s="17"/>
      <c r="PPR136" s="15"/>
      <c r="PQG136" s="17"/>
      <c r="PQH136" s="15"/>
      <c r="PQW136" s="17"/>
      <c r="PQX136" s="15"/>
      <c r="PRM136" s="17"/>
      <c r="PRN136" s="15"/>
      <c r="PSC136" s="17"/>
      <c r="PSD136" s="15"/>
      <c r="PSS136" s="17"/>
      <c r="PST136" s="15"/>
      <c r="PTI136" s="17"/>
      <c r="PTJ136" s="15"/>
      <c r="PTY136" s="17"/>
      <c r="PTZ136" s="15"/>
      <c r="PUO136" s="17"/>
      <c r="PUP136" s="15"/>
      <c r="PVE136" s="17"/>
      <c r="PVF136" s="15"/>
      <c r="PVU136" s="17"/>
      <c r="PVV136" s="15"/>
      <c r="PWK136" s="17"/>
      <c r="PWL136" s="15"/>
      <c r="PXA136" s="17"/>
      <c r="PXB136" s="15"/>
      <c r="PXQ136" s="17"/>
      <c r="PXR136" s="15"/>
      <c r="PYG136" s="17"/>
      <c r="PYH136" s="15"/>
      <c r="PYW136" s="17"/>
      <c r="PYX136" s="15"/>
      <c r="PZM136" s="17"/>
      <c r="PZN136" s="15"/>
      <c r="QAC136" s="17"/>
      <c r="QAD136" s="15"/>
      <c r="QAS136" s="17"/>
      <c r="QAT136" s="15"/>
      <c r="QBI136" s="17"/>
      <c r="QBJ136" s="15"/>
      <c r="QBY136" s="17"/>
      <c r="QBZ136" s="15"/>
      <c r="QCO136" s="17"/>
      <c r="QCP136" s="15"/>
      <c r="QDE136" s="17"/>
      <c r="QDF136" s="15"/>
      <c r="QDU136" s="17"/>
      <c r="QDV136" s="15"/>
      <c r="QEK136" s="17"/>
      <c r="QEL136" s="15"/>
      <c r="QFA136" s="17"/>
      <c r="QFB136" s="15"/>
      <c r="QFQ136" s="17"/>
      <c r="QFR136" s="15"/>
      <c r="QGG136" s="17"/>
      <c r="QGH136" s="15"/>
      <c r="QGW136" s="17"/>
      <c r="QGX136" s="15"/>
      <c r="QHM136" s="17"/>
      <c r="QHN136" s="15"/>
      <c r="QIC136" s="17"/>
      <c r="QID136" s="15"/>
      <c r="QIS136" s="17"/>
      <c r="QIT136" s="15"/>
      <c r="QJI136" s="17"/>
      <c r="QJJ136" s="15"/>
      <c r="QJY136" s="17"/>
      <c r="QJZ136" s="15"/>
      <c r="QKO136" s="17"/>
      <c r="QKP136" s="15"/>
      <c r="QLE136" s="17"/>
      <c r="QLF136" s="15"/>
      <c r="QLU136" s="17"/>
      <c r="QLV136" s="15"/>
      <c r="QMK136" s="17"/>
      <c r="QML136" s="15"/>
      <c r="QNA136" s="17"/>
      <c r="QNB136" s="15"/>
      <c r="QNQ136" s="17"/>
      <c r="QNR136" s="15"/>
      <c r="QOG136" s="17"/>
      <c r="QOH136" s="15"/>
      <c r="QOW136" s="17"/>
      <c r="QOX136" s="15"/>
      <c r="QPM136" s="17"/>
      <c r="QPN136" s="15"/>
      <c r="QQC136" s="17"/>
      <c r="QQD136" s="15"/>
      <c r="QQS136" s="17"/>
      <c r="QQT136" s="15"/>
      <c r="QRI136" s="17"/>
      <c r="QRJ136" s="15"/>
      <c r="QRY136" s="17"/>
      <c r="QRZ136" s="15"/>
      <c r="QSO136" s="17"/>
      <c r="QSP136" s="15"/>
      <c r="QTE136" s="17"/>
      <c r="QTF136" s="15"/>
      <c r="QTU136" s="17"/>
      <c r="QTV136" s="15"/>
      <c r="QUK136" s="17"/>
      <c r="QUL136" s="15"/>
      <c r="QVA136" s="17"/>
      <c r="QVB136" s="15"/>
      <c r="QVQ136" s="17"/>
      <c r="QVR136" s="15"/>
      <c r="QWG136" s="17"/>
      <c r="QWH136" s="15"/>
      <c r="QWW136" s="17"/>
      <c r="QWX136" s="15"/>
      <c r="QXM136" s="17"/>
      <c r="QXN136" s="15"/>
      <c r="QYC136" s="17"/>
      <c r="QYD136" s="15"/>
      <c r="QYS136" s="17"/>
      <c r="QYT136" s="15"/>
      <c r="QZI136" s="17"/>
      <c r="QZJ136" s="15"/>
      <c r="QZY136" s="17"/>
      <c r="QZZ136" s="15"/>
      <c r="RAO136" s="17"/>
      <c r="RAP136" s="15"/>
      <c r="RBE136" s="17"/>
      <c r="RBF136" s="15"/>
      <c r="RBU136" s="17"/>
      <c r="RBV136" s="15"/>
      <c r="RCK136" s="17"/>
      <c r="RCL136" s="15"/>
      <c r="RDA136" s="17"/>
      <c r="RDB136" s="15"/>
      <c r="RDQ136" s="17"/>
      <c r="RDR136" s="15"/>
      <c r="REG136" s="17"/>
      <c r="REH136" s="15"/>
      <c r="REW136" s="17"/>
      <c r="REX136" s="15"/>
      <c r="RFM136" s="17"/>
      <c r="RFN136" s="15"/>
      <c r="RGC136" s="17"/>
      <c r="RGD136" s="15"/>
      <c r="RGS136" s="17"/>
      <c r="RGT136" s="15"/>
      <c r="RHI136" s="17"/>
      <c r="RHJ136" s="15"/>
      <c r="RHY136" s="17"/>
      <c r="RHZ136" s="15"/>
      <c r="RIO136" s="17"/>
      <c r="RIP136" s="15"/>
      <c r="RJE136" s="17"/>
      <c r="RJF136" s="15"/>
      <c r="RJU136" s="17"/>
      <c r="RJV136" s="15"/>
      <c r="RKK136" s="17"/>
      <c r="RKL136" s="15"/>
      <c r="RLA136" s="17"/>
      <c r="RLB136" s="15"/>
      <c r="RLQ136" s="17"/>
      <c r="RLR136" s="15"/>
      <c r="RMG136" s="17"/>
      <c r="RMH136" s="15"/>
      <c r="RMW136" s="17"/>
      <c r="RMX136" s="15"/>
      <c r="RNM136" s="17"/>
      <c r="RNN136" s="15"/>
      <c r="ROC136" s="17"/>
      <c r="ROD136" s="15"/>
      <c r="ROS136" s="17"/>
      <c r="ROT136" s="15"/>
      <c r="RPI136" s="17"/>
      <c r="RPJ136" s="15"/>
      <c r="RPY136" s="17"/>
      <c r="RPZ136" s="15"/>
      <c r="RQO136" s="17"/>
      <c r="RQP136" s="15"/>
      <c r="RRE136" s="17"/>
      <c r="RRF136" s="15"/>
      <c r="RRU136" s="17"/>
      <c r="RRV136" s="15"/>
      <c r="RSK136" s="17"/>
      <c r="RSL136" s="15"/>
      <c r="RTA136" s="17"/>
      <c r="RTB136" s="15"/>
      <c r="RTQ136" s="17"/>
      <c r="RTR136" s="15"/>
      <c r="RUG136" s="17"/>
      <c r="RUH136" s="15"/>
      <c r="RUW136" s="17"/>
      <c r="RUX136" s="15"/>
      <c r="RVM136" s="17"/>
      <c r="RVN136" s="15"/>
      <c r="RWC136" s="17"/>
      <c r="RWD136" s="15"/>
      <c r="RWS136" s="17"/>
      <c r="RWT136" s="15"/>
      <c r="RXI136" s="17"/>
      <c r="RXJ136" s="15"/>
      <c r="RXY136" s="17"/>
      <c r="RXZ136" s="15"/>
      <c r="RYO136" s="17"/>
      <c r="RYP136" s="15"/>
      <c r="RZE136" s="17"/>
      <c r="RZF136" s="15"/>
      <c r="RZU136" s="17"/>
      <c r="RZV136" s="15"/>
      <c r="SAK136" s="17"/>
      <c r="SAL136" s="15"/>
      <c r="SBA136" s="17"/>
      <c r="SBB136" s="15"/>
      <c r="SBQ136" s="17"/>
      <c r="SBR136" s="15"/>
      <c r="SCG136" s="17"/>
      <c r="SCH136" s="15"/>
      <c r="SCW136" s="17"/>
      <c r="SCX136" s="15"/>
      <c r="SDM136" s="17"/>
      <c r="SDN136" s="15"/>
      <c r="SEC136" s="17"/>
      <c r="SED136" s="15"/>
      <c r="SES136" s="17"/>
      <c r="SET136" s="15"/>
      <c r="SFI136" s="17"/>
      <c r="SFJ136" s="15"/>
      <c r="SFY136" s="17"/>
      <c r="SFZ136" s="15"/>
      <c r="SGO136" s="17"/>
      <c r="SGP136" s="15"/>
      <c r="SHE136" s="17"/>
      <c r="SHF136" s="15"/>
      <c r="SHU136" s="17"/>
      <c r="SHV136" s="15"/>
      <c r="SIK136" s="17"/>
      <c r="SIL136" s="15"/>
      <c r="SJA136" s="17"/>
      <c r="SJB136" s="15"/>
      <c r="SJQ136" s="17"/>
      <c r="SJR136" s="15"/>
      <c r="SKG136" s="17"/>
      <c r="SKH136" s="15"/>
      <c r="SKW136" s="17"/>
      <c r="SKX136" s="15"/>
      <c r="SLM136" s="17"/>
      <c r="SLN136" s="15"/>
      <c r="SMC136" s="17"/>
      <c r="SMD136" s="15"/>
      <c r="SMS136" s="17"/>
      <c r="SMT136" s="15"/>
      <c r="SNI136" s="17"/>
      <c r="SNJ136" s="15"/>
      <c r="SNY136" s="17"/>
      <c r="SNZ136" s="15"/>
      <c r="SOO136" s="17"/>
      <c r="SOP136" s="15"/>
      <c r="SPE136" s="17"/>
      <c r="SPF136" s="15"/>
      <c r="SPU136" s="17"/>
      <c r="SPV136" s="15"/>
      <c r="SQK136" s="17"/>
      <c r="SQL136" s="15"/>
      <c r="SRA136" s="17"/>
      <c r="SRB136" s="15"/>
      <c r="SRQ136" s="17"/>
      <c r="SRR136" s="15"/>
      <c r="SSG136" s="17"/>
      <c r="SSH136" s="15"/>
      <c r="SSW136" s="17"/>
      <c r="SSX136" s="15"/>
      <c r="STM136" s="17"/>
      <c r="STN136" s="15"/>
      <c r="SUC136" s="17"/>
      <c r="SUD136" s="15"/>
      <c r="SUS136" s="17"/>
      <c r="SUT136" s="15"/>
      <c r="SVI136" s="17"/>
      <c r="SVJ136" s="15"/>
      <c r="SVY136" s="17"/>
      <c r="SVZ136" s="15"/>
      <c r="SWO136" s="17"/>
      <c r="SWP136" s="15"/>
      <c r="SXE136" s="17"/>
      <c r="SXF136" s="15"/>
      <c r="SXU136" s="17"/>
      <c r="SXV136" s="15"/>
      <c r="SYK136" s="17"/>
      <c r="SYL136" s="15"/>
      <c r="SZA136" s="17"/>
      <c r="SZB136" s="15"/>
      <c r="SZQ136" s="17"/>
      <c r="SZR136" s="15"/>
      <c r="TAG136" s="17"/>
      <c r="TAH136" s="15"/>
      <c r="TAW136" s="17"/>
      <c r="TAX136" s="15"/>
      <c r="TBM136" s="17"/>
      <c r="TBN136" s="15"/>
      <c r="TCC136" s="17"/>
      <c r="TCD136" s="15"/>
      <c r="TCS136" s="17"/>
      <c r="TCT136" s="15"/>
      <c r="TDI136" s="17"/>
      <c r="TDJ136" s="15"/>
      <c r="TDY136" s="17"/>
      <c r="TDZ136" s="15"/>
      <c r="TEO136" s="17"/>
      <c r="TEP136" s="15"/>
      <c r="TFE136" s="17"/>
      <c r="TFF136" s="15"/>
      <c r="TFU136" s="17"/>
      <c r="TFV136" s="15"/>
      <c r="TGK136" s="17"/>
      <c r="TGL136" s="15"/>
      <c r="THA136" s="17"/>
      <c r="THB136" s="15"/>
      <c r="THQ136" s="17"/>
      <c r="THR136" s="15"/>
      <c r="TIG136" s="17"/>
      <c r="TIH136" s="15"/>
      <c r="TIW136" s="17"/>
      <c r="TIX136" s="15"/>
      <c r="TJM136" s="17"/>
      <c r="TJN136" s="15"/>
      <c r="TKC136" s="17"/>
      <c r="TKD136" s="15"/>
      <c r="TKS136" s="17"/>
      <c r="TKT136" s="15"/>
      <c r="TLI136" s="17"/>
      <c r="TLJ136" s="15"/>
      <c r="TLY136" s="17"/>
      <c r="TLZ136" s="15"/>
      <c r="TMO136" s="17"/>
      <c r="TMP136" s="15"/>
      <c r="TNE136" s="17"/>
      <c r="TNF136" s="15"/>
      <c r="TNU136" s="17"/>
      <c r="TNV136" s="15"/>
      <c r="TOK136" s="17"/>
      <c r="TOL136" s="15"/>
      <c r="TPA136" s="17"/>
      <c r="TPB136" s="15"/>
      <c r="TPQ136" s="17"/>
      <c r="TPR136" s="15"/>
      <c r="TQG136" s="17"/>
      <c r="TQH136" s="15"/>
      <c r="TQW136" s="17"/>
      <c r="TQX136" s="15"/>
      <c r="TRM136" s="17"/>
      <c r="TRN136" s="15"/>
      <c r="TSC136" s="17"/>
      <c r="TSD136" s="15"/>
      <c r="TSS136" s="17"/>
      <c r="TST136" s="15"/>
      <c r="TTI136" s="17"/>
      <c r="TTJ136" s="15"/>
      <c r="TTY136" s="17"/>
      <c r="TTZ136" s="15"/>
      <c r="TUO136" s="17"/>
      <c r="TUP136" s="15"/>
      <c r="TVE136" s="17"/>
      <c r="TVF136" s="15"/>
      <c r="TVU136" s="17"/>
      <c r="TVV136" s="15"/>
      <c r="TWK136" s="17"/>
      <c r="TWL136" s="15"/>
      <c r="TXA136" s="17"/>
      <c r="TXB136" s="15"/>
      <c r="TXQ136" s="17"/>
      <c r="TXR136" s="15"/>
      <c r="TYG136" s="17"/>
      <c r="TYH136" s="15"/>
      <c r="TYW136" s="17"/>
      <c r="TYX136" s="15"/>
      <c r="TZM136" s="17"/>
      <c r="TZN136" s="15"/>
      <c r="UAC136" s="17"/>
      <c r="UAD136" s="15"/>
      <c r="UAS136" s="17"/>
      <c r="UAT136" s="15"/>
      <c r="UBI136" s="17"/>
      <c r="UBJ136" s="15"/>
      <c r="UBY136" s="17"/>
      <c r="UBZ136" s="15"/>
      <c r="UCO136" s="17"/>
      <c r="UCP136" s="15"/>
      <c r="UDE136" s="17"/>
      <c r="UDF136" s="15"/>
      <c r="UDU136" s="17"/>
      <c r="UDV136" s="15"/>
      <c r="UEK136" s="17"/>
      <c r="UEL136" s="15"/>
      <c r="UFA136" s="17"/>
      <c r="UFB136" s="15"/>
      <c r="UFQ136" s="17"/>
      <c r="UFR136" s="15"/>
      <c r="UGG136" s="17"/>
      <c r="UGH136" s="15"/>
      <c r="UGW136" s="17"/>
      <c r="UGX136" s="15"/>
      <c r="UHM136" s="17"/>
      <c r="UHN136" s="15"/>
      <c r="UIC136" s="17"/>
      <c r="UID136" s="15"/>
      <c r="UIS136" s="17"/>
      <c r="UIT136" s="15"/>
      <c r="UJI136" s="17"/>
      <c r="UJJ136" s="15"/>
      <c r="UJY136" s="17"/>
      <c r="UJZ136" s="15"/>
      <c r="UKO136" s="17"/>
      <c r="UKP136" s="15"/>
      <c r="ULE136" s="17"/>
      <c r="ULF136" s="15"/>
      <c r="ULU136" s="17"/>
      <c r="ULV136" s="15"/>
      <c r="UMK136" s="17"/>
      <c r="UML136" s="15"/>
      <c r="UNA136" s="17"/>
      <c r="UNB136" s="15"/>
      <c r="UNQ136" s="17"/>
      <c r="UNR136" s="15"/>
      <c r="UOG136" s="17"/>
      <c r="UOH136" s="15"/>
      <c r="UOW136" s="17"/>
      <c r="UOX136" s="15"/>
      <c r="UPM136" s="17"/>
      <c r="UPN136" s="15"/>
      <c r="UQC136" s="17"/>
      <c r="UQD136" s="15"/>
      <c r="UQS136" s="17"/>
      <c r="UQT136" s="15"/>
      <c r="URI136" s="17"/>
      <c r="URJ136" s="15"/>
      <c r="URY136" s="17"/>
      <c r="URZ136" s="15"/>
      <c r="USO136" s="17"/>
      <c r="USP136" s="15"/>
      <c r="UTE136" s="17"/>
      <c r="UTF136" s="15"/>
      <c r="UTU136" s="17"/>
      <c r="UTV136" s="15"/>
      <c r="UUK136" s="17"/>
      <c r="UUL136" s="15"/>
      <c r="UVA136" s="17"/>
      <c r="UVB136" s="15"/>
      <c r="UVQ136" s="17"/>
      <c r="UVR136" s="15"/>
      <c r="UWG136" s="17"/>
      <c r="UWH136" s="15"/>
      <c r="UWW136" s="17"/>
      <c r="UWX136" s="15"/>
      <c r="UXM136" s="17"/>
      <c r="UXN136" s="15"/>
      <c r="UYC136" s="17"/>
      <c r="UYD136" s="15"/>
      <c r="UYS136" s="17"/>
      <c r="UYT136" s="15"/>
      <c r="UZI136" s="17"/>
      <c r="UZJ136" s="15"/>
      <c r="UZY136" s="17"/>
      <c r="UZZ136" s="15"/>
      <c r="VAO136" s="17"/>
      <c r="VAP136" s="15"/>
      <c r="VBE136" s="17"/>
      <c r="VBF136" s="15"/>
      <c r="VBU136" s="17"/>
      <c r="VBV136" s="15"/>
      <c r="VCK136" s="17"/>
      <c r="VCL136" s="15"/>
      <c r="VDA136" s="17"/>
      <c r="VDB136" s="15"/>
      <c r="VDQ136" s="17"/>
      <c r="VDR136" s="15"/>
      <c r="VEG136" s="17"/>
      <c r="VEH136" s="15"/>
      <c r="VEW136" s="17"/>
      <c r="VEX136" s="15"/>
      <c r="VFM136" s="17"/>
      <c r="VFN136" s="15"/>
      <c r="VGC136" s="17"/>
      <c r="VGD136" s="15"/>
      <c r="VGS136" s="17"/>
      <c r="VGT136" s="15"/>
      <c r="VHI136" s="17"/>
      <c r="VHJ136" s="15"/>
      <c r="VHY136" s="17"/>
      <c r="VHZ136" s="15"/>
      <c r="VIO136" s="17"/>
      <c r="VIP136" s="15"/>
      <c r="VJE136" s="17"/>
      <c r="VJF136" s="15"/>
      <c r="VJU136" s="17"/>
      <c r="VJV136" s="15"/>
      <c r="VKK136" s="17"/>
      <c r="VKL136" s="15"/>
      <c r="VLA136" s="17"/>
      <c r="VLB136" s="15"/>
      <c r="VLQ136" s="17"/>
      <c r="VLR136" s="15"/>
      <c r="VMG136" s="17"/>
      <c r="VMH136" s="15"/>
      <c r="VMW136" s="17"/>
      <c r="VMX136" s="15"/>
      <c r="VNM136" s="17"/>
      <c r="VNN136" s="15"/>
      <c r="VOC136" s="17"/>
      <c r="VOD136" s="15"/>
      <c r="VOS136" s="17"/>
      <c r="VOT136" s="15"/>
      <c r="VPI136" s="17"/>
      <c r="VPJ136" s="15"/>
      <c r="VPY136" s="17"/>
      <c r="VPZ136" s="15"/>
      <c r="VQO136" s="17"/>
      <c r="VQP136" s="15"/>
      <c r="VRE136" s="17"/>
      <c r="VRF136" s="15"/>
      <c r="VRU136" s="17"/>
      <c r="VRV136" s="15"/>
      <c r="VSK136" s="17"/>
      <c r="VSL136" s="15"/>
      <c r="VTA136" s="17"/>
      <c r="VTB136" s="15"/>
      <c r="VTQ136" s="17"/>
      <c r="VTR136" s="15"/>
      <c r="VUG136" s="17"/>
      <c r="VUH136" s="15"/>
      <c r="VUW136" s="17"/>
      <c r="VUX136" s="15"/>
      <c r="VVM136" s="17"/>
      <c r="VVN136" s="15"/>
      <c r="VWC136" s="17"/>
      <c r="VWD136" s="15"/>
      <c r="VWS136" s="17"/>
      <c r="VWT136" s="15"/>
      <c r="VXI136" s="17"/>
      <c r="VXJ136" s="15"/>
      <c r="VXY136" s="17"/>
      <c r="VXZ136" s="15"/>
      <c r="VYO136" s="17"/>
      <c r="VYP136" s="15"/>
      <c r="VZE136" s="17"/>
      <c r="VZF136" s="15"/>
      <c r="VZU136" s="17"/>
      <c r="VZV136" s="15"/>
      <c r="WAK136" s="17"/>
      <c r="WAL136" s="15"/>
      <c r="WBA136" s="17"/>
      <c r="WBB136" s="15"/>
      <c r="WBQ136" s="17"/>
      <c r="WBR136" s="15"/>
      <c r="WCG136" s="17"/>
      <c r="WCH136" s="15"/>
      <c r="WCW136" s="17"/>
      <c r="WCX136" s="15"/>
      <c r="WDM136" s="17"/>
      <c r="WDN136" s="15"/>
      <c r="WEC136" s="17"/>
      <c r="WED136" s="15"/>
      <c r="WES136" s="17"/>
      <c r="WET136" s="15"/>
      <c r="WFI136" s="17"/>
      <c r="WFJ136" s="15"/>
      <c r="WFY136" s="17"/>
      <c r="WFZ136" s="15"/>
      <c r="WGO136" s="17"/>
      <c r="WGP136" s="15"/>
      <c r="WHE136" s="17"/>
      <c r="WHF136" s="15"/>
      <c r="WHU136" s="17"/>
      <c r="WHV136" s="15"/>
      <c r="WIK136" s="17"/>
      <c r="WIL136" s="15"/>
      <c r="WJA136" s="17"/>
      <c r="WJB136" s="15"/>
      <c r="WJQ136" s="17"/>
      <c r="WJR136" s="15"/>
      <c r="WKG136" s="17"/>
      <c r="WKH136" s="15"/>
      <c r="WKW136" s="17"/>
      <c r="WKX136" s="15"/>
      <c r="WLM136" s="17"/>
      <c r="WLN136" s="15"/>
      <c r="WMC136" s="17"/>
      <c r="WMD136" s="15"/>
      <c r="WMS136" s="17"/>
      <c r="WMT136" s="15"/>
      <c r="WNI136" s="17"/>
      <c r="WNJ136" s="15"/>
      <c r="WNY136" s="17"/>
      <c r="WNZ136" s="15"/>
      <c r="WOO136" s="17"/>
      <c r="WOP136" s="15"/>
      <c r="WPE136" s="17"/>
      <c r="WPF136" s="15"/>
      <c r="WPU136" s="17"/>
      <c r="WPV136" s="15"/>
      <c r="WQK136" s="17"/>
      <c r="WQL136" s="15"/>
      <c r="WRA136" s="17"/>
      <c r="WRB136" s="15"/>
      <c r="WRQ136" s="17"/>
      <c r="WRR136" s="15"/>
      <c r="WSG136" s="17"/>
      <c r="WSH136" s="15"/>
      <c r="WSW136" s="17"/>
      <c r="WSX136" s="15"/>
      <c r="WTM136" s="17"/>
      <c r="WTN136" s="15"/>
      <c r="WUC136" s="17"/>
      <c r="WUD136" s="15"/>
      <c r="WUS136" s="17"/>
      <c r="WUT136" s="15"/>
      <c r="WVI136" s="17"/>
      <c r="WVJ136" s="15"/>
      <c r="WVY136" s="17"/>
      <c r="WVZ136" s="15"/>
      <c r="WWO136" s="17"/>
      <c r="WWP136" s="15"/>
      <c r="WXE136" s="17"/>
      <c r="WXF136" s="15"/>
      <c r="WXU136" s="17"/>
      <c r="WXV136" s="15"/>
      <c r="WYK136" s="17"/>
      <c r="WYL136" s="15"/>
      <c r="WZA136" s="17"/>
      <c r="WZB136" s="15"/>
      <c r="WZQ136" s="17"/>
      <c r="WZR136" s="15"/>
      <c r="XAG136" s="17"/>
      <c r="XAH136" s="15"/>
      <c r="XAW136" s="17"/>
      <c r="XAX136" s="15"/>
      <c r="XBM136" s="17"/>
      <c r="XBN136" s="15"/>
      <c r="XCC136" s="17"/>
      <c r="XCD136" s="15"/>
      <c r="XCS136" s="17"/>
      <c r="XCT136" s="15"/>
      <c r="XDI136" s="17"/>
      <c r="XDJ136" s="15"/>
      <c r="XDY136" s="17"/>
      <c r="XDZ136" s="15"/>
      <c r="XEO136" s="17"/>
      <c r="XEP136" s="15"/>
    </row>
    <row r="137" spans="1:1010 1025:2034 2049:3058 3073:4082 4097:5106 5121:6130 6145:7154 7169:8178 8193:9202 9217:10226 10241:11250 11265:12274 12289:13298 13313:14322 14337:15346 15361:16370" s="16" customFormat="1" ht="17.100000000000001" customHeight="1">
      <c r="A137" s="22">
        <v>45922</v>
      </c>
      <c r="B137" s="15" t="s">
        <v>222</v>
      </c>
      <c r="C137" s="16" t="s">
        <v>2750</v>
      </c>
      <c r="D137" s="16" t="s">
        <v>48</v>
      </c>
      <c r="E137" s="16" t="s">
        <v>48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2727</v>
      </c>
      <c r="N137" s="16">
        <v>30</v>
      </c>
      <c r="O137" s="16" t="s">
        <v>2336</v>
      </c>
      <c r="P137" s="16" t="s">
        <v>2781</v>
      </c>
      <c r="Q137" s="17" t="s">
        <v>2778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17"/>
      <c r="AH137" s="15"/>
      <c r="AW137" s="17"/>
      <c r="AX137" s="15"/>
      <c r="BM137" s="17"/>
      <c r="BN137" s="15"/>
      <c r="CC137" s="17"/>
      <c r="CD137" s="15"/>
      <c r="CS137" s="17"/>
      <c r="CT137" s="15"/>
      <c r="DI137" s="17"/>
      <c r="DJ137" s="15"/>
      <c r="DY137" s="17"/>
      <c r="DZ137" s="15"/>
      <c r="EO137" s="17"/>
      <c r="EP137" s="15"/>
      <c r="FE137" s="17"/>
      <c r="FF137" s="15"/>
      <c r="FU137" s="17"/>
      <c r="FV137" s="15"/>
      <c r="GK137" s="17"/>
      <c r="GL137" s="15"/>
      <c r="HA137" s="17"/>
      <c r="HB137" s="15"/>
      <c r="HQ137" s="17"/>
      <c r="HR137" s="15"/>
      <c r="IG137" s="17"/>
      <c r="IH137" s="15"/>
      <c r="IW137" s="17"/>
      <c r="IX137" s="15"/>
      <c r="JM137" s="17"/>
      <c r="JN137" s="15"/>
      <c r="KC137" s="17"/>
      <c r="KD137" s="15"/>
      <c r="KS137" s="17"/>
      <c r="KT137" s="15"/>
      <c r="LI137" s="17"/>
      <c r="LJ137" s="15"/>
      <c r="LY137" s="17"/>
      <c r="LZ137" s="15"/>
      <c r="MO137" s="17"/>
      <c r="MP137" s="15"/>
      <c r="NE137" s="17"/>
      <c r="NF137" s="15"/>
      <c r="NU137" s="17"/>
      <c r="NV137" s="15"/>
      <c r="OK137" s="17"/>
      <c r="OL137" s="15"/>
      <c r="PA137" s="17"/>
      <c r="PB137" s="15"/>
      <c r="PQ137" s="17"/>
      <c r="PR137" s="15"/>
      <c r="QG137" s="17"/>
      <c r="QH137" s="15"/>
      <c r="QW137" s="17"/>
      <c r="QX137" s="15"/>
      <c r="RM137" s="17"/>
      <c r="RN137" s="15"/>
      <c r="SC137" s="17"/>
      <c r="SD137" s="15"/>
      <c r="SS137" s="17"/>
      <c r="ST137" s="15"/>
      <c r="TI137" s="17"/>
      <c r="TJ137" s="15"/>
      <c r="TY137" s="17"/>
      <c r="TZ137" s="15"/>
      <c r="UO137" s="17"/>
      <c r="UP137" s="15"/>
      <c r="VE137" s="17"/>
      <c r="VF137" s="15"/>
      <c r="VU137" s="17"/>
      <c r="VV137" s="15"/>
      <c r="WK137" s="17"/>
      <c r="WL137" s="15"/>
      <c r="XA137" s="17"/>
      <c r="XB137" s="15"/>
      <c r="XQ137" s="17"/>
      <c r="XR137" s="15"/>
      <c r="YG137" s="17"/>
      <c r="YH137" s="15"/>
      <c r="YW137" s="17"/>
      <c r="YX137" s="15"/>
      <c r="ZM137" s="17"/>
      <c r="ZN137" s="15"/>
      <c r="AAC137" s="17"/>
      <c r="AAD137" s="15"/>
      <c r="AAS137" s="17"/>
      <c r="AAT137" s="15"/>
      <c r="ABI137" s="17"/>
      <c r="ABJ137" s="15"/>
      <c r="ABY137" s="17"/>
      <c r="ABZ137" s="15"/>
      <c r="ACO137" s="17"/>
      <c r="ACP137" s="15"/>
      <c r="ADE137" s="17"/>
      <c r="ADF137" s="15"/>
      <c r="ADU137" s="17"/>
      <c r="ADV137" s="15"/>
      <c r="AEK137" s="17"/>
      <c r="AEL137" s="15"/>
      <c r="AFA137" s="17"/>
      <c r="AFB137" s="15"/>
      <c r="AFQ137" s="17"/>
      <c r="AFR137" s="15"/>
      <c r="AGG137" s="17"/>
      <c r="AGH137" s="15"/>
      <c r="AGW137" s="17"/>
      <c r="AGX137" s="15"/>
      <c r="AHM137" s="17"/>
      <c r="AHN137" s="15"/>
      <c r="AIC137" s="17"/>
      <c r="AID137" s="15"/>
      <c r="AIS137" s="17"/>
      <c r="AIT137" s="15"/>
      <c r="AJI137" s="17"/>
      <c r="AJJ137" s="15"/>
      <c r="AJY137" s="17"/>
      <c r="AJZ137" s="15"/>
      <c r="AKO137" s="17"/>
      <c r="AKP137" s="15"/>
      <c r="ALE137" s="17"/>
      <c r="ALF137" s="15"/>
      <c r="ALU137" s="17"/>
      <c r="ALV137" s="15"/>
      <c r="AMK137" s="17"/>
      <c r="AML137" s="15"/>
      <c r="ANA137" s="17"/>
      <c r="ANB137" s="15"/>
      <c r="ANQ137" s="17"/>
      <c r="ANR137" s="15"/>
      <c r="AOG137" s="17"/>
      <c r="AOH137" s="15"/>
      <c r="AOW137" s="17"/>
      <c r="AOX137" s="15"/>
      <c r="APM137" s="17"/>
      <c r="APN137" s="15"/>
      <c r="AQC137" s="17"/>
      <c r="AQD137" s="15"/>
      <c r="AQS137" s="17"/>
      <c r="AQT137" s="15"/>
      <c r="ARI137" s="17"/>
      <c r="ARJ137" s="15"/>
      <c r="ARY137" s="17"/>
      <c r="ARZ137" s="15"/>
      <c r="ASO137" s="17"/>
      <c r="ASP137" s="15"/>
      <c r="ATE137" s="17"/>
      <c r="ATF137" s="15"/>
      <c r="ATU137" s="17"/>
      <c r="ATV137" s="15"/>
      <c r="AUK137" s="17"/>
      <c r="AUL137" s="15"/>
      <c r="AVA137" s="17"/>
      <c r="AVB137" s="15"/>
      <c r="AVQ137" s="17"/>
      <c r="AVR137" s="15"/>
      <c r="AWG137" s="17"/>
      <c r="AWH137" s="15"/>
      <c r="AWW137" s="17"/>
      <c r="AWX137" s="15"/>
      <c r="AXM137" s="17"/>
      <c r="AXN137" s="15"/>
      <c r="AYC137" s="17"/>
      <c r="AYD137" s="15"/>
      <c r="AYS137" s="17"/>
      <c r="AYT137" s="15"/>
      <c r="AZI137" s="17"/>
      <c r="AZJ137" s="15"/>
      <c r="AZY137" s="17"/>
      <c r="AZZ137" s="15"/>
      <c r="BAO137" s="17"/>
      <c r="BAP137" s="15"/>
      <c r="BBE137" s="17"/>
      <c r="BBF137" s="15"/>
      <c r="BBU137" s="17"/>
      <c r="BBV137" s="15"/>
      <c r="BCK137" s="17"/>
      <c r="BCL137" s="15"/>
      <c r="BDA137" s="17"/>
      <c r="BDB137" s="15"/>
      <c r="BDQ137" s="17"/>
      <c r="BDR137" s="15"/>
      <c r="BEG137" s="17"/>
      <c r="BEH137" s="15"/>
      <c r="BEW137" s="17"/>
      <c r="BEX137" s="15"/>
      <c r="BFM137" s="17"/>
      <c r="BFN137" s="15"/>
      <c r="BGC137" s="17"/>
      <c r="BGD137" s="15"/>
      <c r="BGS137" s="17"/>
      <c r="BGT137" s="15"/>
      <c r="BHI137" s="17"/>
      <c r="BHJ137" s="15"/>
      <c r="BHY137" s="17"/>
      <c r="BHZ137" s="15"/>
      <c r="BIO137" s="17"/>
      <c r="BIP137" s="15"/>
      <c r="BJE137" s="17"/>
      <c r="BJF137" s="15"/>
      <c r="BJU137" s="17"/>
      <c r="BJV137" s="15"/>
      <c r="BKK137" s="17"/>
      <c r="BKL137" s="15"/>
      <c r="BLA137" s="17"/>
      <c r="BLB137" s="15"/>
      <c r="BLQ137" s="17"/>
      <c r="BLR137" s="15"/>
      <c r="BMG137" s="17"/>
      <c r="BMH137" s="15"/>
      <c r="BMW137" s="17"/>
      <c r="BMX137" s="15"/>
      <c r="BNM137" s="17"/>
      <c r="BNN137" s="15"/>
      <c r="BOC137" s="17"/>
      <c r="BOD137" s="15"/>
      <c r="BOS137" s="17"/>
      <c r="BOT137" s="15"/>
      <c r="BPI137" s="17"/>
      <c r="BPJ137" s="15"/>
      <c r="BPY137" s="17"/>
      <c r="BPZ137" s="15"/>
      <c r="BQO137" s="17"/>
      <c r="BQP137" s="15"/>
      <c r="BRE137" s="17"/>
      <c r="BRF137" s="15"/>
      <c r="BRU137" s="17"/>
      <c r="BRV137" s="15"/>
      <c r="BSK137" s="17"/>
      <c r="BSL137" s="15"/>
      <c r="BTA137" s="17"/>
      <c r="BTB137" s="15"/>
      <c r="BTQ137" s="17"/>
      <c r="BTR137" s="15"/>
      <c r="BUG137" s="17"/>
      <c r="BUH137" s="15"/>
      <c r="BUW137" s="17"/>
      <c r="BUX137" s="15"/>
      <c r="BVM137" s="17"/>
      <c r="BVN137" s="15"/>
      <c r="BWC137" s="17"/>
      <c r="BWD137" s="15"/>
      <c r="BWS137" s="17"/>
      <c r="BWT137" s="15"/>
      <c r="BXI137" s="17"/>
      <c r="BXJ137" s="15"/>
      <c r="BXY137" s="17"/>
      <c r="BXZ137" s="15"/>
      <c r="BYO137" s="17"/>
      <c r="BYP137" s="15"/>
      <c r="BZE137" s="17"/>
      <c r="BZF137" s="15"/>
      <c r="BZU137" s="17"/>
      <c r="BZV137" s="15"/>
      <c r="CAK137" s="17"/>
      <c r="CAL137" s="15"/>
      <c r="CBA137" s="17"/>
      <c r="CBB137" s="15"/>
      <c r="CBQ137" s="17"/>
      <c r="CBR137" s="15"/>
      <c r="CCG137" s="17"/>
      <c r="CCH137" s="15"/>
      <c r="CCW137" s="17"/>
      <c r="CCX137" s="15"/>
      <c r="CDM137" s="17"/>
      <c r="CDN137" s="15"/>
      <c r="CEC137" s="17"/>
      <c r="CED137" s="15"/>
      <c r="CES137" s="17"/>
      <c r="CET137" s="15"/>
      <c r="CFI137" s="17"/>
      <c r="CFJ137" s="15"/>
      <c r="CFY137" s="17"/>
      <c r="CFZ137" s="15"/>
      <c r="CGO137" s="17"/>
      <c r="CGP137" s="15"/>
      <c r="CHE137" s="17"/>
      <c r="CHF137" s="15"/>
      <c r="CHU137" s="17"/>
      <c r="CHV137" s="15"/>
      <c r="CIK137" s="17"/>
      <c r="CIL137" s="15"/>
      <c r="CJA137" s="17"/>
      <c r="CJB137" s="15"/>
      <c r="CJQ137" s="17"/>
      <c r="CJR137" s="15"/>
      <c r="CKG137" s="17"/>
      <c r="CKH137" s="15"/>
      <c r="CKW137" s="17"/>
      <c r="CKX137" s="15"/>
      <c r="CLM137" s="17"/>
      <c r="CLN137" s="15"/>
      <c r="CMC137" s="17"/>
      <c r="CMD137" s="15"/>
      <c r="CMS137" s="17"/>
      <c r="CMT137" s="15"/>
      <c r="CNI137" s="17"/>
      <c r="CNJ137" s="15"/>
      <c r="CNY137" s="17"/>
      <c r="CNZ137" s="15"/>
      <c r="COO137" s="17"/>
      <c r="COP137" s="15"/>
      <c r="CPE137" s="17"/>
      <c r="CPF137" s="15"/>
      <c r="CPU137" s="17"/>
      <c r="CPV137" s="15"/>
      <c r="CQK137" s="17"/>
      <c r="CQL137" s="15"/>
      <c r="CRA137" s="17"/>
      <c r="CRB137" s="15"/>
      <c r="CRQ137" s="17"/>
      <c r="CRR137" s="15"/>
      <c r="CSG137" s="17"/>
      <c r="CSH137" s="15"/>
      <c r="CSW137" s="17"/>
      <c r="CSX137" s="15"/>
      <c r="CTM137" s="17"/>
      <c r="CTN137" s="15"/>
      <c r="CUC137" s="17"/>
      <c r="CUD137" s="15"/>
      <c r="CUS137" s="17"/>
      <c r="CUT137" s="15"/>
      <c r="CVI137" s="17"/>
      <c r="CVJ137" s="15"/>
      <c r="CVY137" s="17"/>
      <c r="CVZ137" s="15"/>
      <c r="CWO137" s="17"/>
      <c r="CWP137" s="15"/>
      <c r="CXE137" s="17"/>
      <c r="CXF137" s="15"/>
      <c r="CXU137" s="17"/>
      <c r="CXV137" s="15"/>
      <c r="CYK137" s="17"/>
      <c r="CYL137" s="15"/>
      <c r="CZA137" s="17"/>
      <c r="CZB137" s="15"/>
      <c r="CZQ137" s="17"/>
      <c r="CZR137" s="15"/>
      <c r="DAG137" s="17"/>
      <c r="DAH137" s="15"/>
      <c r="DAW137" s="17"/>
      <c r="DAX137" s="15"/>
      <c r="DBM137" s="17"/>
      <c r="DBN137" s="15"/>
      <c r="DCC137" s="17"/>
      <c r="DCD137" s="15"/>
      <c r="DCS137" s="17"/>
      <c r="DCT137" s="15"/>
      <c r="DDI137" s="17"/>
      <c r="DDJ137" s="15"/>
      <c r="DDY137" s="17"/>
      <c r="DDZ137" s="15"/>
      <c r="DEO137" s="17"/>
      <c r="DEP137" s="15"/>
      <c r="DFE137" s="17"/>
      <c r="DFF137" s="15"/>
      <c r="DFU137" s="17"/>
      <c r="DFV137" s="15"/>
      <c r="DGK137" s="17"/>
      <c r="DGL137" s="15"/>
      <c r="DHA137" s="17"/>
      <c r="DHB137" s="15"/>
      <c r="DHQ137" s="17"/>
      <c r="DHR137" s="15"/>
      <c r="DIG137" s="17"/>
      <c r="DIH137" s="15"/>
      <c r="DIW137" s="17"/>
      <c r="DIX137" s="15"/>
      <c r="DJM137" s="17"/>
      <c r="DJN137" s="15"/>
      <c r="DKC137" s="17"/>
      <c r="DKD137" s="15"/>
      <c r="DKS137" s="17"/>
      <c r="DKT137" s="15"/>
      <c r="DLI137" s="17"/>
      <c r="DLJ137" s="15"/>
      <c r="DLY137" s="17"/>
      <c r="DLZ137" s="15"/>
      <c r="DMO137" s="17"/>
      <c r="DMP137" s="15"/>
      <c r="DNE137" s="17"/>
      <c r="DNF137" s="15"/>
      <c r="DNU137" s="17"/>
      <c r="DNV137" s="15"/>
      <c r="DOK137" s="17"/>
      <c r="DOL137" s="15"/>
      <c r="DPA137" s="17"/>
      <c r="DPB137" s="15"/>
      <c r="DPQ137" s="17"/>
      <c r="DPR137" s="15"/>
      <c r="DQG137" s="17"/>
      <c r="DQH137" s="15"/>
      <c r="DQW137" s="17"/>
      <c r="DQX137" s="15"/>
      <c r="DRM137" s="17"/>
      <c r="DRN137" s="15"/>
      <c r="DSC137" s="17"/>
      <c r="DSD137" s="15"/>
      <c r="DSS137" s="17"/>
      <c r="DST137" s="15"/>
      <c r="DTI137" s="17"/>
      <c r="DTJ137" s="15"/>
      <c r="DTY137" s="17"/>
      <c r="DTZ137" s="15"/>
      <c r="DUO137" s="17"/>
      <c r="DUP137" s="15"/>
      <c r="DVE137" s="17"/>
      <c r="DVF137" s="15"/>
      <c r="DVU137" s="17"/>
      <c r="DVV137" s="15"/>
      <c r="DWK137" s="17"/>
      <c r="DWL137" s="15"/>
      <c r="DXA137" s="17"/>
      <c r="DXB137" s="15"/>
      <c r="DXQ137" s="17"/>
      <c r="DXR137" s="15"/>
      <c r="DYG137" s="17"/>
      <c r="DYH137" s="15"/>
      <c r="DYW137" s="17"/>
      <c r="DYX137" s="15"/>
      <c r="DZM137" s="17"/>
      <c r="DZN137" s="15"/>
      <c r="EAC137" s="17"/>
      <c r="EAD137" s="15"/>
      <c r="EAS137" s="17"/>
      <c r="EAT137" s="15"/>
      <c r="EBI137" s="17"/>
      <c r="EBJ137" s="15"/>
      <c r="EBY137" s="17"/>
      <c r="EBZ137" s="15"/>
      <c r="ECO137" s="17"/>
      <c r="ECP137" s="15"/>
      <c r="EDE137" s="17"/>
      <c r="EDF137" s="15"/>
      <c r="EDU137" s="17"/>
      <c r="EDV137" s="15"/>
      <c r="EEK137" s="17"/>
      <c r="EEL137" s="15"/>
      <c r="EFA137" s="17"/>
      <c r="EFB137" s="15"/>
      <c r="EFQ137" s="17"/>
      <c r="EFR137" s="15"/>
      <c r="EGG137" s="17"/>
      <c r="EGH137" s="15"/>
      <c r="EGW137" s="17"/>
      <c r="EGX137" s="15"/>
      <c r="EHM137" s="17"/>
      <c r="EHN137" s="15"/>
      <c r="EIC137" s="17"/>
      <c r="EID137" s="15"/>
      <c r="EIS137" s="17"/>
      <c r="EIT137" s="15"/>
      <c r="EJI137" s="17"/>
      <c r="EJJ137" s="15"/>
      <c r="EJY137" s="17"/>
      <c r="EJZ137" s="15"/>
      <c r="EKO137" s="17"/>
      <c r="EKP137" s="15"/>
      <c r="ELE137" s="17"/>
      <c r="ELF137" s="15"/>
      <c r="ELU137" s="17"/>
      <c r="ELV137" s="15"/>
      <c r="EMK137" s="17"/>
      <c r="EML137" s="15"/>
      <c r="ENA137" s="17"/>
      <c r="ENB137" s="15"/>
      <c r="ENQ137" s="17"/>
      <c r="ENR137" s="15"/>
      <c r="EOG137" s="17"/>
      <c r="EOH137" s="15"/>
      <c r="EOW137" s="17"/>
      <c r="EOX137" s="15"/>
      <c r="EPM137" s="17"/>
      <c r="EPN137" s="15"/>
      <c r="EQC137" s="17"/>
      <c r="EQD137" s="15"/>
      <c r="EQS137" s="17"/>
      <c r="EQT137" s="15"/>
      <c r="ERI137" s="17"/>
      <c r="ERJ137" s="15"/>
      <c r="ERY137" s="17"/>
      <c r="ERZ137" s="15"/>
      <c r="ESO137" s="17"/>
      <c r="ESP137" s="15"/>
      <c r="ETE137" s="17"/>
      <c r="ETF137" s="15"/>
      <c r="ETU137" s="17"/>
      <c r="ETV137" s="15"/>
      <c r="EUK137" s="17"/>
      <c r="EUL137" s="15"/>
      <c r="EVA137" s="17"/>
      <c r="EVB137" s="15"/>
      <c r="EVQ137" s="17"/>
      <c r="EVR137" s="15"/>
      <c r="EWG137" s="17"/>
      <c r="EWH137" s="15"/>
      <c r="EWW137" s="17"/>
      <c r="EWX137" s="15"/>
      <c r="EXM137" s="17"/>
      <c r="EXN137" s="15"/>
      <c r="EYC137" s="17"/>
      <c r="EYD137" s="15"/>
      <c r="EYS137" s="17"/>
      <c r="EYT137" s="15"/>
      <c r="EZI137" s="17"/>
      <c r="EZJ137" s="15"/>
      <c r="EZY137" s="17"/>
      <c r="EZZ137" s="15"/>
      <c r="FAO137" s="17"/>
      <c r="FAP137" s="15"/>
      <c r="FBE137" s="17"/>
      <c r="FBF137" s="15"/>
      <c r="FBU137" s="17"/>
      <c r="FBV137" s="15"/>
      <c r="FCK137" s="17"/>
      <c r="FCL137" s="15"/>
      <c r="FDA137" s="17"/>
      <c r="FDB137" s="15"/>
      <c r="FDQ137" s="17"/>
      <c r="FDR137" s="15"/>
      <c r="FEG137" s="17"/>
      <c r="FEH137" s="15"/>
      <c r="FEW137" s="17"/>
      <c r="FEX137" s="15"/>
      <c r="FFM137" s="17"/>
      <c r="FFN137" s="15"/>
      <c r="FGC137" s="17"/>
      <c r="FGD137" s="15"/>
      <c r="FGS137" s="17"/>
      <c r="FGT137" s="15"/>
      <c r="FHI137" s="17"/>
      <c r="FHJ137" s="15"/>
      <c r="FHY137" s="17"/>
      <c r="FHZ137" s="15"/>
      <c r="FIO137" s="17"/>
      <c r="FIP137" s="15"/>
      <c r="FJE137" s="17"/>
      <c r="FJF137" s="15"/>
      <c r="FJU137" s="17"/>
      <c r="FJV137" s="15"/>
      <c r="FKK137" s="17"/>
      <c r="FKL137" s="15"/>
      <c r="FLA137" s="17"/>
      <c r="FLB137" s="15"/>
      <c r="FLQ137" s="17"/>
      <c r="FLR137" s="15"/>
      <c r="FMG137" s="17"/>
      <c r="FMH137" s="15"/>
      <c r="FMW137" s="17"/>
      <c r="FMX137" s="15"/>
      <c r="FNM137" s="17"/>
      <c r="FNN137" s="15"/>
      <c r="FOC137" s="17"/>
      <c r="FOD137" s="15"/>
      <c r="FOS137" s="17"/>
      <c r="FOT137" s="15"/>
      <c r="FPI137" s="17"/>
      <c r="FPJ137" s="15"/>
      <c r="FPY137" s="17"/>
      <c r="FPZ137" s="15"/>
      <c r="FQO137" s="17"/>
      <c r="FQP137" s="15"/>
      <c r="FRE137" s="17"/>
      <c r="FRF137" s="15"/>
      <c r="FRU137" s="17"/>
      <c r="FRV137" s="15"/>
      <c r="FSK137" s="17"/>
      <c r="FSL137" s="15"/>
      <c r="FTA137" s="17"/>
      <c r="FTB137" s="15"/>
      <c r="FTQ137" s="17"/>
      <c r="FTR137" s="15"/>
      <c r="FUG137" s="17"/>
      <c r="FUH137" s="15"/>
      <c r="FUW137" s="17"/>
      <c r="FUX137" s="15"/>
      <c r="FVM137" s="17"/>
      <c r="FVN137" s="15"/>
      <c r="FWC137" s="17"/>
      <c r="FWD137" s="15"/>
      <c r="FWS137" s="17"/>
      <c r="FWT137" s="15"/>
      <c r="FXI137" s="17"/>
      <c r="FXJ137" s="15"/>
      <c r="FXY137" s="17"/>
      <c r="FXZ137" s="15"/>
      <c r="FYO137" s="17"/>
      <c r="FYP137" s="15"/>
      <c r="FZE137" s="17"/>
      <c r="FZF137" s="15"/>
      <c r="FZU137" s="17"/>
      <c r="FZV137" s="15"/>
      <c r="GAK137" s="17"/>
      <c r="GAL137" s="15"/>
      <c r="GBA137" s="17"/>
      <c r="GBB137" s="15"/>
      <c r="GBQ137" s="17"/>
      <c r="GBR137" s="15"/>
      <c r="GCG137" s="17"/>
      <c r="GCH137" s="15"/>
      <c r="GCW137" s="17"/>
      <c r="GCX137" s="15"/>
      <c r="GDM137" s="17"/>
      <c r="GDN137" s="15"/>
      <c r="GEC137" s="17"/>
      <c r="GED137" s="15"/>
      <c r="GES137" s="17"/>
      <c r="GET137" s="15"/>
      <c r="GFI137" s="17"/>
      <c r="GFJ137" s="15"/>
      <c r="GFY137" s="17"/>
      <c r="GFZ137" s="15"/>
      <c r="GGO137" s="17"/>
      <c r="GGP137" s="15"/>
      <c r="GHE137" s="17"/>
      <c r="GHF137" s="15"/>
      <c r="GHU137" s="17"/>
      <c r="GHV137" s="15"/>
      <c r="GIK137" s="17"/>
      <c r="GIL137" s="15"/>
      <c r="GJA137" s="17"/>
      <c r="GJB137" s="15"/>
      <c r="GJQ137" s="17"/>
      <c r="GJR137" s="15"/>
      <c r="GKG137" s="17"/>
      <c r="GKH137" s="15"/>
      <c r="GKW137" s="17"/>
      <c r="GKX137" s="15"/>
      <c r="GLM137" s="17"/>
      <c r="GLN137" s="15"/>
      <c r="GMC137" s="17"/>
      <c r="GMD137" s="15"/>
      <c r="GMS137" s="17"/>
      <c r="GMT137" s="15"/>
      <c r="GNI137" s="17"/>
      <c r="GNJ137" s="15"/>
      <c r="GNY137" s="17"/>
      <c r="GNZ137" s="15"/>
      <c r="GOO137" s="17"/>
      <c r="GOP137" s="15"/>
      <c r="GPE137" s="17"/>
      <c r="GPF137" s="15"/>
      <c r="GPU137" s="17"/>
      <c r="GPV137" s="15"/>
      <c r="GQK137" s="17"/>
      <c r="GQL137" s="15"/>
      <c r="GRA137" s="17"/>
      <c r="GRB137" s="15"/>
      <c r="GRQ137" s="17"/>
      <c r="GRR137" s="15"/>
      <c r="GSG137" s="17"/>
      <c r="GSH137" s="15"/>
      <c r="GSW137" s="17"/>
      <c r="GSX137" s="15"/>
      <c r="GTM137" s="17"/>
      <c r="GTN137" s="15"/>
      <c r="GUC137" s="17"/>
      <c r="GUD137" s="15"/>
      <c r="GUS137" s="17"/>
      <c r="GUT137" s="15"/>
      <c r="GVI137" s="17"/>
      <c r="GVJ137" s="15"/>
      <c r="GVY137" s="17"/>
      <c r="GVZ137" s="15"/>
      <c r="GWO137" s="17"/>
      <c r="GWP137" s="15"/>
      <c r="GXE137" s="17"/>
      <c r="GXF137" s="15"/>
      <c r="GXU137" s="17"/>
      <c r="GXV137" s="15"/>
      <c r="GYK137" s="17"/>
      <c r="GYL137" s="15"/>
      <c r="GZA137" s="17"/>
      <c r="GZB137" s="15"/>
      <c r="GZQ137" s="17"/>
      <c r="GZR137" s="15"/>
      <c r="HAG137" s="17"/>
      <c r="HAH137" s="15"/>
      <c r="HAW137" s="17"/>
      <c r="HAX137" s="15"/>
      <c r="HBM137" s="17"/>
      <c r="HBN137" s="15"/>
      <c r="HCC137" s="17"/>
      <c r="HCD137" s="15"/>
      <c r="HCS137" s="17"/>
      <c r="HCT137" s="15"/>
      <c r="HDI137" s="17"/>
      <c r="HDJ137" s="15"/>
      <c r="HDY137" s="17"/>
      <c r="HDZ137" s="15"/>
      <c r="HEO137" s="17"/>
      <c r="HEP137" s="15"/>
      <c r="HFE137" s="17"/>
      <c r="HFF137" s="15"/>
      <c r="HFU137" s="17"/>
      <c r="HFV137" s="15"/>
      <c r="HGK137" s="17"/>
      <c r="HGL137" s="15"/>
      <c r="HHA137" s="17"/>
      <c r="HHB137" s="15"/>
      <c r="HHQ137" s="17"/>
      <c r="HHR137" s="15"/>
      <c r="HIG137" s="17"/>
      <c r="HIH137" s="15"/>
      <c r="HIW137" s="17"/>
      <c r="HIX137" s="15"/>
      <c r="HJM137" s="17"/>
      <c r="HJN137" s="15"/>
      <c r="HKC137" s="17"/>
      <c r="HKD137" s="15"/>
      <c r="HKS137" s="17"/>
      <c r="HKT137" s="15"/>
      <c r="HLI137" s="17"/>
      <c r="HLJ137" s="15"/>
      <c r="HLY137" s="17"/>
      <c r="HLZ137" s="15"/>
      <c r="HMO137" s="17"/>
      <c r="HMP137" s="15"/>
      <c r="HNE137" s="17"/>
      <c r="HNF137" s="15"/>
      <c r="HNU137" s="17"/>
      <c r="HNV137" s="15"/>
      <c r="HOK137" s="17"/>
      <c r="HOL137" s="15"/>
      <c r="HPA137" s="17"/>
      <c r="HPB137" s="15"/>
      <c r="HPQ137" s="17"/>
      <c r="HPR137" s="15"/>
      <c r="HQG137" s="17"/>
      <c r="HQH137" s="15"/>
      <c r="HQW137" s="17"/>
      <c r="HQX137" s="15"/>
      <c r="HRM137" s="17"/>
      <c r="HRN137" s="15"/>
      <c r="HSC137" s="17"/>
      <c r="HSD137" s="15"/>
      <c r="HSS137" s="17"/>
      <c r="HST137" s="15"/>
      <c r="HTI137" s="17"/>
      <c r="HTJ137" s="15"/>
      <c r="HTY137" s="17"/>
      <c r="HTZ137" s="15"/>
      <c r="HUO137" s="17"/>
      <c r="HUP137" s="15"/>
      <c r="HVE137" s="17"/>
      <c r="HVF137" s="15"/>
      <c r="HVU137" s="17"/>
      <c r="HVV137" s="15"/>
      <c r="HWK137" s="17"/>
      <c r="HWL137" s="15"/>
      <c r="HXA137" s="17"/>
      <c r="HXB137" s="15"/>
      <c r="HXQ137" s="17"/>
      <c r="HXR137" s="15"/>
      <c r="HYG137" s="17"/>
      <c r="HYH137" s="15"/>
      <c r="HYW137" s="17"/>
      <c r="HYX137" s="15"/>
      <c r="HZM137" s="17"/>
      <c r="HZN137" s="15"/>
      <c r="IAC137" s="17"/>
      <c r="IAD137" s="15"/>
      <c r="IAS137" s="17"/>
      <c r="IAT137" s="15"/>
      <c r="IBI137" s="17"/>
      <c r="IBJ137" s="15"/>
      <c r="IBY137" s="17"/>
      <c r="IBZ137" s="15"/>
      <c r="ICO137" s="17"/>
      <c r="ICP137" s="15"/>
      <c r="IDE137" s="17"/>
      <c r="IDF137" s="15"/>
      <c r="IDU137" s="17"/>
      <c r="IDV137" s="15"/>
      <c r="IEK137" s="17"/>
      <c r="IEL137" s="15"/>
      <c r="IFA137" s="17"/>
      <c r="IFB137" s="15"/>
      <c r="IFQ137" s="17"/>
      <c r="IFR137" s="15"/>
      <c r="IGG137" s="17"/>
      <c r="IGH137" s="15"/>
      <c r="IGW137" s="17"/>
      <c r="IGX137" s="15"/>
      <c r="IHM137" s="17"/>
      <c r="IHN137" s="15"/>
      <c r="IIC137" s="17"/>
      <c r="IID137" s="15"/>
      <c r="IIS137" s="17"/>
      <c r="IIT137" s="15"/>
      <c r="IJI137" s="17"/>
      <c r="IJJ137" s="15"/>
      <c r="IJY137" s="17"/>
      <c r="IJZ137" s="15"/>
      <c r="IKO137" s="17"/>
      <c r="IKP137" s="15"/>
      <c r="ILE137" s="17"/>
      <c r="ILF137" s="15"/>
      <c r="ILU137" s="17"/>
      <c r="ILV137" s="15"/>
      <c r="IMK137" s="17"/>
      <c r="IML137" s="15"/>
      <c r="INA137" s="17"/>
      <c r="INB137" s="15"/>
      <c r="INQ137" s="17"/>
      <c r="INR137" s="15"/>
      <c r="IOG137" s="17"/>
      <c r="IOH137" s="15"/>
      <c r="IOW137" s="17"/>
      <c r="IOX137" s="15"/>
      <c r="IPM137" s="17"/>
      <c r="IPN137" s="15"/>
      <c r="IQC137" s="17"/>
      <c r="IQD137" s="15"/>
      <c r="IQS137" s="17"/>
      <c r="IQT137" s="15"/>
      <c r="IRI137" s="17"/>
      <c r="IRJ137" s="15"/>
      <c r="IRY137" s="17"/>
      <c r="IRZ137" s="15"/>
      <c r="ISO137" s="17"/>
      <c r="ISP137" s="15"/>
      <c r="ITE137" s="17"/>
      <c r="ITF137" s="15"/>
      <c r="ITU137" s="17"/>
      <c r="ITV137" s="15"/>
      <c r="IUK137" s="17"/>
      <c r="IUL137" s="15"/>
      <c r="IVA137" s="17"/>
      <c r="IVB137" s="15"/>
      <c r="IVQ137" s="17"/>
      <c r="IVR137" s="15"/>
      <c r="IWG137" s="17"/>
      <c r="IWH137" s="15"/>
      <c r="IWW137" s="17"/>
      <c r="IWX137" s="15"/>
      <c r="IXM137" s="17"/>
      <c r="IXN137" s="15"/>
      <c r="IYC137" s="17"/>
      <c r="IYD137" s="15"/>
      <c r="IYS137" s="17"/>
      <c r="IYT137" s="15"/>
      <c r="IZI137" s="17"/>
      <c r="IZJ137" s="15"/>
      <c r="IZY137" s="17"/>
      <c r="IZZ137" s="15"/>
      <c r="JAO137" s="17"/>
      <c r="JAP137" s="15"/>
      <c r="JBE137" s="17"/>
      <c r="JBF137" s="15"/>
      <c r="JBU137" s="17"/>
      <c r="JBV137" s="15"/>
      <c r="JCK137" s="17"/>
      <c r="JCL137" s="15"/>
      <c r="JDA137" s="17"/>
      <c r="JDB137" s="15"/>
      <c r="JDQ137" s="17"/>
      <c r="JDR137" s="15"/>
      <c r="JEG137" s="17"/>
      <c r="JEH137" s="15"/>
      <c r="JEW137" s="17"/>
      <c r="JEX137" s="15"/>
      <c r="JFM137" s="17"/>
      <c r="JFN137" s="15"/>
      <c r="JGC137" s="17"/>
      <c r="JGD137" s="15"/>
      <c r="JGS137" s="17"/>
      <c r="JGT137" s="15"/>
      <c r="JHI137" s="17"/>
      <c r="JHJ137" s="15"/>
      <c r="JHY137" s="17"/>
      <c r="JHZ137" s="15"/>
      <c r="JIO137" s="17"/>
      <c r="JIP137" s="15"/>
      <c r="JJE137" s="17"/>
      <c r="JJF137" s="15"/>
      <c r="JJU137" s="17"/>
      <c r="JJV137" s="15"/>
      <c r="JKK137" s="17"/>
      <c r="JKL137" s="15"/>
      <c r="JLA137" s="17"/>
      <c r="JLB137" s="15"/>
      <c r="JLQ137" s="17"/>
      <c r="JLR137" s="15"/>
      <c r="JMG137" s="17"/>
      <c r="JMH137" s="15"/>
      <c r="JMW137" s="17"/>
      <c r="JMX137" s="15"/>
      <c r="JNM137" s="17"/>
      <c r="JNN137" s="15"/>
      <c r="JOC137" s="17"/>
      <c r="JOD137" s="15"/>
      <c r="JOS137" s="17"/>
      <c r="JOT137" s="15"/>
      <c r="JPI137" s="17"/>
      <c r="JPJ137" s="15"/>
      <c r="JPY137" s="17"/>
      <c r="JPZ137" s="15"/>
      <c r="JQO137" s="17"/>
      <c r="JQP137" s="15"/>
      <c r="JRE137" s="17"/>
      <c r="JRF137" s="15"/>
      <c r="JRU137" s="17"/>
      <c r="JRV137" s="15"/>
      <c r="JSK137" s="17"/>
      <c r="JSL137" s="15"/>
      <c r="JTA137" s="17"/>
      <c r="JTB137" s="15"/>
      <c r="JTQ137" s="17"/>
      <c r="JTR137" s="15"/>
      <c r="JUG137" s="17"/>
      <c r="JUH137" s="15"/>
      <c r="JUW137" s="17"/>
      <c r="JUX137" s="15"/>
      <c r="JVM137" s="17"/>
      <c r="JVN137" s="15"/>
      <c r="JWC137" s="17"/>
      <c r="JWD137" s="15"/>
      <c r="JWS137" s="17"/>
      <c r="JWT137" s="15"/>
      <c r="JXI137" s="17"/>
      <c r="JXJ137" s="15"/>
      <c r="JXY137" s="17"/>
      <c r="JXZ137" s="15"/>
      <c r="JYO137" s="17"/>
      <c r="JYP137" s="15"/>
      <c r="JZE137" s="17"/>
      <c r="JZF137" s="15"/>
      <c r="JZU137" s="17"/>
      <c r="JZV137" s="15"/>
      <c r="KAK137" s="17"/>
      <c r="KAL137" s="15"/>
      <c r="KBA137" s="17"/>
      <c r="KBB137" s="15"/>
      <c r="KBQ137" s="17"/>
      <c r="KBR137" s="15"/>
      <c r="KCG137" s="17"/>
      <c r="KCH137" s="15"/>
      <c r="KCW137" s="17"/>
      <c r="KCX137" s="15"/>
      <c r="KDM137" s="17"/>
      <c r="KDN137" s="15"/>
      <c r="KEC137" s="17"/>
      <c r="KED137" s="15"/>
      <c r="KES137" s="17"/>
      <c r="KET137" s="15"/>
      <c r="KFI137" s="17"/>
      <c r="KFJ137" s="15"/>
      <c r="KFY137" s="17"/>
      <c r="KFZ137" s="15"/>
      <c r="KGO137" s="17"/>
      <c r="KGP137" s="15"/>
      <c r="KHE137" s="17"/>
      <c r="KHF137" s="15"/>
      <c r="KHU137" s="17"/>
      <c r="KHV137" s="15"/>
      <c r="KIK137" s="17"/>
      <c r="KIL137" s="15"/>
      <c r="KJA137" s="17"/>
      <c r="KJB137" s="15"/>
      <c r="KJQ137" s="17"/>
      <c r="KJR137" s="15"/>
      <c r="KKG137" s="17"/>
      <c r="KKH137" s="15"/>
      <c r="KKW137" s="17"/>
      <c r="KKX137" s="15"/>
      <c r="KLM137" s="17"/>
      <c r="KLN137" s="15"/>
      <c r="KMC137" s="17"/>
      <c r="KMD137" s="15"/>
      <c r="KMS137" s="17"/>
      <c r="KMT137" s="15"/>
      <c r="KNI137" s="17"/>
      <c r="KNJ137" s="15"/>
      <c r="KNY137" s="17"/>
      <c r="KNZ137" s="15"/>
      <c r="KOO137" s="17"/>
      <c r="KOP137" s="15"/>
      <c r="KPE137" s="17"/>
      <c r="KPF137" s="15"/>
      <c r="KPU137" s="17"/>
      <c r="KPV137" s="15"/>
      <c r="KQK137" s="17"/>
      <c r="KQL137" s="15"/>
      <c r="KRA137" s="17"/>
      <c r="KRB137" s="15"/>
      <c r="KRQ137" s="17"/>
      <c r="KRR137" s="15"/>
      <c r="KSG137" s="17"/>
      <c r="KSH137" s="15"/>
      <c r="KSW137" s="17"/>
      <c r="KSX137" s="15"/>
      <c r="KTM137" s="17"/>
      <c r="KTN137" s="15"/>
      <c r="KUC137" s="17"/>
      <c r="KUD137" s="15"/>
      <c r="KUS137" s="17"/>
      <c r="KUT137" s="15"/>
      <c r="KVI137" s="17"/>
      <c r="KVJ137" s="15"/>
      <c r="KVY137" s="17"/>
      <c r="KVZ137" s="15"/>
      <c r="KWO137" s="17"/>
      <c r="KWP137" s="15"/>
      <c r="KXE137" s="17"/>
      <c r="KXF137" s="15"/>
      <c r="KXU137" s="17"/>
      <c r="KXV137" s="15"/>
      <c r="KYK137" s="17"/>
      <c r="KYL137" s="15"/>
      <c r="KZA137" s="17"/>
      <c r="KZB137" s="15"/>
      <c r="KZQ137" s="17"/>
      <c r="KZR137" s="15"/>
      <c r="LAG137" s="17"/>
      <c r="LAH137" s="15"/>
      <c r="LAW137" s="17"/>
      <c r="LAX137" s="15"/>
      <c r="LBM137" s="17"/>
      <c r="LBN137" s="15"/>
      <c r="LCC137" s="17"/>
      <c r="LCD137" s="15"/>
      <c r="LCS137" s="17"/>
      <c r="LCT137" s="15"/>
      <c r="LDI137" s="17"/>
      <c r="LDJ137" s="15"/>
      <c r="LDY137" s="17"/>
      <c r="LDZ137" s="15"/>
      <c r="LEO137" s="17"/>
      <c r="LEP137" s="15"/>
      <c r="LFE137" s="17"/>
      <c r="LFF137" s="15"/>
      <c r="LFU137" s="17"/>
      <c r="LFV137" s="15"/>
      <c r="LGK137" s="17"/>
      <c r="LGL137" s="15"/>
      <c r="LHA137" s="17"/>
      <c r="LHB137" s="15"/>
      <c r="LHQ137" s="17"/>
      <c r="LHR137" s="15"/>
      <c r="LIG137" s="17"/>
      <c r="LIH137" s="15"/>
      <c r="LIW137" s="17"/>
      <c r="LIX137" s="15"/>
      <c r="LJM137" s="17"/>
      <c r="LJN137" s="15"/>
      <c r="LKC137" s="17"/>
      <c r="LKD137" s="15"/>
      <c r="LKS137" s="17"/>
      <c r="LKT137" s="15"/>
      <c r="LLI137" s="17"/>
      <c r="LLJ137" s="15"/>
      <c r="LLY137" s="17"/>
      <c r="LLZ137" s="15"/>
      <c r="LMO137" s="17"/>
      <c r="LMP137" s="15"/>
      <c r="LNE137" s="17"/>
      <c r="LNF137" s="15"/>
      <c r="LNU137" s="17"/>
      <c r="LNV137" s="15"/>
      <c r="LOK137" s="17"/>
      <c r="LOL137" s="15"/>
      <c r="LPA137" s="17"/>
      <c r="LPB137" s="15"/>
      <c r="LPQ137" s="17"/>
      <c r="LPR137" s="15"/>
      <c r="LQG137" s="17"/>
      <c r="LQH137" s="15"/>
      <c r="LQW137" s="17"/>
      <c r="LQX137" s="15"/>
      <c r="LRM137" s="17"/>
      <c r="LRN137" s="15"/>
      <c r="LSC137" s="17"/>
      <c r="LSD137" s="15"/>
      <c r="LSS137" s="17"/>
      <c r="LST137" s="15"/>
      <c r="LTI137" s="17"/>
      <c r="LTJ137" s="15"/>
      <c r="LTY137" s="17"/>
      <c r="LTZ137" s="15"/>
      <c r="LUO137" s="17"/>
      <c r="LUP137" s="15"/>
      <c r="LVE137" s="17"/>
      <c r="LVF137" s="15"/>
      <c r="LVU137" s="17"/>
      <c r="LVV137" s="15"/>
      <c r="LWK137" s="17"/>
      <c r="LWL137" s="15"/>
      <c r="LXA137" s="17"/>
      <c r="LXB137" s="15"/>
      <c r="LXQ137" s="17"/>
      <c r="LXR137" s="15"/>
      <c r="LYG137" s="17"/>
      <c r="LYH137" s="15"/>
      <c r="LYW137" s="17"/>
      <c r="LYX137" s="15"/>
      <c r="LZM137" s="17"/>
      <c r="LZN137" s="15"/>
      <c r="MAC137" s="17"/>
      <c r="MAD137" s="15"/>
      <c r="MAS137" s="17"/>
      <c r="MAT137" s="15"/>
      <c r="MBI137" s="17"/>
      <c r="MBJ137" s="15"/>
      <c r="MBY137" s="17"/>
      <c r="MBZ137" s="15"/>
      <c r="MCO137" s="17"/>
      <c r="MCP137" s="15"/>
      <c r="MDE137" s="17"/>
      <c r="MDF137" s="15"/>
      <c r="MDU137" s="17"/>
      <c r="MDV137" s="15"/>
      <c r="MEK137" s="17"/>
      <c r="MEL137" s="15"/>
      <c r="MFA137" s="17"/>
      <c r="MFB137" s="15"/>
      <c r="MFQ137" s="17"/>
      <c r="MFR137" s="15"/>
      <c r="MGG137" s="17"/>
      <c r="MGH137" s="15"/>
      <c r="MGW137" s="17"/>
      <c r="MGX137" s="15"/>
      <c r="MHM137" s="17"/>
      <c r="MHN137" s="15"/>
      <c r="MIC137" s="17"/>
      <c r="MID137" s="15"/>
      <c r="MIS137" s="17"/>
      <c r="MIT137" s="15"/>
      <c r="MJI137" s="17"/>
      <c r="MJJ137" s="15"/>
      <c r="MJY137" s="17"/>
      <c r="MJZ137" s="15"/>
      <c r="MKO137" s="17"/>
      <c r="MKP137" s="15"/>
      <c r="MLE137" s="17"/>
      <c r="MLF137" s="15"/>
      <c r="MLU137" s="17"/>
      <c r="MLV137" s="15"/>
      <c r="MMK137" s="17"/>
      <c r="MML137" s="15"/>
      <c r="MNA137" s="17"/>
      <c r="MNB137" s="15"/>
      <c r="MNQ137" s="17"/>
      <c r="MNR137" s="15"/>
      <c r="MOG137" s="17"/>
      <c r="MOH137" s="15"/>
      <c r="MOW137" s="17"/>
      <c r="MOX137" s="15"/>
      <c r="MPM137" s="17"/>
      <c r="MPN137" s="15"/>
      <c r="MQC137" s="17"/>
      <c r="MQD137" s="15"/>
      <c r="MQS137" s="17"/>
      <c r="MQT137" s="15"/>
      <c r="MRI137" s="17"/>
      <c r="MRJ137" s="15"/>
      <c r="MRY137" s="17"/>
      <c r="MRZ137" s="15"/>
      <c r="MSO137" s="17"/>
      <c r="MSP137" s="15"/>
      <c r="MTE137" s="17"/>
      <c r="MTF137" s="15"/>
      <c r="MTU137" s="17"/>
      <c r="MTV137" s="15"/>
      <c r="MUK137" s="17"/>
      <c r="MUL137" s="15"/>
      <c r="MVA137" s="17"/>
      <c r="MVB137" s="15"/>
      <c r="MVQ137" s="17"/>
      <c r="MVR137" s="15"/>
      <c r="MWG137" s="17"/>
      <c r="MWH137" s="15"/>
      <c r="MWW137" s="17"/>
      <c r="MWX137" s="15"/>
      <c r="MXM137" s="17"/>
      <c r="MXN137" s="15"/>
      <c r="MYC137" s="17"/>
      <c r="MYD137" s="15"/>
      <c r="MYS137" s="17"/>
      <c r="MYT137" s="15"/>
      <c r="MZI137" s="17"/>
      <c r="MZJ137" s="15"/>
      <c r="MZY137" s="17"/>
      <c r="MZZ137" s="15"/>
      <c r="NAO137" s="17"/>
      <c r="NAP137" s="15"/>
      <c r="NBE137" s="17"/>
      <c r="NBF137" s="15"/>
      <c r="NBU137" s="17"/>
      <c r="NBV137" s="15"/>
      <c r="NCK137" s="17"/>
      <c r="NCL137" s="15"/>
      <c r="NDA137" s="17"/>
      <c r="NDB137" s="15"/>
      <c r="NDQ137" s="17"/>
      <c r="NDR137" s="15"/>
      <c r="NEG137" s="17"/>
      <c r="NEH137" s="15"/>
      <c r="NEW137" s="17"/>
      <c r="NEX137" s="15"/>
      <c r="NFM137" s="17"/>
      <c r="NFN137" s="15"/>
      <c r="NGC137" s="17"/>
      <c r="NGD137" s="15"/>
      <c r="NGS137" s="17"/>
      <c r="NGT137" s="15"/>
      <c r="NHI137" s="17"/>
      <c r="NHJ137" s="15"/>
      <c r="NHY137" s="17"/>
      <c r="NHZ137" s="15"/>
      <c r="NIO137" s="17"/>
      <c r="NIP137" s="15"/>
      <c r="NJE137" s="17"/>
      <c r="NJF137" s="15"/>
      <c r="NJU137" s="17"/>
      <c r="NJV137" s="15"/>
      <c r="NKK137" s="17"/>
      <c r="NKL137" s="15"/>
      <c r="NLA137" s="17"/>
      <c r="NLB137" s="15"/>
      <c r="NLQ137" s="17"/>
      <c r="NLR137" s="15"/>
      <c r="NMG137" s="17"/>
      <c r="NMH137" s="15"/>
      <c r="NMW137" s="17"/>
      <c r="NMX137" s="15"/>
      <c r="NNM137" s="17"/>
      <c r="NNN137" s="15"/>
      <c r="NOC137" s="17"/>
      <c r="NOD137" s="15"/>
      <c r="NOS137" s="17"/>
      <c r="NOT137" s="15"/>
      <c r="NPI137" s="17"/>
      <c r="NPJ137" s="15"/>
      <c r="NPY137" s="17"/>
      <c r="NPZ137" s="15"/>
      <c r="NQO137" s="17"/>
      <c r="NQP137" s="15"/>
      <c r="NRE137" s="17"/>
      <c r="NRF137" s="15"/>
      <c r="NRU137" s="17"/>
      <c r="NRV137" s="15"/>
      <c r="NSK137" s="17"/>
      <c r="NSL137" s="15"/>
      <c r="NTA137" s="17"/>
      <c r="NTB137" s="15"/>
      <c r="NTQ137" s="17"/>
      <c r="NTR137" s="15"/>
      <c r="NUG137" s="17"/>
      <c r="NUH137" s="15"/>
      <c r="NUW137" s="17"/>
      <c r="NUX137" s="15"/>
      <c r="NVM137" s="17"/>
      <c r="NVN137" s="15"/>
      <c r="NWC137" s="17"/>
      <c r="NWD137" s="15"/>
      <c r="NWS137" s="17"/>
      <c r="NWT137" s="15"/>
      <c r="NXI137" s="17"/>
      <c r="NXJ137" s="15"/>
      <c r="NXY137" s="17"/>
      <c r="NXZ137" s="15"/>
      <c r="NYO137" s="17"/>
      <c r="NYP137" s="15"/>
      <c r="NZE137" s="17"/>
      <c r="NZF137" s="15"/>
      <c r="NZU137" s="17"/>
      <c r="NZV137" s="15"/>
      <c r="OAK137" s="17"/>
      <c r="OAL137" s="15"/>
      <c r="OBA137" s="17"/>
      <c r="OBB137" s="15"/>
      <c r="OBQ137" s="17"/>
      <c r="OBR137" s="15"/>
      <c r="OCG137" s="17"/>
      <c r="OCH137" s="15"/>
      <c r="OCW137" s="17"/>
      <c r="OCX137" s="15"/>
      <c r="ODM137" s="17"/>
      <c r="ODN137" s="15"/>
      <c r="OEC137" s="17"/>
      <c r="OED137" s="15"/>
      <c r="OES137" s="17"/>
      <c r="OET137" s="15"/>
      <c r="OFI137" s="17"/>
      <c r="OFJ137" s="15"/>
      <c r="OFY137" s="17"/>
      <c r="OFZ137" s="15"/>
      <c r="OGO137" s="17"/>
      <c r="OGP137" s="15"/>
      <c r="OHE137" s="17"/>
      <c r="OHF137" s="15"/>
      <c r="OHU137" s="17"/>
      <c r="OHV137" s="15"/>
      <c r="OIK137" s="17"/>
      <c r="OIL137" s="15"/>
      <c r="OJA137" s="17"/>
      <c r="OJB137" s="15"/>
      <c r="OJQ137" s="17"/>
      <c r="OJR137" s="15"/>
      <c r="OKG137" s="17"/>
      <c r="OKH137" s="15"/>
      <c r="OKW137" s="17"/>
      <c r="OKX137" s="15"/>
      <c r="OLM137" s="17"/>
      <c r="OLN137" s="15"/>
      <c r="OMC137" s="17"/>
      <c r="OMD137" s="15"/>
      <c r="OMS137" s="17"/>
      <c r="OMT137" s="15"/>
      <c r="ONI137" s="17"/>
      <c r="ONJ137" s="15"/>
      <c r="ONY137" s="17"/>
      <c r="ONZ137" s="15"/>
      <c r="OOO137" s="17"/>
      <c r="OOP137" s="15"/>
      <c r="OPE137" s="17"/>
      <c r="OPF137" s="15"/>
      <c r="OPU137" s="17"/>
      <c r="OPV137" s="15"/>
      <c r="OQK137" s="17"/>
      <c r="OQL137" s="15"/>
      <c r="ORA137" s="17"/>
      <c r="ORB137" s="15"/>
      <c r="ORQ137" s="17"/>
      <c r="ORR137" s="15"/>
      <c r="OSG137" s="17"/>
      <c r="OSH137" s="15"/>
      <c r="OSW137" s="17"/>
      <c r="OSX137" s="15"/>
      <c r="OTM137" s="17"/>
      <c r="OTN137" s="15"/>
      <c r="OUC137" s="17"/>
      <c r="OUD137" s="15"/>
      <c r="OUS137" s="17"/>
      <c r="OUT137" s="15"/>
      <c r="OVI137" s="17"/>
      <c r="OVJ137" s="15"/>
      <c r="OVY137" s="17"/>
      <c r="OVZ137" s="15"/>
      <c r="OWO137" s="17"/>
      <c r="OWP137" s="15"/>
      <c r="OXE137" s="17"/>
      <c r="OXF137" s="15"/>
      <c r="OXU137" s="17"/>
      <c r="OXV137" s="15"/>
      <c r="OYK137" s="17"/>
      <c r="OYL137" s="15"/>
      <c r="OZA137" s="17"/>
      <c r="OZB137" s="15"/>
      <c r="OZQ137" s="17"/>
      <c r="OZR137" s="15"/>
      <c r="PAG137" s="17"/>
      <c r="PAH137" s="15"/>
      <c r="PAW137" s="17"/>
      <c r="PAX137" s="15"/>
      <c r="PBM137" s="17"/>
      <c r="PBN137" s="15"/>
      <c r="PCC137" s="17"/>
      <c r="PCD137" s="15"/>
      <c r="PCS137" s="17"/>
      <c r="PCT137" s="15"/>
      <c r="PDI137" s="17"/>
      <c r="PDJ137" s="15"/>
      <c r="PDY137" s="17"/>
      <c r="PDZ137" s="15"/>
      <c r="PEO137" s="17"/>
      <c r="PEP137" s="15"/>
      <c r="PFE137" s="17"/>
      <c r="PFF137" s="15"/>
      <c r="PFU137" s="17"/>
      <c r="PFV137" s="15"/>
      <c r="PGK137" s="17"/>
      <c r="PGL137" s="15"/>
      <c r="PHA137" s="17"/>
      <c r="PHB137" s="15"/>
      <c r="PHQ137" s="17"/>
      <c r="PHR137" s="15"/>
      <c r="PIG137" s="17"/>
      <c r="PIH137" s="15"/>
      <c r="PIW137" s="17"/>
      <c r="PIX137" s="15"/>
      <c r="PJM137" s="17"/>
      <c r="PJN137" s="15"/>
      <c r="PKC137" s="17"/>
      <c r="PKD137" s="15"/>
      <c r="PKS137" s="17"/>
      <c r="PKT137" s="15"/>
      <c r="PLI137" s="17"/>
      <c r="PLJ137" s="15"/>
      <c r="PLY137" s="17"/>
      <c r="PLZ137" s="15"/>
      <c r="PMO137" s="17"/>
      <c r="PMP137" s="15"/>
      <c r="PNE137" s="17"/>
      <c r="PNF137" s="15"/>
      <c r="PNU137" s="17"/>
      <c r="PNV137" s="15"/>
      <c r="POK137" s="17"/>
      <c r="POL137" s="15"/>
      <c r="PPA137" s="17"/>
      <c r="PPB137" s="15"/>
      <c r="PPQ137" s="17"/>
      <c r="PPR137" s="15"/>
      <c r="PQG137" s="17"/>
      <c r="PQH137" s="15"/>
      <c r="PQW137" s="17"/>
      <c r="PQX137" s="15"/>
      <c r="PRM137" s="17"/>
      <c r="PRN137" s="15"/>
      <c r="PSC137" s="17"/>
      <c r="PSD137" s="15"/>
      <c r="PSS137" s="17"/>
      <c r="PST137" s="15"/>
      <c r="PTI137" s="17"/>
      <c r="PTJ137" s="15"/>
      <c r="PTY137" s="17"/>
      <c r="PTZ137" s="15"/>
      <c r="PUO137" s="17"/>
      <c r="PUP137" s="15"/>
      <c r="PVE137" s="17"/>
      <c r="PVF137" s="15"/>
      <c r="PVU137" s="17"/>
      <c r="PVV137" s="15"/>
      <c r="PWK137" s="17"/>
      <c r="PWL137" s="15"/>
      <c r="PXA137" s="17"/>
      <c r="PXB137" s="15"/>
      <c r="PXQ137" s="17"/>
      <c r="PXR137" s="15"/>
      <c r="PYG137" s="17"/>
      <c r="PYH137" s="15"/>
      <c r="PYW137" s="17"/>
      <c r="PYX137" s="15"/>
      <c r="PZM137" s="17"/>
      <c r="PZN137" s="15"/>
      <c r="QAC137" s="17"/>
      <c r="QAD137" s="15"/>
      <c r="QAS137" s="17"/>
      <c r="QAT137" s="15"/>
      <c r="QBI137" s="17"/>
      <c r="QBJ137" s="15"/>
      <c r="QBY137" s="17"/>
      <c r="QBZ137" s="15"/>
      <c r="QCO137" s="17"/>
      <c r="QCP137" s="15"/>
      <c r="QDE137" s="17"/>
      <c r="QDF137" s="15"/>
      <c r="QDU137" s="17"/>
      <c r="QDV137" s="15"/>
      <c r="QEK137" s="17"/>
      <c r="QEL137" s="15"/>
      <c r="QFA137" s="17"/>
      <c r="QFB137" s="15"/>
      <c r="QFQ137" s="17"/>
      <c r="QFR137" s="15"/>
      <c r="QGG137" s="17"/>
      <c r="QGH137" s="15"/>
      <c r="QGW137" s="17"/>
      <c r="QGX137" s="15"/>
      <c r="QHM137" s="17"/>
      <c r="QHN137" s="15"/>
      <c r="QIC137" s="17"/>
      <c r="QID137" s="15"/>
      <c r="QIS137" s="17"/>
      <c r="QIT137" s="15"/>
      <c r="QJI137" s="17"/>
      <c r="QJJ137" s="15"/>
      <c r="QJY137" s="17"/>
      <c r="QJZ137" s="15"/>
      <c r="QKO137" s="17"/>
      <c r="QKP137" s="15"/>
      <c r="QLE137" s="17"/>
      <c r="QLF137" s="15"/>
      <c r="QLU137" s="17"/>
      <c r="QLV137" s="15"/>
      <c r="QMK137" s="17"/>
      <c r="QML137" s="15"/>
      <c r="QNA137" s="17"/>
      <c r="QNB137" s="15"/>
      <c r="QNQ137" s="17"/>
      <c r="QNR137" s="15"/>
      <c r="QOG137" s="17"/>
      <c r="QOH137" s="15"/>
      <c r="QOW137" s="17"/>
      <c r="QOX137" s="15"/>
      <c r="QPM137" s="17"/>
      <c r="QPN137" s="15"/>
      <c r="QQC137" s="17"/>
      <c r="QQD137" s="15"/>
      <c r="QQS137" s="17"/>
      <c r="QQT137" s="15"/>
      <c r="QRI137" s="17"/>
      <c r="QRJ137" s="15"/>
      <c r="QRY137" s="17"/>
      <c r="QRZ137" s="15"/>
      <c r="QSO137" s="17"/>
      <c r="QSP137" s="15"/>
      <c r="QTE137" s="17"/>
      <c r="QTF137" s="15"/>
      <c r="QTU137" s="17"/>
      <c r="QTV137" s="15"/>
      <c r="QUK137" s="17"/>
      <c r="QUL137" s="15"/>
      <c r="QVA137" s="17"/>
      <c r="QVB137" s="15"/>
      <c r="QVQ137" s="17"/>
      <c r="QVR137" s="15"/>
      <c r="QWG137" s="17"/>
      <c r="QWH137" s="15"/>
      <c r="QWW137" s="17"/>
      <c r="QWX137" s="15"/>
      <c r="QXM137" s="17"/>
      <c r="QXN137" s="15"/>
      <c r="QYC137" s="17"/>
      <c r="QYD137" s="15"/>
      <c r="QYS137" s="17"/>
      <c r="QYT137" s="15"/>
      <c r="QZI137" s="17"/>
      <c r="QZJ137" s="15"/>
      <c r="QZY137" s="17"/>
      <c r="QZZ137" s="15"/>
      <c r="RAO137" s="17"/>
      <c r="RAP137" s="15"/>
      <c r="RBE137" s="17"/>
      <c r="RBF137" s="15"/>
      <c r="RBU137" s="17"/>
      <c r="RBV137" s="15"/>
      <c r="RCK137" s="17"/>
      <c r="RCL137" s="15"/>
      <c r="RDA137" s="17"/>
      <c r="RDB137" s="15"/>
      <c r="RDQ137" s="17"/>
      <c r="RDR137" s="15"/>
      <c r="REG137" s="17"/>
      <c r="REH137" s="15"/>
      <c r="REW137" s="17"/>
      <c r="REX137" s="15"/>
      <c r="RFM137" s="17"/>
      <c r="RFN137" s="15"/>
      <c r="RGC137" s="17"/>
      <c r="RGD137" s="15"/>
      <c r="RGS137" s="17"/>
      <c r="RGT137" s="15"/>
      <c r="RHI137" s="17"/>
      <c r="RHJ137" s="15"/>
      <c r="RHY137" s="17"/>
      <c r="RHZ137" s="15"/>
      <c r="RIO137" s="17"/>
      <c r="RIP137" s="15"/>
      <c r="RJE137" s="17"/>
      <c r="RJF137" s="15"/>
      <c r="RJU137" s="17"/>
      <c r="RJV137" s="15"/>
      <c r="RKK137" s="17"/>
      <c r="RKL137" s="15"/>
      <c r="RLA137" s="17"/>
      <c r="RLB137" s="15"/>
      <c r="RLQ137" s="17"/>
      <c r="RLR137" s="15"/>
      <c r="RMG137" s="17"/>
      <c r="RMH137" s="15"/>
      <c r="RMW137" s="17"/>
      <c r="RMX137" s="15"/>
      <c r="RNM137" s="17"/>
      <c r="RNN137" s="15"/>
      <c r="ROC137" s="17"/>
      <c r="ROD137" s="15"/>
      <c r="ROS137" s="17"/>
      <c r="ROT137" s="15"/>
      <c r="RPI137" s="17"/>
      <c r="RPJ137" s="15"/>
      <c r="RPY137" s="17"/>
      <c r="RPZ137" s="15"/>
      <c r="RQO137" s="17"/>
      <c r="RQP137" s="15"/>
      <c r="RRE137" s="17"/>
      <c r="RRF137" s="15"/>
      <c r="RRU137" s="17"/>
      <c r="RRV137" s="15"/>
      <c r="RSK137" s="17"/>
      <c r="RSL137" s="15"/>
      <c r="RTA137" s="17"/>
      <c r="RTB137" s="15"/>
      <c r="RTQ137" s="17"/>
      <c r="RTR137" s="15"/>
      <c r="RUG137" s="17"/>
      <c r="RUH137" s="15"/>
      <c r="RUW137" s="17"/>
      <c r="RUX137" s="15"/>
      <c r="RVM137" s="17"/>
      <c r="RVN137" s="15"/>
      <c r="RWC137" s="17"/>
      <c r="RWD137" s="15"/>
      <c r="RWS137" s="17"/>
      <c r="RWT137" s="15"/>
      <c r="RXI137" s="17"/>
      <c r="RXJ137" s="15"/>
      <c r="RXY137" s="17"/>
      <c r="RXZ137" s="15"/>
      <c r="RYO137" s="17"/>
      <c r="RYP137" s="15"/>
      <c r="RZE137" s="17"/>
      <c r="RZF137" s="15"/>
      <c r="RZU137" s="17"/>
      <c r="RZV137" s="15"/>
      <c r="SAK137" s="17"/>
      <c r="SAL137" s="15"/>
      <c r="SBA137" s="17"/>
      <c r="SBB137" s="15"/>
      <c r="SBQ137" s="17"/>
      <c r="SBR137" s="15"/>
      <c r="SCG137" s="17"/>
      <c r="SCH137" s="15"/>
      <c r="SCW137" s="17"/>
      <c r="SCX137" s="15"/>
      <c r="SDM137" s="17"/>
      <c r="SDN137" s="15"/>
      <c r="SEC137" s="17"/>
      <c r="SED137" s="15"/>
      <c r="SES137" s="17"/>
      <c r="SET137" s="15"/>
      <c r="SFI137" s="17"/>
      <c r="SFJ137" s="15"/>
      <c r="SFY137" s="17"/>
      <c r="SFZ137" s="15"/>
      <c r="SGO137" s="17"/>
      <c r="SGP137" s="15"/>
      <c r="SHE137" s="17"/>
      <c r="SHF137" s="15"/>
      <c r="SHU137" s="17"/>
      <c r="SHV137" s="15"/>
      <c r="SIK137" s="17"/>
      <c r="SIL137" s="15"/>
      <c r="SJA137" s="17"/>
      <c r="SJB137" s="15"/>
      <c r="SJQ137" s="17"/>
      <c r="SJR137" s="15"/>
      <c r="SKG137" s="17"/>
      <c r="SKH137" s="15"/>
      <c r="SKW137" s="17"/>
      <c r="SKX137" s="15"/>
      <c r="SLM137" s="17"/>
      <c r="SLN137" s="15"/>
      <c r="SMC137" s="17"/>
      <c r="SMD137" s="15"/>
      <c r="SMS137" s="17"/>
      <c r="SMT137" s="15"/>
      <c r="SNI137" s="17"/>
      <c r="SNJ137" s="15"/>
      <c r="SNY137" s="17"/>
      <c r="SNZ137" s="15"/>
      <c r="SOO137" s="17"/>
      <c r="SOP137" s="15"/>
      <c r="SPE137" s="17"/>
      <c r="SPF137" s="15"/>
      <c r="SPU137" s="17"/>
      <c r="SPV137" s="15"/>
      <c r="SQK137" s="17"/>
      <c r="SQL137" s="15"/>
      <c r="SRA137" s="17"/>
      <c r="SRB137" s="15"/>
      <c r="SRQ137" s="17"/>
      <c r="SRR137" s="15"/>
      <c r="SSG137" s="17"/>
      <c r="SSH137" s="15"/>
      <c r="SSW137" s="17"/>
      <c r="SSX137" s="15"/>
      <c r="STM137" s="17"/>
      <c r="STN137" s="15"/>
      <c r="SUC137" s="17"/>
      <c r="SUD137" s="15"/>
      <c r="SUS137" s="17"/>
      <c r="SUT137" s="15"/>
      <c r="SVI137" s="17"/>
      <c r="SVJ137" s="15"/>
      <c r="SVY137" s="17"/>
      <c r="SVZ137" s="15"/>
      <c r="SWO137" s="17"/>
      <c r="SWP137" s="15"/>
      <c r="SXE137" s="17"/>
      <c r="SXF137" s="15"/>
      <c r="SXU137" s="17"/>
      <c r="SXV137" s="15"/>
      <c r="SYK137" s="17"/>
      <c r="SYL137" s="15"/>
      <c r="SZA137" s="17"/>
      <c r="SZB137" s="15"/>
      <c r="SZQ137" s="17"/>
      <c r="SZR137" s="15"/>
      <c r="TAG137" s="17"/>
      <c r="TAH137" s="15"/>
      <c r="TAW137" s="17"/>
      <c r="TAX137" s="15"/>
      <c r="TBM137" s="17"/>
      <c r="TBN137" s="15"/>
      <c r="TCC137" s="17"/>
      <c r="TCD137" s="15"/>
      <c r="TCS137" s="17"/>
      <c r="TCT137" s="15"/>
      <c r="TDI137" s="17"/>
      <c r="TDJ137" s="15"/>
      <c r="TDY137" s="17"/>
      <c r="TDZ137" s="15"/>
      <c r="TEO137" s="17"/>
      <c r="TEP137" s="15"/>
      <c r="TFE137" s="17"/>
      <c r="TFF137" s="15"/>
      <c r="TFU137" s="17"/>
      <c r="TFV137" s="15"/>
      <c r="TGK137" s="17"/>
      <c r="TGL137" s="15"/>
      <c r="THA137" s="17"/>
      <c r="THB137" s="15"/>
      <c r="THQ137" s="17"/>
      <c r="THR137" s="15"/>
      <c r="TIG137" s="17"/>
      <c r="TIH137" s="15"/>
      <c r="TIW137" s="17"/>
      <c r="TIX137" s="15"/>
      <c r="TJM137" s="17"/>
      <c r="TJN137" s="15"/>
      <c r="TKC137" s="17"/>
      <c r="TKD137" s="15"/>
      <c r="TKS137" s="17"/>
      <c r="TKT137" s="15"/>
      <c r="TLI137" s="17"/>
      <c r="TLJ137" s="15"/>
      <c r="TLY137" s="17"/>
      <c r="TLZ137" s="15"/>
      <c r="TMO137" s="17"/>
      <c r="TMP137" s="15"/>
      <c r="TNE137" s="17"/>
      <c r="TNF137" s="15"/>
      <c r="TNU137" s="17"/>
      <c r="TNV137" s="15"/>
      <c r="TOK137" s="17"/>
      <c r="TOL137" s="15"/>
      <c r="TPA137" s="17"/>
      <c r="TPB137" s="15"/>
      <c r="TPQ137" s="17"/>
      <c r="TPR137" s="15"/>
      <c r="TQG137" s="17"/>
      <c r="TQH137" s="15"/>
      <c r="TQW137" s="17"/>
      <c r="TQX137" s="15"/>
      <c r="TRM137" s="17"/>
      <c r="TRN137" s="15"/>
      <c r="TSC137" s="17"/>
      <c r="TSD137" s="15"/>
      <c r="TSS137" s="17"/>
      <c r="TST137" s="15"/>
      <c r="TTI137" s="17"/>
      <c r="TTJ137" s="15"/>
      <c r="TTY137" s="17"/>
      <c r="TTZ137" s="15"/>
      <c r="TUO137" s="17"/>
      <c r="TUP137" s="15"/>
      <c r="TVE137" s="17"/>
      <c r="TVF137" s="15"/>
      <c r="TVU137" s="17"/>
      <c r="TVV137" s="15"/>
      <c r="TWK137" s="17"/>
      <c r="TWL137" s="15"/>
      <c r="TXA137" s="17"/>
      <c r="TXB137" s="15"/>
      <c r="TXQ137" s="17"/>
      <c r="TXR137" s="15"/>
      <c r="TYG137" s="17"/>
      <c r="TYH137" s="15"/>
      <c r="TYW137" s="17"/>
      <c r="TYX137" s="15"/>
      <c r="TZM137" s="17"/>
      <c r="TZN137" s="15"/>
      <c r="UAC137" s="17"/>
      <c r="UAD137" s="15"/>
      <c r="UAS137" s="17"/>
      <c r="UAT137" s="15"/>
      <c r="UBI137" s="17"/>
      <c r="UBJ137" s="15"/>
      <c r="UBY137" s="17"/>
      <c r="UBZ137" s="15"/>
      <c r="UCO137" s="17"/>
      <c r="UCP137" s="15"/>
      <c r="UDE137" s="17"/>
      <c r="UDF137" s="15"/>
      <c r="UDU137" s="17"/>
      <c r="UDV137" s="15"/>
      <c r="UEK137" s="17"/>
      <c r="UEL137" s="15"/>
      <c r="UFA137" s="17"/>
      <c r="UFB137" s="15"/>
      <c r="UFQ137" s="17"/>
      <c r="UFR137" s="15"/>
      <c r="UGG137" s="17"/>
      <c r="UGH137" s="15"/>
      <c r="UGW137" s="17"/>
      <c r="UGX137" s="15"/>
      <c r="UHM137" s="17"/>
      <c r="UHN137" s="15"/>
      <c r="UIC137" s="17"/>
      <c r="UID137" s="15"/>
      <c r="UIS137" s="17"/>
      <c r="UIT137" s="15"/>
      <c r="UJI137" s="17"/>
      <c r="UJJ137" s="15"/>
      <c r="UJY137" s="17"/>
      <c r="UJZ137" s="15"/>
      <c r="UKO137" s="17"/>
      <c r="UKP137" s="15"/>
      <c r="ULE137" s="17"/>
      <c r="ULF137" s="15"/>
      <c r="ULU137" s="17"/>
      <c r="ULV137" s="15"/>
      <c r="UMK137" s="17"/>
      <c r="UML137" s="15"/>
      <c r="UNA137" s="17"/>
      <c r="UNB137" s="15"/>
      <c r="UNQ137" s="17"/>
      <c r="UNR137" s="15"/>
      <c r="UOG137" s="17"/>
      <c r="UOH137" s="15"/>
      <c r="UOW137" s="17"/>
      <c r="UOX137" s="15"/>
      <c r="UPM137" s="17"/>
      <c r="UPN137" s="15"/>
      <c r="UQC137" s="17"/>
      <c r="UQD137" s="15"/>
      <c r="UQS137" s="17"/>
      <c r="UQT137" s="15"/>
      <c r="URI137" s="17"/>
      <c r="URJ137" s="15"/>
      <c r="URY137" s="17"/>
      <c r="URZ137" s="15"/>
      <c r="USO137" s="17"/>
      <c r="USP137" s="15"/>
      <c r="UTE137" s="17"/>
      <c r="UTF137" s="15"/>
      <c r="UTU137" s="17"/>
      <c r="UTV137" s="15"/>
      <c r="UUK137" s="17"/>
      <c r="UUL137" s="15"/>
      <c r="UVA137" s="17"/>
      <c r="UVB137" s="15"/>
      <c r="UVQ137" s="17"/>
      <c r="UVR137" s="15"/>
      <c r="UWG137" s="17"/>
      <c r="UWH137" s="15"/>
      <c r="UWW137" s="17"/>
      <c r="UWX137" s="15"/>
      <c r="UXM137" s="17"/>
      <c r="UXN137" s="15"/>
      <c r="UYC137" s="17"/>
      <c r="UYD137" s="15"/>
      <c r="UYS137" s="17"/>
      <c r="UYT137" s="15"/>
      <c r="UZI137" s="17"/>
      <c r="UZJ137" s="15"/>
      <c r="UZY137" s="17"/>
      <c r="UZZ137" s="15"/>
      <c r="VAO137" s="17"/>
      <c r="VAP137" s="15"/>
      <c r="VBE137" s="17"/>
      <c r="VBF137" s="15"/>
      <c r="VBU137" s="17"/>
      <c r="VBV137" s="15"/>
      <c r="VCK137" s="17"/>
      <c r="VCL137" s="15"/>
      <c r="VDA137" s="17"/>
      <c r="VDB137" s="15"/>
      <c r="VDQ137" s="17"/>
      <c r="VDR137" s="15"/>
      <c r="VEG137" s="17"/>
      <c r="VEH137" s="15"/>
      <c r="VEW137" s="17"/>
      <c r="VEX137" s="15"/>
      <c r="VFM137" s="17"/>
      <c r="VFN137" s="15"/>
      <c r="VGC137" s="17"/>
      <c r="VGD137" s="15"/>
      <c r="VGS137" s="17"/>
      <c r="VGT137" s="15"/>
      <c r="VHI137" s="17"/>
      <c r="VHJ137" s="15"/>
      <c r="VHY137" s="17"/>
      <c r="VHZ137" s="15"/>
      <c r="VIO137" s="17"/>
      <c r="VIP137" s="15"/>
      <c r="VJE137" s="17"/>
      <c r="VJF137" s="15"/>
      <c r="VJU137" s="17"/>
      <c r="VJV137" s="15"/>
      <c r="VKK137" s="17"/>
      <c r="VKL137" s="15"/>
      <c r="VLA137" s="17"/>
      <c r="VLB137" s="15"/>
      <c r="VLQ137" s="17"/>
      <c r="VLR137" s="15"/>
      <c r="VMG137" s="17"/>
      <c r="VMH137" s="15"/>
      <c r="VMW137" s="17"/>
      <c r="VMX137" s="15"/>
      <c r="VNM137" s="17"/>
      <c r="VNN137" s="15"/>
      <c r="VOC137" s="17"/>
      <c r="VOD137" s="15"/>
      <c r="VOS137" s="17"/>
      <c r="VOT137" s="15"/>
      <c r="VPI137" s="17"/>
      <c r="VPJ137" s="15"/>
      <c r="VPY137" s="17"/>
      <c r="VPZ137" s="15"/>
      <c r="VQO137" s="17"/>
      <c r="VQP137" s="15"/>
      <c r="VRE137" s="17"/>
      <c r="VRF137" s="15"/>
      <c r="VRU137" s="17"/>
      <c r="VRV137" s="15"/>
      <c r="VSK137" s="17"/>
      <c r="VSL137" s="15"/>
      <c r="VTA137" s="17"/>
      <c r="VTB137" s="15"/>
      <c r="VTQ137" s="17"/>
      <c r="VTR137" s="15"/>
      <c r="VUG137" s="17"/>
      <c r="VUH137" s="15"/>
      <c r="VUW137" s="17"/>
      <c r="VUX137" s="15"/>
      <c r="VVM137" s="17"/>
      <c r="VVN137" s="15"/>
      <c r="VWC137" s="17"/>
      <c r="VWD137" s="15"/>
      <c r="VWS137" s="17"/>
      <c r="VWT137" s="15"/>
      <c r="VXI137" s="17"/>
      <c r="VXJ137" s="15"/>
      <c r="VXY137" s="17"/>
      <c r="VXZ137" s="15"/>
      <c r="VYO137" s="17"/>
      <c r="VYP137" s="15"/>
      <c r="VZE137" s="17"/>
      <c r="VZF137" s="15"/>
      <c r="VZU137" s="17"/>
      <c r="VZV137" s="15"/>
      <c r="WAK137" s="17"/>
      <c r="WAL137" s="15"/>
      <c r="WBA137" s="17"/>
      <c r="WBB137" s="15"/>
      <c r="WBQ137" s="17"/>
      <c r="WBR137" s="15"/>
      <c r="WCG137" s="17"/>
      <c r="WCH137" s="15"/>
      <c r="WCW137" s="17"/>
      <c r="WCX137" s="15"/>
      <c r="WDM137" s="17"/>
      <c r="WDN137" s="15"/>
      <c r="WEC137" s="17"/>
      <c r="WED137" s="15"/>
      <c r="WES137" s="17"/>
      <c r="WET137" s="15"/>
      <c r="WFI137" s="17"/>
      <c r="WFJ137" s="15"/>
      <c r="WFY137" s="17"/>
      <c r="WFZ137" s="15"/>
      <c r="WGO137" s="17"/>
      <c r="WGP137" s="15"/>
      <c r="WHE137" s="17"/>
      <c r="WHF137" s="15"/>
      <c r="WHU137" s="17"/>
      <c r="WHV137" s="15"/>
      <c r="WIK137" s="17"/>
      <c r="WIL137" s="15"/>
      <c r="WJA137" s="17"/>
      <c r="WJB137" s="15"/>
      <c r="WJQ137" s="17"/>
      <c r="WJR137" s="15"/>
      <c r="WKG137" s="17"/>
      <c r="WKH137" s="15"/>
      <c r="WKW137" s="17"/>
      <c r="WKX137" s="15"/>
      <c r="WLM137" s="17"/>
      <c r="WLN137" s="15"/>
      <c r="WMC137" s="17"/>
      <c r="WMD137" s="15"/>
      <c r="WMS137" s="17"/>
      <c r="WMT137" s="15"/>
      <c r="WNI137" s="17"/>
      <c r="WNJ137" s="15"/>
      <c r="WNY137" s="17"/>
      <c r="WNZ137" s="15"/>
      <c r="WOO137" s="17"/>
      <c r="WOP137" s="15"/>
      <c r="WPE137" s="17"/>
      <c r="WPF137" s="15"/>
      <c r="WPU137" s="17"/>
      <c r="WPV137" s="15"/>
      <c r="WQK137" s="17"/>
      <c r="WQL137" s="15"/>
      <c r="WRA137" s="17"/>
      <c r="WRB137" s="15"/>
      <c r="WRQ137" s="17"/>
      <c r="WRR137" s="15"/>
      <c r="WSG137" s="17"/>
      <c r="WSH137" s="15"/>
      <c r="WSW137" s="17"/>
      <c r="WSX137" s="15"/>
      <c r="WTM137" s="17"/>
      <c r="WTN137" s="15"/>
      <c r="WUC137" s="17"/>
      <c r="WUD137" s="15"/>
      <c r="WUS137" s="17"/>
      <c r="WUT137" s="15"/>
      <c r="WVI137" s="17"/>
      <c r="WVJ137" s="15"/>
      <c r="WVY137" s="17"/>
      <c r="WVZ137" s="15"/>
      <c r="WWO137" s="17"/>
      <c r="WWP137" s="15"/>
      <c r="WXE137" s="17"/>
      <c r="WXF137" s="15"/>
      <c r="WXU137" s="17"/>
      <c r="WXV137" s="15"/>
      <c r="WYK137" s="17"/>
      <c r="WYL137" s="15"/>
      <c r="WZA137" s="17"/>
      <c r="WZB137" s="15"/>
      <c r="WZQ137" s="17"/>
      <c r="WZR137" s="15"/>
      <c r="XAG137" s="17"/>
      <c r="XAH137" s="15"/>
      <c r="XAW137" s="17"/>
      <c r="XAX137" s="15"/>
      <c r="XBM137" s="17"/>
      <c r="XBN137" s="15"/>
      <c r="XCC137" s="17"/>
      <c r="XCD137" s="15"/>
      <c r="XCS137" s="17"/>
      <c r="XCT137" s="15"/>
      <c r="XDI137" s="17"/>
      <c r="XDJ137" s="15"/>
      <c r="XDY137" s="17"/>
      <c r="XDZ137" s="15"/>
      <c r="XEO137" s="17"/>
      <c r="XEP137" s="15"/>
    </row>
    <row r="138" spans="1:1010 1025:2034 2049:3058 3073:4082 4097:5106 5121:6130 6145:7154 7169:8178 8193:9202 9217:10226 10241:11250 11265:12274 12289:13298 13313:14322 14337:15346 15361:16370" s="16" customFormat="1" ht="17.100000000000001" customHeight="1">
      <c r="A138" s="22">
        <v>45922</v>
      </c>
      <c r="B138" s="15" t="s">
        <v>28</v>
      </c>
      <c r="C138" s="16" t="s">
        <v>2750</v>
      </c>
      <c r="D138" s="16" t="s">
        <v>2655</v>
      </c>
      <c r="E138" s="16" t="s">
        <v>2753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10</v>
      </c>
      <c r="O138" s="16" t="s">
        <v>2757</v>
      </c>
      <c r="P138" s="16" t="s">
        <v>2781</v>
      </c>
      <c r="Q138" s="17" t="s">
        <v>2780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17"/>
      <c r="AH138" s="15"/>
      <c r="AW138" s="17"/>
      <c r="AX138" s="15"/>
      <c r="BM138" s="17"/>
      <c r="BN138" s="15"/>
      <c r="CC138" s="17"/>
      <c r="CD138" s="15"/>
      <c r="CS138" s="17"/>
      <c r="CT138" s="15"/>
      <c r="DI138" s="17"/>
      <c r="DJ138" s="15"/>
      <c r="DY138" s="17"/>
      <c r="DZ138" s="15"/>
      <c r="EO138" s="17"/>
      <c r="EP138" s="15"/>
      <c r="FE138" s="17"/>
      <c r="FF138" s="15"/>
      <c r="FU138" s="17"/>
      <c r="FV138" s="15"/>
      <c r="GK138" s="17"/>
      <c r="GL138" s="15"/>
      <c r="HA138" s="17"/>
      <c r="HB138" s="15"/>
      <c r="HQ138" s="17"/>
      <c r="HR138" s="15"/>
      <c r="IG138" s="17"/>
      <c r="IH138" s="15"/>
      <c r="IW138" s="17"/>
      <c r="IX138" s="15"/>
      <c r="JM138" s="17"/>
      <c r="JN138" s="15"/>
      <c r="KC138" s="17"/>
      <c r="KD138" s="15"/>
      <c r="KS138" s="17"/>
      <c r="KT138" s="15"/>
      <c r="LI138" s="17"/>
      <c r="LJ138" s="15"/>
      <c r="LY138" s="17"/>
      <c r="LZ138" s="15"/>
      <c r="MO138" s="17"/>
      <c r="MP138" s="15"/>
      <c r="NE138" s="17"/>
      <c r="NF138" s="15"/>
      <c r="NU138" s="17"/>
      <c r="NV138" s="15"/>
      <c r="OK138" s="17"/>
      <c r="OL138" s="15"/>
      <c r="PA138" s="17"/>
      <c r="PB138" s="15"/>
      <c r="PQ138" s="17"/>
      <c r="PR138" s="15"/>
      <c r="QG138" s="17"/>
      <c r="QH138" s="15"/>
      <c r="QW138" s="17"/>
      <c r="QX138" s="15"/>
      <c r="RM138" s="17"/>
      <c r="RN138" s="15"/>
      <c r="SC138" s="17"/>
      <c r="SD138" s="15"/>
      <c r="SS138" s="17"/>
      <c r="ST138" s="15"/>
      <c r="TI138" s="17"/>
      <c r="TJ138" s="15"/>
      <c r="TY138" s="17"/>
      <c r="TZ138" s="15"/>
      <c r="UO138" s="17"/>
      <c r="UP138" s="15"/>
      <c r="VE138" s="17"/>
      <c r="VF138" s="15"/>
      <c r="VU138" s="17"/>
      <c r="VV138" s="15"/>
      <c r="WK138" s="17"/>
      <c r="WL138" s="15"/>
      <c r="XA138" s="17"/>
      <c r="XB138" s="15"/>
      <c r="XQ138" s="17"/>
      <c r="XR138" s="15"/>
      <c r="YG138" s="17"/>
      <c r="YH138" s="15"/>
      <c r="YW138" s="17"/>
      <c r="YX138" s="15"/>
      <c r="ZM138" s="17"/>
      <c r="ZN138" s="15"/>
      <c r="AAC138" s="17"/>
      <c r="AAD138" s="15"/>
      <c r="AAS138" s="17"/>
      <c r="AAT138" s="15"/>
      <c r="ABI138" s="17"/>
      <c r="ABJ138" s="15"/>
      <c r="ABY138" s="17"/>
      <c r="ABZ138" s="15"/>
      <c r="ACO138" s="17"/>
      <c r="ACP138" s="15"/>
      <c r="ADE138" s="17"/>
      <c r="ADF138" s="15"/>
      <c r="ADU138" s="17"/>
      <c r="ADV138" s="15"/>
      <c r="AEK138" s="17"/>
      <c r="AEL138" s="15"/>
      <c r="AFA138" s="17"/>
      <c r="AFB138" s="15"/>
      <c r="AFQ138" s="17"/>
      <c r="AFR138" s="15"/>
      <c r="AGG138" s="17"/>
      <c r="AGH138" s="15"/>
      <c r="AGW138" s="17"/>
      <c r="AGX138" s="15"/>
      <c r="AHM138" s="17"/>
      <c r="AHN138" s="15"/>
      <c r="AIC138" s="17"/>
      <c r="AID138" s="15"/>
      <c r="AIS138" s="17"/>
      <c r="AIT138" s="15"/>
      <c r="AJI138" s="17"/>
      <c r="AJJ138" s="15"/>
      <c r="AJY138" s="17"/>
      <c r="AJZ138" s="15"/>
      <c r="AKO138" s="17"/>
      <c r="AKP138" s="15"/>
      <c r="ALE138" s="17"/>
      <c r="ALF138" s="15"/>
      <c r="ALU138" s="17"/>
      <c r="ALV138" s="15"/>
      <c r="AMK138" s="17"/>
      <c r="AML138" s="15"/>
      <c r="ANA138" s="17"/>
      <c r="ANB138" s="15"/>
      <c r="ANQ138" s="17"/>
      <c r="ANR138" s="15"/>
      <c r="AOG138" s="17"/>
      <c r="AOH138" s="15"/>
      <c r="AOW138" s="17"/>
      <c r="AOX138" s="15"/>
      <c r="APM138" s="17"/>
      <c r="APN138" s="15"/>
      <c r="AQC138" s="17"/>
      <c r="AQD138" s="15"/>
      <c r="AQS138" s="17"/>
      <c r="AQT138" s="15"/>
      <c r="ARI138" s="17"/>
      <c r="ARJ138" s="15"/>
      <c r="ARY138" s="17"/>
      <c r="ARZ138" s="15"/>
      <c r="ASO138" s="17"/>
      <c r="ASP138" s="15"/>
      <c r="ATE138" s="17"/>
      <c r="ATF138" s="15"/>
      <c r="ATU138" s="17"/>
      <c r="ATV138" s="15"/>
      <c r="AUK138" s="17"/>
      <c r="AUL138" s="15"/>
      <c r="AVA138" s="17"/>
      <c r="AVB138" s="15"/>
      <c r="AVQ138" s="17"/>
      <c r="AVR138" s="15"/>
      <c r="AWG138" s="17"/>
      <c r="AWH138" s="15"/>
      <c r="AWW138" s="17"/>
      <c r="AWX138" s="15"/>
      <c r="AXM138" s="17"/>
      <c r="AXN138" s="15"/>
      <c r="AYC138" s="17"/>
      <c r="AYD138" s="15"/>
      <c r="AYS138" s="17"/>
      <c r="AYT138" s="15"/>
      <c r="AZI138" s="17"/>
      <c r="AZJ138" s="15"/>
      <c r="AZY138" s="17"/>
      <c r="AZZ138" s="15"/>
      <c r="BAO138" s="17"/>
      <c r="BAP138" s="15"/>
      <c r="BBE138" s="17"/>
      <c r="BBF138" s="15"/>
      <c r="BBU138" s="17"/>
      <c r="BBV138" s="15"/>
      <c r="BCK138" s="17"/>
      <c r="BCL138" s="15"/>
      <c r="BDA138" s="17"/>
      <c r="BDB138" s="15"/>
      <c r="BDQ138" s="17"/>
      <c r="BDR138" s="15"/>
      <c r="BEG138" s="17"/>
      <c r="BEH138" s="15"/>
      <c r="BEW138" s="17"/>
      <c r="BEX138" s="15"/>
      <c r="BFM138" s="17"/>
      <c r="BFN138" s="15"/>
      <c r="BGC138" s="17"/>
      <c r="BGD138" s="15"/>
      <c r="BGS138" s="17"/>
      <c r="BGT138" s="15"/>
      <c r="BHI138" s="17"/>
      <c r="BHJ138" s="15"/>
      <c r="BHY138" s="17"/>
      <c r="BHZ138" s="15"/>
      <c r="BIO138" s="17"/>
      <c r="BIP138" s="15"/>
      <c r="BJE138" s="17"/>
      <c r="BJF138" s="15"/>
      <c r="BJU138" s="17"/>
      <c r="BJV138" s="15"/>
      <c r="BKK138" s="17"/>
      <c r="BKL138" s="15"/>
      <c r="BLA138" s="17"/>
      <c r="BLB138" s="15"/>
      <c r="BLQ138" s="17"/>
      <c r="BLR138" s="15"/>
      <c r="BMG138" s="17"/>
      <c r="BMH138" s="15"/>
      <c r="BMW138" s="17"/>
      <c r="BMX138" s="15"/>
      <c r="BNM138" s="17"/>
      <c r="BNN138" s="15"/>
      <c r="BOC138" s="17"/>
      <c r="BOD138" s="15"/>
      <c r="BOS138" s="17"/>
      <c r="BOT138" s="15"/>
      <c r="BPI138" s="17"/>
      <c r="BPJ138" s="15"/>
      <c r="BPY138" s="17"/>
      <c r="BPZ138" s="15"/>
      <c r="BQO138" s="17"/>
      <c r="BQP138" s="15"/>
      <c r="BRE138" s="17"/>
      <c r="BRF138" s="15"/>
      <c r="BRU138" s="17"/>
      <c r="BRV138" s="15"/>
      <c r="BSK138" s="17"/>
      <c r="BSL138" s="15"/>
      <c r="BTA138" s="17"/>
      <c r="BTB138" s="15"/>
      <c r="BTQ138" s="17"/>
      <c r="BTR138" s="15"/>
      <c r="BUG138" s="17"/>
      <c r="BUH138" s="15"/>
      <c r="BUW138" s="17"/>
      <c r="BUX138" s="15"/>
      <c r="BVM138" s="17"/>
      <c r="BVN138" s="15"/>
      <c r="BWC138" s="17"/>
      <c r="BWD138" s="15"/>
      <c r="BWS138" s="17"/>
      <c r="BWT138" s="15"/>
      <c r="BXI138" s="17"/>
      <c r="BXJ138" s="15"/>
      <c r="BXY138" s="17"/>
      <c r="BXZ138" s="15"/>
      <c r="BYO138" s="17"/>
      <c r="BYP138" s="15"/>
      <c r="BZE138" s="17"/>
      <c r="BZF138" s="15"/>
      <c r="BZU138" s="17"/>
      <c r="BZV138" s="15"/>
      <c r="CAK138" s="17"/>
      <c r="CAL138" s="15"/>
      <c r="CBA138" s="17"/>
      <c r="CBB138" s="15"/>
      <c r="CBQ138" s="17"/>
      <c r="CBR138" s="15"/>
      <c r="CCG138" s="17"/>
      <c r="CCH138" s="15"/>
      <c r="CCW138" s="17"/>
      <c r="CCX138" s="15"/>
      <c r="CDM138" s="17"/>
      <c r="CDN138" s="15"/>
      <c r="CEC138" s="17"/>
      <c r="CED138" s="15"/>
      <c r="CES138" s="17"/>
      <c r="CET138" s="15"/>
      <c r="CFI138" s="17"/>
      <c r="CFJ138" s="15"/>
      <c r="CFY138" s="17"/>
      <c r="CFZ138" s="15"/>
      <c r="CGO138" s="17"/>
      <c r="CGP138" s="15"/>
      <c r="CHE138" s="17"/>
      <c r="CHF138" s="15"/>
      <c r="CHU138" s="17"/>
      <c r="CHV138" s="15"/>
      <c r="CIK138" s="17"/>
      <c r="CIL138" s="15"/>
      <c r="CJA138" s="17"/>
      <c r="CJB138" s="15"/>
      <c r="CJQ138" s="17"/>
      <c r="CJR138" s="15"/>
      <c r="CKG138" s="17"/>
      <c r="CKH138" s="15"/>
      <c r="CKW138" s="17"/>
      <c r="CKX138" s="15"/>
      <c r="CLM138" s="17"/>
      <c r="CLN138" s="15"/>
      <c r="CMC138" s="17"/>
      <c r="CMD138" s="15"/>
      <c r="CMS138" s="17"/>
      <c r="CMT138" s="15"/>
      <c r="CNI138" s="17"/>
      <c r="CNJ138" s="15"/>
      <c r="CNY138" s="17"/>
      <c r="CNZ138" s="15"/>
      <c r="COO138" s="17"/>
      <c r="COP138" s="15"/>
      <c r="CPE138" s="17"/>
      <c r="CPF138" s="15"/>
      <c r="CPU138" s="17"/>
      <c r="CPV138" s="15"/>
      <c r="CQK138" s="17"/>
      <c r="CQL138" s="15"/>
      <c r="CRA138" s="17"/>
      <c r="CRB138" s="15"/>
      <c r="CRQ138" s="17"/>
      <c r="CRR138" s="15"/>
      <c r="CSG138" s="17"/>
      <c r="CSH138" s="15"/>
      <c r="CSW138" s="17"/>
      <c r="CSX138" s="15"/>
      <c r="CTM138" s="17"/>
      <c r="CTN138" s="15"/>
      <c r="CUC138" s="17"/>
      <c r="CUD138" s="15"/>
      <c r="CUS138" s="17"/>
      <c r="CUT138" s="15"/>
      <c r="CVI138" s="17"/>
      <c r="CVJ138" s="15"/>
      <c r="CVY138" s="17"/>
      <c r="CVZ138" s="15"/>
      <c r="CWO138" s="17"/>
      <c r="CWP138" s="15"/>
      <c r="CXE138" s="17"/>
      <c r="CXF138" s="15"/>
      <c r="CXU138" s="17"/>
      <c r="CXV138" s="15"/>
      <c r="CYK138" s="17"/>
      <c r="CYL138" s="15"/>
      <c r="CZA138" s="17"/>
      <c r="CZB138" s="15"/>
      <c r="CZQ138" s="17"/>
      <c r="CZR138" s="15"/>
      <c r="DAG138" s="17"/>
      <c r="DAH138" s="15"/>
      <c r="DAW138" s="17"/>
      <c r="DAX138" s="15"/>
      <c r="DBM138" s="17"/>
      <c r="DBN138" s="15"/>
      <c r="DCC138" s="17"/>
      <c r="DCD138" s="15"/>
      <c r="DCS138" s="17"/>
      <c r="DCT138" s="15"/>
      <c r="DDI138" s="17"/>
      <c r="DDJ138" s="15"/>
      <c r="DDY138" s="17"/>
      <c r="DDZ138" s="15"/>
      <c r="DEO138" s="17"/>
      <c r="DEP138" s="15"/>
      <c r="DFE138" s="17"/>
      <c r="DFF138" s="15"/>
      <c r="DFU138" s="17"/>
      <c r="DFV138" s="15"/>
      <c r="DGK138" s="17"/>
      <c r="DGL138" s="15"/>
      <c r="DHA138" s="17"/>
      <c r="DHB138" s="15"/>
      <c r="DHQ138" s="17"/>
      <c r="DHR138" s="15"/>
      <c r="DIG138" s="17"/>
      <c r="DIH138" s="15"/>
      <c r="DIW138" s="17"/>
      <c r="DIX138" s="15"/>
      <c r="DJM138" s="17"/>
      <c r="DJN138" s="15"/>
      <c r="DKC138" s="17"/>
      <c r="DKD138" s="15"/>
      <c r="DKS138" s="17"/>
      <c r="DKT138" s="15"/>
      <c r="DLI138" s="17"/>
      <c r="DLJ138" s="15"/>
      <c r="DLY138" s="17"/>
      <c r="DLZ138" s="15"/>
      <c r="DMO138" s="17"/>
      <c r="DMP138" s="15"/>
      <c r="DNE138" s="17"/>
      <c r="DNF138" s="15"/>
      <c r="DNU138" s="17"/>
      <c r="DNV138" s="15"/>
      <c r="DOK138" s="17"/>
      <c r="DOL138" s="15"/>
      <c r="DPA138" s="17"/>
      <c r="DPB138" s="15"/>
      <c r="DPQ138" s="17"/>
      <c r="DPR138" s="15"/>
      <c r="DQG138" s="17"/>
      <c r="DQH138" s="15"/>
      <c r="DQW138" s="17"/>
      <c r="DQX138" s="15"/>
      <c r="DRM138" s="17"/>
      <c r="DRN138" s="15"/>
      <c r="DSC138" s="17"/>
      <c r="DSD138" s="15"/>
      <c r="DSS138" s="17"/>
      <c r="DST138" s="15"/>
      <c r="DTI138" s="17"/>
      <c r="DTJ138" s="15"/>
      <c r="DTY138" s="17"/>
      <c r="DTZ138" s="15"/>
      <c r="DUO138" s="17"/>
      <c r="DUP138" s="15"/>
      <c r="DVE138" s="17"/>
      <c r="DVF138" s="15"/>
      <c r="DVU138" s="17"/>
      <c r="DVV138" s="15"/>
      <c r="DWK138" s="17"/>
      <c r="DWL138" s="15"/>
      <c r="DXA138" s="17"/>
      <c r="DXB138" s="15"/>
      <c r="DXQ138" s="17"/>
      <c r="DXR138" s="15"/>
      <c r="DYG138" s="17"/>
      <c r="DYH138" s="15"/>
      <c r="DYW138" s="17"/>
      <c r="DYX138" s="15"/>
      <c r="DZM138" s="17"/>
      <c r="DZN138" s="15"/>
      <c r="EAC138" s="17"/>
      <c r="EAD138" s="15"/>
      <c r="EAS138" s="17"/>
      <c r="EAT138" s="15"/>
      <c r="EBI138" s="17"/>
      <c r="EBJ138" s="15"/>
      <c r="EBY138" s="17"/>
      <c r="EBZ138" s="15"/>
      <c r="ECO138" s="17"/>
      <c r="ECP138" s="15"/>
      <c r="EDE138" s="17"/>
      <c r="EDF138" s="15"/>
      <c r="EDU138" s="17"/>
      <c r="EDV138" s="15"/>
      <c r="EEK138" s="17"/>
      <c r="EEL138" s="15"/>
      <c r="EFA138" s="17"/>
      <c r="EFB138" s="15"/>
      <c r="EFQ138" s="17"/>
      <c r="EFR138" s="15"/>
      <c r="EGG138" s="17"/>
      <c r="EGH138" s="15"/>
      <c r="EGW138" s="17"/>
      <c r="EGX138" s="15"/>
      <c r="EHM138" s="17"/>
      <c r="EHN138" s="15"/>
      <c r="EIC138" s="17"/>
      <c r="EID138" s="15"/>
      <c r="EIS138" s="17"/>
      <c r="EIT138" s="15"/>
      <c r="EJI138" s="17"/>
      <c r="EJJ138" s="15"/>
      <c r="EJY138" s="17"/>
      <c r="EJZ138" s="15"/>
      <c r="EKO138" s="17"/>
      <c r="EKP138" s="15"/>
      <c r="ELE138" s="17"/>
      <c r="ELF138" s="15"/>
      <c r="ELU138" s="17"/>
      <c r="ELV138" s="15"/>
      <c r="EMK138" s="17"/>
      <c r="EML138" s="15"/>
      <c r="ENA138" s="17"/>
      <c r="ENB138" s="15"/>
      <c r="ENQ138" s="17"/>
      <c r="ENR138" s="15"/>
      <c r="EOG138" s="17"/>
      <c r="EOH138" s="15"/>
      <c r="EOW138" s="17"/>
      <c r="EOX138" s="15"/>
      <c r="EPM138" s="17"/>
      <c r="EPN138" s="15"/>
      <c r="EQC138" s="17"/>
      <c r="EQD138" s="15"/>
      <c r="EQS138" s="17"/>
      <c r="EQT138" s="15"/>
      <c r="ERI138" s="17"/>
      <c r="ERJ138" s="15"/>
      <c r="ERY138" s="17"/>
      <c r="ERZ138" s="15"/>
      <c r="ESO138" s="17"/>
      <c r="ESP138" s="15"/>
      <c r="ETE138" s="17"/>
      <c r="ETF138" s="15"/>
      <c r="ETU138" s="17"/>
      <c r="ETV138" s="15"/>
      <c r="EUK138" s="17"/>
      <c r="EUL138" s="15"/>
      <c r="EVA138" s="17"/>
      <c r="EVB138" s="15"/>
      <c r="EVQ138" s="17"/>
      <c r="EVR138" s="15"/>
      <c r="EWG138" s="17"/>
      <c r="EWH138" s="15"/>
      <c r="EWW138" s="17"/>
      <c r="EWX138" s="15"/>
      <c r="EXM138" s="17"/>
      <c r="EXN138" s="15"/>
      <c r="EYC138" s="17"/>
      <c r="EYD138" s="15"/>
      <c r="EYS138" s="17"/>
      <c r="EYT138" s="15"/>
      <c r="EZI138" s="17"/>
      <c r="EZJ138" s="15"/>
      <c r="EZY138" s="17"/>
      <c r="EZZ138" s="15"/>
      <c r="FAO138" s="17"/>
      <c r="FAP138" s="15"/>
      <c r="FBE138" s="17"/>
      <c r="FBF138" s="15"/>
      <c r="FBU138" s="17"/>
      <c r="FBV138" s="15"/>
      <c r="FCK138" s="17"/>
      <c r="FCL138" s="15"/>
      <c r="FDA138" s="17"/>
      <c r="FDB138" s="15"/>
      <c r="FDQ138" s="17"/>
      <c r="FDR138" s="15"/>
      <c r="FEG138" s="17"/>
      <c r="FEH138" s="15"/>
      <c r="FEW138" s="17"/>
      <c r="FEX138" s="15"/>
      <c r="FFM138" s="17"/>
      <c r="FFN138" s="15"/>
      <c r="FGC138" s="17"/>
      <c r="FGD138" s="15"/>
      <c r="FGS138" s="17"/>
      <c r="FGT138" s="15"/>
      <c r="FHI138" s="17"/>
      <c r="FHJ138" s="15"/>
      <c r="FHY138" s="17"/>
      <c r="FHZ138" s="15"/>
      <c r="FIO138" s="17"/>
      <c r="FIP138" s="15"/>
      <c r="FJE138" s="17"/>
      <c r="FJF138" s="15"/>
      <c r="FJU138" s="17"/>
      <c r="FJV138" s="15"/>
      <c r="FKK138" s="17"/>
      <c r="FKL138" s="15"/>
      <c r="FLA138" s="17"/>
      <c r="FLB138" s="15"/>
      <c r="FLQ138" s="17"/>
      <c r="FLR138" s="15"/>
      <c r="FMG138" s="17"/>
      <c r="FMH138" s="15"/>
      <c r="FMW138" s="17"/>
      <c r="FMX138" s="15"/>
      <c r="FNM138" s="17"/>
      <c r="FNN138" s="15"/>
      <c r="FOC138" s="17"/>
      <c r="FOD138" s="15"/>
      <c r="FOS138" s="17"/>
      <c r="FOT138" s="15"/>
      <c r="FPI138" s="17"/>
      <c r="FPJ138" s="15"/>
      <c r="FPY138" s="17"/>
      <c r="FPZ138" s="15"/>
      <c r="FQO138" s="17"/>
      <c r="FQP138" s="15"/>
      <c r="FRE138" s="17"/>
      <c r="FRF138" s="15"/>
      <c r="FRU138" s="17"/>
      <c r="FRV138" s="15"/>
      <c r="FSK138" s="17"/>
      <c r="FSL138" s="15"/>
      <c r="FTA138" s="17"/>
      <c r="FTB138" s="15"/>
      <c r="FTQ138" s="17"/>
      <c r="FTR138" s="15"/>
      <c r="FUG138" s="17"/>
      <c r="FUH138" s="15"/>
      <c r="FUW138" s="17"/>
      <c r="FUX138" s="15"/>
      <c r="FVM138" s="17"/>
      <c r="FVN138" s="15"/>
      <c r="FWC138" s="17"/>
      <c r="FWD138" s="15"/>
      <c r="FWS138" s="17"/>
      <c r="FWT138" s="15"/>
      <c r="FXI138" s="17"/>
      <c r="FXJ138" s="15"/>
      <c r="FXY138" s="17"/>
      <c r="FXZ138" s="15"/>
      <c r="FYO138" s="17"/>
      <c r="FYP138" s="15"/>
      <c r="FZE138" s="17"/>
      <c r="FZF138" s="15"/>
      <c r="FZU138" s="17"/>
      <c r="FZV138" s="15"/>
      <c r="GAK138" s="17"/>
      <c r="GAL138" s="15"/>
      <c r="GBA138" s="17"/>
      <c r="GBB138" s="15"/>
      <c r="GBQ138" s="17"/>
      <c r="GBR138" s="15"/>
      <c r="GCG138" s="17"/>
      <c r="GCH138" s="15"/>
      <c r="GCW138" s="17"/>
      <c r="GCX138" s="15"/>
      <c r="GDM138" s="17"/>
      <c r="GDN138" s="15"/>
      <c r="GEC138" s="17"/>
      <c r="GED138" s="15"/>
      <c r="GES138" s="17"/>
      <c r="GET138" s="15"/>
      <c r="GFI138" s="17"/>
      <c r="GFJ138" s="15"/>
      <c r="GFY138" s="17"/>
      <c r="GFZ138" s="15"/>
      <c r="GGO138" s="17"/>
      <c r="GGP138" s="15"/>
      <c r="GHE138" s="17"/>
      <c r="GHF138" s="15"/>
      <c r="GHU138" s="17"/>
      <c r="GHV138" s="15"/>
      <c r="GIK138" s="17"/>
      <c r="GIL138" s="15"/>
      <c r="GJA138" s="17"/>
      <c r="GJB138" s="15"/>
      <c r="GJQ138" s="17"/>
      <c r="GJR138" s="15"/>
      <c r="GKG138" s="17"/>
      <c r="GKH138" s="15"/>
      <c r="GKW138" s="17"/>
      <c r="GKX138" s="15"/>
      <c r="GLM138" s="17"/>
      <c r="GLN138" s="15"/>
      <c r="GMC138" s="17"/>
      <c r="GMD138" s="15"/>
      <c r="GMS138" s="17"/>
      <c r="GMT138" s="15"/>
      <c r="GNI138" s="17"/>
      <c r="GNJ138" s="15"/>
      <c r="GNY138" s="17"/>
      <c r="GNZ138" s="15"/>
      <c r="GOO138" s="17"/>
      <c r="GOP138" s="15"/>
      <c r="GPE138" s="17"/>
      <c r="GPF138" s="15"/>
      <c r="GPU138" s="17"/>
      <c r="GPV138" s="15"/>
      <c r="GQK138" s="17"/>
      <c r="GQL138" s="15"/>
      <c r="GRA138" s="17"/>
      <c r="GRB138" s="15"/>
      <c r="GRQ138" s="17"/>
      <c r="GRR138" s="15"/>
      <c r="GSG138" s="17"/>
      <c r="GSH138" s="15"/>
      <c r="GSW138" s="17"/>
      <c r="GSX138" s="15"/>
      <c r="GTM138" s="17"/>
      <c r="GTN138" s="15"/>
      <c r="GUC138" s="17"/>
      <c r="GUD138" s="15"/>
      <c r="GUS138" s="17"/>
      <c r="GUT138" s="15"/>
      <c r="GVI138" s="17"/>
      <c r="GVJ138" s="15"/>
      <c r="GVY138" s="17"/>
      <c r="GVZ138" s="15"/>
      <c r="GWO138" s="17"/>
      <c r="GWP138" s="15"/>
      <c r="GXE138" s="17"/>
      <c r="GXF138" s="15"/>
      <c r="GXU138" s="17"/>
      <c r="GXV138" s="15"/>
      <c r="GYK138" s="17"/>
      <c r="GYL138" s="15"/>
      <c r="GZA138" s="17"/>
      <c r="GZB138" s="15"/>
      <c r="GZQ138" s="17"/>
      <c r="GZR138" s="15"/>
      <c r="HAG138" s="17"/>
      <c r="HAH138" s="15"/>
      <c r="HAW138" s="17"/>
      <c r="HAX138" s="15"/>
      <c r="HBM138" s="17"/>
      <c r="HBN138" s="15"/>
      <c r="HCC138" s="17"/>
      <c r="HCD138" s="15"/>
      <c r="HCS138" s="17"/>
      <c r="HCT138" s="15"/>
      <c r="HDI138" s="17"/>
      <c r="HDJ138" s="15"/>
      <c r="HDY138" s="17"/>
      <c r="HDZ138" s="15"/>
      <c r="HEO138" s="17"/>
      <c r="HEP138" s="15"/>
      <c r="HFE138" s="17"/>
      <c r="HFF138" s="15"/>
      <c r="HFU138" s="17"/>
      <c r="HFV138" s="15"/>
      <c r="HGK138" s="17"/>
      <c r="HGL138" s="15"/>
      <c r="HHA138" s="17"/>
      <c r="HHB138" s="15"/>
      <c r="HHQ138" s="17"/>
      <c r="HHR138" s="15"/>
      <c r="HIG138" s="17"/>
      <c r="HIH138" s="15"/>
      <c r="HIW138" s="17"/>
      <c r="HIX138" s="15"/>
      <c r="HJM138" s="17"/>
      <c r="HJN138" s="15"/>
      <c r="HKC138" s="17"/>
      <c r="HKD138" s="15"/>
      <c r="HKS138" s="17"/>
      <c r="HKT138" s="15"/>
      <c r="HLI138" s="17"/>
      <c r="HLJ138" s="15"/>
      <c r="HLY138" s="17"/>
      <c r="HLZ138" s="15"/>
      <c r="HMO138" s="17"/>
      <c r="HMP138" s="15"/>
      <c r="HNE138" s="17"/>
      <c r="HNF138" s="15"/>
      <c r="HNU138" s="17"/>
      <c r="HNV138" s="15"/>
      <c r="HOK138" s="17"/>
      <c r="HOL138" s="15"/>
      <c r="HPA138" s="17"/>
      <c r="HPB138" s="15"/>
      <c r="HPQ138" s="17"/>
      <c r="HPR138" s="15"/>
      <c r="HQG138" s="17"/>
      <c r="HQH138" s="15"/>
      <c r="HQW138" s="17"/>
      <c r="HQX138" s="15"/>
      <c r="HRM138" s="17"/>
      <c r="HRN138" s="15"/>
      <c r="HSC138" s="17"/>
      <c r="HSD138" s="15"/>
      <c r="HSS138" s="17"/>
      <c r="HST138" s="15"/>
      <c r="HTI138" s="17"/>
      <c r="HTJ138" s="15"/>
      <c r="HTY138" s="17"/>
      <c r="HTZ138" s="15"/>
      <c r="HUO138" s="17"/>
      <c r="HUP138" s="15"/>
      <c r="HVE138" s="17"/>
      <c r="HVF138" s="15"/>
      <c r="HVU138" s="17"/>
      <c r="HVV138" s="15"/>
      <c r="HWK138" s="17"/>
      <c r="HWL138" s="15"/>
      <c r="HXA138" s="17"/>
      <c r="HXB138" s="15"/>
      <c r="HXQ138" s="17"/>
      <c r="HXR138" s="15"/>
      <c r="HYG138" s="17"/>
      <c r="HYH138" s="15"/>
      <c r="HYW138" s="17"/>
      <c r="HYX138" s="15"/>
      <c r="HZM138" s="17"/>
      <c r="HZN138" s="15"/>
      <c r="IAC138" s="17"/>
      <c r="IAD138" s="15"/>
      <c r="IAS138" s="17"/>
      <c r="IAT138" s="15"/>
      <c r="IBI138" s="17"/>
      <c r="IBJ138" s="15"/>
      <c r="IBY138" s="17"/>
      <c r="IBZ138" s="15"/>
      <c r="ICO138" s="17"/>
      <c r="ICP138" s="15"/>
      <c r="IDE138" s="17"/>
      <c r="IDF138" s="15"/>
      <c r="IDU138" s="17"/>
      <c r="IDV138" s="15"/>
      <c r="IEK138" s="17"/>
      <c r="IEL138" s="15"/>
      <c r="IFA138" s="17"/>
      <c r="IFB138" s="15"/>
      <c r="IFQ138" s="17"/>
      <c r="IFR138" s="15"/>
      <c r="IGG138" s="17"/>
      <c r="IGH138" s="15"/>
      <c r="IGW138" s="17"/>
      <c r="IGX138" s="15"/>
      <c r="IHM138" s="17"/>
      <c r="IHN138" s="15"/>
      <c r="IIC138" s="17"/>
      <c r="IID138" s="15"/>
      <c r="IIS138" s="17"/>
      <c r="IIT138" s="15"/>
      <c r="IJI138" s="17"/>
      <c r="IJJ138" s="15"/>
      <c r="IJY138" s="17"/>
      <c r="IJZ138" s="15"/>
      <c r="IKO138" s="17"/>
      <c r="IKP138" s="15"/>
      <c r="ILE138" s="17"/>
      <c r="ILF138" s="15"/>
      <c r="ILU138" s="17"/>
      <c r="ILV138" s="15"/>
      <c r="IMK138" s="17"/>
      <c r="IML138" s="15"/>
      <c r="INA138" s="17"/>
      <c r="INB138" s="15"/>
      <c r="INQ138" s="17"/>
      <c r="INR138" s="15"/>
      <c r="IOG138" s="17"/>
      <c r="IOH138" s="15"/>
      <c r="IOW138" s="17"/>
      <c r="IOX138" s="15"/>
      <c r="IPM138" s="17"/>
      <c r="IPN138" s="15"/>
      <c r="IQC138" s="17"/>
      <c r="IQD138" s="15"/>
      <c r="IQS138" s="17"/>
      <c r="IQT138" s="15"/>
      <c r="IRI138" s="17"/>
      <c r="IRJ138" s="15"/>
      <c r="IRY138" s="17"/>
      <c r="IRZ138" s="15"/>
      <c r="ISO138" s="17"/>
      <c r="ISP138" s="15"/>
      <c r="ITE138" s="17"/>
      <c r="ITF138" s="15"/>
      <c r="ITU138" s="17"/>
      <c r="ITV138" s="15"/>
      <c r="IUK138" s="17"/>
      <c r="IUL138" s="15"/>
      <c r="IVA138" s="17"/>
      <c r="IVB138" s="15"/>
      <c r="IVQ138" s="17"/>
      <c r="IVR138" s="15"/>
      <c r="IWG138" s="17"/>
      <c r="IWH138" s="15"/>
      <c r="IWW138" s="17"/>
      <c r="IWX138" s="15"/>
      <c r="IXM138" s="17"/>
      <c r="IXN138" s="15"/>
      <c r="IYC138" s="17"/>
      <c r="IYD138" s="15"/>
      <c r="IYS138" s="17"/>
      <c r="IYT138" s="15"/>
      <c r="IZI138" s="17"/>
      <c r="IZJ138" s="15"/>
      <c r="IZY138" s="17"/>
      <c r="IZZ138" s="15"/>
      <c r="JAO138" s="17"/>
      <c r="JAP138" s="15"/>
      <c r="JBE138" s="17"/>
      <c r="JBF138" s="15"/>
      <c r="JBU138" s="17"/>
      <c r="JBV138" s="15"/>
      <c r="JCK138" s="17"/>
      <c r="JCL138" s="15"/>
      <c r="JDA138" s="17"/>
      <c r="JDB138" s="15"/>
      <c r="JDQ138" s="17"/>
      <c r="JDR138" s="15"/>
      <c r="JEG138" s="17"/>
      <c r="JEH138" s="15"/>
      <c r="JEW138" s="17"/>
      <c r="JEX138" s="15"/>
      <c r="JFM138" s="17"/>
      <c r="JFN138" s="15"/>
      <c r="JGC138" s="17"/>
      <c r="JGD138" s="15"/>
      <c r="JGS138" s="17"/>
      <c r="JGT138" s="15"/>
      <c r="JHI138" s="17"/>
      <c r="JHJ138" s="15"/>
      <c r="JHY138" s="17"/>
      <c r="JHZ138" s="15"/>
      <c r="JIO138" s="17"/>
      <c r="JIP138" s="15"/>
      <c r="JJE138" s="17"/>
      <c r="JJF138" s="15"/>
      <c r="JJU138" s="17"/>
      <c r="JJV138" s="15"/>
      <c r="JKK138" s="17"/>
      <c r="JKL138" s="15"/>
      <c r="JLA138" s="17"/>
      <c r="JLB138" s="15"/>
      <c r="JLQ138" s="17"/>
      <c r="JLR138" s="15"/>
      <c r="JMG138" s="17"/>
      <c r="JMH138" s="15"/>
      <c r="JMW138" s="17"/>
      <c r="JMX138" s="15"/>
      <c r="JNM138" s="17"/>
      <c r="JNN138" s="15"/>
      <c r="JOC138" s="17"/>
      <c r="JOD138" s="15"/>
      <c r="JOS138" s="17"/>
      <c r="JOT138" s="15"/>
      <c r="JPI138" s="17"/>
      <c r="JPJ138" s="15"/>
      <c r="JPY138" s="17"/>
      <c r="JPZ138" s="15"/>
      <c r="JQO138" s="17"/>
      <c r="JQP138" s="15"/>
      <c r="JRE138" s="17"/>
      <c r="JRF138" s="15"/>
      <c r="JRU138" s="17"/>
      <c r="JRV138" s="15"/>
      <c r="JSK138" s="17"/>
      <c r="JSL138" s="15"/>
      <c r="JTA138" s="17"/>
      <c r="JTB138" s="15"/>
      <c r="JTQ138" s="17"/>
      <c r="JTR138" s="15"/>
      <c r="JUG138" s="17"/>
      <c r="JUH138" s="15"/>
      <c r="JUW138" s="17"/>
      <c r="JUX138" s="15"/>
      <c r="JVM138" s="17"/>
      <c r="JVN138" s="15"/>
      <c r="JWC138" s="17"/>
      <c r="JWD138" s="15"/>
      <c r="JWS138" s="17"/>
      <c r="JWT138" s="15"/>
      <c r="JXI138" s="17"/>
      <c r="JXJ138" s="15"/>
      <c r="JXY138" s="17"/>
      <c r="JXZ138" s="15"/>
      <c r="JYO138" s="17"/>
      <c r="JYP138" s="15"/>
      <c r="JZE138" s="17"/>
      <c r="JZF138" s="15"/>
      <c r="JZU138" s="17"/>
      <c r="JZV138" s="15"/>
      <c r="KAK138" s="17"/>
      <c r="KAL138" s="15"/>
      <c r="KBA138" s="17"/>
      <c r="KBB138" s="15"/>
      <c r="KBQ138" s="17"/>
      <c r="KBR138" s="15"/>
      <c r="KCG138" s="17"/>
      <c r="KCH138" s="15"/>
      <c r="KCW138" s="17"/>
      <c r="KCX138" s="15"/>
      <c r="KDM138" s="17"/>
      <c r="KDN138" s="15"/>
      <c r="KEC138" s="17"/>
      <c r="KED138" s="15"/>
      <c r="KES138" s="17"/>
      <c r="KET138" s="15"/>
      <c r="KFI138" s="17"/>
      <c r="KFJ138" s="15"/>
      <c r="KFY138" s="17"/>
      <c r="KFZ138" s="15"/>
      <c r="KGO138" s="17"/>
      <c r="KGP138" s="15"/>
      <c r="KHE138" s="17"/>
      <c r="KHF138" s="15"/>
      <c r="KHU138" s="17"/>
      <c r="KHV138" s="15"/>
      <c r="KIK138" s="17"/>
      <c r="KIL138" s="15"/>
      <c r="KJA138" s="17"/>
      <c r="KJB138" s="15"/>
      <c r="KJQ138" s="17"/>
      <c r="KJR138" s="15"/>
      <c r="KKG138" s="17"/>
      <c r="KKH138" s="15"/>
      <c r="KKW138" s="17"/>
      <c r="KKX138" s="15"/>
      <c r="KLM138" s="17"/>
      <c r="KLN138" s="15"/>
      <c r="KMC138" s="17"/>
      <c r="KMD138" s="15"/>
      <c r="KMS138" s="17"/>
      <c r="KMT138" s="15"/>
      <c r="KNI138" s="17"/>
      <c r="KNJ138" s="15"/>
      <c r="KNY138" s="17"/>
      <c r="KNZ138" s="15"/>
      <c r="KOO138" s="17"/>
      <c r="KOP138" s="15"/>
      <c r="KPE138" s="17"/>
      <c r="KPF138" s="15"/>
      <c r="KPU138" s="17"/>
      <c r="KPV138" s="15"/>
      <c r="KQK138" s="17"/>
      <c r="KQL138" s="15"/>
      <c r="KRA138" s="17"/>
      <c r="KRB138" s="15"/>
      <c r="KRQ138" s="17"/>
      <c r="KRR138" s="15"/>
      <c r="KSG138" s="17"/>
      <c r="KSH138" s="15"/>
      <c r="KSW138" s="17"/>
      <c r="KSX138" s="15"/>
      <c r="KTM138" s="17"/>
      <c r="KTN138" s="15"/>
      <c r="KUC138" s="17"/>
      <c r="KUD138" s="15"/>
      <c r="KUS138" s="17"/>
      <c r="KUT138" s="15"/>
      <c r="KVI138" s="17"/>
      <c r="KVJ138" s="15"/>
      <c r="KVY138" s="17"/>
      <c r="KVZ138" s="15"/>
      <c r="KWO138" s="17"/>
      <c r="KWP138" s="15"/>
      <c r="KXE138" s="17"/>
      <c r="KXF138" s="15"/>
      <c r="KXU138" s="17"/>
      <c r="KXV138" s="15"/>
      <c r="KYK138" s="17"/>
      <c r="KYL138" s="15"/>
      <c r="KZA138" s="17"/>
      <c r="KZB138" s="15"/>
      <c r="KZQ138" s="17"/>
      <c r="KZR138" s="15"/>
      <c r="LAG138" s="17"/>
      <c r="LAH138" s="15"/>
      <c r="LAW138" s="17"/>
      <c r="LAX138" s="15"/>
      <c r="LBM138" s="17"/>
      <c r="LBN138" s="15"/>
      <c r="LCC138" s="17"/>
      <c r="LCD138" s="15"/>
      <c r="LCS138" s="17"/>
      <c r="LCT138" s="15"/>
      <c r="LDI138" s="17"/>
      <c r="LDJ138" s="15"/>
      <c r="LDY138" s="17"/>
      <c r="LDZ138" s="15"/>
      <c r="LEO138" s="17"/>
      <c r="LEP138" s="15"/>
      <c r="LFE138" s="17"/>
      <c r="LFF138" s="15"/>
      <c r="LFU138" s="17"/>
      <c r="LFV138" s="15"/>
      <c r="LGK138" s="17"/>
      <c r="LGL138" s="15"/>
      <c r="LHA138" s="17"/>
      <c r="LHB138" s="15"/>
      <c r="LHQ138" s="17"/>
      <c r="LHR138" s="15"/>
      <c r="LIG138" s="17"/>
      <c r="LIH138" s="15"/>
      <c r="LIW138" s="17"/>
      <c r="LIX138" s="15"/>
      <c r="LJM138" s="17"/>
      <c r="LJN138" s="15"/>
      <c r="LKC138" s="17"/>
      <c r="LKD138" s="15"/>
      <c r="LKS138" s="17"/>
      <c r="LKT138" s="15"/>
      <c r="LLI138" s="17"/>
      <c r="LLJ138" s="15"/>
      <c r="LLY138" s="17"/>
      <c r="LLZ138" s="15"/>
      <c r="LMO138" s="17"/>
      <c r="LMP138" s="15"/>
      <c r="LNE138" s="17"/>
      <c r="LNF138" s="15"/>
      <c r="LNU138" s="17"/>
      <c r="LNV138" s="15"/>
      <c r="LOK138" s="17"/>
      <c r="LOL138" s="15"/>
      <c r="LPA138" s="17"/>
      <c r="LPB138" s="15"/>
      <c r="LPQ138" s="17"/>
      <c r="LPR138" s="15"/>
      <c r="LQG138" s="17"/>
      <c r="LQH138" s="15"/>
      <c r="LQW138" s="17"/>
      <c r="LQX138" s="15"/>
      <c r="LRM138" s="17"/>
      <c r="LRN138" s="15"/>
      <c r="LSC138" s="17"/>
      <c r="LSD138" s="15"/>
      <c r="LSS138" s="17"/>
      <c r="LST138" s="15"/>
      <c r="LTI138" s="17"/>
      <c r="LTJ138" s="15"/>
      <c r="LTY138" s="17"/>
      <c r="LTZ138" s="15"/>
      <c r="LUO138" s="17"/>
      <c r="LUP138" s="15"/>
      <c r="LVE138" s="17"/>
      <c r="LVF138" s="15"/>
      <c r="LVU138" s="17"/>
      <c r="LVV138" s="15"/>
      <c r="LWK138" s="17"/>
      <c r="LWL138" s="15"/>
      <c r="LXA138" s="17"/>
      <c r="LXB138" s="15"/>
      <c r="LXQ138" s="17"/>
      <c r="LXR138" s="15"/>
      <c r="LYG138" s="17"/>
      <c r="LYH138" s="15"/>
      <c r="LYW138" s="17"/>
      <c r="LYX138" s="15"/>
      <c r="LZM138" s="17"/>
      <c r="LZN138" s="15"/>
      <c r="MAC138" s="17"/>
      <c r="MAD138" s="15"/>
      <c r="MAS138" s="17"/>
      <c r="MAT138" s="15"/>
      <c r="MBI138" s="17"/>
      <c r="MBJ138" s="15"/>
      <c r="MBY138" s="17"/>
      <c r="MBZ138" s="15"/>
      <c r="MCO138" s="17"/>
      <c r="MCP138" s="15"/>
      <c r="MDE138" s="17"/>
      <c r="MDF138" s="15"/>
      <c r="MDU138" s="17"/>
      <c r="MDV138" s="15"/>
      <c r="MEK138" s="17"/>
      <c r="MEL138" s="15"/>
      <c r="MFA138" s="17"/>
      <c r="MFB138" s="15"/>
      <c r="MFQ138" s="17"/>
      <c r="MFR138" s="15"/>
      <c r="MGG138" s="17"/>
      <c r="MGH138" s="15"/>
      <c r="MGW138" s="17"/>
      <c r="MGX138" s="15"/>
      <c r="MHM138" s="17"/>
      <c r="MHN138" s="15"/>
      <c r="MIC138" s="17"/>
      <c r="MID138" s="15"/>
      <c r="MIS138" s="17"/>
      <c r="MIT138" s="15"/>
      <c r="MJI138" s="17"/>
      <c r="MJJ138" s="15"/>
      <c r="MJY138" s="17"/>
      <c r="MJZ138" s="15"/>
      <c r="MKO138" s="17"/>
      <c r="MKP138" s="15"/>
      <c r="MLE138" s="17"/>
      <c r="MLF138" s="15"/>
      <c r="MLU138" s="17"/>
      <c r="MLV138" s="15"/>
      <c r="MMK138" s="17"/>
      <c r="MML138" s="15"/>
      <c r="MNA138" s="17"/>
      <c r="MNB138" s="15"/>
      <c r="MNQ138" s="17"/>
      <c r="MNR138" s="15"/>
      <c r="MOG138" s="17"/>
      <c r="MOH138" s="15"/>
      <c r="MOW138" s="17"/>
      <c r="MOX138" s="15"/>
      <c r="MPM138" s="17"/>
      <c r="MPN138" s="15"/>
      <c r="MQC138" s="17"/>
      <c r="MQD138" s="15"/>
      <c r="MQS138" s="17"/>
      <c r="MQT138" s="15"/>
      <c r="MRI138" s="17"/>
      <c r="MRJ138" s="15"/>
      <c r="MRY138" s="17"/>
      <c r="MRZ138" s="15"/>
      <c r="MSO138" s="17"/>
      <c r="MSP138" s="15"/>
      <c r="MTE138" s="17"/>
      <c r="MTF138" s="15"/>
      <c r="MTU138" s="17"/>
      <c r="MTV138" s="15"/>
      <c r="MUK138" s="17"/>
      <c r="MUL138" s="15"/>
      <c r="MVA138" s="17"/>
      <c r="MVB138" s="15"/>
      <c r="MVQ138" s="17"/>
      <c r="MVR138" s="15"/>
      <c r="MWG138" s="17"/>
      <c r="MWH138" s="15"/>
      <c r="MWW138" s="17"/>
      <c r="MWX138" s="15"/>
      <c r="MXM138" s="17"/>
      <c r="MXN138" s="15"/>
      <c r="MYC138" s="17"/>
      <c r="MYD138" s="15"/>
      <c r="MYS138" s="17"/>
      <c r="MYT138" s="15"/>
      <c r="MZI138" s="17"/>
      <c r="MZJ138" s="15"/>
      <c r="MZY138" s="17"/>
      <c r="MZZ138" s="15"/>
      <c r="NAO138" s="17"/>
      <c r="NAP138" s="15"/>
      <c r="NBE138" s="17"/>
      <c r="NBF138" s="15"/>
      <c r="NBU138" s="17"/>
      <c r="NBV138" s="15"/>
      <c r="NCK138" s="17"/>
      <c r="NCL138" s="15"/>
      <c r="NDA138" s="17"/>
      <c r="NDB138" s="15"/>
      <c r="NDQ138" s="17"/>
      <c r="NDR138" s="15"/>
      <c r="NEG138" s="17"/>
      <c r="NEH138" s="15"/>
      <c r="NEW138" s="17"/>
      <c r="NEX138" s="15"/>
      <c r="NFM138" s="17"/>
      <c r="NFN138" s="15"/>
      <c r="NGC138" s="17"/>
      <c r="NGD138" s="15"/>
      <c r="NGS138" s="17"/>
      <c r="NGT138" s="15"/>
      <c r="NHI138" s="17"/>
      <c r="NHJ138" s="15"/>
      <c r="NHY138" s="17"/>
      <c r="NHZ138" s="15"/>
      <c r="NIO138" s="17"/>
      <c r="NIP138" s="15"/>
      <c r="NJE138" s="17"/>
      <c r="NJF138" s="15"/>
      <c r="NJU138" s="17"/>
      <c r="NJV138" s="15"/>
      <c r="NKK138" s="17"/>
      <c r="NKL138" s="15"/>
      <c r="NLA138" s="17"/>
      <c r="NLB138" s="15"/>
      <c r="NLQ138" s="17"/>
      <c r="NLR138" s="15"/>
      <c r="NMG138" s="17"/>
      <c r="NMH138" s="15"/>
      <c r="NMW138" s="17"/>
      <c r="NMX138" s="15"/>
      <c r="NNM138" s="17"/>
      <c r="NNN138" s="15"/>
      <c r="NOC138" s="17"/>
      <c r="NOD138" s="15"/>
      <c r="NOS138" s="17"/>
      <c r="NOT138" s="15"/>
      <c r="NPI138" s="17"/>
      <c r="NPJ138" s="15"/>
      <c r="NPY138" s="17"/>
      <c r="NPZ138" s="15"/>
      <c r="NQO138" s="17"/>
      <c r="NQP138" s="15"/>
      <c r="NRE138" s="17"/>
      <c r="NRF138" s="15"/>
      <c r="NRU138" s="17"/>
      <c r="NRV138" s="15"/>
      <c r="NSK138" s="17"/>
      <c r="NSL138" s="15"/>
      <c r="NTA138" s="17"/>
      <c r="NTB138" s="15"/>
      <c r="NTQ138" s="17"/>
      <c r="NTR138" s="15"/>
      <c r="NUG138" s="17"/>
      <c r="NUH138" s="15"/>
      <c r="NUW138" s="17"/>
      <c r="NUX138" s="15"/>
      <c r="NVM138" s="17"/>
      <c r="NVN138" s="15"/>
      <c r="NWC138" s="17"/>
      <c r="NWD138" s="15"/>
      <c r="NWS138" s="17"/>
      <c r="NWT138" s="15"/>
      <c r="NXI138" s="17"/>
      <c r="NXJ138" s="15"/>
      <c r="NXY138" s="17"/>
      <c r="NXZ138" s="15"/>
      <c r="NYO138" s="17"/>
      <c r="NYP138" s="15"/>
      <c r="NZE138" s="17"/>
      <c r="NZF138" s="15"/>
      <c r="NZU138" s="17"/>
      <c r="NZV138" s="15"/>
      <c r="OAK138" s="17"/>
      <c r="OAL138" s="15"/>
      <c r="OBA138" s="17"/>
      <c r="OBB138" s="15"/>
      <c r="OBQ138" s="17"/>
      <c r="OBR138" s="15"/>
      <c r="OCG138" s="17"/>
      <c r="OCH138" s="15"/>
      <c r="OCW138" s="17"/>
      <c r="OCX138" s="15"/>
      <c r="ODM138" s="17"/>
      <c r="ODN138" s="15"/>
      <c r="OEC138" s="17"/>
      <c r="OED138" s="15"/>
      <c r="OES138" s="17"/>
      <c r="OET138" s="15"/>
      <c r="OFI138" s="17"/>
      <c r="OFJ138" s="15"/>
      <c r="OFY138" s="17"/>
      <c r="OFZ138" s="15"/>
      <c r="OGO138" s="17"/>
      <c r="OGP138" s="15"/>
      <c r="OHE138" s="17"/>
      <c r="OHF138" s="15"/>
      <c r="OHU138" s="17"/>
      <c r="OHV138" s="15"/>
      <c r="OIK138" s="17"/>
      <c r="OIL138" s="15"/>
      <c r="OJA138" s="17"/>
      <c r="OJB138" s="15"/>
      <c r="OJQ138" s="17"/>
      <c r="OJR138" s="15"/>
      <c r="OKG138" s="17"/>
      <c r="OKH138" s="15"/>
      <c r="OKW138" s="17"/>
      <c r="OKX138" s="15"/>
      <c r="OLM138" s="17"/>
      <c r="OLN138" s="15"/>
      <c r="OMC138" s="17"/>
      <c r="OMD138" s="15"/>
      <c r="OMS138" s="17"/>
      <c r="OMT138" s="15"/>
      <c r="ONI138" s="17"/>
      <c r="ONJ138" s="15"/>
      <c r="ONY138" s="17"/>
      <c r="ONZ138" s="15"/>
      <c r="OOO138" s="17"/>
      <c r="OOP138" s="15"/>
      <c r="OPE138" s="17"/>
      <c r="OPF138" s="15"/>
      <c r="OPU138" s="17"/>
      <c r="OPV138" s="15"/>
      <c r="OQK138" s="17"/>
      <c r="OQL138" s="15"/>
      <c r="ORA138" s="17"/>
      <c r="ORB138" s="15"/>
      <c r="ORQ138" s="17"/>
      <c r="ORR138" s="15"/>
      <c r="OSG138" s="17"/>
      <c r="OSH138" s="15"/>
      <c r="OSW138" s="17"/>
      <c r="OSX138" s="15"/>
      <c r="OTM138" s="17"/>
      <c r="OTN138" s="15"/>
      <c r="OUC138" s="17"/>
      <c r="OUD138" s="15"/>
      <c r="OUS138" s="17"/>
      <c r="OUT138" s="15"/>
      <c r="OVI138" s="17"/>
      <c r="OVJ138" s="15"/>
      <c r="OVY138" s="17"/>
      <c r="OVZ138" s="15"/>
      <c r="OWO138" s="17"/>
      <c r="OWP138" s="15"/>
      <c r="OXE138" s="17"/>
      <c r="OXF138" s="15"/>
      <c r="OXU138" s="17"/>
      <c r="OXV138" s="15"/>
      <c r="OYK138" s="17"/>
      <c r="OYL138" s="15"/>
      <c r="OZA138" s="17"/>
      <c r="OZB138" s="15"/>
      <c r="OZQ138" s="17"/>
      <c r="OZR138" s="15"/>
      <c r="PAG138" s="17"/>
      <c r="PAH138" s="15"/>
      <c r="PAW138" s="17"/>
      <c r="PAX138" s="15"/>
      <c r="PBM138" s="17"/>
      <c r="PBN138" s="15"/>
      <c r="PCC138" s="17"/>
      <c r="PCD138" s="15"/>
      <c r="PCS138" s="17"/>
      <c r="PCT138" s="15"/>
      <c r="PDI138" s="17"/>
      <c r="PDJ138" s="15"/>
      <c r="PDY138" s="17"/>
      <c r="PDZ138" s="15"/>
      <c r="PEO138" s="17"/>
      <c r="PEP138" s="15"/>
      <c r="PFE138" s="17"/>
      <c r="PFF138" s="15"/>
      <c r="PFU138" s="17"/>
      <c r="PFV138" s="15"/>
      <c r="PGK138" s="17"/>
      <c r="PGL138" s="15"/>
      <c r="PHA138" s="17"/>
      <c r="PHB138" s="15"/>
      <c r="PHQ138" s="17"/>
      <c r="PHR138" s="15"/>
      <c r="PIG138" s="17"/>
      <c r="PIH138" s="15"/>
      <c r="PIW138" s="17"/>
      <c r="PIX138" s="15"/>
      <c r="PJM138" s="17"/>
      <c r="PJN138" s="15"/>
      <c r="PKC138" s="17"/>
      <c r="PKD138" s="15"/>
      <c r="PKS138" s="17"/>
      <c r="PKT138" s="15"/>
      <c r="PLI138" s="17"/>
      <c r="PLJ138" s="15"/>
      <c r="PLY138" s="17"/>
      <c r="PLZ138" s="15"/>
      <c r="PMO138" s="17"/>
      <c r="PMP138" s="15"/>
      <c r="PNE138" s="17"/>
      <c r="PNF138" s="15"/>
      <c r="PNU138" s="17"/>
      <c r="PNV138" s="15"/>
      <c r="POK138" s="17"/>
      <c r="POL138" s="15"/>
      <c r="PPA138" s="17"/>
      <c r="PPB138" s="15"/>
      <c r="PPQ138" s="17"/>
      <c r="PPR138" s="15"/>
      <c r="PQG138" s="17"/>
      <c r="PQH138" s="15"/>
      <c r="PQW138" s="17"/>
      <c r="PQX138" s="15"/>
      <c r="PRM138" s="17"/>
      <c r="PRN138" s="15"/>
      <c r="PSC138" s="17"/>
      <c r="PSD138" s="15"/>
      <c r="PSS138" s="17"/>
      <c r="PST138" s="15"/>
      <c r="PTI138" s="17"/>
      <c r="PTJ138" s="15"/>
      <c r="PTY138" s="17"/>
      <c r="PTZ138" s="15"/>
      <c r="PUO138" s="17"/>
      <c r="PUP138" s="15"/>
      <c r="PVE138" s="17"/>
      <c r="PVF138" s="15"/>
      <c r="PVU138" s="17"/>
      <c r="PVV138" s="15"/>
      <c r="PWK138" s="17"/>
      <c r="PWL138" s="15"/>
      <c r="PXA138" s="17"/>
      <c r="PXB138" s="15"/>
      <c r="PXQ138" s="17"/>
      <c r="PXR138" s="15"/>
      <c r="PYG138" s="17"/>
      <c r="PYH138" s="15"/>
      <c r="PYW138" s="17"/>
      <c r="PYX138" s="15"/>
      <c r="PZM138" s="17"/>
      <c r="PZN138" s="15"/>
      <c r="QAC138" s="17"/>
      <c r="QAD138" s="15"/>
      <c r="QAS138" s="17"/>
      <c r="QAT138" s="15"/>
      <c r="QBI138" s="17"/>
      <c r="QBJ138" s="15"/>
      <c r="QBY138" s="17"/>
      <c r="QBZ138" s="15"/>
      <c r="QCO138" s="17"/>
      <c r="QCP138" s="15"/>
      <c r="QDE138" s="17"/>
      <c r="QDF138" s="15"/>
      <c r="QDU138" s="17"/>
      <c r="QDV138" s="15"/>
      <c r="QEK138" s="17"/>
      <c r="QEL138" s="15"/>
      <c r="QFA138" s="17"/>
      <c r="QFB138" s="15"/>
      <c r="QFQ138" s="17"/>
      <c r="QFR138" s="15"/>
      <c r="QGG138" s="17"/>
      <c r="QGH138" s="15"/>
      <c r="QGW138" s="17"/>
      <c r="QGX138" s="15"/>
      <c r="QHM138" s="17"/>
      <c r="QHN138" s="15"/>
      <c r="QIC138" s="17"/>
      <c r="QID138" s="15"/>
      <c r="QIS138" s="17"/>
      <c r="QIT138" s="15"/>
      <c r="QJI138" s="17"/>
      <c r="QJJ138" s="15"/>
      <c r="QJY138" s="17"/>
      <c r="QJZ138" s="15"/>
      <c r="QKO138" s="17"/>
      <c r="QKP138" s="15"/>
      <c r="QLE138" s="17"/>
      <c r="QLF138" s="15"/>
      <c r="QLU138" s="17"/>
      <c r="QLV138" s="15"/>
      <c r="QMK138" s="17"/>
      <c r="QML138" s="15"/>
      <c r="QNA138" s="17"/>
      <c r="QNB138" s="15"/>
      <c r="QNQ138" s="17"/>
      <c r="QNR138" s="15"/>
      <c r="QOG138" s="17"/>
      <c r="QOH138" s="15"/>
      <c r="QOW138" s="17"/>
      <c r="QOX138" s="15"/>
      <c r="QPM138" s="17"/>
      <c r="QPN138" s="15"/>
      <c r="QQC138" s="17"/>
      <c r="QQD138" s="15"/>
      <c r="QQS138" s="17"/>
      <c r="QQT138" s="15"/>
      <c r="QRI138" s="17"/>
      <c r="QRJ138" s="15"/>
      <c r="QRY138" s="17"/>
      <c r="QRZ138" s="15"/>
      <c r="QSO138" s="17"/>
      <c r="QSP138" s="15"/>
      <c r="QTE138" s="17"/>
      <c r="QTF138" s="15"/>
      <c r="QTU138" s="17"/>
      <c r="QTV138" s="15"/>
      <c r="QUK138" s="17"/>
      <c r="QUL138" s="15"/>
      <c r="QVA138" s="17"/>
      <c r="QVB138" s="15"/>
      <c r="QVQ138" s="17"/>
      <c r="QVR138" s="15"/>
      <c r="QWG138" s="17"/>
      <c r="QWH138" s="15"/>
      <c r="QWW138" s="17"/>
      <c r="QWX138" s="15"/>
      <c r="QXM138" s="17"/>
      <c r="QXN138" s="15"/>
      <c r="QYC138" s="17"/>
      <c r="QYD138" s="15"/>
      <c r="QYS138" s="17"/>
      <c r="QYT138" s="15"/>
      <c r="QZI138" s="17"/>
      <c r="QZJ138" s="15"/>
      <c r="QZY138" s="17"/>
      <c r="QZZ138" s="15"/>
      <c r="RAO138" s="17"/>
      <c r="RAP138" s="15"/>
      <c r="RBE138" s="17"/>
      <c r="RBF138" s="15"/>
      <c r="RBU138" s="17"/>
      <c r="RBV138" s="15"/>
      <c r="RCK138" s="17"/>
      <c r="RCL138" s="15"/>
      <c r="RDA138" s="17"/>
      <c r="RDB138" s="15"/>
      <c r="RDQ138" s="17"/>
      <c r="RDR138" s="15"/>
      <c r="REG138" s="17"/>
      <c r="REH138" s="15"/>
      <c r="REW138" s="17"/>
      <c r="REX138" s="15"/>
      <c r="RFM138" s="17"/>
      <c r="RFN138" s="15"/>
      <c r="RGC138" s="17"/>
      <c r="RGD138" s="15"/>
      <c r="RGS138" s="17"/>
      <c r="RGT138" s="15"/>
      <c r="RHI138" s="17"/>
      <c r="RHJ138" s="15"/>
      <c r="RHY138" s="17"/>
      <c r="RHZ138" s="15"/>
      <c r="RIO138" s="17"/>
      <c r="RIP138" s="15"/>
      <c r="RJE138" s="17"/>
      <c r="RJF138" s="15"/>
      <c r="RJU138" s="17"/>
      <c r="RJV138" s="15"/>
      <c r="RKK138" s="17"/>
      <c r="RKL138" s="15"/>
      <c r="RLA138" s="17"/>
      <c r="RLB138" s="15"/>
      <c r="RLQ138" s="17"/>
      <c r="RLR138" s="15"/>
      <c r="RMG138" s="17"/>
      <c r="RMH138" s="15"/>
      <c r="RMW138" s="17"/>
      <c r="RMX138" s="15"/>
      <c r="RNM138" s="17"/>
      <c r="RNN138" s="15"/>
      <c r="ROC138" s="17"/>
      <c r="ROD138" s="15"/>
      <c r="ROS138" s="17"/>
      <c r="ROT138" s="15"/>
      <c r="RPI138" s="17"/>
      <c r="RPJ138" s="15"/>
      <c r="RPY138" s="17"/>
      <c r="RPZ138" s="15"/>
      <c r="RQO138" s="17"/>
      <c r="RQP138" s="15"/>
      <c r="RRE138" s="17"/>
      <c r="RRF138" s="15"/>
      <c r="RRU138" s="17"/>
      <c r="RRV138" s="15"/>
      <c r="RSK138" s="17"/>
      <c r="RSL138" s="15"/>
      <c r="RTA138" s="17"/>
      <c r="RTB138" s="15"/>
      <c r="RTQ138" s="17"/>
      <c r="RTR138" s="15"/>
      <c r="RUG138" s="17"/>
      <c r="RUH138" s="15"/>
      <c r="RUW138" s="17"/>
      <c r="RUX138" s="15"/>
      <c r="RVM138" s="17"/>
      <c r="RVN138" s="15"/>
      <c r="RWC138" s="17"/>
      <c r="RWD138" s="15"/>
      <c r="RWS138" s="17"/>
      <c r="RWT138" s="15"/>
      <c r="RXI138" s="17"/>
      <c r="RXJ138" s="15"/>
      <c r="RXY138" s="17"/>
      <c r="RXZ138" s="15"/>
      <c r="RYO138" s="17"/>
      <c r="RYP138" s="15"/>
      <c r="RZE138" s="17"/>
      <c r="RZF138" s="15"/>
      <c r="RZU138" s="17"/>
      <c r="RZV138" s="15"/>
      <c r="SAK138" s="17"/>
      <c r="SAL138" s="15"/>
      <c r="SBA138" s="17"/>
      <c r="SBB138" s="15"/>
      <c r="SBQ138" s="17"/>
      <c r="SBR138" s="15"/>
      <c r="SCG138" s="17"/>
      <c r="SCH138" s="15"/>
      <c r="SCW138" s="17"/>
      <c r="SCX138" s="15"/>
      <c r="SDM138" s="17"/>
      <c r="SDN138" s="15"/>
      <c r="SEC138" s="17"/>
      <c r="SED138" s="15"/>
      <c r="SES138" s="17"/>
      <c r="SET138" s="15"/>
      <c r="SFI138" s="17"/>
      <c r="SFJ138" s="15"/>
      <c r="SFY138" s="17"/>
      <c r="SFZ138" s="15"/>
      <c r="SGO138" s="17"/>
      <c r="SGP138" s="15"/>
      <c r="SHE138" s="17"/>
      <c r="SHF138" s="15"/>
      <c r="SHU138" s="17"/>
      <c r="SHV138" s="15"/>
      <c r="SIK138" s="17"/>
      <c r="SIL138" s="15"/>
      <c r="SJA138" s="17"/>
      <c r="SJB138" s="15"/>
      <c r="SJQ138" s="17"/>
      <c r="SJR138" s="15"/>
      <c r="SKG138" s="17"/>
      <c r="SKH138" s="15"/>
      <c r="SKW138" s="17"/>
      <c r="SKX138" s="15"/>
      <c r="SLM138" s="17"/>
      <c r="SLN138" s="15"/>
      <c r="SMC138" s="17"/>
      <c r="SMD138" s="15"/>
      <c r="SMS138" s="17"/>
      <c r="SMT138" s="15"/>
      <c r="SNI138" s="17"/>
      <c r="SNJ138" s="15"/>
      <c r="SNY138" s="17"/>
      <c r="SNZ138" s="15"/>
      <c r="SOO138" s="17"/>
      <c r="SOP138" s="15"/>
      <c r="SPE138" s="17"/>
      <c r="SPF138" s="15"/>
      <c r="SPU138" s="17"/>
      <c r="SPV138" s="15"/>
      <c r="SQK138" s="17"/>
      <c r="SQL138" s="15"/>
      <c r="SRA138" s="17"/>
      <c r="SRB138" s="15"/>
      <c r="SRQ138" s="17"/>
      <c r="SRR138" s="15"/>
      <c r="SSG138" s="17"/>
      <c r="SSH138" s="15"/>
      <c r="SSW138" s="17"/>
      <c r="SSX138" s="15"/>
      <c r="STM138" s="17"/>
      <c r="STN138" s="15"/>
      <c r="SUC138" s="17"/>
      <c r="SUD138" s="15"/>
      <c r="SUS138" s="17"/>
      <c r="SUT138" s="15"/>
      <c r="SVI138" s="17"/>
      <c r="SVJ138" s="15"/>
      <c r="SVY138" s="17"/>
      <c r="SVZ138" s="15"/>
      <c r="SWO138" s="17"/>
      <c r="SWP138" s="15"/>
      <c r="SXE138" s="17"/>
      <c r="SXF138" s="15"/>
      <c r="SXU138" s="17"/>
      <c r="SXV138" s="15"/>
      <c r="SYK138" s="17"/>
      <c r="SYL138" s="15"/>
      <c r="SZA138" s="17"/>
      <c r="SZB138" s="15"/>
      <c r="SZQ138" s="17"/>
      <c r="SZR138" s="15"/>
      <c r="TAG138" s="17"/>
      <c r="TAH138" s="15"/>
      <c r="TAW138" s="17"/>
      <c r="TAX138" s="15"/>
      <c r="TBM138" s="17"/>
      <c r="TBN138" s="15"/>
      <c r="TCC138" s="17"/>
      <c r="TCD138" s="15"/>
      <c r="TCS138" s="17"/>
      <c r="TCT138" s="15"/>
      <c r="TDI138" s="17"/>
      <c r="TDJ138" s="15"/>
      <c r="TDY138" s="17"/>
      <c r="TDZ138" s="15"/>
      <c r="TEO138" s="17"/>
      <c r="TEP138" s="15"/>
      <c r="TFE138" s="17"/>
      <c r="TFF138" s="15"/>
      <c r="TFU138" s="17"/>
      <c r="TFV138" s="15"/>
      <c r="TGK138" s="17"/>
      <c r="TGL138" s="15"/>
      <c r="THA138" s="17"/>
      <c r="THB138" s="15"/>
      <c r="THQ138" s="17"/>
      <c r="THR138" s="15"/>
      <c r="TIG138" s="17"/>
      <c r="TIH138" s="15"/>
      <c r="TIW138" s="17"/>
      <c r="TIX138" s="15"/>
      <c r="TJM138" s="17"/>
      <c r="TJN138" s="15"/>
      <c r="TKC138" s="17"/>
      <c r="TKD138" s="15"/>
      <c r="TKS138" s="17"/>
      <c r="TKT138" s="15"/>
      <c r="TLI138" s="17"/>
      <c r="TLJ138" s="15"/>
      <c r="TLY138" s="17"/>
      <c r="TLZ138" s="15"/>
      <c r="TMO138" s="17"/>
      <c r="TMP138" s="15"/>
      <c r="TNE138" s="17"/>
      <c r="TNF138" s="15"/>
      <c r="TNU138" s="17"/>
      <c r="TNV138" s="15"/>
      <c r="TOK138" s="17"/>
      <c r="TOL138" s="15"/>
      <c r="TPA138" s="17"/>
      <c r="TPB138" s="15"/>
      <c r="TPQ138" s="17"/>
      <c r="TPR138" s="15"/>
      <c r="TQG138" s="17"/>
      <c r="TQH138" s="15"/>
      <c r="TQW138" s="17"/>
      <c r="TQX138" s="15"/>
      <c r="TRM138" s="17"/>
      <c r="TRN138" s="15"/>
      <c r="TSC138" s="17"/>
      <c r="TSD138" s="15"/>
      <c r="TSS138" s="17"/>
      <c r="TST138" s="15"/>
      <c r="TTI138" s="17"/>
      <c r="TTJ138" s="15"/>
      <c r="TTY138" s="17"/>
      <c r="TTZ138" s="15"/>
      <c r="TUO138" s="17"/>
      <c r="TUP138" s="15"/>
      <c r="TVE138" s="17"/>
      <c r="TVF138" s="15"/>
      <c r="TVU138" s="17"/>
      <c r="TVV138" s="15"/>
      <c r="TWK138" s="17"/>
      <c r="TWL138" s="15"/>
      <c r="TXA138" s="17"/>
      <c r="TXB138" s="15"/>
      <c r="TXQ138" s="17"/>
      <c r="TXR138" s="15"/>
      <c r="TYG138" s="17"/>
      <c r="TYH138" s="15"/>
      <c r="TYW138" s="17"/>
      <c r="TYX138" s="15"/>
      <c r="TZM138" s="17"/>
      <c r="TZN138" s="15"/>
      <c r="UAC138" s="17"/>
      <c r="UAD138" s="15"/>
      <c r="UAS138" s="17"/>
      <c r="UAT138" s="15"/>
      <c r="UBI138" s="17"/>
      <c r="UBJ138" s="15"/>
      <c r="UBY138" s="17"/>
      <c r="UBZ138" s="15"/>
      <c r="UCO138" s="17"/>
      <c r="UCP138" s="15"/>
      <c r="UDE138" s="17"/>
      <c r="UDF138" s="15"/>
      <c r="UDU138" s="17"/>
      <c r="UDV138" s="15"/>
      <c r="UEK138" s="17"/>
      <c r="UEL138" s="15"/>
      <c r="UFA138" s="17"/>
      <c r="UFB138" s="15"/>
      <c r="UFQ138" s="17"/>
      <c r="UFR138" s="15"/>
      <c r="UGG138" s="17"/>
      <c r="UGH138" s="15"/>
      <c r="UGW138" s="17"/>
      <c r="UGX138" s="15"/>
      <c r="UHM138" s="17"/>
      <c r="UHN138" s="15"/>
      <c r="UIC138" s="17"/>
      <c r="UID138" s="15"/>
      <c r="UIS138" s="17"/>
      <c r="UIT138" s="15"/>
      <c r="UJI138" s="17"/>
      <c r="UJJ138" s="15"/>
      <c r="UJY138" s="17"/>
      <c r="UJZ138" s="15"/>
      <c r="UKO138" s="17"/>
      <c r="UKP138" s="15"/>
      <c r="ULE138" s="17"/>
      <c r="ULF138" s="15"/>
      <c r="ULU138" s="17"/>
      <c r="ULV138" s="15"/>
      <c r="UMK138" s="17"/>
      <c r="UML138" s="15"/>
      <c r="UNA138" s="17"/>
      <c r="UNB138" s="15"/>
      <c r="UNQ138" s="17"/>
      <c r="UNR138" s="15"/>
      <c r="UOG138" s="17"/>
      <c r="UOH138" s="15"/>
      <c r="UOW138" s="17"/>
      <c r="UOX138" s="15"/>
      <c r="UPM138" s="17"/>
      <c r="UPN138" s="15"/>
      <c r="UQC138" s="17"/>
      <c r="UQD138" s="15"/>
      <c r="UQS138" s="17"/>
      <c r="UQT138" s="15"/>
      <c r="URI138" s="17"/>
      <c r="URJ138" s="15"/>
      <c r="URY138" s="17"/>
      <c r="URZ138" s="15"/>
      <c r="USO138" s="17"/>
      <c r="USP138" s="15"/>
      <c r="UTE138" s="17"/>
      <c r="UTF138" s="15"/>
      <c r="UTU138" s="17"/>
      <c r="UTV138" s="15"/>
      <c r="UUK138" s="17"/>
      <c r="UUL138" s="15"/>
      <c r="UVA138" s="17"/>
      <c r="UVB138" s="15"/>
      <c r="UVQ138" s="17"/>
      <c r="UVR138" s="15"/>
      <c r="UWG138" s="17"/>
      <c r="UWH138" s="15"/>
      <c r="UWW138" s="17"/>
      <c r="UWX138" s="15"/>
      <c r="UXM138" s="17"/>
      <c r="UXN138" s="15"/>
      <c r="UYC138" s="17"/>
      <c r="UYD138" s="15"/>
      <c r="UYS138" s="17"/>
      <c r="UYT138" s="15"/>
      <c r="UZI138" s="17"/>
      <c r="UZJ138" s="15"/>
      <c r="UZY138" s="17"/>
      <c r="UZZ138" s="15"/>
      <c r="VAO138" s="17"/>
      <c r="VAP138" s="15"/>
      <c r="VBE138" s="17"/>
      <c r="VBF138" s="15"/>
      <c r="VBU138" s="17"/>
      <c r="VBV138" s="15"/>
      <c r="VCK138" s="17"/>
      <c r="VCL138" s="15"/>
      <c r="VDA138" s="17"/>
      <c r="VDB138" s="15"/>
      <c r="VDQ138" s="17"/>
      <c r="VDR138" s="15"/>
      <c r="VEG138" s="17"/>
      <c r="VEH138" s="15"/>
      <c r="VEW138" s="17"/>
      <c r="VEX138" s="15"/>
      <c r="VFM138" s="17"/>
      <c r="VFN138" s="15"/>
      <c r="VGC138" s="17"/>
      <c r="VGD138" s="15"/>
      <c r="VGS138" s="17"/>
      <c r="VGT138" s="15"/>
      <c r="VHI138" s="17"/>
      <c r="VHJ138" s="15"/>
      <c r="VHY138" s="17"/>
      <c r="VHZ138" s="15"/>
      <c r="VIO138" s="17"/>
      <c r="VIP138" s="15"/>
      <c r="VJE138" s="17"/>
      <c r="VJF138" s="15"/>
      <c r="VJU138" s="17"/>
      <c r="VJV138" s="15"/>
      <c r="VKK138" s="17"/>
      <c r="VKL138" s="15"/>
      <c r="VLA138" s="17"/>
      <c r="VLB138" s="15"/>
      <c r="VLQ138" s="17"/>
      <c r="VLR138" s="15"/>
      <c r="VMG138" s="17"/>
      <c r="VMH138" s="15"/>
      <c r="VMW138" s="17"/>
      <c r="VMX138" s="15"/>
      <c r="VNM138" s="17"/>
      <c r="VNN138" s="15"/>
      <c r="VOC138" s="17"/>
      <c r="VOD138" s="15"/>
      <c r="VOS138" s="17"/>
      <c r="VOT138" s="15"/>
      <c r="VPI138" s="17"/>
      <c r="VPJ138" s="15"/>
      <c r="VPY138" s="17"/>
      <c r="VPZ138" s="15"/>
      <c r="VQO138" s="17"/>
      <c r="VQP138" s="15"/>
      <c r="VRE138" s="17"/>
      <c r="VRF138" s="15"/>
      <c r="VRU138" s="17"/>
      <c r="VRV138" s="15"/>
      <c r="VSK138" s="17"/>
      <c r="VSL138" s="15"/>
      <c r="VTA138" s="17"/>
      <c r="VTB138" s="15"/>
      <c r="VTQ138" s="17"/>
      <c r="VTR138" s="15"/>
      <c r="VUG138" s="17"/>
      <c r="VUH138" s="15"/>
      <c r="VUW138" s="17"/>
      <c r="VUX138" s="15"/>
      <c r="VVM138" s="17"/>
      <c r="VVN138" s="15"/>
      <c r="VWC138" s="17"/>
      <c r="VWD138" s="15"/>
      <c r="VWS138" s="17"/>
      <c r="VWT138" s="15"/>
      <c r="VXI138" s="17"/>
      <c r="VXJ138" s="15"/>
      <c r="VXY138" s="17"/>
      <c r="VXZ138" s="15"/>
      <c r="VYO138" s="17"/>
      <c r="VYP138" s="15"/>
      <c r="VZE138" s="17"/>
      <c r="VZF138" s="15"/>
      <c r="VZU138" s="17"/>
      <c r="VZV138" s="15"/>
      <c r="WAK138" s="17"/>
      <c r="WAL138" s="15"/>
      <c r="WBA138" s="17"/>
      <c r="WBB138" s="15"/>
      <c r="WBQ138" s="17"/>
      <c r="WBR138" s="15"/>
      <c r="WCG138" s="17"/>
      <c r="WCH138" s="15"/>
      <c r="WCW138" s="17"/>
      <c r="WCX138" s="15"/>
      <c r="WDM138" s="17"/>
      <c r="WDN138" s="15"/>
      <c r="WEC138" s="17"/>
      <c r="WED138" s="15"/>
      <c r="WES138" s="17"/>
      <c r="WET138" s="15"/>
      <c r="WFI138" s="17"/>
      <c r="WFJ138" s="15"/>
      <c r="WFY138" s="17"/>
      <c r="WFZ138" s="15"/>
      <c r="WGO138" s="17"/>
      <c r="WGP138" s="15"/>
      <c r="WHE138" s="17"/>
      <c r="WHF138" s="15"/>
      <c r="WHU138" s="17"/>
      <c r="WHV138" s="15"/>
      <c r="WIK138" s="17"/>
      <c r="WIL138" s="15"/>
      <c r="WJA138" s="17"/>
      <c r="WJB138" s="15"/>
      <c r="WJQ138" s="17"/>
      <c r="WJR138" s="15"/>
      <c r="WKG138" s="17"/>
      <c r="WKH138" s="15"/>
      <c r="WKW138" s="17"/>
      <c r="WKX138" s="15"/>
      <c r="WLM138" s="17"/>
      <c r="WLN138" s="15"/>
      <c r="WMC138" s="17"/>
      <c r="WMD138" s="15"/>
      <c r="WMS138" s="17"/>
      <c r="WMT138" s="15"/>
      <c r="WNI138" s="17"/>
      <c r="WNJ138" s="15"/>
      <c r="WNY138" s="17"/>
      <c r="WNZ138" s="15"/>
      <c r="WOO138" s="17"/>
      <c r="WOP138" s="15"/>
      <c r="WPE138" s="17"/>
      <c r="WPF138" s="15"/>
      <c r="WPU138" s="17"/>
      <c r="WPV138" s="15"/>
      <c r="WQK138" s="17"/>
      <c r="WQL138" s="15"/>
      <c r="WRA138" s="17"/>
      <c r="WRB138" s="15"/>
      <c r="WRQ138" s="17"/>
      <c r="WRR138" s="15"/>
      <c r="WSG138" s="17"/>
      <c r="WSH138" s="15"/>
      <c r="WSW138" s="17"/>
      <c r="WSX138" s="15"/>
      <c r="WTM138" s="17"/>
      <c r="WTN138" s="15"/>
      <c r="WUC138" s="17"/>
      <c r="WUD138" s="15"/>
      <c r="WUS138" s="17"/>
      <c r="WUT138" s="15"/>
      <c r="WVI138" s="17"/>
      <c r="WVJ138" s="15"/>
      <c r="WVY138" s="17"/>
      <c r="WVZ138" s="15"/>
      <c r="WWO138" s="17"/>
      <c r="WWP138" s="15"/>
      <c r="WXE138" s="17"/>
      <c r="WXF138" s="15"/>
      <c r="WXU138" s="17"/>
      <c r="WXV138" s="15"/>
      <c r="WYK138" s="17"/>
      <c r="WYL138" s="15"/>
      <c r="WZA138" s="17"/>
      <c r="WZB138" s="15"/>
      <c r="WZQ138" s="17"/>
      <c r="WZR138" s="15"/>
      <c r="XAG138" s="17"/>
      <c r="XAH138" s="15"/>
      <c r="XAW138" s="17"/>
      <c r="XAX138" s="15"/>
      <c r="XBM138" s="17"/>
      <c r="XBN138" s="15"/>
      <c r="XCC138" s="17"/>
      <c r="XCD138" s="15"/>
      <c r="XCS138" s="17"/>
      <c r="XCT138" s="15"/>
      <c r="XDI138" s="17"/>
      <c r="XDJ138" s="15"/>
      <c r="XDY138" s="17"/>
      <c r="XDZ138" s="15"/>
      <c r="XEO138" s="17"/>
      <c r="XEP138" s="15"/>
    </row>
    <row r="139" spans="1:1010 1025:2034 2049:3058 3073:4082 4097:5106 5121:6130 6145:7154 7169:8178 8193:9202 9217:10226 10241:11250 11265:12274 12289:13298 13313:14322 14337:15346 15361:16370" s="16" customFormat="1" ht="17.100000000000001" customHeight="1">
      <c r="A139" s="22">
        <v>45922</v>
      </c>
      <c r="B139" s="15" t="s">
        <v>28</v>
      </c>
      <c r="C139" s="16" t="s">
        <v>2750</v>
      </c>
      <c r="D139" s="16" t="s">
        <v>2655</v>
      </c>
      <c r="E139" s="16" t="s">
        <v>2754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30</v>
      </c>
      <c r="O139" s="16" t="s">
        <v>2757</v>
      </c>
      <c r="P139" s="16" t="s">
        <v>2781</v>
      </c>
      <c r="Q139" s="17" t="s">
        <v>2780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17"/>
      <c r="AH139" s="15"/>
      <c r="AW139" s="17"/>
      <c r="AX139" s="15"/>
      <c r="BM139" s="17"/>
      <c r="BN139" s="15"/>
      <c r="CC139" s="17"/>
      <c r="CD139" s="15"/>
      <c r="CS139" s="17"/>
      <c r="CT139" s="15"/>
      <c r="DI139" s="17"/>
      <c r="DJ139" s="15"/>
      <c r="DY139" s="17"/>
      <c r="DZ139" s="15"/>
      <c r="EO139" s="17"/>
      <c r="EP139" s="15"/>
      <c r="FE139" s="17"/>
      <c r="FF139" s="15"/>
      <c r="FU139" s="17"/>
      <c r="FV139" s="15"/>
      <c r="GK139" s="17"/>
      <c r="GL139" s="15"/>
      <c r="HA139" s="17"/>
      <c r="HB139" s="15"/>
      <c r="HQ139" s="17"/>
      <c r="HR139" s="15"/>
      <c r="IG139" s="17"/>
      <c r="IH139" s="15"/>
      <c r="IW139" s="17"/>
      <c r="IX139" s="15"/>
      <c r="JM139" s="17"/>
      <c r="JN139" s="15"/>
      <c r="KC139" s="17"/>
      <c r="KD139" s="15"/>
      <c r="KS139" s="17"/>
      <c r="KT139" s="15"/>
      <c r="LI139" s="17"/>
      <c r="LJ139" s="15"/>
      <c r="LY139" s="17"/>
      <c r="LZ139" s="15"/>
      <c r="MO139" s="17"/>
      <c r="MP139" s="15"/>
      <c r="NE139" s="17"/>
      <c r="NF139" s="15"/>
      <c r="NU139" s="17"/>
      <c r="NV139" s="15"/>
      <c r="OK139" s="17"/>
      <c r="OL139" s="15"/>
      <c r="PA139" s="17"/>
      <c r="PB139" s="15"/>
      <c r="PQ139" s="17"/>
      <c r="PR139" s="15"/>
      <c r="QG139" s="17"/>
      <c r="QH139" s="15"/>
      <c r="QW139" s="17"/>
      <c r="QX139" s="15"/>
      <c r="RM139" s="17"/>
      <c r="RN139" s="15"/>
      <c r="SC139" s="17"/>
      <c r="SD139" s="15"/>
      <c r="SS139" s="17"/>
      <c r="ST139" s="15"/>
      <c r="TI139" s="17"/>
      <c r="TJ139" s="15"/>
      <c r="TY139" s="17"/>
      <c r="TZ139" s="15"/>
      <c r="UO139" s="17"/>
      <c r="UP139" s="15"/>
      <c r="VE139" s="17"/>
      <c r="VF139" s="15"/>
      <c r="VU139" s="17"/>
      <c r="VV139" s="15"/>
      <c r="WK139" s="17"/>
      <c r="WL139" s="15"/>
      <c r="XA139" s="17"/>
      <c r="XB139" s="15"/>
      <c r="XQ139" s="17"/>
      <c r="XR139" s="15"/>
      <c r="YG139" s="17"/>
      <c r="YH139" s="15"/>
      <c r="YW139" s="17"/>
      <c r="YX139" s="15"/>
      <c r="ZM139" s="17"/>
      <c r="ZN139" s="15"/>
      <c r="AAC139" s="17"/>
      <c r="AAD139" s="15"/>
      <c r="AAS139" s="17"/>
      <c r="AAT139" s="15"/>
      <c r="ABI139" s="17"/>
      <c r="ABJ139" s="15"/>
      <c r="ABY139" s="17"/>
      <c r="ABZ139" s="15"/>
      <c r="ACO139" s="17"/>
      <c r="ACP139" s="15"/>
      <c r="ADE139" s="17"/>
      <c r="ADF139" s="15"/>
      <c r="ADU139" s="17"/>
      <c r="ADV139" s="15"/>
      <c r="AEK139" s="17"/>
      <c r="AEL139" s="15"/>
      <c r="AFA139" s="17"/>
      <c r="AFB139" s="15"/>
      <c r="AFQ139" s="17"/>
      <c r="AFR139" s="15"/>
      <c r="AGG139" s="17"/>
      <c r="AGH139" s="15"/>
      <c r="AGW139" s="17"/>
      <c r="AGX139" s="15"/>
      <c r="AHM139" s="17"/>
      <c r="AHN139" s="15"/>
      <c r="AIC139" s="17"/>
      <c r="AID139" s="15"/>
      <c r="AIS139" s="17"/>
      <c r="AIT139" s="15"/>
      <c r="AJI139" s="17"/>
      <c r="AJJ139" s="15"/>
      <c r="AJY139" s="17"/>
      <c r="AJZ139" s="15"/>
      <c r="AKO139" s="17"/>
      <c r="AKP139" s="15"/>
      <c r="ALE139" s="17"/>
      <c r="ALF139" s="15"/>
      <c r="ALU139" s="17"/>
      <c r="ALV139" s="15"/>
      <c r="AMK139" s="17"/>
      <c r="AML139" s="15"/>
      <c r="ANA139" s="17"/>
      <c r="ANB139" s="15"/>
      <c r="ANQ139" s="17"/>
      <c r="ANR139" s="15"/>
      <c r="AOG139" s="17"/>
      <c r="AOH139" s="15"/>
      <c r="AOW139" s="17"/>
      <c r="AOX139" s="15"/>
      <c r="APM139" s="17"/>
      <c r="APN139" s="15"/>
      <c r="AQC139" s="17"/>
      <c r="AQD139" s="15"/>
      <c r="AQS139" s="17"/>
      <c r="AQT139" s="15"/>
      <c r="ARI139" s="17"/>
      <c r="ARJ139" s="15"/>
      <c r="ARY139" s="17"/>
      <c r="ARZ139" s="15"/>
      <c r="ASO139" s="17"/>
      <c r="ASP139" s="15"/>
      <c r="ATE139" s="17"/>
      <c r="ATF139" s="15"/>
      <c r="ATU139" s="17"/>
      <c r="ATV139" s="15"/>
      <c r="AUK139" s="17"/>
      <c r="AUL139" s="15"/>
      <c r="AVA139" s="17"/>
      <c r="AVB139" s="15"/>
      <c r="AVQ139" s="17"/>
      <c r="AVR139" s="15"/>
      <c r="AWG139" s="17"/>
      <c r="AWH139" s="15"/>
      <c r="AWW139" s="17"/>
      <c r="AWX139" s="15"/>
      <c r="AXM139" s="17"/>
      <c r="AXN139" s="15"/>
      <c r="AYC139" s="17"/>
      <c r="AYD139" s="15"/>
      <c r="AYS139" s="17"/>
      <c r="AYT139" s="15"/>
      <c r="AZI139" s="17"/>
      <c r="AZJ139" s="15"/>
      <c r="AZY139" s="17"/>
      <c r="AZZ139" s="15"/>
      <c r="BAO139" s="17"/>
      <c r="BAP139" s="15"/>
      <c r="BBE139" s="17"/>
      <c r="BBF139" s="15"/>
      <c r="BBU139" s="17"/>
      <c r="BBV139" s="15"/>
      <c r="BCK139" s="17"/>
      <c r="BCL139" s="15"/>
      <c r="BDA139" s="17"/>
      <c r="BDB139" s="15"/>
      <c r="BDQ139" s="17"/>
      <c r="BDR139" s="15"/>
      <c r="BEG139" s="17"/>
      <c r="BEH139" s="15"/>
      <c r="BEW139" s="17"/>
      <c r="BEX139" s="15"/>
      <c r="BFM139" s="17"/>
      <c r="BFN139" s="15"/>
      <c r="BGC139" s="17"/>
      <c r="BGD139" s="15"/>
      <c r="BGS139" s="17"/>
      <c r="BGT139" s="15"/>
      <c r="BHI139" s="17"/>
      <c r="BHJ139" s="15"/>
      <c r="BHY139" s="17"/>
      <c r="BHZ139" s="15"/>
      <c r="BIO139" s="17"/>
      <c r="BIP139" s="15"/>
      <c r="BJE139" s="17"/>
      <c r="BJF139" s="15"/>
      <c r="BJU139" s="17"/>
      <c r="BJV139" s="15"/>
      <c r="BKK139" s="17"/>
      <c r="BKL139" s="15"/>
      <c r="BLA139" s="17"/>
      <c r="BLB139" s="15"/>
      <c r="BLQ139" s="17"/>
      <c r="BLR139" s="15"/>
      <c r="BMG139" s="17"/>
      <c r="BMH139" s="15"/>
      <c r="BMW139" s="17"/>
      <c r="BMX139" s="15"/>
      <c r="BNM139" s="17"/>
      <c r="BNN139" s="15"/>
      <c r="BOC139" s="17"/>
      <c r="BOD139" s="15"/>
      <c r="BOS139" s="17"/>
      <c r="BOT139" s="15"/>
      <c r="BPI139" s="17"/>
      <c r="BPJ139" s="15"/>
      <c r="BPY139" s="17"/>
      <c r="BPZ139" s="15"/>
      <c r="BQO139" s="17"/>
      <c r="BQP139" s="15"/>
      <c r="BRE139" s="17"/>
      <c r="BRF139" s="15"/>
      <c r="BRU139" s="17"/>
      <c r="BRV139" s="15"/>
      <c r="BSK139" s="17"/>
      <c r="BSL139" s="15"/>
      <c r="BTA139" s="17"/>
      <c r="BTB139" s="15"/>
      <c r="BTQ139" s="17"/>
      <c r="BTR139" s="15"/>
      <c r="BUG139" s="17"/>
      <c r="BUH139" s="15"/>
      <c r="BUW139" s="17"/>
      <c r="BUX139" s="15"/>
      <c r="BVM139" s="17"/>
      <c r="BVN139" s="15"/>
      <c r="BWC139" s="17"/>
      <c r="BWD139" s="15"/>
      <c r="BWS139" s="17"/>
      <c r="BWT139" s="15"/>
      <c r="BXI139" s="17"/>
      <c r="BXJ139" s="15"/>
      <c r="BXY139" s="17"/>
      <c r="BXZ139" s="15"/>
      <c r="BYO139" s="17"/>
      <c r="BYP139" s="15"/>
      <c r="BZE139" s="17"/>
      <c r="BZF139" s="15"/>
      <c r="BZU139" s="17"/>
      <c r="BZV139" s="15"/>
      <c r="CAK139" s="17"/>
      <c r="CAL139" s="15"/>
      <c r="CBA139" s="17"/>
      <c r="CBB139" s="15"/>
      <c r="CBQ139" s="17"/>
      <c r="CBR139" s="15"/>
      <c r="CCG139" s="17"/>
      <c r="CCH139" s="15"/>
      <c r="CCW139" s="17"/>
      <c r="CCX139" s="15"/>
      <c r="CDM139" s="17"/>
      <c r="CDN139" s="15"/>
      <c r="CEC139" s="17"/>
      <c r="CED139" s="15"/>
      <c r="CES139" s="17"/>
      <c r="CET139" s="15"/>
      <c r="CFI139" s="17"/>
      <c r="CFJ139" s="15"/>
      <c r="CFY139" s="17"/>
      <c r="CFZ139" s="15"/>
      <c r="CGO139" s="17"/>
      <c r="CGP139" s="15"/>
      <c r="CHE139" s="17"/>
      <c r="CHF139" s="15"/>
      <c r="CHU139" s="17"/>
      <c r="CHV139" s="15"/>
      <c r="CIK139" s="17"/>
      <c r="CIL139" s="15"/>
      <c r="CJA139" s="17"/>
      <c r="CJB139" s="15"/>
      <c r="CJQ139" s="17"/>
      <c r="CJR139" s="15"/>
      <c r="CKG139" s="17"/>
      <c r="CKH139" s="15"/>
      <c r="CKW139" s="17"/>
      <c r="CKX139" s="15"/>
      <c r="CLM139" s="17"/>
      <c r="CLN139" s="15"/>
      <c r="CMC139" s="17"/>
      <c r="CMD139" s="15"/>
      <c r="CMS139" s="17"/>
      <c r="CMT139" s="15"/>
      <c r="CNI139" s="17"/>
      <c r="CNJ139" s="15"/>
      <c r="CNY139" s="17"/>
      <c r="CNZ139" s="15"/>
      <c r="COO139" s="17"/>
      <c r="COP139" s="15"/>
      <c r="CPE139" s="17"/>
      <c r="CPF139" s="15"/>
      <c r="CPU139" s="17"/>
      <c r="CPV139" s="15"/>
      <c r="CQK139" s="17"/>
      <c r="CQL139" s="15"/>
      <c r="CRA139" s="17"/>
      <c r="CRB139" s="15"/>
      <c r="CRQ139" s="17"/>
      <c r="CRR139" s="15"/>
      <c r="CSG139" s="17"/>
      <c r="CSH139" s="15"/>
      <c r="CSW139" s="17"/>
      <c r="CSX139" s="15"/>
      <c r="CTM139" s="17"/>
      <c r="CTN139" s="15"/>
      <c r="CUC139" s="17"/>
      <c r="CUD139" s="15"/>
      <c r="CUS139" s="17"/>
      <c r="CUT139" s="15"/>
      <c r="CVI139" s="17"/>
      <c r="CVJ139" s="15"/>
      <c r="CVY139" s="17"/>
      <c r="CVZ139" s="15"/>
      <c r="CWO139" s="17"/>
      <c r="CWP139" s="15"/>
      <c r="CXE139" s="17"/>
      <c r="CXF139" s="15"/>
      <c r="CXU139" s="17"/>
      <c r="CXV139" s="15"/>
      <c r="CYK139" s="17"/>
      <c r="CYL139" s="15"/>
      <c r="CZA139" s="17"/>
      <c r="CZB139" s="15"/>
      <c r="CZQ139" s="17"/>
      <c r="CZR139" s="15"/>
      <c r="DAG139" s="17"/>
      <c r="DAH139" s="15"/>
      <c r="DAW139" s="17"/>
      <c r="DAX139" s="15"/>
      <c r="DBM139" s="17"/>
      <c r="DBN139" s="15"/>
      <c r="DCC139" s="17"/>
      <c r="DCD139" s="15"/>
      <c r="DCS139" s="17"/>
      <c r="DCT139" s="15"/>
      <c r="DDI139" s="17"/>
      <c r="DDJ139" s="15"/>
      <c r="DDY139" s="17"/>
      <c r="DDZ139" s="15"/>
      <c r="DEO139" s="17"/>
      <c r="DEP139" s="15"/>
      <c r="DFE139" s="17"/>
      <c r="DFF139" s="15"/>
      <c r="DFU139" s="17"/>
      <c r="DFV139" s="15"/>
      <c r="DGK139" s="17"/>
      <c r="DGL139" s="15"/>
      <c r="DHA139" s="17"/>
      <c r="DHB139" s="15"/>
      <c r="DHQ139" s="17"/>
      <c r="DHR139" s="15"/>
      <c r="DIG139" s="17"/>
      <c r="DIH139" s="15"/>
      <c r="DIW139" s="17"/>
      <c r="DIX139" s="15"/>
      <c r="DJM139" s="17"/>
      <c r="DJN139" s="15"/>
      <c r="DKC139" s="17"/>
      <c r="DKD139" s="15"/>
      <c r="DKS139" s="17"/>
      <c r="DKT139" s="15"/>
      <c r="DLI139" s="17"/>
      <c r="DLJ139" s="15"/>
      <c r="DLY139" s="17"/>
      <c r="DLZ139" s="15"/>
      <c r="DMO139" s="17"/>
      <c r="DMP139" s="15"/>
      <c r="DNE139" s="17"/>
      <c r="DNF139" s="15"/>
      <c r="DNU139" s="17"/>
      <c r="DNV139" s="15"/>
      <c r="DOK139" s="17"/>
      <c r="DOL139" s="15"/>
      <c r="DPA139" s="17"/>
      <c r="DPB139" s="15"/>
      <c r="DPQ139" s="17"/>
      <c r="DPR139" s="15"/>
      <c r="DQG139" s="17"/>
      <c r="DQH139" s="15"/>
      <c r="DQW139" s="17"/>
      <c r="DQX139" s="15"/>
      <c r="DRM139" s="17"/>
      <c r="DRN139" s="15"/>
      <c r="DSC139" s="17"/>
      <c r="DSD139" s="15"/>
      <c r="DSS139" s="17"/>
      <c r="DST139" s="15"/>
      <c r="DTI139" s="17"/>
      <c r="DTJ139" s="15"/>
      <c r="DTY139" s="17"/>
      <c r="DTZ139" s="15"/>
      <c r="DUO139" s="17"/>
      <c r="DUP139" s="15"/>
      <c r="DVE139" s="17"/>
      <c r="DVF139" s="15"/>
      <c r="DVU139" s="17"/>
      <c r="DVV139" s="15"/>
      <c r="DWK139" s="17"/>
      <c r="DWL139" s="15"/>
      <c r="DXA139" s="17"/>
      <c r="DXB139" s="15"/>
      <c r="DXQ139" s="17"/>
      <c r="DXR139" s="15"/>
      <c r="DYG139" s="17"/>
      <c r="DYH139" s="15"/>
      <c r="DYW139" s="17"/>
      <c r="DYX139" s="15"/>
      <c r="DZM139" s="17"/>
      <c r="DZN139" s="15"/>
      <c r="EAC139" s="17"/>
      <c r="EAD139" s="15"/>
      <c r="EAS139" s="17"/>
      <c r="EAT139" s="15"/>
      <c r="EBI139" s="17"/>
      <c r="EBJ139" s="15"/>
      <c r="EBY139" s="17"/>
      <c r="EBZ139" s="15"/>
      <c r="ECO139" s="17"/>
      <c r="ECP139" s="15"/>
      <c r="EDE139" s="17"/>
      <c r="EDF139" s="15"/>
      <c r="EDU139" s="17"/>
      <c r="EDV139" s="15"/>
      <c r="EEK139" s="17"/>
      <c r="EEL139" s="15"/>
      <c r="EFA139" s="17"/>
      <c r="EFB139" s="15"/>
      <c r="EFQ139" s="17"/>
      <c r="EFR139" s="15"/>
      <c r="EGG139" s="17"/>
      <c r="EGH139" s="15"/>
      <c r="EGW139" s="17"/>
      <c r="EGX139" s="15"/>
      <c r="EHM139" s="17"/>
      <c r="EHN139" s="15"/>
      <c r="EIC139" s="17"/>
      <c r="EID139" s="15"/>
      <c r="EIS139" s="17"/>
      <c r="EIT139" s="15"/>
      <c r="EJI139" s="17"/>
      <c r="EJJ139" s="15"/>
      <c r="EJY139" s="17"/>
      <c r="EJZ139" s="15"/>
      <c r="EKO139" s="17"/>
      <c r="EKP139" s="15"/>
      <c r="ELE139" s="17"/>
      <c r="ELF139" s="15"/>
      <c r="ELU139" s="17"/>
      <c r="ELV139" s="15"/>
      <c r="EMK139" s="17"/>
      <c r="EML139" s="15"/>
      <c r="ENA139" s="17"/>
      <c r="ENB139" s="15"/>
      <c r="ENQ139" s="17"/>
      <c r="ENR139" s="15"/>
      <c r="EOG139" s="17"/>
      <c r="EOH139" s="15"/>
      <c r="EOW139" s="17"/>
      <c r="EOX139" s="15"/>
      <c r="EPM139" s="17"/>
      <c r="EPN139" s="15"/>
      <c r="EQC139" s="17"/>
      <c r="EQD139" s="15"/>
      <c r="EQS139" s="17"/>
      <c r="EQT139" s="15"/>
      <c r="ERI139" s="17"/>
      <c r="ERJ139" s="15"/>
      <c r="ERY139" s="17"/>
      <c r="ERZ139" s="15"/>
      <c r="ESO139" s="17"/>
      <c r="ESP139" s="15"/>
      <c r="ETE139" s="17"/>
      <c r="ETF139" s="15"/>
      <c r="ETU139" s="17"/>
      <c r="ETV139" s="15"/>
      <c r="EUK139" s="17"/>
      <c r="EUL139" s="15"/>
      <c r="EVA139" s="17"/>
      <c r="EVB139" s="15"/>
      <c r="EVQ139" s="17"/>
      <c r="EVR139" s="15"/>
      <c r="EWG139" s="17"/>
      <c r="EWH139" s="15"/>
      <c r="EWW139" s="17"/>
      <c r="EWX139" s="15"/>
      <c r="EXM139" s="17"/>
      <c r="EXN139" s="15"/>
      <c r="EYC139" s="17"/>
      <c r="EYD139" s="15"/>
      <c r="EYS139" s="17"/>
      <c r="EYT139" s="15"/>
      <c r="EZI139" s="17"/>
      <c r="EZJ139" s="15"/>
      <c r="EZY139" s="17"/>
      <c r="EZZ139" s="15"/>
      <c r="FAO139" s="17"/>
      <c r="FAP139" s="15"/>
      <c r="FBE139" s="17"/>
      <c r="FBF139" s="15"/>
      <c r="FBU139" s="17"/>
      <c r="FBV139" s="15"/>
      <c r="FCK139" s="17"/>
      <c r="FCL139" s="15"/>
      <c r="FDA139" s="17"/>
      <c r="FDB139" s="15"/>
      <c r="FDQ139" s="17"/>
      <c r="FDR139" s="15"/>
      <c r="FEG139" s="17"/>
      <c r="FEH139" s="15"/>
      <c r="FEW139" s="17"/>
      <c r="FEX139" s="15"/>
      <c r="FFM139" s="17"/>
      <c r="FFN139" s="15"/>
      <c r="FGC139" s="17"/>
      <c r="FGD139" s="15"/>
      <c r="FGS139" s="17"/>
      <c r="FGT139" s="15"/>
      <c r="FHI139" s="17"/>
      <c r="FHJ139" s="15"/>
      <c r="FHY139" s="17"/>
      <c r="FHZ139" s="15"/>
      <c r="FIO139" s="17"/>
      <c r="FIP139" s="15"/>
      <c r="FJE139" s="17"/>
      <c r="FJF139" s="15"/>
      <c r="FJU139" s="17"/>
      <c r="FJV139" s="15"/>
      <c r="FKK139" s="17"/>
      <c r="FKL139" s="15"/>
      <c r="FLA139" s="17"/>
      <c r="FLB139" s="15"/>
      <c r="FLQ139" s="17"/>
      <c r="FLR139" s="15"/>
      <c r="FMG139" s="17"/>
      <c r="FMH139" s="15"/>
      <c r="FMW139" s="17"/>
      <c r="FMX139" s="15"/>
      <c r="FNM139" s="17"/>
      <c r="FNN139" s="15"/>
      <c r="FOC139" s="17"/>
      <c r="FOD139" s="15"/>
      <c r="FOS139" s="17"/>
      <c r="FOT139" s="15"/>
      <c r="FPI139" s="17"/>
      <c r="FPJ139" s="15"/>
      <c r="FPY139" s="17"/>
      <c r="FPZ139" s="15"/>
      <c r="FQO139" s="17"/>
      <c r="FQP139" s="15"/>
      <c r="FRE139" s="17"/>
      <c r="FRF139" s="15"/>
      <c r="FRU139" s="17"/>
      <c r="FRV139" s="15"/>
      <c r="FSK139" s="17"/>
      <c r="FSL139" s="15"/>
      <c r="FTA139" s="17"/>
      <c r="FTB139" s="15"/>
      <c r="FTQ139" s="17"/>
      <c r="FTR139" s="15"/>
      <c r="FUG139" s="17"/>
      <c r="FUH139" s="15"/>
      <c r="FUW139" s="17"/>
      <c r="FUX139" s="15"/>
      <c r="FVM139" s="17"/>
      <c r="FVN139" s="15"/>
      <c r="FWC139" s="17"/>
      <c r="FWD139" s="15"/>
      <c r="FWS139" s="17"/>
      <c r="FWT139" s="15"/>
      <c r="FXI139" s="17"/>
      <c r="FXJ139" s="15"/>
      <c r="FXY139" s="17"/>
      <c r="FXZ139" s="15"/>
      <c r="FYO139" s="17"/>
      <c r="FYP139" s="15"/>
      <c r="FZE139" s="17"/>
      <c r="FZF139" s="15"/>
      <c r="FZU139" s="17"/>
      <c r="FZV139" s="15"/>
      <c r="GAK139" s="17"/>
      <c r="GAL139" s="15"/>
      <c r="GBA139" s="17"/>
      <c r="GBB139" s="15"/>
      <c r="GBQ139" s="17"/>
      <c r="GBR139" s="15"/>
      <c r="GCG139" s="17"/>
      <c r="GCH139" s="15"/>
      <c r="GCW139" s="17"/>
      <c r="GCX139" s="15"/>
      <c r="GDM139" s="17"/>
      <c r="GDN139" s="15"/>
      <c r="GEC139" s="17"/>
      <c r="GED139" s="15"/>
      <c r="GES139" s="17"/>
      <c r="GET139" s="15"/>
      <c r="GFI139" s="17"/>
      <c r="GFJ139" s="15"/>
      <c r="GFY139" s="17"/>
      <c r="GFZ139" s="15"/>
      <c r="GGO139" s="17"/>
      <c r="GGP139" s="15"/>
      <c r="GHE139" s="17"/>
      <c r="GHF139" s="15"/>
      <c r="GHU139" s="17"/>
      <c r="GHV139" s="15"/>
      <c r="GIK139" s="17"/>
      <c r="GIL139" s="15"/>
      <c r="GJA139" s="17"/>
      <c r="GJB139" s="15"/>
      <c r="GJQ139" s="17"/>
      <c r="GJR139" s="15"/>
      <c r="GKG139" s="17"/>
      <c r="GKH139" s="15"/>
      <c r="GKW139" s="17"/>
      <c r="GKX139" s="15"/>
      <c r="GLM139" s="17"/>
      <c r="GLN139" s="15"/>
      <c r="GMC139" s="17"/>
      <c r="GMD139" s="15"/>
      <c r="GMS139" s="17"/>
      <c r="GMT139" s="15"/>
      <c r="GNI139" s="17"/>
      <c r="GNJ139" s="15"/>
      <c r="GNY139" s="17"/>
      <c r="GNZ139" s="15"/>
      <c r="GOO139" s="17"/>
      <c r="GOP139" s="15"/>
      <c r="GPE139" s="17"/>
      <c r="GPF139" s="15"/>
      <c r="GPU139" s="17"/>
      <c r="GPV139" s="15"/>
      <c r="GQK139" s="17"/>
      <c r="GQL139" s="15"/>
      <c r="GRA139" s="17"/>
      <c r="GRB139" s="15"/>
      <c r="GRQ139" s="17"/>
      <c r="GRR139" s="15"/>
      <c r="GSG139" s="17"/>
      <c r="GSH139" s="15"/>
      <c r="GSW139" s="17"/>
      <c r="GSX139" s="15"/>
      <c r="GTM139" s="17"/>
      <c r="GTN139" s="15"/>
      <c r="GUC139" s="17"/>
      <c r="GUD139" s="15"/>
      <c r="GUS139" s="17"/>
      <c r="GUT139" s="15"/>
      <c r="GVI139" s="17"/>
      <c r="GVJ139" s="15"/>
      <c r="GVY139" s="17"/>
      <c r="GVZ139" s="15"/>
      <c r="GWO139" s="17"/>
      <c r="GWP139" s="15"/>
      <c r="GXE139" s="17"/>
      <c r="GXF139" s="15"/>
      <c r="GXU139" s="17"/>
      <c r="GXV139" s="15"/>
      <c r="GYK139" s="17"/>
      <c r="GYL139" s="15"/>
      <c r="GZA139" s="17"/>
      <c r="GZB139" s="15"/>
      <c r="GZQ139" s="17"/>
      <c r="GZR139" s="15"/>
      <c r="HAG139" s="17"/>
      <c r="HAH139" s="15"/>
      <c r="HAW139" s="17"/>
      <c r="HAX139" s="15"/>
      <c r="HBM139" s="17"/>
      <c r="HBN139" s="15"/>
      <c r="HCC139" s="17"/>
      <c r="HCD139" s="15"/>
      <c r="HCS139" s="17"/>
      <c r="HCT139" s="15"/>
      <c r="HDI139" s="17"/>
      <c r="HDJ139" s="15"/>
      <c r="HDY139" s="17"/>
      <c r="HDZ139" s="15"/>
      <c r="HEO139" s="17"/>
      <c r="HEP139" s="15"/>
      <c r="HFE139" s="17"/>
      <c r="HFF139" s="15"/>
      <c r="HFU139" s="17"/>
      <c r="HFV139" s="15"/>
      <c r="HGK139" s="17"/>
      <c r="HGL139" s="15"/>
      <c r="HHA139" s="17"/>
      <c r="HHB139" s="15"/>
      <c r="HHQ139" s="17"/>
      <c r="HHR139" s="15"/>
      <c r="HIG139" s="17"/>
      <c r="HIH139" s="15"/>
      <c r="HIW139" s="17"/>
      <c r="HIX139" s="15"/>
      <c r="HJM139" s="17"/>
      <c r="HJN139" s="15"/>
      <c r="HKC139" s="17"/>
      <c r="HKD139" s="15"/>
      <c r="HKS139" s="17"/>
      <c r="HKT139" s="15"/>
      <c r="HLI139" s="17"/>
      <c r="HLJ139" s="15"/>
      <c r="HLY139" s="17"/>
      <c r="HLZ139" s="15"/>
      <c r="HMO139" s="17"/>
      <c r="HMP139" s="15"/>
      <c r="HNE139" s="17"/>
      <c r="HNF139" s="15"/>
      <c r="HNU139" s="17"/>
      <c r="HNV139" s="15"/>
      <c r="HOK139" s="17"/>
      <c r="HOL139" s="15"/>
      <c r="HPA139" s="17"/>
      <c r="HPB139" s="15"/>
      <c r="HPQ139" s="17"/>
      <c r="HPR139" s="15"/>
      <c r="HQG139" s="17"/>
      <c r="HQH139" s="15"/>
      <c r="HQW139" s="17"/>
      <c r="HQX139" s="15"/>
      <c r="HRM139" s="17"/>
      <c r="HRN139" s="15"/>
      <c r="HSC139" s="17"/>
      <c r="HSD139" s="15"/>
      <c r="HSS139" s="17"/>
      <c r="HST139" s="15"/>
      <c r="HTI139" s="17"/>
      <c r="HTJ139" s="15"/>
      <c r="HTY139" s="17"/>
      <c r="HTZ139" s="15"/>
      <c r="HUO139" s="17"/>
      <c r="HUP139" s="15"/>
      <c r="HVE139" s="17"/>
      <c r="HVF139" s="15"/>
      <c r="HVU139" s="17"/>
      <c r="HVV139" s="15"/>
      <c r="HWK139" s="17"/>
      <c r="HWL139" s="15"/>
      <c r="HXA139" s="17"/>
      <c r="HXB139" s="15"/>
      <c r="HXQ139" s="17"/>
      <c r="HXR139" s="15"/>
      <c r="HYG139" s="17"/>
      <c r="HYH139" s="15"/>
      <c r="HYW139" s="17"/>
      <c r="HYX139" s="15"/>
      <c r="HZM139" s="17"/>
      <c r="HZN139" s="15"/>
      <c r="IAC139" s="17"/>
      <c r="IAD139" s="15"/>
      <c r="IAS139" s="17"/>
      <c r="IAT139" s="15"/>
      <c r="IBI139" s="17"/>
      <c r="IBJ139" s="15"/>
      <c r="IBY139" s="17"/>
      <c r="IBZ139" s="15"/>
      <c r="ICO139" s="17"/>
      <c r="ICP139" s="15"/>
      <c r="IDE139" s="17"/>
      <c r="IDF139" s="15"/>
      <c r="IDU139" s="17"/>
      <c r="IDV139" s="15"/>
      <c r="IEK139" s="17"/>
      <c r="IEL139" s="15"/>
      <c r="IFA139" s="17"/>
      <c r="IFB139" s="15"/>
      <c r="IFQ139" s="17"/>
      <c r="IFR139" s="15"/>
      <c r="IGG139" s="17"/>
      <c r="IGH139" s="15"/>
      <c r="IGW139" s="17"/>
      <c r="IGX139" s="15"/>
      <c r="IHM139" s="17"/>
      <c r="IHN139" s="15"/>
      <c r="IIC139" s="17"/>
      <c r="IID139" s="15"/>
      <c r="IIS139" s="17"/>
      <c r="IIT139" s="15"/>
      <c r="IJI139" s="17"/>
      <c r="IJJ139" s="15"/>
      <c r="IJY139" s="17"/>
      <c r="IJZ139" s="15"/>
      <c r="IKO139" s="17"/>
      <c r="IKP139" s="15"/>
      <c r="ILE139" s="17"/>
      <c r="ILF139" s="15"/>
      <c r="ILU139" s="17"/>
      <c r="ILV139" s="15"/>
      <c r="IMK139" s="17"/>
      <c r="IML139" s="15"/>
      <c r="INA139" s="17"/>
      <c r="INB139" s="15"/>
      <c r="INQ139" s="17"/>
      <c r="INR139" s="15"/>
      <c r="IOG139" s="17"/>
      <c r="IOH139" s="15"/>
      <c r="IOW139" s="17"/>
      <c r="IOX139" s="15"/>
      <c r="IPM139" s="17"/>
      <c r="IPN139" s="15"/>
      <c r="IQC139" s="17"/>
      <c r="IQD139" s="15"/>
      <c r="IQS139" s="17"/>
      <c r="IQT139" s="15"/>
      <c r="IRI139" s="17"/>
      <c r="IRJ139" s="15"/>
      <c r="IRY139" s="17"/>
      <c r="IRZ139" s="15"/>
      <c r="ISO139" s="17"/>
      <c r="ISP139" s="15"/>
      <c r="ITE139" s="17"/>
      <c r="ITF139" s="15"/>
      <c r="ITU139" s="17"/>
      <c r="ITV139" s="15"/>
      <c r="IUK139" s="17"/>
      <c r="IUL139" s="15"/>
      <c r="IVA139" s="17"/>
      <c r="IVB139" s="15"/>
      <c r="IVQ139" s="17"/>
      <c r="IVR139" s="15"/>
      <c r="IWG139" s="17"/>
      <c r="IWH139" s="15"/>
      <c r="IWW139" s="17"/>
      <c r="IWX139" s="15"/>
      <c r="IXM139" s="17"/>
      <c r="IXN139" s="15"/>
      <c r="IYC139" s="17"/>
      <c r="IYD139" s="15"/>
      <c r="IYS139" s="17"/>
      <c r="IYT139" s="15"/>
      <c r="IZI139" s="17"/>
      <c r="IZJ139" s="15"/>
      <c r="IZY139" s="17"/>
      <c r="IZZ139" s="15"/>
      <c r="JAO139" s="17"/>
      <c r="JAP139" s="15"/>
      <c r="JBE139" s="17"/>
      <c r="JBF139" s="15"/>
      <c r="JBU139" s="17"/>
      <c r="JBV139" s="15"/>
      <c r="JCK139" s="17"/>
      <c r="JCL139" s="15"/>
      <c r="JDA139" s="17"/>
      <c r="JDB139" s="15"/>
      <c r="JDQ139" s="17"/>
      <c r="JDR139" s="15"/>
      <c r="JEG139" s="17"/>
      <c r="JEH139" s="15"/>
      <c r="JEW139" s="17"/>
      <c r="JEX139" s="15"/>
      <c r="JFM139" s="17"/>
      <c r="JFN139" s="15"/>
      <c r="JGC139" s="17"/>
      <c r="JGD139" s="15"/>
      <c r="JGS139" s="17"/>
      <c r="JGT139" s="15"/>
      <c r="JHI139" s="17"/>
      <c r="JHJ139" s="15"/>
      <c r="JHY139" s="17"/>
      <c r="JHZ139" s="15"/>
      <c r="JIO139" s="17"/>
      <c r="JIP139" s="15"/>
      <c r="JJE139" s="17"/>
      <c r="JJF139" s="15"/>
      <c r="JJU139" s="17"/>
      <c r="JJV139" s="15"/>
      <c r="JKK139" s="17"/>
      <c r="JKL139" s="15"/>
      <c r="JLA139" s="17"/>
      <c r="JLB139" s="15"/>
      <c r="JLQ139" s="17"/>
      <c r="JLR139" s="15"/>
      <c r="JMG139" s="17"/>
      <c r="JMH139" s="15"/>
      <c r="JMW139" s="17"/>
      <c r="JMX139" s="15"/>
      <c r="JNM139" s="17"/>
      <c r="JNN139" s="15"/>
      <c r="JOC139" s="17"/>
      <c r="JOD139" s="15"/>
      <c r="JOS139" s="17"/>
      <c r="JOT139" s="15"/>
      <c r="JPI139" s="17"/>
      <c r="JPJ139" s="15"/>
      <c r="JPY139" s="17"/>
      <c r="JPZ139" s="15"/>
      <c r="JQO139" s="17"/>
      <c r="JQP139" s="15"/>
      <c r="JRE139" s="17"/>
      <c r="JRF139" s="15"/>
      <c r="JRU139" s="17"/>
      <c r="JRV139" s="15"/>
      <c r="JSK139" s="17"/>
      <c r="JSL139" s="15"/>
      <c r="JTA139" s="17"/>
      <c r="JTB139" s="15"/>
      <c r="JTQ139" s="17"/>
      <c r="JTR139" s="15"/>
      <c r="JUG139" s="17"/>
      <c r="JUH139" s="15"/>
      <c r="JUW139" s="17"/>
      <c r="JUX139" s="15"/>
      <c r="JVM139" s="17"/>
      <c r="JVN139" s="15"/>
      <c r="JWC139" s="17"/>
      <c r="JWD139" s="15"/>
      <c r="JWS139" s="17"/>
      <c r="JWT139" s="15"/>
      <c r="JXI139" s="17"/>
      <c r="JXJ139" s="15"/>
      <c r="JXY139" s="17"/>
      <c r="JXZ139" s="15"/>
      <c r="JYO139" s="17"/>
      <c r="JYP139" s="15"/>
      <c r="JZE139" s="17"/>
      <c r="JZF139" s="15"/>
      <c r="JZU139" s="17"/>
      <c r="JZV139" s="15"/>
      <c r="KAK139" s="17"/>
      <c r="KAL139" s="15"/>
      <c r="KBA139" s="17"/>
      <c r="KBB139" s="15"/>
      <c r="KBQ139" s="17"/>
      <c r="KBR139" s="15"/>
      <c r="KCG139" s="17"/>
      <c r="KCH139" s="15"/>
      <c r="KCW139" s="17"/>
      <c r="KCX139" s="15"/>
      <c r="KDM139" s="17"/>
      <c r="KDN139" s="15"/>
      <c r="KEC139" s="17"/>
      <c r="KED139" s="15"/>
      <c r="KES139" s="17"/>
      <c r="KET139" s="15"/>
      <c r="KFI139" s="17"/>
      <c r="KFJ139" s="15"/>
      <c r="KFY139" s="17"/>
      <c r="KFZ139" s="15"/>
      <c r="KGO139" s="17"/>
      <c r="KGP139" s="15"/>
      <c r="KHE139" s="17"/>
      <c r="KHF139" s="15"/>
      <c r="KHU139" s="17"/>
      <c r="KHV139" s="15"/>
      <c r="KIK139" s="17"/>
      <c r="KIL139" s="15"/>
      <c r="KJA139" s="17"/>
      <c r="KJB139" s="15"/>
      <c r="KJQ139" s="17"/>
      <c r="KJR139" s="15"/>
      <c r="KKG139" s="17"/>
      <c r="KKH139" s="15"/>
      <c r="KKW139" s="17"/>
      <c r="KKX139" s="15"/>
      <c r="KLM139" s="17"/>
      <c r="KLN139" s="15"/>
      <c r="KMC139" s="17"/>
      <c r="KMD139" s="15"/>
      <c r="KMS139" s="17"/>
      <c r="KMT139" s="15"/>
      <c r="KNI139" s="17"/>
      <c r="KNJ139" s="15"/>
      <c r="KNY139" s="17"/>
      <c r="KNZ139" s="15"/>
      <c r="KOO139" s="17"/>
      <c r="KOP139" s="15"/>
      <c r="KPE139" s="17"/>
      <c r="KPF139" s="15"/>
      <c r="KPU139" s="17"/>
      <c r="KPV139" s="15"/>
      <c r="KQK139" s="17"/>
      <c r="KQL139" s="15"/>
      <c r="KRA139" s="17"/>
      <c r="KRB139" s="15"/>
      <c r="KRQ139" s="17"/>
      <c r="KRR139" s="15"/>
      <c r="KSG139" s="17"/>
      <c r="KSH139" s="15"/>
      <c r="KSW139" s="17"/>
      <c r="KSX139" s="15"/>
      <c r="KTM139" s="17"/>
      <c r="KTN139" s="15"/>
      <c r="KUC139" s="17"/>
      <c r="KUD139" s="15"/>
      <c r="KUS139" s="17"/>
      <c r="KUT139" s="15"/>
      <c r="KVI139" s="17"/>
      <c r="KVJ139" s="15"/>
      <c r="KVY139" s="17"/>
      <c r="KVZ139" s="15"/>
      <c r="KWO139" s="17"/>
      <c r="KWP139" s="15"/>
      <c r="KXE139" s="17"/>
      <c r="KXF139" s="15"/>
      <c r="KXU139" s="17"/>
      <c r="KXV139" s="15"/>
      <c r="KYK139" s="17"/>
      <c r="KYL139" s="15"/>
      <c r="KZA139" s="17"/>
      <c r="KZB139" s="15"/>
      <c r="KZQ139" s="17"/>
      <c r="KZR139" s="15"/>
      <c r="LAG139" s="17"/>
      <c r="LAH139" s="15"/>
      <c r="LAW139" s="17"/>
      <c r="LAX139" s="15"/>
      <c r="LBM139" s="17"/>
      <c r="LBN139" s="15"/>
      <c r="LCC139" s="17"/>
      <c r="LCD139" s="15"/>
      <c r="LCS139" s="17"/>
      <c r="LCT139" s="15"/>
      <c r="LDI139" s="17"/>
      <c r="LDJ139" s="15"/>
      <c r="LDY139" s="17"/>
      <c r="LDZ139" s="15"/>
      <c r="LEO139" s="17"/>
      <c r="LEP139" s="15"/>
      <c r="LFE139" s="17"/>
      <c r="LFF139" s="15"/>
      <c r="LFU139" s="17"/>
      <c r="LFV139" s="15"/>
      <c r="LGK139" s="17"/>
      <c r="LGL139" s="15"/>
      <c r="LHA139" s="17"/>
      <c r="LHB139" s="15"/>
      <c r="LHQ139" s="17"/>
      <c r="LHR139" s="15"/>
      <c r="LIG139" s="17"/>
      <c r="LIH139" s="15"/>
      <c r="LIW139" s="17"/>
      <c r="LIX139" s="15"/>
      <c r="LJM139" s="17"/>
      <c r="LJN139" s="15"/>
      <c r="LKC139" s="17"/>
      <c r="LKD139" s="15"/>
      <c r="LKS139" s="17"/>
      <c r="LKT139" s="15"/>
      <c r="LLI139" s="17"/>
      <c r="LLJ139" s="15"/>
      <c r="LLY139" s="17"/>
      <c r="LLZ139" s="15"/>
      <c r="LMO139" s="17"/>
      <c r="LMP139" s="15"/>
      <c r="LNE139" s="17"/>
      <c r="LNF139" s="15"/>
      <c r="LNU139" s="17"/>
      <c r="LNV139" s="15"/>
      <c r="LOK139" s="17"/>
      <c r="LOL139" s="15"/>
      <c r="LPA139" s="17"/>
      <c r="LPB139" s="15"/>
      <c r="LPQ139" s="17"/>
      <c r="LPR139" s="15"/>
      <c r="LQG139" s="17"/>
      <c r="LQH139" s="15"/>
      <c r="LQW139" s="17"/>
      <c r="LQX139" s="15"/>
      <c r="LRM139" s="17"/>
      <c r="LRN139" s="15"/>
      <c r="LSC139" s="17"/>
      <c r="LSD139" s="15"/>
      <c r="LSS139" s="17"/>
      <c r="LST139" s="15"/>
      <c r="LTI139" s="17"/>
      <c r="LTJ139" s="15"/>
      <c r="LTY139" s="17"/>
      <c r="LTZ139" s="15"/>
      <c r="LUO139" s="17"/>
      <c r="LUP139" s="15"/>
      <c r="LVE139" s="17"/>
      <c r="LVF139" s="15"/>
      <c r="LVU139" s="17"/>
      <c r="LVV139" s="15"/>
      <c r="LWK139" s="17"/>
      <c r="LWL139" s="15"/>
      <c r="LXA139" s="17"/>
      <c r="LXB139" s="15"/>
      <c r="LXQ139" s="17"/>
      <c r="LXR139" s="15"/>
      <c r="LYG139" s="17"/>
      <c r="LYH139" s="15"/>
      <c r="LYW139" s="17"/>
      <c r="LYX139" s="15"/>
      <c r="LZM139" s="17"/>
      <c r="LZN139" s="15"/>
      <c r="MAC139" s="17"/>
      <c r="MAD139" s="15"/>
      <c r="MAS139" s="17"/>
      <c r="MAT139" s="15"/>
      <c r="MBI139" s="17"/>
      <c r="MBJ139" s="15"/>
      <c r="MBY139" s="17"/>
      <c r="MBZ139" s="15"/>
      <c r="MCO139" s="17"/>
      <c r="MCP139" s="15"/>
      <c r="MDE139" s="17"/>
      <c r="MDF139" s="15"/>
      <c r="MDU139" s="17"/>
      <c r="MDV139" s="15"/>
      <c r="MEK139" s="17"/>
      <c r="MEL139" s="15"/>
      <c r="MFA139" s="17"/>
      <c r="MFB139" s="15"/>
      <c r="MFQ139" s="17"/>
      <c r="MFR139" s="15"/>
      <c r="MGG139" s="17"/>
      <c r="MGH139" s="15"/>
      <c r="MGW139" s="17"/>
      <c r="MGX139" s="15"/>
      <c r="MHM139" s="17"/>
      <c r="MHN139" s="15"/>
      <c r="MIC139" s="17"/>
      <c r="MID139" s="15"/>
      <c r="MIS139" s="17"/>
      <c r="MIT139" s="15"/>
      <c r="MJI139" s="17"/>
      <c r="MJJ139" s="15"/>
      <c r="MJY139" s="17"/>
      <c r="MJZ139" s="15"/>
      <c r="MKO139" s="17"/>
      <c r="MKP139" s="15"/>
      <c r="MLE139" s="17"/>
      <c r="MLF139" s="15"/>
      <c r="MLU139" s="17"/>
      <c r="MLV139" s="15"/>
      <c r="MMK139" s="17"/>
      <c r="MML139" s="15"/>
      <c r="MNA139" s="17"/>
      <c r="MNB139" s="15"/>
      <c r="MNQ139" s="17"/>
      <c r="MNR139" s="15"/>
      <c r="MOG139" s="17"/>
      <c r="MOH139" s="15"/>
      <c r="MOW139" s="17"/>
      <c r="MOX139" s="15"/>
      <c r="MPM139" s="17"/>
      <c r="MPN139" s="15"/>
      <c r="MQC139" s="17"/>
      <c r="MQD139" s="15"/>
      <c r="MQS139" s="17"/>
      <c r="MQT139" s="15"/>
      <c r="MRI139" s="17"/>
      <c r="MRJ139" s="15"/>
      <c r="MRY139" s="17"/>
      <c r="MRZ139" s="15"/>
      <c r="MSO139" s="17"/>
      <c r="MSP139" s="15"/>
      <c r="MTE139" s="17"/>
      <c r="MTF139" s="15"/>
      <c r="MTU139" s="17"/>
      <c r="MTV139" s="15"/>
      <c r="MUK139" s="17"/>
      <c r="MUL139" s="15"/>
      <c r="MVA139" s="17"/>
      <c r="MVB139" s="15"/>
      <c r="MVQ139" s="17"/>
      <c r="MVR139" s="15"/>
      <c r="MWG139" s="17"/>
      <c r="MWH139" s="15"/>
      <c r="MWW139" s="17"/>
      <c r="MWX139" s="15"/>
      <c r="MXM139" s="17"/>
      <c r="MXN139" s="15"/>
      <c r="MYC139" s="17"/>
      <c r="MYD139" s="15"/>
      <c r="MYS139" s="17"/>
      <c r="MYT139" s="15"/>
      <c r="MZI139" s="17"/>
      <c r="MZJ139" s="15"/>
      <c r="MZY139" s="17"/>
      <c r="MZZ139" s="15"/>
      <c r="NAO139" s="17"/>
      <c r="NAP139" s="15"/>
      <c r="NBE139" s="17"/>
      <c r="NBF139" s="15"/>
      <c r="NBU139" s="17"/>
      <c r="NBV139" s="15"/>
      <c r="NCK139" s="17"/>
      <c r="NCL139" s="15"/>
      <c r="NDA139" s="17"/>
      <c r="NDB139" s="15"/>
      <c r="NDQ139" s="17"/>
      <c r="NDR139" s="15"/>
      <c r="NEG139" s="17"/>
      <c r="NEH139" s="15"/>
      <c r="NEW139" s="17"/>
      <c r="NEX139" s="15"/>
      <c r="NFM139" s="17"/>
      <c r="NFN139" s="15"/>
      <c r="NGC139" s="17"/>
      <c r="NGD139" s="15"/>
      <c r="NGS139" s="17"/>
      <c r="NGT139" s="15"/>
      <c r="NHI139" s="17"/>
      <c r="NHJ139" s="15"/>
      <c r="NHY139" s="17"/>
      <c r="NHZ139" s="15"/>
      <c r="NIO139" s="17"/>
      <c r="NIP139" s="15"/>
      <c r="NJE139" s="17"/>
      <c r="NJF139" s="15"/>
      <c r="NJU139" s="17"/>
      <c r="NJV139" s="15"/>
      <c r="NKK139" s="17"/>
      <c r="NKL139" s="15"/>
      <c r="NLA139" s="17"/>
      <c r="NLB139" s="15"/>
      <c r="NLQ139" s="17"/>
      <c r="NLR139" s="15"/>
      <c r="NMG139" s="17"/>
      <c r="NMH139" s="15"/>
      <c r="NMW139" s="17"/>
      <c r="NMX139" s="15"/>
      <c r="NNM139" s="17"/>
      <c r="NNN139" s="15"/>
      <c r="NOC139" s="17"/>
      <c r="NOD139" s="15"/>
      <c r="NOS139" s="17"/>
      <c r="NOT139" s="15"/>
      <c r="NPI139" s="17"/>
      <c r="NPJ139" s="15"/>
      <c r="NPY139" s="17"/>
      <c r="NPZ139" s="15"/>
      <c r="NQO139" s="17"/>
      <c r="NQP139" s="15"/>
      <c r="NRE139" s="17"/>
      <c r="NRF139" s="15"/>
      <c r="NRU139" s="17"/>
      <c r="NRV139" s="15"/>
      <c r="NSK139" s="17"/>
      <c r="NSL139" s="15"/>
      <c r="NTA139" s="17"/>
      <c r="NTB139" s="15"/>
      <c r="NTQ139" s="17"/>
      <c r="NTR139" s="15"/>
      <c r="NUG139" s="17"/>
      <c r="NUH139" s="15"/>
      <c r="NUW139" s="17"/>
      <c r="NUX139" s="15"/>
      <c r="NVM139" s="17"/>
      <c r="NVN139" s="15"/>
      <c r="NWC139" s="17"/>
      <c r="NWD139" s="15"/>
      <c r="NWS139" s="17"/>
      <c r="NWT139" s="15"/>
      <c r="NXI139" s="17"/>
      <c r="NXJ139" s="15"/>
      <c r="NXY139" s="17"/>
      <c r="NXZ139" s="15"/>
      <c r="NYO139" s="17"/>
      <c r="NYP139" s="15"/>
      <c r="NZE139" s="17"/>
      <c r="NZF139" s="15"/>
      <c r="NZU139" s="17"/>
      <c r="NZV139" s="15"/>
      <c r="OAK139" s="17"/>
      <c r="OAL139" s="15"/>
      <c r="OBA139" s="17"/>
      <c r="OBB139" s="15"/>
      <c r="OBQ139" s="17"/>
      <c r="OBR139" s="15"/>
      <c r="OCG139" s="17"/>
      <c r="OCH139" s="15"/>
      <c r="OCW139" s="17"/>
      <c r="OCX139" s="15"/>
      <c r="ODM139" s="17"/>
      <c r="ODN139" s="15"/>
      <c r="OEC139" s="17"/>
      <c r="OED139" s="15"/>
      <c r="OES139" s="17"/>
      <c r="OET139" s="15"/>
      <c r="OFI139" s="17"/>
      <c r="OFJ139" s="15"/>
      <c r="OFY139" s="17"/>
      <c r="OFZ139" s="15"/>
      <c r="OGO139" s="17"/>
      <c r="OGP139" s="15"/>
      <c r="OHE139" s="17"/>
      <c r="OHF139" s="15"/>
      <c r="OHU139" s="17"/>
      <c r="OHV139" s="15"/>
      <c r="OIK139" s="17"/>
      <c r="OIL139" s="15"/>
      <c r="OJA139" s="17"/>
      <c r="OJB139" s="15"/>
      <c r="OJQ139" s="17"/>
      <c r="OJR139" s="15"/>
      <c r="OKG139" s="17"/>
      <c r="OKH139" s="15"/>
      <c r="OKW139" s="17"/>
      <c r="OKX139" s="15"/>
      <c r="OLM139" s="17"/>
      <c r="OLN139" s="15"/>
      <c r="OMC139" s="17"/>
      <c r="OMD139" s="15"/>
      <c r="OMS139" s="17"/>
      <c r="OMT139" s="15"/>
      <c r="ONI139" s="17"/>
      <c r="ONJ139" s="15"/>
      <c r="ONY139" s="17"/>
      <c r="ONZ139" s="15"/>
      <c r="OOO139" s="17"/>
      <c r="OOP139" s="15"/>
      <c r="OPE139" s="17"/>
      <c r="OPF139" s="15"/>
      <c r="OPU139" s="17"/>
      <c r="OPV139" s="15"/>
      <c r="OQK139" s="17"/>
      <c r="OQL139" s="15"/>
      <c r="ORA139" s="17"/>
      <c r="ORB139" s="15"/>
      <c r="ORQ139" s="17"/>
      <c r="ORR139" s="15"/>
      <c r="OSG139" s="17"/>
      <c r="OSH139" s="15"/>
      <c r="OSW139" s="17"/>
      <c r="OSX139" s="15"/>
      <c r="OTM139" s="17"/>
      <c r="OTN139" s="15"/>
      <c r="OUC139" s="17"/>
      <c r="OUD139" s="15"/>
      <c r="OUS139" s="17"/>
      <c r="OUT139" s="15"/>
      <c r="OVI139" s="17"/>
      <c r="OVJ139" s="15"/>
      <c r="OVY139" s="17"/>
      <c r="OVZ139" s="15"/>
      <c r="OWO139" s="17"/>
      <c r="OWP139" s="15"/>
      <c r="OXE139" s="17"/>
      <c r="OXF139" s="15"/>
      <c r="OXU139" s="17"/>
      <c r="OXV139" s="15"/>
      <c r="OYK139" s="17"/>
      <c r="OYL139" s="15"/>
      <c r="OZA139" s="17"/>
      <c r="OZB139" s="15"/>
      <c r="OZQ139" s="17"/>
      <c r="OZR139" s="15"/>
      <c r="PAG139" s="17"/>
      <c r="PAH139" s="15"/>
      <c r="PAW139" s="17"/>
      <c r="PAX139" s="15"/>
      <c r="PBM139" s="17"/>
      <c r="PBN139" s="15"/>
      <c r="PCC139" s="17"/>
      <c r="PCD139" s="15"/>
      <c r="PCS139" s="17"/>
      <c r="PCT139" s="15"/>
      <c r="PDI139" s="17"/>
      <c r="PDJ139" s="15"/>
      <c r="PDY139" s="17"/>
      <c r="PDZ139" s="15"/>
      <c r="PEO139" s="17"/>
      <c r="PEP139" s="15"/>
      <c r="PFE139" s="17"/>
      <c r="PFF139" s="15"/>
      <c r="PFU139" s="17"/>
      <c r="PFV139" s="15"/>
      <c r="PGK139" s="17"/>
      <c r="PGL139" s="15"/>
      <c r="PHA139" s="17"/>
      <c r="PHB139" s="15"/>
      <c r="PHQ139" s="17"/>
      <c r="PHR139" s="15"/>
      <c r="PIG139" s="17"/>
      <c r="PIH139" s="15"/>
      <c r="PIW139" s="17"/>
      <c r="PIX139" s="15"/>
      <c r="PJM139" s="17"/>
      <c r="PJN139" s="15"/>
      <c r="PKC139" s="17"/>
      <c r="PKD139" s="15"/>
      <c r="PKS139" s="17"/>
      <c r="PKT139" s="15"/>
      <c r="PLI139" s="17"/>
      <c r="PLJ139" s="15"/>
      <c r="PLY139" s="17"/>
      <c r="PLZ139" s="15"/>
      <c r="PMO139" s="17"/>
      <c r="PMP139" s="15"/>
      <c r="PNE139" s="17"/>
      <c r="PNF139" s="15"/>
      <c r="PNU139" s="17"/>
      <c r="PNV139" s="15"/>
      <c r="POK139" s="17"/>
      <c r="POL139" s="15"/>
      <c r="PPA139" s="17"/>
      <c r="PPB139" s="15"/>
      <c r="PPQ139" s="17"/>
      <c r="PPR139" s="15"/>
      <c r="PQG139" s="17"/>
      <c r="PQH139" s="15"/>
      <c r="PQW139" s="17"/>
      <c r="PQX139" s="15"/>
      <c r="PRM139" s="17"/>
      <c r="PRN139" s="15"/>
      <c r="PSC139" s="17"/>
      <c r="PSD139" s="15"/>
      <c r="PSS139" s="17"/>
      <c r="PST139" s="15"/>
      <c r="PTI139" s="17"/>
      <c r="PTJ139" s="15"/>
      <c r="PTY139" s="17"/>
      <c r="PTZ139" s="15"/>
      <c r="PUO139" s="17"/>
      <c r="PUP139" s="15"/>
      <c r="PVE139" s="17"/>
      <c r="PVF139" s="15"/>
      <c r="PVU139" s="17"/>
      <c r="PVV139" s="15"/>
      <c r="PWK139" s="17"/>
      <c r="PWL139" s="15"/>
      <c r="PXA139" s="17"/>
      <c r="PXB139" s="15"/>
      <c r="PXQ139" s="17"/>
      <c r="PXR139" s="15"/>
      <c r="PYG139" s="17"/>
      <c r="PYH139" s="15"/>
      <c r="PYW139" s="17"/>
      <c r="PYX139" s="15"/>
      <c r="PZM139" s="17"/>
      <c r="PZN139" s="15"/>
      <c r="QAC139" s="17"/>
      <c r="QAD139" s="15"/>
      <c r="QAS139" s="17"/>
      <c r="QAT139" s="15"/>
      <c r="QBI139" s="17"/>
      <c r="QBJ139" s="15"/>
      <c r="QBY139" s="17"/>
      <c r="QBZ139" s="15"/>
      <c r="QCO139" s="17"/>
      <c r="QCP139" s="15"/>
      <c r="QDE139" s="17"/>
      <c r="QDF139" s="15"/>
      <c r="QDU139" s="17"/>
      <c r="QDV139" s="15"/>
      <c r="QEK139" s="17"/>
      <c r="QEL139" s="15"/>
      <c r="QFA139" s="17"/>
      <c r="QFB139" s="15"/>
      <c r="QFQ139" s="17"/>
      <c r="QFR139" s="15"/>
      <c r="QGG139" s="17"/>
      <c r="QGH139" s="15"/>
      <c r="QGW139" s="17"/>
      <c r="QGX139" s="15"/>
      <c r="QHM139" s="17"/>
      <c r="QHN139" s="15"/>
      <c r="QIC139" s="17"/>
      <c r="QID139" s="15"/>
      <c r="QIS139" s="17"/>
      <c r="QIT139" s="15"/>
      <c r="QJI139" s="17"/>
      <c r="QJJ139" s="15"/>
      <c r="QJY139" s="17"/>
      <c r="QJZ139" s="15"/>
      <c r="QKO139" s="17"/>
      <c r="QKP139" s="15"/>
      <c r="QLE139" s="17"/>
      <c r="QLF139" s="15"/>
      <c r="QLU139" s="17"/>
      <c r="QLV139" s="15"/>
      <c r="QMK139" s="17"/>
      <c r="QML139" s="15"/>
      <c r="QNA139" s="17"/>
      <c r="QNB139" s="15"/>
      <c r="QNQ139" s="17"/>
      <c r="QNR139" s="15"/>
      <c r="QOG139" s="17"/>
      <c r="QOH139" s="15"/>
      <c r="QOW139" s="17"/>
      <c r="QOX139" s="15"/>
      <c r="QPM139" s="17"/>
      <c r="QPN139" s="15"/>
      <c r="QQC139" s="17"/>
      <c r="QQD139" s="15"/>
      <c r="QQS139" s="17"/>
      <c r="QQT139" s="15"/>
      <c r="QRI139" s="17"/>
      <c r="QRJ139" s="15"/>
      <c r="QRY139" s="17"/>
      <c r="QRZ139" s="15"/>
      <c r="QSO139" s="17"/>
      <c r="QSP139" s="15"/>
      <c r="QTE139" s="17"/>
      <c r="QTF139" s="15"/>
      <c r="QTU139" s="17"/>
      <c r="QTV139" s="15"/>
      <c r="QUK139" s="17"/>
      <c r="QUL139" s="15"/>
      <c r="QVA139" s="17"/>
      <c r="QVB139" s="15"/>
      <c r="QVQ139" s="17"/>
      <c r="QVR139" s="15"/>
      <c r="QWG139" s="17"/>
      <c r="QWH139" s="15"/>
      <c r="QWW139" s="17"/>
      <c r="QWX139" s="15"/>
      <c r="QXM139" s="17"/>
      <c r="QXN139" s="15"/>
      <c r="QYC139" s="17"/>
      <c r="QYD139" s="15"/>
      <c r="QYS139" s="17"/>
      <c r="QYT139" s="15"/>
      <c r="QZI139" s="17"/>
      <c r="QZJ139" s="15"/>
      <c r="QZY139" s="17"/>
      <c r="QZZ139" s="15"/>
      <c r="RAO139" s="17"/>
      <c r="RAP139" s="15"/>
      <c r="RBE139" s="17"/>
      <c r="RBF139" s="15"/>
      <c r="RBU139" s="17"/>
      <c r="RBV139" s="15"/>
      <c r="RCK139" s="17"/>
      <c r="RCL139" s="15"/>
      <c r="RDA139" s="17"/>
      <c r="RDB139" s="15"/>
      <c r="RDQ139" s="17"/>
      <c r="RDR139" s="15"/>
      <c r="REG139" s="17"/>
      <c r="REH139" s="15"/>
      <c r="REW139" s="17"/>
      <c r="REX139" s="15"/>
      <c r="RFM139" s="17"/>
      <c r="RFN139" s="15"/>
      <c r="RGC139" s="17"/>
      <c r="RGD139" s="15"/>
      <c r="RGS139" s="17"/>
      <c r="RGT139" s="15"/>
      <c r="RHI139" s="17"/>
      <c r="RHJ139" s="15"/>
      <c r="RHY139" s="17"/>
      <c r="RHZ139" s="15"/>
      <c r="RIO139" s="17"/>
      <c r="RIP139" s="15"/>
      <c r="RJE139" s="17"/>
      <c r="RJF139" s="15"/>
      <c r="RJU139" s="17"/>
      <c r="RJV139" s="15"/>
      <c r="RKK139" s="17"/>
      <c r="RKL139" s="15"/>
      <c r="RLA139" s="17"/>
      <c r="RLB139" s="15"/>
      <c r="RLQ139" s="17"/>
      <c r="RLR139" s="15"/>
      <c r="RMG139" s="17"/>
      <c r="RMH139" s="15"/>
      <c r="RMW139" s="17"/>
      <c r="RMX139" s="15"/>
      <c r="RNM139" s="17"/>
      <c r="RNN139" s="15"/>
      <c r="ROC139" s="17"/>
      <c r="ROD139" s="15"/>
      <c r="ROS139" s="17"/>
      <c r="ROT139" s="15"/>
      <c r="RPI139" s="17"/>
      <c r="RPJ139" s="15"/>
      <c r="RPY139" s="17"/>
      <c r="RPZ139" s="15"/>
      <c r="RQO139" s="17"/>
      <c r="RQP139" s="15"/>
      <c r="RRE139" s="17"/>
      <c r="RRF139" s="15"/>
      <c r="RRU139" s="17"/>
      <c r="RRV139" s="15"/>
      <c r="RSK139" s="17"/>
      <c r="RSL139" s="15"/>
      <c r="RTA139" s="17"/>
      <c r="RTB139" s="15"/>
      <c r="RTQ139" s="17"/>
      <c r="RTR139" s="15"/>
      <c r="RUG139" s="17"/>
      <c r="RUH139" s="15"/>
      <c r="RUW139" s="17"/>
      <c r="RUX139" s="15"/>
      <c r="RVM139" s="17"/>
      <c r="RVN139" s="15"/>
      <c r="RWC139" s="17"/>
      <c r="RWD139" s="15"/>
      <c r="RWS139" s="17"/>
      <c r="RWT139" s="15"/>
      <c r="RXI139" s="17"/>
      <c r="RXJ139" s="15"/>
      <c r="RXY139" s="17"/>
      <c r="RXZ139" s="15"/>
      <c r="RYO139" s="17"/>
      <c r="RYP139" s="15"/>
      <c r="RZE139" s="17"/>
      <c r="RZF139" s="15"/>
      <c r="RZU139" s="17"/>
      <c r="RZV139" s="15"/>
      <c r="SAK139" s="17"/>
      <c r="SAL139" s="15"/>
      <c r="SBA139" s="17"/>
      <c r="SBB139" s="15"/>
      <c r="SBQ139" s="17"/>
      <c r="SBR139" s="15"/>
      <c r="SCG139" s="17"/>
      <c r="SCH139" s="15"/>
      <c r="SCW139" s="17"/>
      <c r="SCX139" s="15"/>
      <c r="SDM139" s="17"/>
      <c r="SDN139" s="15"/>
      <c r="SEC139" s="17"/>
      <c r="SED139" s="15"/>
      <c r="SES139" s="17"/>
      <c r="SET139" s="15"/>
      <c r="SFI139" s="17"/>
      <c r="SFJ139" s="15"/>
      <c r="SFY139" s="17"/>
      <c r="SFZ139" s="15"/>
      <c r="SGO139" s="17"/>
      <c r="SGP139" s="15"/>
      <c r="SHE139" s="17"/>
      <c r="SHF139" s="15"/>
      <c r="SHU139" s="17"/>
      <c r="SHV139" s="15"/>
      <c r="SIK139" s="17"/>
      <c r="SIL139" s="15"/>
      <c r="SJA139" s="17"/>
      <c r="SJB139" s="15"/>
      <c r="SJQ139" s="17"/>
      <c r="SJR139" s="15"/>
      <c r="SKG139" s="17"/>
      <c r="SKH139" s="15"/>
      <c r="SKW139" s="17"/>
      <c r="SKX139" s="15"/>
      <c r="SLM139" s="17"/>
      <c r="SLN139" s="15"/>
      <c r="SMC139" s="17"/>
      <c r="SMD139" s="15"/>
      <c r="SMS139" s="17"/>
      <c r="SMT139" s="15"/>
      <c r="SNI139" s="17"/>
      <c r="SNJ139" s="15"/>
      <c r="SNY139" s="17"/>
      <c r="SNZ139" s="15"/>
      <c r="SOO139" s="17"/>
      <c r="SOP139" s="15"/>
      <c r="SPE139" s="17"/>
      <c r="SPF139" s="15"/>
      <c r="SPU139" s="17"/>
      <c r="SPV139" s="15"/>
      <c r="SQK139" s="17"/>
      <c r="SQL139" s="15"/>
      <c r="SRA139" s="17"/>
      <c r="SRB139" s="15"/>
      <c r="SRQ139" s="17"/>
      <c r="SRR139" s="15"/>
      <c r="SSG139" s="17"/>
      <c r="SSH139" s="15"/>
      <c r="SSW139" s="17"/>
      <c r="SSX139" s="15"/>
      <c r="STM139" s="17"/>
      <c r="STN139" s="15"/>
      <c r="SUC139" s="17"/>
      <c r="SUD139" s="15"/>
      <c r="SUS139" s="17"/>
      <c r="SUT139" s="15"/>
      <c r="SVI139" s="17"/>
      <c r="SVJ139" s="15"/>
      <c r="SVY139" s="17"/>
      <c r="SVZ139" s="15"/>
      <c r="SWO139" s="17"/>
      <c r="SWP139" s="15"/>
      <c r="SXE139" s="17"/>
      <c r="SXF139" s="15"/>
      <c r="SXU139" s="17"/>
      <c r="SXV139" s="15"/>
      <c r="SYK139" s="17"/>
      <c r="SYL139" s="15"/>
      <c r="SZA139" s="17"/>
      <c r="SZB139" s="15"/>
      <c r="SZQ139" s="17"/>
      <c r="SZR139" s="15"/>
      <c r="TAG139" s="17"/>
      <c r="TAH139" s="15"/>
      <c r="TAW139" s="17"/>
      <c r="TAX139" s="15"/>
      <c r="TBM139" s="17"/>
      <c r="TBN139" s="15"/>
      <c r="TCC139" s="17"/>
      <c r="TCD139" s="15"/>
      <c r="TCS139" s="17"/>
      <c r="TCT139" s="15"/>
      <c r="TDI139" s="17"/>
      <c r="TDJ139" s="15"/>
      <c r="TDY139" s="17"/>
      <c r="TDZ139" s="15"/>
      <c r="TEO139" s="17"/>
      <c r="TEP139" s="15"/>
      <c r="TFE139" s="17"/>
      <c r="TFF139" s="15"/>
      <c r="TFU139" s="17"/>
      <c r="TFV139" s="15"/>
      <c r="TGK139" s="17"/>
      <c r="TGL139" s="15"/>
      <c r="THA139" s="17"/>
      <c r="THB139" s="15"/>
      <c r="THQ139" s="17"/>
      <c r="THR139" s="15"/>
      <c r="TIG139" s="17"/>
      <c r="TIH139" s="15"/>
      <c r="TIW139" s="17"/>
      <c r="TIX139" s="15"/>
      <c r="TJM139" s="17"/>
      <c r="TJN139" s="15"/>
      <c r="TKC139" s="17"/>
      <c r="TKD139" s="15"/>
      <c r="TKS139" s="17"/>
      <c r="TKT139" s="15"/>
      <c r="TLI139" s="17"/>
      <c r="TLJ139" s="15"/>
      <c r="TLY139" s="17"/>
      <c r="TLZ139" s="15"/>
      <c r="TMO139" s="17"/>
      <c r="TMP139" s="15"/>
      <c r="TNE139" s="17"/>
      <c r="TNF139" s="15"/>
      <c r="TNU139" s="17"/>
      <c r="TNV139" s="15"/>
      <c r="TOK139" s="17"/>
      <c r="TOL139" s="15"/>
      <c r="TPA139" s="17"/>
      <c r="TPB139" s="15"/>
      <c r="TPQ139" s="17"/>
      <c r="TPR139" s="15"/>
      <c r="TQG139" s="17"/>
      <c r="TQH139" s="15"/>
      <c r="TQW139" s="17"/>
      <c r="TQX139" s="15"/>
      <c r="TRM139" s="17"/>
      <c r="TRN139" s="15"/>
      <c r="TSC139" s="17"/>
      <c r="TSD139" s="15"/>
      <c r="TSS139" s="17"/>
      <c r="TST139" s="15"/>
      <c r="TTI139" s="17"/>
      <c r="TTJ139" s="15"/>
      <c r="TTY139" s="17"/>
      <c r="TTZ139" s="15"/>
      <c r="TUO139" s="17"/>
      <c r="TUP139" s="15"/>
      <c r="TVE139" s="17"/>
      <c r="TVF139" s="15"/>
      <c r="TVU139" s="17"/>
      <c r="TVV139" s="15"/>
      <c r="TWK139" s="17"/>
      <c r="TWL139" s="15"/>
      <c r="TXA139" s="17"/>
      <c r="TXB139" s="15"/>
      <c r="TXQ139" s="17"/>
      <c r="TXR139" s="15"/>
      <c r="TYG139" s="17"/>
      <c r="TYH139" s="15"/>
      <c r="TYW139" s="17"/>
      <c r="TYX139" s="15"/>
      <c r="TZM139" s="17"/>
      <c r="TZN139" s="15"/>
      <c r="UAC139" s="17"/>
      <c r="UAD139" s="15"/>
      <c r="UAS139" s="17"/>
      <c r="UAT139" s="15"/>
      <c r="UBI139" s="17"/>
      <c r="UBJ139" s="15"/>
      <c r="UBY139" s="17"/>
      <c r="UBZ139" s="15"/>
      <c r="UCO139" s="17"/>
      <c r="UCP139" s="15"/>
      <c r="UDE139" s="17"/>
      <c r="UDF139" s="15"/>
      <c r="UDU139" s="17"/>
      <c r="UDV139" s="15"/>
      <c r="UEK139" s="17"/>
      <c r="UEL139" s="15"/>
      <c r="UFA139" s="17"/>
      <c r="UFB139" s="15"/>
      <c r="UFQ139" s="17"/>
      <c r="UFR139" s="15"/>
      <c r="UGG139" s="17"/>
      <c r="UGH139" s="15"/>
      <c r="UGW139" s="17"/>
      <c r="UGX139" s="15"/>
      <c r="UHM139" s="17"/>
      <c r="UHN139" s="15"/>
      <c r="UIC139" s="17"/>
      <c r="UID139" s="15"/>
      <c r="UIS139" s="17"/>
      <c r="UIT139" s="15"/>
      <c r="UJI139" s="17"/>
      <c r="UJJ139" s="15"/>
      <c r="UJY139" s="17"/>
      <c r="UJZ139" s="15"/>
      <c r="UKO139" s="17"/>
      <c r="UKP139" s="15"/>
      <c r="ULE139" s="17"/>
      <c r="ULF139" s="15"/>
      <c r="ULU139" s="17"/>
      <c r="ULV139" s="15"/>
      <c r="UMK139" s="17"/>
      <c r="UML139" s="15"/>
      <c r="UNA139" s="17"/>
      <c r="UNB139" s="15"/>
      <c r="UNQ139" s="17"/>
      <c r="UNR139" s="15"/>
      <c r="UOG139" s="17"/>
      <c r="UOH139" s="15"/>
      <c r="UOW139" s="17"/>
      <c r="UOX139" s="15"/>
      <c r="UPM139" s="17"/>
      <c r="UPN139" s="15"/>
      <c r="UQC139" s="17"/>
      <c r="UQD139" s="15"/>
      <c r="UQS139" s="17"/>
      <c r="UQT139" s="15"/>
      <c r="URI139" s="17"/>
      <c r="URJ139" s="15"/>
      <c r="URY139" s="17"/>
      <c r="URZ139" s="15"/>
      <c r="USO139" s="17"/>
      <c r="USP139" s="15"/>
      <c r="UTE139" s="17"/>
      <c r="UTF139" s="15"/>
      <c r="UTU139" s="17"/>
      <c r="UTV139" s="15"/>
      <c r="UUK139" s="17"/>
      <c r="UUL139" s="15"/>
      <c r="UVA139" s="17"/>
      <c r="UVB139" s="15"/>
      <c r="UVQ139" s="17"/>
      <c r="UVR139" s="15"/>
      <c r="UWG139" s="17"/>
      <c r="UWH139" s="15"/>
      <c r="UWW139" s="17"/>
      <c r="UWX139" s="15"/>
      <c r="UXM139" s="17"/>
      <c r="UXN139" s="15"/>
      <c r="UYC139" s="17"/>
      <c r="UYD139" s="15"/>
      <c r="UYS139" s="17"/>
      <c r="UYT139" s="15"/>
      <c r="UZI139" s="17"/>
      <c r="UZJ139" s="15"/>
      <c r="UZY139" s="17"/>
      <c r="UZZ139" s="15"/>
      <c r="VAO139" s="17"/>
      <c r="VAP139" s="15"/>
      <c r="VBE139" s="17"/>
      <c r="VBF139" s="15"/>
      <c r="VBU139" s="17"/>
      <c r="VBV139" s="15"/>
      <c r="VCK139" s="17"/>
      <c r="VCL139" s="15"/>
      <c r="VDA139" s="17"/>
      <c r="VDB139" s="15"/>
      <c r="VDQ139" s="17"/>
      <c r="VDR139" s="15"/>
      <c r="VEG139" s="17"/>
      <c r="VEH139" s="15"/>
      <c r="VEW139" s="17"/>
      <c r="VEX139" s="15"/>
      <c r="VFM139" s="17"/>
      <c r="VFN139" s="15"/>
      <c r="VGC139" s="17"/>
      <c r="VGD139" s="15"/>
      <c r="VGS139" s="17"/>
      <c r="VGT139" s="15"/>
      <c r="VHI139" s="17"/>
      <c r="VHJ139" s="15"/>
      <c r="VHY139" s="17"/>
      <c r="VHZ139" s="15"/>
      <c r="VIO139" s="17"/>
      <c r="VIP139" s="15"/>
      <c r="VJE139" s="17"/>
      <c r="VJF139" s="15"/>
      <c r="VJU139" s="17"/>
      <c r="VJV139" s="15"/>
      <c r="VKK139" s="17"/>
      <c r="VKL139" s="15"/>
      <c r="VLA139" s="17"/>
      <c r="VLB139" s="15"/>
      <c r="VLQ139" s="17"/>
      <c r="VLR139" s="15"/>
      <c r="VMG139" s="17"/>
      <c r="VMH139" s="15"/>
      <c r="VMW139" s="17"/>
      <c r="VMX139" s="15"/>
      <c r="VNM139" s="17"/>
      <c r="VNN139" s="15"/>
      <c r="VOC139" s="17"/>
      <c r="VOD139" s="15"/>
      <c r="VOS139" s="17"/>
      <c r="VOT139" s="15"/>
      <c r="VPI139" s="17"/>
      <c r="VPJ139" s="15"/>
      <c r="VPY139" s="17"/>
      <c r="VPZ139" s="15"/>
      <c r="VQO139" s="17"/>
      <c r="VQP139" s="15"/>
      <c r="VRE139" s="17"/>
      <c r="VRF139" s="15"/>
      <c r="VRU139" s="17"/>
      <c r="VRV139" s="15"/>
      <c r="VSK139" s="17"/>
      <c r="VSL139" s="15"/>
      <c r="VTA139" s="17"/>
      <c r="VTB139" s="15"/>
      <c r="VTQ139" s="17"/>
      <c r="VTR139" s="15"/>
      <c r="VUG139" s="17"/>
      <c r="VUH139" s="15"/>
      <c r="VUW139" s="17"/>
      <c r="VUX139" s="15"/>
      <c r="VVM139" s="17"/>
      <c r="VVN139" s="15"/>
      <c r="VWC139" s="17"/>
      <c r="VWD139" s="15"/>
      <c r="VWS139" s="17"/>
      <c r="VWT139" s="15"/>
      <c r="VXI139" s="17"/>
      <c r="VXJ139" s="15"/>
      <c r="VXY139" s="17"/>
      <c r="VXZ139" s="15"/>
      <c r="VYO139" s="17"/>
      <c r="VYP139" s="15"/>
      <c r="VZE139" s="17"/>
      <c r="VZF139" s="15"/>
      <c r="VZU139" s="17"/>
      <c r="VZV139" s="15"/>
      <c r="WAK139" s="17"/>
      <c r="WAL139" s="15"/>
      <c r="WBA139" s="17"/>
      <c r="WBB139" s="15"/>
      <c r="WBQ139" s="17"/>
      <c r="WBR139" s="15"/>
      <c r="WCG139" s="17"/>
      <c r="WCH139" s="15"/>
      <c r="WCW139" s="17"/>
      <c r="WCX139" s="15"/>
      <c r="WDM139" s="17"/>
      <c r="WDN139" s="15"/>
      <c r="WEC139" s="17"/>
      <c r="WED139" s="15"/>
      <c r="WES139" s="17"/>
      <c r="WET139" s="15"/>
      <c r="WFI139" s="17"/>
      <c r="WFJ139" s="15"/>
      <c r="WFY139" s="17"/>
      <c r="WFZ139" s="15"/>
      <c r="WGO139" s="17"/>
      <c r="WGP139" s="15"/>
      <c r="WHE139" s="17"/>
      <c r="WHF139" s="15"/>
      <c r="WHU139" s="17"/>
      <c r="WHV139" s="15"/>
      <c r="WIK139" s="17"/>
      <c r="WIL139" s="15"/>
      <c r="WJA139" s="17"/>
      <c r="WJB139" s="15"/>
      <c r="WJQ139" s="17"/>
      <c r="WJR139" s="15"/>
      <c r="WKG139" s="17"/>
      <c r="WKH139" s="15"/>
      <c r="WKW139" s="17"/>
      <c r="WKX139" s="15"/>
      <c r="WLM139" s="17"/>
      <c r="WLN139" s="15"/>
      <c r="WMC139" s="17"/>
      <c r="WMD139" s="15"/>
      <c r="WMS139" s="17"/>
      <c r="WMT139" s="15"/>
      <c r="WNI139" s="17"/>
      <c r="WNJ139" s="15"/>
      <c r="WNY139" s="17"/>
      <c r="WNZ139" s="15"/>
      <c r="WOO139" s="17"/>
      <c r="WOP139" s="15"/>
      <c r="WPE139" s="17"/>
      <c r="WPF139" s="15"/>
      <c r="WPU139" s="17"/>
      <c r="WPV139" s="15"/>
      <c r="WQK139" s="17"/>
      <c r="WQL139" s="15"/>
      <c r="WRA139" s="17"/>
      <c r="WRB139" s="15"/>
      <c r="WRQ139" s="17"/>
      <c r="WRR139" s="15"/>
      <c r="WSG139" s="17"/>
      <c r="WSH139" s="15"/>
      <c r="WSW139" s="17"/>
      <c r="WSX139" s="15"/>
      <c r="WTM139" s="17"/>
      <c r="WTN139" s="15"/>
      <c r="WUC139" s="17"/>
      <c r="WUD139" s="15"/>
      <c r="WUS139" s="17"/>
      <c r="WUT139" s="15"/>
      <c r="WVI139" s="17"/>
      <c r="WVJ139" s="15"/>
      <c r="WVY139" s="17"/>
      <c r="WVZ139" s="15"/>
      <c r="WWO139" s="17"/>
      <c r="WWP139" s="15"/>
      <c r="WXE139" s="17"/>
      <c r="WXF139" s="15"/>
      <c r="WXU139" s="17"/>
      <c r="WXV139" s="15"/>
      <c r="WYK139" s="17"/>
      <c r="WYL139" s="15"/>
      <c r="WZA139" s="17"/>
      <c r="WZB139" s="15"/>
      <c r="WZQ139" s="17"/>
      <c r="WZR139" s="15"/>
      <c r="XAG139" s="17"/>
      <c r="XAH139" s="15"/>
      <c r="XAW139" s="17"/>
      <c r="XAX139" s="15"/>
      <c r="XBM139" s="17"/>
      <c r="XBN139" s="15"/>
      <c r="XCC139" s="17"/>
      <c r="XCD139" s="15"/>
      <c r="XCS139" s="17"/>
      <c r="XCT139" s="15"/>
      <c r="XDI139" s="17"/>
      <c r="XDJ139" s="15"/>
      <c r="XDY139" s="17"/>
      <c r="XDZ139" s="15"/>
      <c r="XEO139" s="17"/>
      <c r="XEP139" s="15"/>
    </row>
    <row r="140" spans="1:1010 1025:2034 2049:3058 3073:4082 4097:5106 5121:6130 6145:7154 7169:8178 8193:9202 9217:10226 10241:11250 11265:12274 12289:13298 13313:14322 14337:15346 15361:16370" s="16" customFormat="1" ht="17.100000000000001" customHeight="1">
      <c r="A140" s="22">
        <v>45922</v>
      </c>
      <c r="B140" s="15" t="s">
        <v>114</v>
      </c>
      <c r="C140" s="16" t="s">
        <v>2750</v>
      </c>
      <c r="D140" s="16" t="s">
        <v>48</v>
      </c>
      <c r="E140" s="16" t="s">
        <v>48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12</v>
      </c>
      <c r="O140" s="16" t="s">
        <v>55</v>
      </c>
      <c r="P140" s="16" t="s">
        <v>2783</v>
      </c>
      <c r="Q140" s="17" t="s">
        <v>2782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17"/>
      <c r="AH140" s="15"/>
      <c r="AW140" s="17"/>
      <c r="AX140" s="15"/>
      <c r="BM140" s="17"/>
      <c r="BN140" s="15"/>
      <c r="CC140" s="17"/>
      <c r="CD140" s="15"/>
      <c r="CS140" s="17"/>
      <c r="CT140" s="15"/>
      <c r="DI140" s="17"/>
      <c r="DJ140" s="15"/>
      <c r="DY140" s="17"/>
      <c r="DZ140" s="15"/>
      <c r="EO140" s="17"/>
      <c r="EP140" s="15"/>
      <c r="FE140" s="17"/>
      <c r="FF140" s="15"/>
      <c r="FU140" s="17"/>
      <c r="FV140" s="15"/>
      <c r="GK140" s="17"/>
      <c r="GL140" s="15"/>
      <c r="HA140" s="17"/>
      <c r="HB140" s="15"/>
      <c r="HQ140" s="17"/>
      <c r="HR140" s="15"/>
      <c r="IG140" s="17"/>
      <c r="IH140" s="15"/>
      <c r="IW140" s="17"/>
      <c r="IX140" s="15"/>
      <c r="JM140" s="17"/>
      <c r="JN140" s="15"/>
      <c r="KC140" s="17"/>
      <c r="KD140" s="15"/>
      <c r="KS140" s="17"/>
      <c r="KT140" s="15"/>
      <c r="LI140" s="17"/>
      <c r="LJ140" s="15"/>
      <c r="LY140" s="17"/>
      <c r="LZ140" s="15"/>
      <c r="MO140" s="17"/>
      <c r="MP140" s="15"/>
      <c r="NE140" s="17"/>
      <c r="NF140" s="15"/>
      <c r="NU140" s="17"/>
      <c r="NV140" s="15"/>
      <c r="OK140" s="17"/>
      <c r="OL140" s="15"/>
      <c r="PA140" s="17"/>
      <c r="PB140" s="15"/>
      <c r="PQ140" s="17"/>
      <c r="PR140" s="15"/>
      <c r="QG140" s="17"/>
      <c r="QH140" s="15"/>
      <c r="QW140" s="17"/>
      <c r="QX140" s="15"/>
      <c r="RM140" s="17"/>
      <c r="RN140" s="15"/>
      <c r="SC140" s="17"/>
      <c r="SD140" s="15"/>
      <c r="SS140" s="17"/>
      <c r="ST140" s="15"/>
      <c r="TI140" s="17"/>
      <c r="TJ140" s="15"/>
      <c r="TY140" s="17"/>
      <c r="TZ140" s="15"/>
      <c r="UO140" s="17"/>
      <c r="UP140" s="15"/>
      <c r="VE140" s="17"/>
      <c r="VF140" s="15"/>
      <c r="VU140" s="17"/>
      <c r="VV140" s="15"/>
      <c r="WK140" s="17"/>
      <c r="WL140" s="15"/>
      <c r="XA140" s="17"/>
      <c r="XB140" s="15"/>
      <c r="XQ140" s="17"/>
      <c r="XR140" s="15"/>
      <c r="YG140" s="17"/>
      <c r="YH140" s="15"/>
      <c r="YW140" s="17"/>
      <c r="YX140" s="15"/>
      <c r="ZM140" s="17"/>
      <c r="ZN140" s="15"/>
      <c r="AAC140" s="17"/>
      <c r="AAD140" s="15"/>
      <c r="AAS140" s="17"/>
      <c r="AAT140" s="15"/>
      <c r="ABI140" s="17"/>
      <c r="ABJ140" s="15"/>
      <c r="ABY140" s="17"/>
      <c r="ABZ140" s="15"/>
      <c r="ACO140" s="17"/>
      <c r="ACP140" s="15"/>
      <c r="ADE140" s="17"/>
      <c r="ADF140" s="15"/>
      <c r="ADU140" s="17"/>
      <c r="ADV140" s="15"/>
      <c r="AEK140" s="17"/>
      <c r="AEL140" s="15"/>
      <c r="AFA140" s="17"/>
      <c r="AFB140" s="15"/>
      <c r="AFQ140" s="17"/>
      <c r="AFR140" s="15"/>
      <c r="AGG140" s="17"/>
      <c r="AGH140" s="15"/>
      <c r="AGW140" s="17"/>
      <c r="AGX140" s="15"/>
      <c r="AHM140" s="17"/>
      <c r="AHN140" s="15"/>
      <c r="AIC140" s="17"/>
      <c r="AID140" s="15"/>
      <c r="AIS140" s="17"/>
      <c r="AIT140" s="15"/>
      <c r="AJI140" s="17"/>
      <c r="AJJ140" s="15"/>
      <c r="AJY140" s="17"/>
      <c r="AJZ140" s="15"/>
      <c r="AKO140" s="17"/>
      <c r="AKP140" s="15"/>
      <c r="ALE140" s="17"/>
      <c r="ALF140" s="15"/>
      <c r="ALU140" s="17"/>
      <c r="ALV140" s="15"/>
      <c r="AMK140" s="17"/>
      <c r="AML140" s="15"/>
      <c r="ANA140" s="17"/>
      <c r="ANB140" s="15"/>
      <c r="ANQ140" s="17"/>
      <c r="ANR140" s="15"/>
      <c r="AOG140" s="17"/>
      <c r="AOH140" s="15"/>
      <c r="AOW140" s="17"/>
      <c r="AOX140" s="15"/>
      <c r="APM140" s="17"/>
      <c r="APN140" s="15"/>
      <c r="AQC140" s="17"/>
      <c r="AQD140" s="15"/>
      <c r="AQS140" s="17"/>
      <c r="AQT140" s="15"/>
      <c r="ARI140" s="17"/>
      <c r="ARJ140" s="15"/>
      <c r="ARY140" s="17"/>
      <c r="ARZ140" s="15"/>
      <c r="ASO140" s="17"/>
      <c r="ASP140" s="15"/>
      <c r="ATE140" s="17"/>
      <c r="ATF140" s="15"/>
      <c r="ATU140" s="17"/>
      <c r="ATV140" s="15"/>
      <c r="AUK140" s="17"/>
      <c r="AUL140" s="15"/>
      <c r="AVA140" s="17"/>
      <c r="AVB140" s="15"/>
      <c r="AVQ140" s="17"/>
      <c r="AVR140" s="15"/>
      <c r="AWG140" s="17"/>
      <c r="AWH140" s="15"/>
      <c r="AWW140" s="17"/>
      <c r="AWX140" s="15"/>
      <c r="AXM140" s="17"/>
      <c r="AXN140" s="15"/>
      <c r="AYC140" s="17"/>
      <c r="AYD140" s="15"/>
      <c r="AYS140" s="17"/>
      <c r="AYT140" s="15"/>
      <c r="AZI140" s="17"/>
      <c r="AZJ140" s="15"/>
      <c r="AZY140" s="17"/>
      <c r="AZZ140" s="15"/>
      <c r="BAO140" s="17"/>
      <c r="BAP140" s="15"/>
      <c r="BBE140" s="17"/>
      <c r="BBF140" s="15"/>
      <c r="BBU140" s="17"/>
      <c r="BBV140" s="15"/>
      <c r="BCK140" s="17"/>
      <c r="BCL140" s="15"/>
      <c r="BDA140" s="17"/>
      <c r="BDB140" s="15"/>
      <c r="BDQ140" s="17"/>
      <c r="BDR140" s="15"/>
      <c r="BEG140" s="17"/>
      <c r="BEH140" s="15"/>
      <c r="BEW140" s="17"/>
      <c r="BEX140" s="15"/>
      <c r="BFM140" s="17"/>
      <c r="BFN140" s="15"/>
      <c r="BGC140" s="17"/>
      <c r="BGD140" s="15"/>
      <c r="BGS140" s="17"/>
      <c r="BGT140" s="15"/>
      <c r="BHI140" s="17"/>
      <c r="BHJ140" s="15"/>
      <c r="BHY140" s="17"/>
      <c r="BHZ140" s="15"/>
      <c r="BIO140" s="17"/>
      <c r="BIP140" s="15"/>
      <c r="BJE140" s="17"/>
      <c r="BJF140" s="15"/>
      <c r="BJU140" s="17"/>
      <c r="BJV140" s="15"/>
      <c r="BKK140" s="17"/>
      <c r="BKL140" s="15"/>
      <c r="BLA140" s="17"/>
      <c r="BLB140" s="15"/>
      <c r="BLQ140" s="17"/>
      <c r="BLR140" s="15"/>
      <c r="BMG140" s="17"/>
      <c r="BMH140" s="15"/>
      <c r="BMW140" s="17"/>
      <c r="BMX140" s="15"/>
      <c r="BNM140" s="17"/>
      <c r="BNN140" s="15"/>
      <c r="BOC140" s="17"/>
      <c r="BOD140" s="15"/>
      <c r="BOS140" s="17"/>
      <c r="BOT140" s="15"/>
      <c r="BPI140" s="17"/>
      <c r="BPJ140" s="15"/>
      <c r="BPY140" s="17"/>
      <c r="BPZ140" s="15"/>
      <c r="BQO140" s="17"/>
      <c r="BQP140" s="15"/>
      <c r="BRE140" s="17"/>
      <c r="BRF140" s="15"/>
      <c r="BRU140" s="17"/>
      <c r="BRV140" s="15"/>
      <c r="BSK140" s="17"/>
      <c r="BSL140" s="15"/>
      <c r="BTA140" s="17"/>
      <c r="BTB140" s="15"/>
      <c r="BTQ140" s="17"/>
      <c r="BTR140" s="15"/>
      <c r="BUG140" s="17"/>
      <c r="BUH140" s="15"/>
      <c r="BUW140" s="17"/>
      <c r="BUX140" s="15"/>
      <c r="BVM140" s="17"/>
      <c r="BVN140" s="15"/>
      <c r="BWC140" s="17"/>
      <c r="BWD140" s="15"/>
      <c r="BWS140" s="17"/>
      <c r="BWT140" s="15"/>
      <c r="BXI140" s="17"/>
      <c r="BXJ140" s="15"/>
      <c r="BXY140" s="17"/>
      <c r="BXZ140" s="15"/>
      <c r="BYO140" s="17"/>
      <c r="BYP140" s="15"/>
      <c r="BZE140" s="17"/>
      <c r="BZF140" s="15"/>
      <c r="BZU140" s="17"/>
      <c r="BZV140" s="15"/>
      <c r="CAK140" s="17"/>
      <c r="CAL140" s="15"/>
      <c r="CBA140" s="17"/>
      <c r="CBB140" s="15"/>
      <c r="CBQ140" s="17"/>
      <c r="CBR140" s="15"/>
      <c r="CCG140" s="17"/>
      <c r="CCH140" s="15"/>
      <c r="CCW140" s="17"/>
      <c r="CCX140" s="15"/>
      <c r="CDM140" s="17"/>
      <c r="CDN140" s="15"/>
      <c r="CEC140" s="17"/>
      <c r="CED140" s="15"/>
      <c r="CES140" s="17"/>
      <c r="CET140" s="15"/>
      <c r="CFI140" s="17"/>
      <c r="CFJ140" s="15"/>
      <c r="CFY140" s="17"/>
      <c r="CFZ140" s="15"/>
      <c r="CGO140" s="17"/>
      <c r="CGP140" s="15"/>
      <c r="CHE140" s="17"/>
      <c r="CHF140" s="15"/>
      <c r="CHU140" s="17"/>
      <c r="CHV140" s="15"/>
      <c r="CIK140" s="17"/>
      <c r="CIL140" s="15"/>
      <c r="CJA140" s="17"/>
      <c r="CJB140" s="15"/>
      <c r="CJQ140" s="17"/>
      <c r="CJR140" s="15"/>
      <c r="CKG140" s="17"/>
      <c r="CKH140" s="15"/>
      <c r="CKW140" s="17"/>
      <c r="CKX140" s="15"/>
      <c r="CLM140" s="17"/>
      <c r="CLN140" s="15"/>
      <c r="CMC140" s="17"/>
      <c r="CMD140" s="15"/>
      <c r="CMS140" s="17"/>
      <c r="CMT140" s="15"/>
      <c r="CNI140" s="17"/>
      <c r="CNJ140" s="15"/>
      <c r="CNY140" s="17"/>
      <c r="CNZ140" s="15"/>
      <c r="COO140" s="17"/>
      <c r="COP140" s="15"/>
      <c r="CPE140" s="17"/>
      <c r="CPF140" s="15"/>
      <c r="CPU140" s="17"/>
      <c r="CPV140" s="15"/>
      <c r="CQK140" s="17"/>
      <c r="CQL140" s="15"/>
      <c r="CRA140" s="17"/>
      <c r="CRB140" s="15"/>
      <c r="CRQ140" s="17"/>
      <c r="CRR140" s="15"/>
      <c r="CSG140" s="17"/>
      <c r="CSH140" s="15"/>
      <c r="CSW140" s="17"/>
      <c r="CSX140" s="15"/>
      <c r="CTM140" s="17"/>
      <c r="CTN140" s="15"/>
      <c r="CUC140" s="17"/>
      <c r="CUD140" s="15"/>
      <c r="CUS140" s="17"/>
      <c r="CUT140" s="15"/>
      <c r="CVI140" s="17"/>
      <c r="CVJ140" s="15"/>
      <c r="CVY140" s="17"/>
      <c r="CVZ140" s="15"/>
      <c r="CWO140" s="17"/>
      <c r="CWP140" s="15"/>
      <c r="CXE140" s="17"/>
      <c r="CXF140" s="15"/>
      <c r="CXU140" s="17"/>
      <c r="CXV140" s="15"/>
      <c r="CYK140" s="17"/>
      <c r="CYL140" s="15"/>
      <c r="CZA140" s="17"/>
      <c r="CZB140" s="15"/>
      <c r="CZQ140" s="17"/>
      <c r="CZR140" s="15"/>
      <c r="DAG140" s="17"/>
      <c r="DAH140" s="15"/>
      <c r="DAW140" s="17"/>
      <c r="DAX140" s="15"/>
      <c r="DBM140" s="17"/>
      <c r="DBN140" s="15"/>
      <c r="DCC140" s="17"/>
      <c r="DCD140" s="15"/>
      <c r="DCS140" s="17"/>
      <c r="DCT140" s="15"/>
      <c r="DDI140" s="17"/>
      <c r="DDJ140" s="15"/>
      <c r="DDY140" s="17"/>
      <c r="DDZ140" s="15"/>
      <c r="DEO140" s="17"/>
      <c r="DEP140" s="15"/>
      <c r="DFE140" s="17"/>
      <c r="DFF140" s="15"/>
      <c r="DFU140" s="17"/>
      <c r="DFV140" s="15"/>
      <c r="DGK140" s="17"/>
      <c r="DGL140" s="15"/>
      <c r="DHA140" s="17"/>
      <c r="DHB140" s="15"/>
      <c r="DHQ140" s="17"/>
      <c r="DHR140" s="15"/>
      <c r="DIG140" s="17"/>
      <c r="DIH140" s="15"/>
      <c r="DIW140" s="17"/>
      <c r="DIX140" s="15"/>
      <c r="DJM140" s="17"/>
      <c r="DJN140" s="15"/>
      <c r="DKC140" s="17"/>
      <c r="DKD140" s="15"/>
      <c r="DKS140" s="17"/>
      <c r="DKT140" s="15"/>
      <c r="DLI140" s="17"/>
      <c r="DLJ140" s="15"/>
      <c r="DLY140" s="17"/>
      <c r="DLZ140" s="15"/>
      <c r="DMO140" s="17"/>
      <c r="DMP140" s="15"/>
      <c r="DNE140" s="17"/>
      <c r="DNF140" s="15"/>
      <c r="DNU140" s="17"/>
      <c r="DNV140" s="15"/>
      <c r="DOK140" s="17"/>
      <c r="DOL140" s="15"/>
      <c r="DPA140" s="17"/>
      <c r="DPB140" s="15"/>
      <c r="DPQ140" s="17"/>
      <c r="DPR140" s="15"/>
      <c r="DQG140" s="17"/>
      <c r="DQH140" s="15"/>
      <c r="DQW140" s="17"/>
      <c r="DQX140" s="15"/>
      <c r="DRM140" s="17"/>
      <c r="DRN140" s="15"/>
      <c r="DSC140" s="17"/>
      <c r="DSD140" s="15"/>
      <c r="DSS140" s="17"/>
      <c r="DST140" s="15"/>
      <c r="DTI140" s="17"/>
      <c r="DTJ140" s="15"/>
      <c r="DTY140" s="17"/>
      <c r="DTZ140" s="15"/>
      <c r="DUO140" s="17"/>
      <c r="DUP140" s="15"/>
      <c r="DVE140" s="17"/>
      <c r="DVF140" s="15"/>
      <c r="DVU140" s="17"/>
      <c r="DVV140" s="15"/>
      <c r="DWK140" s="17"/>
      <c r="DWL140" s="15"/>
      <c r="DXA140" s="17"/>
      <c r="DXB140" s="15"/>
      <c r="DXQ140" s="17"/>
      <c r="DXR140" s="15"/>
      <c r="DYG140" s="17"/>
      <c r="DYH140" s="15"/>
      <c r="DYW140" s="17"/>
      <c r="DYX140" s="15"/>
      <c r="DZM140" s="17"/>
      <c r="DZN140" s="15"/>
      <c r="EAC140" s="17"/>
      <c r="EAD140" s="15"/>
      <c r="EAS140" s="17"/>
      <c r="EAT140" s="15"/>
      <c r="EBI140" s="17"/>
      <c r="EBJ140" s="15"/>
      <c r="EBY140" s="17"/>
      <c r="EBZ140" s="15"/>
      <c r="ECO140" s="17"/>
      <c r="ECP140" s="15"/>
      <c r="EDE140" s="17"/>
      <c r="EDF140" s="15"/>
      <c r="EDU140" s="17"/>
      <c r="EDV140" s="15"/>
      <c r="EEK140" s="17"/>
      <c r="EEL140" s="15"/>
      <c r="EFA140" s="17"/>
      <c r="EFB140" s="15"/>
      <c r="EFQ140" s="17"/>
      <c r="EFR140" s="15"/>
      <c r="EGG140" s="17"/>
      <c r="EGH140" s="15"/>
      <c r="EGW140" s="17"/>
      <c r="EGX140" s="15"/>
      <c r="EHM140" s="17"/>
      <c r="EHN140" s="15"/>
      <c r="EIC140" s="17"/>
      <c r="EID140" s="15"/>
      <c r="EIS140" s="17"/>
      <c r="EIT140" s="15"/>
      <c r="EJI140" s="17"/>
      <c r="EJJ140" s="15"/>
      <c r="EJY140" s="17"/>
      <c r="EJZ140" s="15"/>
      <c r="EKO140" s="17"/>
      <c r="EKP140" s="15"/>
      <c r="ELE140" s="17"/>
      <c r="ELF140" s="15"/>
      <c r="ELU140" s="17"/>
      <c r="ELV140" s="15"/>
      <c r="EMK140" s="17"/>
      <c r="EML140" s="15"/>
      <c r="ENA140" s="17"/>
      <c r="ENB140" s="15"/>
      <c r="ENQ140" s="17"/>
      <c r="ENR140" s="15"/>
      <c r="EOG140" s="17"/>
      <c r="EOH140" s="15"/>
      <c r="EOW140" s="17"/>
      <c r="EOX140" s="15"/>
      <c r="EPM140" s="17"/>
      <c r="EPN140" s="15"/>
      <c r="EQC140" s="17"/>
      <c r="EQD140" s="15"/>
      <c r="EQS140" s="17"/>
      <c r="EQT140" s="15"/>
      <c r="ERI140" s="17"/>
      <c r="ERJ140" s="15"/>
      <c r="ERY140" s="17"/>
      <c r="ERZ140" s="15"/>
      <c r="ESO140" s="17"/>
      <c r="ESP140" s="15"/>
      <c r="ETE140" s="17"/>
      <c r="ETF140" s="15"/>
      <c r="ETU140" s="17"/>
      <c r="ETV140" s="15"/>
      <c r="EUK140" s="17"/>
      <c r="EUL140" s="15"/>
      <c r="EVA140" s="17"/>
      <c r="EVB140" s="15"/>
      <c r="EVQ140" s="17"/>
      <c r="EVR140" s="15"/>
      <c r="EWG140" s="17"/>
      <c r="EWH140" s="15"/>
      <c r="EWW140" s="17"/>
      <c r="EWX140" s="15"/>
      <c r="EXM140" s="17"/>
      <c r="EXN140" s="15"/>
      <c r="EYC140" s="17"/>
      <c r="EYD140" s="15"/>
      <c r="EYS140" s="17"/>
      <c r="EYT140" s="15"/>
      <c r="EZI140" s="17"/>
      <c r="EZJ140" s="15"/>
      <c r="EZY140" s="17"/>
      <c r="EZZ140" s="15"/>
      <c r="FAO140" s="17"/>
      <c r="FAP140" s="15"/>
      <c r="FBE140" s="17"/>
      <c r="FBF140" s="15"/>
      <c r="FBU140" s="17"/>
      <c r="FBV140" s="15"/>
      <c r="FCK140" s="17"/>
      <c r="FCL140" s="15"/>
      <c r="FDA140" s="17"/>
      <c r="FDB140" s="15"/>
      <c r="FDQ140" s="17"/>
      <c r="FDR140" s="15"/>
      <c r="FEG140" s="17"/>
      <c r="FEH140" s="15"/>
      <c r="FEW140" s="17"/>
      <c r="FEX140" s="15"/>
      <c r="FFM140" s="17"/>
      <c r="FFN140" s="15"/>
      <c r="FGC140" s="17"/>
      <c r="FGD140" s="15"/>
      <c r="FGS140" s="17"/>
      <c r="FGT140" s="15"/>
      <c r="FHI140" s="17"/>
      <c r="FHJ140" s="15"/>
      <c r="FHY140" s="17"/>
      <c r="FHZ140" s="15"/>
      <c r="FIO140" s="17"/>
      <c r="FIP140" s="15"/>
      <c r="FJE140" s="17"/>
      <c r="FJF140" s="15"/>
      <c r="FJU140" s="17"/>
      <c r="FJV140" s="15"/>
      <c r="FKK140" s="17"/>
      <c r="FKL140" s="15"/>
      <c r="FLA140" s="17"/>
      <c r="FLB140" s="15"/>
      <c r="FLQ140" s="17"/>
      <c r="FLR140" s="15"/>
      <c r="FMG140" s="17"/>
      <c r="FMH140" s="15"/>
      <c r="FMW140" s="17"/>
      <c r="FMX140" s="15"/>
      <c r="FNM140" s="17"/>
      <c r="FNN140" s="15"/>
      <c r="FOC140" s="17"/>
      <c r="FOD140" s="15"/>
      <c r="FOS140" s="17"/>
      <c r="FOT140" s="15"/>
      <c r="FPI140" s="17"/>
      <c r="FPJ140" s="15"/>
      <c r="FPY140" s="17"/>
      <c r="FPZ140" s="15"/>
      <c r="FQO140" s="17"/>
      <c r="FQP140" s="15"/>
      <c r="FRE140" s="17"/>
      <c r="FRF140" s="15"/>
      <c r="FRU140" s="17"/>
      <c r="FRV140" s="15"/>
      <c r="FSK140" s="17"/>
      <c r="FSL140" s="15"/>
      <c r="FTA140" s="17"/>
      <c r="FTB140" s="15"/>
      <c r="FTQ140" s="17"/>
      <c r="FTR140" s="15"/>
      <c r="FUG140" s="17"/>
      <c r="FUH140" s="15"/>
      <c r="FUW140" s="17"/>
      <c r="FUX140" s="15"/>
      <c r="FVM140" s="17"/>
      <c r="FVN140" s="15"/>
      <c r="FWC140" s="17"/>
      <c r="FWD140" s="15"/>
      <c r="FWS140" s="17"/>
      <c r="FWT140" s="15"/>
      <c r="FXI140" s="17"/>
      <c r="FXJ140" s="15"/>
      <c r="FXY140" s="17"/>
      <c r="FXZ140" s="15"/>
      <c r="FYO140" s="17"/>
      <c r="FYP140" s="15"/>
      <c r="FZE140" s="17"/>
      <c r="FZF140" s="15"/>
      <c r="FZU140" s="17"/>
      <c r="FZV140" s="15"/>
      <c r="GAK140" s="17"/>
      <c r="GAL140" s="15"/>
      <c r="GBA140" s="17"/>
      <c r="GBB140" s="15"/>
      <c r="GBQ140" s="17"/>
      <c r="GBR140" s="15"/>
      <c r="GCG140" s="17"/>
      <c r="GCH140" s="15"/>
      <c r="GCW140" s="17"/>
      <c r="GCX140" s="15"/>
      <c r="GDM140" s="17"/>
      <c r="GDN140" s="15"/>
      <c r="GEC140" s="17"/>
      <c r="GED140" s="15"/>
      <c r="GES140" s="17"/>
      <c r="GET140" s="15"/>
      <c r="GFI140" s="17"/>
      <c r="GFJ140" s="15"/>
      <c r="GFY140" s="17"/>
      <c r="GFZ140" s="15"/>
      <c r="GGO140" s="17"/>
      <c r="GGP140" s="15"/>
      <c r="GHE140" s="17"/>
      <c r="GHF140" s="15"/>
      <c r="GHU140" s="17"/>
      <c r="GHV140" s="15"/>
      <c r="GIK140" s="17"/>
      <c r="GIL140" s="15"/>
      <c r="GJA140" s="17"/>
      <c r="GJB140" s="15"/>
      <c r="GJQ140" s="17"/>
      <c r="GJR140" s="15"/>
      <c r="GKG140" s="17"/>
      <c r="GKH140" s="15"/>
      <c r="GKW140" s="17"/>
      <c r="GKX140" s="15"/>
      <c r="GLM140" s="17"/>
      <c r="GLN140" s="15"/>
      <c r="GMC140" s="17"/>
      <c r="GMD140" s="15"/>
      <c r="GMS140" s="17"/>
      <c r="GMT140" s="15"/>
      <c r="GNI140" s="17"/>
      <c r="GNJ140" s="15"/>
      <c r="GNY140" s="17"/>
      <c r="GNZ140" s="15"/>
      <c r="GOO140" s="17"/>
      <c r="GOP140" s="15"/>
      <c r="GPE140" s="17"/>
      <c r="GPF140" s="15"/>
      <c r="GPU140" s="17"/>
      <c r="GPV140" s="15"/>
      <c r="GQK140" s="17"/>
      <c r="GQL140" s="15"/>
      <c r="GRA140" s="17"/>
      <c r="GRB140" s="15"/>
      <c r="GRQ140" s="17"/>
      <c r="GRR140" s="15"/>
      <c r="GSG140" s="17"/>
      <c r="GSH140" s="15"/>
      <c r="GSW140" s="17"/>
      <c r="GSX140" s="15"/>
      <c r="GTM140" s="17"/>
      <c r="GTN140" s="15"/>
      <c r="GUC140" s="17"/>
      <c r="GUD140" s="15"/>
      <c r="GUS140" s="17"/>
      <c r="GUT140" s="15"/>
      <c r="GVI140" s="17"/>
      <c r="GVJ140" s="15"/>
      <c r="GVY140" s="17"/>
      <c r="GVZ140" s="15"/>
      <c r="GWO140" s="17"/>
      <c r="GWP140" s="15"/>
      <c r="GXE140" s="17"/>
      <c r="GXF140" s="15"/>
      <c r="GXU140" s="17"/>
      <c r="GXV140" s="15"/>
      <c r="GYK140" s="17"/>
      <c r="GYL140" s="15"/>
      <c r="GZA140" s="17"/>
      <c r="GZB140" s="15"/>
      <c r="GZQ140" s="17"/>
      <c r="GZR140" s="15"/>
      <c r="HAG140" s="17"/>
      <c r="HAH140" s="15"/>
      <c r="HAW140" s="17"/>
      <c r="HAX140" s="15"/>
      <c r="HBM140" s="17"/>
      <c r="HBN140" s="15"/>
      <c r="HCC140" s="17"/>
      <c r="HCD140" s="15"/>
      <c r="HCS140" s="17"/>
      <c r="HCT140" s="15"/>
      <c r="HDI140" s="17"/>
      <c r="HDJ140" s="15"/>
      <c r="HDY140" s="17"/>
      <c r="HDZ140" s="15"/>
      <c r="HEO140" s="17"/>
      <c r="HEP140" s="15"/>
      <c r="HFE140" s="17"/>
      <c r="HFF140" s="15"/>
      <c r="HFU140" s="17"/>
      <c r="HFV140" s="15"/>
      <c r="HGK140" s="17"/>
      <c r="HGL140" s="15"/>
      <c r="HHA140" s="17"/>
      <c r="HHB140" s="15"/>
      <c r="HHQ140" s="17"/>
      <c r="HHR140" s="15"/>
      <c r="HIG140" s="17"/>
      <c r="HIH140" s="15"/>
      <c r="HIW140" s="17"/>
      <c r="HIX140" s="15"/>
      <c r="HJM140" s="17"/>
      <c r="HJN140" s="15"/>
      <c r="HKC140" s="17"/>
      <c r="HKD140" s="15"/>
      <c r="HKS140" s="17"/>
      <c r="HKT140" s="15"/>
      <c r="HLI140" s="17"/>
      <c r="HLJ140" s="15"/>
      <c r="HLY140" s="17"/>
      <c r="HLZ140" s="15"/>
      <c r="HMO140" s="17"/>
      <c r="HMP140" s="15"/>
      <c r="HNE140" s="17"/>
      <c r="HNF140" s="15"/>
      <c r="HNU140" s="17"/>
      <c r="HNV140" s="15"/>
      <c r="HOK140" s="17"/>
      <c r="HOL140" s="15"/>
      <c r="HPA140" s="17"/>
      <c r="HPB140" s="15"/>
      <c r="HPQ140" s="17"/>
      <c r="HPR140" s="15"/>
      <c r="HQG140" s="17"/>
      <c r="HQH140" s="15"/>
      <c r="HQW140" s="17"/>
      <c r="HQX140" s="15"/>
      <c r="HRM140" s="17"/>
      <c r="HRN140" s="15"/>
      <c r="HSC140" s="17"/>
      <c r="HSD140" s="15"/>
      <c r="HSS140" s="17"/>
      <c r="HST140" s="15"/>
      <c r="HTI140" s="17"/>
      <c r="HTJ140" s="15"/>
      <c r="HTY140" s="17"/>
      <c r="HTZ140" s="15"/>
      <c r="HUO140" s="17"/>
      <c r="HUP140" s="15"/>
      <c r="HVE140" s="17"/>
      <c r="HVF140" s="15"/>
      <c r="HVU140" s="17"/>
      <c r="HVV140" s="15"/>
      <c r="HWK140" s="17"/>
      <c r="HWL140" s="15"/>
      <c r="HXA140" s="17"/>
      <c r="HXB140" s="15"/>
      <c r="HXQ140" s="17"/>
      <c r="HXR140" s="15"/>
      <c r="HYG140" s="17"/>
      <c r="HYH140" s="15"/>
      <c r="HYW140" s="17"/>
      <c r="HYX140" s="15"/>
      <c r="HZM140" s="17"/>
      <c r="HZN140" s="15"/>
      <c r="IAC140" s="17"/>
      <c r="IAD140" s="15"/>
      <c r="IAS140" s="17"/>
      <c r="IAT140" s="15"/>
      <c r="IBI140" s="17"/>
      <c r="IBJ140" s="15"/>
      <c r="IBY140" s="17"/>
      <c r="IBZ140" s="15"/>
      <c r="ICO140" s="17"/>
      <c r="ICP140" s="15"/>
      <c r="IDE140" s="17"/>
      <c r="IDF140" s="15"/>
      <c r="IDU140" s="17"/>
      <c r="IDV140" s="15"/>
      <c r="IEK140" s="17"/>
      <c r="IEL140" s="15"/>
      <c r="IFA140" s="17"/>
      <c r="IFB140" s="15"/>
      <c r="IFQ140" s="17"/>
      <c r="IFR140" s="15"/>
      <c r="IGG140" s="17"/>
      <c r="IGH140" s="15"/>
      <c r="IGW140" s="17"/>
      <c r="IGX140" s="15"/>
      <c r="IHM140" s="17"/>
      <c r="IHN140" s="15"/>
      <c r="IIC140" s="17"/>
      <c r="IID140" s="15"/>
      <c r="IIS140" s="17"/>
      <c r="IIT140" s="15"/>
      <c r="IJI140" s="17"/>
      <c r="IJJ140" s="15"/>
      <c r="IJY140" s="17"/>
      <c r="IJZ140" s="15"/>
      <c r="IKO140" s="17"/>
      <c r="IKP140" s="15"/>
      <c r="ILE140" s="17"/>
      <c r="ILF140" s="15"/>
      <c r="ILU140" s="17"/>
      <c r="ILV140" s="15"/>
      <c r="IMK140" s="17"/>
      <c r="IML140" s="15"/>
      <c r="INA140" s="17"/>
      <c r="INB140" s="15"/>
      <c r="INQ140" s="17"/>
      <c r="INR140" s="15"/>
      <c r="IOG140" s="17"/>
      <c r="IOH140" s="15"/>
      <c r="IOW140" s="17"/>
      <c r="IOX140" s="15"/>
      <c r="IPM140" s="17"/>
      <c r="IPN140" s="15"/>
      <c r="IQC140" s="17"/>
      <c r="IQD140" s="15"/>
      <c r="IQS140" s="17"/>
      <c r="IQT140" s="15"/>
      <c r="IRI140" s="17"/>
      <c r="IRJ140" s="15"/>
      <c r="IRY140" s="17"/>
      <c r="IRZ140" s="15"/>
      <c r="ISO140" s="17"/>
      <c r="ISP140" s="15"/>
      <c r="ITE140" s="17"/>
      <c r="ITF140" s="15"/>
      <c r="ITU140" s="17"/>
      <c r="ITV140" s="15"/>
      <c r="IUK140" s="17"/>
      <c r="IUL140" s="15"/>
      <c r="IVA140" s="17"/>
      <c r="IVB140" s="15"/>
      <c r="IVQ140" s="17"/>
      <c r="IVR140" s="15"/>
      <c r="IWG140" s="17"/>
      <c r="IWH140" s="15"/>
      <c r="IWW140" s="17"/>
      <c r="IWX140" s="15"/>
      <c r="IXM140" s="17"/>
      <c r="IXN140" s="15"/>
      <c r="IYC140" s="17"/>
      <c r="IYD140" s="15"/>
      <c r="IYS140" s="17"/>
      <c r="IYT140" s="15"/>
      <c r="IZI140" s="17"/>
      <c r="IZJ140" s="15"/>
      <c r="IZY140" s="17"/>
      <c r="IZZ140" s="15"/>
      <c r="JAO140" s="17"/>
      <c r="JAP140" s="15"/>
      <c r="JBE140" s="17"/>
      <c r="JBF140" s="15"/>
      <c r="JBU140" s="17"/>
      <c r="JBV140" s="15"/>
      <c r="JCK140" s="17"/>
      <c r="JCL140" s="15"/>
      <c r="JDA140" s="17"/>
      <c r="JDB140" s="15"/>
      <c r="JDQ140" s="17"/>
      <c r="JDR140" s="15"/>
      <c r="JEG140" s="17"/>
      <c r="JEH140" s="15"/>
      <c r="JEW140" s="17"/>
      <c r="JEX140" s="15"/>
      <c r="JFM140" s="17"/>
      <c r="JFN140" s="15"/>
      <c r="JGC140" s="17"/>
      <c r="JGD140" s="15"/>
      <c r="JGS140" s="17"/>
      <c r="JGT140" s="15"/>
      <c r="JHI140" s="17"/>
      <c r="JHJ140" s="15"/>
      <c r="JHY140" s="17"/>
      <c r="JHZ140" s="15"/>
      <c r="JIO140" s="17"/>
      <c r="JIP140" s="15"/>
      <c r="JJE140" s="17"/>
      <c r="JJF140" s="15"/>
      <c r="JJU140" s="17"/>
      <c r="JJV140" s="15"/>
      <c r="JKK140" s="17"/>
      <c r="JKL140" s="15"/>
      <c r="JLA140" s="17"/>
      <c r="JLB140" s="15"/>
      <c r="JLQ140" s="17"/>
      <c r="JLR140" s="15"/>
      <c r="JMG140" s="17"/>
      <c r="JMH140" s="15"/>
      <c r="JMW140" s="17"/>
      <c r="JMX140" s="15"/>
      <c r="JNM140" s="17"/>
      <c r="JNN140" s="15"/>
      <c r="JOC140" s="17"/>
      <c r="JOD140" s="15"/>
      <c r="JOS140" s="17"/>
      <c r="JOT140" s="15"/>
      <c r="JPI140" s="17"/>
      <c r="JPJ140" s="15"/>
      <c r="JPY140" s="17"/>
      <c r="JPZ140" s="15"/>
      <c r="JQO140" s="17"/>
      <c r="JQP140" s="15"/>
      <c r="JRE140" s="17"/>
      <c r="JRF140" s="15"/>
      <c r="JRU140" s="17"/>
      <c r="JRV140" s="15"/>
      <c r="JSK140" s="17"/>
      <c r="JSL140" s="15"/>
      <c r="JTA140" s="17"/>
      <c r="JTB140" s="15"/>
      <c r="JTQ140" s="17"/>
      <c r="JTR140" s="15"/>
      <c r="JUG140" s="17"/>
      <c r="JUH140" s="15"/>
      <c r="JUW140" s="17"/>
      <c r="JUX140" s="15"/>
      <c r="JVM140" s="17"/>
      <c r="JVN140" s="15"/>
      <c r="JWC140" s="17"/>
      <c r="JWD140" s="15"/>
      <c r="JWS140" s="17"/>
      <c r="JWT140" s="15"/>
      <c r="JXI140" s="17"/>
      <c r="JXJ140" s="15"/>
      <c r="JXY140" s="17"/>
      <c r="JXZ140" s="15"/>
      <c r="JYO140" s="17"/>
      <c r="JYP140" s="15"/>
      <c r="JZE140" s="17"/>
      <c r="JZF140" s="15"/>
      <c r="JZU140" s="17"/>
      <c r="JZV140" s="15"/>
      <c r="KAK140" s="17"/>
      <c r="KAL140" s="15"/>
      <c r="KBA140" s="17"/>
      <c r="KBB140" s="15"/>
      <c r="KBQ140" s="17"/>
      <c r="KBR140" s="15"/>
      <c r="KCG140" s="17"/>
      <c r="KCH140" s="15"/>
      <c r="KCW140" s="17"/>
      <c r="KCX140" s="15"/>
      <c r="KDM140" s="17"/>
      <c r="KDN140" s="15"/>
      <c r="KEC140" s="17"/>
      <c r="KED140" s="15"/>
      <c r="KES140" s="17"/>
      <c r="KET140" s="15"/>
      <c r="KFI140" s="17"/>
      <c r="KFJ140" s="15"/>
      <c r="KFY140" s="17"/>
      <c r="KFZ140" s="15"/>
      <c r="KGO140" s="17"/>
      <c r="KGP140" s="15"/>
      <c r="KHE140" s="17"/>
      <c r="KHF140" s="15"/>
      <c r="KHU140" s="17"/>
      <c r="KHV140" s="15"/>
      <c r="KIK140" s="17"/>
      <c r="KIL140" s="15"/>
      <c r="KJA140" s="17"/>
      <c r="KJB140" s="15"/>
      <c r="KJQ140" s="17"/>
      <c r="KJR140" s="15"/>
      <c r="KKG140" s="17"/>
      <c r="KKH140" s="15"/>
      <c r="KKW140" s="17"/>
      <c r="KKX140" s="15"/>
      <c r="KLM140" s="17"/>
      <c r="KLN140" s="15"/>
      <c r="KMC140" s="17"/>
      <c r="KMD140" s="15"/>
      <c r="KMS140" s="17"/>
      <c r="KMT140" s="15"/>
      <c r="KNI140" s="17"/>
      <c r="KNJ140" s="15"/>
      <c r="KNY140" s="17"/>
      <c r="KNZ140" s="15"/>
      <c r="KOO140" s="17"/>
      <c r="KOP140" s="15"/>
      <c r="KPE140" s="17"/>
      <c r="KPF140" s="15"/>
      <c r="KPU140" s="17"/>
      <c r="KPV140" s="15"/>
      <c r="KQK140" s="17"/>
      <c r="KQL140" s="15"/>
      <c r="KRA140" s="17"/>
      <c r="KRB140" s="15"/>
      <c r="KRQ140" s="17"/>
      <c r="KRR140" s="15"/>
      <c r="KSG140" s="17"/>
      <c r="KSH140" s="15"/>
      <c r="KSW140" s="17"/>
      <c r="KSX140" s="15"/>
      <c r="KTM140" s="17"/>
      <c r="KTN140" s="15"/>
      <c r="KUC140" s="17"/>
      <c r="KUD140" s="15"/>
      <c r="KUS140" s="17"/>
      <c r="KUT140" s="15"/>
      <c r="KVI140" s="17"/>
      <c r="KVJ140" s="15"/>
      <c r="KVY140" s="17"/>
      <c r="KVZ140" s="15"/>
      <c r="KWO140" s="17"/>
      <c r="KWP140" s="15"/>
      <c r="KXE140" s="17"/>
      <c r="KXF140" s="15"/>
      <c r="KXU140" s="17"/>
      <c r="KXV140" s="15"/>
      <c r="KYK140" s="17"/>
      <c r="KYL140" s="15"/>
      <c r="KZA140" s="17"/>
      <c r="KZB140" s="15"/>
      <c r="KZQ140" s="17"/>
      <c r="KZR140" s="15"/>
      <c r="LAG140" s="17"/>
      <c r="LAH140" s="15"/>
      <c r="LAW140" s="17"/>
      <c r="LAX140" s="15"/>
      <c r="LBM140" s="17"/>
      <c r="LBN140" s="15"/>
      <c r="LCC140" s="17"/>
      <c r="LCD140" s="15"/>
      <c r="LCS140" s="17"/>
      <c r="LCT140" s="15"/>
      <c r="LDI140" s="17"/>
      <c r="LDJ140" s="15"/>
      <c r="LDY140" s="17"/>
      <c r="LDZ140" s="15"/>
      <c r="LEO140" s="17"/>
      <c r="LEP140" s="15"/>
      <c r="LFE140" s="17"/>
      <c r="LFF140" s="15"/>
      <c r="LFU140" s="17"/>
      <c r="LFV140" s="15"/>
      <c r="LGK140" s="17"/>
      <c r="LGL140" s="15"/>
      <c r="LHA140" s="17"/>
      <c r="LHB140" s="15"/>
      <c r="LHQ140" s="17"/>
      <c r="LHR140" s="15"/>
      <c r="LIG140" s="17"/>
      <c r="LIH140" s="15"/>
      <c r="LIW140" s="17"/>
      <c r="LIX140" s="15"/>
      <c r="LJM140" s="17"/>
      <c r="LJN140" s="15"/>
      <c r="LKC140" s="17"/>
      <c r="LKD140" s="15"/>
      <c r="LKS140" s="17"/>
      <c r="LKT140" s="15"/>
      <c r="LLI140" s="17"/>
      <c r="LLJ140" s="15"/>
      <c r="LLY140" s="17"/>
      <c r="LLZ140" s="15"/>
      <c r="LMO140" s="17"/>
      <c r="LMP140" s="15"/>
      <c r="LNE140" s="17"/>
      <c r="LNF140" s="15"/>
      <c r="LNU140" s="17"/>
      <c r="LNV140" s="15"/>
      <c r="LOK140" s="17"/>
      <c r="LOL140" s="15"/>
      <c r="LPA140" s="17"/>
      <c r="LPB140" s="15"/>
      <c r="LPQ140" s="17"/>
      <c r="LPR140" s="15"/>
      <c r="LQG140" s="17"/>
      <c r="LQH140" s="15"/>
      <c r="LQW140" s="17"/>
      <c r="LQX140" s="15"/>
      <c r="LRM140" s="17"/>
      <c r="LRN140" s="15"/>
      <c r="LSC140" s="17"/>
      <c r="LSD140" s="15"/>
      <c r="LSS140" s="17"/>
      <c r="LST140" s="15"/>
      <c r="LTI140" s="17"/>
      <c r="LTJ140" s="15"/>
      <c r="LTY140" s="17"/>
      <c r="LTZ140" s="15"/>
      <c r="LUO140" s="17"/>
      <c r="LUP140" s="15"/>
      <c r="LVE140" s="17"/>
      <c r="LVF140" s="15"/>
      <c r="LVU140" s="17"/>
      <c r="LVV140" s="15"/>
      <c r="LWK140" s="17"/>
      <c r="LWL140" s="15"/>
      <c r="LXA140" s="17"/>
      <c r="LXB140" s="15"/>
      <c r="LXQ140" s="17"/>
      <c r="LXR140" s="15"/>
      <c r="LYG140" s="17"/>
      <c r="LYH140" s="15"/>
      <c r="LYW140" s="17"/>
      <c r="LYX140" s="15"/>
      <c r="LZM140" s="17"/>
      <c r="LZN140" s="15"/>
      <c r="MAC140" s="17"/>
      <c r="MAD140" s="15"/>
      <c r="MAS140" s="17"/>
      <c r="MAT140" s="15"/>
      <c r="MBI140" s="17"/>
      <c r="MBJ140" s="15"/>
      <c r="MBY140" s="17"/>
      <c r="MBZ140" s="15"/>
      <c r="MCO140" s="17"/>
      <c r="MCP140" s="15"/>
      <c r="MDE140" s="17"/>
      <c r="MDF140" s="15"/>
      <c r="MDU140" s="17"/>
      <c r="MDV140" s="15"/>
      <c r="MEK140" s="17"/>
      <c r="MEL140" s="15"/>
      <c r="MFA140" s="17"/>
      <c r="MFB140" s="15"/>
      <c r="MFQ140" s="17"/>
      <c r="MFR140" s="15"/>
      <c r="MGG140" s="17"/>
      <c r="MGH140" s="15"/>
      <c r="MGW140" s="17"/>
      <c r="MGX140" s="15"/>
      <c r="MHM140" s="17"/>
      <c r="MHN140" s="15"/>
      <c r="MIC140" s="17"/>
      <c r="MID140" s="15"/>
      <c r="MIS140" s="17"/>
      <c r="MIT140" s="15"/>
      <c r="MJI140" s="17"/>
      <c r="MJJ140" s="15"/>
      <c r="MJY140" s="17"/>
      <c r="MJZ140" s="15"/>
      <c r="MKO140" s="17"/>
      <c r="MKP140" s="15"/>
      <c r="MLE140" s="17"/>
      <c r="MLF140" s="15"/>
      <c r="MLU140" s="17"/>
      <c r="MLV140" s="15"/>
      <c r="MMK140" s="17"/>
      <c r="MML140" s="15"/>
      <c r="MNA140" s="17"/>
      <c r="MNB140" s="15"/>
      <c r="MNQ140" s="17"/>
      <c r="MNR140" s="15"/>
      <c r="MOG140" s="17"/>
      <c r="MOH140" s="15"/>
      <c r="MOW140" s="17"/>
      <c r="MOX140" s="15"/>
      <c r="MPM140" s="17"/>
      <c r="MPN140" s="15"/>
      <c r="MQC140" s="17"/>
      <c r="MQD140" s="15"/>
      <c r="MQS140" s="17"/>
      <c r="MQT140" s="15"/>
      <c r="MRI140" s="17"/>
      <c r="MRJ140" s="15"/>
      <c r="MRY140" s="17"/>
      <c r="MRZ140" s="15"/>
      <c r="MSO140" s="17"/>
      <c r="MSP140" s="15"/>
      <c r="MTE140" s="17"/>
      <c r="MTF140" s="15"/>
      <c r="MTU140" s="17"/>
      <c r="MTV140" s="15"/>
      <c r="MUK140" s="17"/>
      <c r="MUL140" s="15"/>
      <c r="MVA140" s="17"/>
      <c r="MVB140" s="15"/>
      <c r="MVQ140" s="17"/>
      <c r="MVR140" s="15"/>
      <c r="MWG140" s="17"/>
      <c r="MWH140" s="15"/>
      <c r="MWW140" s="17"/>
      <c r="MWX140" s="15"/>
      <c r="MXM140" s="17"/>
      <c r="MXN140" s="15"/>
      <c r="MYC140" s="17"/>
      <c r="MYD140" s="15"/>
      <c r="MYS140" s="17"/>
      <c r="MYT140" s="15"/>
      <c r="MZI140" s="17"/>
      <c r="MZJ140" s="15"/>
      <c r="MZY140" s="17"/>
      <c r="MZZ140" s="15"/>
      <c r="NAO140" s="17"/>
      <c r="NAP140" s="15"/>
      <c r="NBE140" s="17"/>
      <c r="NBF140" s="15"/>
      <c r="NBU140" s="17"/>
      <c r="NBV140" s="15"/>
      <c r="NCK140" s="17"/>
      <c r="NCL140" s="15"/>
      <c r="NDA140" s="17"/>
      <c r="NDB140" s="15"/>
      <c r="NDQ140" s="17"/>
      <c r="NDR140" s="15"/>
      <c r="NEG140" s="17"/>
      <c r="NEH140" s="15"/>
      <c r="NEW140" s="17"/>
      <c r="NEX140" s="15"/>
      <c r="NFM140" s="17"/>
      <c r="NFN140" s="15"/>
      <c r="NGC140" s="17"/>
      <c r="NGD140" s="15"/>
      <c r="NGS140" s="17"/>
      <c r="NGT140" s="15"/>
      <c r="NHI140" s="17"/>
      <c r="NHJ140" s="15"/>
      <c r="NHY140" s="17"/>
      <c r="NHZ140" s="15"/>
      <c r="NIO140" s="17"/>
      <c r="NIP140" s="15"/>
      <c r="NJE140" s="17"/>
      <c r="NJF140" s="15"/>
      <c r="NJU140" s="17"/>
      <c r="NJV140" s="15"/>
      <c r="NKK140" s="17"/>
      <c r="NKL140" s="15"/>
      <c r="NLA140" s="17"/>
      <c r="NLB140" s="15"/>
      <c r="NLQ140" s="17"/>
      <c r="NLR140" s="15"/>
      <c r="NMG140" s="17"/>
      <c r="NMH140" s="15"/>
      <c r="NMW140" s="17"/>
      <c r="NMX140" s="15"/>
      <c r="NNM140" s="17"/>
      <c r="NNN140" s="15"/>
      <c r="NOC140" s="17"/>
      <c r="NOD140" s="15"/>
      <c r="NOS140" s="17"/>
      <c r="NOT140" s="15"/>
      <c r="NPI140" s="17"/>
      <c r="NPJ140" s="15"/>
      <c r="NPY140" s="17"/>
      <c r="NPZ140" s="15"/>
      <c r="NQO140" s="17"/>
      <c r="NQP140" s="15"/>
      <c r="NRE140" s="17"/>
      <c r="NRF140" s="15"/>
      <c r="NRU140" s="17"/>
      <c r="NRV140" s="15"/>
      <c r="NSK140" s="17"/>
      <c r="NSL140" s="15"/>
      <c r="NTA140" s="17"/>
      <c r="NTB140" s="15"/>
      <c r="NTQ140" s="17"/>
      <c r="NTR140" s="15"/>
      <c r="NUG140" s="17"/>
      <c r="NUH140" s="15"/>
      <c r="NUW140" s="17"/>
      <c r="NUX140" s="15"/>
      <c r="NVM140" s="17"/>
      <c r="NVN140" s="15"/>
      <c r="NWC140" s="17"/>
      <c r="NWD140" s="15"/>
      <c r="NWS140" s="17"/>
      <c r="NWT140" s="15"/>
      <c r="NXI140" s="17"/>
      <c r="NXJ140" s="15"/>
      <c r="NXY140" s="17"/>
      <c r="NXZ140" s="15"/>
      <c r="NYO140" s="17"/>
      <c r="NYP140" s="15"/>
      <c r="NZE140" s="17"/>
      <c r="NZF140" s="15"/>
      <c r="NZU140" s="17"/>
      <c r="NZV140" s="15"/>
      <c r="OAK140" s="17"/>
      <c r="OAL140" s="15"/>
      <c r="OBA140" s="17"/>
      <c r="OBB140" s="15"/>
      <c r="OBQ140" s="17"/>
      <c r="OBR140" s="15"/>
      <c r="OCG140" s="17"/>
      <c r="OCH140" s="15"/>
      <c r="OCW140" s="17"/>
      <c r="OCX140" s="15"/>
      <c r="ODM140" s="17"/>
      <c r="ODN140" s="15"/>
      <c r="OEC140" s="17"/>
      <c r="OED140" s="15"/>
      <c r="OES140" s="17"/>
      <c r="OET140" s="15"/>
      <c r="OFI140" s="17"/>
      <c r="OFJ140" s="15"/>
      <c r="OFY140" s="17"/>
      <c r="OFZ140" s="15"/>
      <c r="OGO140" s="17"/>
      <c r="OGP140" s="15"/>
      <c r="OHE140" s="17"/>
      <c r="OHF140" s="15"/>
      <c r="OHU140" s="17"/>
      <c r="OHV140" s="15"/>
      <c r="OIK140" s="17"/>
      <c r="OIL140" s="15"/>
      <c r="OJA140" s="17"/>
      <c r="OJB140" s="15"/>
      <c r="OJQ140" s="17"/>
      <c r="OJR140" s="15"/>
      <c r="OKG140" s="17"/>
      <c r="OKH140" s="15"/>
      <c r="OKW140" s="17"/>
      <c r="OKX140" s="15"/>
      <c r="OLM140" s="17"/>
      <c r="OLN140" s="15"/>
      <c r="OMC140" s="17"/>
      <c r="OMD140" s="15"/>
      <c r="OMS140" s="17"/>
      <c r="OMT140" s="15"/>
      <c r="ONI140" s="17"/>
      <c r="ONJ140" s="15"/>
      <c r="ONY140" s="17"/>
      <c r="ONZ140" s="15"/>
      <c r="OOO140" s="17"/>
      <c r="OOP140" s="15"/>
      <c r="OPE140" s="17"/>
      <c r="OPF140" s="15"/>
      <c r="OPU140" s="17"/>
      <c r="OPV140" s="15"/>
      <c r="OQK140" s="17"/>
      <c r="OQL140" s="15"/>
      <c r="ORA140" s="17"/>
      <c r="ORB140" s="15"/>
      <c r="ORQ140" s="17"/>
      <c r="ORR140" s="15"/>
      <c r="OSG140" s="17"/>
      <c r="OSH140" s="15"/>
      <c r="OSW140" s="17"/>
      <c r="OSX140" s="15"/>
      <c r="OTM140" s="17"/>
      <c r="OTN140" s="15"/>
      <c r="OUC140" s="17"/>
      <c r="OUD140" s="15"/>
      <c r="OUS140" s="17"/>
      <c r="OUT140" s="15"/>
      <c r="OVI140" s="17"/>
      <c r="OVJ140" s="15"/>
      <c r="OVY140" s="17"/>
      <c r="OVZ140" s="15"/>
      <c r="OWO140" s="17"/>
      <c r="OWP140" s="15"/>
      <c r="OXE140" s="17"/>
      <c r="OXF140" s="15"/>
      <c r="OXU140" s="17"/>
      <c r="OXV140" s="15"/>
      <c r="OYK140" s="17"/>
      <c r="OYL140" s="15"/>
      <c r="OZA140" s="17"/>
      <c r="OZB140" s="15"/>
      <c r="OZQ140" s="17"/>
      <c r="OZR140" s="15"/>
      <c r="PAG140" s="17"/>
      <c r="PAH140" s="15"/>
      <c r="PAW140" s="17"/>
      <c r="PAX140" s="15"/>
      <c r="PBM140" s="17"/>
      <c r="PBN140" s="15"/>
      <c r="PCC140" s="17"/>
      <c r="PCD140" s="15"/>
      <c r="PCS140" s="17"/>
      <c r="PCT140" s="15"/>
      <c r="PDI140" s="17"/>
      <c r="PDJ140" s="15"/>
      <c r="PDY140" s="17"/>
      <c r="PDZ140" s="15"/>
      <c r="PEO140" s="17"/>
      <c r="PEP140" s="15"/>
      <c r="PFE140" s="17"/>
      <c r="PFF140" s="15"/>
      <c r="PFU140" s="17"/>
      <c r="PFV140" s="15"/>
      <c r="PGK140" s="17"/>
      <c r="PGL140" s="15"/>
      <c r="PHA140" s="17"/>
      <c r="PHB140" s="15"/>
      <c r="PHQ140" s="17"/>
      <c r="PHR140" s="15"/>
      <c r="PIG140" s="17"/>
      <c r="PIH140" s="15"/>
      <c r="PIW140" s="17"/>
      <c r="PIX140" s="15"/>
      <c r="PJM140" s="17"/>
      <c r="PJN140" s="15"/>
      <c r="PKC140" s="17"/>
      <c r="PKD140" s="15"/>
      <c r="PKS140" s="17"/>
      <c r="PKT140" s="15"/>
      <c r="PLI140" s="17"/>
      <c r="PLJ140" s="15"/>
      <c r="PLY140" s="17"/>
      <c r="PLZ140" s="15"/>
      <c r="PMO140" s="17"/>
      <c r="PMP140" s="15"/>
      <c r="PNE140" s="17"/>
      <c r="PNF140" s="15"/>
      <c r="PNU140" s="17"/>
      <c r="PNV140" s="15"/>
      <c r="POK140" s="17"/>
      <c r="POL140" s="15"/>
      <c r="PPA140" s="17"/>
      <c r="PPB140" s="15"/>
      <c r="PPQ140" s="17"/>
      <c r="PPR140" s="15"/>
      <c r="PQG140" s="17"/>
      <c r="PQH140" s="15"/>
      <c r="PQW140" s="17"/>
      <c r="PQX140" s="15"/>
      <c r="PRM140" s="17"/>
      <c r="PRN140" s="15"/>
      <c r="PSC140" s="17"/>
      <c r="PSD140" s="15"/>
      <c r="PSS140" s="17"/>
      <c r="PST140" s="15"/>
      <c r="PTI140" s="17"/>
      <c r="PTJ140" s="15"/>
      <c r="PTY140" s="17"/>
      <c r="PTZ140" s="15"/>
      <c r="PUO140" s="17"/>
      <c r="PUP140" s="15"/>
      <c r="PVE140" s="17"/>
      <c r="PVF140" s="15"/>
      <c r="PVU140" s="17"/>
      <c r="PVV140" s="15"/>
      <c r="PWK140" s="17"/>
      <c r="PWL140" s="15"/>
      <c r="PXA140" s="17"/>
      <c r="PXB140" s="15"/>
      <c r="PXQ140" s="17"/>
      <c r="PXR140" s="15"/>
      <c r="PYG140" s="17"/>
      <c r="PYH140" s="15"/>
      <c r="PYW140" s="17"/>
      <c r="PYX140" s="15"/>
      <c r="PZM140" s="17"/>
      <c r="PZN140" s="15"/>
      <c r="QAC140" s="17"/>
      <c r="QAD140" s="15"/>
      <c r="QAS140" s="17"/>
      <c r="QAT140" s="15"/>
      <c r="QBI140" s="17"/>
      <c r="QBJ140" s="15"/>
      <c r="QBY140" s="17"/>
      <c r="QBZ140" s="15"/>
      <c r="QCO140" s="17"/>
      <c r="QCP140" s="15"/>
      <c r="QDE140" s="17"/>
      <c r="QDF140" s="15"/>
      <c r="QDU140" s="17"/>
      <c r="QDV140" s="15"/>
      <c r="QEK140" s="17"/>
      <c r="QEL140" s="15"/>
      <c r="QFA140" s="17"/>
      <c r="QFB140" s="15"/>
      <c r="QFQ140" s="17"/>
      <c r="QFR140" s="15"/>
      <c r="QGG140" s="17"/>
      <c r="QGH140" s="15"/>
      <c r="QGW140" s="17"/>
      <c r="QGX140" s="15"/>
      <c r="QHM140" s="17"/>
      <c r="QHN140" s="15"/>
      <c r="QIC140" s="17"/>
      <c r="QID140" s="15"/>
      <c r="QIS140" s="17"/>
      <c r="QIT140" s="15"/>
      <c r="QJI140" s="17"/>
      <c r="QJJ140" s="15"/>
      <c r="QJY140" s="17"/>
      <c r="QJZ140" s="15"/>
      <c r="QKO140" s="17"/>
      <c r="QKP140" s="15"/>
      <c r="QLE140" s="17"/>
      <c r="QLF140" s="15"/>
      <c r="QLU140" s="17"/>
      <c r="QLV140" s="15"/>
      <c r="QMK140" s="17"/>
      <c r="QML140" s="15"/>
      <c r="QNA140" s="17"/>
      <c r="QNB140" s="15"/>
      <c r="QNQ140" s="17"/>
      <c r="QNR140" s="15"/>
      <c r="QOG140" s="17"/>
      <c r="QOH140" s="15"/>
      <c r="QOW140" s="17"/>
      <c r="QOX140" s="15"/>
      <c r="QPM140" s="17"/>
      <c r="QPN140" s="15"/>
      <c r="QQC140" s="17"/>
      <c r="QQD140" s="15"/>
      <c r="QQS140" s="17"/>
      <c r="QQT140" s="15"/>
      <c r="QRI140" s="17"/>
      <c r="QRJ140" s="15"/>
      <c r="QRY140" s="17"/>
      <c r="QRZ140" s="15"/>
      <c r="QSO140" s="17"/>
      <c r="QSP140" s="15"/>
      <c r="QTE140" s="17"/>
      <c r="QTF140" s="15"/>
      <c r="QTU140" s="17"/>
      <c r="QTV140" s="15"/>
      <c r="QUK140" s="17"/>
      <c r="QUL140" s="15"/>
      <c r="QVA140" s="17"/>
      <c r="QVB140" s="15"/>
      <c r="QVQ140" s="17"/>
      <c r="QVR140" s="15"/>
      <c r="QWG140" s="17"/>
      <c r="QWH140" s="15"/>
      <c r="QWW140" s="17"/>
      <c r="QWX140" s="15"/>
      <c r="QXM140" s="17"/>
      <c r="QXN140" s="15"/>
      <c r="QYC140" s="17"/>
      <c r="QYD140" s="15"/>
      <c r="QYS140" s="17"/>
      <c r="QYT140" s="15"/>
      <c r="QZI140" s="17"/>
      <c r="QZJ140" s="15"/>
      <c r="QZY140" s="17"/>
      <c r="QZZ140" s="15"/>
      <c r="RAO140" s="17"/>
      <c r="RAP140" s="15"/>
      <c r="RBE140" s="17"/>
      <c r="RBF140" s="15"/>
      <c r="RBU140" s="17"/>
      <c r="RBV140" s="15"/>
      <c r="RCK140" s="17"/>
      <c r="RCL140" s="15"/>
      <c r="RDA140" s="17"/>
      <c r="RDB140" s="15"/>
      <c r="RDQ140" s="17"/>
      <c r="RDR140" s="15"/>
      <c r="REG140" s="17"/>
      <c r="REH140" s="15"/>
      <c r="REW140" s="17"/>
      <c r="REX140" s="15"/>
      <c r="RFM140" s="17"/>
      <c r="RFN140" s="15"/>
      <c r="RGC140" s="17"/>
      <c r="RGD140" s="15"/>
      <c r="RGS140" s="17"/>
      <c r="RGT140" s="15"/>
      <c r="RHI140" s="17"/>
      <c r="RHJ140" s="15"/>
      <c r="RHY140" s="17"/>
      <c r="RHZ140" s="15"/>
      <c r="RIO140" s="17"/>
      <c r="RIP140" s="15"/>
      <c r="RJE140" s="17"/>
      <c r="RJF140" s="15"/>
      <c r="RJU140" s="17"/>
      <c r="RJV140" s="15"/>
      <c r="RKK140" s="17"/>
      <c r="RKL140" s="15"/>
      <c r="RLA140" s="17"/>
      <c r="RLB140" s="15"/>
      <c r="RLQ140" s="17"/>
      <c r="RLR140" s="15"/>
      <c r="RMG140" s="17"/>
      <c r="RMH140" s="15"/>
      <c r="RMW140" s="17"/>
      <c r="RMX140" s="15"/>
      <c r="RNM140" s="17"/>
      <c r="RNN140" s="15"/>
      <c r="ROC140" s="17"/>
      <c r="ROD140" s="15"/>
      <c r="ROS140" s="17"/>
      <c r="ROT140" s="15"/>
      <c r="RPI140" s="17"/>
      <c r="RPJ140" s="15"/>
      <c r="RPY140" s="17"/>
      <c r="RPZ140" s="15"/>
      <c r="RQO140" s="17"/>
      <c r="RQP140" s="15"/>
      <c r="RRE140" s="17"/>
      <c r="RRF140" s="15"/>
      <c r="RRU140" s="17"/>
      <c r="RRV140" s="15"/>
      <c r="RSK140" s="17"/>
      <c r="RSL140" s="15"/>
      <c r="RTA140" s="17"/>
      <c r="RTB140" s="15"/>
      <c r="RTQ140" s="17"/>
      <c r="RTR140" s="15"/>
      <c r="RUG140" s="17"/>
      <c r="RUH140" s="15"/>
      <c r="RUW140" s="17"/>
      <c r="RUX140" s="15"/>
      <c r="RVM140" s="17"/>
      <c r="RVN140" s="15"/>
      <c r="RWC140" s="17"/>
      <c r="RWD140" s="15"/>
      <c r="RWS140" s="17"/>
      <c r="RWT140" s="15"/>
      <c r="RXI140" s="17"/>
      <c r="RXJ140" s="15"/>
      <c r="RXY140" s="17"/>
      <c r="RXZ140" s="15"/>
      <c r="RYO140" s="17"/>
      <c r="RYP140" s="15"/>
      <c r="RZE140" s="17"/>
      <c r="RZF140" s="15"/>
      <c r="RZU140" s="17"/>
      <c r="RZV140" s="15"/>
      <c r="SAK140" s="17"/>
      <c r="SAL140" s="15"/>
      <c r="SBA140" s="17"/>
      <c r="SBB140" s="15"/>
      <c r="SBQ140" s="17"/>
      <c r="SBR140" s="15"/>
      <c r="SCG140" s="17"/>
      <c r="SCH140" s="15"/>
      <c r="SCW140" s="17"/>
      <c r="SCX140" s="15"/>
      <c r="SDM140" s="17"/>
      <c r="SDN140" s="15"/>
      <c r="SEC140" s="17"/>
      <c r="SED140" s="15"/>
      <c r="SES140" s="17"/>
      <c r="SET140" s="15"/>
      <c r="SFI140" s="17"/>
      <c r="SFJ140" s="15"/>
      <c r="SFY140" s="17"/>
      <c r="SFZ140" s="15"/>
      <c r="SGO140" s="17"/>
      <c r="SGP140" s="15"/>
      <c r="SHE140" s="17"/>
      <c r="SHF140" s="15"/>
      <c r="SHU140" s="17"/>
      <c r="SHV140" s="15"/>
      <c r="SIK140" s="17"/>
      <c r="SIL140" s="15"/>
      <c r="SJA140" s="17"/>
      <c r="SJB140" s="15"/>
      <c r="SJQ140" s="17"/>
      <c r="SJR140" s="15"/>
      <c r="SKG140" s="17"/>
      <c r="SKH140" s="15"/>
      <c r="SKW140" s="17"/>
      <c r="SKX140" s="15"/>
      <c r="SLM140" s="17"/>
      <c r="SLN140" s="15"/>
      <c r="SMC140" s="17"/>
      <c r="SMD140" s="15"/>
      <c r="SMS140" s="17"/>
      <c r="SMT140" s="15"/>
      <c r="SNI140" s="17"/>
      <c r="SNJ140" s="15"/>
      <c r="SNY140" s="17"/>
      <c r="SNZ140" s="15"/>
      <c r="SOO140" s="17"/>
      <c r="SOP140" s="15"/>
      <c r="SPE140" s="17"/>
      <c r="SPF140" s="15"/>
      <c r="SPU140" s="17"/>
      <c r="SPV140" s="15"/>
      <c r="SQK140" s="17"/>
      <c r="SQL140" s="15"/>
      <c r="SRA140" s="17"/>
      <c r="SRB140" s="15"/>
      <c r="SRQ140" s="17"/>
      <c r="SRR140" s="15"/>
      <c r="SSG140" s="17"/>
      <c r="SSH140" s="15"/>
      <c r="SSW140" s="17"/>
      <c r="SSX140" s="15"/>
      <c r="STM140" s="17"/>
      <c r="STN140" s="15"/>
      <c r="SUC140" s="17"/>
      <c r="SUD140" s="15"/>
      <c r="SUS140" s="17"/>
      <c r="SUT140" s="15"/>
      <c r="SVI140" s="17"/>
      <c r="SVJ140" s="15"/>
      <c r="SVY140" s="17"/>
      <c r="SVZ140" s="15"/>
      <c r="SWO140" s="17"/>
      <c r="SWP140" s="15"/>
      <c r="SXE140" s="17"/>
      <c r="SXF140" s="15"/>
      <c r="SXU140" s="17"/>
      <c r="SXV140" s="15"/>
      <c r="SYK140" s="17"/>
      <c r="SYL140" s="15"/>
      <c r="SZA140" s="17"/>
      <c r="SZB140" s="15"/>
      <c r="SZQ140" s="17"/>
      <c r="SZR140" s="15"/>
      <c r="TAG140" s="17"/>
      <c r="TAH140" s="15"/>
      <c r="TAW140" s="17"/>
      <c r="TAX140" s="15"/>
      <c r="TBM140" s="17"/>
      <c r="TBN140" s="15"/>
      <c r="TCC140" s="17"/>
      <c r="TCD140" s="15"/>
      <c r="TCS140" s="17"/>
      <c r="TCT140" s="15"/>
      <c r="TDI140" s="17"/>
      <c r="TDJ140" s="15"/>
      <c r="TDY140" s="17"/>
      <c r="TDZ140" s="15"/>
      <c r="TEO140" s="17"/>
      <c r="TEP140" s="15"/>
      <c r="TFE140" s="17"/>
      <c r="TFF140" s="15"/>
      <c r="TFU140" s="17"/>
      <c r="TFV140" s="15"/>
      <c r="TGK140" s="17"/>
      <c r="TGL140" s="15"/>
      <c r="THA140" s="17"/>
      <c r="THB140" s="15"/>
      <c r="THQ140" s="17"/>
      <c r="THR140" s="15"/>
      <c r="TIG140" s="17"/>
      <c r="TIH140" s="15"/>
      <c r="TIW140" s="17"/>
      <c r="TIX140" s="15"/>
      <c r="TJM140" s="17"/>
      <c r="TJN140" s="15"/>
      <c r="TKC140" s="17"/>
      <c r="TKD140" s="15"/>
      <c r="TKS140" s="17"/>
      <c r="TKT140" s="15"/>
      <c r="TLI140" s="17"/>
      <c r="TLJ140" s="15"/>
      <c r="TLY140" s="17"/>
      <c r="TLZ140" s="15"/>
      <c r="TMO140" s="17"/>
      <c r="TMP140" s="15"/>
      <c r="TNE140" s="17"/>
      <c r="TNF140" s="15"/>
      <c r="TNU140" s="17"/>
      <c r="TNV140" s="15"/>
      <c r="TOK140" s="17"/>
      <c r="TOL140" s="15"/>
      <c r="TPA140" s="17"/>
      <c r="TPB140" s="15"/>
      <c r="TPQ140" s="17"/>
      <c r="TPR140" s="15"/>
      <c r="TQG140" s="17"/>
      <c r="TQH140" s="15"/>
      <c r="TQW140" s="17"/>
      <c r="TQX140" s="15"/>
      <c r="TRM140" s="17"/>
      <c r="TRN140" s="15"/>
      <c r="TSC140" s="17"/>
      <c r="TSD140" s="15"/>
      <c r="TSS140" s="17"/>
      <c r="TST140" s="15"/>
      <c r="TTI140" s="17"/>
      <c r="TTJ140" s="15"/>
      <c r="TTY140" s="17"/>
      <c r="TTZ140" s="15"/>
      <c r="TUO140" s="17"/>
      <c r="TUP140" s="15"/>
      <c r="TVE140" s="17"/>
      <c r="TVF140" s="15"/>
      <c r="TVU140" s="17"/>
      <c r="TVV140" s="15"/>
      <c r="TWK140" s="17"/>
      <c r="TWL140" s="15"/>
      <c r="TXA140" s="17"/>
      <c r="TXB140" s="15"/>
      <c r="TXQ140" s="17"/>
      <c r="TXR140" s="15"/>
      <c r="TYG140" s="17"/>
      <c r="TYH140" s="15"/>
      <c r="TYW140" s="17"/>
      <c r="TYX140" s="15"/>
      <c r="TZM140" s="17"/>
      <c r="TZN140" s="15"/>
      <c r="UAC140" s="17"/>
      <c r="UAD140" s="15"/>
      <c r="UAS140" s="17"/>
      <c r="UAT140" s="15"/>
      <c r="UBI140" s="17"/>
      <c r="UBJ140" s="15"/>
      <c r="UBY140" s="17"/>
      <c r="UBZ140" s="15"/>
      <c r="UCO140" s="17"/>
      <c r="UCP140" s="15"/>
      <c r="UDE140" s="17"/>
      <c r="UDF140" s="15"/>
      <c r="UDU140" s="17"/>
      <c r="UDV140" s="15"/>
      <c r="UEK140" s="17"/>
      <c r="UEL140" s="15"/>
      <c r="UFA140" s="17"/>
      <c r="UFB140" s="15"/>
      <c r="UFQ140" s="17"/>
      <c r="UFR140" s="15"/>
      <c r="UGG140" s="17"/>
      <c r="UGH140" s="15"/>
      <c r="UGW140" s="17"/>
      <c r="UGX140" s="15"/>
      <c r="UHM140" s="17"/>
      <c r="UHN140" s="15"/>
      <c r="UIC140" s="17"/>
      <c r="UID140" s="15"/>
      <c r="UIS140" s="17"/>
      <c r="UIT140" s="15"/>
      <c r="UJI140" s="17"/>
      <c r="UJJ140" s="15"/>
      <c r="UJY140" s="17"/>
      <c r="UJZ140" s="15"/>
      <c r="UKO140" s="17"/>
      <c r="UKP140" s="15"/>
      <c r="ULE140" s="17"/>
      <c r="ULF140" s="15"/>
      <c r="ULU140" s="17"/>
      <c r="ULV140" s="15"/>
      <c r="UMK140" s="17"/>
      <c r="UML140" s="15"/>
      <c r="UNA140" s="17"/>
      <c r="UNB140" s="15"/>
      <c r="UNQ140" s="17"/>
      <c r="UNR140" s="15"/>
      <c r="UOG140" s="17"/>
      <c r="UOH140" s="15"/>
      <c r="UOW140" s="17"/>
      <c r="UOX140" s="15"/>
      <c r="UPM140" s="17"/>
      <c r="UPN140" s="15"/>
      <c r="UQC140" s="17"/>
      <c r="UQD140" s="15"/>
      <c r="UQS140" s="17"/>
      <c r="UQT140" s="15"/>
      <c r="URI140" s="17"/>
      <c r="URJ140" s="15"/>
      <c r="URY140" s="17"/>
      <c r="URZ140" s="15"/>
      <c r="USO140" s="17"/>
      <c r="USP140" s="15"/>
      <c r="UTE140" s="17"/>
      <c r="UTF140" s="15"/>
      <c r="UTU140" s="17"/>
      <c r="UTV140" s="15"/>
      <c r="UUK140" s="17"/>
      <c r="UUL140" s="15"/>
      <c r="UVA140" s="17"/>
      <c r="UVB140" s="15"/>
      <c r="UVQ140" s="17"/>
      <c r="UVR140" s="15"/>
      <c r="UWG140" s="17"/>
      <c r="UWH140" s="15"/>
      <c r="UWW140" s="17"/>
      <c r="UWX140" s="15"/>
      <c r="UXM140" s="17"/>
      <c r="UXN140" s="15"/>
      <c r="UYC140" s="17"/>
      <c r="UYD140" s="15"/>
      <c r="UYS140" s="17"/>
      <c r="UYT140" s="15"/>
      <c r="UZI140" s="17"/>
      <c r="UZJ140" s="15"/>
      <c r="UZY140" s="17"/>
      <c r="UZZ140" s="15"/>
      <c r="VAO140" s="17"/>
      <c r="VAP140" s="15"/>
      <c r="VBE140" s="17"/>
      <c r="VBF140" s="15"/>
      <c r="VBU140" s="17"/>
      <c r="VBV140" s="15"/>
      <c r="VCK140" s="17"/>
      <c r="VCL140" s="15"/>
      <c r="VDA140" s="17"/>
      <c r="VDB140" s="15"/>
      <c r="VDQ140" s="17"/>
      <c r="VDR140" s="15"/>
      <c r="VEG140" s="17"/>
      <c r="VEH140" s="15"/>
      <c r="VEW140" s="17"/>
      <c r="VEX140" s="15"/>
      <c r="VFM140" s="17"/>
      <c r="VFN140" s="15"/>
      <c r="VGC140" s="17"/>
      <c r="VGD140" s="15"/>
      <c r="VGS140" s="17"/>
      <c r="VGT140" s="15"/>
      <c r="VHI140" s="17"/>
      <c r="VHJ140" s="15"/>
      <c r="VHY140" s="17"/>
      <c r="VHZ140" s="15"/>
      <c r="VIO140" s="17"/>
      <c r="VIP140" s="15"/>
      <c r="VJE140" s="17"/>
      <c r="VJF140" s="15"/>
      <c r="VJU140" s="17"/>
      <c r="VJV140" s="15"/>
      <c r="VKK140" s="17"/>
      <c r="VKL140" s="15"/>
      <c r="VLA140" s="17"/>
      <c r="VLB140" s="15"/>
      <c r="VLQ140" s="17"/>
      <c r="VLR140" s="15"/>
      <c r="VMG140" s="17"/>
      <c r="VMH140" s="15"/>
      <c r="VMW140" s="17"/>
      <c r="VMX140" s="15"/>
      <c r="VNM140" s="17"/>
      <c r="VNN140" s="15"/>
      <c r="VOC140" s="17"/>
      <c r="VOD140" s="15"/>
      <c r="VOS140" s="17"/>
      <c r="VOT140" s="15"/>
      <c r="VPI140" s="17"/>
      <c r="VPJ140" s="15"/>
      <c r="VPY140" s="17"/>
      <c r="VPZ140" s="15"/>
      <c r="VQO140" s="17"/>
      <c r="VQP140" s="15"/>
      <c r="VRE140" s="17"/>
      <c r="VRF140" s="15"/>
      <c r="VRU140" s="17"/>
      <c r="VRV140" s="15"/>
      <c r="VSK140" s="17"/>
      <c r="VSL140" s="15"/>
      <c r="VTA140" s="17"/>
      <c r="VTB140" s="15"/>
      <c r="VTQ140" s="17"/>
      <c r="VTR140" s="15"/>
      <c r="VUG140" s="17"/>
      <c r="VUH140" s="15"/>
      <c r="VUW140" s="17"/>
      <c r="VUX140" s="15"/>
      <c r="VVM140" s="17"/>
      <c r="VVN140" s="15"/>
      <c r="VWC140" s="17"/>
      <c r="VWD140" s="15"/>
      <c r="VWS140" s="17"/>
      <c r="VWT140" s="15"/>
      <c r="VXI140" s="17"/>
      <c r="VXJ140" s="15"/>
      <c r="VXY140" s="17"/>
      <c r="VXZ140" s="15"/>
      <c r="VYO140" s="17"/>
      <c r="VYP140" s="15"/>
      <c r="VZE140" s="17"/>
      <c r="VZF140" s="15"/>
      <c r="VZU140" s="17"/>
      <c r="VZV140" s="15"/>
      <c r="WAK140" s="17"/>
      <c r="WAL140" s="15"/>
      <c r="WBA140" s="17"/>
      <c r="WBB140" s="15"/>
      <c r="WBQ140" s="17"/>
      <c r="WBR140" s="15"/>
      <c r="WCG140" s="17"/>
      <c r="WCH140" s="15"/>
      <c r="WCW140" s="17"/>
      <c r="WCX140" s="15"/>
      <c r="WDM140" s="17"/>
      <c r="WDN140" s="15"/>
      <c r="WEC140" s="17"/>
      <c r="WED140" s="15"/>
      <c r="WES140" s="17"/>
      <c r="WET140" s="15"/>
      <c r="WFI140" s="17"/>
      <c r="WFJ140" s="15"/>
      <c r="WFY140" s="17"/>
      <c r="WFZ140" s="15"/>
      <c r="WGO140" s="17"/>
      <c r="WGP140" s="15"/>
      <c r="WHE140" s="17"/>
      <c r="WHF140" s="15"/>
      <c r="WHU140" s="17"/>
      <c r="WHV140" s="15"/>
      <c r="WIK140" s="17"/>
      <c r="WIL140" s="15"/>
      <c r="WJA140" s="17"/>
      <c r="WJB140" s="15"/>
      <c r="WJQ140" s="17"/>
      <c r="WJR140" s="15"/>
      <c r="WKG140" s="17"/>
      <c r="WKH140" s="15"/>
      <c r="WKW140" s="17"/>
      <c r="WKX140" s="15"/>
      <c r="WLM140" s="17"/>
      <c r="WLN140" s="15"/>
      <c r="WMC140" s="17"/>
      <c r="WMD140" s="15"/>
      <c r="WMS140" s="17"/>
      <c r="WMT140" s="15"/>
      <c r="WNI140" s="17"/>
      <c r="WNJ140" s="15"/>
      <c r="WNY140" s="17"/>
      <c r="WNZ140" s="15"/>
      <c r="WOO140" s="17"/>
      <c r="WOP140" s="15"/>
      <c r="WPE140" s="17"/>
      <c r="WPF140" s="15"/>
      <c r="WPU140" s="17"/>
      <c r="WPV140" s="15"/>
      <c r="WQK140" s="17"/>
      <c r="WQL140" s="15"/>
      <c r="WRA140" s="17"/>
      <c r="WRB140" s="15"/>
      <c r="WRQ140" s="17"/>
      <c r="WRR140" s="15"/>
      <c r="WSG140" s="17"/>
      <c r="WSH140" s="15"/>
      <c r="WSW140" s="17"/>
      <c r="WSX140" s="15"/>
      <c r="WTM140" s="17"/>
      <c r="WTN140" s="15"/>
      <c r="WUC140" s="17"/>
      <c r="WUD140" s="15"/>
      <c r="WUS140" s="17"/>
      <c r="WUT140" s="15"/>
      <c r="WVI140" s="17"/>
      <c r="WVJ140" s="15"/>
      <c r="WVY140" s="17"/>
      <c r="WVZ140" s="15"/>
      <c r="WWO140" s="17"/>
      <c r="WWP140" s="15"/>
      <c r="WXE140" s="17"/>
      <c r="WXF140" s="15"/>
      <c r="WXU140" s="17"/>
      <c r="WXV140" s="15"/>
      <c r="WYK140" s="17"/>
      <c r="WYL140" s="15"/>
      <c r="WZA140" s="17"/>
      <c r="WZB140" s="15"/>
      <c r="WZQ140" s="17"/>
      <c r="WZR140" s="15"/>
      <c r="XAG140" s="17"/>
      <c r="XAH140" s="15"/>
      <c r="XAW140" s="17"/>
      <c r="XAX140" s="15"/>
      <c r="XBM140" s="17"/>
      <c r="XBN140" s="15"/>
      <c r="XCC140" s="17"/>
      <c r="XCD140" s="15"/>
      <c r="XCS140" s="17"/>
      <c r="XCT140" s="15"/>
      <c r="XDI140" s="17"/>
      <c r="XDJ140" s="15"/>
      <c r="XDY140" s="17"/>
      <c r="XDZ140" s="15"/>
      <c r="XEO140" s="17"/>
      <c r="XEP140" s="15"/>
    </row>
    <row r="141" spans="1:1010 1025:2034 2049:3058 3073:4082 4097:5106 5121:6130 6145:7154 7169:8178 8193:9202 9217:10226 10241:11250 11265:12274 12289:13298 13313:14322 14337:15346 15361:16370" s="16" customFormat="1" ht="17.100000000000001" customHeight="1">
      <c r="A141" s="22">
        <v>45922</v>
      </c>
      <c r="B141" s="15" t="s">
        <v>440</v>
      </c>
      <c r="C141" s="16" t="s">
        <v>2750</v>
      </c>
      <c r="D141" s="16" t="s">
        <v>2755</v>
      </c>
      <c r="E141" s="16" t="s">
        <v>2752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275</v>
      </c>
      <c r="O141" s="16" t="s">
        <v>2757</v>
      </c>
      <c r="P141" s="16" t="s">
        <v>2779</v>
      </c>
      <c r="Q141" s="17" t="s">
        <v>2784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17"/>
      <c r="AH141" s="15"/>
      <c r="AW141" s="17"/>
      <c r="AX141" s="15"/>
      <c r="BM141" s="17"/>
      <c r="BN141" s="15"/>
      <c r="CC141" s="17"/>
      <c r="CD141" s="15"/>
      <c r="CS141" s="17"/>
      <c r="CT141" s="15"/>
      <c r="DI141" s="17"/>
      <c r="DJ141" s="15"/>
      <c r="DY141" s="17"/>
      <c r="DZ141" s="15"/>
      <c r="EO141" s="17"/>
      <c r="EP141" s="15"/>
      <c r="FE141" s="17"/>
      <c r="FF141" s="15"/>
      <c r="FU141" s="17"/>
      <c r="FV141" s="15"/>
      <c r="GK141" s="17"/>
      <c r="GL141" s="15"/>
      <c r="HA141" s="17"/>
      <c r="HB141" s="15"/>
      <c r="HQ141" s="17"/>
      <c r="HR141" s="15"/>
      <c r="IG141" s="17"/>
      <c r="IH141" s="15"/>
      <c r="IW141" s="17"/>
      <c r="IX141" s="15"/>
      <c r="JM141" s="17"/>
      <c r="JN141" s="15"/>
      <c r="KC141" s="17"/>
      <c r="KD141" s="15"/>
      <c r="KS141" s="17"/>
      <c r="KT141" s="15"/>
      <c r="LI141" s="17"/>
      <c r="LJ141" s="15"/>
      <c r="LY141" s="17"/>
      <c r="LZ141" s="15"/>
      <c r="MO141" s="17"/>
      <c r="MP141" s="15"/>
      <c r="NE141" s="17"/>
      <c r="NF141" s="15"/>
      <c r="NU141" s="17"/>
      <c r="NV141" s="15"/>
      <c r="OK141" s="17"/>
      <c r="OL141" s="15"/>
      <c r="PA141" s="17"/>
      <c r="PB141" s="15"/>
      <c r="PQ141" s="17"/>
      <c r="PR141" s="15"/>
      <c r="QG141" s="17"/>
      <c r="QH141" s="15"/>
      <c r="QW141" s="17"/>
      <c r="QX141" s="15"/>
      <c r="RM141" s="17"/>
      <c r="RN141" s="15"/>
      <c r="SC141" s="17"/>
      <c r="SD141" s="15"/>
      <c r="SS141" s="17"/>
      <c r="ST141" s="15"/>
      <c r="TI141" s="17"/>
      <c r="TJ141" s="15"/>
      <c r="TY141" s="17"/>
      <c r="TZ141" s="15"/>
      <c r="UO141" s="17"/>
      <c r="UP141" s="15"/>
      <c r="VE141" s="17"/>
      <c r="VF141" s="15"/>
      <c r="VU141" s="17"/>
      <c r="VV141" s="15"/>
      <c r="WK141" s="17"/>
      <c r="WL141" s="15"/>
      <c r="XA141" s="17"/>
      <c r="XB141" s="15"/>
      <c r="XQ141" s="17"/>
      <c r="XR141" s="15"/>
      <c r="YG141" s="17"/>
      <c r="YH141" s="15"/>
      <c r="YW141" s="17"/>
      <c r="YX141" s="15"/>
      <c r="ZM141" s="17"/>
      <c r="ZN141" s="15"/>
      <c r="AAC141" s="17"/>
      <c r="AAD141" s="15"/>
      <c r="AAS141" s="17"/>
      <c r="AAT141" s="15"/>
      <c r="ABI141" s="17"/>
      <c r="ABJ141" s="15"/>
      <c r="ABY141" s="17"/>
      <c r="ABZ141" s="15"/>
      <c r="ACO141" s="17"/>
      <c r="ACP141" s="15"/>
      <c r="ADE141" s="17"/>
      <c r="ADF141" s="15"/>
      <c r="ADU141" s="17"/>
      <c r="ADV141" s="15"/>
      <c r="AEK141" s="17"/>
      <c r="AEL141" s="15"/>
      <c r="AFA141" s="17"/>
      <c r="AFB141" s="15"/>
      <c r="AFQ141" s="17"/>
      <c r="AFR141" s="15"/>
      <c r="AGG141" s="17"/>
      <c r="AGH141" s="15"/>
      <c r="AGW141" s="17"/>
      <c r="AGX141" s="15"/>
      <c r="AHM141" s="17"/>
      <c r="AHN141" s="15"/>
      <c r="AIC141" s="17"/>
      <c r="AID141" s="15"/>
      <c r="AIS141" s="17"/>
      <c r="AIT141" s="15"/>
      <c r="AJI141" s="17"/>
      <c r="AJJ141" s="15"/>
      <c r="AJY141" s="17"/>
      <c r="AJZ141" s="15"/>
      <c r="AKO141" s="17"/>
      <c r="AKP141" s="15"/>
      <c r="ALE141" s="17"/>
      <c r="ALF141" s="15"/>
      <c r="ALU141" s="17"/>
      <c r="ALV141" s="15"/>
      <c r="AMK141" s="17"/>
      <c r="AML141" s="15"/>
      <c r="ANA141" s="17"/>
      <c r="ANB141" s="15"/>
      <c r="ANQ141" s="17"/>
      <c r="ANR141" s="15"/>
      <c r="AOG141" s="17"/>
      <c r="AOH141" s="15"/>
      <c r="AOW141" s="17"/>
      <c r="AOX141" s="15"/>
      <c r="APM141" s="17"/>
      <c r="APN141" s="15"/>
      <c r="AQC141" s="17"/>
      <c r="AQD141" s="15"/>
      <c r="AQS141" s="17"/>
      <c r="AQT141" s="15"/>
      <c r="ARI141" s="17"/>
      <c r="ARJ141" s="15"/>
      <c r="ARY141" s="17"/>
      <c r="ARZ141" s="15"/>
      <c r="ASO141" s="17"/>
      <c r="ASP141" s="15"/>
      <c r="ATE141" s="17"/>
      <c r="ATF141" s="15"/>
      <c r="ATU141" s="17"/>
      <c r="ATV141" s="15"/>
      <c r="AUK141" s="17"/>
      <c r="AUL141" s="15"/>
      <c r="AVA141" s="17"/>
      <c r="AVB141" s="15"/>
      <c r="AVQ141" s="17"/>
      <c r="AVR141" s="15"/>
      <c r="AWG141" s="17"/>
      <c r="AWH141" s="15"/>
      <c r="AWW141" s="17"/>
      <c r="AWX141" s="15"/>
      <c r="AXM141" s="17"/>
      <c r="AXN141" s="15"/>
      <c r="AYC141" s="17"/>
      <c r="AYD141" s="15"/>
      <c r="AYS141" s="17"/>
      <c r="AYT141" s="15"/>
      <c r="AZI141" s="17"/>
      <c r="AZJ141" s="15"/>
      <c r="AZY141" s="17"/>
      <c r="AZZ141" s="15"/>
      <c r="BAO141" s="17"/>
      <c r="BAP141" s="15"/>
      <c r="BBE141" s="17"/>
      <c r="BBF141" s="15"/>
      <c r="BBU141" s="17"/>
      <c r="BBV141" s="15"/>
      <c r="BCK141" s="17"/>
      <c r="BCL141" s="15"/>
      <c r="BDA141" s="17"/>
      <c r="BDB141" s="15"/>
      <c r="BDQ141" s="17"/>
      <c r="BDR141" s="15"/>
      <c r="BEG141" s="17"/>
      <c r="BEH141" s="15"/>
      <c r="BEW141" s="17"/>
      <c r="BEX141" s="15"/>
      <c r="BFM141" s="17"/>
      <c r="BFN141" s="15"/>
      <c r="BGC141" s="17"/>
      <c r="BGD141" s="15"/>
      <c r="BGS141" s="17"/>
      <c r="BGT141" s="15"/>
      <c r="BHI141" s="17"/>
      <c r="BHJ141" s="15"/>
      <c r="BHY141" s="17"/>
      <c r="BHZ141" s="15"/>
      <c r="BIO141" s="17"/>
      <c r="BIP141" s="15"/>
      <c r="BJE141" s="17"/>
      <c r="BJF141" s="15"/>
      <c r="BJU141" s="17"/>
      <c r="BJV141" s="15"/>
      <c r="BKK141" s="17"/>
      <c r="BKL141" s="15"/>
      <c r="BLA141" s="17"/>
      <c r="BLB141" s="15"/>
      <c r="BLQ141" s="17"/>
      <c r="BLR141" s="15"/>
      <c r="BMG141" s="17"/>
      <c r="BMH141" s="15"/>
      <c r="BMW141" s="17"/>
      <c r="BMX141" s="15"/>
      <c r="BNM141" s="17"/>
      <c r="BNN141" s="15"/>
      <c r="BOC141" s="17"/>
      <c r="BOD141" s="15"/>
      <c r="BOS141" s="17"/>
      <c r="BOT141" s="15"/>
      <c r="BPI141" s="17"/>
      <c r="BPJ141" s="15"/>
      <c r="BPY141" s="17"/>
      <c r="BPZ141" s="15"/>
      <c r="BQO141" s="17"/>
      <c r="BQP141" s="15"/>
      <c r="BRE141" s="17"/>
      <c r="BRF141" s="15"/>
      <c r="BRU141" s="17"/>
      <c r="BRV141" s="15"/>
      <c r="BSK141" s="17"/>
      <c r="BSL141" s="15"/>
      <c r="BTA141" s="17"/>
      <c r="BTB141" s="15"/>
      <c r="BTQ141" s="17"/>
      <c r="BTR141" s="15"/>
      <c r="BUG141" s="17"/>
      <c r="BUH141" s="15"/>
      <c r="BUW141" s="17"/>
      <c r="BUX141" s="15"/>
      <c r="BVM141" s="17"/>
      <c r="BVN141" s="15"/>
      <c r="BWC141" s="17"/>
      <c r="BWD141" s="15"/>
      <c r="BWS141" s="17"/>
      <c r="BWT141" s="15"/>
      <c r="BXI141" s="17"/>
      <c r="BXJ141" s="15"/>
      <c r="BXY141" s="17"/>
      <c r="BXZ141" s="15"/>
      <c r="BYO141" s="17"/>
      <c r="BYP141" s="15"/>
      <c r="BZE141" s="17"/>
      <c r="BZF141" s="15"/>
      <c r="BZU141" s="17"/>
      <c r="BZV141" s="15"/>
      <c r="CAK141" s="17"/>
      <c r="CAL141" s="15"/>
      <c r="CBA141" s="17"/>
      <c r="CBB141" s="15"/>
      <c r="CBQ141" s="17"/>
      <c r="CBR141" s="15"/>
      <c r="CCG141" s="17"/>
      <c r="CCH141" s="15"/>
      <c r="CCW141" s="17"/>
      <c r="CCX141" s="15"/>
      <c r="CDM141" s="17"/>
      <c r="CDN141" s="15"/>
      <c r="CEC141" s="17"/>
      <c r="CED141" s="15"/>
      <c r="CES141" s="17"/>
      <c r="CET141" s="15"/>
      <c r="CFI141" s="17"/>
      <c r="CFJ141" s="15"/>
      <c r="CFY141" s="17"/>
      <c r="CFZ141" s="15"/>
      <c r="CGO141" s="17"/>
      <c r="CGP141" s="15"/>
      <c r="CHE141" s="17"/>
      <c r="CHF141" s="15"/>
      <c r="CHU141" s="17"/>
      <c r="CHV141" s="15"/>
      <c r="CIK141" s="17"/>
      <c r="CIL141" s="15"/>
      <c r="CJA141" s="17"/>
      <c r="CJB141" s="15"/>
      <c r="CJQ141" s="17"/>
      <c r="CJR141" s="15"/>
      <c r="CKG141" s="17"/>
      <c r="CKH141" s="15"/>
      <c r="CKW141" s="17"/>
      <c r="CKX141" s="15"/>
      <c r="CLM141" s="17"/>
      <c r="CLN141" s="15"/>
      <c r="CMC141" s="17"/>
      <c r="CMD141" s="15"/>
      <c r="CMS141" s="17"/>
      <c r="CMT141" s="15"/>
      <c r="CNI141" s="17"/>
      <c r="CNJ141" s="15"/>
      <c r="CNY141" s="17"/>
      <c r="CNZ141" s="15"/>
      <c r="COO141" s="17"/>
      <c r="COP141" s="15"/>
      <c r="CPE141" s="17"/>
      <c r="CPF141" s="15"/>
      <c r="CPU141" s="17"/>
      <c r="CPV141" s="15"/>
      <c r="CQK141" s="17"/>
      <c r="CQL141" s="15"/>
      <c r="CRA141" s="17"/>
      <c r="CRB141" s="15"/>
      <c r="CRQ141" s="17"/>
      <c r="CRR141" s="15"/>
      <c r="CSG141" s="17"/>
      <c r="CSH141" s="15"/>
      <c r="CSW141" s="17"/>
      <c r="CSX141" s="15"/>
      <c r="CTM141" s="17"/>
      <c r="CTN141" s="15"/>
      <c r="CUC141" s="17"/>
      <c r="CUD141" s="15"/>
      <c r="CUS141" s="17"/>
      <c r="CUT141" s="15"/>
      <c r="CVI141" s="17"/>
      <c r="CVJ141" s="15"/>
      <c r="CVY141" s="17"/>
      <c r="CVZ141" s="15"/>
      <c r="CWO141" s="17"/>
      <c r="CWP141" s="15"/>
      <c r="CXE141" s="17"/>
      <c r="CXF141" s="15"/>
      <c r="CXU141" s="17"/>
      <c r="CXV141" s="15"/>
      <c r="CYK141" s="17"/>
      <c r="CYL141" s="15"/>
      <c r="CZA141" s="17"/>
      <c r="CZB141" s="15"/>
      <c r="CZQ141" s="17"/>
      <c r="CZR141" s="15"/>
      <c r="DAG141" s="17"/>
      <c r="DAH141" s="15"/>
      <c r="DAW141" s="17"/>
      <c r="DAX141" s="15"/>
      <c r="DBM141" s="17"/>
      <c r="DBN141" s="15"/>
      <c r="DCC141" s="17"/>
      <c r="DCD141" s="15"/>
      <c r="DCS141" s="17"/>
      <c r="DCT141" s="15"/>
      <c r="DDI141" s="17"/>
      <c r="DDJ141" s="15"/>
      <c r="DDY141" s="17"/>
      <c r="DDZ141" s="15"/>
      <c r="DEO141" s="17"/>
      <c r="DEP141" s="15"/>
      <c r="DFE141" s="17"/>
      <c r="DFF141" s="15"/>
      <c r="DFU141" s="17"/>
      <c r="DFV141" s="15"/>
      <c r="DGK141" s="17"/>
      <c r="DGL141" s="15"/>
      <c r="DHA141" s="17"/>
      <c r="DHB141" s="15"/>
      <c r="DHQ141" s="17"/>
      <c r="DHR141" s="15"/>
      <c r="DIG141" s="17"/>
      <c r="DIH141" s="15"/>
      <c r="DIW141" s="17"/>
      <c r="DIX141" s="15"/>
      <c r="DJM141" s="17"/>
      <c r="DJN141" s="15"/>
      <c r="DKC141" s="17"/>
      <c r="DKD141" s="15"/>
      <c r="DKS141" s="17"/>
      <c r="DKT141" s="15"/>
      <c r="DLI141" s="17"/>
      <c r="DLJ141" s="15"/>
      <c r="DLY141" s="17"/>
      <c r="DLZ141" s="15"/>
      <c r="DMO141" s="17"/>
      <c r="DMP141" s="15"/>
      <c r="DNE141" s="17"/>
      <c r="DNF141" s="15"/>
      <c r="DNU141" s="17"/>
      <c r="DNV141" s="15"/>
      <c r="DOK141" s="17"/>
      <c r="DOL141" s="15"/>
      <c r="DPA141" s="17"/>
      <c r="DPB141" s="15"/>
      <c r="DPQ141" s="17"/>
      <c r="DPR141" s="15"/>
      <c r="DQG141" s="17"/>
      <c r="DQH141" s="15"/>
      <c r="DQW141" s="17"/>
      <c r="DQX141" s="15"/>
      <c r="DRM141" s="17"/>
      <c r="DRN141" s="15"/>
      <c r="DSC141" s="17"/>
      <c r="DSD141" s="15"/>
      <c r="DSS141" s="17"/>
      <c r="DST141" s="15"/>
      <c r="DTI141" s="17"/>
      <c r="DTJ141" s="15"/>
      <c r="DTY141" s="17"/>
      <c r="DTZ141" s="15"/>
      <c r="DUO141" s="17"/>
      <c r="DUP141" s="15"/>
      <c r="DVE141" s="17"/>
      <c r="DVF141" s="15"/>
      <c r="DVU141" s="17"/>
      <c r="DVV141" s="15"/>
      <c r="DWK141" s="17"/>
      <c r="DWL141" s="15"/>
      <c r="DXA141" s="17"/>
      <c r="DXB141" s="15"/>
      <c r="DXQ141" s="17"/>
      <c r="DXR141" s="15"/>
      <c r="DYG141" s="17"/>
      <c r="DYH141" s="15"/>
      <c r="DYW141" s="17"/>
      <c r="DYX141" s="15"/>
      <c r="DZM141" s="17"/>
      <c r="DZN141" s="15"/>
      <c r="EAC141" s="17"/>
      <c r="EAD141" s="15"/>
      <c r="EAS141" s="17"/>
      <c r="EAT141" s="15"/>
      <c r="EBI141" s="17"/>
      <c r="EBJ141" s="15"/>
      <c r="EBY141" s="17"/>
      <c r="EBZ141" s="15"/>
      <c r="ECO141" s="17"/>
      <c r="ECP141" s="15"/>
      <c r="EDE141" s="17"/>
      <c r="EDF141" s="15"/>
      <c r="EDU141" s="17"/>
      <c r="EDV141" s="15"/>
      <c r="EEK141" s="17"/>
      <c r="EEL141" s="15"/>
      <c r="EFA141" s="17"/>
      <c r="EFB141" s="15"/>
      <c r="EFQ141" s="17"/>
      <c r="EFR141" s="15"/>
      <c r="EGG141" s="17"/>
      <c r="EGH141" s="15"/>
      <c r="EGW141" s="17"/>
      <c r="EGX141" s="15"/>
      <c r="EHM141" s="17"/>
      <c r="EHN141" s="15"/>
      <c r="EIC141" s="17"/>
      <c r="EID141" s="15"/>
      <c r="EIS141" s="17"/>
      <c r="EIT141" s="15"/>
      <c r="EJI141" s="17"/>
      <c r="EJJ141" s="15"/>
      <c r="EJY141" s="17"/>
      <c r="EJZ141" s="15"/>
      <c r="EKO141" s="17"/>
      <c r="EKP141" s="15"/>
      <c r="ELE141" s="17"/>
      <c r="ELF141" s="15"/>
      <c r="ELU141" s="17"/>
      <c r="ELV141" s="15"/>
      <c r="EMK141" s="17"/>
      <c r="EML141" s="15"/>
      <c r="ENA141" s="17"/>
      <c r="ENB141" s="15"/>
      <c r="ENQ141" s="17"/>
      <c r="ENR141" s="15"/>
      <c r="EOG141" s="17"/>
      <c r="EOH141" s="15"/>
      <c r="EOW141" s="17"/>
      <c r="EOX141" s="15"/>
      <c r="EPM141" s="17"/>
      <c r="EPN141" s="15"/>
      <c r="EQC141" s="17"/>
      <c r="EQD141" s="15"/>
      <c r="EQS141" s="17"/>
      <c r="EQT141" s="15"/>
      <c r="ERI141" s="17"/>
      <c r="ERJ141" s="15"/>
      <c r="ERY141" s="17"/>
      <c r="ERZ141" s="15"/>
      <c r="ESO141" s="17"/>
      <c r="ESP141" s="15"/>
      <c r="ETE141" s="17"/>
      <c r="ETF141" s="15"/>
      <c r="ETU141" s="17"/>
      <c r="ETV141" s="15"/>
      <c r="EUK141" s="17"/>
      <c r="EUL141" s="15"/>
      <c r="EVA141" s="17"/>
      <c r="EVB141" s="15"/>
      <c r="EVQ141" s="17"/>
      <c r="EVR141" s="15"/>
      <c r="EWG141" s="17"/>
      <c r="EWH141" s="15"/>
      <c r="EWW141" s="17"/>
      <c r="EWX141" s="15"/>
      <c r="EXM141" s="17"/>
      <c r="EXN141" s="15"/>
      <c r="EYC141" s="17"/>
      <c r="EYD141" s="15"/>
      <c r="EYS141" s="17"/>
      <c r="EYT141" s="15"/>
      <c r="EZI141" s="17"/>
      <c r="EZJ141" s="15"/>
      <c r="EZY141" s="17"/>
      <c r="EZZ141" s="15"/>
      <c r="FAO141" s="17"/>
      <c r="FAP141" s="15"/>
      <c r="FBE141" s="17"/>
      <c r="FBF141" s="15"/>
      <c r="FBU141" s="17"/>
      <c r="FBV141" s="15"/>
      <c r="FCK141" s="17"/>
      <c r="FCL141" s="15"/>
      <c r="FDA141" s="17"/>
      <c r="FDB141" s="15"/>
      <c r="FDQ141" s="17"/>
      <c r="FDR141" s="15"/>
      <c r="FEG141" s="17"/>
      <c r="FEH141" s="15"/>
      <c r="FEW141" s="17"/>
      <c r="FEX141" s="15"/>
      <c r="FFM141" s="17"/>
      <c r="FFN141" s="15"/>
      <c r="FGC141" s="17"/>
      <c r="FGD141" s="15"/>
      <c r="FGS141" s="17"/>
      <c r="FGT141" s="15"/>
      <c r="FHI141" s="17"/>
      <c r="FHJ141" s="15"/>
      <c r="FHY141" s="17"/>
      <c r="FHZ141" s="15"/>
      <c r="FIO141" s="17"/>
      <c r="FIP141" s="15"/>
      <c r="FJE141" s="17"/>
      <c r="FJF141" s="15"/>
      <c r="FJU141" s="17"/>
      <c r="FJV141" s="15"/>
      <c r="FKK141" s="17"/>
      <c r="FKL141" s="15"/>
      <c r="FLA141" s="17"/>
      <c r="FLB141" s="15"/>
      <c r="FLQ141" s="17"/>
      <c r="FLR141" s="15"/>
      <c r="FMG141" s="17"/>
      <c r="FMH141" s="15"/>
      <c r="FMW141" s="17"/>
      <c r="FMX141" s="15"/>
      <c r="FNM141" s="17"/>
      <c r="FNN141" s="15"/>
      <c r="FOC141" s="17"/>
      <c r="FOD141" s="15"/>
      <c r="FOS141" s="17"/>
      <c r="FOT141" s="15"/>
      <c r="FPI141" s="17"/>
      <c r="FPJ141" s="15"/>
      <c r="FPY141" s="17"/>
      <c r="FPZ141" s="15"/>
      <c r="FQO141" s="17"/>
      <c r="FQP141" s="15"/>
      <c r="FRE141" s="17"/>
      <c r="FRF141" s="15"/>
      <c r="FRU141" s="17"/>
      <c r="FRV141" s="15"/>
      <c r="FSK141" s="17"/>
      <c r="FSL141" s="15"/>
      <c r="FTA141" s="17"/>
      <c r="FTB141" s="15"/>
      <c r="FTQ141" s="17"/>
      <c r="FTR141" s="15"/>
      <c r="FUG141" s="17"/>
      <c r="FUH141" s="15"/>
      <c r="FUW141" s="17"/>
      <c r="FUX141" s="15"/>
      <c r="FVM141" s="17"/>
      <c r="FVN141" s="15"/>
      <c r="FWC141" s="17"/>
      <c r="FWD141" s="15"/>
      <c r="FWS141" s="17"/>
      <c r="FWT141" s="15"/>
      <c r="FXI141" s="17"/>
      <c r="FXJ141" s="15"/>
      <c r="FXY141" s="17"/>
      <c r="FXZ141" s="15"/>
      <c r="FYO141" s="17"/>
      <c r="FYP141" s="15"/>
      <c r="FZE141" s="17"/>
      <c r="FZF141" s="15"/>
      <c r="FZU141" s="17"/>
      <c r="FZV141" s="15"/>
      <c r="GAK141" s="17"/>
      <c r="GAL141" s="15"/>
      <c r="GBA141" s="17"/>
      <c r="GBB141" s="15"/>
      <c r="GBQ141" s="17"/>
      <c r="GBR141" s="15"/>
      <c r="GCG141" s="17"/>
      <c r="GCH141" s="15"/>
      <c r="GCW141" s="17"/>
      <c r="GCX141" s="15"/>
      <c r="GDM141" s="17"/>
      <c r="GDN141" s="15"/>
      <c r="GEC141" s="17"/>
      <c r="GED141" s="15"/>
      <c r="GES141" s="17"/>
      <c r="GET141" s="15"/>
      <c r="GFI141" s="17"/>
      <c r="GFJ141" s="15"/>
      <c r="GFY141" s="17"/>
      <c r="GFZ141" s="15"/>
      <c r="GGO141" s="17"/>
      <c r="GGP141" s="15"/>
      <c r="GHE141" s="17"/>
      <c r="GHF141" s="15"/>
      <c r="GHU141" s="17"/>
      <c r="GHV141" s="15"/>
      <c r="GIK141" s="17"/>
      <c r="GIL141" s="15"/>
      <c r="GJA141" s="17"/>
      <c r="GJB141" s="15"/>
      <c r="GJQ141" s="17"/>
      <c r="GJR141" s="15"/>
      <c r="GKG141" s="17"/>
      <c r="GKH141" s="15"/>
      <c r="GKW141" s="17"/>
      <c r="GKX141" s="15"/>
      <c r="GLM141" s="17"/>
      <c r="GLN141" s="15"/>
      <c r="GMC141" s="17"/>
      <c r="GMD141" s="15"/>
      <c r="GMS141" s="17"/>
      <c r="GMT141" s="15"/>
      <c r="GNI141" s="17"/>
      <c r="GNJ141" s="15"/>
      <c r="GNY141" s="17"/>
      <c r="GNZ141" s="15"/>
      <c r="GOO141" s="17"/>
      <c r="GOP141" s="15"/>
      <c r="GPE141" s="17"/>
      <c r="GPF141" s="15"/>
      <c r="GPU141" s="17"/>
      <c r="GPV141" s="15"/>
      <c r="GQK141" s="17"/>
      <c r="GQL141" s="15"/>
      <c r="GRA141" s="17"/>
      <c r="GRB141" s="15"/>
      <c r="GRQ141" s="17"/>
      <c r="GRR141" s="15"/>
      <c r="GSG141" s="17"/>
      <c r="GSH141" s="15"/>
      <c r="GSW141" s="17"/>
      <c r="GSX141" s="15"/>
      <c r="GTM141" s="17"/>
      <c r="GTN141" s="15"/>
      <c r="GUC141" s="17"/>
      <c r="GUD141" s="15"/>
      <c r="GUS141" s="17"/>
      <c r="GUT141" s="15"/>
      <c r="GVI141" s="17"/>
      <c r="GVJ141" s="15"/>
      <c r="GVY141" s="17"/>
      <c r="GVZ141" s="15"/>
      <c r="GWO141" s="17"/>
      <c r="GWP141" s="15"/>
      <c r="GXE141" s="17"/>
      <c r="GXF141" s="15"/>
      <c r="GXU141" s="17"/>
      <c r="GXV141" s="15"/>
      <c r="GYK141" s="17"/>
      <c r="GYL141" s="15"/>
      <c r="GZA141" s="17"/>
      <c r="GZB141" s="15"/>
      <c r="GZQ141" s="17"/>
      <c r="GZR141" s="15"/>
      <c r="HAG141" s="17"/>
      <c r="HAH141" s="15"/>
      <c r="HAW141" s="17"/>
      <c r="HAX141" s="15"/>
      <c r="HBM141" s="17"/>
      <c r="HBN141" s="15"/>
      <c r="HCC141" s="17"/>
      <c r="HCD141" s="15"/>
      <c r="HCS141" s="17"/>
      <c r="HCT141" s="15"/>
      <c r="HDI141" s="17"/>
      <c r="HDJ141" s="15"/>
      <c r="HDY141" s="17"/>
      <c r="HDZ141" s="15"/>
      <c r="HEO141" s="17"/>
      <c r="HEP141" s="15"/>
      <c r="HFE141" s="17"/>
      <c r="HFF141" s="15"/>
      <c r="HFU141" s="17"/>
      <c r="HFV141" s="15"/>
      <c r="HGK141" s="17"/>
      <c r="HGL141" s="15"/>
      <c r="HHA141" s="17"/>
      <c r="HHB141" s="15"/>
      <c r="HHQ141" s="17"/>
      <c r="HHR141" s="15"/>
      <c r="HIG141" s="17"/>
      <c r="HIH141" s="15"/>
      <c r="HIW141" s="17"/>
      <c r="HIX141" s="15"/>
      <c r="HJM141" s="17"/>
      <c r="HJN141" s="15"/>
      <c r="HKC141" s="17"/>
      <c r="HKD141" s="15"/>
      <c r="HKS141" s="17"/>
      <c r="HKT141" s="15"/>
      <c r="HLI141" s="17"/>
      <c r="HLJ141" s="15"/>
      <c r="HLY141" s="17"/>
      <c r="HLZ141" s="15"/>
      <c r="HMO141" s="17"/>
      <c r="HMP141" s="15"/>
      <c r="HNE141" s="17"/>
      <c r="HNF141" s="15"/>
      <c r="HNU141" s="17"/>
      <c r="HNV141" s="15"/>
      <c r="HOK141" s="17"/>
      <c r="HOL141" s="15"/>
      <c r="HPA141" s="17"/>
      <c r="HPB141" s="15"/>
      <c r="HPQ141" s="17"/>
      <c r="HPR141" s="15"/>
      <c r="HQG141" s="17"/>
      <c r="HQH141" s="15"/>
      <c r="HQW141" s="17"/>
      <c r="HQX141" s="15"/>
      <c r="HRM141" s="17"/>
      <c r="HRN141" s="15"/>
      <c r="HSC141" s="17"/>
      <c r="HSD141" s="15"/>
      <c r="HSS141" s="17"/>
      <c r="HST141" s="15"/>
      <c r="HTI141" s="17"/>
      <c r="HTJ141" s="15"/>
      <c r="HTY141" s="17"/>
      <c r="HTZ141" s="15"/>
      <c r="HUO141" s="17"/>
      <c r="HUP141" s="15"/>
      <c r="HVE141" s="17"/>
      <c r="HVF141" s="15"/>
      <c r="HVU141" s="17"/>
      <c r="HVV141" s="15"/>
      <c r="HWK141" s="17"/>
      <c r="HWL141" s="15"/>
      <c r="HXA141" s="17"/>
      <c r="HXB141" s="15"/>
      <c r="HXQ141" s="17"/>
      <c r="HXR141" s="15"/>
      <c r="HYG141" s="17"/>
      <c r="HYH141" s="15"/>
      <c r="HYW141" s="17"/>
      <c r="HYX141" s="15"/>
      <c r="HZM141" s="17"/>
      <c r="HZN141" s="15"/>
      <c r="IAC141" s="17"/>
      <c r="IAD141" s="15"/>
      <c r="IAS141" s="17"/>
      <c r="IAT141" s="15"/>
      <c r="IBI141" s="17"/>
      <c r="IBJ141" s="15"/>
      <c r="IBY141" s="17"/>
      <c r="IBZ141" s="15"/>
      <c r="ICO141" s="17"/>
      <c r="ICP141" s="15"/>
      <c r="IDE141" s="17"/>
      <c r="IDF141" s="15"/>
      <c r="IDU141" s="17"/>
      <c r="IDV141" s="15"/>
      <c r="IEK141" s="17"/>
      <c r="IEL141" s="15"/>
      <c r="IFA141" s="17"/>
      <c r="IFB141" s="15"/>
      <c r="IFQ141" s="17"/>
      <c r="IFR141" s="15"/>
      <c r="IGG141" s="17"/>
      <c r="IGH141" s="15"/>
      <c r="IGW141" s="17"/>
      <c r="IGX141" s="15"/>
      <c r="IHM141" s="17"/>
      <c r="IHN141" s="15"/>
      <c r="IIC141" s="17"/>
      <c r="IID141" s="15"/>
      <c r="IIS141" s="17"/>
      <c r="IIT141" s="15"/>
      <c r="IJI141" s="17"/>
      <c r="IJJ141" s="15"/>
      <c r="IJY141" s="17"/>
      <c r="IJZ141" s="15"/>
      <c r="IKO141" s="17"/>
      <c r="IKP141" s="15"/>
      <c r="ILE141" s="17"/>
      <c r="ILF141" s="15"/>
      <c r="ILU141" s="17"/>
      <c r="ILV141" s="15"/>
      <c r="IMK141" s="17"/>
      <c r="IML141" s="15"/>
      <c r="INA141" s="17"/>
      <c r="INB141" s="15"/>
      <c r="INQ141" s="17"/>
      <c r="INR141" s="15"/>
      <c r="IOG141" s="17"/>
      <c r="IOH141" s="15"/>
      <c r="IOW141" s="17"/>
      <c r="IOX141" s="15"/>
      <c r="IPM141" s="17"/>
      <c r="IPN141" s="15"/>
      <c r="IQC141" s="17"/>
      <c r="IQD141" s="15"/>
      <c r="IQS141" s="17"/>
      <c r="IQT141" s="15"/>
      <c r="IRI141" s="17"/>
      <c r="IRJ141" s="15"/>
      <c r="IRY141" s="17"/>
      <c r="IRZ141" s="15"/>
      <c r="ISO141" s="17"/>
      <c r="ISP141" s="15"/>
      <c r="ITE141" s="17"/>
      <c r="ITF141" s="15"/>
      <c r="ITU141" s="17"/>
      <c r="ITV141" s="15"/>
      <c r="IUK141" s="17"/>
      <c r="IUL141" s="15"/>
      <c r="IVA141" s="17"/>
      <c r="IVB141" s="15"/>
      <c r="IVQ141" s="17"/>
      <c r="IVR141" s="15"/>
      <c r="IWG141" s="17"/>
      <c r="IWH141" s="15"/>
      <c r="IWW141" s="17"/>
      <c r="IWX141" s="15"/>
      <c r="IXM141" s="17"/>
      <c r="IXN141" s="15"/>
      <c r="IYC141" s="17"/>
      <c r="IYD141" s="15"/>
      <c r="IYS141" s="17"/>
      <c r="IYT141" s="15"/>
      <c r="IZI141" s="17"/>
      <c r="IZJ141" s="15"/>
      <c r="IZY141" s="17"/>
      <c r="IZZ141" s="15"/>
      <c r="JAO141" s="17"/>
      <c r="JAP141" s="15"/>
      <c r="JBE141" s="17"/>
      <c r="JBF141" s="15"/>
      <c r="JBU141" s="17"/>
      <c r="JBV141" s="15"/>
      <c r="JCK141" s="17"/>
      <c r="JCL141" s="15"/>
      <c r="JDA141" s="17"/>
      <c r="JDB141" s="15"/>
      <c r="JDQ141" s="17"/>
      <c r="JDR141" s="15"/>
      <c r="JEG141" s="17"/>
      <c r="JEH141" s="15"/>
      <c r="JEW141" s="17"/>
      <c r="JEX141" s="15"/>
      <c r="JFM141" s="17"/>
      <c r="JFN141" s="15"/>
      <c r="JGC141" s="17"/>
      <c r="JGD141" s="15"/>
      <c r="JGS141" s="17"/>
      <c r="JGT141" s="15"/>
      <c r="JHI141" s="17"/>
      <c r="JHJ141" s="15"/>
      <c r="JHY141" s="17"/>
      <c r="JHZ141" s="15"/>
      <c r="JIO141" s="17"/>
      <c r="JIP141" s="15"/>
      <c r="JJE141" s="17"/>
      <c r="JJF141" s="15"/>
      <c r="JJU141" s="17"/>
      <c r="JJV141" s="15"/>
      <c r="JKK141" s="17"/>
      <c r="JKL141" s="15"/>
      <c r="JLA141" s="17"/>
      <c r="JLB141" s="15"/>
      <c r="JLQ141" s="17"/>
      <c r="JLR141" s="15"/>
      <c r="JMG141" s="17"/>
      <c r="JMH141" s="15"/>
      <c r="JMW141" s="17"/>
      <c r="JMX141" s="15"/>
      <c r="JNM141" s="17"/>
      <c r="JNN141" s="15"/>
      <c r="JOC141" s="17"/>
      <c r="JOD141" s="15"/>
      <c r="JOS141" s="17"/>
      <c r="JOT141" s="15"/>
      <c r="JPI141" s="17"/>
      <c r="JPJ141" s="15"/>
      <c r="JPY141" s="17"/>
      <c r="JPZ141" s="15"/>
      <c r="JQO141" s="17"/>
      <c r="JQP141" s="15"/>
      <c r="JRE141" s="17"/>
      <c r="JRF141" s="15"/>
      <c r="JRU141" s="17"/>
      <c r="JRV141" s="15"/>
      <c r="JSK141" s="17"/>
      <c r="JSL141" s="15"/>
      <c r="JTA141" s="17"/>
      <c r="JTB141" s="15"/>
      <c r="JTQ141" s="17"/>
      <c r="JTR141" s="15"/>
      <c r="JUG141" s="17"/>
      <c r="JUH141" s="15"/>
      <c r="JUW141" s="17"/>
      <c r="JUX141" s="15"/>
      <c r="JVM141" s="17"/>
      <c r="JVN141" s="15"/>
      <c r="JWC141" s="17"/>
      <c r="JWD141" s="15"/>
      <c r="JWS141" s="17"/>
      <c r="JWT141" s="15"/>
      <c r="JXI141" s="17"/>
      <c r="JXJ141" s="15"/>
      <c r="JXY141" s="17"/>
      <c r="JXZ141" s="15"/>
      <c r="JYO141" s="17"/>
      <c r="JYP141" s="15"/>
      <c r="JZE141" s="17"/>
      <c r="JZF141" s="15"/>
      <c r="JZU141" s="17"/>
      <c r="JZV141" s="15"/>
      <c r="KAK141" s="17"/>
      <c r="KAL141" s="15"/>
      <c r="KBA141" s="17"/>
      <c r="KBB141" s="15"/>
      <c r="KBQ141" s="17"/>
      <c r="KBR141" s="15"/>
      <c r="KCG141" s="17"/>
      <c r="KCH141" s="15"/>
      <c r="KCW141" s="17"/>
      <c r="KCX141" s="15"/>
      <c r="KDM141" s="17"/>
      <c r="KDN141" s="15"/>
      <c r="KEC141" s="17"/>
      <c r="KED141" s="15"/>
      <c r="KES141" s="17"/>
      <c r="KET141" s="15"/>
      <c r="KFI141" s="17"/>
      <c r="KFJ141" s="15"/>
      <c r="KFY141" s="17"/>
      <c r="KFZ141" s="15"/>
      <c r="KGO141" s="17"/>
      <c r="KGP141" s="15"/>
      <c r="KHE141" s="17"/>
      <c r="KHF141" s="15"/>
      <c r="KHU141" s="17"/>
      <c r="KHV141" s="15"/>
      <c r="KIK141" s="17"/>
      <c r="KIL141" s="15"/>
      <c r="KJA141" s="17"/>
      <c r="KJB141" s="15"/>
      <c r="KJQ141" s="17"/>
      <c r="KJR141" s="15"/>
      <c r="KKG141" s="17"/>
      <c r="KKH141" s="15"/>
      <c r="KKW141" s="17"/>
      <c r="KKX141" s="15"/>
      <c r="KLM141" s="17"/>
      <c r="KLN141" s="15"/>
      <c r="KMC141" s="17"/>
      <c r="KMD141" s="15"/>
      <c r="KMS141" s="17"/>
      <c r="KMT141" s="15"/>
      <c r="KNI141" s="17"/>
      <c r="KNJ141" s="15"/>
      <c r="KNY141" s="17"/>
      <c r="KNZ141" s="15"/>
      <c r="KOO141" s="17"/>
      <c r="KOP141" s="15"/>
      <c r="KPE141" s="17"/>
      <c r="KPF141" s="15"/>
      <c r="KPU141" s="17"/>
      <c r="KPV141" s="15"/>
      <c r="KQK141" s="17"/>
      <c r="KQL141" s="15"/>
      <c r="KRA141" s="17"/>
      <c r="KRB141" s="15"/>
      <c r="KRQ141" s="17"/>
      <c r="KRR141" s="15"/>
      <c r="KSG141" s="17"/>
      <c r="KSH141" s="15"/>
      <c r="KSW141" s="17"/>
      <c r="KSX141" s="15"/>
      <c r="KTM141" s="17"/>
      <c r="KTN141" s="15"/>
      <c r="KUC141" s="17"/>
      <c r="KUD141" s="15"/>
      <c r="KUS141" s="17"/>
      <c r="KUT141" s="15"/>
      <c r="KVI141" s="17"/>
      <c r="KVJ141" s="15"/>
      <c r="KVY141" s="17"/>
      <c r="KVZ141" s="15"/>
      <c r="KWO141" s="17"/>
      <c r="KWP141" s="15"/>
      <c r="KXE141" s="17"/>
      <c r="KXF141" s="15"/>
      <c r="KXU141" s="17"/>
      <c r="KXV141" s="15"/>
      <c r="KYK141" s="17"/>
      <c r="KYL141" s="15"/>
      <c r="KZA141" s="17"/>
      <c r="KZB141" s="15"/>
      <c r="KZQ141" s="17"/>
      <c r="KZR141" s="15"/>
      <c r="LAG141" s="17"/>
      <c r="LAH141" s="15"/>
      <c r="LAW141" s="17"/>
      <c r="LAX141" s="15"/>
      <c r="LBM141" s="17"/>
      <c r="LBN141" s="15"/>
      <c r="LCC141" s="17"/>
      <c r="LCD141" s="15"/>
      <c r="LCS141" s="17"/>
      <c r="LCT141" s="15"/>
      <c r="LDI141" s="17"/>
      <c r="LDJ141" s="15"/>
      <c r="LDY141" s="17"/>
      <c r="LDZ141" s="15"/>
      <c r="LEO141" s="17"/>
      <c r="LEP141" s="15"/>
      <c r="LFE141" s="17"/>
      <c r="LFF141" s="15"/>
      <c r="LFU141" s="17"/>
      <c r="LFV141" s="15"/>
      <c r="LGK141" s="17"/>
      <c r="LGL141" s="15"/>
      <c r="LHA141" s="17"/>
      <c r="LHB141" s="15"/>
      <c r="LHQ141" s="17"/>
      <c r="LHR141" s="15"/>
      <c r="LIG141" s="17"/>
      <c r="LIH141" s="15"/>
      <c r="LIW141" s="17"/>
      <c r="LIX141" s="15"/>
      <c r="LJM141" s="17"/>
      <c r="LJN141" s="15"/>
      <c r="LKC141" s="17"/>
      <c r="LKD141" s="15"/>
      <c r="LKS141" s="17"/>
      <c r="LKT141" s="15"/>
      <c r="LLI141" s="17"/>
      <c r="LLJ141" s="15"/>
      <c r="LLY141" s="17"/>
      <c r="LLZ141" s="15"/>
      <c r="LMO141" s="17"/>
      <c r="LMP141" s="15"/>
      <c r="LNE141" s="17"/>
      <c r="LNF141" s="15"/>
      <c r="LNU141" s="17"/>
      <c r="LNV141" s="15"/>
      <c r="LOK141" s="17"/>
      <c r="LOL141" s="15"/>
      <c r="LPA141" s="17"/>
      <c r="LPB141" s="15"/>
      <c r="LPQ141" s="17"/>
      <c r="LPR141" s="15"/>
      <c r="LQG141" s="17"/>
      <c r="LQH141" s="15"/>
      <c r="LQW141" s="17"/>
      <c r="LQX141" s="15"/>
      <c r="LRM141" s="17"/>
      <c r="LRN141" s="15"/>
      <c r="LSC141" s="17"/>
      <c r="LSD141" s="15"/>
      <c r="LSS141" s="17"/>
      <c r="LST141" s="15"/>
      <c r="LTI141" s="17"/>
      <c r="LTJ141" s="15"/>
      <c r="LTY141" s="17"/>
      <c r="LTZ141" s="15"/>
      <c r="LUO141" s="17"/>
      <c r="LUP141" s="15"/>
      <c r="LVE141" s="17"/>
      <c r="LVF141" s="15"/>
      <c r="LVU141" s="17"/>
      <c r="LVV141" s="15"/>
      <c r="LWK141" s="17"/>
      <c r="LWL141" s="15"/>
      <c r="LXA141" s="17"/>
      <c r="LXB141" s="15"/>
      <c r="LXQ141" s="17"/>
      <c r="LXR141" s="15"/>
      <c r="LYG141" s="17"/>
      <c r="LYH141" s="15"/>
      <c r="LYW141" s="17"/>
      <c r="LYX141" s="15"/>
      <c r="LZM141" s="17"/>
      <c r="LZN141" s="15"/>
      <c r="MAC141" s="17"/>
      <c r="MAD141" s="15"/>
      <c r="MAS141" s="17"/>
      <c r="MAT141" s="15"/>
      <c r="MBI141" s="17"/>
      <c r="MBJ141" s="15"/>
      <c r="MBY141" s="17"/>
      <c r="MBZ141" s="15"/>
      <c r="MCO141" s="17"/>
      <c r="MCP141" s="15"/>
      <c r="MDE141" s="17"/>
      <c r="MDF141" s="15"/>
      <c r="MDU141" s="17"/>
      <c r="MDV141" s="15"/>
      <c r="MEK141" s="17"/>
      <c r="MEL141" s="15"/>
      <c r="MFA141" s="17"/>
      <c r="MFB141" s="15"/>
      <c r="MFQ141" s="17"/>
      <c r="MFR141" s="15"/>
      <c r="MGG141" s="17"/>
      <c r="MGH141" s="15"/>
      <c r="MGW141" s="17"/>
      <c r="MGX141" s="15"/>
      <c r="MHM141" s="17"/>
      <c r="MHN141" s="15"/>
      <c r="MIC141" s="17"/>
      <c r="MID141" s="15"/>
      <c r="MIS141" s="17"/>
      <c r="MIT141" s="15"/>
      <c r="MJI141" s="17"/>
      <c r="MJJ141" s="15"/>
      <c r="MJY141" s="17"/>
      <c r="MJZ141" s="15"/>
      <c r="MKO141" s="17"/>
      <c r="MKP141" s="15"/>
      <c r="MLE141" s="17"/>
      <c r="MLF141" s="15"/>
      <c r="MLU141" s="17"/>
      <c r="MLV141" s="15"/>
      <c r="MMK141" s="17"/>
      <c r="MML141" s="15"/>
      <c r="MNA141" s="17"/>
      <c r="MNB141" s="15"/>
      <c r="MNQ141" s="17"/>
      <c r="MNR141" s="15"/>
      <c r="MOG141" s="17"/>
      <c r="MOH141" s="15"/>
      <c r="MOW141" s="17"/>
      <c r="MOX141" s="15"/>
      <c r="MPM141" s="17"/>
      <c r="MPN141" s="15"/>
      <c r="MQC141" s="17"/>
      <c r="MQD141" s="15"/>
      <c r="MQS141" s="17"/>
      <c r="MQT141" s="15"/>
      <c r="MRI141" s="17"/>
      <c r="MRJ141" s="15"/>
      <c r="MRY141" s="17"/>
      <c r="MRZ141" s="15"/>
      <c r="MSO141" s="17"/>
      <c r="MSP141" s="15"/>
      <c r="MTE141" s="17"/>
      <c r="MTF141" s="15"/>
      <c r="MTU141" s="17"/>
      <c r="MTV141" s="15"/>
      <c r="MUK141" s="17"/>
      <c r="MUL141" s="15"/>
      <c r="MVA141" s="17"/>
      <c r="MVB141" s="15"/>
      <c r="MVQ141" s="17"/>
      <c r="MVR141" s="15"/>
      <c r="MWG141" s="17"/>
      <c r="MWH141" s="15"/>
      <c r="MWW141" s="17"/>
      <c r="MWX141" s="15"/>
      <c r="MXM141" s="17"/>
      <c r="MXN141" s="15"/>
      <c r="MYC141" s="17"/>
      <c r="MYD141" s="15"/>
      <c r="MYS141" s="17"/>
      <c r="MYT141" s="15"/>
      <c r="MZI141" s="17"/>
      <c r="MZJ141" s="15"/>
      <c r="MZY141" s="17"/>
      <c r="MZZ141" s="15"/>
      <c r="NAO141" s="17"/>
      <c r="NAP141" s="15"/>
      <c r="NBE141" s="17"/>
      <c r="NBF141" s="15"/>
      <c r="NBU141" s="17"/>
      <c r="NBV141" s="15"/>
      <c r="NCK141" s="17"/>
      <c r="NCL141" s="15"/>
      <c r="NDA141" s="17"/>
      <c r="NDB141" s="15"/>
      <c r="NDQ141" s="17"/>
      <c r="NDR141" s="15"/>
      <c r="NEG141" s="17"/>
      <c r="NEH141" s="15"/>
      <c r="NEW141" s="17"/>
      <c r="NEX141" s="15"/>
      <c r="NFM141" s="17"/>
      <c r="NFN141" s="15"/>
      <c r="NGC141" s="17"/>
      <c r="NGD141" s="15"/>
      <c r="NGS141" s="17"/>
      <c r="NGT141" s="15"/>
      <c r="NHI141" s="17"/>
      <c r="NHJ141" s="15"/>
      <c r="NHY141" s="17"/>
      <c r="NHZ141" s="15"/>
      <c r="NIO141" s="17"/>
      <c r="NIP141" s="15"/>
      <c r="NJE141" s="17"/>
      <c r="NJF141" s="15"/>
      <c r="NJU141" s="17"/>
      <c r="NJV141" s="15"/>
      <c r="NKK141" s="17"/>
      <c r="NKL141" s="15"/>
      <c r="NLA141" s="17"/>
      <c r="NLB141" s="15"/>
      <c r="NLQ141" s="17"/>
      <c r="NLR141" s="15"/>
      <c r="NMG141" s="17"/>
      <c r="NMH141" s="15"/>
      <c r="NMW141" s="17"/>
      <c r="NMX141" s="15"/>
      <c r="NNM141" s="17"/>
      <c r="NNN141" s="15"/>
      <c r="NOC141" s="17"/>
      <c r="NOD141" s="15"/>
      <c r="NOS141" s="17"/>
      <c r="NOT141" s="15"/>
      <c r="NPI141" s="17"/>
      <c r="NPJ141" s="15"/>
      <c r="NPY141" s="17"/>
      <c r="NPZ141" s="15"/>
      <c r="NQO141" s="17"/>
      <c r="NQP141" s="15"/>
      <c r="NRE141" s="17"/>
      <c r="NRF141" s="15"/>
      <c r="NRU141" s="17"/>
      <c r="NRV141" s="15"/>
      <c r="NSK141" s="17"/>
      <c r="NSL141" s="15"/>
      <c r="NTA141" s="17"/>
      <c r="NTB141" s="15"/>
      <c r="NTQ141" s="17"/>
      <c r="NTR141" s="15"/>
      <c r="NUG141" s="17"/>
      <c r="NUH141" s="15"/>
      <c r="NUW141" s="17"/>
      <c r="NUX141" s="15"/>
      <c r="NVM141" s="17"/>
      <c r="NVN141" s="15"/>
      <c r="NWC141" s="17"/>
      <c r="NWD141" s="15"/>
      <c r="NWS141" s="17"/>
      <c r="NWT141" s="15"/>
      <c r="NXI141" s="17"/>
      <c r="NXJ141" s="15"/>
      <c r="NXY141" s="17"/>
      <c r="NXZ141" s="15"/>
      <c r="NYO141" s="17"/>
      <c r="NYP141" s="15"/>
      <c r="NZE141" s="17"/>
      <c r="NZF141" s="15"/>
      <c r="NZU141" s="17"/>
      <c r="NZV141" s="15"/>
      <c r="OAK141" s="17"/>
      <c r="OAL141" s="15"/>
      <c r="OBA141" s="17"/>
      <c r="OBB141" s="15"/>
      <c r="OBQ141" s="17"/>
      <c r="OBR141" s="15"/>
      <c r="OCG141" s="17"/>
      <c r="OCH141" s="15"/>
      <c r="OCW141" s="17"/>
      <c r="OCX141" s="15"/>
      <c r="ODM141" s="17"/>
      <c r="ODN141" s="15"/>
      <c r="OEC141" s="17"/>
      <c r="OED141" s="15"/>
      <c r="OES141" s="17"/>
      <c r="OET141" s="15"/>
      <c r="OFI141" s="17"/>
      <c r="OFJ141" s="15"/>
      <c r="OFY141" s="17"/>
      <c r="OFZ141" s="15"/>
      <c r="OGO141" s="17"/>
      <c r="OGP141" s="15"/>
      <c r="OHE141" s="17"/>
      <c r="OHF141" s="15"/>
      <c r="OHU141" s="17"/>
      <c r="OHV141" s="15"/>
      <c r="OIK141" s="17"/>
      <c r="OIL141" s="15"/>
      <c r="OJA141" s="17"/>
      <c r="OJB141" s="15"/>
      <c r="OJQ141" s="17"/>
      <c r="OJR141" s="15"/>
      <c r="OKG141" s="17"/>
      <c r="OKH141" s="15"/>
      <c r="OKW141" s="17"/>
      <c r="OKX141" s="15"/>
      <c r="OLM141" s="17"/>
      <c r="OLN141" s="15"/>
      <c r="OMC141" s="17"/>
      <c r="OMD141" s="15"/>
      <c r="OMS141" s="17"/>
      <c r="OMT141" s="15"/>
      <c r="ONI141" s="17"/>
      <c r="ONJ141" s="15"/>
      <c r="ONY141" s="17"/>
      <c r="ONZ141" s="15"/>
      <c r="OOO141" s="17"/>
      <c r="OOP141" s="15"/>
      <c r="OPE141" s="17"/>
      <c r="OPF141" s="15"/>
      <c r="OPU141" s="17"/>
      <c r="OPV141" s="15"/>
      <c r="OQK141" s="17"/>
      <c r="OQL141" s="15"/>
      <c r="ORA141" s="17"/>
      <c r="ORB141" s="15"/>
      <c r="ORQ141" s="17"/>
      <c r="ORR141" s="15"/>
      <c r="OSG141" s="17"/>
      <c r="OSH141" s="15"/>
      <c r="OSW141" s="17"/>
      <c r="OSX141" s="15"/>
      <c r="OTM141" s="17"/>
      <c r="OTN141" s="15"/>
      <c r="OUC141" s="17"/>
      <c r="OUD141" s="15"/>
      <c r="OUS141" s="17"/>
      <c r="OUT141" s="15"/>
      <c r="OVI141" s="17"/>
      <c r="OVJ141" s="15"/>
      <c r="OVY141" s="17"/>
      <c r="OVZ141" s="15"/>
      <c r="OWO141" s="17"/>
      <c r="OWP141" s="15"/>
      <c r="OXE141" s="17"/>
      <c r="OXF141" s="15"/>
      <c r="OXU141" s="17"/>
      <c r="OXV141" s="15"/>
      <c r="OYK141" s="17"/>
      <c r="OYL141" s="15"/>
      <c r="OZA141" s="17"/>
      <c r="OZB141" s="15"/>
      <c r="OZQ141" s="17"/>
      <c r="OZR141" s="15"/>
      <c r="PAG141" s="17"/>
      <c r="PAH141" s="15"/>
      <c r="PAW141" s="17"/>
      <c r="PAX141" s="15"/>
      <c r="PBM141" s="17"/>
      <c r="PBN141" s="15"/>
      <c r="PCC141" s="17"/>
      <c r="PCD141" s="15"/>
      <c r="PCS141" s="17"/>
      <c r="PCT141" s="15"/>
      <c r="PDI141" s="17"/>
      <c r="PDJ141" s="15"/>
      <c r="PDY141" s="17"/>
      <c r="PDZ141" s="15"/>
      <c r="PEO141" s="17"/>
      <c r="PEP141" s="15"/>
      <c r="PFE141" s="17"/>
      <c r="PFF141" s="15"/>
      <c r="PFU141" s="17"/>
      <c r="PFV141" s="15"/>
      <c r="PGK141" s="17"/>
      <c r="PGL141" s="15"/>
      <c r="PHA141" s="17"/>
      <c r="PHB141" s="15"/>
      <c r="PHQ141" s="17"/>
      <c r="PHR141" s="15"/>
      <c r="PIG141" s="17"/>
      <c r="PIH141" s="15"/>
      <c r="PIW141" s="17"/>
      <c r="PIX141" s="15"/>
      <c r="PJM141" s="17"/>
      <c r="PJN141" s="15"/>
      <c r="PKC141" s="17"/>
      <c r="PKD141" s="15"/>
      <c r="PKS141" s="17"/>
      <c r="PKT141" s="15"/>
      <c r="PLI141" s="17"/>
      <c r="PLJ141" s="15"/>
      <c r="PLY141" s="17"/>
      <c r="PLZ141" s="15"/>
      <c r="PMO141" s="17"/>
      <c r="PMP141" s="15"/>
      <c r="PNE141" s="17"/>
      <c r="PNF141" s="15"/>
      <c r="PNU141" s="17"/>
      <c r="PNV141" s="15"/>
      <c r="POK141" s="17"/>
      <c r="POL141" s="15"/>
      <c r="PPA141" s="17"/>
      <c r="PPB141" s="15"/>
      <c r="PPQ141" s="17"/>
      <c r="PPR141" s="15"/>
      <c r="PQG141" s="17"/>
      <c r="PQH141" s="15"/>
      <c r="PQW141" s="17"/>
      <c r="PQX141" s="15"/>
      <c r="PRM141" s="17"/>
      <c r="PRN141" s="15"/>
      <c r="PSC141" s="17"/>
      <c r="PSD141" s="15"/>
      <c r="PSS141" s="17"/>
      <c r="PST141" s="15"/>
      <c r="PTI141" s="17"/>
      <c r="PTJ141" s="15"/>
      <c r="PTY141" s="17"/>
      <c r="PTZ141" s="15"/>
      <c r="PUO141" s="17"/>
      <c r="PUP141" s="15"/>
      <c r="PVE141" s="17"/>
      <c r="PVF141" s="15"/>
      <c r="PVU141" s="17"/>
      <c r="PVV141" s="15"/>
      <c r="PWK141" s="17"/>
      <c r="PWL141" s="15"/>
      <c r="PXA141" s="17"/>
      <c r="PXB141" s="15"/>
      <c r="PXQ141" s="17"/>
      <c r="PXR141" s="15"/>
      <c r="PYG141" s="17"/>
      <c r="PYH141" s="15"/>
      <c r="PYW141" s="17"/>
      <c r="PYX141" s="15"/>
      <c r="PZM141" s="17"/>
      <c r="PZN141" s="15"/>
      <c r="QAC141" s="17"/>
      <c r="QAD141" s="15"/>
      <c r="QAS141" s="17"/>
      <c r="QAT141" s="15"/>
      <c r="QBI141" s="17"/>
      <c r="QBJ141" s="15"/>
      <c r="QBY141" s="17"/>
      <c r="QBZ141" s="15"/>
      <c r="QCO141" s="17"/>
      <c r="QCP141" s="15"/>
      <c r="QDE141" s="17"/>
      <c r="QDF141" s="15"/>
      <c r="QDU141" s="17"/>
      <c r="QDV141" s="15"/>
      <c r="QEK141" s="17"/>
      <c r="QEL141" s="15"/>
      <c r="QFA141" s="17"/>
      <c r="QFB141" s="15"/>
      <c r="QFQ141" s="17"/>
      <c r="QFR141" s="15"/>
      <c r="QGG141" s="17"/>
      <c r="QGH141" s="15"/>
      <c r="QGW141" s="17"/>
      <c r="QGX141" s="15"/>
      <c r="QHM141" s="17"/>
      <c r="QHN141" s="15"/>
      <c r="QIC141" s="17"/>
      <c r="QID141" s="15"/>
      <c r="QIS141" s="17"/>
      <c r="QIT141" s="15"/>
      <c r="QJI141" s="17"/>
      <c r="QJJ141" s="15"/>
      <c r="QJY141" s="17"/>
      <c r="QJZ141" s="15"/>
      <c r="QKO141" s="17"/>
      <c r="QKP141" s="15"/>
      <c r="QLE141" s="17"/>
      <c r="QLF141" s="15"/>
      <c r="QLU141" s="17"/>
      <c r="QLV141" s="15"/>
      <c r="QMK141" s="17"/>
      <c r="QML141" s="15"/>
      <c r="QNA141" s="17"/>
      <c r="QNB141" s="15"/>
      <c r="QNQ141" s="17"/>
      <c r="QNR141" s="15"/>
      <c r="QOG141" s="17"/>
      <c r="QOH141" s="15"/>
      <c r="QOW141" s="17"/>
      <c r="QOX141" s="15"/>
      <c r="QPM141" s="17"/>
      <c r="QPN141" s="15"/>
      <c r="QQC141" s="17"/>
      <c r="QQD141" s="15"/>
      <c r="QQS141" s="17"/>
      <c r="QQT141" s="15"/>
      <c r="QRI141" s="17"/>
      <c r="QRJ141" s="15"/>
      <c r="QRY141" s="17"/>
      <c r="QRZ141" s="15"/>
      <c r="QSO141" s="17"/>
      <c r="QSP141" s="15"/>
      <c r="QTE141" s="17"/>
      <c r="QTF141" s="15"/>
      <c r="QTU141" s="17"/>
      <c r="QTV141" s="15"/>
      <c r="QUK141" s="17"/>
      <c r="QUL141" s="15"/>
      <c r="QVA141" s="17"/>
      <c r="QVB141" s="15"/>
      <c r="QVQ141" s="17"/>
      <c r="QVR141" s="15"/>
      <c r="QWG141" s="17"/>
      <c r="QWH141" s="15"/>
      <c r="QWW141" s="17"/>
      <c r="QWX141" s="15"/>
      <c r="QXM141" s="17"/>
      <c r="QXN141" s="15"/>
      <c r="QYC141" s="17"/>
      <c r="QYD141" s="15"/>
      <c r="QYS141" s="17"/>
      <c r="QYT141" s="15"/>
      <c r="QZI141" s="17"/>
      <c r="QZJ141" s="15"/>
      <c r="QZY141" s="17"/>
      <c r="QZZ141" s="15"/>
      <c r="RAO141" s="17"/>
      <c r="RAP141" s="15"/>
      <c r="RBE141" s="17"/>
      <c r="RBF141" s="15"/>
      <c r="RBU141" s="17"/>
      <c r="RBV141" s="15"/>
      <c r="RCK141" s="17"/>
      <c r="RCL141" s="15"/>
      <c r="RDA141" s="17"/>
      <c r="RDB141" s="15"/>
      <c r="RDQ141" s="17"/>
      <c r="RDR141" s="15"/>
      <c r="REG141" s="17"/>
      <c r="REH141" s="15"/>
      <c r="REW141" s="17"/>
      <c r="REX141" s="15"/>
      <c r="RFM141" s="17"/>
      <c r="RFN141" s="15"/>
      <c r="RGC141" s="17"/>
      <c r="RGD141" s="15"/>
      <c r="RGS141" s="17"/>
      <c r="RGT141" s="15"/>
      <c r="RHI141" s="17"/>
      <c r="RHJ141" s="15"/>
      <c r="RHY141" s="17"/>
      <c r="RHZ141" s="15"/>
      <c r="RIO141" s="17"/>
      <c r="RIP141" s="15"/>
      <c r="RJE141" s="17"/>
      <c r="RJF141" s="15"/>
      <c r="RJU141" s="17"/>
      <c r="RJV141" s="15"/>
      <c r="RKK141" s="17"/>
      <c r="RKL141" s="15"/>
      <c r="RLA141" s="17"/>
      <c r="RLB141" s="15"/>
      <c r="RLQ141" s="17"/>
      <c r="RLR141" s="15"/>
      <c r="RMG141" s="17"/>
      <c r="RMH141" s="15"/>
      <c r="RMW141" s="17"/>
      <c r="RMX141" s="15"/>
      <c r="RNM141" s="17"/>
      <c r="RNN141" s="15"/>
      <c r="ROC141" s="17"/>
      <c r="ROD141" s="15"/>
      <c r="ROS141" s="17"/>
      <c r="ROT141" s="15"/>
      <c r="RPI141" s="17"/>
      <c r="RPJ141" s="15"/>
      <c r="RPY141" s="17"/>
      <c r="RPZ141" s="15"/>
      <c r="RQO141" s="17"/>
      <c r="RQP141" s="15"/>
      <c r="RRE141" s="17"/>
      <c r="RRF141" s="15"/>
      <c r="RRU141" s="17"/>
      <c r="RRV141" s="15"/>
      <c r="RSK141" s="17"/>
      <c r="RSL141" s="15"/>
      <c r="RTA141" s="17"/>
      <c r="RTB141" s="15"/>
      <c r="RTQ141" s="17"/>
      <c r="RTR141" s="15"/>
      <c r="RUG141" s="17"/>
      <c r="RUH141" s="15"/>
      <c r="RUW141" s="17"/>
      <c r="RUX141" s="15"/>
      <c r="RVM141" s="17"/>
      <c r="RVN141" s="15"/>
      <c r="RWC141" s="17"/>
      <c r="RWD141" s="15"/>
      <c r="RWS141" s="17"/>
      <c r="RWT141" s="15"/>
      <c r="RXI141" s="17"/>
      <c r="RXJ141" s="15"/>
      <c r="RXY141" s="17"/>
      <c r="RXZ141" s="15"/>
      <c r="RYO141" s="17"/>
      <c r="RYP141" s="15"/>
      <c r="RZE141" s="17"/>
      <c r="RZF141" s="15"/>
      <c r="RZU141" s="17"/>
      <c r="RZV141" s="15"/>
      <c r="SAK141" s="17"/>
      <c r="SAL141" s="15"/>
      <c r="SBA141" s="17"/>
      <c r="SBB141" s="15"/>
      <c r="SBQ141" s="17"/>
      <c r="SBR141" s="15"/>
      <c r="SCG141" s="17"/>
      <c r="SCH141" s="15"/>
      <c r="SCW141" s="17"/>
      <c r="SCX141" s="15"/>
      <c r="SDM141" s="17"/>
      <c r="SDN141" s="15"/>
      <c r="SEC141" s="17"/>
      <c r="SED141" s="15"/>
      <c r="SES141" s="17"/>
      <c r="SET141" s="15"/>
      <c r="SFI141" s="17"/>
      <c r="SFJ141" s="15"/>
      <c r="SFY141" s="17"/>
      <c r="SFZ141" s="15"/>
      <c r="SGO141" s="17"/>
      <c r="SGP141" s="15"/>
      <c r="SHE141" s="17"/>
      <c r="SHF141" s="15"/>
      <c r="SHU141" s="17"/>
      <c r="SHV141" s="15"/>
      <c r="SIK141" s="17"/>
      <c r="SIL141" s="15"/>
      <c r="SJA141" s="17"/>
      <c r="SJB141" s="15"/>
      <c r="SJQ141" s="17"/>
      <c r="SJR141" s="15"/>
      <c r="SKG141" s="17"/>
      <c r="SKH141" s="15"/>
      <c r="SKW141" s="17"/>
      <c r="SKX141" s="15"/>
      <c r="SLM141" s="17"/>
      <c r="SLN141" s="15"/>
      <c r="SMC141" s="17"/>
      <c r="SMD141" s="15"/>
      <c r="SMS141" s="17"/>
      <c r="SMT141" s="15"/>
      <c r="SNI141" s="17"/>
      <c r="SNJ141" s="15"/>
      <c r="SNY141" s="17"/>
      <c r="SNZ141" s="15"/>
      <c r="SOO141" s="17"/>
      <c r="SOP141" s="15"/>
      <c r="SPE141" s="17"/>
      <c r="SPF141" s="15"/>
      <c r="SPU141" s="17"/>
      <c r="SPV141" s="15"/>
      <c r="SQK141" s="17"/>
      <c r="SQL141" s="15"/>
      <c r="SRA141" s="17"/>
      <c r="SRB141" s="15"/>
      <c r="SRQ141" s="17"/>
      <c r="SRR141" s="15"/>
      <c r="SSG141" s="17"/>
      <c r="SSH141" s="15"/>
      <c r="SSW141" s="17"/>
      <c r="SSX141" s="15"/>
      <c r="STM141" s="17"/>
      <c r="STN141" s="15"/>
      <c r="SUC141" s="17"/>
      <c r="SUD141" s="15"/>
      <c r="SUS141" s="17"/>
      <c r="SUT141" s="15"/>
      <c r="SVI141" s="17"/>
      <c r="SVJ141" s="15"/>
      <c r="SVY141" s="17"/>
      <c r="SVZ141" s="15"/>
      <c r="SWO141" s="17"/>
      <c r="SWP141" s="15"/>
      <c r="SXE141" s="17"/>
      <c r="SXF141" s="15"/>
      <c r="SXU141" s="17"/>
      <c r="SXV141" s="15"/>
      <c r="SYK141" s="17"/>
      <c r="SYL141" s="15"/>
      <c r="SZA141" s="17"/>
      <c r="SZB141" s="15"/>
      <c r="SZQ141" s="17"/>
      <c r="SZR141" s="15"/>
      <c r="TAG141" s="17"/>
      <c r="TAH141" s="15"/>
      <c r="TAW141" s="17"/>
      <c r="TAX141" s="15"/>
      <c r="TBM141" s="17"/>
      <c r="TBN141" s="15"/>
      <c r="TCC141" s="17"/>
      <c r="TCD141" s="15"/>
      <c r="TCS141" s="17"/>
      <c r="TCT141" s="15"/>
      <c r="TDI141" s="17"/>
      <c r="TDJ141" s="15"/>
      <c r="TDY141" s="17"/>
      <c r="TDZ141" s="15"/>
      <c r="TEO141" s="17"/>
      <c r="TEP141" s="15"/>
      <c r="TFE141" s="17"/>
      <c r="TFF141" s="15"/>
      <c r="TFU141" s="17"/>
      <c r="TFV141" s="15"/>
      <c r="TGK141" s="17"/>
      <c r="TGL141" s="15"/>
      <c r="THA141" s="17"/>
      <c r="THB141" s="15"/>
      <c r="THQ141" s="17"/>
      <c r="THR141" s="15"/>
      <c r="TIG141" s="17"/>
      <c r="TIH141" s="15"/>
      <c r="TIW141" s="17"/>
      <c r="TIX141" s="15"/>
      <c r="TJM141" s="17"/>
      <c r="TJN141" s="15"/>
      <c r="TKC141" s="17"/>
      <c r="TKD141" s="15"/>
      <c r="TKS141" s="17"/>
      <c r="TKT141" s="15"/>
      <c r="TLI141" s="17"/>
      <c r="TLJ141" s="15"/>
      <c r="TLY141" s="17"/>
      <c r="TLZ141" s="15"/>
      <c r="TMO141" s="17"/>
      <c r="TMP141" s="15"/>
      <c r="TNE141" s="17"/>
      <c r="TNF141" s="15"/>
      <c r="TNU141" s="17"/>
      <c r="TNV141" s="15"/>
      <c r="TOK141" s="17"/>
      <c r="TOL141" s="15"/>
      <c r="TPA141" s="17"/>
      <c r="TPB141" s="15"/>
      <c r="TPQ141" s="17"/>
      <c r="TPR141" s="15"/>
      <c r="TQG141" s="17"/>
      <c r="TQH141" s="15"/>
      <c r="TQW141" s="17"/>
      <c r="TQX141" s="15"/>
      <c r="TRM141" s="17"/>
      <c r="TRN141" s="15"/>
      <c r="TSC141" s="17"/>
      <c r="TSD141" s="15"/>
      <c r="TSS141" s="17"/>
      <c r="TST141" s="15"/>
      <c r="TTI141" s="17"/>
      <c r="TTJ141" s="15"/>
      <c r="TTY141" s="17"/>
      <c r="TTZ141" s="15"/>
      <c r="TUO141" s="17"/>
      <c r="TUP141" s="15"/>
      <c r="TVE141" s="17"/>
      <c r="TVF141" s="15"/>
      <c r="TVU141" s="17"/>
      <c r="TVV141" s="15"/>
      <c r="TWK141" s="17"/>
      <c r="TWL141" s="15"/>
      <c r="TXA141" s="17"/>
      <c r="TXB141" s="15"/>
      <c r="TXQ141" s="17"/>
      <c r="TXR141" s="15"/>
      <c r="TYG141" s="17"/>
      <c r="TYH141" s="15"/>
      <c r="TYW141" s="17"/>
      <c r="TYX141" s="15"/>
      <c r="TZM141" s="17"/>
      <c r="TZN141" s="15"/>
      <c r="UAC141" s="17"/>
      <c r="UAD141" s="15"/>
      <c r="UAS141" s="17"/>
      <c r="UAT141" s="15"/>
      <c r="UBI141" s="17"/>
      <c r="UBJ141" s="15"/>
      <c r="UBY141" s="17"/>
      <c r="UBZ141" s="15"/>
      <c r="UCO141" s="17"/>
      <c r="UCP141" s="15"/>
      <c r="UDE141" s="17"/>
      <c r="UDF141" s="15"/>
      <c r="UDU141" s="17"/>
      <c r="UDV141" s="15"/>
      <c r="UEK141" s="17"/>
      <c r="UEL141" s="15"/>
      <c r="UFA141" s="17"/>
      <c r="UFB141" s="15"/>
      <c r="UFQ141" s="17"/>
      <c r="UFR141" s="15"/>
      <c r="UGG141" s="17"/>
      <c r="UGH141" s="15"/>
      <c r="UGW141" s="17"/>
      <c r="UGX141" s="15"/>
      <c r="UHM141" s="17"/>
      <c r="UHN141" s="15"/>
      <c r="UIC141" s="17"/>
      <c r="UID141" s="15"/>
      <c r="UIS141" s="17"/>
      <c r="UIT141" s="15"/>
      <c r="UJI141" s="17"/>
      <c r="UJJ141" s="15"/>
      <c r="UJY141" s="17"/>
      <c r="UJZ141" s="15"/>
      <c r="UKO141" s="17"/>
      <c r="UKP141" s="15"/>
      <c r="ULE141" s="17"/>
      <c r="ULF141" s="15"/>
      <c r="ULU141" s="17"/>
      <c r="ULV141" s="15"/>
      <c r="UMK141" s="17"/>
      <c r="UML141" s="15"/>
      <c r="UNA141" s="17"/>
      <c r="UNB141" s="15"/>
      <c r="UNQ141" s="17"/>
      <c r="UNR141" s="15"/>
      <c r="UOG141" s="17"/>
      <c r="UOH141" s="15"/>
      <c r="UOW141" s="17"/>
      <c r="UOX141" s="15"/>
      <c r="UPM141" s="17"/>
      <c r="UPN141" s="15"/>
      <c r="UQC141" s="17"/>
      <c r="UQD141" s="15"/>
      <c r="UQS141" s="17"/>
      <c r="UQT141" s="15"/>
      <c r="URI141" s="17"/>
      <c r="URJ141" s="15"/>
      <c r="URY141" s="17"/>
      <c r="URZ141" s="15"/>
      <c r="USO141" s="17"/>
      <c r="USP141" s="15"/>
      <c r="UTE141" s="17"/>
      <c r="UTF141" s="15"/>
      <c r="UTU141" s="17"/>
      <c r="UTV141" s="15"/>
      <c r="UUK141" s="17"/>
      <c r="UUL141" s="15"/>
      <c r="UVA141" s="17"/>
      <c r="UVB141" s="15"/>
      <c r="UVQ141" s="17"/>
      <c r="UVR141" s="15"/>
      <c r="UWG141" s="17"/>
      <c r="UWH141" s="15"/>
      <c r="UWW141" s="17"/>
      <c r="UWX141" s="15"/>
      <c r="UXM141" s="17"/>
      <c r="UXN141" s="15"/>
      <c r="UYC141" s="17"/>
      <c r="UYD141" s="15"/>
      <c r="UYS141" s="17"/>
      <c r="UYT141" s="15"/>
      <c r="UZI141" s="17"/>
      <c r="UZJ141" s="15"/>
      <c r="UZY141" s="17"/>
      <c r="UZZ141" s="15"/>
      <c r="VAO141" s="17"/>
      <c r="VAP141" s="15"/>
      <c r="VBE141" s="17"/>
      <c r="VBF141" s="15"/>
      <c r="VBU141" s="17"/>
      <c r="VBV141" s="15"/>
      <c r="VCK141" s="17"/>
      <c r="VCL141" s="15"/>
      <c r="VDA141" s="17"/>
      <c r="VDB141" s="15"/>
      <c r="VDQ141" s="17"/>
      <c r="VDR141" s="15"/>
      <c r="VEG141" s="17"/>
      <c r="VEH141" s="15"/>
      <c r="VEW141" s="17"/>
      <c r="VEX141" s="15"/>
      <c r="VFM141" s="17"/>
      <c r="VFN141" s="15"/>
      <c r="VGC141" s="17"/>
      <c r="VGD141" s="15"/>
      <c r="VGS141" s="17"/>
      <c r="VGT141" s="15"/>
      <c r="VHI141" s="17"/>
      <c r="VHJ141" s="15"/>
      <c r="VHY141" s="17"/>
      <c r="VHZ141" s="15"/>
      <c r="VIO141" s="17"/>
      <c r="VIP141" s="15"/>
      <c r="VJE141" s="17"/>
      <c r="VJF141" s="15"/>
      <c r="VJU141" s="17"/>
      <c r="VJV141" s="15"/>
      <c r="VKK141" s="17"/>
      <c r="VKL141" s="15"/>
      <c r="VLA141" s="17"/>
      <c r="VLB141" s="15"/>
      <c r="VLQ141" s="17"/>
      <c r="VLR141" s="15"/>
      <c r="VMG141" s="17"/>
      <c r="VMH141" s="15"/>
      <c r="VMW141" s="17"/>
      <c r="VMX141" s="15"/>
      <c r="VNM141" s="17"/>
      <c r="VNN141" s="15"/>
      <c r="VOC141" s="17"/>
      <c r="VOD141" s="15"/>
      <c r="VOS141" s="17"/>
      <c r="VOT141" s="15"/>
      <c r="VPI141" s="17"/>
      <c r="VPJ141" s="15"/>
      <c r="VPY141" s="17"/>
      <c r="VPZ141" s="15"/>
      <c r="VQO141" s="17"/>
      <c r="VQP141" s="15"/>
      <c r="VRE141" s="17"/>
      <c r="VRF141" s="15"/>
      <c r="VRU141" s="17"/>
      <c r="VRV141" s="15"/>
      <c r="VSK141" s="17"/>
      <c r="VSL141" s="15"/>
      <c r="VTA141" s="17"/>
      <c r="VTB141" s="15"/>
      <c r="VTQ141" s="17"/>
      <c r="VTR141" s="15"/>
      <c r="VUG141" s="17"/>
      <c r="VUH141" s="15"/>
      <c r="VUW141" s="17"/>
      <c r="VUX141" s="15"/>
      <c r="VVM141" s="17"/>
      <c r="VVN141" s="15"/>
      <c r="VWC141" s="17"/>
      <c r="VWD141" s="15"/>
      <c r="VWS141" s="17"/>
      <c r="VWT141" s="15"/>
      <c r="VXI141" s="17"/>
      <c r="VXJ141" s="15"/>
      <c r="VXY141" s="17"/>
      <c r="VXZ141" s="15"/>
      <c r="VYO141" s="17"/>
      <c r="VYP141" s="15"/>
      <c r="VZE141" s="17"/>
      <c r="VZF141" s="15"/>
      <c r="VZU141" s="17"/>
      <c r="VZV141" s="15"/>
      <c r="WAK141" s="17"/>
      <c r="WAL141" s="15"/>
      <c r="WBA141" s="17"/>
      <c r="WBB141" s="15"/>
      <c r="WBQ141" s="17"/>
      <c r="WBR141" s="15"/>
      <c r="WCG141" s="17"/>
      <c r="WCH141" s="15"/>
      <c r="WCW141" s="17"/>
      <c r="WCX141" s="15"/>
      <c r="WDM141" s="17"/>
      <c r="WDN141" s="15"/>
      <c r="WEC141" s="17"/>
      <c r="WED141" s="15"/>
      <c r="WES141" s="17"/>
      <c r="WET141" s="15"/>
      <c r="WFI141" s="17"/>
      <c r="WFJ141" s="15"/>
      <c r="WFY141" s="17"/>
      <c r="WFZ141" s="15"/>
      <c r="WGO141" s="17"/>
      <c r="WGP141" s="15"/>
      <c r="WHE141" s="17"/>
      <c r="WHF141" s="15"/>
      <c r="WHU141" s="17"/>
      <c r="WHV141" s="15"/>
      <c r="WIK141" s="17"/>
      <c r="WIL141" s="15"/>
      <c r="WJA141" s="17"/>
      <c r="WJB141" s="15"/>
      <c r="WJQ141" s="17"/>
      <c r="WJR141" s="15"/>
      <c r="WKG141" s="17"/>
      <c r="WKH141" s="15"/>
      <c r="WKW141" s="17"/>
      <c r="WKX141" s="15"/>
      <c r="WLM141" s="17"/>
      <c r="WLN141" s="15"/>
      <c r="WMC141" s="17"/>
      <c r="WMD141" s="15"/>
      <c r="WMS141" s="17"/>
      <c r="WMT141" s="15"/>
      <c r="WNI141" s="17"/>
      <c r="WNJ141" s="15"/>
      <c r="WNY141" s="17"/>
      <c r="WNZ141" s="15"/>
      <c r="WOO141" s="17"/>
      <c r="WOP141" s="15"/>
      <c r="WPE141" s="17"/>
      <c r="WPF141" s="15"/>
      <c r="WPU141" s="17"/>
      <c r="WPV141" s="15"/>
      <c r="WQK141" s="17"/>
      <c r="WQL141" s="15"/>
      <c r="WRA141" s="17"/>
      <c r="WRB141" s="15"/>
      <c r="WRQ141" s="17"/>
      <c r="WRR141" s="15"/>
      <c r="WSG141" s="17"/>
      <c r="WSH141" s="15"/>
      <c r="WSW141" s="17"/>
      <c r="WSX141" s="15"/>
      <c r="WTM141" s="17"/>
      <c r="WTN141" s="15"/>
      <c r="WUC141" s="17"/>
      <c r="WUD141" s="15"/>
      <c r="WUS141" s="17"/>
      <c r="WUT141" s="15"/>
      <c r="WVI141" s="17"/>
      <c r="WVJ141" s="15"/>
      <c r="WVY141" s="17"/>
      <c r="WVZ141" s="15"/>
      <c r="WWO141" s="17"/>
      <c r="WWP141" s="15"/>
      <c r="WXE141" s="17"/>
      <c r="WXF141" s="15"/>
      <c r="WXU141" s="17"/>
      <c r="WXV141" s="15"/>
      <c r="WYK141" s="17"/>
      <c r="WYL141" s="15"/>
      <c r="WZA141" s="17"/>
      <c r="WZB141" s="15"/>
      <c r="WZQ141" s="17"/>
      <c r="WZR141" s="15"/>
      <c r="XAG141" s="17"/>
      <c r="XAH141" s="15"/>
      <c r="XAW141" s="17"/>
      <c r="XAX141" s="15"/>
      <c r="XBM141" s="17"/>
      <c r="XBN141" s="15"/>
      <c r="XCC141" s="17"/>
      <c r="XCD141" s="15"/>
      <c r="XCS141" s="17"/>
      <c r="XCT141" s="15"/>
      <c r="XDI141" s="17"/>
      <c r="XDJ141" s="15"/>
      <c r="XDY141" s="17"/>
      <c r="XDZ141" s="15"/>
      <c r="XEO141" s="17"/>
      <c r="XEP141" s="15"/>
    </row>
    <row r="142" spans="1:1010 1025:2034 2049:3058 3073:4082 4097:5106 5121:6130 6145:7154 7169:8178 8193:9202 9217:10226 10241:11250 11265:12274 12289:13298 13313:14322 14337:15346 15361:16370" s="16" customFormat="1" ht="17.100000000000001" customHeight="1">
      <c r="A142" s="22">
        <v>45923</v>
      </c>
      <c r="B142" s="15" t="s">
        <v>440</v>
      </c>
      <c r="C142" s="16" t="s">
        <v>2756</v>
      </c>
      <c r="D142" s="16" t="s">
        <v>2755</v>
      </c>
      <c r="E142" s="16" t="s">
        <v>2752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54">
        <f>136/2</f>
        <v>68</v>
      </c>
      <c r="O142" s="16" t="s">
        <v>2757</v>
      </c>
      <c r="P142" s="16" t="s">
        <v>2779</v>
      </c>
      <c r="Q142" s="17" t="s">
        <v>2784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17"/>
      <c r="AH142" s="15"/>
      <c r="AW142" s="17"/>
      <c r="AX142" s="15"/>
      <c r="BM142" s="17"/>
      <c r="BN142" s="15"/>
      <c r="CC142" s="17"/>
      <c r="CD142" s="15"/>
      <c r="CS142" s="17"/>
      <c r="CT142" s="15"/>
      <c r="DI142" s="17"/>
      <c r="DJ142" s="15"/>
      <c r="DY142" s="17"/>
      <c r="DZ142" s="15"/>
      <c r="EO142" s="17"/>
      <c r="EP142" s="15"/>
      <c r="FE142" s="17"/>
      <c r="FF142" s="15"/>
      <c r="FU142" s="17"/>
      <c r="FV142" s="15"/>
      <c r="GK142" s="17"/>
      <c r="GL142" s="15"/>
      <c r="HA142" s="17"/>
      <c r="HB142" s="15"/>
      <c r="HQ142" s="17"/>
      <c r="HR142" s="15"/>
      <c r="IG142" s="17"/>
      <c r="IH142" s="15"/>
      <c r="IW142" s="17"/>
      <c r="IX142" s="15"/>
      <c r="JM142" s="17"/>
      <c r="JN142" s="15"/>
      <c r="KC142" s="17"/>
      <c r="KD142" s="15"/>
      <c r="KS142" s="17"/>
      <c r="KT142" s="15"/>
      <c r="LI142" s="17"/>
      <c r="LJ142" s="15"/>
      <c r="LY142" s="17"/>
      <c r="LZ142" s="15"/>
      <c r="MO142" s="17"/>
      <c r="MP142" s="15"/>
      <c r="NE142" s="17"/>
      <c r="NF142" s="15"/>
      <c r="NU142" s="17"/>
      <c r="NV142" s="15"/>
      <c r="OK142" s="17"/>
      <c r="OL142" s="15"/>
      <c r="PA142" s="17"/>
      <c r="PB142" s="15"/>
      <c r="PQ142" s="17"/>
      <c r="PR142" s="15"/>
      <c r="QG142" s="17"/>
      <c r="QH142" s="15"/>
      <c r="QW142" s="17"/>
      <c r="QX142" s="15"/>
      <c r="RM142" s="17"/>
      <c r="RN142" s="15"/>
      <c r="SC142" s="17"/>
      <c r="SD142" s="15"/>
      <c r="SS142" s="17"/>
      <c r="ST142" s="15"/>
      <c r="TI142" s="17"/>
      <c r="TJ142" s="15"/>
      <c r="TY142" s="17"/>
      <c r="TZ142" s="15"/>
      <c r="UO142" s="17"/>
      <c r="UP142" s="15"/>
      <c r="VE142" s="17"/>
      <c r="VF142" s="15"/>
      <c r="VU142" s="17"/>
      <c r="VV142" s="15"/>
      <c r="WK142" s="17"/>
      <c r="WL142" s="15"/>
      <c r="XA142" s="17"/>
      <c r="XB142" s="15"/>
      <c r="XQ142" s="17"/>
      <c r="XR142" s="15"/>
      <c r="YG142" s="17"/>
      <c r="YH142" s="15"/>
      <c r="YW142" s="17"/>
      <c r="YX142" s="15"/>
      <c r="ZM142" s="17"/>
      <c r="ZN142" s="15"/>
      <c r="AAC142" s="17"/>
      <c r="AAD142" s="15"/>
      <c r="AAS142" s="17"/>
      <c r="AAT142" s="15"/>
      <c r="ABI142" s="17"/>
      <c r="ABJ142" s="15"/>
      <c r="ABY142" s="17"/>
      <c r="ABZ142" s="15"/>
      <c r="ACO142" s="17"/>
      <c r="ACP142" s="15"/>
      <c r="ADE142" s="17"/>
      <c r="ADF142" s="15"/>
      <c r="ADU142" s="17"/>
      <c r="ADV142" s="15"/>
      <c r="AEK142" s="17"/>
      <c r="AEL142" s="15"/>
      <c r="AFA142" s="17"/>
      <c r="AFB142" s="15"/>
      <c r="AFQ142" s="17"/>
      <c r="AFR142" s="15"/>
      <c r="AGG142" s="17"/>
      <c r="AGH142" s="15"/>
      <c r="AGW142" s="17"/>
      <c r="AGX142" s="15"/>
      <c r="AHM142" s="17"/>
      <c r="AHN142" s="15"/>
      <c r="AIC142" s="17"/>
      <c r="AID142" s="15"/>
      <c r="AIS142" s="17"/>
      <c r="AIT142" s="15"/>
      <c r="AJI142" s="17"/>
      <c r="AJJ142" s="15"/>
      <c r="AJY142" s="17"/>
      <c r="AJZ142" s="15"/>
      <c r="AKO142" s="17"/>
      <c r="AKP142" s="15"/>
      <c r="ALE142" s="17"/>
      <c r="ALF142" s="15"/>
      <c r="ALU142" s="17"/>
      <c r="ALV142" s="15"/>
      <c r="AMK142" s="17"/>
      <c r="AML142" s="15"/>
      <c r="ANA142" s="17"/>
      <c r="ANB142" s="15"/>
      <c r="ANQ142" s="17"/>
      <c r="ANR142" s="15"/>
      <c r="AOG142" s="17"/>
      <c r="AOH142" s="15"/>
      <c r="AOW142" s="17"/>
      <c r="AOX142" s="15"/>
      <c r="APM142" s="17"/>
      <c r="APN142" s="15"/>
      <c r="AQC142" s="17"/>
      <c r="AQD142" s="15"/>
      <c r="AQS142" s="17"/>
      <c r="AQT142" s="15"/>
      <c r="ARI142" s="17"/>
      <c r="ARJ142" s="15"/>
      <c r="ARY142" s="17"/>
      <c r="ARZ142" s="15"/>
      <c r="ASO142" s="17"/>
      <c r="ASP142" s="15"/>
      <c r="ATE142" s="17"/>
      <c r="ATF142" s="15"/>
      <c r="ATU142" s="17"/>
      <c r="ATV142" s="15"/>
      <c r="AUK142" s="17"/>
      <c r="AUL142" s="15"/>
      <c r="AVA142" s="17"/>
      <c r="AVB142" s="15"/>
      <c r="AVQ142" s="17"/>
      <c r="AVR142" s="15"/>
      <c r="AWG142" s="17"/>
      <c r="AWH142" s="15"/>
      <c r="AWW142" s="17"/>
      <c r="AWX142" s="15"/>
      <c r="AXM142" s="17"/>
      <c r="AXN142" s="15"/>
      <c r="AYC142" s="17"/>
      <c r="AYD142" s="15"/>
      <c r="AYS142" s="17"/>
      <c r="AYT142" s="15"/>
      <c r="AZI142" s="17"/>
      <c r="AZJ142" s="15"/>
      <c r="AZY142" s="17"/>
      <c r="AZZ142" s="15"/>
      <c r="BAO142" s="17"/>
      <c r="BAP142" s="15"/>
      <c r="BBE142" s="17"/>
      <c r="BBF142" s="15"/>
      <c r="BBU142" s="17"/>
      <c r="BBV142" s="15"/>
      <c r="BCK142" s="17"/>
      <c r="BCL142" s="15"/>
      <c r="BDA142" s="17"/>
      <c r="BDB142" s="15"/>
      <c r="BDQ142" s="17"/>
      <c r="BDR142" s="15"/>
      <c r="BEG142" s="17"/>
      <c r="BEH142" s="15"/>
      <c r="BEW142" s="17"/>
      <c r="BEX142" s="15"/>
      <c r="BFM142" s="17"/>
      <c r="BFN142" s="15"/>
      <c r="BGC142" s="17"/>
      <c r="BGD142" s="15"/>
      <c r="BGS142" s="17"/>
      <c r="BGT142" s="15"/>
      <c r="BHI142" s="17"/>
      <c r="BHJ142" s="15"/>
      <c r="BHY142" s="17"/>
      <c r="BHZ142" s="15"/>
      <c r="BIO142" s="17"/>
      <c r="BIP142" s="15"/>
      <c r="BJE142" s="17"/>
      <c r="BJF142" s="15"/>
      <c r="BJU142" s="17"/>
      <c r="BJV142" s="15"/>
      <c r="BKK142" s="17"/>
      <c r="BKL142" s="15"/>
      <c r="BLA142" s="17"/>
      <c r="BLB142" s="15"/>
      <c r="BLQ142" s="17"/>
      <c r="BLR142" s="15"/>
      <c r="BMG142" s="17"/>
      <c r="BMH142" s="15"/>
      <c r="BMW142" s="17"/>
      <c r="BMX142" s="15"/>
      <c r="BNM142" s="17"/>
      <c r="BNN142" s="15"/>
      <c r="BOC142" s="17"/>
      <c r="BOD142" s="15"/>
      <c r="BOS142" s="17"/>
      <c r="BOT142" s="15"/>
      <c r="BPI142" s="17"/>
      <c r="BPJ142" s="15"/>
      <c r="BPY142" s="17"/>
      <c r="BPZ142" s="15"/>
      <c r="BQO142" s="17"/>
      <c r="BQP142" s="15"/>
      <c r="BRE142" s="17"/>
      <c r="BRF142" s="15"/>
      <c r="BRU142" s="17"/>
      <c r="BRV142" s="15"/>
      <c r="BSK142" s="17"/>
      <c r="BSL142" s="15"/>
      <c r="BTA142" s="17"/>
      <c r="BTB142" s="15"/>
      <c r="BTQ142" s="17"/>
      <c r="BTR142" s="15"/>
      <c r="BUG142" s="17"/>
      <c r="BUH142" s="15"/>
      <c r="BUW142" s="17"/>
      <c r="BUX142" s="15"/>
      <c r="BVM142" s="17"/>
      <c r="BVN142" s="15"/>
      <c r="BWC142" s="17"/>
      <c r="BWD142" s="15"/>
      <c r="BWS142" s="17"/>
      <c r="BWT142" s="15"/>
      <c r="BXI142" s="17"/>
      <c r="BXJ142" s="15"/>
      <c r="BXY142" s="17"/>
      <c r="BXZ142" s="15"/>
      <c r="BYO142" s="17"/>
      <c r="BYP142" s="15"/>
      <c r="BZE142" s="17"/>
      <c r="BZF142" s="15"/>
      <c r="BZU142" s="17"/>
      <c r="BZV142" s="15"/>
      <c r="CAK142" s="17"/>
      <c r="CAL142" s="15"/>
      <c r="CBA142" s="17"/>
      <c r="CBB142" s="15"/>
      <c r="CBQ142" s="17"/>
      <c r="CBR142" s="15"/>
      <c r="CCG142" s="17"/>
      <c r="CCH142" s="15"/>
      <c r="CCW142" s="17"/>
      <c r="CCX142" s="15"/>
      <c r="CDM142" s="17"/>
      <c r="CDN142" s="15"/>
      <c r="CEC142" s="17"/>
      <c r="CED142" s="15"/>
      <c r="CES142" s="17"/>
      <c r="CET142" s="15"/>
      <c r="CFI142" s="17"/>
      <c r="CFJ142" s="15"/>
      <c r="CFY142" s="17"/>
      <c r="CFZ142" s="15"/>
      <c r="CGO142" s="17"/>
      <c r="CGP142" s="15"/>
      <c r="CHE142" s="17"/>
      <c r="CHF142" s="15"/>
      <c r="CHU142" s="17"/>
      <c r="CHV142" s="15"/>
      <c r="CIK142" s="17"/>
      <c r="CIL142" s="15"/>
      <c r="CJA142" s="17"/>
      <c r="CJB142" s="15"/>
      <c r="CJQ142" s="17"/>
      <c r="CJR142" s="15"/>
      <c r="CKG142" s="17"/>
      <c r="CKH142" s="15"/>
      <c r="CKW142" s="17"/>
      <c r="CKX142" s="15"/>
      <c r="CLM142" s="17"/>
      <c r="CLN142" s="15"/>
      <c r="CMC142" s="17"/>
      <c r="CMD142" s="15"/>
      <c r="CMS142" s="17"/>
      <c r="CMT142" s="15"/>
      <c r="CNI142" s="17"/>
      <c r="CNJ142" s="15"/>
      <c r="CNY142" s="17"/>
      <c r="CNZ142" s="15"/>
      <c r="COO142" s="17"/>
      <c r="COP142" s="15"/>
      <c r="CPE142" s="17"/>
      <c r="CPF142" s="15"/>
      <c r="CPU142" s="17"/>
      <c r="CPV142" s="15"/>
      <c r="CQK142" s="17"/>
      <c r="CQL142" s="15"/>
      <c r="CRA142" s="17"/>
      <c r="CRB142" s="15"/>
      <c r="CRQ142" s="17"/>
      <c r="CRR142" s="15"/>
      <c r="CSG142" s="17"/>
      <c r="CSH142" s="15"/>
      <c r="CSW142" s="17"/>
      <c r="CSX142" s="15"/>
      <c r="CTM142" s="17"/>
      <c r="CTN142" s="15"/>
      <c r="CUC142" s="17"/>
      <c r="CUD142" s="15"/>
      <c r="CUS142" s="17"/>
      <c r="CUT142" s="15"/>
      <c r="CVI142" s="17"/>
      <c r="CVJ142" s="15"/>
      <c r="CVY142" s="17"/>
      <c r="CVZ142" s="15"/>
      <c r="CWO142" s="17"/>
      <c r="CWP142" s="15"/>
      <c r="CXE142" s="17"/>
      <c r="CXF142" s="15"/>
      <c r="CXU142" s="17"/>
      <c r="CXV142" s="15"/>
      <c r="CYK142" s="17"/>
      <c r="CYL142" s="15"/>
      <c r="CZA142" s="17"/>
      <c r="CZB142" s="15"/>
      <c r="CZQ142" s="17"/>
      <c r="CZR142" s="15"/>
      <c r="DAG142" s="17"/>
      <c r="DAH142" s="15"/>
      <c r="DAW142" s="17"/>
      <c r="DAX142" s="15"/>
      <c r="DBM142" s="17"/>
      <c r="DBN142" s="15"/>
      <c r="DCC142" s="17"/>
      <c r="DCD142" s="15"/>
      <c r="DCS142" s="17"/>
      <c r="DCT142" s="15"/>
      <c r="DDI142" s="17"/>
      <c r="DDJ142" s="15"/>
      <c r="DDY142" s="17"/>
      <c r="DDZ142" s="15"/>
      <c r="DEO142" s="17"/>
      <c r="DEP142" s="15"/>
      <c r="DFE142" s="17"/>
      <c r="DFF142" s="15"/>
      <c r="DFU142" s="17"/>
      <c r="DFV142" s="15"/>
      <c r="DGK142" s="17"/>
      <c r="DGL142" s="15"/>
      <c r="DHA142" s="17"/>
      <c r="DHB142" s="15"/>
      <c r="DHQ142" s="17"/>
      <c r="DHR142" s="15"/>
      <c r="DIG142" s="17"/>
      <c r="DIH142" s="15"/>
      <c r="DIW142" s="17"/>
      <c r="DIX142" s="15"/>
      <c r="DJM142" s="17"/>
      <c r="DJN142" s="15"/>
      <c r="DKC142" s="17"/>
      <c r="DKD142" s="15"/>
      <c r="DKS142" s="17"/>
      <c r="DKT142" s="15"/>
      <c r="DLI142" s="17"/>
      <c r="DLJ142" s="15"/>
      <c r="DLY142" s="17"/>
      <c r="DLZ142" s="15"/>
      <c r="DMO142" s="17"/>
      <c r="DMP142" s="15"/>
      <c r="DNE142" s="17"/>
      <c r="DNF142" s="15"/>
      <c r="DNU142" s="17"/>
      <c r="DNV142" s="15"/>
      <c r="DOK142" s="17"/>
      <c r="DOL142" s="15"/>
      <c r="DPA142" s="17"/>
      <c r="DPB142" s="15"/>
      <c r="DPQ142" s="17"/>
      <c r="DPR142" s="15"/>
      <c r="DQG142" s="17"/>
      <c r="DQH142" s="15"/>
      <c r="DQW142" s="17"/>
      <c r="DQX142" s="15"/>
      <c r="DRM142" s="17"/>
      <c r="DRN142" s="15"/>
      <c r="DSC142" s="17"/>
      <c r="DSD142" s="15"/>
      <c r="DSS142" s="17"/>
      <c r="DST142" s="15"/>
      <c r="DTI142" s="17"/>
      <c r="DTJ142" s="15"/>
      <c r="DTY142" s="17"/>
      <c r="DTZ142" s="15"/>
      <c r="DUO142" s="17"/>
      <c r="DUP142" s="15"/>
      <c r="DVE142" s="17"/>
      <c r="DVF142" s="15"/>
      <c r="DVU142" s="17"/>
      <c r="DVV142" s="15"/>
      <c r="DWK142" s="17"/>
      <c r="DWL142" s="15"/>
      <c r="DXA142" s="17"/>
      <c r="DXB142" s="15"/>
      <c r="DXQ142" s="17"/>
      <c r="DXR142" s="15"/>
      <c r="DYG142" s="17"/>
      <c r="DYH142" s="15"/>
      <c r="DYW142" s="17"/>
      <c r="DYX142" s="15"/>
      <c r="DZM142" s="17"/>
      <c r="DZN142" s="15"/>
      <c r="EAC142" s="17"/>
      <c r="EAD142" s="15"/>
      <c r="EAS142" s="17"/>
      <c r="EAT142" s="15"/>
      <c r="EBI142" s="17"/>
      <c r="EBJ142" s="15"/>
      <c r="EBY142" s="17"/>
      <c r="EBZ142" s="15"/>
      <c r="ECO142" s="17"/>
      <c r="ECP142" s="15"/>
      <c r="EDE142" s="17"/>
      <c r="EDF142" s="15"/>
      <c r="EDU142" s="17"/>
      <c r="EDV142" s="15"/>
      <c r="EEK142" s="17"/>
      <c r="EEL142" s="15"/>
      <c r="EFA142" s="17"/>
      <c r="EFB142" s="15"/>
      <c r="EFQ142" s="17"/>
      <c r="EFR142" s="15"/>
      <c r="EGG142" s="17"/>
      <c r="EGH142" s="15"/>
      <c r="EGW142" s="17"/>
      <c r="EGX142" s="15"/>
      <c r="EHM142" s="17"/>
      <c r="EHN142" s="15"/>
      <c r="EIC142" s="17"/>
      <c r="EID142" s="15"/>
      <c r="EIS142" s="17"/>
      <c r="EIT142" s="15"/>
      <c r="EJI142" s="17"/>
      <c r="EJJ142" s="15"/>
      <c r="EJY142" s="17"/>
      <c r="EJZ142" s="15"/>
      <c r="EKO142" s="17"/>
      <c r="EKP142" s="15"/>
      <c r="ELE142" s="17"/>
      <c r="ELF142" s="15"/>
      <c r="ELU142" s="17"/>
      <c r="ELV142" s="15"/>
      <c r="EMK142" s="17"/>
      <c r="EML142" s="15"/>
      <c r="ENA142" s="17"/>
      <c r="ENB142" s="15"/>
      <c r="ENQ142" s="17"/>
      <c r="ENR142" s="15"/>
      <c r="EOG142" s="17"/>
      <c r="EOH142" s="15"/>
      <c r="EOW142" s="17"/>
      <c r="EOX142" s="15"/>
      <c r="EPM142" s="17"/>
      <c r="EPN142" s="15"/>
      <c r="EQC142" s="17"/>
      <c r="EQD142" s="15"/>
      <c r="EQS142" s="17"/>
      <c r="EQT142" s="15"/>
      <c r="ERI142" s="17"/>
      <c r="ERJ142" s="15"/>
      <c r="ERY142" s="17"/>
      <c r="ERZ142" s="15"/>
      <c r="ESO142" s="17"/>
      <c r="ESP142" s="15"/>
      <c r="ETE142" s="17"/>
      <c r="ETF142" s="15"/>
      <c r="ETU142" s="17"/>
      <c r="ETV142" s="15"/>
      <c r="EUK142" s="17"/>
      <c r="EUL142" s="15"/>
      <c r="EVA142" s="17"/>
      <c r="EVB142" s="15"/>
      <c r="EVQ142" s="17"/>
      <c r="EVR142" s="15"/>
      <c r="EWG142" s="17"/>
      <c r="EWH142" s="15"/>
      <c r="EWW142" s="17"/>
      <c r="EWX142" s="15"/>
      <c r="EXM142" s="17"/>
      <c r="EXN142" s="15"/>
      <c r="EYC142" s="17"/>
      <c r="EYD142" s="15"/>
      <c r="EYS142" s="17"/>
      <c r="EYT142" s="15"/>
      <c r="EZI142" s="17"/>
      <c r="EZJ142" s="15"/>
      <c r="EZY142" s="17"/>
      <c r="EZZ142" s="15"/>
      <c r="FAO142" s="17"/>
      <c r="FAP142" s="15"/>
      <c r="FBE142" s="17"/>
      <c r="FBF142" s="15"/>
      <c r="FBU142" s="17"/>
      <c r="FBV142" s="15"/>
      <c r="FCK142" s="17"/>
      <c r="FCL142" s="15"/>
      <c r="FDA142" s="17"/>
      <c r="FDB142" s="15"/>
      <c r="FDQ142" s="17"/>
      <c r="FDR142" s="15"/>
      <c r="FEG142" s="17"/>
      <c r="FEH142" s="15"/>
      <c r="FEW142" s="17"/>
      <c r="FEX142" s="15"/>
      <c r="FFM142" s="17"/>
      <c r="FFN142" s="15"/>
      <c r="FGC142" s="17"/>
      <c r="FGD142" s="15"/>
      <c r="FGS142" s="17"/>
      <c r="FGT142" s="15"/>
      <c r="FHI142" s="17"/>
      <c r="FHJ142" s="15"/>
      <c r="FHY142" s="17"/>
      <c r="FHZ142" s="15"/>
      <c r="FIO142" s="17"/>
      <c r="FIP142" s="15"/>
      <c r="FJE142" s="17"/>
      <c r="FJF142" s="15"/>
      <c r="FJU142" s="17"/>
      <c r="FJV142" s="15"/>
      <c r="FKK142" s="17"/>
      <c r="FKL142" s="15"/>
      <c r="FLA142" s="17"/>
      <c r="FLB142" s="15"/>
      <c r="FLQ142" s="17"/>
      <c r="FLR142" s="15"/>
      <c r="FMG142" s="17"/>
      <c r="FMH142" s="15"/>
      <c r="FMW142" s="17"/>
      <c r="FMX142" s="15"/>
      <c r="FNM142" s="17"/>
      <c r="FNN142" s="15"/>
      <c r="FOC142" s="17"/>
      <c r="FOD142" s="15"/>
      <c r="FOS142" s="17"/>
      <c r="FOT142" s="15"/>
      <c r="FPI142" s="17"/>
      <c r="FPJ142" s="15"/>
      <c r="FPY142" s="17"/>
      <c r="FPZ142" s="15"/>
      <c r="FQO142" s="17"/>
      <c r="FQP142" s="15"/>
      <c r="FRE142" s="17"/>
      <c r="FRF142" s="15"/>
      <c r="FRU142" s="17"/>
      <c r="FRV142" s="15"/>
      <c r="FSK142" s="17"/>
      <c r="FSL142" s="15"/>
      <c r="FTA142" s="17"/>
      <c r="FTB142" s="15"/>
      <c r="FTQ142" s="17"/>
      <c r="FTR142" s="15"/>
      <c r="FUG142" s="17"/>
      <c r="FUH142" s="15"/>
      <c r="FUW142" s="17"/>
      <c r="FUX142" s="15"/>
      <c r="FVM142" s="17"/>
      <c r="FVN142" s="15"/>
      <c r="FWC142" s="17"/>
      <c r="FWD142" s="15"/>
      <c r="FWS142" s="17"/>
      <c r="FWT142" s="15"/>
      <c r="FXI142" s="17"/>
      <c r="FXJ142" s="15"/>
      <c r="FXY142" s="17"/>
      <c r="FXZ142" s="15"/>
      <c r="FYO142" s="17"/>
      <c r="FYP142" s="15"/>
      <c r="FZE142" s="17"/>
      <c r="FZF142" s="15"/>
      <c r="FZU142" s="17"/>
      <c r="FZV142" s="15"/>
      <c r="GAK142" s="17"/>
      <c r="GAL142" s="15"/>
      <c r="GBA142" s="17"/>
      <c r="GBB142" s="15"/>
      <c r="GBQ142" s="17"/>
      <c r="GBR142" s="15"/>
      <c r="GCG142" s="17"/>
      <c r="GCH142" s="15"/>
      <c r="GCW142" s="17"/>
      <c r="GCX142" s="15"/>
      <c r="GDM142" s="17"/>
      <c r="GDN142" s="15"/>
      <c r="GEC142" s="17"/>
      <c r="GED142" s="15"/>
      <c r="GES142" s="17"/>
      <c r="GET142" s="15"/>
      <c r="GFI142" s="17"/>
      <c r="GFJ142" s="15"/>
      <c r="GFY142" s="17"/>
      <c r="GFZ142" s="15"/>
      <c r="GGO142" s="17"/>
      <c r="GGP142" s="15"/>
      <c r="GHE142" s="17"/>
      <c r="GHF142" s="15"/>
      <c r="GHU142" s="17"/>
      <c r="GHV142" s="15"/>
      <c r="GIK142" s="17"/>
      <c r="GIL142" s="15"/>
      <c r="GJA142" s="17"/>
      <c r="GJB142" s="15"/>
      <c r="GJQ142" s="17"/>
      <c r="GJR142" s="15"/>
      <c r="GKG142" s="17"/>
      <c r="GKH142" s="15"/>
      <c r="GKW142" s="17"/>
      <c r="GKX142" s="15"/>
      <c r="GLM142" s="17"/>
      <c r="GLN142" s="15"/>
      <c r="GMC142" s="17"/>
      <c r="GMD142" s="15"/>
      <c r="GMS142" s="17"/>
      <c r="GMT142" s="15"/>
      <c r="GNI142" s="17"/>
      <c r="GNJ142" s="15"/>
      <c r="GNY142" s="17"/>
      <c r="GNZ142" s="15"/>
      <c r="GOO142" s="17"/>
      <c r="GOP142" s="15"/>
      <c r="GPE142" s="17"/>
      <c r="GPF142" s="15"/>
      <c r="GPU142" s="17"/>
      <c r="GPV142" s="15"/>
      <c r="GQK142" s="17"/>
      <c r="GQL142" s="15"/>
      <c r="GRA142" s="17"/>
      <c r="GRB142" s="15"/>
      <c r="GRQ142" s="17"/>
      <c r="GRR142" s="15"/>
      <c r="GSG142" s="17"/>
      <c r="GSH142" s="15"/>
      <c r="GSW142" s="17"/>
      <c r="GSX142" s="15"/>
      <c r="GTM142" s="17"/>
      <c r="GTN142" s="15"/>
      <c r="GUC142" s="17"/>
      <c r="GUD142" s="15"/>
      <c r="GUS142" s="17"/>
      <c r="GUT142" s="15"/>
      <c r="GVI142" s="17"/>
      <c r="GVJ142" s="15"/>
      <c r="GVY142" s="17"/>
      <c r="GVZ142" s="15"/>
      <c r="GWO142" s="17"/>
      <c r="GWP142" s="15"/>
      <c r="GXE142" s="17"/>
      <c r="GXF142" s="15"/>
      <c r="GXU142" s="17"/>
      <c r="GXV142" s="15"/>
      <c r="GYK142" s="17"/>
      <c r="GYL142" s="15"/>
      <c r="GZA142" s="17"/>
      <c r="GZB142" s="15"/>
      <c r="GZQ142" s="17"/>
      <c r="GZR142" s="15"/>
      <c r="HAG142" s="17"/>
      <c r="HAH142" s="15"/>
      <c r="HAW142" s="17"/>
      <c r="HAX142" s="15"/>
      <c r="HBM142" s="17"/>
      <c r="HBN142" s="15"/>
      <c r="HCC142" s="17"/>
      <c r="HCD142" s="15"/>
      <c r="HCS142" s="17"/>
      <c r="HCT142" s="15"/>
      <c r="HDI142" s="17"/>
      <c r="HDJ142" s="15"/>
      <c r="HDY142" s="17"/>
      <c r="HDZ142" s="15"/>
      <c r="HEO142" s="17"/>
      <c r="HEP142" s="15"/>
      <c r="HFE142" s="17"/>
      <c r="HFF142" s="15"/>
      <c r="HFU142" s="17"/>
      <c r="HFV142" s="15"/>
      <c r="HGK142" s="17"/>
      <c r="HGL142" s="15"/>
      <c r="HHA142" s="17"/>
      <c r="HHB142" s="15"/>
      <c r="HHQ142" s="17"/>
      <c r="HHR142" s="15"/>
      <c r="HIG142" s="17"/>
      <c r="HIH142" s="15"/>
      <c r="HIW142" s="17"/>
      <c r="HIX142" s="15"/>
      <c r="HJM142" s="17"/>
      <c r="HJN142" s="15"/>
      <c r="HKC142" s="17"/>
      <c r="HKD142" s="15"/>
      <c r="HKS142" s="17"/>
      <c r="HKT142" s="15"/>
      <c r="HLI142" s="17"/>
      <c r="HLJ142" s="15"/>
      <c r="HLY142" s="17"/>
      <c r="HLZ142" s="15"/>
      <c r="HMO142" s="17"/>
      <c r="HMP142" s="15"/>
      <c r="HNE142" s="17"/>
      <c r="HNF142" s="15"/>
      <c r="HNU142" s="17"/>
      <c r="HNV142" s="15"/>
      <c r="HOK142" s="17"/>
      <c r="HOL142" s="15"/>
      <c r="HPA142" s="17"/>
      <c r="HPB142" s="15"/>
      <c r="HPQ142" s="17"/>
      <c r="HPR142" s="15"/>
      <c r="HQG142" s="17"/>
      <c r="HQH142" s="15"/>
      <c r="HQW142" s="17"/>
      <c r="HQX142" s="15"/>
      <c r="HRM142" s="17"/>
      <c r="HRN142" s="15"/>
      <c r="HSC142" s="17"/>
      <c r="HSD142" s="15"/>
      <c r="HSS142" s="17"/>
      <c r="HST142" s="15"/>
      <c r="HTI142" s="17"/>
      <c r="HTJ142" s="15"/>
      <c r="HTY142" s="17"/>
      <c r="HTZ142" s="15"/>
      <c r="HUO142" s="17"/>
      <c r="HUP142" s="15"/>
      <c r="HVE142" s="17"/>
      <c r="HVF142" s="15"/>
      <c r="HVU142" s="17"/>
      <c r="HVV142" s="15"/>
      <c r="HWK142" s="17"/>
      <c r="HWL142" s="15"/>
      <c r="HXA142" s="17"/>
      <c r="HXB142" s="15"/>
      <c r="HXQ142" s="17"/>
      <c r="HXR142" s="15"/>
      <c r="HYG142" s="17"/>
      <c r="HYH142" s="15"/>
      <c r="HYW142" s="17"/>
      <c r="HYX142" s="15"/>
      <c r="HZM142" s="17"/>
      <c r="HZN142" s="15"/>
      <c r="IAC142" s="17"/>
      <c r="IAD142" s="15"/>
      <c r="IAS142" s="17"/>
      <c r="IAT142" s="15"/>
      <c r="IBI142" s="17"/>
      <c r="IBJ142" s="15"/>
      <c r="IBY142" s="17"/>
      <c r="IBZ142" s="15"/>
      <c r="ICO142" s="17"/>
      <c r="ICP142" s="15"/>
      <c r="IDE142" s="17"/>
      <c r="IDF142" s="15"/>
      <c r="IDU142" s="17"/>
      <c r="IDV142" s="15"/>
      <c r="IEK142" s="17"/>
      <c r="IEL142" s="15"/>
      <c r="IFA142" s="17"/>
      <c r="IFB142" s="15"/>
      <c r="IFQ142" s="17"/>
      <c r="IFR142" s="15"/>
      <c r="IGG142" s="17"/>
      <c r="IGH142" s="15"/>
      <c r="IGW142" s="17"/>
      <c r="IGX142" s="15"/>
      <c r="IHM142" s="17"/>
      <c r="IHN142" s="15"/>
      <c r="IIC142" s="17"/>
      <c r="IID142" s="15"/>
      <c r="IIS142" s="17"/>
      <c r="IIT142" s="15"/>
      <c r="IJI142" s="17"/>
      <c r="IJJ142" s="15"/>
      <c r="IJY142" s="17"/>
      <c r="IJZ142" s="15"/>
      <c r="IKO142" s="17"/>
      <c r="IKP142" s="15"/>
      <c r="ILE142" s="17"/>
      <c r="ILF142" s="15"/>
      <c r="ILU142" s="17"/>
      <c r="ILV142" s="15"/>
      <c r="IMK142" s="17"/>
      <c r="IML142" s="15"/>
      <c r="INA142" s="17"/>
      <c r="INB142" s="15"/>
      <c r="INQ142" s="17"/>
      <c r="INR142" s="15"/>
      <c r="IOG142" s="17"/>
      <c r="IOH142" s="15"/>
      <c r="IOW142" s="17"/>
      <c r="IOX142" s="15"/>
      <c r="IPM142" s="17"/>
      <c r="IPN142" s="15"/>
      <c r="IQC142" s="17"/>
      <c r="IQD142" s="15"/>
      <c r="IQS142" s="17"/>
      <c r="IQT142" s="15"/>
      <c r="IRI142" s="17"/>
      <c r="IRJ142" s="15"/>
      <c r="IRY142" s="17"/>
      <c r="IRZ142" s="15"/>
      <c r="ISO142" s="17"/>
      <c r="ISP142" s="15"/>
      <c r="ITE142" s="17"/>
      <c r="ITF142" s="15"/>
      <c r="ITU142" s="17"/>
      <c r="ITV142" s="15"/>
      <c r="IUK142" s="17"/>
      <c r="IUL142" s="15"/>
      <c r="IVA142" s="17"/>
      <c r="IVB142" s="15"/>
      <c r="IVQ142" s="17"/>
      <c r="IVR142" s="15"/>
      <c r="IWG142" s="17"/>
      <c r="IWH142" s="15"/>
      <c r="IWW142" s="17"/>
      <c r="IWX142" s="15"/>
      <c r="IXM142" s="17"/>
      <c r="IXN142" s="15"/>
      <c r="IYC142" s="17"/>
      <c r="IYD142" s="15"/>
      <c r="IYS142" s="17"/>
      <c r="IYT142" s="15"/>
      <c r="IZI142" s="17"/>
      <c r="IZJ142" s="15"/>
      <c r="IZY142" s="17"/>
      <c r="IZZ142" s="15"/>
      <c r="JAO142" s="17"/>
      <c r="JAP142" s="15"/>
      <c r="JBE142" s="17"/>
      <c r="JBF142" s="15"/>
      <c r="JBU142" s="17"/>
      <c r="JBV142" s="15"/>
      <c r="JCK142" s="17"/>
      <c r="JCL142" s="15"/>
      <c r="JDA142" s="17"/>
      <c r="JDB142" s="15"/>
      <c r="JDQ142" s="17"/>
      <c r="JDR142" s="15"/>
      <c r="JEG142" s="17"/>
      <c r="JEH142" s="15"/>
      <c r="JEW142" s="17"/>
      <c r="JEX142" s="15"/>
      <c r="JFM142" s="17"/>
      <c r="JFN142" s="15"/>
      <c r="JGC142" s="17"/>
      <c r="JGD142" s="15"/>
      <c r="JGS142" s="17"/>
      <c r="JGT142" s="15"/>
      <c r="JHI142" s="17"/>
      <c r="JHJ142" s="15"/>
      <c r="JHY142" s="17"/>
      <c r="JHZ142" s="15"/>
      <c r="JIO142" s="17"/>
      <c r="JIP142" s="15"/>
      <c r="JJE142" s="17"/>
      <c r="JJF142" s="15"/>
      <c r="JJU142" s="17"/>
      <c r="JJV142" s="15"/>
      <c r="JKK142" s="17"/>
      <c r="JKL142" s="15"/>
      <c r="JLA142" s="17"/>
      <c r="JLB142" s="15"/>
      <c r="JLQ142" s="17"/>
      <c r="JLR142" s="15"/>
      <c r="JMG142" s="17"/>
      <c r="JMH142" s="15"/>
      <c r="JMW142" s="17"/>
      <c r="JMX142" s="15"/>
      <c r="JNM142" s="17"/>
      <c r="JNN142" s="15"/>
      <c r="JOC142" s="17"/>
      <c r="JOD142" s="15"/>
      <c r="JOS142" s="17"/>
      <c r="JOT142" s="15"/>
      <c r="JPI142" s="17"/>
      <c r="JPJ142" s="15"/>
      <c r="JPY142" s="17"/>
      <c r="JPZ142" s="15"/>
      <c r="JQO142" s="17"/>
      <c r="JQP142" s="15"/>
      <c r="JRE142" s="17"/>
      <c r="JRF142" s="15"/>
      <c r="JRU142" s="17"/>
      <c r="JRV142" s="15"/>
      <c r="JSK142" s="17"/>
      <c r="JSL142" s="15"/>
      <c r="JTA142" s="17"/>
      <c r="JTB142" s="15"/>
      <c r="JTQ142" s="17"/>
      <c r="JTR142" s="15"/>
      <c r="JUG142" s="17"/>
      <c r="JUH142" s="15"/>
      <c r="JUW142" s="17"/>
      <c r="JUX142" s="15"/>
      <c r="JVM142" s="17"/>
      <c r="JVN142" s="15"/>
      <c r="JWC142" s="17"/>
      <c r="JWD142" s="15"/>
      <c r="JWS142" s="17"/>
      <c r="JWT142" s="15"/>
      <c r="JXI142" s="17"/>
      <c r="JXJ142" s="15"/>
      <c r="JXY142" s="17"/>
      <c r="JXZ142" s="15"/>
      <c r="JYO142" s="17"/>
      <c r="JYP142" s="15"/>
      <c r="JZE142" s="17"/>
      <c r="JZF142" s="15"/>
      <c r="JZU142" s="17"/>
      <c r="JZV142" s="15"/>
      <c r="KAK142" s="17"/>
      <c r="KAL142" s="15"/>
      <c r="KBA142" s="17"/>
      <c r="KBB142" s="15"/>
      <c r="KBQ142" s="17"/>
      <c r="KBR142" s="15"/>
      <c r="KCG142" s="17"/>
      <c r="KCH142" s="15"/>
      <c r="KCW142" s="17"/>
      <c r="KCX142" s="15"/>
      <c r="KDM142" s="17"/>
      <c r="KDN142" s="15"/>
      <c r="KEC142" s="17"/>
      <c r="KED142" s="15"/>
      <c r="KES142" s="17"/>
      <c r="KET142" s="15"/>
      <c r="KFI142" s="17"/>
      <c r="KFJ142" s="15"/>
      <c r="KFY142" s="17"/>
      <c r="KFZ142" s="15"/>
      <c r="KGO142" s="17"/>
      <c r="KGP142" s="15"/>
      <c r="KHE142" s="17"/>
      <c r="KHF142" s="15"/>
      <c r="KHU142" s="17"/>
      <c r="KHV142" s="15"/>
      <c r="KIK142" s="17"/>
      <c r="KIL142" s="15"/>
      <c r="KJA142" s="17"/>
      <c r="KJB142" s="15"/>
      <c r="KJQ142" s="17"/>
      <c r="KJR142" s="15"/>
      <c r="KKG142" s="17"/>
      <c r="KKH142" s="15"/>
      <c r="KKW142" s="17"/>
      <c r="KKX142" s="15"/>
      <c r="KLM142" s="17"/>
      <c r="KLN142" s="15"/>
      <c r="KMC142" s="17"/>
      <c r="KMD142" s="15"/>
      <c r="KMS142" s="17"/>
      <c r="KMT142" s="15"/>
      <c r="KNI142" s="17"/>
      <c r="KNJ142" s="15"/>
      <c r="KNY142" s="17"/>
      <c r="KNZ142" s="15"/>
      <c r="KOO142" s="17"/>
      <c r="KOP142" s="15"/>
      <c r="KPE142" s="17"/>
      <c r="KPF142" s="15"/>
      <c r="KPU142" s="17"/>
      <c r="KPV142" s="15"/>
      <c r="KQK142" s="17"/>
      <c r="KQL142" s="15"/>
      <c r="KRA142" s="17"/>
      <c r="KRB142" s="15"/>
      <c r="KRQ142" s="17"/>
      <c r="KRR142" s="15"/>
      <c r="KSG142" s="17"/>
      <c r="KSH142" s="15"/>
      <c r="KSW142" s="17"/>
      <c r="KSX142" s="15"/>
      <c r="KTM142" s="17"/>
      <c r="KTN142" s="15"/>
      <c r="KUC142" s="17"/>
      <c r="KUD142" s="15"/>
      <c r="KUS142" s="17"/>
      <c r="KUT142" s="15"/>
      <c r="KVI142" s="17"/>
      <c r="KVJ142" s="15"/>
      <c r="KVY142" s="17"/>
      <c r="KVZ142" s="15"/>
      <c r="KWO142" s="17"/>
      <c r="KWP142" s="15"/>
      <c r="KXE142" s="17"/>
      <c r="KXF142" s="15"/>
      <c r="KXU142" s="17"/>
      <c r="KXV142" s="15"/>
      <c r="KYK142" s="17"/>
      <c r="KYL142" s="15"/>
      <c r="KZA142" s="17"/>
      <c r="KZB142" s="15"/>
      <c r="KZQ142" s="17"/>
      <c r="KZR142" s="15"/>
      <c r="LAG142" s="17"/>
      <c r="LAH142" s="15"/>
      <c r="LAW142" s="17"/>
      <c r="LAX142" s="15"/>
      <c r="LBM142" s="17"/>
      <c r="LBN142" s="15"/>
      <c r="LCC142" s="17"/>
      <c r="LCD142" s="15"/>
      <c r="LCS142" s="17"/>
      <c r="LCT142" s="15"/>
      <c r="LDI142" s="17"/>
      <c r="LDJ142" s="15"/>
      <c r="LDY142" s="17"/>
      <c r="LDZ142" s="15"/>
      <c r="LEO142" s="17"/>
      <c r="LEP142" s="15"/>
      <c r="LFE142" s="17"/>
      <c r="LFF142" s="15"/>
      <c r="LFU142" s="17"/>
      <c r="LFV142" s="15"/>
      <c r="LGK142" s="17"/>
      <c r="LGL142" s="15"/>
      <c r="LHA142" s="17"/>
      <c r="LHB142" s="15"/>
      <c r="LHQ142" s="17"/>
      <c r="LHR142" s="15"/>
      <c r="LIG142" s="17"/>
      <c r="LIH142" s="15"/>
      <c r="LIW142" s="17"/>
      <c r="LIX142" s="15"/>
      <c r="LJM142" s="17"/>
      <c r="LJN142" s="15"/>
      <c r="LKC142" s="17"/>
      <c r="LKD142" s="15"/>
      <c r="LKS142" s="17"/>
      <c r="LKT142" s="15"/>
      <c r="LLI142" s="17"/>
      <c r="LLJ142" s="15"/>
      <c r="LLY142" s="17"/>
      <c r="LLZ142" s="15"/>
      <c r="LMO142" s="17"/>
      <c r="LMP142" s="15"/>
      <c r="LNE142" s="17"/>
      <c r="LNF142" s="15"/>
      <c r="LNU142" s="17"/>
      <c r="LNV142" s="15"/>
      <c r="LOK142" s="17"/>
      <c r="LOL142" s="15"/>
      <c r="LPA142" s="17"/>
      <c r="LPB142" s="15"/>
      <c r="LPQ142" s="17"/>
      <c r="LPR142" s="15"/>
      <c r="LQG142" s="17"/>
      <c r="LQH142" s="15"/>
      <c r="LQW142" s="17"/>
      <c r="LQX142" s="15"/>
      <c r="LRM142" s="17"/>
      <c r="LRN142" s="15"/>
      <c r="LSC142" s="17"/>
      <c r="LSD142" s="15"/>
      <c r="LSS142" s="17"/>
      <c r="LST142" s="15"/>
      <c r="LTI142" s="17"/>
      <c r="LTJ142" s="15"/>
      <c r="LTY142" s="17"/>
      <c r="LTZ142" s="15"/>
      <c r="LUO142" s="17"/>
      <c r="LUP142" s="15"/>
      <c r="LVE142" s="17"/>
      <c r="LVF142" s="15"/>
      <c r="LVU142" s="17"/>
      <c r="LVV142" s="15"/>
      <c r="LWK142" s="17"/>
      <c r="LWL142" s="15"/>
      <c r="LXA142" s="17"/>
      <c r="LXB142" s="15"/>
      <c r="LXQ142" s="17"/>
      <c r="LXR142" s="15"/>
      <c r="LYG142" s="17"/>
      <c r="LYH142" s="15"/>
      <c r="LYW142" s="17"/>
      <c r="LYX142" s="15"/>
      <c r="LZM142" s="17"/>
      <c r="LZN142" s="15"/>
      <c r="MAC142" s="17"/>
      <c r="MAD142" s="15"/>
      <c r="MAS142" s="17"/>
      <c r="MAT142" s="15"/>
      <c r="MBI142" s="17"/>
      <c r="MBJ142" s="15"/>
      <c r="MBY142" s="17"/>
      <c r="MBZ142" s="15"/>
      <c r="MCO142" s="17"/>
      <c r="MCP142" s="15"/>
      <c r="MDE142" s="17"/>
      <c r="MDF142" s="15"/>
      <c r="MDU142" s="17"/>
      <c r="MDV142" s="15"/>
      <c r="MEK142" s="17"/>
      <c r="MEL142" s="15"/>
      <c r="MFA142" s="17"/>
      <c r="MFB142" s="15"/>
      <c r="MFQ142" s="17"/>
      <c r="MFR142" s="15"/>
      <c r="MGG142" s="17"/>
      <c r="MGH142" s="15"/>
      <c r="MGW142" s="17"/>
      <c r="MGX142" s="15"/>
      <c r="MHM142" s="17"/>
      <c r="MHN142" s="15"/>
      <c r="MIC142" s="17"/>
      <c r="MID142" s="15"/>
      <c r="MIS142" s="17"/>
      <c r="MIT142" s="15"/>
      <c r="MJI142" s="17"/>
      <c r="MJJ142" s="15"/>
      <c r="MJY142" s="17"/>
      <c r="MJZ142" s="15"/>
      <c r="MKO142" s="17"/>
      <c r="MKP142" s="15"/>
      <c r="MLE142" s="17"/>
      <c r="MLF142" s="15"/>
      <c r="MLU142" s="17"/>
      <c r="MLV142" s="15"/>
      <c r="MMK142" s="17"/>
      <c r="MML142" s="15"/>
      <c r="MNA142" s="17"/>
      <c r="MNB142" s="15"/>
      <c r="MNQ142" s="17"/>
      <c r="MNR142" s="15"/>
      <c r="MOG142" s="17"/>
      <c r="MOH142" s="15"/>
      <c r="MOW142" s="17"/>
      <c r="MOX142" s="15"/>
      <c r="MPM142" s="17"/>
      <c r="MPN142" s="15"/>
      <c r="MQC142" s="17"/>
      <c r="MQD142" s="15"/>
      <c r="MQS142" s="17"/>
      <c r="MQT142" s="15"/>
      <c r="MRI142" s="17"/>
      <c r="MRJ142" s="15"/>
      <c r="MRY142" s="17"/>
      <c r="MRZ142" s="15"/>
      <c r="MSO142" s="17"/>
      <c r="MSP142" s="15"/>
      <c r="MTE142" s="17"/>
      <c r="MTF142" s="15"/>
      <c r="MTU142" s="17"/>
      <c r="MTV142" s="15"/>
      <c r="MUK142" s="17"/>
      <c r="MUL142" s="15"/>
      <c r="MVA142" s="17"/>
      <c r="MVB142" s="15"/>
      <c r="MVQ142" s="17"/>
      <c r="MVR142" s="15"/>
      <c r="MWG142" s="17"/>
      <c r="MWH142" s="15"/>
      <c r="MWW142" s="17"/>
      <c r="MWX142" s="15"/>
      <c r="MXM142" s="17"/>
      <c r="MXN142" s="15"/>
      <c r="MYC142" s="17"/>
      <c r="MYD142" s="15"/>
      <c r="MYS142" s="17"/>
      <c r="MYT142" s="15"/>
      <c r="MZI142" s="17"/>
      <c r="MZJ142" s="15"/>
      <c r="MZY142" s="17"/>
      <c r="MZZ142" s="15"/>
      <c r="NAO142" s="17"/>
      <c r="NAP142" s="15"/>
      <c r="NBE142" s="17"/>
      <c r="NBF142" s="15"/>
      <c r="NBU142" s="17"/>
      <c r="NBV142" s="15"/>
      <c r="NCK142" s="17"/>
      <c r="NCL142" s="15"/>
      <c r="NDA142" s="17"/>
      <c r="NDB142" s="15"/>
      <c r="NDQ142" s="17"/>
      <c r="NDR142" s="15"/>
      <c r="NEG142" s="17"/>
      <c r="NEH142" s="15"/>
      <c r="NEW142" s="17"/>
      <c r="NEX142" s="15"/>
      <c r="NFM142" s="17"/>
      <c r="NFN142" s="15"/>
      <c r="NGC142" s="17"/>
      <c r="NGD142" s="15"/>
      <c r="NGS142" s="17"/>
      <c r="NGT142" s="15"/>
      <c r="NHI142" s="17"/>
      <c r="NHJ142" s="15"/>
      <c r="NHY142" s="17"/>
      <c r="NHZ142" s="15"/>
      <c r="NIO142" s="17"/>
      <c r="NIP142" s="15"/>
      <c r="NJE142" s="17"/>
      <c r="NJF142" s="15"/>
      <c r="NJU142" s="17"/>
      <c r="NJV142" s="15"/>
      <c r="NKK142" s="17"/>
      <c r="NKL142" s="15"/>
      <c r="NLA142" s="17"/>
      <c r="NLB142" s="15"/>
      <c r="NLQ142" s="17"/>
      <c r="NLR142" s="15"/>
      <c r="NMG142" s="17"/>
      <c r="NMH142" s="15"/>
      <c r="NMW142" s="17"/>
      <c r="NMX142" s="15"/>
      <c r="NNM142" s="17"/>
      <c r="NNN142" s="15"/>
      <c r="NOC142" s="17"/>
      <c r="NOD142" s="15"/>
      <c r="NOS142" s="17"/>
      <c r="NOT142" s="15"/>
      <c r="NPI142" s="17"/>
      <c r="NPJ142" s="15"/>
      <c r="NPY142" s="17"/>
      <c r="NPZ142" s="15"/>
      <c r="NQO142" s="17"/>
      <c r="NQP142" s="15"/>
      <c r="NRE142" s="17"/>
      <c r="NRF142" s="15"/>
      <c r="NRU142" s="17"/>
      <c r="NRV142" s="15"/>
      <c r="NSK142" s="17"/>
      <c r="NSL142" s="15"/>
      <c r="NTA142" s="17"/>
      <c r="NTB142" s="15"/>
      <c r="NTQ142" s="17"/>
      <c r="NTR142" s="15"/>
      <c r="NUG142" s="17"/>
      <c r="NUH142" s="15"/>
      <c r="NUW142" s="17"/>
      <c r="NUX142" s="15"/>
      <c r="NVM142" s="17"/>
      <c r="NVN142" s="15"/>
      <c r="NWC142" s="17"/>
      <c r="NWD142" s="15"/>
      <c r="NWS142" s="17"/>
      <c r="NWT142" s="15"/>
      <c r="NXI142" s="17"/>
      <c r="NXJ142" s="15"/>
      <c r="NXY142" s="17"/>
      <c r="NXZ142" s="15"/>
      <c r="NYO142" s="17"/>
      <c r="NYP142" s="15"/>
      <c r="NZE142" s="17"/>
      <c r="NZF142" s="15"/>
      <c r="NZU142" s="17"/>
      <c r="NZV142" s="15"/>
      <c r="OAK142" s="17"/>
      <c r="OAL142" s="15"/>
      <c r="OBA142" s="17"/>
      <c r="OBB142" s="15"/>
      <c r="OBQ142" s="17"/>
      <c r="OBR142" s="15"/>
      <c r="OCG142" s="17"/>
      <c r="OCH142" s="15"/>
      <c r="OCW142" s="17"/>
      <c r="OCX142" s="15"/>
      <c r="ODM142" s="17"/>
      <c r="ODN142" s="15"/>
      <c r="OEC142" s="17"/>
      <c r="OED142" s="15"/>
      <c r="OES142" s="17"/>
      <c r="OET142" s="15"/>
      <c r="OFI142" s="17"/>
      <c r="OFJ142" s="15"/>
      <c r="OFY142" s="17"/>
      <c r="OFZ142" s="15"/>
      <c r="OGO142" s="17"/>
      <c r="OGP142" s="15"/>
      <c r="OHE142" s="17"/>
      <c r="OHF142" s="15"/>
      <c r="OHU142" s="17"/>
      <c r="OHV142" s="15"/>
      <c r="OIK142" s="17"/>
      <c r="OIL142" s="15"/>
      <c r="OJA142" s="17"/>
      <c r="OJB142" s="15"/>
      <c r="OJQ142" s="17"/>
      <c r="OJR142" s="15"/>
      <c r="OKG142" s="17"/>
      <c r="OKH142" s="15"/>
      <c r="OKW142" s="17"/>
      <c r="OKX142" s="15"/>
      <c r="OLM142" s="17"/>
      <c r="OLN142" s="15"/>
      <c r="OMC142" s="17"/>
      <c r="OMD142" s="15"/>
      <c r="OMS142" s="17"/>
      <c r="OMT142" s="15"/>
      <c r="ONI142" s="17"/>
      <c r="ONJ142" s="15"/>
      <c r="ONY142" s="17"/>
      <c r="ONZ142" s="15"/>
      <c r="OOO142" s="17"/>
      <c r="OOP142" s="15"/>
      <c r="OPE142" s="17"/>
      <c r="OPF142" s="15"/>
      <c r="OPU142" s="17"/>
      <c r="OPV142" s="15"/>
      <c r="OQK142" s="17"/>
      <c r="OQL142" s="15"/>
      <c r="ORA142" s="17"/>
      <c r="ORB142" s="15"/>
      <c r="ORQ142" s="17"/>
      <c r="ORR142" s="15"/>
      <c r="OSG142" s="17"/>
      <c r="OSH142" s="15"/>
      <c r="OSW142" s="17"/>
      <c r="OSX142" s="15"/>
      <c r="OTM142" s="17"/>
      <c r="OTN142" s="15"/>
      <c r="OUC142" s="17"/>
      <c r="OUD142" s="15"/>
      <c r="OUS142" s="17"/>
      <c r="OUT142" s="15"/>
      <c r="OVI142" s="17"/>
      <c r="OVJ142" s="15"/>
      <c r="OVY142" s="17"/>
      <c r="OVZ142" s="15"/>
      <c r="OWO142" s="17"/>
      <c r="OWP142" s="15"/>
      <c r="OXE142" s="17"/>
      <c r="OXF142" s="15"/>
      <c r="OXU142" s="17"/>
      <c r="OXV142" s="15"/>
      <c r="OYK142" s="17"/>
      <c r="OYL142" s="15"/>
      <c r="OZA142" s="17"/>
      <c r="OZB142" s="15"/>
      <c r="OZQ142" s="17"/>
      <c r="OZR142" s="15"/>
      <c r="PAG142" s="17"/>
      <c r="PAH142" s="15"/>
      <c r="PAW142" s="17"/>
      <c r="PAX142" s="15"/>
      <c r="PBM142" s="17"/>
      <c r="PBN142" s="15"/>
      <c r="PCC142" s="17"/>
      <c r="PCD142" s="15"/>
      <c r="PCS142" s="17"/>
      <c r="PCT142" s="15"/>
      <c r="PDI142" s="17"/>
      <c r="PDJ142" s="15"/>
      <c r="PDY142" s="17"/>
      <c r="PDZ142" s="15"/>
      <c r="PEO142" s="17"/>
      <c r="PEP142" s="15"/>
      <c r="PFE142" s="17"/>
      <c r="PFF142" s="15"/>
      <c r="PFU142" s="17"/>
      <c r="PFV142" s="15"/>
      <c r="PGK142" s="17"/>
      <c r="PGL142" s="15"/>
      <c r="PHA142" s="17"/>
      <c r="PHB142" s="15"/>
      <c r="PHQ142" s="17"/>
      <c r="PHR142" s="15"/>
      <c r="PIG142" s="17"/>
      <c r="PIH142" s="15"/>
      <c r="PIW142" s="17"/>
      <c r="PIX142" s="15"/>
      <c r="PJM142" s="17"/>
      <c r="PJN142" s="15"/>
      <c r="PKC142" s="17"/>
      <c r="PKD142" s="15"/>
      <c r="PKS142" s="17"/>
      <c r="PKT142" s="15"/>
      <c r="PLI142" s="17"/>
      <c r="PLJ142" s="15"/>
      <c r="PLY142" s="17"/>
      <c r="PLZ142" s="15"/>
      <c r="PMO142" s="17"/>
      <c r="PMP142" s="15"/>
      <c r="PNE142" s="17"/>
      <c r="PNF142" s="15"/>
      <c r="PNU142" s="17"/>
      <c r="PNV142" s="15"/>
      <c r="POK142" s="17"/>
      <c r="POL142" s="15"/>
      <c r="PPA142" s="17"/>
      <c r="PPB142" s="15"/>
      <c r="PPQ142" s="17"/>
      <c r="PPR142" s="15"/>
      <c r="PQG142" s="17"/>
      <c r="PQH142" s="15"/>
      <c r="PQW142" s="17"/>
      <c r="PQX142" s="15"/>
      <c r="PRM142" s="17"/>
      <c r="PRN142" s="15"/>
      <c r="PSC142" s="17"/>
      <c r="PSD142" s="15"/>
      <c r="PSS142" s="17"/>
      <c r="PST142" s="15"/>
      <c r="PTI142" s="17"/>
      <c r="PTJ142" s="15"/>
      <c r="PTY142" s="17"/>
      <c r="PTZ142" s="15"/>
      <c r="PUO142" s="17"/>
      <c r="PUP142" s="15"/>
      <c r="PVE142" s="17"/>
      <c r="PVF142" s="15"/>
      <c r="PVU142" s="17"/>
      <c r="PVV142" s="15"/>
      <c r="PWK142" s="17"/>
      <c r="PWL142" s="15"/>
      <c r="PXA142" s="17"/>
      <c r="PXB142" s="15"/>
      <c r="PXQ142" s="17"/>
      <c r="PXR142" s="15"/>
      <c r="PYG142" s="17"/>
      <c r="PYH142" s="15"/>
      <c r="PYW142" s="17"/>
      <c r="PYX142" s="15"/>
      <c r="PZM142" s="17"/>
      <c r="PZN142" s="15"/>
      <c r="QAC142" s="17"/>
      <c r="QAD142" s="15"/>
      <c r="QAS142" s="17"/>
      <c r="QAT142" s="15"/>
      <c r="QBI142" s="17"/>
      <c r="QBJ142" s="15"/>
      <c r="QBY142" s="17"/>
      <c r="QBZ142" s="15"/>
      <c r="QCO142" s="17"/>
      <c r="QCP142" s="15"/>
      <c r="QDE142" s="17"/>
      <c r="QDF142" s="15"/>
      <c r="QDU142" s="17"/>
      <c r="QDV142" s="15"/>
      <c r="QEK142" s="17"/>
      <c r="QEL142" s="15"/>
      <c r="QFA142" s="17"/>
      <c r="QFB142" s="15"/>
      <c r="QFQ142" s="17"/>
      <c r="QFR142" s="15"/>
      <c r="QGG142" s="17"/>
      <c r="QGH142" s="15"/>
      <c r="QGW142" s="17"/>
      <c r="QGX142" s="15"/>
      <c r="QHM142" s="17"/>
      <c r="QHN142" s="15"/>
      <c r="QIC142" s="17"/>
      <c r="QID142" s="15"/>
      <c r="QIS142" s="17"/>
      <c r="QIT142" s="15"/>
      <c r="QJI142" s="17"/>
      <c r="QJJ142" s="15"/>
      <c r="QJY142" s="17"/>
      <c r="QJZ142" s="15"/>
      <c r="QKO142" s="17"/>
      <c r="QKP142" s="15"/>
      <c r="QLE142" s="17"/>
      <c r="QLF142" s="15"/>
      <c r="QLU142" s="17"/>
      <c r="QLV142" s="15"/>
      <c r="QMK142" s="17"/>
      <c r="QML142" s="15"/>
      <c r="QNA142" s="17"/>
      <c r="QNB142" s="15"/>
      <c r="QNQ142" s="17"/>
      <c r="QNR142" s="15"/>
      <c r="QOG142" s="17"/>
      <c r="QOH142" s="15"/>
      <c r="QOW142" s="17"/>
      <c r="QOX142" s="15"/>
      <c r="QPM142" s="17"/>
      <c r="QPN142" s="15"/>
      <c r="QQC142" s="17"/>
      <c r="QQD142" s="15"/>
      <c r="QQS142" s="17"/>
      <c r="QQT142" s="15"/>
      <c r="QRI142" s="17"/>
      <c r="QRJ142" s="15"/>
      <c r="QRY142" s="17"/>
      <c r="QRZ142" s="15"/>
      <c r="QSO142" s="17"/>
      <c r="QSP142" s="15"/>
      <c r="QTE142" s="17"/>
      <c r="QTF142" s="15"/>
      <c r="QTU142" s="17"/>
      <c r="QTV142" s="15"/>
      <c r="QUK142" s="17"/>
      <c r="QUL142" s="15"/>
      <c r="QVA142" s="17"/>
      <c r="QVB142" s="15"/>
      <c r="QVQ142" s="17"/>
      <c r="QVR142" s="15"/>
      <c r="QWG142" s="17"/>
      <c r="QWH142" s="15"/>
      <c r="QWW142" s="17"/>
      <c r="QWX142" s="15"/>
      <c r="QXM142" s="17"/>
      <c r="QXN142" s="15"/>
      <c r="QYC142" s="17"/>
      <c r="QYD142" s="15"/>
      <c r="QYS142" s="17"/>
      <c r="QYT142" s="15"/>
      <c r="QZI142" s="17"/>
      <c r="QZJ142" s="15"/>
      <c r="QZY142" s="17"/>
      <c r="QZZ142" s="15"/>
      <c r="RAO142" s="17"/>
      <c r="RAP142" s="15"/>
      <c r="RBE142" s="17"/>
      <c r="RBF142" s="15"/>
      <c r="RBU142" s="17"/>
      <c r="RBV142" s="15"/>
      <c r="RCK142" s="17"/>
      <c r="RCL142" s="15"/>
      <c r="RDA142" s="17"/>
      <c r="RDB142" s="15"/>
      <c r="RDQ142" s="17"/>
      <c r="RDR142" s="15"/>
      <c r="REG142" s="17"/>
      <c r="REH142" s="15"/>
      <c r="REW142" s="17"/>
      <c r="REX142" s="15"/>
      <c r="RFM142" s="17"/>
      <c r="RFN142" s="15"/>
      <c r="RGC142" s="17"/>
      <c r="RGD142" s="15"/>
      <c r="RGS142" s="17"/>
      <c r="RGT142" s="15"/>
      <c r="RHI142" s="17"/>
      <c r="RHJ142" s="15"/>
      <c r="RHY142" s="17"/>
      <c r="RHZ142" s="15"/>
      <c r="RIO142" s="17"/>
      <c r="RIP142" s="15"/>
      <c r="RJE142" s="17"/>
      <c r="RJF142" s="15"/>
      <c r="RJU142" s="17"/>
      <c r="RJV142" s="15"/>
      <c r="RKK142" s="17"/>
      <c r="RKL142" s="15"/>
      <c r="RLA142" s="17"/>
      <c r="RLB142" s="15"/>
      <c r="RLQ142" s="17"/>
      <c r="RLR142" s="15"/>
      <c r="RMG142" s="17"/>
      <c r="RMH142" s="15"/>
      <c r="RMW142" s="17"/>
      <c r="RMX142" s="15"/>
      <c r="RNM142" s="17"/>
      <c r="RNN142" s="15"/>
      <c r="ROC142" s="17"/>
      <c r="ROD142" s="15"/>
      <c r="ROS142" s="17"/>
      <c r="ROT142" s="15"/>
      <c r="RPI142" s="17"/>
      <c r="RPJ142" s="15"/>
      <c r="RPY142" s="17"/>
      <c r="RPZ142" s="15"/>
      <c r="RQO142" s="17"/>
      <c r="RQP142" s="15"/>
      <c r="RRE142" s="17"/>
      <c r="RRF142" s="15"/>
      <c r="RRU142" s="17"/>
      <c r="RRV142" s="15"/>
      <c r="RSK142" s="17"/>
      <c r="RSL142" s="15"/>
      <c r="RTA142" s="17"/>
      <c r="RTB142" s="15"/>
      <c r="RTQ142" s="17"/>
      <c r="RTR142" s="15"/>
      <c r="RUG142" s="17"/>
      <c r="RUH142" s="15"/>
      <c r="RUW142" s="17"/>
      <c r="RUX142" s="15"/>
      <c r="RVM142" s="17"/>
      <c r="RVN142" s="15"/>
      <c r="RWC142" s="17"/>
      <c r="RWD142" s="15"/>
      <c r="RWS142" s="17"/>
      <c r="RWT142" s="15"/>
      <c r="RXI142" s="17"/>
      <c r="RXJ142" s="15"/>
      <c r="RXY142" s="17"/>
      <c r="RXZ142" s="15"/>
      <c r="RYO142" s="17"/>
      <c r="RYP142" s="15"/>
      <c r="RZE142" s="17"/>
      <c r="RZF142" s="15"/>
      <c r="RZU142" s="17"/>
      <c r="RZV142" s="15"/>
      <c r="SAK142" s="17"/>
      <c r="SAL142" s="15"/>
      <c r="SBA142" s="17"/>
      <c r="SBB142" s="15"/>
      <c r="SBQ142" s="17"/>
      <c r="SBR142" s="15"/>
      <c r="SCG142" s="17"/>
      <c r="SCH142" s="15"/>
      <c r="SCW142" s="17"/>
      <c r="SCX142" s="15"/>
      <c r="SDM142" s="17"/>
      <c r="SDN142" s="15"/>
      <c r="SEC142" s="17"/>
      <c r="SED142" s="15"/>
      <c r="SES142" s="17"/>
      <c r="SET142" s="15"/>
      <c r="SFI142" s="17"/>
      <c r="SFJ142" s="15"/>
      <c r="SFY142" s="17"/>
      <c r="SFZ142" s="15"/>
      <c r="SGO142" s="17"/>
      <c r="SGP142" s="15"/>
      <c r="SHE142" s="17"/>
      <c r="SHF142" s="15"/>
      <c r="SHU142" s="17"/>
      <c r="SHV142" s="15"/>
      <c r="SIK142" s="17"/>
      <c r="SIL142" s="15"/>
      <c r="SJA142" s="17"/>
      <c r="SJB142" s="15"/>
      <c r="SJQ142" s="17"/>
      <c r="SJR142" s="15"/>
      <c r="SKG142" s="17"/>
      <c r="SKH142" s="15"/>
      <c r="SKW142" s="17"/>
      <c r="SKX142" s="15"/>
      <c r="SLM142" s="17"/>
      <c r="SLN142" s="15"/>
      <c r="SMC142" s="17"/>
      <c r="SMD142" s="15"/>
      <c r="SMS142" s="17"/>
      <c r="SMT142" s="15"/>
      <c r="SNI142" s="17"/>
      <c r="SNJ142" s="15"/>
      <c r="SNY142" s="17"/>
      <c r="SNZ142" s="15"/>
      <c r="SOO142" s="17"/>
      <c r="SOP142" s="15"/>
      <c r="SPE142" s="17"/>
      <c r="SPF142" s="15"/>
      <c r="SPU142" s="17"/>
      <c r="SPV142" s="15"/>
      <c r="SQK142" s="17"/>
      <c r="SQL142" s="15"/>
      <c r="SRA142" s="17"/>
      <c r="SRB142" s="15"/>
      <c r="SRQ142" s="17"/>
      <c r="SRR142" s="15"/>
      <c r="SSG142" s="17"/>
      <c r="SSH142" s="15"/>
      <c r="SSW142" s="17"/>
      <c r="SSX142" s="15"/>
      <c r="STM142" s="17"/>
      <c r="STN142" s="15"/>
      <c r="SUC142" s="17"/>
      <c r="SUD142" s="15"/>
      <c r="SUS142" s="17"/>
      <c r="SUT142" s="15"/>
      <c r="SVI142" s="17"/>
      <c r="SVJ142" s="15"/>
      <c r="SVY142" s="17"/>
      <c r="SVZ142" s="15"/>
      <c r="SWO142" s="17"/>
      <c r="SWP142" s="15"/>
      <c r="SXE142" s="17"/>
      <c r="SXF142" s="15"/>
      <c r="SXU142" s="17"/>
      <c r="SXV142" s="15"/>
      <c r="SYK142" s="17"/>
      <c r="SYL142" s="15"/>
      <c r="SZA142" s="17"/>
      <c r="SZB142" s="15"/>
      <c r="SZQ142" s="17"/>
      <c r="SZR142" s="15"/>
      <c r="TAG142" s="17"/>
      <c r="TAH142" s="15"/>
      <c r="TAW142" s="17"/>
      <c r="TAX142" s="15"/>
      <c r="TBM142" s="17"/>
      <c r="TBN142" s="15"/>
      <c r="TCC142" s="17"/>
      <c r="TCD142" s="15"/>
      <c r="TCS142" s="17"/>
      <c r="TCT142" s="15"/>
      <c r="TDI142" s="17"/>
      <c r="TDJ142" s="15"/>
      <c r="TDY142" s="17"/>
      <c r="TDZ142" s="15"/>
      <c r="TEO142" s="17"/>
      <c r="TEP142" s="15"/>
      <c r="TFE142" s="17"/>
      <c r="TFF142" s="15"/>
      <c r="TFU142" s="17"/>
      <c r="TFV142" s="15"/>
      <c r="TGK142" s="17"/>
      <c r="TGL142" s="15"/>
      <c r="THA142" s="17"/>
      <c r="THB142" s="15"/>
      <c r="THQ142" s="17"/>
      <c r="THR142" s="15"/>
      <c r="TIG142" s="17"/>
      <c r="TIH142" s="15"/>
      <c r="TIW142" s="17"/>
      <c r="TIX142" s="15"/>
      <c r="TJM142" s="17"/>
      <c r="TJN142" s="15"/>
      <c r="TKC142" s="17"/>
      <c r="TKD142" s="15"/>
      <c r="TKS142" s="17"/>
      <c r="TKT142" s="15"/>
      <c r="TLI142" s="17"/>
      <c r="TLJ142" s="15"/>
      <c r="TLY142" s="17"/>
      <c r="TLZ142" s="15"/>
      <c r="TMO142" s="17"/>
      <c r="TMP142" s="15"/>
      <c r="TNE142" s="17"/>
      <c r="TNF142" s="15"/>
      <c r="TNU142" s="17"/>
      <c r="TNV142" s="15"/>
      <c r="TOK142" s="17"/>
      <c r="TOL142" s="15"/>
      <c r="TPA142" s="17"/>
      <c r="TPB142" s="15"/>
      <c r="TPQ142" s="17"/>
      <c r="TPR142" s="15"/>
      <c r="TQG142" s="17"/>
      <c r="TQH142" s="15"/>
      <c r="TQW142" s="17"/>
      <c r="TQX142" s="15"/>
      <c r="TRM142" s="17"/>
      <c r="TRN142" s="15"/>
      <c r="TSC142" s="17"/>
      <c r="TSD142" s="15"/>
      <c r="TSS142" s="17"/>
      <c r="TST142" s="15"/>
      <c r="TTI142" s="17"/>
      <c r="TTJ142" s="15"/>
      <c r="TTY142" s="17"/>
      <c r="TTZ142" s="15"/>
      <c r="TUO142" s="17"/>
      <c r="TUP142" s="15"/>
      <c r="TVE142" s="17"/>
      <c r="TVF142" s="15"/>
      <c r="TVU142" s="17"/>
      <c r="TVV142" s="15"/>
      <c r="TWK142" s="17"/>
      <c r="TWL142" s="15"/>
      <c r="TXA142" s="17"/>
      <c r="TXB142" s="15"/>
      <c r="TXQ142" s="17"/>
      <c r="TXR142" s="15"/>
      <c r="TYG142" s="17"/>
      <c r="TYH142" s="15"/>
      <c r="TYW142" s="17"/>
      <c r="TYX142" s="15"/>
      <c r="TZM142" s="17"/>
      <c r="TZN142" s="15"/>
      <c r="UAC142" s="17"/>
      <c r="UAD142" s="15"/>
      <c r="UAS142" s="17"/>
      <c r="UAT142" s="15"/>
      <c r="UBI142" s="17"/>
      <c r="UBJ142" s="15"/>
      <c r="UBY142" s="17"/>
      <c r="UBZ142" s="15"/>
      <c r="UCO142" s="17"/>
      <c r="UCP142" s="15"/>
      <c r="UDE142" s="17"/>
      <c r="UDF142" s="15"/>
      <c r="UDU142" s="17"/>
      <c r="UDV142" s="15"/>
      <c r="UEK142" s="17"/>
      <c r="UEL142" s="15"/>
      <c r="UFA142" s="17"/>
      <c r="UFB142" s="15"/>
      <c r="UFQ142" s="17"/>
      <c r="UFR142" s="15"/>
      <c r="UGG142" s="17"/>
      <c r="UGH142" s="15"/>
      <c r="UGW142" s="17"/>
      <c r="UGX142" s="15"/>
      <c r="UHM142" s="17"/>
      <c r="UHN142" s="15"/>
      <c r="UIC142" s="17"/>
      <c r="UID142" s="15"/>
      <c r="UIS142" s="17"/>
      <c r="UIT142" s="15"/>
      <c r="UJI142" s="17"/>
      <c r="UJJ142" s="15"/>
      <c r="UJY142" s="17"/>
      <c r="UJZ142" s="15"/>
      <c r="UKO142" s="17"/>
      <c r="UKP142" s="15"/>
      <c r="ULE142" s="17"/>
      <c r="ULF142" s="15"/>
      <c r="ULU142" s="17"/>
      <c r="ULV142" s="15"/>
      <c r="UMK142" s="17"/>
      <c r="UML142" s="15"/>
      <c r="UNA142" s="17"/>
      <c r="UNB142" s="15"/>
      <c r="UNQ142" s="17"/>
      <c r="UNR142" s="15"/>
      <c r="UOG142" s="17"/>
      <c r="UOH142" s="15"/>
      <c r="UOW142" s="17"/>
      <c r="UOX142" s="15"/>
      <c r="UPM142" s="17"/>
      <c r="UPN142" s="15"/>
      <c r="UQC142" s="17"/>
      <c r="UQD142" s="15"/>
      <c r="UQS142" s="17"/>
      <c r="UQT142" s="15"/>
      <c r="URI142" s="17"/>
      <c r="URJ142" s="15"/>
      <c r="URY142" s="17"/>
      <c r="URZ142" s="15"/>
      <c r="USO142" s="17"/>
      <c r="USP142" s="15"/>
      <c r="UTE142" s="17"/>
      <c r="UTF142" s="15"/>
      <c r="UTU142" s="17"/>
      <c r="UTV142" s="15"/>
      <c r="UUK142" s="17"/>
      <c r="UUL142" s="15"/>
      <c r="UVA142" s="17"/>
      <c r="UVB142" s="15"/>
      <c r="UVQ142" s="17"/>
      <c r="UVR142" s="15"/>
      <c r="UWG142" s="17"/>
      <c r="UWH142" s="15"/>
      <c r="UWW142" s="17"/>
      <c r="UWX142" s="15"/>
      <c r="UXM142" s="17"/>
      <c r="UXN142" s="15"/>
      <c r="UYC142" s="17"/>
      <c r="UYD142" s="15"/>
      <c r="UYS142" s="17"/>
      <c r="UYT142" s="15"/>
      <c r="UZI142" s="17"/>
      <c r="UZJ142" s="15"/>
      <c r="UZY142" s="17"/>
      <c r="UZZ142" s="15"/>
      <c r="VAO142" s="17"/>
      <c r="VAP142" s="15"/>
      <c r="VBE142" s="17"/>
      <c r="VBF142" s="15"/>
      <c r="VBU142" s="17"/>
      <c r="VBV142" s="15"/>
      <c r="VCK142" s="17"/>
      <c r="VCL142" s="15"/>
      <c r="VDA142" s="17"/>
      <c r="VDB142" s="15"/>
      <c r="VDQ142" s="17"/>
      <c r="VDR142" s="15"/>
      <c r="VEG142" s="17"/>
      <c r="VEH142" s="15"/>
      <c r="VEW142" s="17"/>
      <c r="VEX142" s="15"/>
      <c r="VFM142" s="17"/>
      <c r="VFN142" s="15"/>
      <c r="VGC142" s="17"/>
      <c r="VGD142" s="15"/>
      <c r="VGS142" s="17"/>
      <c r="VGT142" s="15"/>
      <c r="VHI142" s="17"/>
      <c r="VHJ142" s="15"/>
      <c r="VHY142" s="17"/>
      <c r="VHZ142" s="15"/>
      <c r="VIO142" s="17"/>
      <c r="VIP142" s="15"/>
      <c r="VJE142" s="17"/>
      <c r="VJF142" s="15"/>
      <c r="VJU142" s="17"/>
      <c r="VJV142" s="15"/>
      <c r="VKK142" s="17"/>
      <c r="VKL142" s="15"/>
      <c r="VLA142" s="17"/>
      <c r="VLB142" s="15"/>
      <c r="VLQ142" s="17"/>
      <c r="VLR142" s="15"/>
      <c r="VMG142" s="17"/>
      <c r="VMH142" s="15"/>
      <c r="VMW142" s="17"/>
      <c r="VMX142" s="15"/>
      <c r="VNM142" s="17"/>
      <c r="VNN142" s="15"/>
      <c r="VOC142" s="17"/>
      <c r="VOD142" s="15"/>
      <c r="VOS142" s="17"/>
      <c r="VOT142" s="15"/>
      <c r="VPI142" s="17"/>
      <c r="VPJ142" s="15"/>
      <c r="VPY142" s="17"/>
      <c r="VPZ142" s="15"/>
      <c r="VQO142" s="17"/>
      <c r="VQP142" s="15"/>
      <c r="VRE142" s="17"/>
      <c r="VRF142" s="15"/>
      <c r="VRU142" s="17"/>
      <c r="VRV142" s="15"/>
      <c r="VSK142" s="17"/>
      <c r="VSL142" s="15"/>
      <c r="VTA142" s="17"/>
      <c r="VTB142" s="15"/>
      <c r="VTQ142" s="17"/>
      <c r="VTR142" s="15"/>
      <c r="VUG142" s="17"/>
      <c r="VUH142" s="15"/>
      <c r="VUW142" s="17"/>
      <c r="VUX142" s="15"/>
      <c r="VVM142" s="17"/>
      <c r="VVN142" s="15"/>
      <c r="VWC142" s="17"/>
      <c r="VWD142" s="15"/>
      <c r="VWS142" s="17"/>
      <c r="VWT142" s="15"/>
      <c r="VXI142" s="17"/>
      <c r="VXJ142" s="15"/>
      <c r="VXY142" s="17"/>
      <c r="VXZ142" s="15"/>
      <c r="VYO142" s="17"/>
      <c r="VYP142" s="15"/>
      <c r="VZE142" s="17"/>
      <c r="VZF142" s="15"/>
      <c r="VZU142" s="17"/>
      <c r="VZV142" s="15"/>
      <c r="WAK142" s="17"/>
      <c r="WAL142" s="15"/>
      <c r="WBA142" s="17"/>
      <c r="WBB142" s="15"/>
      <c r="WBQ142" s="17"/>
      <c r="WBR142" s="15"/>
      <c r="WCG142" s="17"/>
      <c r="WCH142" s="15"/>
      <c r="WCW142" s="17"/>
      <c r="WCX142" s="15"/>
      <c r="WDM142" s="17"/>
      <c r="WDN142" s="15"/>
      <c r="WEC142" s="17"/>
      <c r="WED142" s="15"/>
      <c r="WES142" s="17"/>
      <c r="WET142" s="15"/>
      <c r="WFI142" s="17"/>
      <c r="WFJ142" s="15"/>
      <c r="WFY142" s="17"/>
      <c r="WFZ142" s="15"/>
      <c r="WGO142" s="17"/>
      <c r="WGP142" s="15"/>
      <c r="WHE142" s="17"/>
      <c r="WHF142" s="15"/>
      <c r="WHU142" s="17"/>
      <c r="WHV142" s="15"/>
      <c r="WIK142" s="17"/>
      <c r="WIL142" s="15"/>
      <c r="WJA142" s="17"/>
      <c r="WJB142" s="15"/>
      <c r="WJQ142" s="17"/>
      <c r="WJR142" s="15"/>
      <c r="WKG142" s="17"/>
      <c r="WKH142" s="15"/>
      <c r="WKW142" s="17"/>
      <c r="WKX142" s="15"/>
      <c r="WLM142" s="17"/>
      <c r="WLN142" s="15"/>
      <c r="WMC142" s="17"/>
      <c r="WMD142" s="15"/>
      <c r="WMS142" s="17"/>
      <c r="WMT142" s="15"/>
      <c r="WNI142" s="17"/>
      <c r="WNJ142" s="15"/>
      <c r="WNY142" s="17"/>
      <c r="WNZ142" s="15"/>
      <c r="WOO142" s="17"/>
      <c r="WOP142" s="15"/>
      <c r="WPE142" s="17"/>
      <c r="WPF142" s="15"/>
      <c r="WPU142" s="17"/>
      <c r="WPV142" s="15"/>
      <c r="WQK142" s="17"/>
      <c r="WQL142" s="15"/>
      <c r="WRA142" s="17"/>
      <c r="WRB142" s="15"/>
      <c r="WRQ142" s="17"/>
      <c r="WRR142" s="15"/>
      <c r="WSG142" s="17"/>
      <c r="WSH142" s="15"/>
      <c r="WSW142" s="17"/>
      <c r="WSX142" s="15"/>
      <c r="WTM142" s="17"/>
      <c r="WTN142" s="15"/>
      <c r="WUC142" s="17"/>
      <c r="WUD142" s="15"/>
      <c r="WUS142" s="17"/>
      <c r="WUT142" s="15"/>
      <c r="WVI142" s="17"/>
      <c r="WVJ142" s="15"/>
      <c r="WVY142" s="17"/>
      <c r="WVZ142" s="15"/>
      <c r="WWO142" s="17"/>
      <c r="WWP142" s="15"/>
      <c r="WXE142" s="17"/>
      <c r="WXF142" s="15"/>
      <c r="WXU142" s="17"/>
      <c r="WXV142" s="15"/>
      <c r="WYK142" s="17"/>
      <c r="WYL142" s="15"/>
      <c r="WZA142" s="17"/>
      <c r="WZB142" s="15"/>
      <c r="WZQ142" s="17"/>
      <c r="WZR142" s="15"/>
      <c r="XAG142" s="17"/>
      <c r="XAH142" s="15"/>
      <c r="XAW142" s="17"/>
      <c r="XAX142" s="15"/>
      <c r="XBM142" s="17"/>
      <c r="XBN142" s="15"/>
      <c r="XCC142" s="17"/>
      <c r="XCD142" s="15"/>
      <c r="XCS142" s="17"/>
      <c r="XCT142" s="15"/>
      <c r="XDI142" s="17"/>
      <c r="XDJ142" s="15"/>
      <c r="XDY142" s="17"/>
      <c r="XDZ142" s="15"/>
      <c r="XEO142" s="17"/>
      <c r="XEP142" s="15"/>
    </row>
    <row r="143" spans="1:1010 1025:2034 2049:3058 3073:4082 4097:5106 5121:6130 6145:7154 7169:8178 8193:9202 9217:10226 10241:11250 11265:12274 12289:13298 13313:14322 14337:15346 15361:16370" s="16" customFormat="1" ht="17.100000000000001" customHeight="1">
      <c r="A143" s="22">
        <v>45923</v>
      </c>
      <c r="B143" s="15" t="s">
        <v>440</v>
      </c>
      <c r="C143" s="16" t="s">
        <v>2756</v>
      </c>
      <c r="D143" s="16" t="s">
        <v>2755</v>
      </c>
      <c r="E143" s="16" t="s">
        <v>2752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157</v>
      </c>
      <c r="O143" s="16" t="s">
        <v>2757</v>
      </c>
      <c r="P143" s="16" t="s">
        <v>2779</v>
      </c>
      <c r="Q143" s="17" t="s">
        <v>2784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17"/>
      <c r="AH143" s="15"/>
      <c r="AW143" s="17"/>
      <c r="AX143" s="15"/>
      <c r="BM143" s="17"/>
      <c r="BN143" s="15"/>
      <c r="CC143" s="17"/>
      <c r="CD143" s="15"/>
      <c r="CS143" s="17"/>
      <c r="CT143" s="15"/>
      <c r="DI143" s="17"/>
      <c r="DJ143" s="15"/>
      <c r="DY143" s="17"/>
      <c r="DZ143" s="15"/>
      <c r="EO143" s="17"/>
      <c r="EP143" s="15"/>
      <c r="FE143" s="17"/>
      <c r="FF143" s="15"/>
      <c r="FU143" s="17"/>
      <c r="FV143" s="15"/>
      <c r="GK143" s="17"/>
      <c r="GL143" s="15"/>
      <c r="HA143" s="17"/>
      <c r="HB143" s="15"/>
      <c r="HQ143" s="17"/>
      <c r="HR143" s="15"/>
      <c r="IG143" s="17"/>
      <c r="IH143" s="15"/>
      <c r="IW143" s="17"/>
      <c r="IX143" s="15"/>
      <c r="JM143" s="17"/>
      <c r="JN143" s="15"/>
      <c r="KC143" s="17"/>
      <c r="KD143" s="15"/>
      <c r="KS143" s="17"/>
      <c r="KT143" s="15"/>
      <c r="LI143" s="17"/>
      <c r="LJ143" s="15"/>
      <c r="LY143" s="17"/>
      <c r="LZ143" s="15"/>
      <c r="MO143" s="17"/>
      <c r="MP143" s="15"/>
      <c r="NE143" s="17"/>
      <c r="NF143" s="15"/>
      <c r="NU143" s="17"/>
      <c r="NV143" s="15"/>
      <c r="OK143" s="17"/>
      <c r="OL143" s="15"/>
      <c r="PA143" s="17"/>
      <c r="PB143" s="15"/>
      <c r="PQ143" s="17"/>
      <c r="PR143" s="15"/>
      <c r="QG143" s="17"/>
      <c r="QH143" s="15"/>
      <c r="QW143" s="17"/>
      <c r="QX143" s="15"/>
      <c r="RM143" s="17"/>
      <c r="RN143" s="15"/>
      <c r="SC143" s="17"/>
      <c r="SD143" s="15"/>
      <c r="SS143" s="17"/>
      <c r="ST143" s="15"/>
      <c r="TI143" s="17"/>
      <c r="TJ143" s="15"/>
      <c r="TY143" s="17"/>
      <c r="TZ143" s="15"/>
      <c r="UO143" s="17"/>
      <c r="UP143" s="15"/>
      <c r="VE143" s="17"/>
      <c r="VF143" s="15"/>
      <c r="VU143" s="17"/>
      <c r="VV143" s="15"/>
      <c r="WK143" s="17"/>
      <c r="WL143" s="15"/>
      <c r="XA143" s="17"/>
      <c r="XB143" s="15"/>
      <c r="XQ143" s="17"/>
      <c r="XR143" s="15"/>
      <c r="YG143" s="17"/>
      <c r="YH143" s="15"/>
      <c r="YW143" s="17"/>
      <c r="YX143" s="15"/>
      <c r="ZM143" s="17"/>
      <c r="ZN143" s="15"/>
      <c r="AAC143" s="17"/>
      <c r="AAD143" s="15"/>
      <c r="AAS143" s="17"/>
      <c r="AAT143" s="15"/>
      <c r="ABI143" s="17"/>
      <c r="ABJ143" s="15"/>
      <c r="ABY143" s="17"/>
      <c r="ABZ143" s="15"/>
      <c r="ACO143" s="17"/>
      <c r="ACP143" s="15"/>
      <c r="ADE143" s="17"/>
      <c r="ADF143" s="15"/>
      <c r="ADU143" s="17"/>
      <c r="ADV143" s="15"/>
      <c r="AEK143" s="17"/>
      <c r="AEL143" s="15"/>
      <c r="AFA143" s="17"/>
      <c r="AFB143" s="15"/>
      <c r="AFQ143" s="17"/>
      <c r="AFR143" s="15"/>
      <c r="AGG143" s="17"/>
      <c r="AGH143" s="15"/>
      <c r="AGW143" s="17"/>
      <c r="AGX143" s="15"/>
      <c r="AHM143" s="17"/>
      <c r="AHN143" s="15"/>
      <c r="AIC143" s="17"/>
      <c r="AID143" s="15"/>
      <c r="AIS143" s="17"/>
      <c r="AIT143" s="15"/>
      <c r="AJI143" s="17"/>
      <c r="AJJ143" s="15"/>
      <c r="AJY143" s="17"/>
      <c r="AJZ143" s="15"/>
      <c r="AKO143" s="17"/>
      <c r="AKP143" s="15"/>
      <c r="ALE143" s="17"/>
      <c r="ALF143" s="15"/>
      <c r="ALU143" s="17"/>
      <c r="ALV143" s="15"/>
      <c r="AMK143" s="17"/>
      <c r="AML143" s="15"/>
      <c r="ANA143" s="17"/>
      <c r="ANB143" s="15"/>
      <c r="ANQ143" s="17"/>
      <c r="ANR143" s="15"/>
      <c r="AOG143" s="17"/>
      <c r="AOH143" s="15"/>
      <c r="AOW143" s="17"/>
      <c r="AOX143" s="15"/>
      <c r="APM143" s="17"/>
      <c r="APN143" s="15"/>
      <c r="AQC143" s="17"/>
      <c r="AQD143" s="15"/>
      <c r="AQS143" s="17"/>
      <c r="AQT143" s="15"/>
      <c r="ARI143" s="17"/>
      <c r="ARJ143" s="15"/>
      <c r="ARY143" s="17"/>
      <c r="ARZ143" s="15"/>
      <c r="ASO143" s="17"/>
      <c r="ASP143" s="15"/>
      <c r="ATE143" s="17"/>
      <c r="ATF143" s="15"/>
      <c r="ATU143" s="17"/>
      <c r="ATV143" s="15"/>
      <c r="AUK143" s="17"/>
      <c r="AUL143" s="15"/>
      <c r="AVA143" s="17"/>
      <c r="AVB143" s="15"/>
      <c r="AVQ143" s="17"/>
      <c r="AVR143" s="15"/>
      <c r="AWG143" s="17"/>
      <c r="AWH143" s="15"/>
      <c r="AWW143" s="17"/>
      <c r="AWX143" s="15"/>
      <c r="AXM143" s="17"/>
      <c r="AXN143" s="15"/>
      <c r="AYC143" s="17"/>
      <c r="AYD143" s="15"/>
      <c r="AYS143" s="17"/>
      <c r="AYT143" s="15"/>
      <c r="AZI143" s="17"/>
      <c r="AZJ143" s="15"/>
      <c r="AZY143" s="17"/>
      <c r="AZZ143" s="15"/>
      <c r="BAO143" s="17"/>
      <c r="BAP143" s="15"/>
      <c r="BBE143" s="17"/>
      <c r="BBF143" s="15"/>
      <c r="BBU143" s="17"/>
      <c r="BBV143" s="15"/>
      <c r="BCK143" s="17"/>
      <c r="BCL143" s="15"/>
      <c r="BDA143" s="17"/>
      <c r="BDB143" s="15"/>
      <c r="BDQ143" s="17"/>
      <c r="BDR143" s="15"/>
      <c r="BEG143" s="17"/>
      <c r="BEH143" s="15"/>
      <c r="BEW143" s="17"/>
      <c r="BEX143" s="15"/>
      <c r="BFM143" s="17"/>
      <c r="BFN143" s="15"/>
      <c r="BGC143" s="17"/>
      <c r="BGD143" s="15"/>
      <c r="BGS143" s="17"/>
      <c r="BGT143" s="15"/>
      <c r="BHI143" s="17"/>
      <c r="BHJ143" s="15"/>
      <c r="BHY143" s="17"/>
      <c r="BHZ143" s="15"/>
      <c r="BIO143" s="17"/>
      <c r="BIP143" s="15"/>
      <c r="BJE143" s="17"/>
      <c r="BJF143" s="15"/>
      <c r="BJU143" s="17"/>
      <c r="BJV143" s="15"/>
      <c r="BKK143" s="17"/>
      <c r="BKL143" s="15"/>
      <c r="BLA143" s="17"/>
      <c r="BLB143" s="15"/>
      <c r="BLQ143" s="17"/>
      <c r="BLR143" s="15"/>
      <c r="BMG143" s="17"/>
      <c r="BMH143" s="15"/>
      <c r="BMW143" s="17"/>
      <c r="BMX143" s="15"/>
      <c r="BNM143" s="17"/>
      <c r="BNN143" s="15"/>
      <c r="BOC143" s="17"/>
      <c r="BOD143" s="15"/>
      <c r="BOS143" s="17"/>
      <c r="BOT143" s="15"/>
      <c r="BPI143" s="17"/>
      <c r="BPJ143" s="15"/>
      <c r="BPY143" s="17"/>
      <c r="BPZ143" s="15"/>
      <c r="BQO143" s="17"/>
      <c r="BQP143" s="15"/>
      <c r="BRE143" s="17"/>
      <c r="BRF143" s="15"/>
      <c r="BRU143" s="17"/>
      <c r="BRV143" s="15"/>
      <c r="BSK143" s="17"/>
      <c r="BSL143" s="15"/>
      <c r="BTA143" s="17"/>
      <c r="BTB143" s="15"/>
      <c r="BTQ143" s="17"/>
      <c r="BTR143" s="15"/>
      <c r="BUG143" s="17"/>
      <c r="BUH143" s="15"/>
      <c r="BUW143" s="17"/>
      <c r="BUX143" s="15"/>
      <c r="BVM143" s="17"/>
      <c r="BVN143" s="15"/>
      <c r="BWC143" s="17"/>
      <c r="BWD143" s="15"/>
      <c r="BWS143" s="17"/>
      <c r="BWT143" s="15"/>
      <c r="BXI143" s="17"/>
      <c r="BXJ143" s="15"/>
      <c r="BXY143" s="17"/>
      <c r="BXZ143" s="15"/>
      <c r="BYO143" s="17"/>
      <c r="BYP143" s="15"/>
      <c r="BZE143" s="17"/>
      <c r="BZF143" s="15"/>
      <c r="BZU143" s="17"/>
      <c r="BZV143" s="15"/>
      <c r="CAK143" s="17"/>
      <c r="CAL143" s="15"/>
      <c r="CBA143" s="17"/>
      <c r="CBB143" s="15"/>
      <c r="CBQ143" s="17"/>
      <c r="CBR143" s="15"/>
      <c r="CCG143" s="17"/>
      <c r="CCH143" s="15"/>
      <c r="CCW143" s="17"/>
      <c r="CCX143" s="15"/>
      <c r="CDM143" s="17"/>
      <c r="CDN143" s="15"/>
      <c r="CEC143" s="17"/>
      <c r="CED143" s="15"/>
      <c r="CES143" s="17"/>
      <c r="CET143" s="15"/>
      <c r="CFI143" s="17"/>
      <c r="CFJ143" s="15"/>
      <c r="CFY143" s="17"/>
      <c r="CFZ143" s="15"/>
      <c r="CGO143" s="17"/>
      <c r="CGP143" s="15"/>
      <c r="CHE143" s="17"/>
      <c r="CHF143" s="15"/>
      <c r="CHU143" s="17"/>
      <c r="CHV143" s="15"/>
      <c r="CIK143" s="17"/>
      <c r="CIL143" s="15"/>
      <c r="CJA143" s="17"/>
      <c r="CJB143" s="15"/>
      <c r="CJQ143" s="17"/>
      <c r="CJR143" s="15"/>
      <c r="CKG143" s="17"/>
      <c r="CKH143" s="15"/>
      <c r="CKW143" s="17"/>
      <c r="CKX143" s="15"/>
      <c r="CLM143" s="17"/>
      <c r="CLN143" s="15"/>
      <c r="CMC143" s="17"/>
      <c r="CMD143" s="15"/>
      <c r="CMS143" s="17"/>
      <c r="CMT143" s="15"/>
      <c r="CNI143" s="17"/>
      <c r="CNJ143" s="15"/>
      <c r="CNY143" s="17"/>
      <c r="CNZ143" s="15"/>
      <c r="COO143" s="17"/>
      <c r="COP143" s="15"/>
      <c r="CPE143" s="17"/>
      <c r="CPF143" s="15"/>
      <c r="CPU143" s="17"/>
      <c r="CPV143" s="15"/>
      <c r="CQK143" s="17"/>
      <c r="CQL143" s="15"/>
      <c r="CRA143" s="17"/>
      <c r="CRB143" s="15"/>
      <c r="CRQ143" s="17"/>
      <c r="CRR143" s="15"/>
      <c r="CSG143" s="17"/>
      <c r="CSH143" s="15"/>
      <c r="CSW143" s="17"/>
      <c r="CSX143" s="15"/>
      <c r="CTM143" s="17"/>
      <c r="CTN143" s="15"/>
      <c r="CUC143" s="17"/>
      <c r="CUD143" s="15"/>
      <c r="CUS143" s="17"/>
      <c r="CUT143" s="15"/>
      <c r="CVI143" s="17"/>
      <c r="CVJ143" s="15"/>
      <c r="CVY143" s="17"/>
      <c r="CVZ143" s="15"/>
      <c r="CWO143" s="17"/>
      <c r="CWP143" s="15"/>
      <c r="CXE143" s="17"/>
      <c r="CXF143" s="15"/>
      <c r="CXU143" s="17"/>
      <c r="CXV143" s="15"/>
      <c r="CYK143" s="17"/>
      <c r="CYL143" s="15"/>
      <c r="CZA143" s="17"/>
      <c r="CZB143" s="15"/>
      <c r="CZQ143" s="17"/>
      <c r="CZR143" s="15"/>
      <c r="DAG143" s="17"/>
      <c r="DAH143" s="15"/>
      <c r="DAW143" s="17"/>
      <c r="DAX143" s="15"/>
      <c r="DBM143" s="17"/>
      <c r="DBN143" s="15"/>
      <c r="DCC143" s="17"/>
      <c r="DCD143" s="15"/>
      <c r="DCS143" s="17"/>
      <c r="DCT143" s="15"/>
      <c r="DDI143" s="17"/>
      <c r="DDJ143" s="15"/>
      <c r="DDY143" s="17"/>
      <c r="DDZ143" s="15"/>
      <c r="DEO143" s="17"/>
      <c r="DEP143" s="15"/>
      <c r="DFE143" s="17"/>
      <c r="DFF143" s="15"/>
      <c r="DFU143" s="17"/>
      <c r="DFV143" s="15"/>
      <c r="DGK143" s="17"/>
      <c r="DGL143" s="15"/>
      <c r="DHA143" s="17"/>
      <c r="DHB143" s="15"/>
      <c r="DHQ143" s="17"/>
      <c r="DHR143" s="15"/>
      <c r="DIG143" s="17"/>
      <c r="DIH143" s="15"/>
      <c r="DIW143" s="17"/>
      <c r="DIX143" s="15"/>
      <c r="DJM143" s="17"/>
      <c r="DJN143" s="15"/>
      <c r="DKC143" s="17"/>
      <c r="DKD143" s="15"/>
      <c r="DKS143" s="17"/>
      <c r="DKT143" s="15"/>
      <c r="DLI143" s="17"/>
      <c r="DLJ143" s="15"/>
      <c r="DLY143" s="17"/>
      <c r="DLZ143" s="15"/>
      <c r="DMO143" s="17"/>
      <c r="DMP143" s="15"/>
      <c r="DNE143" s="17"/>
      <c r="DNF143" s="15"/>
      <c r="DNU143" s="17"/>
      <c r="DNV143" s="15"/>
      <c r="DOK143" s="17"/>
      <c r="DOL143" s="15"/>
      <c r="DPA143" s="17"/>
      <c r="DPB143" s="15"/>
      <c r="DPQ143" s="17"/>
      <c r="DPR143" s="15"/>
      <c r="DQG143" s="17"/>
      <c r="DQH143" s="15"/>
      <c r="DQW143" s="17"/>
      <c r="DQX143" s="15"/>
      <c r="DRM143" s="17"/>
      <c r="DRN143" s="15"/>
      <c r="DSC143" s="17"/>
      <c r="DSD143" s="15"/>
      <c r="DSS143" s="17"/>
      <c r="DST143" s="15"/>
      <c r="DTI143" s="17"/>
      <c r="DTJ143" s="15"/>
      <c r="DTY143" s="17"/>
      <c r="DTZ143" s="15"/>
      <c r="DUO143" s="17"/>
      <c r="DUP143" s="15"/>
      <c r="DVE143" s="17"/>
      <c r="DVF143" s="15"/>
      <c r="DVU143" s="17"/>
      <c r="DVV143" s="15"/>
      <c r="DWK143" s="17"/>
      <c r="DWL143" s="15"/>
      <c r="DXA143" s="17"/>
      <c r="DXB143" s="15"/>
      <c r="DXQ143" s="17"/>
      <c r="DXR143" s="15"/>
      <c r="DYG143" s="17"/>
      <c r="DYH143" s="15"/>
      <c r="DYW143" s="17"/>
      <c r="DYX143" s="15"/>
      <c r="DZM143" s="17"/>
      <c r="DZN143" s="15"/>
      <c r="EAC143" s="17"/>
      <c r="EAD143" s="15"/>
      <c r="EAS143" s="17"/>
      <c r="EAT143" s="15"/>
      <c r="EBI143" s="17"/>
      <c r="EBJ143" s="15"/>
      <c r="EBY143" s="17"/>
      <c r="EBZ143" s="15"/>
      <c r="ECO143" s="17"/>
      <c r="ECP143" s="15"/>
      <c r="EDE143" s="17"/>
      <c r="EDF143" s="15"/>
      <c r="EDU143" s="17"/>
      <c r="EDV143" s="15"/>
      <c r="EEK143" s="17"/>
      <c r="EEL143" s="15"/>
      <c r="EFA143" s="17"/>
      <c r="EFB143" s="15"/>
      <c r="EFQ143" s="17"/>
      <c r="EFR143" s="15"/>
      <c r="EGG143" s="17"/>
      <c r="EGH143" s="15"/>
      <c r="EGW143" s="17"/>
      <c r="EGX143" s="15"/>
      <c r="EHM143" s="17"/>
      <c r="EHN143" s="15"/>
      <c r="EIC143" s="17"/>
      <c r="EID143" s="15"/>
      <c r="EIS143" s="17"/>
      <c r="EIT143" s="15"/>
      <c r="EJI143" s="17"/>
      <c r="EJJ143" s="15"/>
      <c r="EJY143" s="17"/>
      <c r="EJZ143" s="15"/>
      <c r="EKO143" s="17"/>
      <c r="EKP143" s="15"/>
      <c r="ELE143" s="17"/>
      <c r="ELF143" s="15"/>
      <c r="ELU143" s="17"/>
      <c r="ELV143" s="15"/>
      <c r="EMK143" s="17"/>
      <c r="EML143" s="15"/>
      <c r="ENA143" s="17"/>
      <c r="ENB143" s="15"/>
      <c r="ENQ143" s="17"/>
      <c r="ENR143" s="15"/>
      <c r="EOG143" s="17"/>
      <c r="EOH143" s="15"/>
      <c r="EOW143" s="17"/>
      <c r="EOX143" s="15"/>
      <c r="EPM143" s="17"/>
      <c r="EPN143" s="15"/>
      <c r="EQC143" s="17"/>
      <c r="EQD143" s="15"/>
      <c r="EQS143" s="17"/>
      <c r="EQT143" s="15"/>
      <c r="ERI143" s="17"/>
      <c r="ERJ143" s="15"/>
      <c r="ERY143" s="17"/>
      <c r="ERZ143" s="15"/>
      <c r="ESO143" s="17"/>
      <c r="ESP143" s="15"/>
      <c r="ETE143" s="17"/>
      <c r="ETF143" s="15"/>
      <c r="ETU143" s="17"/>
      <c r="ETV143" s="15"/>
      <c r="EUK143" s="17"/>
      <c r="EUL143" s="15"/>
      <c r="EVA143" s="17"/>
      <c r="EVB143" s="15"/>
      <c r="EVQ143" s="17"/>
      <c r="EVR143" s="15"/>
      <c r="EWG143" s="17"/>
      <c r="EWH143" s="15"/>
      <c r="EWW143" s="17"/>
      <c r="EWX143" s="15"/>
      <c r="EXM143" s="17"/>
      <c r="EXN143" s="15"/>
      <c r="EYC143" s="17"/>
      <c r="EYD143" s="15"/>
      <c r="EYS143" s="17"/>
      <c r="EYT143" s="15"/>
      <c r="EZI143" s="17"/>
      <c r="EZJ143" s="15"/>
      <c r="EZY143" s="17"/>
      <c r="EZZ143" s="15"/>
      <c r="FAO143" s="17"/>
      <c r="FAP143" s="15"/>
      <c r="FBE143" s="17"/>
      <c r="FBF143" s="15"/>
      <c r="FBU143" s="17"/>
      <c r="FBV143" s="15"/>
      <c r="FCK143" s="17"/>
      <c r="FCL143" s="15"/>
      <c r="FDA143" s="17"/>
      <c r="FDB143" s="15"/>
      <c r="FDQ143" s="17"/>
      <c r="FDR143" s="15"/>
      <c r="FEG143" s="17"/>
      <c r="FEH143" s="15"/>
      <c r="FEW143" s="17"/>
      <c r="FEX143" s="15"/>
      <c r="FFM143" s="17"/>
      <c r="FFN143" s="15"/>
      <c r="FGC143" s="17"/>
      <c r="FGD143" s="15"/>
      <c r="FGS143" s="17"/>
      <c r="FGT143" s="15"/>
      <c r="FHI143" s="17"/>
      <c r="FHJ143" s="15"/>
      <c r="FHY143" s="17"/>
      <c r="FHZ143" s="15"/>
      <c r="FIO143" s="17"/>
      <c r="FIP143" s="15"/>
      <c r="FJE143" s="17"/>
      <c r="FJF143" s="15"/>
      <c r="FJU143" s="17"/>
      <c r="FJV143" s="15"/>
      <c r="FKK143" s="17"/>
      <c r="FKL143" s="15"/>
      <c r="FLA143" s="17"/>
      <c r="FLB143" s="15"/>
      <c r="FLQ143" s="17"/>
      <c r="FLR143" s="15"/>
      <c r="FMG143" s="17"/>
      <c r="FMH143" s="15"/>
      <c r="FMW143" s="17"/>
      <c r="FMX143" s="15"/>
      <c r="FNM143" s="17"/>
      <c r="FNN143" s="15"/>
      <c r="FOC143" s="17"/>
      <c r="FOD143" s="15"/>
      <c r="FOS143" s="17"/>
      <c r="FOT143" s="15"/>
      <c r="FPI143" s="17"/>
      <c r="FPJ143" s="15"/>
      <c r="FPY143" s="17"/>
      <c r="FPZ143" s="15"/>
      <c r="FQO143" s="17"/>
      <c r="FQP143" s="15"/>
      <c r="FRE143" s="17"/>
      <c r="FRF143" s="15"/>
      <c r="FRU143" s="17"/>
      <c r="FRV143" s="15"/>
      <c r="FSK143" s="17"/>
      <c r="FSL143" s="15"/>
      <c r="FTA143" s="17"/>
      <c r="FTB143" s="15"/>
      <c r="FTQ143" s="17"/>
      <c r="FTR143" s="15"/>
      <c r="FUG143" s="17"/>
      <c r="FUH143" s="15"/>
      <c r="FUW143" s="17"/>
      <c r="FUX143" s="15"/>
      <c r="FVM143" s="17"/>
      <c r="FVN143" s="15"/>
      <c r="FWC143" s="17"/>
      <c r="FWD143" s="15"/>
      <c r="FWS143" s="17"/>
      <c r="FWT143" s="15"/>
      <c r="FXI143" s="17"/>
      <c r="FXJ143" s="15"/>
      <c r="FXY143" s="17"/>
      <c r="FXZ143" s="15"/>
      <c r="FYO143" s="17"/>
      <c r="FYP143" s="15"/>
      <c r="FZE143" s="17"/>
      <c r="FZF143" s="15"/>
      <c r="FZU143" s="17"/>
      <c r="FZV143" s="15"/>
      <c r="GAK143" s="17"/>
      <c r="GAL143" s="15"/>
      <c r="GBA143" s="17"/>
      <c r="GBB143" s="15"/>
      <c r="GBQ143" s="17"/>
      <c r="GBR143" s="15"/>
      <c r="GCG143" s="17"/>
      <c r="GCH143" s="15"/>
      <c r="GCW143" s="17"/>
      <c r="GCX143" s="15"/>
      <c r="GDM143" s="17"/>
      <c r="GDN143" s="15"/>
      <c r="GEC143" s="17"/>
      <c r="GED143" s="15"/>
      <c r="GES143" s="17"/>
      <c r="GET143" s="15"/>
      <c r="GFI143" s="17"/>
      <c r="GFJ143" s="15"/>
      <c r="GFY143" s="17"/>
      <c r="GFZ143" s="15"/>
      <c r="GGO143" s="17"/>
      <c r="GGP143" s="15"/>
      <c r="GHE143" s="17"/>
      <c r="GHF143" s="15"/>
      <c r="GHU143" s="17"/>
      <c r="GHV143" s="15"/>
      <c r="GIK143" s="17"/>
      <c r="GIL143" s="15"/>
      <c r="GJA143" s="17"/>
      <c r="GJB143" s="15"/>
      <c r="GJQ143" s="17"/>
      <c r="GJR143" s="15"/>
      <c r="GKG143" s="17"/>
      <c r="GKH143" s="15"/>
      <c r="GKW143" s="17"/>
      <c r="GKX143" s="15"/>
      <c r="GLM143" s="17"/>
      <c r="GLN143" s="15"/>
      <c r="GMC143" s="17"/>
      <c r="GMD143" s="15"/>
      <c r="GMS143" s="17"/>
      <c r="GMT143" s="15"/>
      <c r="GNI143" s="17"/>
      <c r="GNJ143" s="15"/>
      <c r="GNY143" s="17"/>
      <c r="GNZ143" s="15"/>
      <c r="GOO143" s="17"/>
      <c r="GOP143" s="15"/>
      <c r="GPE143" s="17"/>
      <c r="GPF143" s="15"/>
      <c r="GPU143" s="17"/>
      <c r="GPV143" s="15"/>
      <c r="GQK143" s="17"/>
      <c r="GQL143" s="15"/>
      <c r="GRA143" s="17"/>
      <c r="GRB143" s="15"/>
      <c r="GRQ143" s="17"/>
      <c r="GRR143" s="15"/>
      <c r="GSG143" s="17"/>
      <c r="GSH143" s="15"/>
      <c r="GSW143" s="17"/>
      <c r="GSX143" s="15"/>
      <c r="GTM143" s="17"/>
      <c r="GTN143" s="15"/>
      <c r="GUC143" s="17"/>
      <c r="GUD143" s="15"/>
      <c r="GUS143" s="17"/>
      <c r="GUT143" s="15"/>
      <c r="GVI143" s="17"/>
      <c r="GVJ143" s="15"/>
      <c r="GVY143" s="17"/>
      <c r="GVZ143" s="15"/>
      <c r="GWO143" s="17"/>
      <c r="GWP143" s="15"/>
      <c r="GXE143" s="17"/>
      <c r="GXF143" s="15"/>
      <c r="GXU143" s="17"/>
      <c r="GXV143" s="15"/>
      <c r="GYK143" s="17"/>
      <c r="GYL143" s="15"/>
      <c r="GZA143" s="17"/>
      <c r="GZB143" s="15"/>
      <c r="GZQ143" s="17"/>
      <c r="GZR143" s="15"/>
      <c r="HAG143" s="17"/>
      <c r="HAH143" s="15"/>
      <c r="HAW143" s="17"/>
      <c r="HAX143" s="15"/>
      <c r="HBM143" s="17"/>
      <c r="HBN143" s="15"/>
      <c r="HCC143" s="17"/>
      <c r="HCD143" s="15"/>
      <c r="HCS143" s="17"/>
      <c r="HCT143" s="15"/>
      <c r="HDI143" s="17"/>
      <c r="HDJ143" s="15"/>
      <c r="HDY143" s="17"/>
      <c r="HDZ143" s="15"/>
      <c r="HEO143" s="17"/>
      <c r="HEP143" s="15"/>
      <c r="HFE143" s="17"/>
      <c r="HFF143" s="15"/>
      <c r="HFU143" s="17"/>
      <c r="HFV143" s="15"/>
      <c r="HGK143" s="17"/>
      <c r="HGL143" s="15"/>
      <c r="HHA143" s="17"/>
      <c r="HHB143" s="15"/>
      <c r="HHQ143" s="17"/>
      <c r="HHR143" s="15"/>
      <c r="HIG143" s="17"/>
      <c r="HIH143" s="15"/>
      <c r="HIW143" s="17"/>
      <c r="HIX143" s="15"/>
      <c r="HJM143" s="17"/>
      <c r="HJN143" s="15"/>
      <c r="HKC143" s="17"/>
      <c r="HKD143" s="15"/>
      <c r="HKS143" s="17"/>
      <c r="HKT143" s="15"/>
      <c r="HLI143" s="17"/>
      <c r="HLJ143" s="15"/>
      <c r="HLY143" s="17"/>
      <c r="HLZ143" s="15"/>
      <c r="HMO143" s="17"/>
      <c r="HMP143" s="15"/>
      <c r="HNE143" s="17"/>
      <c r="HNF143" s="15"/>
      <c r="HNU143" s="17"/>
      <c r="HNV143" s="15"/>
      <c r="HOK143" s="17"/>
      <c r="HOL143" s="15"/>
      <c r="HPA143" s="17"/>
      <c r="HPB143" s="15"/>
      <c r="HPQ143" s="17"/>
      <c r="HPR143" s="15"/>
      <c r="HQG143" s="17"/>
      <c r="HQH143" s="15"/>
      <c r="HQW143" s="17"/>
      <c r="HQX143" s="15"/>
      <c r="HRM143" s="17"/>
      <c r="HRN143" s="15"/>
      <c r="HSC143" s="17"/>
      <c r="HSD143" s="15"/>
      <c r="HSS143" s="17"/>
      <c r="HST143" s="15"/>
      <c r="HTI143" s="17"/>
      <c r="HTJ143" s="15"/>
      <c r="HTY143" s="17"/>
      <c r="HTZ143" s="15"/>
      <c r="HUO143" s="17"/>
      <c r="HUP143" s="15"/>
      <c r="HVE143" s="17"/>
      <c r="HVF143" s="15"/>
      <c r="HVU143" s="17"/>
      <c r="HVV143" s="15"/>
      <c r="HWK143" s="17"/>
      <c r="HWL143" s="15"/>
      <c r="HXA143" s="17"/>
      <c r="HXB143" s="15"/>
      <c r="HXQ143" s="17"/>
      <c r="HXR143" s="15"/>
      <c r="HYG143" s="17"/>
      <c r="HYH143" s="15"/>
      <c r="HYW143" s="17"/>
      <c r="HYX143" s="15"/>
      <c r="HZM143" s="17"/>
      <c r="HZN143" s="15"/>
      <c r="IAC143" s="17"/>
      <c r="IAD143" s="15"/>
      <c r="IAS143" s="17"/>
      <c r="IAT143" s="15"/>
      <c r="IBI143" s="17"/>
      <c r="IBJ143" s="15"/>
      <c r="IBY143" s="17"/>
      <c r="IBZ143" s="15"/>
      <c r="ICO143" s="17"/>
      <c r="ICP143" s="15"/>
      <c r="IDE143" s="17"/>
      <c r="IDF143" s="15"/>
      <c r="IDU143" s="17"/>
      <c r="IDV143" s="15"/>
      <c r="IEK143" s="17"/>
      <c r="IEL143" s="15"/>
      <c r="IFA143" s="17"/>
      <c r="IFB143" s="15"/>
      <c r="IFQ143" s="17"/>
      <c r="IFR143" s="15"/>
      <c r="IGG143" s="17"/>
      <c r="IGH143" s="15"/>
      <c r="IGW143" s="17"/>
      <c r="IGX143" s="15"/>
      <c r="IHM143" s="17"/>
      <c r="IHN143" s="15"/>
      <c r="IIC143" s="17"/>
      <c r="IID143" s="15"/>
      <c r="IIS143" s="17"/>
      <c r="IIT143" s="15"/>
      <c r="IJI143" s="17"/>
      <c r="IJJ143" s="15"/>
      <c r="IJY143" s="17"/>
      <c r="IJZ143" s="15"/>
      <c r="IKO143" s="17"/>
      <c r="IKP143" s="15"/>
      <c r="ILE143" s="17"/>
      <c r="ILF143" s="15"/>
      <c r="ILU143" s="17"/>
      <c r="ILV143" s="15"/>
      <c r="IMK143" s="17"/>
      <c r="IML143" s="15"/>
      <c r="INA143" s="17"/>
      <c r="INB143" s="15"/>
      <c r="INQ143" s="17"/>
      <c r="INR143" s="15"/>
      <c r="IOG143" s="17"/>
      <c r="IOH143" s="15"/>
      <c r="IOW143" s="17"/>
      <c r="IOX143" s="15"/>
      <c r="IPM143" s="17"/>
      <c r="IPN143" s="15"/>
      <c r="IQC143" s="17"/>
      <c r="IQD143" s="15"/>
      <c r="IQS143" s="17"/>
      <c r="IQT143" s="15"/>
      <c r="IRI143" s="17"/>
      <c r="IRJ143" s="15"/>
      <c r="IRY143" s="17"/>
      <c r="IRZ143" s="15"/>
      <c r="ISO143" s="17"/>
      <c r="ISP143" s="15"/>
      <c r="ITE143" s="17"/>
      <c r="ITF143" s="15"/>
      <c r="ITU143" s="17"/>
      <c r="ITV143" s="15"/>
      <c r="IUK143" s="17"/>
      <c r="IUL143" s="15"/>
      <c r="IVA143" s="17"/>
      <c r="IVB143" s="15"/>
      <c r="IVQ143" s="17"/>
      <c r="IVR143" s="15"/>
      <c r="IWG143" s="17"/>
      <c r="IWH143" s="15"/>
      <c r="IWW143" s="17"/>
      <c r="IWX143" s="15"/>
      <c r="IXM143" s="17"/>
      <c r="IXN143" s="15"/>
      <c r="IYC143" s="17"/>
      <c r="IYD143" s="15"/>
      <c r="IYS143" s="17"/>
      <c r="IYT143" s="15"/>
      <c r="IZI143" s="17"/>
      <c r="IZJ143" s="15"/>
      <c r="IZY143" s="17"/>
      <c r="IZZ143" s="15"/>
      <c r="JAO143" s="17"/>
      <c r="JAP143" s="15"/>
      <c r="JBE143" s="17"/>
      <c r="JBF143" s="15"/>
      <c r="JBU143" s="17"/>
      <c r="JBV143" s="15"/>
      <c r="JCK143" s="17"/>
      <c r="JCL143" s="15"/>
      <c r="JDA143" s="17"/>
      <c r="JDB143" s="15"/>
      <c r="JDQ143" s="17"/>
      <c r="JDR143" s="15"/>
      <c r="JEG143" s="17"/>
      <c r="JEH143" s="15"/>
      <c r="JEW143" s="17"/>
      <c r="JEX143" s="15"/>
      <c r="JFM143" s="17"/>
      <c r="JFN143" s="15"/>
      <c r="JGC143" s="17"/>
      <c r="JGD143" s="15"/>
      <c r="JGS143" s="17"/>
      <c r="JGT143" s="15"/>
      <c r="JHI143" s="17"/>
      <c r="JHJ143" s="15"/>
      <c r="JHY143" s="17"/>
      <c r="JHZ143" s="15"/>
      <c r="JIO143" s="17"/>
      <c r="JIP143" s="15"/>
      <c r="JJE143" s="17"/>
      <c r="JJF143" s="15"/>
      <c r="JJU143" s="17"/>
      <c r="JJV143" s="15"/>
      <c r="JKK143" s="17"/>
      <c r="JKL143" s="15"/>
      <c r="JLA143" s="17"/>
      <c r="JLB143" s="15"/>
      <c r="JLQ143" s="17"/>
      <c r="JLR143" s="15"/>
      <c r="JMG143" s="17"/>
      <c r="JMH143" s="15"/>
      <c r="JMW143" s="17"/>
      <c r="JMX143" s="15"/>
      <c r="JNM143" s="17"/>
      <c r="JNN143" s="15"/>
      <c r="JOC143" s="17"/>
      <c r="JOD143" s="15"/>
      <c r="JOS143" s="17"/>
      <c r="JOT143" s="15"/>
      <c r="JPI143" s="17"/>
      <c r="JPJ143" s="15"/>
      <c r="JPY143" s="17"/>
      <c r="JPZ143" s="15"/>
      <c r="JQO143" s="17"/>
      <c r="JQP143" s="15"/>
      <c r="JRE143" s="17"/>
      <c r="JRF143" s="15"/>
      <c r="JRU143" s="17"/>
      <c r="JRV143" s="15"/>
      <c r="JSK143" s="17"/>
      <c r="JSL143" s="15"/>
      <c r="JTA143" s="17"/>
      <c r="JTB143" s="15"/>
      <c r="JTQ143" s="17"/>
      <c r="JTR143" s="15"/>
      <c r="JUG143" s="17"/>
      <c r="JUH143" s="15"/>
      <c r="JUW143" s="17"/>
      <c r="JUX143" s="15"/>
      <c r="JVM143" s="17"/>
      <c r="JVN143" s="15"/>
      <c r="JWC143" s="17"/>
      <c r="JWD143" s="15"/>
      <c r="JWS143" s="17"/>
      <c r="JWT143" s="15"/>
      <c r="JXI143" s="17"/>
      <c r="JXJ143" s="15"/>
      <c r="JXY143" s="17"/>
      <c r="JXZ143" s="15"/>
      <c r="JYO143" s="17"/>
      <c r="JYP143" s="15"/>
      <c r="JZE143" s="17"/>
      <c r="JZF143" s="15"/>
      <c r="JZU143" s="17"/>
      <c r="JZV143" s="15"/>
      <c r="KAK143" s="17"/>
      <c r="KAL143" s="15"/>
      <c r="KBA143" s="17"/>
      <c r="KBB143" s="15"/>
      <c r="KBQ143" s="17"/>
      <c r="KBR143" s="15"/>
      <c r="KCG143" s="17"/>
      <c r="KCH143" s="15"/>
      <c r="KCW143" s="17"/>
      <c r="KCX143" s="15"/>
      <c r="KDM143" s="17"/>
      <c r="KDN143" s="15"/>
      <c r="KEC143" s="17"/>
      <c r="KED143" s="15"/>
      <c r="KES143" s="17"/>
      <c r="KET143" s="15"/>
      <c r="KFI143" s="17"/>
      <c r="KFJ143" s="15"/>
      <c r="KFY143" s="17"/>
      <c r="KFZ143" s="15"/>
      <c r="KGO143" s="17"/>
      <c r="KGP143" s="15"/>
      <c r="KHE143" s="17"/>
      <c r="KHF143" s="15"/>
      <c r="KHU143" s="17"/>
      <c r="KHV143" s="15"/>
      <c r="KIK143" s="17"/>
      <c r="KIL143" s="15"/>
      <c r="KJA143" s="17"/>
      <c r="KJB143" s="15"/>
      <c r="KJQ143" s="17"/>
      <c r="KJR143" s="15"/>
      <c r="KKG143" s="17"/>
      <c r="KKH143" s="15"/>
      <c r="KKW143" s="17"/>
      <c r="KKX143" s="15"/>
      <c r="KLM143" s="17"/>
      <c r="KLN143" s="15"/>
      <c r="KMC143" s="17"/>
      <c r="KMD143" s="15"/>
      <c r="KMS143" s="17"/>
      <c r="KMT143" s="15"/>
      <c r="KNI143" s="17"/>
      <c r="KNJ143" s="15"/>
      <c r="KNY143" s="17"/>
      <c r="KNZ143" s="15"/>
      <c r="KOO143" s="17"/>
      <c r="KOP143" s="15"/>
      <c r="KPE143" s="17"/>
      <c r="KPF143" s="15"/>
      <c r="KPU143" s="17"/>
      <c r="KPV143" s="15"/>
      <c r="KQK143" s="17"/>
      <c r="KQL143" s="15"/>
      <c r="KRA143" s="17"/>
      <c r="KRB143" s="15"/>
      <c r="KRQ143" s="17"/>
      <c r="KRR143" s="15"/>
      <c r="KSG143" s="17"/>
      <c r="KSH143" s="15"/>
      <c r="KSW143" s="17"/>
      <c r="KSX143" s="15"/>
      <c r="KTM143" s="17"/>
      <c r="KTN143" s="15"/>
      <c r="KUC143" s="17"/>
      <c r="KUD143" s="15"/>
      <c r="KUS143" s="17"/>
      <c r="KUT143" s="15"/>
      <c r="KVI143" s="17"/>
      <c r="KVJ143" s="15"/>
      <c r="KVY143" s="17"/>
      <c r="KVZ143" s="15"/>
      <c r="KWO143" s="17"/>
      <c r="KWP143" s="15"/>
      <c r="KXE143" s="17"/>
      <c r="KXF143" s="15"/>
      <c r="KXU143" s="17"/>
      <c r="KXV143" s="15"/>
      <c r="KYK143" s="17"/>
      <c r="KYL143" s="15"/>
      <c r="KZA143" s="17"/>
      <c r="KZB143" s="15"/>
      <c r="KZQ143" s="17"/>
      <c r="KZR143" s="15"/>
      <c r="LAG143" s="17"/>
      <c r="LAH143" s="15"/>
      <c r="LAW143" s="17"/>
      <c r="LAX143" s="15"/>
      <c r="LBM143" s="17"/>
      <c r="LBN143" s="15"/>
      <c r="LCC143" s="17"/>
      <c r="LCD143" s="15"/>
      <c r="LCS143" s="17"/>
      <c r="LCT143" s="15"/>
      <c r="LDI143" s="17"/>
      <c r="LDJ143" s="15"/>
      <c r="LDY143" s="17"/>
      <c r="LDZ143" s="15"/>
      <c r="LEO143" s="17"/>
      <c r="LEP143" s="15"/>
      <c r="LFE143" s="17"/>
      <c r="LFF143" s="15"/>
      <c r="LFU143" s="17"/>
      <c r="LFV143" s="15"/>
      <c r="LGK143" s="17"/>
      <c r="LGL143" s="15"/>
      <c r="LHA143" s="17"/>
      <c r="LHB143" s="15"/>
      <c r="LHQ143" s="17"/>
      <c r="LHR143" s="15"/>
      <c r="LIG143" s="17"/>
      <c r="LIH143" s="15"/>
      <c r="LIW143" s="17"/>
      <c r="LIX143" s="15"/>
      <c r="LJM143" s="17"/>
      <c r="LJN143" s="15"/>
      <c r="LKC143" s="17"/>
      <c r="LKD143" s="15"/>
      <c r="LKS143" s="17"/>
      <c r="LKT143" s="15"/>
      <c r="LLI143" s="17"/>
      <c r="LLJ143" s="15"/>
      <c r="LLY143" s="17"/>
      <c r="LLZ143" s="15"/>
      <c r="LMO143" s="17"/>
      <c r="LMP143" s="15"/>
      <c r="LNE143" s="17"/>
      <c r="LNF143" s="15"/>
      <c r="LNU143" s="17"/>
      <c r="LNV143" s="15"/>
      <c r="LOK143" s="17"/>
      <c r="LOL143" s="15"/>
      <c r="LPA143" s="17"/>
      <c r="LPB143" s="15"/>
      <c r="LPQ143" s="17"/>
      <c r="LPR143" s="15"/>
      <c r="LQG143" s="17"/>
      <c r="LQH143" s="15"/>
      <c r="LQW143" s="17"/>
      <c r="LQX143" s="15"/>
      <c r="LRM143" s="17"/>
      <c r="LRN143" s="15"/>
      <c r="LSC143" s="17"/>
      <c r="LSD143" s="15"/>
      <c r="LSS143" s="17"/>
      <c r="LST143" s="15"/>
      <c r="LTI143" s="17"/>
      <c r="LTJ143" s="15"/>
      <c r="LTY143" s="17"/>
      <c r="LTZ143" s="15"/>
      <c r="LUO143" s="17"/>
      <c r="LUP143" s="15"/>
      <c r="LVE143" s="17"/>
      <c r="LVF143" s="15"/>
      <c r="LVU143" s="17"/>
      <c r="LVV143" s="15"/>
      <c r="LWK143" s="17"/>
      <c r="LWL143" s="15"/>
      <c r="LXA143" s="17"/>
      <c r="LXB143" s="15"/>
      <c r="LXQ143" s="17"/>
      <c r="LXR143" s="15"/>
      <c r="LYG143" s="17"/>
      <c r="LYH143" s="15"/>
      <c r="LYW143" s="17"/>
      <c r="LYX143" s="15"/>
      <c r="LZM143" s="17"/>
      <c r="LZN143" s="15"/>
      <c r="MAC143" s="17"/>
      <c r="MAD143" s="15"/>
      <c r="MAS143" s="17"/>
      <c r="MAT143" s="15"/>
      <c r="MBI143" s="17"/>
      <c r="MBJ143" s="15"/>
      <c r="MBY143" s="17"/>
      <c r="MBZ143" s="15"/>
      <c r="MCO143" s="17"/>
      <c r="MCP143" s="15"/>
      <c r="MDE143" s="17"/>
      <c r="MDF143" s="15"/>
      <c r="MDU143" s="17"/>
      <c r="MDV143" s="15"/>
      <c r="MEK143" s="17"/>
      <c r="MEL143" s="15"/>
      <c r="MFA143" s="17"/>
      <c r="MFB143" s="15"/>
      <c r="MFQ143" s="17"/>
      <c r="MFR143" s="15"/>
      <c r="MGG143" s="17"/>
      <c r="MGH143" s="15"/>
      <c r="MGW143" s="17"/>
      <c r="MGX143" s="15"/>
      <c r="MHM143" s="17"/>
      <c r="MHN143" s="15"/>
      <c r="MIC143" s="17"/>
      <c r="MID143" s="15"/>
      <c r="MIS143" s="17"/>
      <c r="MIT143" s="15"/>
      <c r="MJI143" s="17"/>
      <c r="MJJ143" s="15"/>
      <c r="MJY143" s="17"/>
      <c r="MJZ143" s="15"/>
      <c r="MKO143" s="17"/>
      <c r="MKP143" s="15"/>
      <c r="MLE143" s="17"/>
      <c r="MLF143" s="15"/>
      <c r="MLU143" s="17"/>
      <c r="MLV143" s="15"/>
      <c r="MMK143" s="17"/>
      <c r="MML143" s="15"/>
      <c r="MNA143" s="17"/>
      <c r="MNB143" s="15"/>
      <c r="MNQ143" s="17"/>
      <c r="MNR143" s="15"/>
      <c r="MOG143" s="17"/>
      <c r="MOH143" s="15"/>
      <c r="MOW143" s="17"/>
      <c r="MOX143" s="15"/>
      <c r="MPM143" s="17"/>
      <c r="MPN143" s="15"/>
      <c r="MQC143" s="17"/>
      <c r="MQD143" s="15"/>
      <c r="MQS143" s="17"/>
      <c r="MQT143" s="15"/>
      <c r="MRI143" s="17"/>
      <c r="MRJ143" s="15"/>
      <c r="MRY143" s="17"/>
      <c r="MRZ143" s="15"/>
      <c r="MSO143" s="17"/>
      <c r="MSP143" s="15"/>
      <c r="MTE143" s="17"/>
      <c r="MTF143" s="15"/>
      <c r="MTU143" s="17"/>
      <c r="MTV143" s="15"/>
      <c r="MUK143" s="17"/>
      <c r="MUL143" s="15"/>
      <c r="MVA143" s="17"/>
      <c r="MVB143" s="15"/>
      <c r="MVQ143" s="17"/>
      <c r="MVR143" s="15"/>
      <c r="MWG143" s="17"/>
      <c r="MWH143" s="15"/>
      <c r="MWW143" s="17"/>
      <c r="MWX143" s="15"/>
      <c r="MXM143" s="17"/>
      <c r="MXN143" s="15"/>
      <c r="MYC143" s="17"/>
      <c r="MYD143" s="15"/>
      <c r="MYS143" s="17"/>
      <c r="MYT143" s="15"/>
      <c r="MZI143" s="17"/>
      <c r="MZJ143" s="15"/>
      <c r="MZY143" s="17"/>
      <c r="MZZ143" s="15"/>
      <c r="NAO143" s="17"/>
      <c r="NAP143" s="15"/>
      <c r="NBE143" s="17"/>
      <c r="NBF143" s="15"/>
      <c r="NBU143" s="17"/>
      <c r="NBV143" s="15"/>
      <c r="NCK143" s="17"/>
      <c r="NCL143" s="15"/>
      <c r="NDA143" s="17"/>
      <c r="NDB143" s="15"/>
      <c r="NDQ143" s="17"/>
      <c r="NDR143" s="15"/>
      <c r="NEG143" s="17"/>
      <c r="NEH143" s="15"/>
      <c r="NEW143" s="17"/>
      <c r="NEX143" s="15"/>
      <c r="NFM143" s="17"/>
      <c r="NFN143" s="15"/>
      <c r="NGC143" s="17"/>
      <c r="NGD143" s="15"/>
      <c r="NGS143" s="17"/>
      <c r="NGT143" s="15"/>
      <c r="NHI143" s="17"/>
      <c r="NHJ143" s="15"/>
      <c r="NHY143" s="17"/>
      <c r="NHZ143" s="15"/>
      <c r="NIO143" s="17"/>
      <c r="NIP143" s="15"/>
      <c r="NJE143" s="17"/>
      <c r="NJF143" s="15"/>
      <c r="NJU143" s="17"/>
      <c r="NJV143" s="15"/>
      <c r="NKK143" s="17"/>
      <c r="NKL143" s="15"/>
      <c r="NLA143" s="17"/>
      <c r="NLB143" s="15"/>
      <c r="NLQ143" s="17"/>
      <c r="NLR143" s="15"/>
      <c r="NMG143" s="17"/>
      <c r="NMH143" s="15"/>
      <c r="NMW143" s="17"/>
      <c r="NMX143" s="15"/>
      <c r="NNM143" s="17"/>
      <c r="NNN143" s="15"/>
      <c r="NOC143" s="17"/>
      <c r="NOD143" s="15"/>
      <c r="NOS143" s="17"/>
      <c r="NOT143" s="15"/>
      <c r="NPI143" s="17"/>
      <c r="NPJ143" s="15"/>
      <c r="NPY143" s="17"/>
      <c r="NPZ143" s="15"/>
      <c r="NQO143" s="17"/>
      <c r="NQP143" s="15"/>
      <c r="NRE143" s="17"/>
      <c r="NRF143" s="15"/>
      <c r="NRU143" s="17"/>
      <c r="NRV143" s="15"/>
      <c r="NSK143" s="17"/>
      <c r="NSL143" s="15"/>
      <c r="NTA143" s="17"/>
      <c r="NTB143" s="15"/>
      <c r="NTQ143" s="17"/>
      <c r="NTR143" s="15"/>
      <c r="NUG143" s="17"/>
      <c r="NUH143" s="15"/>
      <c r="NUW143" s="17"/>
      <c r="NUX143" s="15"/>
      <c r="NVM143" s="17"/>
      <c r="NVN143" s="15"/>
      <c r="NWC143" s="17"/>
      <c r="NWD143" s="15"/>
      <c r="NWS143" s="17"/>
      <c r="NWT143" s="15"/>
      <c r="NXI143" s="17"/>
      <c r="NXJ143" s="15"/>
      <c r="NXY143" s="17"/>
      <c r="NXZ143" s="15"/>
      <c r="NYO143" s="17"/>
      <c r="NYP143" s="15"/>
      <c r="NZE143" s="17"/>
      <c r="NZF143" s="15"/>
      <c r="NZU143" s="17"/>
      <c r="NZV143" s="15"/>
      <c r="OAK143" s="17"/>
      <c r="OAL143" s="15"/>
      <c r="OBA143" s="17"/>
      <c r="OBB143" s="15"/>
      <c r="OBQ143" s="17"/>
      <c r="OBR143" s="15"/>
      <c r="OCG143" s="17"/>
      <c r="OCH143" s="15"/>
      <c r="OCW143" s="17"/>
      <c r="OCX143" s="15"/>
      <c r="ODM143" s="17"/>
      <c r="ODN143" s="15"/>
      <c r="OEC143" s="17"/>
      <c r="OED143" s="15"/>
      <c r="OES143" s="17"/>
      <c r="OET143" s="15"/>
      <c r="OFI143" s="17"/>
      <c r="OFJ143" s="15"/>
      <c r="OFY143" s="17"/>
      <c r="OFZ143" s="15"/>
      <c r="OGO143" s="17"/>
      <c r="OGP143" s="15"/>
      <c r="OHE143" s="17"/>
      <c r="OHF143" s="15"/>
      <c r="OHU143" s="17"/>
      <c r="OHV143" s="15"/>
      <c r="OIK143" s="17"/>
      <c r="OIL143" s="15"/>
      <c r="OJA143" s="17"/>
      <c r="OJB143" s="15"/>
      <c r="OJQ143" s="17"/>
      <c r="OJR143" s="15"/>
      <c r="OKG143" s="17"/>
      <c r="OKH143" s="15"/>
      <c r="OKW143" s="17"/>
      <c r="OKX143" s="15"/>
      <c r="OLM143" s="17"/>
      <c r="OLN143" s="15"/>
      <c r="OMC143" s="17"/>
      <c r="OMD143" s="15"/>
      <c r="OMS143" s="17"/>
      <c r="OMT143" s="15"/>
      <c r="ONI143" s="17"/>
      <c r="ONJ143" s="15"/>
      <c r="ONY143" s="17"/>
      <c r="ONZ143" s="15"/>
      <c r="OOO143" s="17"/>
      <c r="OOP143" s="15"/>
      <c r="OPE143" s="17"/>
      <c r="OPF143" s="15"/>
      <c r="OPU143" s="17"/>
      <c r="OPV143" s="15"/>
      <c r="OQK143" s="17"/>
      <c r="OQL143" s="15"/>
      <c r="ORA143" s="17"/>
      <c r="ORB143" s="15"/>
      <c r="ORQ143" s="17"/>
      <c r="ORR143" s="15"/>
      <c r="OSG143" s="17"/>
      <c r="OSH143" s="15"/>
      <c r="OSW143" s="17"/>
      <c r="OSX143" s="15"/>
      <c r="OTM143" s="17"/>
      <c r="OTN143" s="15"/>
      <c r="OUC143" s="17"/>
      <c r="OUD143" s="15"/>
      <c r="OUS143" s="17"/>
      <c r="OUT143" s="15"/>
      <c r="OVI143" s="17"/>
      <c r="OVJ143" s="15"/>
      <c r="OVY143" s="17"/>
      <c r="OVZ143" s="15"/>
      <c r="OWO143" s="17"/>
      <c r="OWP143" s="15"/>
      <c r="OXE143" s="17"/>
      <c r="OXF143" s="15"/>
      <c r="OXU143" s="17"/>
      <c r="OXV143" s="15"/>
      <c r="OYK143" s="17"/>
      <c r="OYL143" s="15"/>
      <c r="OZA143" s="17"/>
      <c r="OZB143" s="15"/>
      <c r="OZQ143" s="17"/>
      <c r="OZR143" s="15"/>
      <c r="PAG143" s="17"/>
      <c r="PAH143" s="15"/>
      <c r="PAW143" s="17"/>
      <c r="PAX143" s="15"/>
      <c r="PBM143" s="17"/>
      <c r="PBN143" s="15"/>
      <c r="PCC143" s="17"/>
      <c r="PCD143" s="15"/>
      <c r="PCS143" s="17"/>
      <c r="PCT143" s="15"/>
      <c r="PDI143" s="17"/>
      <c r="PDJ143" s="15"/>
      <c r="PDY143" s="17"/>
      <c r="PDZ143" s="15"/>
      <c r="PEO143" s="17"/>
      <c r="PEP143" s="15"/>
      <c r="PFE143" s="17"/>
      <c r="PFF143" s="15"/>
      <c r="PFU143" s="17"/>
      <c r="PFV143" s="15"/>
      <c r="PGK143" s="17"/>
      <c r="PGL143" s="15"/>
      <c r="PHA143" s="17"/>
      <c r="PHB143" s="15"/>
      <c r="PHQ143" s="17"/>
      <c r="PHR143" s="15"/>
      <c r="PIG143" s="17"/>
      <c r="PIH143" s="15"/>
      <c r="PIW143" s="17"/>
      <c r="PIX143" s="15"/>
      <c r="PJM143" s="17"/>
      <c r="PJN143" s="15"/>
      <c r="PKC143" s="17"/>
      <c r="PKD143" s="15"/>
      <c r="PKS143" s="17"/>
      <c r="PKT143" s="15"/>
      <c r="PLI143" s="17"/>
      <c r="PLJ143" s="15"/>
      <c r="PLY143" s="17"/>
      <c r="PLZ143" s="15"/>
      <c r="PMO143" s="17"/>
      <c r="PMP143" s="15"/>
      <c r="PNE143" s="17"/>
      <c r="PNF143" s="15"/>
      <c r="PNU143" s="17"/>
      <c r="PNV143" s="15"/>
      <c r="POK143" s="17"/>
      <c r="POL143" s="15"/>
      <c r="PPA143" s="17"/>
      <c r="PPB143" s="15"/>
      <c r="PPQ143" s="17"/>
      <c r="PPR143" s="15"/>
      <c r="PQG143" s="17"/>
      <c r="PQH143" s="15"/>
      <c r="PQW143" s="17"/>
      <c r="PQX143" s="15"/>
      <c r="PRM143" s="17"/>
      <c r="PRN143" s="15"/>
      <c r="PSC143" s="17"/>
      <c r="PSD143" s="15"/>
      <c r="PSS143" s="17"/>
      <c r="PST143" s="15"/>
      <c r="PTI143" s="17"/>
      <c r="PTJ143" s="15"/>
      <c r="PTY143" s="17"/>
      <c r="PTZ143" s="15"/>
      <c r="PUO143" s="17"/>
      <c r="PUP143" s="15"/>
      <c r="PVE143" s="17"/>
      <c r="PVF143" s="15"/>
      <c r="PVU143" s="17"/>
      <c r="PVV143" s="15"/>
      <c r="PWK143" s="17"/>
      <c r="PWL143" s="15"/>
      <c r="PXA143" s="17"/>
      <c r="PXB143" s="15"/>
      <c r="PXQ143" s="17"/>
      <c r="PXR143" s="15"/>
      <c r="PYG143" s="17"/>
      <c r="PYH143" s="15"/>
      <c r="PYW143" s="17"/>
      <c r="PYX143" s="15"/>
      <c r="PZM143" s="17"/>
      <c r="PZN143" s="15"/>
      <c r="QAC143" s="17"/>
      <c r="QAD143" s="15"/>
      <c r="QAS143" s="17"/>
      <c r="QAT143" s="15"/>
      <c r="QBI143" s="17"/>
      <c r="QBJ143" s="15"/>
      <c r="QBY143" s="17"/>
      <c r="QBZ143" s="15"/>
      <c r="QCO143" s="17"/>
      <c r="QCP143" s="15"/>
      <c r="QDE143" s="17"/>
      <c r="QDF143" s="15"/>
      <c r="QDU143" s="17"/>
      <c r="QDV143" s="15"/>
      <c r="QEK143" s="17"/>
      <c r="QEL143" s="15"/>
      <c r="QFA143" s="17"/>
      <c r="QFB143" s="15"/>
      <c r="QFQ143" s="17"/>
      <c r="QFR143" s="15"/>
      <c r="QGG143" s="17"/>
      <c r="QGH143" s="15"/>
      <c r="QGW143" s="17"/>
      <c r="QGX143" s="15"/>
      <c r="QHM143" s="17"/>
      <c r="QHN143" s="15"/>
      <c r="QIC143" s="17"/>
      <c r="QID143" s="15"/>
      <c r="QIS143" s="17"/>
      <c r="QIT143" s="15"/>
      <c r="QJI143" s="17"/>
      <c r="QJJ143" s="15"/>
      <c r="QJY143" s="17"/>
      <c r="QJZ143" s="15"/>
      <c r="QKO143" s="17"/>
      <c r="QKP143" s="15"/>
      <c r="QLE143" s="17"/>
      <c r="QLF143" s="15"/>
      <c r="QLU143" s="17"/>
      <c r="QLV143" s="15"/>
      <c r="QMK143" s="17"/>
      <c r="QML143" s="15"/>
      <c r="QNA143" s="17"/>
      <c r="QNB143" s="15"/>
      <c r="QNQ143" s="17"/>
      <c r="QNR143" s="15"/>
      <c r="QOG143" s="17"/>
      <c r="QOH143" s="15"/>
      <c r="QOW143" s="17"/>
      <c r="QOX143" s="15"/>
      <c r="QPM143" s="17"/>
      <c r="QPN143" s="15"/>
      <c r="QQC143" s="17"/>
      <c r="QQD143" s="15"/>
      <c r="QQS143" s="17"/>
      <c r="QQT143" s="15"/>
      <c r="QRI143" s="17"/>
      <c r="QRJ143" s="15"/>
      <c r="QRY143" s="17"/>
      <c r="QRZ143" s="15"/>
      <c r="QSO143" s="17"/>
      <c r="QSP143" s="15"/>
      <c r="QTE143" s="17"/>
      <c r="QTF143" s="15"/>
      <c r="QTU143" s="17"/>
      <c r="QTV143" s="15"/>
      <c r="QUK143" s="17"/>
      <c r="QUL143" s="15"/>
      <c r="QVA143" s="17"/>
      <c r="QVB143" s="15"/>
      <c r="QVQ143" s="17"/>
      <c r="QVR143" s="15"/>
      <c r="QWG143" s="17"/>
      <c r="QWH143" s="15"/>
      <c r="QWW143" s="17"/>
      <c r="QWX143" s="15"/>
      <c r="QXM143" s="17"/>
      <c r="QXN143" s="15"/>
      <c r="QYC143" s="17"/>
      <c r="QYD143" s="15"/>
      <c r="QYS143" s="17"/>
      <c r="QYT143" s="15"/>
      <c r="QZI143" s="17"/>
      <c r="QZJ143" s="15"/>
      <c r="QZY143" s="17"/>
      <c r="QZZ143" s="15"/>
      <c r="RAO143" s="17"/>
      <c r="RAP143" s="15"/>
      <c r="RBE143" s="17"/>
      <c r="RBF143" s="15"/>
      <c r="RBU143" s="17"/>
      <c r="RBV143" s="15"/>
      <c r="RCK143" s="17"/>
      <c r="RCL143" s="15"/>
      <c r="RDA143" s="17"/>
      <c r="RDB143" s="15"/>
      <c r="RDQ143" s="17"/>
      <c r="RDR143" s="15"/>
      <c r="REG143" s="17"/>
      <c r="REH143" s="15"/>
      <c r="REW143" s="17"/>
      <c r="REX143" s="15"/>
      <c r="RFM143" s="17"/>
      <c r="RFN143" s="15"/>
      <c r="RGC143" s="17"/>
      <c r="RGD143" s="15"/>
      <c r="RGS143" s="17"/>
      <c r="RGT143" s="15"/>
      <c r="RHI143" s="17"/>
      <c r="RHJ143" s="15"/>
      <c r="RHY143" s="17"/>
      <c r="RHZ143" s="15"/>
      <c r="RIO143" s="17"/>
      <c r="RIP143" s="15"/>
      <c r="RJE143" s="17"/>
      <c r="RJF143" s="15"/>
      <c r="RJU143" s="17"/>
      <c r="RJV143" s="15"/>
      <c r="RKK143" s="17"/>
      <c r="RKL143" s="15"/>
      <c r="RLA143" s="17"/>
      <c r="RLB143" s="15"/>
      <c r="RLQ143" s="17"/>
      <c r="RLR143" s="15"/>
      <c r="RMG143" s="17"/>
      <c r="RMH143" s="15"/>
      <c r="RMW143" s="17"/>
      <c r="RMX143" s="15"/>
      <c r="RNM143" s="17"/>
      <c r="RNN143" s="15"/>
      <c r="ROC143" s="17"/>
      <c r="ROD143" s="15"/>
      <c r="ROS143" s="17"/>
      <c r="ROT143" s="15"/>
      <c r="RPI143" s="17"/>
      <c r="RPJ143" s="15"/>
      <c r="RPY143" s="17"/>
      <c r="RPZ143" s="15"/>
      <c r="RQO143" s="17"/>
      <c r="RQP143" s="15"/>
      <c r="RRE143" s="17"/>
      <c r="RRF143" s="15"/>
      <c r="RRU143" s="17"/>
      <c r="RRV143" s="15"/>
      <c r="RSK143" s="17"/>
      <c r="RSL143" s="15"/>
      <c r="RTA143" s="17"/>
      <c r="RTB143" s="15"/>
      <c r="RTQ143" s="17"/>
      <c r="RTR143" s="15"/>
      <c r="RUG143" s="17"/>
      <c r="RUH143" s="15"/>
      <c r="RUW143" s="17"/>
      <c r="RUX143" s="15"/>
      <c r="RVM143" s="17"/>
      <c r="RVN143" s="15"/>
      <c r="RWC143" s="17"/>
      <c r="RWD143" s="15"/>
      <c r="RWS143" s="17"/>
      <c r="RWT143" s="15"/>
      <c r="RXI143" s="17"/>
      <c r="RXJ143" s="15"/>
      <c r="RXY143" s="17"/>
      <c r="RXZ143" s="15"/>
      <c r="RYO143" s="17"/>
      <c r="RYP143" s="15"/>
      <c r="RZE143" s="17"/>
      <c r="RZF143" s="15"/>
      <c r="RZU143" s="17"/>
      <c r="RZV143" s="15"/>
      <c r="SAK143" s="17"/>
      <c r="SAL143" s="15"/>
      <c r="SBA143" s="17"/>
      <c r="SBB143" s="15"/>
      <c r="SBQ143" s="17"/>
      <c r="SBR143" s="15"/>
      <c r="SCG143" s="17"/>
      <c r="SCH143" s="15"/>
      <c r="SCW143" s="17"/>
      <c r="SCX143" s="15"/>
      <c r="SDM143" s="17"/>
      <c r="SDN143" s="15"/>
      <c r="SEC143" s="17"/>
      <c r="SED143" s="15"/>
      <c r="SES143" s="17"/>
      <c r="SET143" s="15"/>
      <c r="SFI143" s="17"/>
      <c r="SFJ143" s="15"/>
      <c r="SFY143" s="17"/>
      <c r="SFZ143" s="15"/>
      <c r="SGO143" s="17"/>
      <c r="SGP143" s="15"/>
      <c r="SHE143" s="17"/>
      <c r="SHF143" s="15"/>
      <c r="SHU143" s="17"/>
      <c r="SHV143" s="15"/>
      <c r="SIK143" s="17"/>
      <c r="SIL143" s="15"/>
      <c r="SJA143" s="17"/>
      <c r="SJB143" s="15"/>
      <c r="SJQ143" s="17"/>
      <c r="SJR143" s="15"/>
      <c r="SKG143" s="17"/>
      <c r="SKH143" s="15"/>
      <c r="SKW143" s="17"/>
      <c r="SKX143" s="15"/>
      <c r="SLM143" s="17"/>
      <c r="SLN143" s="15"/>
      <c r="SMC143" s="17"/>
      <c r="SMD143" s="15"/>
      <c r="SMS143" s="17"/>
      <c r="SMT143" s="15"/>
      <c r="SNI143" s="17"/>
      <c r="SNJ143" s="15"/>
      <c r="SNY143" s="17"/>
      <c r="SNZ143" s="15"/>
      <c r="SOO143" s="17"/>
      <c r="SOP143" s="15"/>
      <c r="SPE143" s="17"/>
      <c r="SPF143" s="15"/>
      <c r="SPU143" s="17"/>
      <c r="SPV143" s="15"/>
      <c r="SQK143" s="17"/>
      <c r="SQL143" s="15"/>
      <c r="SRA143" s="17"/>
      <c r="SRB143" s="15"/>
      <c r="SRQ143" s="17"/>
      <c r="SRR143" s="15"/>
      <c r="SSG143" s="17"/>
      <c r="SSH143" s="15"/>
      <c r="SSW143" s="17"/>
      <c r="SSX143" s="15"/>
      <c r="STM143" s="17"/>
      <c r="STN143" s="15"/>
      <c r="SUC143" s="17"/>
      <c r="SUD143" s="15"/>
      <c r="SUS143" s="17"/>
      <c r="SUT143" s="15"/>
      <c r="SVI143" s="17"/>
      <c r="SVJ143" s="15"/>
      <c r="SVY143" s="17"/>
      <c r="SVZ143" s="15"/>
      <c r="SWO143" s="17"/>
      <c r="SWP143" s="15"/>
      <c r="SXE143" s="17"/>
      <c r="SXF143" s="15"/>
      <c r="SXU143" s="17"/>
      <c r="SXV143" s="15"/>
      <c r="SYK143" s="17"/>
      <c r="SYL143" s="15"/>
      <c r="SZA143" s="17"/>
      <c r="SZB143" s="15"/>
      <c r="SZQ143" s="17"/>
      <c r="SZR143" s="15"/>
      <c r="TAG143" s="17"/>
      <c r="TAH143" s="15"/>
      <c r="TAW143" s="17"/>
      <c r="TAX143" s="15"/>
      <c r="TBM143" s="17"/>
      <c r="TBN143" s="15"/>
      <c r="TCC143" s="17"/>
      <c r="TCD143" s="15"/>
      <c r="TCS143" s="17"/>
      <c r="TCT143" s="15"/>
      <c r="TDI143" s="17"/>
      <c r="TDJ143" s="15"/>
      <c r="TDY143" s="17"/>
      <c r="TDZ143" s="15"/>
      <c r="TEO143" s="17"/>
      <c r="TEP143" s="15"/>
      <c r="TFE143" s="17"/>
      <c r="TFF143" s="15"/>
      <c r="TFU143" s="17"/>
      <c r="TFV143" s="15"/>
      <c r="TGK143" s="17"/>
      <c r="TGL143" s="15"/>
      <c r="THA143" s="17"/>
      <c r="THB143" s="15"/>
      <c r="THQ143" s="17"/>
      <c r="THR143" s="15"/>
      <c r="TIG143" s="17"/>
      <c r="TIH143" s="15"/>
      <c r="TIW143" s="17"/>
      <c r="TIX143" s="15"/>
      <c r="TJM143" s="17"/>
      <c r="TJN143" s="15"/>
      <c r="TKC143" s="17"/>
      <c r="TKD143" s="15"/>
      <c r="TKS143" s="17"/>
      <c r="TKT143" s="15"/>
      <c r="TLI143" s="17"/>
      <c r="TLJ143" s="15"/>
      <c r="TLY143" s="17"/>
      <c r="TLZ143" s="15"/>
      <c r="TMO143" s="17"/>
      <c r="TMP143" s="15"/>
      <c r="TNE143" s="17"/>
      <c r="TNF143" s="15"/>
      <c r="TNU143" s="17"/>
      <c r="TNV143" s="15"/>
      <c r="TOK143" s="17"/>
      <c r="TOL143" s="15"/>
      <c r="TPA143" s="17"/>
      <c r="TPB143" s="15"/>
      <c r="TPQ143" s="17"/>
      <c r="TPR143" s="15"/>
      <c r="TQG143" s="17"/>
      <c r="TQH143" s="15"/>
      <c r="TQW143" s="17"/>
      <c r="TQX143" s="15"/>
      <c r="TRM143" s="17"/>
      <c r="TRN143" s="15"/>
      <c r="TSC143" s="17"/>
      <c r="TSD143" s="15"/>
      <c r="TSS143" s="17"/>
      <c r="TST143" s="15"/>
      <c r="TTI143" s="17"/>
      <c r="TTJ143" s="15"/>
      <c r="TTY143" s="17"/>
      <c r="TTZ143" s="15"/>
      <c r="TUO143" s="17"/>
      <c r="TUP143" s="15"/>
      <c r="TVE143" s="17"/>
      <c r="TVF143" s="15"/>
      <c r="TVU143" s="17"/>
      <c r="TVV143" s="15"/>
      <c r="TWK143" s="17"/>
      <c r="TWL143" s="15"/>
      <c r="TXA143" s="17"/>
      <c r="TXB143" s="15"/>
      <c r="TXQ143" s="17"/>
      <c r="TXR143" s="15"/>
      <c r="TYG143" s="17"/>
      <c r="TYH143" s="15"/>
      <c r="TYW143" s="17"/>
      <c r="TYX143" s="15"/>
      <c r="TZM143" s="17"/>
      <c r="TZN143" s="15"/>
      <c r="UAC143" s="17"/>
      <c r="UAD143" s="15"/>
      <c r="UAS143" s="17"/>
      <c r="UAT143" s="15"/>
      <c r="UBI143" s="17"/>
      <c r="UBJ143" s="15"/>
      <c r="UBY143" s="17"/>
      <c r="UBZ143" s="15"/>
      <c r="UCO143" s="17"/>
      <c r="UCP143" s="15"/>
      <c r="UDE143" s="17"/>
      <c r="UDF143" s="15"/>
      <c r="UDU143" s="17"/>
      <c r="UDV143" s="15"/>
      <c r="UEK143" s="17"/>
      <c r="UEL143" s="15"/>
      <c r="UFA143" s="17"/>
      <c r="UFB143" s="15"/>
      <c r="UFQ143" s="17"/>
      <c r="UFR143" s="15"/>
      <c r="UGG143" s="17"/>
      <c r="UGH143" s="15"/>
      <c r="UGW143" s="17"/>
      <c r="UGX143" s="15"/>
      <c r="UHM143" s="17"/>
      <c r="UHN143" s="15"/>
      <c r="UIC143" s="17"/>
      <c r="UID143" s="15"/>
      <c r="UIS143" s="17"/>
      <c r="UIT143" s="15"/>
      <c r="UJI143" s="17"/>
      <c r="UJJ143" s="15"/>
      <c r="UJY143" s="17"/>
      <c r="UJZ143" s="15"/>
      <c r="UKO143" s="17"/>
      <c r="UKP143" s="15"/>
      <c r="ULE143" s="17"/>
      <c r="ULF143" s="15"/>
      <c r="ULU143" s="17"/>
      <c r="ULV143" s="15"/>
      <c r="UMK143" s="17"/>
      <c r="UML143" s="15"/>
      <c r="UNA143" s="17"/>
      <c r="UNB143" s="15"/>
      <c r="UNQ143" s="17"/>
      <c r="UNR143" s="15"/>
      <c r="UOG143" s="17"/>
      <c r="UOH143" s="15"/>
      <c r="UOW143" s="17"/>
      <c r="UOX143" s="15"/>
      <c r="UPM143" s="17"/>
      <c r="UPN143" s="15"/>
      <c r="UQC143" s="17"/>
      <c r="UQD143" s="15"/>
      <c r="UQS143" s="17"/>
      <c r="UQT143" s="15"/>
      <c r="URI143" s="17"/>
      <c r="URJ143" s="15"/>
      <c r="URY143" s="17"/>
      <c r="URZ143" s="15"/>
      <c r="USO143" s="17"/>
      <c r="USP143" s="15"/>
      <c r="UTE143" s="17"/>
      <c r="UTF143" s="15"/>
      <c r="UTU143" s="17"/>
      <c r="UTV143" s="15"/>
      <c r="UUK143" s="17"/>
      <c r="UUL143" s="15"/>
      <c r="UVA143" s="17"/>
      <c r="UVB143" s="15"/>
      <c r="UVQ143" s="17"/>
      <c r="UVR143" s="15"/>
      <c r="UWG143" s="17"/>
      <c r="UWH143" s="15"/>
      <c r="UWW143" s="17"/>
      <c r="UWX143" s="15"/>
      <c r="UXM143" s="17"/>
      <c r="UXN143" s="15"/>
      <c r="UYC143" s="17"/>
      <c r="UYD143" s="15"/>
      <c r="UYS143" s="17"/>
      <c r="UYT143" s="15"/>
      <c r="UZI143" s="17"/>
      <c r="UZJ143" s="15"/>
      <c r="UZY143" s="17"/>
      <c r="UZZ143" s="15"/>
      <c r="VAO143" s="17"/>
      <c r="VAP143" s="15"/>
      <c r="VBE143" s="17"/>
      <c r="VBF143" s="15"/>
      <c r="VBU143" s="17"/>
      <c r="VBV143" s="15"/>
      <c r="VCK143" s="17"/>
      <c r="VCL143" s="15"/>
      <c r="VDA143" s="17"/>
      <c r="VDB143" s="15"/>
      <c r="VDQ143" s="17"/>
      <c r="VDR143" s="15"/>
      <c r="VEG143" s="17"/>
      <c r="VEH143" s="15"/>
      <c r="VEW143" s="17"/>
      <c r="VEX143" s="15"/>
      <c r="VFM143" s="17"/>
      <c r="VFN143" s="15"/>
      <c r="VGC143" s="17"/>
      <c r="VGD143" s="15"/>
      <c r="VGS143" s="17"/>
      <c r="VGT143" s="15"/>
      <c r="VHI143" s="17"/>
      <c r="VHJ143" s="15"/>
      <c r="VHY143" s="17"/>
      <c r="VHZ143" s="15"/>
      <c r="VIO143" s="17"/>
      <c r="VIP143" s="15"/>
      <c r="VJE143" s="17"/>
      <c r="VJF143" s="15"/>
      <c r="VJU143" s="17"/>
      <c r="VJV143" s="15"/>
      <c r="VKK143" s="17"/>
      <c r="VKL143" s="15"/>
      <c r="VLA143" s="17"/>
      <c r="VLB143" s="15"/>
      <c r="VLQ143" s="17"/>
      <c r="VLR143" s="15"/>
      <c r="VMG143" s="17"/>
      <c r="VMH143" s="15"/>
      <c r="VMW143" s="17"/>
      <c r="VMX143" s="15"/>
      <c r="VNM143" s="17"/>
      <c r="VNN143" s="15"/>
      <c r="VOC143" s="17"/>
      <c r="VOD143" s="15"/>
      <c r="VOS143" s="17"/>
      <c r="VOT143" s="15"/>
      <c r="VPI143" s="17"/>
      <c r="VPJ143" s="15"/>
      <c r="VPY143" s="17"/>
      <c r="VPZ143" s="15"/>
      <c r="VQO143" s="17"/>
      <c r="VQP143" s="15"/>
      <c r="VRE143" s="17"/>
      <c r="VRF143" s="15"/>
      <c r="VRU143" s="17"/>
      <c r="VRV143" s="15"/>
      <c r="VSK143" s="17"/>
      <c r="VSL143" s="15"/>
      <c r="VTA143" s="17"/>
      <c r="VTB143" s="15"/>
      <c r="VTQ143" s="17"/>
      <c r="VTR143" s="15"/>
      <c r="VUG143" s="17"/>
      <c r="VUH143" s="15"/>
      <c r="VUW143" s="17"/>
      <c r="VUX143" s="15"/>
      <c r="VVM143" s="17"/>
      <c r="VVN143" s="15"/>
      <c r="VWC143" s="17"/>
      <c r="VWD143" s="15"/>
      <c r="VWS143" s="17"/>
      <c r="VWT143" s="15"/>
      <c r="VXI143" s="17"/>
      <c r="VXJ143" s="15"/>
      <c r="VXY143" s="17"/>
      <c r="VXZ143" s="15"/>
      <c r="VYO143" s="17"/>
      <c r="VYP143" s="15"/>
      <c r="VZE143" s="17"/>
      <c r="VZF143" s="15"/>
      <c r="VZU143" s="17"/>
      <c r="VZV143" s="15"/>
      <c r="WAK143" s="17"/>
      <c r="WAL143" s="15"/>
      <c r="WBA143" s="17"/>
      <c r="WBB143" s="15"/>
      <c r="WBQ143" s="17"/>
      <c r="WBR143" s="15"/>
      <c r="WCG143" s="17"/>
      <c r="WCH143" s="15"/>
      <c r="WCW143" s="17"/>
      <c r="WCX143" s="15"/>
      <c r="WDM143" s="17"/>
      <c r="WDN143" s="15"/>
      <c r="WEC143" s="17"/>
      <c r="WED143" s="15"/>
      <c r="WES143" s="17"/>
      <c r="WET143" s="15"/>
      <c r="WFI143" s="17"/>
      <c r="WFJ143" s="15"/>
      <c r="WFY143" s="17"/>
      <c r="WFZ143" s="15"/>
      <c r="WGO143" s="17"/>
      <c r="WGP143" s="15"/>
      <c r="WHE143" s="17"/>
      <c r="WHF143" s="15"/>
      <c r="WHU143" s="17"/>
      <c r="WHV143" s="15"/>
      <c r="WIK143" s="17"/>
      <c r="WIL143" s="15"/>
      <c r="WJA143" s="17"/>
      <c r="WJB143" s="15"/>
      <c r="WJQ143" s="17"/>
      <c r="WJR143" s="15"/>
      <c r="WKG143" s="17"/>
      <c r="WKH143" s="15"/>
      <c r="WKW143" s="17"/>
      <c r="WKX143" s="15"/>
      <c r="WLM143" s="17"/>
      <c r="WLN143" s="15"/>
      <c r="WMC143" s="17"/>
      <c r="WMD143" s="15"/>
      <c r="WMS143" s="17"/>
      <c r="WMT143" s="15"/>
      <c r="WNI143" s="17"/>
      <c r="WNJ143" s="15"/>
      <c r="WNY143" s="17"/>
      <c r="WNZ143" s="15"/>
      <c r="WOO143" s="17"/>
      <c r="WOP143" s="15"/>
      <c r="WPE143" s="17"/>
      <c r="WPF143" s="15"/>
      <c r="WPU143" s="17"/>
      <c r="WPV143" s="15"/>
      <c r="WQK143" s="17"/>
      <c r="WQL143" s="15"/>
      <c r="WRA143" s="17"/>
      <c r="WRB143" s="15"/>
      <c r="WRQ143" s="17"/>
      <c r="WRR143" s="15"/>
      <c r="WSG143" s="17"/>
      <c r="WSH143" s="15"/>
      <c r="WSW143" s="17"/>
      <c r="WSX143" s="15"/>
      <c r="WTM143" s="17"/>
      <c r="WTN143" s="15"/>
      <c r="WUC143" s="17"/>
      <c r="WUD143" s="15"/>
      <c r="WUS143" s="17"/>
      <c r="WUT143" s="15"/>
      <c r="WVI143" s="17"/>
      <c r="WVJ143" s="15"/>
      <c r="WVY143" s="17"/>
      <c r="WVZ143" s="15"/>
      <c r="WWO143" s="17"/>
      <c r="WWP143" s="15"/>
      <c r="WXE143" s="17"/>
      <c r="WXF143" s="15"/>
      <c r="WXU143" s="17"/>
      <c r="WXV143" s="15"/>
      <c r="WYK143" s="17"/>
      <c r="WYL143" s="15"/>
      <c r="WZA143" s="17"/>
      <c r="WZB143" s="15"/>
      <c r="WZQ143" s="17"/>
      <c r="WZR143" s="15"/>
      <c r="XAG143" s="17"/>
      <c r="XAH143" s="15"/>
      <c r="XAW143" s="17"/>
      <c r="XAX143" s="15"/>
      <c r="XBM143" s="17"/>
      <c r="XBN143" s="15"/>
      <c r="XCC143" s="17"/>
      <c r="XCD143" s="15"/>
      <c r="XCS143" s="17"/>
      <c r="XCT143" s="15"/>
      <c r="XDI143" s="17"/>
      <c r="XDJ143" s="15"/>
      <c r="XDY143" s="17"/>
      <c r="XDZ143" s="15"/>
      <c r="XEO143" s="17"/>
      <c r="XEP143" s="15"/>
    </row>
    <row r="144" spans="1:1010 1025:2034 2049:3058 3073:4082 4097:5106 5121:6130 6145:7154 7169:8178 8193:9202 9217:10226 10241:11250 11265:12274 12289:13298 13313:14322 14337:15346 15361:16370" s="16" customFormat="1" ht="17.100000000000001" customHeight="1">
      <c r="A144" s="22">
        <v>45923</v>
      </c>
      <c r="B144" s="15" t="s">
        <v>29</v>
      </c>
      <c r="C144" s="16" t="s">
        <v>2756</v>
      </c>
      <c r="D144" s="16" t="s">
        <v>2758</v>
      </c>
      <c r="E144" s="16" t="s">
        <v>48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>
        <v>375</v>
      </c>
      <c r="O144" s="16" t="s">
        <v>2757</v>
      </c>
      <c r="P144" s="16" t="s">
        <v>2759</v>
      </c>
      <c r="Q144" s="17" t="s">
        <v>2771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17"/>
      <c r="AH144" s="15"/>
      <c r="AW144" s="17"/>
      <c r="AX144" s="15"/>
      <c r="BM144" s="17"/>
      <c r="BN144" s="15"/>
      <c r="CC144" s="17"/>
      <c r="CD144" s="15"/>
      <c r="CS144" s="17"/>
      <c r="CT144" s="15"/>
      <c r="DI144" s="17"/>
      <c r="DJ144" s="15"/>
      <c r="DY144" s="17"/>
      <c r="DZ144" s="15"/>
      <c r="EO144" s="17"/>
      <c r="EP144" s="15"/>
      <c r="FE144" s="17"/>
      <c r="FF144" s="15"/>
      <c r="FU144" s="17"/>
      <c r="FV144" s="15"/>
      <c r="GK144" s="17"/>
      <c r="GL144" s="15"/>
      <c r="HA144" s="17"/>
      <c r="HB144" s="15"/>
      <c r="HQ144" s="17"/>
      <c r="HR144" s="15"/>
      <c r="IG144" s="17"/>
      <c r="IH144" s="15"/>
      <c r="IW144" s="17"/>
      <c r="IX144" s="15"/>
      <c r="JM144" s="17"/>
      <c r="JN144" s="15"/>
      <c r="KC144" s="17"/>
      <c r="KD144" s="15"/>
      <c r="KS144" s="17"/>
      <c r="KT144" s="15"/>
      <c r="LI144" s="17"/>
      <c r="LJ144" s="15"/>
      <c r="LY144" s="17"/>
      <c r="LZ144" s="15"/>
      <c r="MO144" s="17"/>
      <c r="MP144" s="15"/>
      <c r="NE144" s="17"/>
      <c r="NF144" s="15"/>
      <c r="NU144" s="17"/>
      <c r="NV144" s="15"/>
      <c r="OK144" s="17"/>
      <c r="OL144" s="15"/>
      <c r="PA144" s="17"/>
      <c r="PB144" s="15"/>
      <c r="PQ144" s="17"/>
      <c r="PR144" s="15"/>
      <c r="QG144" s="17"/>
      <c r="QH144" s="15"/>
      <c r="QW144" s="17"/>
      <c r="QX144" s="15"/>
      <c r="RM144" s="17"/>
      <c r="RN144" s="15"/>
      <c r="SC144" s="17"/>
      <c r="SD144" s="15"/>
      <c r="SS144" s="17"/>
      <c r="ST144" s="15"/>
      <c r="TI144" s="17"/>
      <c r="TJ144" s="15"/>
      <c r="TY144" s="17"/>
      <c r="TZ144" s="15"/>
      <c r="UO144" s="17"/>
      <c r="UP144" s="15"/>
      <c r="VE144" s="17"/>
      <c r="VF144" s="15"/>
      <c r="VU144" s="17"/>
      <c r="VV144" s="15"/>
      <c r="WK144" s="17"/>
      <c r="WL144" s="15"/>
      <c r="XA144" s="17"/>
      <c r="XB144" s="15"/>
      <c r="XQ144" s="17"/>
      <c r="XR144" s="15"/>
      <c r="YG144" s="17"/>
      <c r="YH144" s="15"/>
      <c r="YW144" s="17"/>
      <c r="YX144" s="15"/>
      <c r="ZM144" s="17"/>
      <c r="ZN144" s="15"/>
      <c r="AAC144" s="17"/>
      <c r="AAD144" s="15"/>
      <c r="AAS144" s="17"/>
      <c r="AAT144" s="15"/>
      <c r="ABI144" s="17"/>
      <c r="ABJ144" s="15"/>
      <c r="ABY144" s="17"/>
      <c r="ABZ144" s="15"/>
      <c r="ACO144" s="17"/>
      <c r="ACP144" s="15"/>
      <c r="ADE144" s="17"/>
      <c r="ADF144" s="15"/>
      <c r="ADU144" s="17"/>
      <c r="ADV144" s="15"/>
      <c r="AEK144" s="17"/>
      <c r="AEL144" s="15"/>
      <c r="AFA144" s="17"/>
      <c r="AFB144" s="15"/>
      <c r="AFQ144" s="17"/>
      <c r="AFR144" s="15"/>
      <c r="AGG144" s="17"/>
      <c r="AGH144" s="15"/>
      <c r="AGW144" s="17"/>
      <c r="AGX144" s="15"/>
      <c r="AHM144" s="17"/>
      <c r="AHN144" s="15"/>
      <c r="AIC144" s="17"/>
      <c r="AID144" s="15"/>
      <c r="AIS144" s="17"/>
      <c r="AIT144" s="15"/>
      <c r="AJI144" s="17"/>
      <c r="AJJ144" s="15"/>
      <c r="AJY144" s="17"/>
      <c r="AJZ144" s="15"/>
      <c r="AKO144" s="17"/>
      <c r="AKP144" s="15"/>
      <c r="ALE144" s="17"/>
      <c r="ALF144" s="15"/>
      <c r="ALU144" s="17"/>
      <c r="ALV144" s="15"/>
      <c r="AMK144" s="17"/>
      <c r="AML144" s="15"/>
      <c r="ANA144" s="17"/>
      <c r="ANB144" s="15"/>
      <c r="ANQ144" s="17"/>
      <c r="ANR144" s="15"/>
      <c r="AOG144" s="17"/>
      <c r="AOH144" s="15"/>
      <c r="AOW144" s="17"/>
      <c r="AOX144" s="15"/>
      <c r="APM144" s="17"/>
      <c r="APN144" s="15"/>
      <c r="AQC144" s="17"/>
      <c r="AQD144" s="15"/>
      <c r="AQS144" s="17"/>
      <c r="AQT144" s="15"/>
      <c r="ARI144" s="17"/>
      <c r="ARJ144" s="15"/>
      <c r="ARY144" s="17"/>
      <c r="ARZ144" s="15"/>
      <c r="ASO144" s="17"/>
      <c r="ASP144" s="15"/>
      <c r="ATE144" s="17"/>
      <c r="ATF144" s="15"/>
      <c r="ATU144" s="17"/>
      <c r="ATV144" s="15"/>
      <c r="AUK144" s="17"/>
      <c r="AUL144" s="15"/>
      <c r="AVA144" s="17"/>
      <c r="AVB144" s="15"/>
      <c r="AVQ144" s="17"/>
      <c r="AVR144" s="15"/>
      <c r="AWG144" s="17"/>
      <c r="AWH144" s="15"/>
      <c r="AWW144" s="17"/>
      <c r="AWX144" s="15"/>
      <c r="AXM144" s="17"/>
      <c r="AXN144" s="15"/>
      <c r="AYC144" s="17"/>
      <c r="AYD144" s="15"/>
      <c r="AYS144" s="17"/>
      <c r="AYT144" s="15"/>
      <c r="AZI144" s="17"/>
      <c r="AZJ144" s="15"/>
      <c r="AZY144" s="17"/>
      <c r="AZZ144" s="15"/>
      <c r="BAO144" s="17"/>
      <c r="BAP144" s="15"/>
      <c r="BBE144" s="17"/>
      <c r="BBF144" s="15"/>
      <c r="BBU144" s="17"/>
      <c r="BBV144" s="15"/>
      <c r="BCK144" s="17"/>
      <c r="BCL144" s="15"/>
      <c r="BDA144" s="17"/>
      <c r="BDB144" s="15"/>
      <c r="BDQ144" s="17"/>
      <c r="BDR144" s="15"/>
      <c r="BEG144" s="17"/>
      <c r="BEH144" s="15"/>
      <c r="BEW144" s="17"/>
      <c r="BEX144" s="15"/>
      <c r="BFM144" s="17"/>
      <c r="BFN144" s="15"/>
      <c r="BGC144" s="17"/>
      <c r="BGD144" s="15"/>
      <c r="BGS144" s="17"/>
      <c r="BGT144" s="15"/>
      <c r="BHI144" s="17"/>
      <c r="BHJ144" s="15"/>
      <c r="BHY144" s="17"/>
      <c r="BHZ144" s="15"/>
      <c r="BIO144" s="17"/>
      <c r="BIP144" s="15"/>
      <c r="BJE144" s="17"/>
      <c r="BJF144" s="15"/>
      <c r="BJU144" s="17"/>
      <c r="BJV144" s="15"/>
      <c r="BKK144" s="17"/>
      <c r="BKL144" s="15"/>
      <c r="BLA144" s="17"/>
      <c r="BLB144" s="15"/>
      <c r="BLQ144" s="17"/>
      <c r="BLR144" s="15"/>
      <c r="BMG144" s="17"/>
      <c r="BMH144" s="15"/>
      <c r="BMW144" s="17"/>
      <c r="BMX144" s="15"/>
      <c r="BNM144" s="17"/>
      <c r="BNN144" s="15"/>
      <c r="BOC144" s="17"/>
      <c r="BOD144" s="15"/>
      <c r="BOS144" s="17"/>
      <c r="BOT144" s="15"/>
      <c r="BPI144" s="17"/>
      <c r="BPJ144" s="15"/>
      <c r="BPY144" s="17"/>
      <c r="BPZ144" s="15"/>
      <c r="BQO144" s="17"/>
      <c r="BQP144" s="15"/>
      <c r="BRE144" s="17"/>
      <c r="BRF144" s="15"/>
      <c r="BRU144" s="17"/>
      <c r="BRV144" s="15"/>
      <c r="BSK144" s="17"/>
      <c r="BSL144" s="15"/>
      <c r="BTA144" s="17"/>
      <c r="BTB144" s="15"/>
      <c r="BTQ144" s="17"/>
      <c r="BTR144" s="15"/>
      <c r="BUG144" s="17"/>
      <c r="BUH144" s="15"/>
      <c r="BUW144" s="17"/>
      <c r="BUX144" s="15"/>
      <c r="BVM144" s="17"/>
      <c r="BVN144" s="15"/>
      <c r="BWC144" s="17"/>
      <c r="BWD144" s="15"/>
      <c r="BWS144" s="17"/>
      <c r="BWT144" s="15"/>
      <c r="BXI144" s="17"/>
      <c r="BXJ144" s="15"/>
      <c r="BXY144" s="17"/>
      <c r="BXZ144" s="15"/>
      <c r="BYO144" s="17"/>
      <c r="BYP144" s="15"/>
      <c r="BZE144" s="17"/>
      <c r="BZF144" s="15"/>
      <c r="BZU144" s="17"/>
      <c r="BZV144" s="15"/>
      <c r="CAK144" s="17"/>
      <c r="CAL144" s="15"/>
      <c r="CBA144" s="17"/>
      <c r="CBB144" s="15"/>
      <c r="CBQ144" s="17"/>
      <c r="CBR144" s="15"/>
      <c r="CCG144" s="17"/>
      <c r="CCH144" s="15"/>
      <c r="CCW144" s="17"/>
      <c r="CCX144" s="15"/>
      <c r="CDM144" s="17"/>
      <c r="CDN144" s="15"/>
      <c r="CEC144" s="17"/>
      <c r="CED144" s="15"/>
      <c r="CES144" s="17"/>
      <c r="CET144" s="15"/>
      <c r="CFI144" s="17"/>
      <c r="CFJ144" s="15"/>
      <c r="CFY144" s="17"/>
      <c r="CFZ144" s="15"/>
      <c r="CGO144" s="17"/>
      <c r="CGP144" s="15"/>
      <c r="CHE144" s="17"/>
      <c r="CHF144" s="15"/>
      <c r="CHU144" s="17"/>
      <c r="CHV144" s="15"/>
      <c r="CIK144" s="17"/>
      <c r="CIL144" s="15"/>
      <c r="CJA144" s="17"/>
      <c r="CJB144" s="15"/>
      <c r="CJQ144" s="17"/>
      <c r="CJR144" s="15"/>
      <c r="CKG144" s="17"/>
      <c r="CKH144" s="15"/>
      <c r="CKW144" s="17"/>
      <c r="CKX144" s="15"/>
      <c r="CLM144" s="17"/>
      <c r="CLN144" s="15"/>
      <c r="CMC144" s="17"/>
      <c r="CMD144" s="15"/>
      <c r="CMS144" s="17"/>
      <c r="CMT144" s="15"/>
      <c r="CNI144" s="17"/>
      <c r="CNJ144" s="15"/>
      <c r="CNY144" s="17"/>
      <c r="CNZ144" s="15"/>
      <c r="COO144" s="17"/>
      <c r="COP144" s="15"/>
      <c r="CPE144" s="17"/>
      <c r="CPF144" s="15"/>
      <c r="CPU144" s="17"/>
      <c r="CPV144" s="15"/>
      <c r="CQK144" s="17"/>
      <c r="CQL144" s="15"/>
      <c r="CRA144" s="17"/>
      <c r="CRB144" s="15"/>
      <c r="CRQ144" s="17"/>
      <c r="CRR144" s="15"/>
      <c r="CSG144" s="17"/>
      <c r="CSH144" s="15"/>
      <c r="CSW144" s="17"/>
      <c r="CSX144" s="15"/>
      <c r="CTM144" s="17"/>
      <c r="CTN144" s="15"/>
      <c r="CUC144" s="17"/>
      <c r="CUD144" s="15"/>
      <c r="CUS144" s="17"/>
      <c r="CUT144" s="15"/>
      <c r="CVI144" s="17"/>
      <c r="CVJ144" s="15"/>
      <c r="CVY144" s="17"/>
      <c r="CVZ144" s="15"/>
      <c r="CWO144" s="17"/>
      <c r="CWP144" s="15"/>
      <c r="CXE144" s="17"/>
      <c r="CXF144" s="15"/>
      <c r="CXU144" s="17"/>
      <c r="CXV144" s="15"/>
      <c r="CYK144" s="17"/>
      <c r="CYL144" s="15"/>
      <c r="CZA144" s="17"/>
      <c r="CZB144" s="15"/>
      <c r="CZQ144" s="17"/>
      <c r="CZR144" s="15"/>
      <c r="DAG144" s="17"/>
      <c r="DAH144" s="15"/>
      <c r="DAW144" s="17"/>
      <c r="DAX144" s="15"/>
      <c r="DBM144" s="17"/>
      <c r="DBN144" s="15"/>
      <c r="DCC144" s="17"/>
      <c r="DCD144" s="15"/>
      <c r="DCS144" s="17"/>
      <c r="DCT144" s="15"/>
      <c r="DDI144" s="17"/>
      <c r="DDJ144" s="15"/>
      <c r="DDY144" s="17"/>
      <c r="DDZ144" s="15"/>
      <c r="DEO144" s="17"/>
      <c r="DEP144" s="15"/>
      <c r="DFE144" s="17"/>
      <c r="DFF144" s="15"/>
      <c r="DFU144" s="17"/>
      <c r="DFV144" s="15"/>
      <c r="DGK144" s="17"/>
      <c r="DGL144" s="15"/>
      <c r="DHA144" s="17"/>
      <c r="DHB144" s="15"/>
      <c r="DHQ144" s="17"/>
      <c r="DHR144" s="15"/>
      <c r="DIG144" s="17"/>
      <c r="DIH144" s="15"/>
      <c r="DIW144" s="17"/>
      <c r="DIX144" s="15"/>
      <c r="DJM144" s="17"/>
      <c r="DJN144" s="15"/>
      <c r="DKC144" s="17"/>
      <c r="DKD144" s="15"/>
      <c r="DKS144" s="17"/>
      <c r="DKT144" s="15"/>
      <c r="DLI144" s="17"/>
      <c r="DLJ144" s="15"/>
      <c r="DLY144" s="17"/>
      <c r="DLZ144" s="15"/>
      <c r="DMO144" s="17"/>
      <c r="DMP144" s="15"/>
      <c r="DNE144" s="17"/>
      <c r="DNF144" s="15"/>
      <c r="DNU144" s="17"/>
      <c r="DNV144" s="15"/>
      <c r="DOK144" s="17"/>
      <c r="DOL144" s="15"/>
      <c r="DPA144" s="17"/>
      <c r="DPB144" s="15"/>
      <c r="DPQ144" s="17"/>
      <c r="DPR144" s="15"/>
      <c r="DQG144" s="17"/>
      <c r="DQH144" s="15"/>
      <c r="DQW144" s="17"/>
      <c r="DQX144" s="15"/>
      <c r="DRM144" s="17"/>
      <c r="DRN144" s="15"/>
      <c r="DSC144" s="17"/>
      <c r="DSD144" s="15"/>
      <c r="DSS144" s="17"/>
      <c r="DST144" s="15"/>
      <c r="DTI144" s="17"/>
      <c r="DTJ144" s="15"/>
      <c r="DTY144" s="17"/>
      <c r="DTZ144" s="15"/>
      <c r="DUO144" s="17"/>
      <c r="DUP144" s="15"/>
      <c r="DVE144" s="17"/>
      <c r="DVF144" s="15"/>
      <c r="DVU144" s="17"/>
      <c r="DVV144" s="15"/>
      <c r="DWK144" s="17"/>
      <c r="DWL144" s="15"/>
      <c r="DXA144" s="17"/>
      <c r="DXB144" s="15"/>
      <c r="DXQ144" s="17"/>
      <c r="DXR144" s="15"/>
      <c r="DYG144" s="17"/>
      <c r="DYH144" s="15"/>
      <c r="DYW144" s="17"/>
      <c r="DYX144" s="15"/>
      <c r="DZM144" s="17"/>
      <c r="DZN144" s="15"/>
      <c r="EAC144" s="17"/>
      <c r="EAD144" s="15"/>
      <c r="EAS144" s="17"/>
      <c r="EAT144" s="15"/>
      <c r="EBI144" s="17"/>
      <c r="EBJ144" s="15"/>
      <c r="EBY144" s="17"/>
      <c r="EBZ144" s="15"/>
      <c r="ECO144" s="17"/>
      <c r="ECP144" s="15"/>
      <c r="EDE144" s="17"/>
      <c r="EDF144" s="15"/>
      <c r="EDU144" s="17"/>
      <c r="EDV144" s="15"/>
      <c r="EEK144" s="17"/>
      <c r="EEL144" s="15"/>
      <c r="EFA144" s="17"/>
      <c r="EFB144" s="15"/>
      <c r="EFQ144" s="17"/>
      <c r="EFR144" s="15"/>
      <c r="EGG144" s="17"/>
      <c r="EGH144" s="15"/>
      <c r="EGW144" s="17"/>
      <c r="EGX144" s="15"/>
      <c r="EHM144" s="17"/>
      <c r="EHN144" s="15"/>
      <c r="EIC144" s="17"/>
      <c r="EID144" s="15"/>
      <c r="EIS144" s="17"/>
      <c r="EIT144" s="15"/>
      <c r="EJI144" s="17"/>
      <c r="EJJ144" s="15"/>
      <c r="EJY144" s="17"/>
      <c r="EJZ144" s="15"/>
      <c r="EKO144" s="17"/>
      <c r="EKP144" s="15"/>
      <c r="ELE144" s="17"/>
      <c r="ELF144" s="15"/>
      <c r="ELU144" s="17"/>
      <c r="ELV144" s="15"/>
      <c r="EMK144" s="17"/>
      <c r="EML144" s="15"/>
      <c r="ENA144" s="17"/>
      <c r="ENB144" s="15"/>
      <c r="ENQ144" s="17"/>
      <c r="ENR144" s="15"/>
      <c r="EOG144" s="17"/>
      <c r="EOH144" s="15"/>
      <c r="EOW144" s="17"/>
      <c r="EOX144" s="15"/>
      <c r="EPM144" s="17"/>
      <c r="EPN144" s="15"/>
      <c r="EQC144" s="17"/>
      <c r="EQD144" s="15"/>
      <c r="EQS144" s="17"/>
      <c r="EQT144" s="15"/>
      <c r="ERI144" s="17"/>
      <c r="ERJ144" s="15"/>
      <c r="ERY144" s="17"/>
      <c r="ERZ144" s="15"/>
      <c r="ESO144" s="17"/>
      <c r="ESP144" s="15"/>
      <c r="ETE144" s="17"/>
      <c r="ETF144" s="15"/>
      <c r="ETU144" s="17"/>
      <c r="ETV144" s="15"/>
      <c r="EUK144" s="17"/>
      <c r="EUL144" s="15"/>
      <c r="EVA144" s="17"/>
      <c r="EVB144" s="15"/>
      <c r="EVQ144" s="17"/>
      <c r="EVR144" s="15"/>
      <c r="EWG144" s="17"/>
      <c r="EWH144" s="15"/>
      <c r="EWW144" s="17"/>
      <c r="EWX144" s="15"/>
      <c r="EXM144" s="17"/>
      <c r="EXN144" s="15"/>
      <c r="EYC144" s="17"/>
      <c r="EYD144" s="15"/>
      <c r="EYS144" s="17"/>
      <c r="EYT144" s="15"/>
      <c r="EZI144" s="17"/>
      <c r="EZJ144" s="15"/>
      <c r="EZY144" s="17"/>
      <c r="EZZ144" s="15"/>
      <c r="FAO144" s="17"/>
      <c r="FAP144" s="15"/>
      <c r="FBE144" s="17"/>
      <c r="FBF144" s="15"/>
      <c r="FBU144" s="17"/>
      <c r="FBV144" s="15"/>
      <c r="FCK144" s="17"/>
      <c r="FCL144" s="15"/>
      <c r="FDA144" s="17"/>
      <c r="FDB144" s="15"/>
      <c r="FDQ144" s="17"/>
      <c r="FDR144" s="15"/>
      <c r="FEG144" s="17"/>
      <c r="FEH144" s="15"/>
      <c r="FEW144" s="17"/>
      <c r="FEX144" s="15"/>
      <c r="FFM144" s="17"/>
      <c r="FFN144" s="15"/>
      <c r="FGC144" s="17"/>
      <c r="FGD144" s="15"/>
      <c r="FGS144" s="17"/>
      <c r="FGT144" s="15"/>
      <c r="FHI144" s="17"/>
      <c r="FHJ144" s="15"/>
      <c r="FHY144" s="17"/>
      <c r="FHZ144" s="15"/>
      <c r="FIO144" s="17"/>
      <c r="FIP144" s="15"/>
      <c r="FJE144" s="17"/>
      <c r="FJF144" s="15"/>
      <c r="FJU144" s="17"/>
      <c r="FJV144" s="15"/>
      <c r="FKK144" s="17"/>
      <c r="FKL144" s="15"/>
      <c r="FLA144" s="17"/>
      <c r="FLB144" s="15"/>
      <c r="FLQ144" s="17"/>
      <c r="FLR144" s="15"/>
      <c r="FMG144" s="17"/>
      <c r="FMH144" s="15"/>
      <c r="FMW144" s="17"/>
      <c r="FMX144" s="15"/>
      <c r="FNM144" s="17"/>
      <c r="FNN144" s="15"/>
      <c r="FOC144" s="17"/>
      <c r="FOD144" s="15"/>
      <c r="FOS144" s="17"/>
      <c r="FOT144" s="15"/>
      <c r="FPI144" s="17"/>
      <c r="FPJ144" s="15"/>
      <c r="FPY144" s="17"/>
      <c r="FPZ144" s="15"/>
      <c r="FQO144" s="17"/>
      <c r="FQP144" s="15"/>
      <c r="FRE144" s="17"/>
      <c r="FRF144" s="15"/>
      <c r="FRU144" s="17"/>
      <c r="FRV144" s="15"/>
      <c r="FSK144" s="17"/>
      <c r="FSL144" s="15"/>
      <c r="FTA144" s="17"/>
      <c r="FTB144" s="15"/>
      <c r="FTQ144" s="17"/>
      <c r="FTR144" s="15"/>
      <c r="FUG144" s="17"/>
      <c r="FUH144" s="15"/>
      <c r="FUW144" s="17"/>
      <c r="FUX144" s="15"/>
      <c r="FVM144" s="17"/>
      <c r="FVN144" s="15"/>
      <c r="FWC144" s="17"/>
      <c r="FWD144" s="15"/>
      <c r="FWS144" s="17"/>
      <c r="FWT144" s="15"/>
      <c r="FXI144" s="17"/>
      <c r="FXJ144" s="15"/>
      <c r="FXY144" s="17"/>
      <c r="FXZ144" s="15"/>
      <c r="FYO144" s="17"/>
      <c r="FYP144" s="15"/>
      <c r="FZE144" s="17"/>
      <c r="FZF144" s="15"/>
      <c r="FZU144" s="17"/>
      <c r="FZV144" s="15"/>
      <c r="GAK144" s="17"/>
      <c r="GAL144" s="15"/>
      <c r="GBA144" s="17"/>
      <c r="GBB144" s="15"/>
      <c r="GBQ144" s="17"/>
      <c r="GBR144" s="15"/>
      <c r="GCG144" s="17"/>
      <c r="GCH144" s="15"/>
      <c r="GCW144" s="17"/>
      <c r="GCX144" s="15"/>
      <c r="GDM144" s="17"/>
      <c r="GDN144" s="15"/>
      <c r="GEC144" s="17"/>
      <c r="GED144" s="15"/>
      <c r="GES144" s="17"/>
      <c r="GET144" s="15"/>
      <c r="GFI144" s="17"/>
      <c r="GFJ144" s="15"/>
      <c r="GFY144" s="17"/>
      <c r="GFZ144" s="15"/>
      <c r="GGO144" s="17"/>
      <c r="GGP144" s="15"/>
      <c r="GHE144" s="17"/>
      <c r="GHF144" s="15"/>
      <c r="GHU144" s="17"/>
      <c r="GHV144" s="15"/>
      <c r="GIK144" s="17"/>
      <c r="GIL144" s="15"/>
      <c r="GJA144" s="17"/>
      <c r="GJB144" s="15"/>
      <c r="GJQ144" s="17"/>
      <c r="GJR144" s="15"/>
      <c r="GKG144" s="17"/>
      <c r="GKH144" s="15"/>
      <c r="GKW144" s="17"/>
      <c r="GKX144" s="15"/>
      <c r="GLM144" s="17"/>
      <c r="GLN144" s="15"/>
      <c r="GMC144" s="17"/>
      <c r="GMD144" s="15"/>
      <c r="GMS144" s="17"/>
      <c r="GMT144" s="15"/>
      <c r="GNI144" s="17"/>
      <c r="GNJ144" s="15"/>
      <c r="GNY144" s="17"/>
      <c r="GNZ144" s="15"/>
      <c r="GOO144" s="17"/>
      <c r="GOP144" s="15"/>
      <c r="GPE144" s="17"/>
      <c r="GPF144" s="15"/>
      <c r="GPU144" s="17"/>
      <c r="GPV144" s="15"/>
      <c r="GQK144" s="17"/>
      <c r="GQL144" s="15"/>
      <c r="GRA144" s="17"/>
      <c r="GRB144" s="15"/>
      <c r="GRQ144" s="17"/>
      <c r="GRR144" s="15"/>
      <c r="GSG144" s="17"/>
      <c r="GSH144" s="15"/>
      <c r="GSW144" s="17"/>
      <c r="GSX144" s="15"/>
      <c r="GTM144" s="17"/>
      <c r="GTN144" s="15"/>
      <c r="GUC144" s="17"/>
      <c r="GUD144" s="15"/>
      <c r="GUS144" s="17"/>
      <c r="GUT144" s="15"/>
      <c r="GVI144" s="17"/>
      <c r="GVJ144" s="15"/>
      <c r="GVY144" s="17"/>
      <c r="GVZ144" s="15"/>
      <c r="GWO144" s="17"/>
      <c r="GWP144" s="15"/>
      <c r="GXE144" s="17"/>
      <c r="GXF144" s="15"/>
      <c r="GXU144" s="17"/>
      <c r="GXV144" s="15"/>
      <c r="GYK144" s="17"/>
      <c r="GYL144" s="15"/>
      <c r="GZA144" s="17"/>
      <c r="GZB144" s="15"/>
      <c r="GZQ144" s="17"/>
      <c r="GZR144" s="15"/>
      <c r="HAG144" s="17"/>
      <c r="HAH144" s="15"/>
      <c r="HAW144" s="17"/>
      <c r="HAX144" s="15"/>
      <c r="HBM144" s="17"/>
      <c r="HBN144" s="15"/>
      <c r="HCC144" s="17"/>
      <c r="HCD144" s="15"/>
      <c r="HCS144" s="17"/>
      <c r="HCT144" s="15"/>
      <c r="HDI144" s="17"/>
      <c r="HDJ144" s="15"/>
      <c r="HDY144" s="17"/>
      <c r="HDZ144" s="15"/>
      <c r="HEO144" s="17"/>
      <c r="HEP144" s="15"/>
      <c r="HFE144" s="17"/>
      <c r="HFF144" s="15"/>
      <c r="HFU144" s="17"/>
      <c r="HFV144" s="15"/>
      <c r="HGK144" s="17"/>
      <c r="HGL144" s="15"/>
      <c r="HHA144" s="17"/>
      <c r="HHB144" s="15"/>
      <c r="HHQ144" s="17"/>
      <c r="HHR144" s="15"/>
      <c r="HIG144" s="17"/>
      <c r="HIH144" s="15"/>
      <c r="HIW144" s="17"/>
      <c r="HIX144" s="15"/>
      <c r="HJM144" s="17"/>
      <c r="HJN144" s="15"/>
      <c r="HKC144" s="17"/>
      <c r="HKD144" s="15"/>
      <c r="HKS144" s="17"/>
      <c r="HKT144" s="15"/>
      <c r="HLI144" s="17"/>
      <c r="HLJ144" s="15"/>
      <c r="HLY144" s="17"/>
      <c r="HLZ144" s="15"/>
      <c r="HMO144" s="17"/>
      <c r="HMP144" s="15"/>
      <c r="HNE144" s="17"/>
      <c r="HNF144" s="15"/>
      <c r="HNU144" s="17"/>
      <c r="HNV144" s="15"/>
      <c r="HOK144" s="17"/>
      <c r="HOL144" s="15"/>
      <c r="HPA144" s="17"/>
      <c r="HPB144" s="15"/>
      <c r="HPQ144" s="17"/>
      <c r="HPR144" s="15"/>
      <c r="HQG144" s="17"/>
      <c r="HQH144" s="15"/>
      <c r="HQW144" s="17"/>
      <c r="HQX144" s="15"/>
      <c r="HRM144" s="17"/>
      <c r="HRN144" s="15"/>
      <c r="HSC144" s="17"/>
      <c r="HSD144" s="15"/>
      <c r="HSS144" s="17"/>
      <c r="HST144" s="15"/>
      <c r="HTI144" s="17"/>
      <c r="HTJ144" s="15"/>
      <c r="HTY144" s="17"/>
      <c r="HTZ144" s="15"/>
      <c r="HUO144" s="17"/>
      <c r="HUP144" s="15"/>
      <c r="HVE144" s="17"/>
      <c r="HVF144" s="15"/>
      <c r="HVU144" s="17"/>
      <c r="HVV144" s="15"/>
      <c r="HWK144" s="17"/>
      <c r="HWL144" s="15"/>
      <c r="HXA144" s="17"/>
      <c r="HXB144" s="15"/>
      <c r="HXQ144" s="17"/>
      <c r="HXR144" s="15"/>
      <c r="HYG144" s="17"/>
      <c r="HYH144" s="15"/>
      <c r="HYW144" s="17"/>
      <c r="HYX144" s="15"/>
      <c r="HZM144" s="17"/>
      <c r="HZN144" s="15"/>
      <c r="IAC144" s="17"/>
      <c r="IAD144" s="15"/>
      <c r="IAS144" s="17"/>
      <c r="IAT144" s="15"/>
      <c r="IBI144" s="17"/>
      <c r="IBJ144" s="15"/>
      <c r="IBY144" s="17"/>
      <c r="IBZ144" s="15"/>
      <c r="ICO144" s="17"/>
      <c r="ICP144" s="15"/>
      <c r="IDE144" s="17"/>
      <c r="IDF144" s="15"/>
      <c r="IDU144" s="17"/>
      <c r="IDV144" s="15"/>
      <c r="IEK144" s="17"/>
      <c r="IEL144" s="15"/>
      <c r="IFA144" s="17"/>
      <c r="IFB144" s="15"/>
      <c r="IFQ144" s="17"/>
      <c r="IFR144" s="15"/>
      <c r="IGG144" s="17"/>
      <c r="IGH144" s="15"/>
      <c r="IGW144" s="17"/>
      <c r="IGX144" s="15"/>
      <c r="IHM144" s="17"/>
      <c r="IHN144" s="15"/>
      <c r="IIC144" s="17"/>
      <c r="IID144" s="15"/>
      <c r="IIS144" s="17"/>
      <c r="IIT144" s="15"/>
      <c r="IJI144" s="17"/>
      <c r="IJJ144" s="15"/>
      <c r="IJY144" s="17"/>
      <c r="IJZ144" s="15"/>
      <c r="IKO144" s="17"/>
      <c r="IKP144" s="15"/>
      <c r="ILE144" s="17"/>
      <c r="ILF144" s="15"/>
      <c r="ILU144" s="17"/>
      <c r="ILV144" s="15"/>
      <c r="IMK144" s="17"/>
      <c r="IML144" s="15"/>
      <c r="INA144" s="17"/>
      <c r="INB144" s="15"/>
      <c r="INQ144" s="17"/>
      <c r="INR144" s="15"/>
      <c r="IOG144" s="17"/>
      <c r="IOH144" s="15"/>
      <c r="IOW144" s="17"/>
      <c r="IOX144" s="15"/>
      <c r="IPM144" s="17"/>
      <c r="IPN144" s="15"/>
      <c r="IQC144" s="17"/>
      <c r="IQD144" s="15"/>
      <c r="IQS144" s="17"/>
      <c r="IQT144" s="15"/>
      <c r="IRI144" s="17"/>
      <c r="IRJ144" s="15"/>
      <c r="IRY144" s="17"/>
      <c r="IRZ144" s="15"/>
      <c r="ISO144" s="17"/>
      <c r="ISP144" s="15"/>
      <c r="ITE144" s="17"/>
      <c r="ITF144" s="15"/>
      <c r="ITU144" s="17"/>
      <c r="ITV144" s="15"/>
      <c r="IUK144" s="17"/>
      <c r="IUL144" s="15"/>
      <c r="IVA144" s="17"/>
      <c r="IVB144" s="15"/>
      <c r="IVQ144" s="17"/>
      <c r="IVR144" s="15"/>
      <c r="IWG144" s="17"/>
      <c r="IWH144" s="15"/>
      <c r="IWW144" s="17"/>
      <c r="IWX144" s="15"/>
      <c r="IXM144" s="17"/>
      <c r="IXN144" s="15"/>
      <c r="IYC144" s="17"/>
      <c r="IYD144" s="15"/>
      <c r="IYS144" s="17"/>
      <c r="IYT144" s="15"/>
      <c r="IZI144" s="17"/>
      <c r="IZJ144" s="15"/>
      <c r="IZY144" s="17"/>
      <c r="IZZ144" s="15"/>
      <c r="JAO144" s="17"/>
      <c r="JAP144" s="15"/>
      <c r="JBE144" s="17"/>
      <c r="JBF144" s="15"/>
      <c r="JBU144" s="17"/>
      <c r="JBV144" s="15"/>
      <c r="JCK144" s="17"/>
      <c r="JCL144" s="15"/>
      <c r="JDA144" s="17"/>
      <c r="JDB144" s="15"/>
      <c r="JDQ144" s="17"/>
      <c r="JDR144" s="15"/>
      <c r="JEG144" s="17"/>
      <c r="JEH144" s="15"/>
      <c r="JEW144" s="17"/>
      <c r="JEX144" s="15"/>
      <c r="JFM144" s="17"/>
      <c r="JFN144" s="15"/>
      <c r="JGC144" s="17"/>
      <c r="JGD144" s="15"/>
      <c r="JGS144" s="17"/>
      <c r="JGT144" s="15"/>
      <c r="JHI144" s="17"/>
      <c r="JHJ144" s="15"/>
      <c r="JHY144" s="17"/>
      <c r="JHZ144" s="15"/>
      <c r="JIO144" s="17"/>
      <c r="JIP144" s="15"/>
      <c r="JJE144" s="17"/>
      <c r="JJF144" s="15"/>
      <c r="JJU144" s="17"/>
      <c r="JJV144" s="15"/>
      <c r="JKK144" s="17"/>
      <c r="JKL144" s="15"/>
      <c r="JLA144" s="17"/>
      <c r="JLB144" s="15"/>
      <c r="JLQ144" s="17"/>
      <c r="JLR144" s="15"/>
      <c r="JMG144" s="17"/>
      <c r="JMH144" s="15"/>
      <c r="JMW144" s="17"/>
      <c r="JMX144" s="15"/>
      <c r="JNM144" s="17"/>
      <c r="JNN144" s="15"/>
      <c r="JOC144" s="17"/>
      <c r="JOD144" s="15"/>
      <c r="JOS144" s="17"/>
      <c r="JOT144" s="15"/>
      <c r="JPI144" s="17"/>
      <c r="JPJ144" s="15"/>
      <c r="JPY144" s="17"/>
      <c r="JPZ144" s="15"/>
      <c r="JQO144" s="17"/>
      <c r="JQP144" s="15"/>
      <c r="JRE144" s="17"/>
      <c r="JRF144" s="15"/>
      <c r="JRU144" s="17"/>
      <c r="JRV144" s="15"/>
      <c r="JSK144" s="17"/>
      <c r="JSL144" s="15"/>
      <c r="JTA144" s="17"/>
      <c r="JTB144" s="15"/>
      <c r="JTQ144" s="17"/>
      <c r="JTR144" s="15"/>
      <c r="JUG144" s="17"/>
      <c r="JUH144" s="15"/>
      <c r="JUW144" s="17"/>
      <c r="JUX144" s="15"/>
      <c r="JVM144" s="17"/>
      <c r="JVN144" s="15"/>
      <c r="JWC144" s="17"/>
      <c r="JWD144" s="15"/>
      <c r="JWS144" s="17"/>
      <c r="JWT144" s="15"/>
      <c r="JXI144" s="17"/>
      <c r="JXJ144" s="15"/>
      <c r="JXY144" s="17"/>
      <c r="JXZ144" s="15"/>
      <c r="JYO144" s="17"/>
      <c r="JYP144" s="15"/>
      <c r="JZE144" s="17"/>
      <c r="JZF144" s="15"/>
      <c r="JZU144" s="17"/>
      <c r="JZV144" s="15"/>
      <c r="KAK144" s="17"/>
      <c r="KAL144" s="15"/>
      <c r="KBA144" s="17"/>
      <c r="KBB144" s="15"/>
      <c r="KBQ144" s="17"/>
      <c r="KBR144" s="15"/>
      <c r="KCG144" s="17"/>
      <c r="KCH144" s="15"/>
      <c r="KCW144" s="17"/>
      <c r="KCX144" s="15"/>
      <c r="KDM144" s="17"/>
      <c r="KDN144" s="15"/>
      <c r="KEC144" s="17"/>
      <c r="KED144" s="15"/>
      <c r="KES144" s="17"/>
      <c r="KET144" s="15"/>
      <c r="KFI144" s="17"/>
      <c r="KFJ144" s="15"/>
      <c r="KFY144" s="17"/>
      <c r="KFZ144" s="15"/>
      <c r="KGO144" s="17"/>
      <c r="KGP144" s="15"/>
      <c r="KHE144" s="17"/>
      <c r="KHF144" s="15"/>
      <c r="KHU144" s="17"/>
      <c r="KHV144" s="15"/>
      <c r="KIK144" s="17"/>
      <c r="KIL144" s="15"/>
      <c r="KJA144" s="17"/>
      <c r="KJB144" s="15"/>
      <c r="KJQ144" s="17"/>
      <c r="KJR144" s="15"/>
      <c r="KKG144" s="17"/>
      <c r="KKH144" s="15"/>
      <c r="KKW144" s="17"/>
      <c r="KKX144" s="15"/>
      <c r="KLM144" s="17"/>
      <c r="KLN144" s="15"/>
      <c r="KMC144" s="17"/>
      <c r="KMD144" s="15"/>
      <c r="KMS144" s="17"/>
      <c r="KMT144" s="15"/>
      <c r="KNI144" s="17"/>
      <c r="KNJ144" s="15"/>
      <c r="KNY144" s="17"/>
      <c r="KNZ144" s="15"/>
      <c r="KOO144" s="17"/>
      <c r="KOP144" s="15"/>
      <c r="KPE144" s="17"/>
      <c r="KPF144" s="15"/>
      <c r="KPU144" s="17"/>
      <c r="KPV144" s="15"/>
      <c r="KQK144" s="17"/>
      <c r="KQL144" s="15"/>
      <c r="KRA144" s="17"/>
      <c r="KRB144" s="15"/>
      <c r="KRQ144" s="17"/>
      <c r="KRR144" s="15"/>
      <c r="KSG144" s="17"/>
      <c r="KSH144" s="15"/>
      <c r="KSW144" s="17"/>
      <c r="KSX144" s="15"/>
      <c r="KTM144" s="17"/>
      <c r="KTN144" s="15"/>
      <c r="KUC144" s="17"/>
      <c r="KUD144" s="15"/>
      <c r="KUS144" s="17"/>
      <c r="KUT144" s="15"/>
      <c r="KVI144" s="17"/>
      <c r="KVJ144" s="15"/>
      <c r="KVY144" s="17"/>
      <c r="KVZ144" s="15"/>
      <c r="KWO144" s="17"/>
      <c r="KWP144" s="15"/>
      <c r="KXE144" s="17"/>
      <c r="KXF144" s="15"/>
      <c r="KXU144" s="17"/>
      <c r="KXV144" s="15"/>
      <c r="KYK144" s="17"/>
      <c r="KYL144" s="15"/>
      <c r="KZA144" s="17"/>
      <c r="KZB144" s="15"/>
      <c r="KZQ144" s="17"/>
      <c r="KZR144" s="15"/>
      <c r="LAG144" s="17"/>
      <c r="LAH144" s="15"/>
      <c r="LAW144" s="17"/>
      <c r="LAX144" s="15"/>
      <c r="LBM144" s="17"/>
      <c r="LBN144" s="15"/>
      <c r="LCC144" s="17"/>
      <c r="LCD144" s="15"/>
      <c r="LCS144" s="17"/>
      <c r="LCT144" s="15"/>
      <c r="LDI144" s="17"/>
      <c r="LDJ144" s="15"/>
      <c r="LDY144" s="17"/>
      <c r="LDZ144" s="15"/>
      <c r="LEO144" s="17"/>
      <c r="LEP144" s="15"/>
      <c r="LFE144" s="17"/>
      <c r="LFF144" s="15"/>
      <c r="LFU144" s="17"/>
      <c r="LFV144" s="15"/>
      <c r="LGK144" s="17"/>
      <c r="LGL144" s="15"/>
      <c r="LHA144" s="17"/>
      <c r="LHB144" s="15"/>
      <c r="LHQ144" s="17"/>
      <c r="LHR144" s="15"/>
      <c r="LIG144" s="17"/>
      <c r="LIH144" s="15"/>
      <c r="LIW144" s="17"/>
      <c r="LIX144" s="15"/>
      <c r="LJM144" s="17"/>
      <c r="LJN144" s="15"/>
      <c r="LKC144" s="17"/>
      <c r="LKD144" s="15"/>
      <c r="LKS144" s="17"/>
      <c r="LKT144" s="15"/>
      <c r="LLI144" s="17"/>
      <c r="LLJ144" s="15"/>
      <c r="LLY144" s="17"/>
      <c r="LLZ144" s="15"/>
      <c r="LMO144" s="17"/>
      <c r="LMP144" s="15"/>
      <c r="LNE144" s="17"/>
      <c r="LNF144" s="15"/>
      <c r="LNU144" s="17"/>
      <c r="LNV144" s="15"/>
      <c r="LOK144" s="17"/>
      <c r="LOL144" s="15"/>
      <c r="LPA144" s="17"/>
      <c r="LPB144" s="15"/>
      <c r="LPQ144" s="17"/>
      <c r="LPR144" s="15"/>
      <c r="LQG144" s="17"/>
      <c r="LQH144" s="15"/>
      <c r="LQW144" s="17"/>
      <c r="LQX144" s="15"/>
      <c r="LRM144" s="17"/>
      <c r="LRN144" s="15"/>
      <c r="LSC144" s="17"/>
      <c r="LSD144" s="15"/>
      <c r="LSS144" s="17"/>
      <c r="LST144" s="15"/>
      <c r="LTI144" s="17"/>
      <c r="LTJ144" s="15"/>
      <c r="LTY144" s="17"/>
      <c r="LTZ144" s="15"/>
      <c r="LUO144" s="17"/>
      <c r="LUP144" s="15"/>
      <c r="LVE144" s="17"/>
      <c r="LVF144" s="15"/>
      <c r="LVU144" s="17"/>
      <c r="LVV144" s="15"/>
      <c r="LWK144" s="17"/>
      <c r="LWL144" s="15"/>
      <c r="LXA144" s="17"/>
      <c r="LXB144" s="15"/>
      <c r="LXQ144" s="17"/>
      <c r="LXR144" s="15"/>
      <c r="LYG144" s="17"/>
      <c r="LYH144" s="15"/>
      <c r="LYW144" s="17"/>
      <c r="LYX144" s="15"/>
      <c r="LZM144" s="17"/>
      <c r="LZN144" s="15"/>
      <c r="MAC144" s="17"/>
      <c r="MAD144" s="15"/>
      <c r="MAS144" s="17"/>
      <c r="MAT144" s="15"/>
      <c r="MBI144" s="17"/>
      <c r="MBJ144" s="15"/>
      <c r="MBY144" s="17"/>
      <c r="MBZ144" s="15"/>
      <c r="MCO144" s="17"/>
      <c r="MCP144" s="15"/>
      <c r="MDE144" s="17"/>
      <c r="MDF144" s="15"/>
      <c r="MDU144" s="17"/>
      <c r="MDV144" s="15"/>
      <c r="MEK144" s="17"/>
      <c r="MEL144" s="15"/>
      <c r="MFA144" s="17"/>
      <c r="MFB144" s="15"/>
      <c r="MFQ144" s="17"/>
      <c r="MFR144" s="15"/>
      <c r="MGG144" s="17"/>
      <c r="MGH144" s="15"/>
      <c r="MGW144" s="17"/>
      <c r="MGX144" s="15"/>
      <c r="MHM144" s="17"/>
      <c r="MHN144" s="15"/>
      <c r="MIC144" s="17"/>
      <c r="MID144" s="15"/>
      <c r="MIS144" s="17"/>
      <c r="MIT144" s="15"/>
      <c r="MJI144" s="17"/>
      <c r="MJJ144" s="15"/>
      <c r="MJY144" s="17"/>
      <c r="MJZ144" s="15"/>
      <c r="MKO144" s="17"/>
      <c r="MKP144" s="15"/>
      <c r="MLE144" s="17"/>
      <c r="MLF144" s="15"/>
      <c r="MLU144" s="17"/>
      <c r="MLV144" s="15"/>
      <c r="MMK144" s="17"/>
      <c r="MML144" s="15"/>
      <c r="MNA144" s="17"/>
      <c r="MNB144" s="15"/>
      <c r="MNQ144" s="17"/>
      <c r="MNR144" s="15"/>
      <c r="MOG144" s="17"/>
      <c r="MOH144" s="15"/>
      <c r="MOW144" s="17"/>
      <c r="MOX144" s="15"/>
      <c r="MPM144" s="17"/>
      <c r="MPN144" s="15"/>
      <c r="MQC144" s="17"/>
      <c r="MQD144" s="15"/>
      <c r="MQS144" s="17"/>
      <c r="MQT144" s="15"/>
      <c r="MRI144" s="17"/>
      <c r="MRJ144" s="15"/>
      <c r="MRY144" s="17"/>
      <c r="MRZ144" s="15"/>
      <c r="MSO144" s="17"/>
      <c r="MSP144" s="15"/>
      <c r="MTE144" s="17"/>
      <c r="MTF144" s="15"/>
      <c r="MTU144" s="17"/>
      <c r="MTV144" s="15"/>
      <c r="MUK144" s="17"/>
      <c r="MUL144" s="15"/>
      <c r="MVA144" s="17"/>
      <c r="MVB144" s="15"/>
      <c r="MVQ144" s="17"/>
      <c r="MVR144" s="15"/>
      <c r="MWG144" s="17"/>
      <c r="MWH144" s="15"/>
      <c r="MWW144" s="17"/>
      <c r="MWX144" s="15"/>
      <c r="MXM144" s="17"/>
      <c r="MXN144" s="15"/>
      <c r="MYC144" s="17"/>
      <c r="MYD144" s="15"/>
      <c r="MYS144" s="17"/>
      <c r="MYT144" s="15"/>
      <c r="MZI144" s="17"/>
      <c r="MZJ144" s="15"/>
      <c r="MZY144" s="17"/>
      <c r="MZZ144" s="15"/>
      <c r="NAO144" s="17"/>
      <c r="NAP144" s="15"/>
      <c r="NBE144" s="17"/>
      <c r="NBF144" s="15"/>
      <c r="NBU144" s="17"/>
      <c r="NBV144" s="15"/>
      <c r="NCK144" s="17"/>
      <c r="NCL144" s="15"/>
      <c r="NDA144" s="17"/>
      <c r="NDB144" s="15"/>
      <c r="NDQ144" s="17"/>
      <c r="NDR144" s="15"/>
      <c r="NEG144" s="17"/>
      <c r="NEH144" s="15"/>
      <c r="NEW144" s="17"/>
      <c r="NEX144" s="15"/>
      <c r="NFM144" s="17"/>
      <c r="NFN144" s="15"/>
      <c r="NGC144" s="17"/>
      <c r="NGD144" s="15"/>
      <c r="NGS144" s="17"/>
      <c r="NGT144" s="15"/>
      <c r="NHI144" s="17"/>
      <c r="NHJ144" s="15"/>
      <c r="NHY144" s="17"/>
      <c r="NHZ144" s="15"/>
      <c r="NIO144" s="17"/>
      <c r="NIP144" s="15"/>
      <c r="NJE144" s="17"/>
      <c r="NJF144" s="15"/>
      <c r="NJU144" s="17"/>
      <c r="NJV144" s="15"/>
      <c r="NKK144" s="17"/>
      <c r="NKL144" s="15"/>
      <c r="NLA144" s="17"/>
      <c r="NLB144" s="15"/>
      <c r="NLQ144" s="17"/>
      <c r="NLR144" s="15"/>
      <c r="NMG144" s="17"/>
      <c r="NMH144" s="15"/>
      <c r="NMW144" s="17"/>
      <c r="NMX144" s="15"/>
      <c r="NNM144" s="17"/>
      <c r="NNN144" s="15"/>
      <c r="NOC144" s="17"/>
      <c r="NOD144" s="15"/>
      <c r="NOS144" s="17"/>
      <c r="NOT144" s="15"/>
      <c r="NPI144" s="17"/>
      <c r="NPJ144" s="15"/>
      <c r="NPY144" s="17"/>
      <c r="NPZ144" s="15"/>
      <c r="NQO144" s="17"/>
      <c r="NQP144" s="15"/>
      <c r="NRE144" s="17"/>
      <c r="NRF144" s="15"/>
      <c r="NRU144" s="17"/>
      <c r="NRV144" s="15"/>
      <c r="NSK144" s="17"/>
      <c r="NSL144" s="15"/>
      <c r="NTA144" s="17"/>
      <c r="NTB144" s="15"/>
      <c r="NTQ144" s="17"/>
      <c r="NTR144" s="15"/>
      <c r="NUG144" s="17"/>
      <c r="NUH144" s="15"/>
      <c r="NUW144" s="17"/>
      <c r="NUX144" s="15"/>
      <c r="NVM144" s="17"/>
      <c r="NVN144" s="15"/>
      <c r="NWC144" s="17"/>
      <c r="NWD144" s="15"/>
      <c r="NWS144" s="17"/>
      <c r="NWT144" s="15"/>
      <c r="NXI144" s="17"/>
      <c r="NXJ144" s="15"/>
      <c r="NXY144" s="17"/>
      <c r="NXZ144" s="15"/>
      <c r="NYO144" s="17"/>
      <c r="NYP144" s="15"/>
      <c r="NZE144" s="17"/>
      <c r="NZF144" s="15"/>
      <c r="NZU144" s="17"/>
      <c r="NZV144" s="15"/>
      <c r="OAK144" s="17"/>
      <c r="OAL144" s="15"/>
      <c r="OBA144" s="17"/>
      <c r="OBB144" s="15"/>
      <c r="OBQ144" s="17"/>
      <c r="OBR144" s="15"/>
      <c r="OCG144" s="17"/>
      <c r="OCH144" s="15"/>
      <c r="OCW144" s="17"/>
      <c r="OCX144" s="15"/>
      <c r="ODM144" s="17"/>
      <c r="ODN144" s="15"/>
      <c r="OEC144" s="17"/>
      <c r="OED144" s="15"/>
      <c r="OES144" s="17"/>
      <c r="OET144" s="15"/>
      <c r="OFI144" s="17"/>
      <c r="OFJ144" s="15"/>
      <c r="OFY144" s="17"/>
      <c r="OFZ144" s="15"/>
      <c r="OGO144" s="17"/>
      <c r="OGP144" s="15"/>
      <c r="OHE144" s="17"/>
      <c r="OHF144" s="15"/>
      <c r="OHU144" s="17"/>
      <c r="OHV144" s="15"/>
      <c r="OIK144" s="17"/>
      <c r="OIL144" s="15"/>
      <c r="OJA144" s="17"/>
      <c r="OJB144" s="15"/>
      <c r="OJQ144" s="17"/>
      <c r="OJR144" s="15"/>
      <c r="OKG144" s="17"/>
      <c r="OKH144" s="15"/>
      <c r="OKW144" s="17"/>
      <c r="OKX144" s="15"/>
      <c r="OLM144" s="17"/>
      <c r="OLN144" s="15"/>
      <c r="OMC144" s="17"/>
      <c r="OMD144" s="15"/>
      <c r="OMS144" s="17"/>
      <c r="OMT144" s="15"/>
      <c r="ONI144" s="17"/>
      <c r="ONJ144" s="15"/>
      <c r="ONY144" s="17"/>
      <c r="ONZ144" s="15"/>
      <c r="OOO144" s="17"/>
      <c r="OOP144" s="15"/>
      <c r="OPE144" s="17"/>
      <c r="OPF144" s="15"/>
      <c r="OPU144" s="17"/>
      <c r="OPV144" s="15"/>
      <c r="OQK144" s="17"/>
      <c r="OQL144" s="15"/>
      <c r="ORA144" s="17"/>
      <c r="ORB144" s="15"/>
      <c r="ORQ144" s="17"/>
      <c r="ORR144" s="15"/>
      <c r="OSG144" s="17"/>
      <c r="OSH144" s="15"/>
      <c r="OSW144" s="17"/>
      <c r="OSX144" s="15"/>
      <c r="OTM144" s="17"/>
      <c r="OTN144" s="15"/>
      <c r="OUC144" s="17"/>
      <c r="OUD144" s="15"/>
      <c r="OUS144" s="17"/>
      <c r="OUT144" s="15"/>
      <c r="OVI144" s="17"/>
      <c r="OVJ144" s="15"/>
      <c r="OVY144" s="17"/>
      <c r="OVZ144" s="15"/>
      <c r="OWO144" s="17"/>
      <c r="OWP144" s="15"/>
      <c r="OXE144" s="17"/>
      <c r="OXF144" s="15"/>
      <c r="OXU144" s="17"/>
      <c r="OXV144" s="15"/>
      <c r="OYK144" s="17"/>
      <c r="OYL144" s="15"/>
      <c r="OZA144" s="17"/>
      <c r="OZB144" s="15"/>
      <c r="OZQ144" s="17"/>
      <c r="OZR144" s="15"/>
      <c r="PAG144" s="17"/>
      <c r="PAH144" s="15"/>
      <c r="PAW144" s="17"/>
      <c r="PAX144" s="15"/>
      <c r="PBM144" s="17"/>
      <c r="PBN144" s="15"/>
      <c r="PCC144" s="17"/>
      <c r="PCD144" s="15"/>
      <c r="PCS144" s="17"/>
      <c r="PCT144" s="15"/>
      <c r="PDI144" s="17"/>
      <c r="PDJ144" s="15"/>
      <c r="PDY144" s="17"/>
      <c r="PDZ144" s="15"/>
      <c r="PEO144" s="17"/>
      <c r="PEP144" s="15"/>
      <c r="PFE144" s="17"/>
      <c r="PFF144" s="15"/>
      <c r="PFU144" s="17"/>
      <c r="PFV144" s="15"/>
      <c r="PGK144" s="17"/>
      <c r="PGL144" s="15"/>
      <c r="PHA144" s="17"/>
      <c r="PHB144" s="15"/>
      <c r="PHQ144" s="17"/>
      <c r="PHR144" s="15"/>
      <c r="PIG144" s="17"/>
      <c r="PIH144" s="15"/>
      <c r="PIW144" s="17"/>
      <c r="PIX144" s="15"/>
      <c r="PJM144" s="17"/>
      <c r="PJN144" s="15"/>
      <c r="PKC144" s="17"/>
      <c r="PKD144" s="15"/>
      <c r="PKS144" s="17"/>
      <c r="PKT144" s="15"/>
      <c r="PLI144" s="17"/>
      <c r="PLJ144" s="15"/>
      <c r="PLY144" s="17"/>
      <c r="PLZ144" s="15"/>
      <c r="PMO144" s="17"/>
      <c r="PMP144" s="15"/>
      <c r="PNE144" s="17"/>
      <c r="PNF144" s="15"/>
      <c r="PNU144" s="17"/>
      <c r="PNV144" s="15"/>
      <c r="POK144" s="17"/>
      <c r="POL144" s="15"/>
      <c r="PPA144" s="17"/>
      <c r="PPB144" s="15"/>
      <c r="PPQ144" s="17"/>
      <c r="PPR144" s="15"/>
      <c r="PQG144" s="17"/>
      <c r="PQH144" s="15"/>
      <c r="PQW144" s="17"/>
      <c r="PQX144" s="15"/>
      <c r="PRM144" s="17"/>
      <c r="PRN144" s="15"/>
      <c r="PSC144" s="17"/>
      <c r="PSD144" s="15"/>
      <c r="PSS144" s="17"/>
      <c r="PST144" s="15"/>
      <c r="PTI144" s="17"/>
      <c r="PTJ144" s="15"/>
      <c r="PTY144" s="17"/>
      <c r="PTZ144" s="15"/>
      <c r="PUO144" s="17"/>
      <c r="PUP144" s="15"/>
      <c r="PVE144" s="17"/>
      <c r="PVF144" s="15"/>
      <c r="PVU144" s="17"/>
      <c r="PVV144" s="15"/>
      <c r="PWK144" s="17"/>
      <c r="PWL144" s="15"/>
      <c r="PXA144" s="17"/>
      <c r="PXB144" s="15"/>
      <c r="PXQ144" s="17"/>
      <c r="PXR144" s="15"/>
      <c r="PYG144" s="17"/>
      <c r="PYH144" s="15"/>
      <c r="PYW144" s="17"/>
      <c r="PYX144" s="15"/>
      <c r="PZM144" s="17"/>
      <c r="PZN144" s="15"/>
      <c r="QAC144" s="17"/>
      <c r="QAD144" s="15"/>
      <c r="QAS144" s="17"/>
      <c r="QAT144" s="15"/>
      <c r="QBI144" s="17"/>
      <c r="QBJ144" s="15"/>
      <c r="QBY144" s="17"/>
      <c r="QBZ144" s="15"/>
      <c r="QCO144" s="17"/>
      <c r="QCP144" s="15"/>
      <c r="QDE144" s="17"/>
      <c r="QDF144" s="15"/>
      <c r="QDU144" s="17"/>
      <c r="QDV144" s="15"/>
      <c r="QEK144" s="17"/>
      <c r="QEL144" s="15"/>
      <c r="QFA144" s="17"/>
      <c r="QFB144" s="15"/>
      <c r="QFQ144" s="17"/>
      <c r="QFR144" s="15"/>
      <c r="QGG144" s="17"/>
      <c r="QGH144" s="15"/>
      <c r="QGW144" s="17"/>
      <c r="QGX144" s="15"/>
      <c r="QHM144" s="17"/>
      <c r="QHN144" s="15"/>
      <c r="QIC144" s="17"/>
      <c r="QID144" s="15"/>
      <c r="QIS144" s="17"/>
      <c r="QIT144" s="15"/>
      <c r="QJI144" s="17"/>
      <c r="QJJ144" s="15"/>
      <c r="QJY144" s="17"/>
      <c r="QJZ144" s="15"/>
      <c r="QKO144" s="17"/>
      <c r="QKP144" s="15"/>
      <c r="QLE144" s="17"/>
      <c r="QLF144" s="15"/>
      <c r="QLU144" s="17"/>
      <c r="QLV144" s="15"/>
      <c r="QMK144" s="17"/>
      <c r="QML144" s="15"/>
      <c r="QNA144" s="17"/>
      <c r="QNB144" s="15"/>
      <c r="QNQ144" s="17"/>
      <c r="QNR144" s="15"/>
      <c r="QOG144" s="17"/>
      <c r="QOH144" s="15"/>
      <c r="QOW144" s="17"/>
      <c r="QOX144" s="15"/>
      <c r="QPM144" s="17"/>
      <c r="QPN144" s="15"/>
      <c r="QQC144" s="17"/>
      <c r="QQD144" s="15"/>
      <c r="QQS144" s="17"/>
      <c r="QQT144" s="15"/>
      <c r="QRI144" s="17"/>
      <c r="QRJ144" s="15"/>
      <c r="QRY144" s="17"/>
      <c r="QRZ144" s="15"/>
      <c r="QSO144" s="17"/>
      <c r="QSP144" s="15"/>
      <c r="QTE144" s="17"/>
      <c r="QTF144" s="15"/>
      <c r="QTU144" s="17"/>
      <c r="QTV144" s="15"/>
      <c r="QUK144" s="17"/>
      <c r="QUL144" s="15"/>
      <c r="QVA144" s="17"/>
      <c r="QVB144" s="15"/>
      <c r="QVQ144" s="17"/>
      <c r="QVR144" s="15"/>
      <c r="QWG144" s="17"/>
      <c r="QWH144" s="15"/>
      <c r="QWW144" s="17"/>
      <c r="QWX144" s="15"/>
      <c r="QXM144" s="17"/>
      <c r="QXN144" s="15"/>
      <c r="QYC144" s="17"/>
      <c r="QYD144" s="15"/>
      <c r="QYS144" s="17"/>
      <c r="QYT144" s="15"/>
      <c r="QZI144" s="17"/>
      <c r="QZJ144" s="15"/>
      <c r="QZY144" s="17"/>
      <c r="QZZ144" s="15"/>
      <c r="RAO144" s="17"/>
      <c r="RAP144" s="15"/>
      <c r="RBE144" s="17"/>
      <c r="RBF144" s="15"/>
      <c r="RBU144" s="17"/>
      <c r="RBV144" s="15"/>
      <c r="RCK144" s="17"/>
      <c r="RCL144" s="15"/>
      <c r="RDA144" s="17"/>
      <c r="RDB144" s="15"/>
      <c r="RDQ144" s="17"/>
      <c r="RDR144" s="15"/>
      <c r="REG144" s="17"/>
      <c r="REH144" s="15"/>
      <c r="REW144" s="17"/>
      <c r="REX144" s="15"/>
      <c r="RFM144" s="17"/>
      <c r="RFN144" s="15"/>
      <c r="RGC144" s="17"/>
      <c r="RGD144" s="15"/>
      <c r="RGS144" s="17"/>
      <c r="RGT144" s="15"/>
      <c r="RHI144" s="17"/>
      <c r="RHJ144" s="15"/>
      <c r="RHY144" s="17"/>
      <c r="RHZ144" s="15"/>
      <c r="RIO144" s="17"/>
      <c r="RIP144" s="15"/>
      <c r="RJE144" s="17"/>
      <c r="RJF144" s="15"/>
      <c r="RJU144" s="17"/>
      <c r="RJV144" s="15"/>
      <c r="RKK144" s="17"/>
      <c r="RKL144" s="15"/>
      <c r="RLA144" s="17"/>
      <c r="RLB144" s="15"/>
      <c r="RLQ144" s="17"/>
      <c r="RLR144" s="15"/>
      <c r="RMG144" s="17"/>
      <c r="RMH144" s="15"/>
      <c r="RMW144" s="17"/>
      <c r="RMX144" s="15"/>
      <c r="RNM144" s="17"/>
      <c r="RNN144" s="15"/>
      <c r="ROC144" s="17"/>
      <c r="ROD144" s="15"/>
      <c r="ROS144" s="17"/>
      <c r="ROT144" s="15"/>
      <c r="RPI144" s="17"/>
      <c r="RPJ144" s="15"/>
      <c r="RPY144" s="17"/>
      <c r="RPZ144" s="15"/>
      <c r="RQO144" s="17"/>
      <c r="RQP144" s="15"/>
      <c r="RRE144" s="17"/>
      <c r="RRF144" s="15"/>
      <c r="RRU144" s="17"/>
      <c r="RRV144" s="15"/>
      <c r="RSK144" s="17"/>
      <c r="RSL144" s="15"/>
      <c r="RTA144" s="17"/>
      <c r="RTB144" s="15"/>
      <c r="RTQ144" s="17"/>
      <c r="RTR144" s="15"/>
      <c r="RUG144" s="17"/>
      <c r="RUH144" s="15"/>
      <c r="RUW144" s="17"/>
      <c r="RUX144" s="15"/>
      <c r="RVM144" s="17"/>
      <c r="RVN144" s="15"/>
      <c r="RWC144" s="17"/>
      <c r="RWD144" s="15"/>
      <c r="RWS144" s="17"/>
      <c r="RWT144" s="15"/>
      <c r="RXI144" s="17"/>
      <c r="RXJ144" s="15"/>
      <c r="RXY144" s="17"/>
      <c r="RXZ144" s="15"/>
      <c r="RYO144" s="17"/>
      <c r="RYP144" s="15"/>
      <c r="RZE144" s="17"/>
      <c r="RZF144" s="15"/>
      <c r="RZU144" s="17"/>
      <c r="RZV144" s="15"/>
      <c r="SAK144" s="17"/>
      <c r="SAL144" s="15"/>
      <c r="SBA144" s="17"/>
      <c r="SBB144" s="15"/>
      <c r="SBQ144" s="17"/>
      <c r="SBR144" s="15"/>
      <c r="SCG144" s="17"/>
      <c r="SCH144" s="15"/>
      <c r="SCW144" s="17"/>
      <c r="SCX144" s="15"/>
      <c r="SDM144" s="17"/>
      <c r="SDN144" s="15"/>
      <c r="SEC144" s="17"/>
      <c r="SED144" s="15"/>
      <c r="SES144" s="17"/>
      <c r="SET144" s="15"/>
      <c r="SFI144" s="17"/>
      <c r="SFJ144" s="15"/>
      <c r="SFY144" s="17"/>
      <c r="SFZ144" s="15"/>
      <c r="SGO144" s="17"/>
      <c r="SGP144" s="15"/>
      <c r="SHE144" s="17"/>
      <c r="SHF144" s="15"/>
      <c r="SHU144" s="17"/>
      <c r="SHV144" s="15"/>
      <c r="SIK144" s="17"/>
      <c r="SIL144" s="15"/>
      <c r="SJA144" s="17"/>
      <c r="SJB144" s="15"/>
      <c r="SJQ144" s="17"/>
      <c r="SJR144" s="15"/>
      <c r="SKG144" s="17"/>
      <c r="SKH144" s="15"/>
      <c r="SKW144" s="17"/>
      <c r="SKX144" s="15"/>
      <c r="SLM144" s="17"/>
      <c r="SLN144" s="15"/>
      <c r="SMC144" s="17"/>
      <c r="SMD144" s="15"/>
      <c r="SMS144" s="17"/>
      <c r="SMT144" s="15"/>
      <c r="SNI144" s="17"/>
      <c r="SNJ144" s="15"/>
      <c r="SNY144" s="17"/>
      <c r="SNZ144" s="15"/>
      <c r="SOO144" s="17"/>
      <c r="SOP144" s="15"/>
      <c r="SPE144" s="17"/>
      <c r="SPF144" s="15"/>
      <c r="SPU144" s="17"/>
      <c r="SPV144" s="15"/>
      <c r="SQK144" s="17"/>
      <c r="SQL144" s="15"/>
      <c r="SRA144" s="17"/>
      <c r="SRB144" s="15"/>
      <c r="SRQ144" s="17"/>
      <c r="SRR144" s="15"/>
      <c r="SSG144" s="17"/>
      <c r="SSH144" s="15"/>
      <c r="SSW144" s="17"/>
      <c r="SSX144" s="15"/>
      <c r="STM144" s="17"/>
      <c r="STN144" s="15"/>
      <c r="SUC144" s="17"/>
      <c r="SUD144" s="15"/>
      <c r="SUS144" s="17"/>
      <c r="SUT144" s="15"/>
      <c r="SVI144" s="17"/>
      <c r="SVJ144" s="15"/>
      <c r="SVY144" s="17"/>
      <c r="SVZ144" s="15"/>
      <c r="SWO144" s="17"/>
      <c r="SWP144" s="15"/>
      <c r="SXE144" s="17"/>
      <c r="SXF144" s="15"/>
      <c r="SXU144" s="17"/>
      <c r="SXV144" s="15"/>
      <c r="SYK144" s="17"/>
      <c r="SYL144" s="15"/>
      <c r="SZA144" s="17"/>
      <c r="SZB144" s="15"/>
      <c r="SZQ144" s="17"/>
      <c r="SZR144" s="15"/>
      <c r="TAG144" s="17"/>
      <c r="TAH144" s="15"/>
      <c r="TAW144" s="17"/>
      <c r="TAX144" s="15"/>
      <c r="TBM144" s="17"/>
      <c r="TBN144" s="15"/>
      <c r="TCC144" s="17"/>
      <c r="TCD144" s="15"/>
      <c r="TCS144" s="17"/>
      <c r="TCT144" s="15"/>
      <c r="TDI144" s="17"/>
      <c r="TDJ144" s="15"/>
      <c r="TDY144" s="17"/>
      <c r="TDZ144" s="15"/>
      <c r="TEO144" s="17"/>
      <c r="TEP144" s="15"/>
      <c r="TFE144" s="17"/>
      <c r="TFF144" s="15"/>
      <c r="TFU144" s="17"/>
      <c r="TFV144" s="15"/>
      <c r="TGK144" s="17"/>
      <c r="TGL144" s="15"/>
      <c r="THA144" s="17"/>
      <c r="THB144" s="15"/>
      <c r="THQ144" s="17"/>
      <c r="THR144" s="15"/>
      <c r="TIG144" s="17"/>
      <c r="TIH144" s="15"/>
      <c r="TIW144" s="17"/>
      <c r="TIX144" s="15"/>
      <c r="TJM144" s="17"/>
      <c r="TJN144" s="15"/>
      <c r="TKC144" s="17"/>
      <c r="TKD144" s="15"/>
      <c r="TKS144" s="17"/>
      <c r="TKT144" s="15"/>
      <c r="TLI144" s="17"/>
      <c r="TLJ144" s="15"/>
      <c r="TLY144" s="17"/>
      <c r="TLZ144" s="15"/>
      <c r="TMO144" s="17"/>
      <c r="TMP144" s="15"/>
      <c r="TNE144" s="17"/>
      <c r="TNF144" s="15"/>
      <c r="TNU144" s="17"/>
      <c r="TNV144" s="15"/>
      <c r="TOK144" s="17"/>
      <c r="TOL144" s="15"/>
      <c r="TPA144" s="17"/>
      <c r="TPB144" s="15"/>
      <c r="TPQ144" s="17"/>
      <c r="TPR144" s="15"/>
      <c r="TQG144" s="17"/>
      <c r="TQH144" s="15"/>
      <c r="TQW144" s="17"/>
      <c r="TQX144" s="15"/>
      <c r="TRM144" s="17"/>
      <c r="TRN144" s="15"/>
      <c r="TSC144" s="17"/>
      <c r="TSD144" s="15"/>
      <c r="TSS144" s="17"/>
      <c r="TST144" s="15"/>
      <c r="TTI144" s="17"/>
      <c r="TTJ144" s="15"/>
      <c r="TTY144" s="17"/>
      <c r="TTZ144" s="15"/>
      <c r="TUO144" s="17"/>
      <c r="TUP144" s="15"/>
      <c r="TVE144" s="17"/>
      <c r="TVF144" s="15"/>
      <c r="TVU144" s="17"/>
      <c r="TVV144" s="15"/>
      <c r="TWK144" s="17"/>
      <c r="TWL144" s="15"/>
      <c r="TXA144" s="17"/>
      <c r="TXB144" s="15"/>
      <c r="TXQ144" s="17"/>
      <c r="TXR144" s="15"/>
      <c r="TYG144" s="17"/>
      <c r="TYH144" s="15"/>
      <c r="TYW144" s="17"/>
      <c r="TYX144" s="15"/>
      <c r="TZM144" s="17"/>
      <c r="TZN144" s="15"/>
      <c r="UAC144" s="17"/>
      <c r="UAD144" s="15"/>
      <c r="UAS144" s="17"/>
      <c r="UAT144" s="15"/>
      <c r="UBI144" s="17"/>
      <c r="UBJ144" s="15"/>
      <c r="UBY144" s="17"/>
      <c r="UBZ144" s="15"/>
      <c r="UCO144" s="17"/>
      <c r="UCP144" s="15"/>
      <c r="UDE144" s="17"/>
      <c r="UDF144" s="15"/>
      <c r="UDU144" s="17"/>
      <c r="UDV144" s="15"/>
      <c r="UEK144" s="17"/>
      <c r="UEL144" s="15"/>
      <c r="UFA144" s="17"/>
      <c r="UFB144" s="15"/>
      <c r="UFQ144" s="17"/>
      <c r="UFR144" s="15"/>
      <c r="UGG144" s="17"/>
      <c r="UGH144" s="15"/>
      <c r="UGW144" s="17"/>
      <c r="UGX144" s="15"/>
      <c r="UHM144" s="17"/>
      <c r="UHN144" s="15"/>
      <c r="UIC144" s="17"/>
      <c r="UID144" s="15"/>
      <c r="UIS144" s="17"/>
      <c r="UIT144" s="15"/>
      <c r="UJI144" s="17"/>
      <c r="UJJ144" s="15"/>
      <c r="UJY144" s="17"/>
      <c r="UJZ144" s="15"/>
      <c r="UKO144" s="17"/>
      <c r="UKP144" s="15"/>
      <c r="ULE144" s="17"/>
      <c r="ULF144" s="15"/>
      <c r="ULU144" s="17"/>
      <c r="ULV144" s="15"/>
      <c r="UMK144" s="17"/>
      <c r="UML144" s="15"/>
      <c r="UNA144" s="17"/>
      <c r="UNB144" s="15"/>
      <c r="UNQ144" s="17"/>
      <c r="UNR144" s="15"/>
      <c r="UOG144" s="17"/>
      <c r="UOH144" s="15"/>
      <c r="UOW144" s="17"/>
      <c r="UOX144" s="15"/>
      <c r="UPM144" s="17"/>
      <c r="UPN144" s="15"/>
      <c r="UQC144" s="17"/>
      <c r="UQD144" s="15"/>
      <c r="UQS144" s="17"/>
      <c r="UQT144" s="15"/>
      <c r="URI144" s="17"/>
      <c r="URJ144" s="15"/>
      <c r="URY144" s="17"/>
      <c r="URZ144" s="15"/>
      <c r="USO144" s="17"/>
      <c r="USP144" s="15"/>
      <c r="UTE144" s="17"/>
      <c r="UTF144" s="15"/>
      <c r="UTU144" s="17"/>
      <c r="UTV144" s="15"/>
      <c r="UUK144" s="17"/>
      <c r="UUL144" s="15"/>
      <c r="UVA144" s="17"/>
      <c r="UVB144" s="15"/>
      <c r="UVQ144" s="17"/>
      <c r="UVR144" s="15"/>
      <c r="UWG144" s="17"/>
      <c r="UWH144" s="15"/>
      <c r="UWW144" s="17"/>
      <c r="UWX144" s="15"/>
      <c r="UXM144" s="17"/>
      <c r="UXN144" s="15"/>
      <c r="UYC144" s="17"/>
      <c r="UYD144" s="15"/>
      <c r="UYS144" s="17"/>
      <c r="UYT144" s="15"/>
      <c r="UZI144" s="17"/>
      <c r="UZJ144" s="15"/>
      <c r="UZY144" s="17"/>
      <c r="UZZ144" s="15"/>
      <c r="VAO144" s="17"/>
      <c r="VAP144" s="15"/>
      <c r="VBE144" s="17"/>
      <c r="VBF144" s="15"/>
      <c r="VBU144" s="17"/>
      <c r="VBV144" s="15"/>
      <c r="VCK144" s="17"/>
      <c r="VCL144" s="15"/>
      <c r="VDA144" s="17"/>
      <c r="VDB144" s="15"/>
      <c r="VDQ144" s="17"/>
      <c r="VDR144" s="15"/>
      <c r="VEG144" s="17"/>
      <c r="VEH144" s="15"/>
      <c r="VEW144" s="17"/>
      <c r="VEX144" s="15"/>
      <c r="VFM144" s="17"/>
      <c r="VFN144" s="15"/>
      <c r="VGC144" s="17"/>
      <c r="VGD144" s="15"/>
      <c r="VGS144" s="17"/>
      <c r="VGT144" s="15"/>
      <c r="VHI144" s="17"/>
      <c r="VHJ144" s="15"/>
      <c r="VHY144" s="17"/>
      <c r="VHZ144" s="15"/>
      <c r="VIO144" s="17"/>
      <c r="VIP144" s="15"/>
      <c r="VJE144" s="17"/>
      <c r="VJF144" s="15"/>
      <c r="VJU144" s="17"/>
      <c r="VJV144" s="15"/>
      <c r="VKK144" s="17"/>
      <c r="VKL144" s="15"/>
      <c r="VLA144" s="17"/>
      <c r="VLB144" s="15"/>
      <c r="VLQ144" s="17"/>
      <c r="VLR144" s="15"/>
      <c r="VMG144" s="17"/>
      <c r="VMH144" s="15"/>
      <c r="VMW144" s="17"/>
      <c r="VMX144" s="15"/>
      <c r="VNM144" s="17"/>
      <c r="VNN144" s="15"/>
      <c r="VOC144" s="17"/>
      <c r="VOD144" s="15"/>
      <c r="VOS144" s="17"/>
      <c r="VOT144" s="15"/>
      <c r="VPI144" s="17"/>
      <c r="VPJ144" s="15"/>
      <c r="VPY144" s="17"/>
      <c r="VPZ144" s="15"/>
      <c r="VQO144" s="17"/>
      <c r="VQP144" s="15"/>
      <c r="VRE144" s="17"/>
      <c r="VRF144" s="15"/>
      <c r="VRU144" s="17"/>
      <c r="VRV144" s="15"/>
      <c r="VSK144" s="17"/>
      <c r="VSL144" s="15"/>
      <c r="VTA144" s="17"/>
      <c r="VTB144" s="15"/>
      <c r="VTQ144" s="17"/>
      <c r="VTR144" s="15"/>
      <c r="VUG144" s="17"/>
      <c r="VUH144" s="15"/>
      <c r="VUW144" s="17"/>
      <c r="VUX144" s="15"/>
      <c r="VVM144" s="17"/>
      <c r="VVN144" s="15"/>
      <c r="VWC144" s="17"/>
      <c r="VWD144" s="15"/>
      <c r="VWS144" s="17"/>
      <c r="VWT144" s="15"/>
      <c r="VXI144" s="17"/>
      <c r="VXJ144" s="15"/>
      <c r="VXY144" s="17"/>
      <c r="VXZ144" s="15"/>
      <c r="VYO144" s="17"/>
      <c r="VYP144" s="15"/>
      <c r="VZE144" s="17"/>
      <c r="VZF144" s="15"/>
      <c r="VZU144" s="17"/>
      <c r="VZV144" s="15"/>
      <c r="WAK144" s="17"/>
      <c r="WAL144" s="15"/>
      <c r="WBA144" s="17"/>
      <c r="WBB144" s="15"/>
      <c r="WBQ144" s="17"/>
      <c r="WBR144" s="15"/>
      <c r="WCG144" s="17"/>
      <c r="WCH144" s="15"/>
      <c r="WCW144" s="17"/>
      <c r="WCX144" s="15"/>
      <c r="WDM144" s="17"/>
      <c r="WDN144" s="15"/>
      <c r="WEC144" s="17"/>
      <c r="WED144" s="15"/>
      <c r="WES144" s="17"/>
      <c r="WET144" s="15"/>
      <c r="WFI144" s="17"/>
      <c r="WFJ144" s="15"/>
      <c r="WFY144" s="17"/>
      <c r="WFZ144" s="15"/>
      <c r="WGO144" s="17"/>
      <c r="WGP144" s="15"/>
      <c r="WHE144" s="17"/>
      <c r="WHF144" s="15"/>
      <c r="WHU144" s="17"/>
      <c r="WHV144" s="15"/>
      <c r="WIK144" s="17"/>
      <c r="WIL144" s="15"/>
      <c r="WJA144" s="17"/>
      <c r="WJB144" s="15"/>
      <c r="WJQ144" s="17"/>
      <c r="WJR144" s="15"/>
      <c r="WKG144" s="17"/>
      <c r="WKH144" s="15"/>
      <c r="WKW144" s="17"/>
      <c r="WKX144" s="15"/>
      <c r="WLM144" s="17"/>
      <c r="WLN144" s="15"/>
      <c r="WMC144" s="17"/>
      <c r="WMD144" s="15"/>
      <c r="WMS144" s="17"/>
      <c r="WMT144" s="15"/>
      <c r="WNI144" s="17"/>
      <c r="WNJ144" s="15"/>
      <c r="WNY144" s="17"/>
      <c r="WNZ144" s="15"/>
      <c r="WOO144" s="17"/>
      <c r="WOP144" s="15"/>
      <c r="WPE144" s="17"/>
      <c r="WPF144" s="15"/>
      <c r="WPU144" s="17"/>
      <c r="WPV144" s="15"/>
      <c r="WQK144" s="17"/>
      <c r="WQL144" s="15"/>
      <c r="WRA144" s="17"/>
      <c r="WRB144" s="15"/>
      <c r="WRQ144" s="17"/>
      <c r="WRR144" s="15"/>
      <c r="WSG144" s="17"/>
      <c r="WSH144" s="15"/>
      <c r="WSW144" s="17"/>
      <c r="WSX144" s="15"/>
      <c r="WTM144" s="17"/>
      <c r="WTN144" s="15"/>
      <c r="WUC144" s="17"/>
      <c r="WUD144" s="15"/>
      <c r="WUS144" s="17"/>
      <c r="WUT144" s="15"/>
      <c r="WVI144" s="17"/>
      <c r="WVJ144" s="15"/>
      <c r="WVY144" s="17"/>
      <c r="WVZ144" s="15"/>
      <c r="WWO144" s="17"/>
      <c r="WWP144" s="15"/>
      <c r="WXE144" s="17"/>
      <c r="WXF144" s="15"/>
      <c r="WXU144" s="17"/>
      <c r="WXV144" s="15"/>
      <c r="WYK144" s="17"/>
      <c r="WYL144" s="15"/>
      <c r="WZA144" s="17"/>
      <c r="WZB144" s="15"/>
      <c r="WZQ144" s="17"/>
      <c r="WZR144" s="15"/>
      <c r="XAG144" s="17"/>
      <c r="XAH144" s="15"/>
      <c r="XAW144" s="17"/>
      <c r="XAX144" s="15"/>
      <c r="XBM144" s="17"/>
      <c r="XBN144" s="15"/>
      <c r="XCC144" s="17"/>
      <c r="XCD144" s="15"/>
      <c r="XCS144" s="17"/>
      <c r="XCT144" s="15"/>
      <c r="XDI144" s="17"/>
      <c r="XDJ144" s="15"/>
      <c r="XDY144" s="17"/>
      <c r="XDZ144" s="15"/>
      <c r="XEO144" s="17"/>
      <c r="XEP144" s="15"/>
    </row>
    <row r="145" spans="1:16384" s="16" customFormat="1" ht="17.100000000000001" customHeight="1">
      <c r="A145" s="22">
        <v>45924</v>
      </c>
      <c r="B145" s="15" t="s">
        <v>531</v>
      </c>
      <c r="C145" s="16" t="s">
        <v>2761</v>
      </c>
      <c r="D145" s="16" t="s">
        <v>2747</v>
      </c>
      <c r="E145" s="16" t="s">
        <v>2762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16">
        <v>27</v>
      </c>
      <c r="O145" s="16" t="s">
        <v>2336</v>
      </c>
      <c r="P145" s="16" t="s">
        <v>2760</v>
      </c>
      <c r="Q145" s="17" t="s">
        <v>2770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17"/>
      <c r="AH145" s="15"/>
      <c r="AW145" s="17"/>
      <c r="AX145" s="15"/>
      <c r="BM145" s="17"/>
      <c r="BN145" s="15"/>
      <c r="CC145" s="17"/>
      <c r="CD145" s="15"/>
      <c r="CS145" s="17"/>
      <c r="CT145" s="15"/>
      <c r="DI145" s="17"/>
      <c r="DJ145" s="15"/>
      <c r="DY145" s="17"/>
      <c r="DZ145" s="15"/>
      <c r="EO145" s="17"/>
      <c r="EP145" s="15"/>
      <c r="FE145" s="17"/>
      <c r="FF145" s="15"/>
      <c r="FU145" s="17"/>
      <c r="FV145" s="15"/>
      <c r="GK145" s="17"/>
      <c r="GL145" s="15"/>
      <c r="HA145" s="17"/>
      <c r="HB145" s="15"/>
      <c r="HQ145" s="17"/>
      <c r="HR145" s="15"/>
      <c r="IG145" s="17"/>
      <c r="IH145" s="15"/>
      <c r="IW145" s="17"/>
      <c r="IX145" s="15"/>
      <c r="JM145" s="17"/>
      <c r="JN145" s="15"/>
      <c r="KC145" s="17"/>
      <c r="KD145" s="15"/>
      <c r="KS145" s="17"/>
      <c r="KT145" s="15"/>
      <c r="LI145" s="17"/>
      <c r="LJ145" s="15"/>
      <c r="LY145" s="17"/>
      <c r="LZ145" s="15"/>
      <c r="MO145" s="17"/>
      <c r="MP145" s="15"/>
      <c r="NE145" s="17"/>
      <c r="NF145" s="15"/>
      <c r="NU145" s="17"/>
      <c r="NV145" s="15"/>
      <c r="OK145" s="17"/>
      <c r="OL145" s="15"/>
      <c r="PA145" s="17"/>
      <c r="PB145" s="15"/>
      <c r="PQ145" s="17"/>
      <c r="PR145" s="15"/>
      <c r="QG145" s="17"/>
      <c r="QH145" s="15"/>
      <c r="QW145" s="17"/>
      <c r="QX145" s="15"/>
      <c r="RM145" s="17"/>
      <c r="RN145" s="15"/>
      <c r="SC145" s="17"/>
      <c r="SD145" s="15"/>
      <c r="SS145" s="17"/>
      <c r="ST145" s="15"/>
      <c r="TI145" s="17"/>
      <c r="TJ145" s="15"/>
      <c r="TY145" s="17"/>
      <c r="TZ145" s="15"/>
      <c r="UO145" s="17"/>
      <c r="UP145" s="15"/>
      <c r="VE145" s="17"/>
      <c r="VF145" s="15"/>
      <c r="VU145" s="17"/>
      <c r="VV145" s="15"/>
      <c r="WK145" s="17"/>
      <c r="WL145" s="15"/>
      <c r="XA145" s="17"/>
      <c r="XB145" s="15"/>
      <c r="XQ145" s="17"/>
      <c r="XR145" s="15"/>
      <c r="YG145" s="17"/>
      <c r="YH145" s="15"/>
      <c r="YW145" s="17"/>
      <c r="YX145" s="15"/>
      <c r="ZM145" s="17"/>
      <c r="ZN145" s="15"/>
      <c r="AAC145" s="17"/>
      <c r="AAD145" s="15"/>
      <c r="AAS145" s="17"/>
      <c r="AAT145" s="15"/>
      <c r="ABI145" s="17"/>
      <c r="ABJ145" s="15"/>
      <c r="ABY145" s="17"/>
      <c r="ABZ145" s="15"/>
      <c r="ACO145" s="17"/>
      <c r="ACP145" s="15"/>
      <c r="ADE145" s="17"/>
      <c r="ADF145" s="15"/>
      <c r="ADU145" s="17"/>
      <c r="ADV145" s="15"/>
      <c r="AEK145" s="17"/>
      <c r="AEL145" s="15"/>
      <c r="AFA145" s="17"/>
      <c r="AFB145" s="15"/>
      <c r="AFQ145" s="17"/>
      <c r="AFR145" s="15"/>
      <c r="AGG145" s="17"/>
      <c r="AGH145" s="15"/>
      <c r="AGW145" s="17"/>
      <c r="AGX145" s="15"/>
      <c r="AHM145" s="17"/>
      <c r="AHN145" s="15"/>
      <c r="AIC145" s="17"/>
      <c r="AID145" s="15"/>
      <c r="AIS145" s="17"/>
      <c r="AIT145" s="15"/>
      <c r="AJI145" s="17"/>
      <c r="AJJ145" s="15"/>
      <c r="AJY145" s="17"/>
      <c r="AJZ145" s="15"/>
      <c r="AKO145" s="17"/>
      <c r="AKP145" s="15"/>
      <c r="ALE145" s="17"/>
      <c r="ALF145" s="15"/>
      <c r="ALU145" s="17"/>
      <c r="ALV145" s="15"/>
      <c r="AMK145" s="17"/>
      <c r="AML145" s="15"/>
      <c r="ANA145" s="17"/>
      <c r="ANB145" s="15"/>
      <c r="ANQ145" s="17"/>
      <c r="ANR145" s="15"/>
      <c r="AOG145" s="17"/>
      <c r="AOH145" s="15"/>
      <c r="AOW145" s="17"/>
      <c r="AOX145" s="15"/>
      <c r="APM145" s="17"/>
      <c r="APN145" s="15"/>
      <c r="AQC145" s="17"/>
      <c r="AQD145" s="15"/>
      <c r="AQS145" s="17"/>
      <c r="AQT145" s="15"/>
      <c r="ARI145" s="17"/>
      <c r="ARJ145" s="15"/>
      <c r="ARY145" s="17"/>
      <c r="ARZ145" s="15"/>
      <c r="ASO145" s="17"/>
      <c r="ASP145" s="15"/>
      <c r="ATE145" s="17"/>
      <c r="ATF145" s="15"/>
      <c r="ATU145" s="17"/>
      <c r="ATV145" s="15"/>
      <c r="AUK145" s="17"/>
      <c r="AUL145" s="15"/>
      <c r="AVA145" s="17"/>
      <c r="AVB145" s="15"/>
      <c r="AVQ145" s="17"/>
      <c r="AVR145" s="15"/>
      <c r="AWG145" s="17"/>
      <c r="AWH145" s="15"/>
      <c r="AWW145" s="17"/>
      <c r="AWX145" s="15"/>
      <c r="AXM145" s="17"/>
      <c r="AXN145" s="15"/>
      <c r="AYC145" s="17"/>
      <c r="AYD145" s="15"/>
      <c r="AYS145" s="17"/>
      <c r="AYT145" s="15"/>
      <c r="AZI145" s="17"/>
      <c r="AZJ145" s="15"/>
      <c r="AZY145" s="17"/>
      <c r="AZZ145" s="15"/>
      <c r="BAO145" s="17"/>
      <c r="BAP145" s="15"/>
      <c r="BBE145" s="17"/>
      <c r="BBF145" s="15"/>
      <c r="BBU145" s="17"/>
      <c r="BBV145" s="15"/>
      <c r="BCK145" s="17"/>
      <c r="BCL145" s="15"/>
      <c r="BDA145" s="17"/>
      <c r="BDB145" s="15"/>
      <c r="BDQ145" s="17"/>
      <c r="BDR145" s="15"/>
      <c r="BEG145" s="17"/>
      <c r="BEH145" s="15"/>
      <c r="BEW145" s="17"/>
      <c r="BEX145" s="15"/>
      <c r="BFM145" s="17"/>
      <c r="BFN145" s="15"/>
      <c r="BGC145" s="17"/>
      <c r="BGD145" s="15"/>
      <c r="BGS145" s="17"/>
      <c r="BGT145" s="15"/>
      <c r="BHI145" s="17"/>
      <c r="BHJ145" s="15"/>
      <c r="BHY145" s="17"/>
      <c r="BHZ145" s="15"/>
      <c r="BIO145" s="17"/>
      <c r="BIP145" s="15"/>
      <c r="BJE145" s="17"/>
      <c r="BJF145" s="15"/>
      <c r="BJU145" s="17"/>
      <c r="BJV145" s="15"/>
      <c r="BKK145" s="17"/>
      <c r="BKL145" s="15"/>
      <c r="BLA145" s="17"/>
      <c r="BLB145" s="15"/>
      <c r="BLQ145" s="17"/>
      <c r="BLR145" s="15"/>
      <c r="BMG145" s="17"/>
      <c r="BMH145" s="15"/>
      <c r="BMW145" s="17"/>
      <c r="BMX145" s="15"/>
      <c r="BNM145" s="17"/>
      <c r="BNN145" s="15"/>
      <c r="BOC145" s="17"/>
      <c r="BOD145" s="15"/>
      <c r="BOS145" s="17"/>
      <c r="BOT145" s="15"/>
      <c r="BPI145" s="17"/>
      <c r="BPJ145" s="15"/>
      <c r="BPY145" s="17"/>
      <c r="BPZ145" s="15"/>
      <c r="BQO145" s="17"/>
      <c r="BQP145" s="15"/>
      <c r="BRE145" s="17"/>
      <c r="BRF145" s="15"/>
      <c r="BRU145" s="17"/>
      <c r="BRV145" s="15"/>
      <c r="BSK145" s="17"/>
      <c r="BSL145" s="15"/>
      <c r="BTA145" s="17"/>
      <c r="BTB145" s="15"/>
      <c r="BTQ145" s="17"/>
      <c r="BTR145" s="15"/>
      <c r="BUG145" s="17"/>
      <c r="BUH145" s="15"/>
      <c r="BUW145" s="17"/>
      <c r="BUX145" s="15"/>
      <c r="BVM145" s="17"/>
      <c r="BVN145" s="15"/>
      <c r="BWC145" s="17"/>
      <c r="BWD145" s="15"/>
      <c r="BWS145" s="17"/>
      <c r="BWT145" s="15"/>
      <c r="BXI145" s="17"/>
      <c r="BXJ145" s="15"/>
      <c r="BXY145" s="17"/>
      <c r="BXZ145" s="15"/>
      <c r="BYO145" s="17"/>
      <c r="BYP145" s="15"/>
      <c r="BZE145" s="17"/>
      <c r="BZF145" s="15"/>
      <c r="BZU145" s="17"/>
      <c r="BZV145" s="15"/>
      <c r="CAK145" s="17"/>
      <c r="CAL145" s="15"/>
      <c r="CBA145" s="17"/>
      <c r="CBB145" s="15"/>
      <c r="CBQ145" s="17"/>
      <c r="CBR145" s="15"/>
      <c r="CCG145" s="17"/>
      <c r="CCH145" s="15"/>
      <c r="CCW145" s="17"/>
      <c r="CCX145" s="15"/>
      <c r="CDM145" s="17"/>
      <c r="CDN145" s="15"/>
      <c r="CEC145" s="17"/>
      <c r="CED145" s="15"/>
      <c r="CES145" s="17"/>
      <c r="CET145" s="15"/>
      <c r="CFI145" s="17"/>
      <c r="CFJ145" s="15"/>
      <c r="CFY145" s="17"/>
      <c r="CFZ145" s="15"/>
      <c r="CGO145" s="17"/>
      <c r="CGP145" s="15"/>
      <c r="CHE145" s="17"/>
      <c r="CHF145" s="15"/>
      <c r="CHU145" s="17"/>
      <c r="CHV145" s="15"/>
      <c r="CIK145" s="17"/>
      <c r="CIL145" s="15"/>
      <c r="CJA145" s="17"/>
      <c r="CJB145" s="15"/>
      <c r="CJQ145" s="17"/>
      <c r="CJR145" s="15"/>
      <c r="CKG145" s="17"/>
      <c r="CKH145" s="15"/>
      <c r="CKW145" s="17"/>
      <c r="CKX145" s="15"/>
      <c r="CLM145" s="17"/>
      <c r="CLN145" s="15"/>
      <c r="CMC145" s="17"/>
      <c r="CMD145" s="15"/>
      <c r="CMS145" s="17"/>
      <c r="CMT145" s="15"/>
      <c r="CNI145" s="17"/>
      <c r="CNJ145" s="15"/>
      <c r="CNY145" s="17"/>
      <c r="CNZ145" s="15"/>
      <c r="COO145" s="17"/>
      <c r="COP145" s="15"/>
      <c r="CPE145" s="17"/>
      <c r="CPF145" s="15"/>
      <c r="CPU145" s="17"/>
      <c r="CPV145" s="15"/>
      <c r="CQK145" s="17"/>
      <c r="CQL145" s="15"/>
      <c r="CRA145" s="17"/>
      <c r="CRB145" s="15"/>
      <c r="CRQ145" s="17"/>
      <c r="CRR145" s="15"/>
      <c r="CSG145" s="17"/>
      <c r="CSH145" s="15"/>
      <c r="CSW145" s="17"/>
      <c r="CSX145" s="15"/>
      <c r="CTM145" s="17"/>
      <c r="CTN145" s="15"/>
      <c r="CUC145" s="17"/>
      <c r="CUD145" s="15"/>
      <c r="CUS145" s="17"/>
      <c r="CUT145" s="15"/>
      <c r="CVI145" s="17"/>
      <c r="CVJ145" s="15"/>
      <c r="CVY145" s="17"/>
      <c r="CVZ145" s="15"/>
      <c r="CWO145" s="17"/>
      <c r="CWP145" s="15"/>
      <c r="CXE145" s="17"/>
      <c r="CXF145" s="15"/>
      <c r="CXU145" s="17"/>
      <c r="CXV145" s="15"/>
      <c r="CYK145" s="17"/>
      <c r="CYL145" s="15"/>
      <c r="CZA145" s="17"/>
      <c r="CZB145" s="15"/>
      <c r="CZQ145" s="17"/>
      <c r="CZR145" s="15"/>
      <c r="DAG145" s="17"/>
      <c r="DAH145" s="15"/>
      <c r="DAW145" s="17"/>
      <c r="DAX145" s="15"/>
      <c r="DBM145" s="17"/>
      <c r="DBN145" s="15"/>
      <c r="DCC145" s="17"/>
      <c r="DCD145" s="15"/>
      <c r="DCS145" s="17"/>
      <c r="DCT145" s="15"/>
      <c r="DDI145" s="17"/>
      <c r="DDJ145" s="15"/>
      <c r="DDY145" s="17"/>
      <c r="DDZ145" s="15"/>
      <c r="DEO145" s="17"/>
      <c r="DEP145" s="15"/>
      <c r="DFE145" s="17"/>
      <c r="DFF145" s="15"/>
      <c r="DFU145" s="17"/>
      <c r="DFV145" s="15"/>
      <c r="DGK145" s="17"/>
      <c r="DGL145" s="15"/>
      <c r="DHA145" s="17"/>
      <c r="DHB145" s="15"/>
      <c r="DHQ145" s="17"/>
      <c r="DHR145" s="15"/>
      <c r="DIG145" s="17"/>
      <c r="DIH145" s="15"/>
      <c r="DIW145" s="17"/>
      <c r="DIX145" s="15"/>
      <c r="DJM145" s="17"/>
      <c r="DJN145" s="15"/>
      <c r="DKC145" s="17"/>
      <c r="DKD145" s="15"/>
      <c r="DKS145" s="17"/>
      <c r="DKT145" s="15"/>
      <c r="DLI145" s="17"/>
      <c r="DLJ145" s="15"/>
      <c r="DLY145" s="17"/>
      <c r="DLZ145" s="15"/>
      <c r="DMO145" s="17"/>
      <c r="DMP145" s="15"/>
      <c r="DNE145" s="17"/>
      <c r="DNF145" s="15"/>
      <c r="DNU145" s="17"/>
      <c r="DNV145" s="15"/>
      <c r="DOK145" s="17"/>
      <c r="DOL145" s="15"/>
      <c r="DPA145" s="17"/>
      <c r="DPB145" s="15"/>
      <c r="DPQ145" s="17"/>
      <c r="DPR145" s="15"/>
      <c r="DQG145" s="17"/>
      <c r="DQH145" s="15"/>
      <c r="DQW145" s="17"/>
      <c r="DQX145" s="15"/>
      <c r="DRM145" s="17"/>
      <c r="DRN145" s="15"/>
      <c r="DSC145" s="17"/>
      <c r="DSD145" s="15"/>
      <c r="DSS145" s="17"/>
      <c r="DST145" s="15"/>
      <c r="DTI145" s="17"/>
      <c r="DTJ145" s="15"/>
      <c r="DTY145" s="17"/>
      <c r="DTZ145" s="15"/>
      <c r="DUO145" s="17"/>
      <c r="DUP145" s="15"/>
      <c r="DVE145" s="17"/>
      <c r="DVF145" s="15"/>
      <c r="DVU145" s="17"/>
      <c r="DVV145" s="15"/>
      <c r="DWK145" s="17"/>
      <c r="DWL145" s="15"/>
      <c r="DXA145" s="17"/>
      <c r="DXB145" s="15"/>
      <c r="DXQ145" s="17"/>
      <c r="DXR145" s="15"/>
      <c r="DYG145" s="17"/>
      <c r="DYH145" s="15"/>
      <c r="DYW145" s="17"/>
      <c r="DYX145" s="15"/>
      <c r="DZM145" s="17"/>
      <c r="DZN145" s="15"/>
      <c r="EAC145" s="17"/>
      <c r="EAD145" s="15"/>
      <c r="EAS145" s="17"/>
      <c r="EAT145" s="15"/>
      <c r="EBI145" s="17"/>
      <c r="EBJ145" s="15"/>
      <c r="EBY145" s="17"/>
      <c r="EBZ145" s="15"/>
      <c r="ECO145" s="17"/>
      <c r="ECP145" s="15"/>
      <c r="EDE145" s="17"/>
      <c r="EDF145" s="15"/>
      <c r="EDU145" s="17"/>
      <c r="EDV145" s="15"/>
      <c r="EEK145" s="17"/>
      <c r="EEL145" s="15"/>
      <c r="EFA145" s="17"/>
      <c r="EFB145" s="15"/>
      <c r="EFQ145" s="17"/>
      <c r="EFR145" s="15"/>
      <c r="EGG145" s="17"/>
      <c r="EGH145" s="15"/>
      <c r="EGW145" s="17"/>
      <c r="EGX145" s="15"/>
      <c r="EHM145" s="17"/>
      <c r="EHN145" s="15"/>
      <c r="EIC145" s="17"/>
      <c r="EID145" s="15"/>
      <c r="EIS145" s="17"/>
      <c r="EIT145" s="15"/>
      <c r="EJI145" s="17"/>
      <c r="EJJ145" s="15"/>
      <c r="EJY145" s="17"/>
      <c r="EJZ145" s="15"/>
      <c r="EKO145" s="17"/>
      <c r="EKP145" s="15"/>
      <c r="ELE145" s="17"/>
      <c r="ELF145" s="15"/>
      <c r="ELU145" s="17"/>
      <c r="ELV145" s="15"/>
      <c r="EMK145" s="17"/>
      <c r="EML145" s="15"/>
      <c r="ENA145" s="17"/>
      <c r="ENB145" s="15"/>
      <c r="ENQ145" s="17"/>
      <c r="ENR145" s="15"/>
      <c r="EOG145" s="17"/>
      <c r="EOH145" s="15"/>
      <c r="EOW145" s="17"/>
      <c r="EOX145" s="15"/>
      <c r="EPM145" s="17"/>
      <c r="EPN145" s="15"/>
      <c r="EQC145" s="17"/>
      <c r="EQD145" s="15"/>
      <c r="EQS145" s="17"/>
      <c r="EQT145" s="15"/>
      <c r="ERI145" s="17"/>
      <c r="ERJ145" s="15"/>
      <c r="ERY145" s="17"/>
      <c r="ERZ145" s="15"/>
      <c r="ESO145" s="17"/>
      <c r="ESP145" s="15"/>
      <c r="ETE145" s="17"/>
      <c r="ETF145" s="15"/>
      <c r="ETU145" s="17"/>
      <c r="ETV145" s="15"/>
      <c r="EUK145" s="17"/>
      <c r="EUL145" s="15"/>
      <c r="EVA145" s="17"/>
      <c r="EVB145" s="15"/>
      <c r="EVQ145" s="17"/>
      <c r="EVR145" s="15"/>
      <c r="EWG145" s="17"/>
      <c r="EWH145" s="15"/>
      <c r="EWW145" s="17"/>
      <c r="EWX145" s="15"/>
      <c r="EXM145" s="17"/>
      <c r="EXN145" s="15"/>
      <c r="EYC145" s="17"/>
      <c r="EYD145" s="15"/>
      <c r="EYS145" s="17"/>
      <c r="EYT145" s="15"/>
      <c r="EZI145" s="17"/>
      <c r="EZJ145" s="15"/>
      <c r="EZY145" s="17"/>
      <c r="EZZ145" s="15"/>
      <c r="FAO145" s="17"/>
      <c r="FAP145" s="15"/>
      <c r="FBE145" s="17"/>
      <c r="FBF145" s="15"/>
      <c r="FBU145" s="17"/>
      <c r="FBV145" s="15"/>
      <c r="FCK145" s="17"/>
      <c r="FCL145" s="15"/>
      <c r="FDA145" s="17"/>
      <c r="FDB145" s="15"/>
      <c r="FDQ145" s="17"/>
      <c r="FDR145" s="15"/>
      <c r="FEG145" s="17"/>
      <c r="FEH145" s="15"/>
      <c r="FEW145" s="17"/>
      <c r="FEX145" s="15"/>
      <c r="FFM145" s="17"/>
      <c r="FFN145" s="15"/>
      <c r="FGC145" s="17"/>
      <c r="FGD145" s="15"/>
      <c r="FGS145" s="17"/>
      <c r="FGT145" s="15"/>
      <c r="FHI145" s="17"/>
      <c r="FHJ145" s="15"/>
      <c r="FHY145" s="17"/>
      <c r="FHZ145" s="15"/>
      <c r="FIO145" s="17"/>
      <c r="FIP145" s="15"/>
      <c r="FJE145" s="17"/>
      <c r="FJF145" s="15"/>
      <c r="FJU145" s="17"/>
      <c r="FJV145" s="15"/>
      <c r="FKK145" s="17"/>
      <c r="FKL145" s="15"/>
      <c r="FLA145" s="17"/>
      <c r="FLB145" s="15"/>
      <c r="FLQ145" s="17"/>
      <c r="FLR145" s="15"/>
      <c r="FMG145" s="17"/>
      <c r="FMH145" s="15"/>
      <c r="FMW145" s="17"/>
      <c r="FMX145" s="15"/>
      <c r="FNM145" s="17"/>
      <c r="FNN145" s="15"/>
      <c r="FOC145" s="17"/>
      <c r="FOD145" s="15"/>
      <c r="FOS145" s="17"/>
      <c r="FOT145" s="15"/>
      <c r="FPI145" s="17"/>
      <c r="FPJ145" s="15"/>
      <c r="FPY145" s="17"/>
      <c r="FPZ145" s="15"/>
      <c r="FQO145" s="17"/>
      <c r="FQP145" s="15"/>
      <c r="FRE145" s="17"/>
      <c r="FRF145" s="15"/>
      <c r="FRU145" s="17"/>
      <c r="FRV145" s="15"/>
      <c r="FSK145" s="17"/>
      <c r="FSL145" s="15"/>
      <c r="FTA145" s="17"/>
      <c r="FTB145" s="15"/>
      <c r="FTQ145" s="17"/>
      <c r="FTR145" s="15"/>
      <c r="FUG145" s="17"/>
      <c r="FUH145" s="15"/>
      <c r="FUW145" s="17"/>
      <c r="FUX145" s="15"/>
      <c r="FVM145" s="17"/>
      <c r="FVN145" s="15"/>
      <c r="FWC145" s="17"/>
      <c r="FWD145" s="15"/>
      <c r="FWS145" s="17"/>
      <c r="FWT145" s="15"/>
      <c r="FXI145" s="17"/>
      <c r="FXJ145" s="15"/>
      <c r="FXY145" s="17"/>
      <c r="FXZ145" s="15"/>
      <c r="FYO145" s="17"/>
      <c r="FYP145" s="15"/>
      <c r="FZE145" s="17"/>
      <c r="FZF145" s="15"/>
      <c r="FZU145" s="17"/>
      <c r="FZV145" s="15"/>
      <c r="GAK145" s="17"/>
      <c r="GAL145" s="15"/>
      <c r="GBA145" s="17"/>
      <c r="GBB145" s="15"/>
      <c r="GBQ145" s="17"/>
      <c r="GBR145" s="15"/>
      <c r="GCG145" s="17"/>
      <c r="GCH145" s="15"/>
      <c r="GCW145" s="17"/>
      <c r="GCX145" s="15"/>
      <c r="GDM145" s="17"/>
      <c r="GDN145" s="15"/>
      <c r="GEC145" s="17"/>
      <c r="GED145" s="15"/>
      <c r="GES145" s="17"/>
      <c r="GET145" s="15"/>
      <c r="GFI145" s="17"/>
      <c r="GFJ145" s="15"/>
      <c r="GFY145" s="17"/>
      <c r="GFZ145" s="15"/>
      <c r="GGO145" s="17"/>
      <c r="GGP145" s="15"/>
      <c r="GHE145" s="17"/>
      <c r="GHF145" s="15"/>
      <c r="GHU145" s="17"/>
      <c r="GHV145" s="15"/>
      <c r="GIK145" s="17"/>
      <c r="GIL145" s="15"/>
      <c r="GJA145" s="17"/>
      <c r="GJB145" s="15"/>
      <c r="GJQ145" s="17"/>
      <c r="GJR145" s="15"/>
      <c r="GKG145" s="17"/>
      <c r="GKH145" s="15"/>
      <c r="GKW145" s="17"/>
      <c r="GKX145" s="15"/>
      <c r="GLM145" s="17"/>
      <c r="GLN145" s="15"/>
      <c r="GMC145" s="17"/>
      <c r="GMD145" s="15"/>
      <c r="GMS145" s="17"/>
      <c r="GMT145" s="15"/>
      <c r="GNI145" s="17"/>
      <c r="GNJ145" s="15"/>
      <c r="GNY145" s="17"/>
      <c r="GNZ145" s="15"/>
      <c r="GOO145" s="17"/>
      <c r="GOP145" s="15"/>
      <c r="GPE145" s="17"/>
      <c r="GPF145" s="15"/>
      <c r="GPU145" s="17"/>
      <c r="GPV145" s="15"/>
      <c r="GQK145" s="17"/>
      <c r="GQL145" s="15"/>
      <c r="GRA145" s="17"/>
      <c r="GRB145" s="15"/>
      <c r="GRQ145" s="17"/>
      <c r="GRR145" s="15"/>
      <c r="GSG145" s="17"/>
      <c r="GSH145" s="15"/>
      <c r="GSW145" s="17"/>
      <c r="GSX145" s="15"/>
      <c r="GTM145" s="17"/>
      <c r="GTN145" s="15"/>
      <c r="GUC145" s="17"/>
      <c r="GUD145" s="15"/>
      <c r="GUS145" s="17"/>
      <c r="GUT145" s="15"/>
      <c r="GVI145" s="17"/>
      <c r="GVJ145" s="15"/>
      <c r="GVY145" s="17"/>
      <c r="GVZ145" s="15"/>
      <c r="GWO145" s="17"/>
      <c r="GWP145" s="15"/>
      <c r="GXE145" s="17"/>
      <c r="GXF145" s="15"/>
      <c r="GXU145" s="17"/>
      <c r="GXV145" s="15"/>
      <c r="GYK145" s="17"/>
      <c r="GYL145" s="15"/>
      <c r="GZA145" s="17"/>
      <c r="GZB145" s="15"/>
      <c r="GZQ145" s="17"/>
      <c r="GZR145" s="15"/>
      <c r="HAG145" s="17"/>
      <c r="HAH145" s="15"/>
      <c r="HAW145" s="17"/>
      <c r="HAX145" s="15"/>
      <c r="HBM145" s="17"/>
      <c r="HBN145" s="15"/>
      <c r="HCC145" s="17"/>
      <c r="HCD145" s="15"/>
      <c r="HCS145" s="17"/>
      <c r="HCT145" s="15"/>
      <c r="HDI145" s="17"/>
      <c r="HDJ145" s="15"/>
      <c r="HDY145" s="17"/>
      <c r="HDZ145" s="15"/>
      <c r="HEO145" s="17"/>
      <c r="HEP145" s="15"/>
      <c r="HFE145" s="17"/>
      <c r="HFF145" s="15"/>
      <c r="HFU145" s="17"/>
      <c r="HFV145" s="15"/>
      <c r="HGK145" s="17"/>
      <c r="HGL145" s="15"/>
      <c r="HHA145" s="17"/>
      <c r="HHB145" s="15"/>
      <c r="HHQ145" s="17"/>
      <c r="HHR145" s="15"/>
      <c r="HIG145" s="17"/>
      <c r="HIH145" s="15"/>
      <c r="HIW145" s="17"/>
      <c r="HIX145" s="15"/>
      <c r="HJM145" s="17"/>
      <c r="HJN145" s="15"/>
      <c r="HKC145" s="17"/>
      <c r="HKD145" s="15"/>
      <c r="HKS145" s="17"/>
      <c r="HKT145" s="15"/>
      <c r="HLI145" s="17"/>
      <c r="HLJ145" s="15"/>
      <c r="HLY145" s="17"/>
      <c r="HLZ145" s="15"/>
      <c r="HMO145" s="17"/>
      <c r="HMP145" s="15"/>
      <c r="HNE145" s="17"/>
      <c r="HNF145" s="15"/>
      <c r="HNU145" s="17"/>
      <c r="HNV145" s="15"/>
      <c r="HOK145" s="17"/>
      <c r="HOL145" s="15"/>
      <c r="HPA145" s="17"/>
      <c r="HPB145" s="15"/>
      <c r="HPQ145" s="17"/>
      <c r="HPR145" s="15"/>
      <c r="HQG145" s="17"/>
      <c r="HQH145" s="15"/>
      <c r="HQW145" s="17"/>
      <c r="HQX145" s="15"/>
      <c r="HRM145" s="17"/>
      <c r="HRN145" s="15"/>
      <c r="HSC145" s="17"/>
      <c r="HSD145" s="15"/>
      <c r="HSS145" s="17"/>
      <c r="HST145" s="15"/>
      <c r="HTI145" s="17"/>
      <c r="HTJ145" s="15"/>
      <c r="HTY145" s="17"/>
      <c r="HTZ145" s="15"/>
      <c r="HUO145" s="17"/>
      <c r="HUP145" s="15"/>
      <c r="HVE145" s="17"/>
      <c r="HVF145" s="15"/>
      <c r="HVU145" s="17"/>
      <c r="HVV145" s="15"/>
      <c r="HWK145" s="17"/>
      <c r="HWL145" s="15"/>
      <c r="HXA145" s="17"/>
      <c r="HXB145" s="15"/>
      <c r="HXQ145" s="17"/>
      <c r="HXR145" s="15"/>
      <c r="HYG145" s="17"/>
      <c r="HYH145" s="15"/>
      <c r="HYW145" s="17"/>
      <c r="HYX145" s="15"/>
      <c r="HZM145" s="17"/>
      <c r="HZN145" s="15"/>
      <c r="IAC145" s="17"/>
      <c r="IAD145" s="15"/>
      <c r="IAS145" s="17"/>
      <c r="IAT145" s="15"/>
      <c r="IBI145" s="17"/>
      <c r="IBJ145" s="15"/>
      <c r="IBY145" s="17"/>
      <c r="IBZ145" s="15"/>
      <c r="ICO145" s="17"/>
      <c r="ICP145" s="15"/>
      <c r="IDE145" s="17"/>
      <c r="IDF145" s="15"/>
      <c r="IDU145" s="17"/>
      <c r="IDV145" s="15"/>
      <c r="IEK145" s="17"/>
      <c r="IEL145" s="15"/>
      <c r="IFA145" s="17"/>
      <c r="IFB145" s="15"/>
      <c r="IFQ145" s="17"/>
      <c r="IFR145" s="15"/>
      <c r="IGG145" s="17"/>
      <c r="IGH145" s="15"/>
      <c r="IGW145" s="17"/>
      <c r="IGX145" s="15"/>
      <c r="IHM145" s="17"/>
      <c r="IHN145" s="15"/>
      <c r="IIC145" s="17"/>
      <c r="IID145" s="15"/>
      <c r="IIS145" s="17"/>
      <c r="IIT145" s="15"/>
      <c r="IJI145" s="17"/>
      <c r="IJJ145" s="15"/>
      <c r="IJY145" s="17"/>
      <c r="IJZ145" s="15"/>
      <c r="IKO145" s="17"/>
      <c r="IKP145" s="15"/>
      <c r="ILE145" s="17"/>
      <c r="ILF145" s="15"/>
      <c r="ILU145" s="17"/>
      <c r="ILV145" s="15"/>
      <c r="IMK145" s="17"/>
      <c r="IML145" s="15"/>
      <c r="INA145" s="17"/>
      <c r="INB145" s="15"/>
      <c r="INQ145" s="17"/>
      <c r="INR145" s="15"/>
      <c r="IOG145" s="17"/>
      <c r="IOH145" s="15"/>
      <c r="IOW145" s="17"/>
      <c r="IOX145" s="15"/>
      <c r="IPM145" s="17"/>
      <c r="IPN145" s="15"/>
      <c r="IQC145" s="17"/>
      <c r="IQD145" s="15"/>
      <c r="IQS145" s="17"/>
      <c r="IQT145" s="15"/>
      <c r="IRI145" s="17"/>
      <c r="IRJ145" s="15"/>
      <c r="IRY145" s="17"/>
      <c r="IRZ145" s="15"/>
      <c r="ISO145" s="17"/>
      <c r="ISP145" s="15"/>
      <c r="ITE145" s="17"/>
      <c r="ITF145" s="15"/>
      <c r="ITU145" s="17"/>
      <c r="ITV145" s="15"/>
      <c r="IUK145" s="17"/>
      <c r="IUL145" s="15"/>
      <c r="IVA145" s="17"/>
      <c r="IVB145" s="15"/>
      <c r="IVQ145" s="17"/>
      <c r="IVR145" s="15"/>
      <c r="IWG145" s="17"/>
      <c r="IWH145" s="15"/>
      <c r="IWW145" s="17"/>
      <c r="IWX145" s="15"/>
      <c r="IXM145" s="17"/>
      <c r="IXN145" s="15"/>
      <c r="IYC145" s="17"/>
      <c r="IYD145" s="15"/>
      <c r="IYS145" s="17"/>
      <c r="IYT145" s="15"/>
      <c r="IZI145" s="17"/>
      <c r="IZJ145" s="15"/>
      <c r="IZY145" s="17"/>
      <c r="IZZ145" s="15"/>
      <c r="JAO145" s="17"/>
      <c r="JAP145" s="15"/>
      <c r="JBE145" s="17"/>
      <c r="JBF145" s="15"/>
      <c r="JBU145" s="17"/>
      <c r="JBV145" s="15"/>
      <c r="JCK145" s="17"/>
      <c r="JCL145" s="15"/>
      <c r="JDA145" s="17"/>
      <c r="JDB145" s="15"/>
      <c r="JDQ145" s="17"/>
      <c r="JDR145" s="15"/>
      <c r="JEG145" s="17"/>
      <c r="JEH145" s="15"/>
      <c r="JEW145" s="17"/>
      <c r="JEX145" s="15"/>
      <c r="JFM145" s="17"/>
      <c r="JFN145" s="15"/>
      <c r="JGC145" s="17"/>
      <c r="JGD145" s="15"/>
      <c r="JGS145" s="17"/>
      <c r="JGT145" s="15"/>
      <c r="JHI145" s="17"/>
      <c r="JHJ145" s="15"/>
      <c r="JHY145" s="17"/>
      <c r="JHZ145" s="15"/>
      <c r="JIO145" s="17"/>
      <c r="JIP145" s="15"/>
      <c r="JJE145" s="17"/>
      <c r="JJF145" s="15"/>
      <c r="JJU145" s="17"/>
      <c r="JJV145" s="15"/>
      <c r="JKK145" s="17"/>
      <c r="JKL145" s="15"/>
      <c r="JLA145" s="17"/>
      <c r="JLB145" s="15"/>
      <c r="JLQ145" s="17"/>
      <c r="JLR145" s="15"/>
      <c r="JMG145" s="17"/>
      <c r="JMH145" s="15"/>
      <c r="JMW145" s="17"/>
      <c r="JMX145" s="15"/>
      <c r="JNM145" s="17"/>
      <c r="JNN145" s="15"/>
      <c r="JOC145" s="17"/>
      <c r="JOD145" s="15"/>
      <c r="JOS145" s="17"/>
      <c r="JOT145" s="15"/>
      <c r="JPI145" s="17"/>
      <c r="JPJ145" s="15"/>
      <c r="JPY145" s="17"/>
      <c r="JPZ145" s="15"/>
      <c r="JQO145" s="17"/>
      <c r="JQP145" s="15"/>
      <c r="JRE145" s="17"/>
      <c r="JRF145" s="15"/>
      <c r="JRU145" s="17"/>
      <c r="JRV145" s="15"/>
      <c r="JSK145" s="17"/>
      <c r="JSL145" s="15"/>
      <c r="JTA145" s="17"/>
      <c r="JTB145" s="15"/>
      <c r="JTQ145" s="17"/>
      <c r="JTR145" s="15"/>
      <c r="JUG145" s="17"/>
      <c r="JUH145" s="15"/>
      <c r="JUW145" s="17"/>
      <c r="JUX145" s="15"/>
      <c r="JVM145" s="17"/>
      <c r="JVN145" s="15"/>
      <c r="JWC145" s="17"/>
      <c r="JWD145" s="15"/>
      <c r="JWS145" s="17"/>
      <c r="JWT145" s="15"/>
      <c r="JXI145" s="17"/>
      <c r="JXJ145" s="15"/>
      <c r="JXY145" s="17"/>
      <c r="JXZ145" s="15"/>
      <c r="JYO145" s="17"/>
      <c r="JYP145" s="15"/>
      <c r="JZE145" s="17"/>
      <c r="JZF145" s="15"/>
      <c r="JZU145" s="17"/>
      <c r="JZV145" s="15"/>
      <c r="KAK145" s="17"/>
      <c r="KAL145" s="15"/>
      <c r="KBA145" s="17"/>
      <c r="KBB145" s="15"/>
      <c r="KBQ145" s="17"/>
      <c r="KBR145" s="15"/>
      <c r="KCG145" s="17"/>
      <c r="KCH145" s="15"/>
      <c r="KCW145" s="17"/>
      <c r="KCX145" s="15"/>
      <c r="KDM145" s="17"/>
      <c r="KDN145" s="15"/>
      <c r="KEC145" s="17"/>
      <c r="KED145" s="15"/>
      <c r="KES145" s="17"/>
      <c r="KET145" s="15"/>
      <c r="KFI145" s="17"/>
      <c r="KFJ145" s="15"/>
      <c r="KFY145" s="17"/>
      <c r="KFZ145" s="15"/>
      <c r="KGO145" s="17"/>
      <c r="KGP145" s="15"/>
      <c r="KHE145" s="17"/>
      <c r="KHF145" s="15"/>
      <c r="KHU145" s="17"/>
      <c r="KHV145" s="15"/>
      <c r="KIK145" s="17"/>
      <c r="KIL145" s="15"/>
      <c r="KJA145" s="17"/>
      <c r="KJB145" s="15"/>
      <c r="KJQ145" s="17"/>
      <c r="KJR145" s="15"/>
      <c r="KKG145" s="17"/>
      <c r="KKH145" s="15"/>
      <c r="KKW145" s="17"/>
      <c r="KKX145" s="15"/>
      <c r="KLM145" s="17"/>
      <c r="KLN145" s="15"/>
      <c r="KMC145" s="17"/>
      <c r="KMD145" s="15"/>
      <c r="KMS145" s="17"/>
      <c r="KMT145" s="15"/>
      <c r="KNI145" s="17"/>
      <c r="KNJ145" s="15"/>
      <c r="KNY145" s="17"/>
      <c r="KNZ145" s="15"/>
      <c r="KOO145" s="17"/>
      <c r="KOP145" s="15"/>
      <c r="KPE145" s="17"/>
      <c r="KPF145" s="15"/>
      <c r="KPU145" s="17"/>
      <c r="KPV145" s="15"/>
      <c r="KQK145" s="17"/>
      <c r="KQL145" s="15"/>
      <c r="KRA145" s="17"/>
      <c r="KRB145" s="15"/>
      <c r="KRQ145" s="17"/>
      <c r="KRR145" s="15"/>
      <c r="KSG145" s="17"/>
      <c r="KSH145" s="15"/>
      <c r="KSW145" s="17"/>
      <c r="KSX145" s="15"/>
      <c r="KTM145" s="17"/>
      <c r="KTN145" s="15"/>
      <c r="KUC145" s="17"/>
      <c r="KUD145" s="15"/>
      <c r="KUS145" s="17"/>
      <c r="KUT145" s="15"/>
      <c r="KVI145" s="17"/>
      <c r="KVJ145" s="15"/>
      <c r="KVY145" s="17"/>
      <c r="KVZ145" s="15"/>
      <c r="KWO145" s="17"/>
      <c r="KWP145" s="15"/>
      <c r="KXE145" s="17"/>
      <c r="KXF145" s="15"/>
      <c r="KXU145" s="17"/>
      <c r="KXV145" s="15"/>
      <c r="KYK145" s="17"/>
      <c r="KYL145" s="15"/>
      <c r="KZA145" s="17"/>
      <c r="KZB145" s="15"/>
      <c r="KZQ145" s="17"/>
      <c r="KZR145" s="15"/>
      <c r="LAG145" s="17"/>
      <c r="LAH145" s="15"/>
      <c r="LAW145" s="17"/>
      <c r="LAX145" s="15"/>
      <c r="LBM145" s="17"/>
      <c r="LBN145" s="15"/>
      <c r="LCC145" s="17"/>
      <c r="LCD145" s="15"/>
      <c r="LCS145" s="17"/>
      <c r="LCT145" s="15"/>
      <c r="LDI145" s="17"/>
      <c r="LDJ145" s="15"/>
      <c r="LDY145" s="17"/>
      <c r="LDZ145" s="15"/>
      <c r="LEO145" s="17"/>
      <c r="LEP145" s="15"/>
      <c r="LFE145" s="17"/>
      <c r="LFF145" s="15"/>
      <c r="LFU145" s="17"/>
      <c r="LFV145" s="15"/>
      <c r="LGK145" s="17"/>
      <c r="LGL145" s="15"/>
      <c r="LHA145" s="17"/>
      <c r="LHB145" s="15"/>
      <c r="LHQ145" s="17"/>
      <c r="LHR145" s="15"/>
      <c r="LIG145" s="17"/>
      <c r="LIH145" s="15"/>
      <c r="LIW145" s="17"/>
      <c r="LIX145" s="15"/>
      <c r="LJM145" s="17"/>
      <c r="LJN145" s="15"/>
      <c r="LKC145" s="17"/>
      <c r="LKD145" s="15"/>
      <c r="LKS145" s="17"/>
      <c r="LKT145" s="15"/>
      <c r="LLI145" s="17"/>
      <c r="LLJ145" s="15"/>
      <c r="LLY145" s="17"/>
      <c r="LLZ145" s="15"/>
      <c r="LMO145" s="17"/>
      <c r="LMP145" s="15"/>
      <c r="LNE145" s="17"/>
      <c r="LNF145" s="15"/>
      <c r="LNU145" s="17"/>
      <c r="LNV145" s="15"/>
      <c r="LOK145" s="17"/>
      <c r="LOL145" s="15"/>
      <c r="LPA145" s="17"/>
      <c r="LPB145" s="15"/>
      <c r="LPQ145" s="17"/>
      <c r="LPR145" s="15"/>
      <c r="LQG145" s="17"/>
      <c r="LQH145" s="15"/>
      <c r="LQW145" s="17"/>
      <c r="LQX145" s="15"/>
      <c r="LRM145" s="17"/>
      <c r="LRN145" s="15"/>
      <c r="LSC145" s="17"/>
      <c r="LSD145" s="15"/>
      <c r="LSS145" s="17"/>
      <c r="LST145" s="15"/>
      <c r="LTI145" s="17"/>
      <c r="LTJ145" s="15"/>
      <c r="LTY145" s="17"/>
      <c r="LTZ145" s="15"/>
      <c r="LUO145" s="17"/>
      <c r="LUP145" s="15"/>
      <c r="LVE145" s="17"/>
      <c r="LVF145" s="15"/>
      <c r="LVU145" s="17"/>
      <c r="LVV145" s="15"/>
      <c r="LWK145" s="17"/>
      <c r="LWL145" s="15"/>
      <c r="LXA145" s="17"/>
      <c r="LXB145" s="15"/>
      <c r="LXQ145" s="17"/>
      <c r="LXR145" s="15"/>
      <c r="LYG145" s="17"/>
      <c r="LYH145" s="15"/>
      <c r="LYW145" s="17"/>
      <c r="LYX145" s="15"/>
      <c r="LZM145" s="17"/>
      <c r="LZN145" s="15"/>
      <c r="MAC145" s="17"/>
      <c r="MAD145" s="15"/>
      <c r="MAS145" s="17"/>
      <c r="MAT145" s="15"/>
      <c r="MBI145" s="17"/>
      <c r="MBJ145" s="15"/>
      <c r="MBY145" s="17"/>
      <c r="MBZ145" s="15"/>
      <c r="MCO145" s="17"/>
      <c r="MCP145" s="15"/>
      <c r="MDE145" s="17"/>
      <c r="MDF145" s="15"/>
      <c r="MDU145" s="17"/>
      <c r="MDV145" s="15"/>
      <c r="MEK145" s="17"/>
      <c r="MEL145" s="15"/>
      <c r="MFA145" s="17"/>
      <c r="MFB145" s="15"/>
      <c r="MFQ145" s="17"/>
      <c r="MFR145" s="15"/>
      <c r="MGG145" s="17"/>
      <c r="MGH145" s="15"/>
      <c r="MGW145" s="17"/>
      <c r="MGX145" s="15"/>
      <c r="MHM145" s="17"/>
      <c r="MHN145" s="15"/>
      <c r="MIC145" s="17"/>
      <c r="MID145" s="15"/>
      <c r="MIS145" s="17"/>
      <c r="MIT145" s="15"/>
      <c r="MJI145" s="17"/>
      <c r="MJJ145" s="15"/>
      <c r="MJY145" s="17"/>
      <c r="MJZ145" s="15"/>
      <c r="MKO145" s="17"/>
      <c r="MKP145" s="15"/>
      <c r="MLE145" s="17"/>
      <c r="MLF145" s="15"/>
      <c r="MLU145" s="17"/>
      <c r="MLV145" s="15"/>
      <c r="MMK145" s="17"/>
      <c r="MML145" s="15"/>
      <c r="MNA145" s="17"/>
      <c r="MNB145" s="15"/>
      <c r="MNQ145" s="17"/>
      <c r="MNR145" s="15"/>
      <c r="MOG145" s="17"/>
      <c r="MOH145" s="15"/>
      <c r="MOW145" s="17"/>
      <c r="MOX145" s="15"/>
      <c r="MPM145" s="17"/>
      <c r="MPN145" s="15"/>
      <c r="MQC145" s="17"/>
      <c r="MQD145" s="15"/>
      <c r="MQS145" s="17"/>
      <c r="MQT145" s="15"/>
      <c r="MRI145" s="17"/>
      <c r="MRJ145" s="15"/>
      <c r="MRY145" s="17"/>
      <c r="MRZ145" s="15"/>
      <c r="MSO145" s="17"/>
      <c r="MSP145" s="15"/>
      <c r="MTE145" s="17"/>
      <c r="MTF145" s="15"/>
      <c r="MTU145" s="17"/>
      <c r="MTV145" s="15"/>
      <c r="MUK145" s="17"/>
      <c r="MUL145" s="15"/>
      <c r="MVA145" s="17"/>
      <c r="MVB145" s="15"/>
      <c r="MVQ145" s="17"/>
      <c r="MVR145" s="15"/>
      <c r="MWG145" s="17"/>
      <c r="MWH145" s="15"/>
      <c r="MWW145" s="17"/>
      <c r="MWX145" s="15"/>
      <c r="MXM145" s="17"/>
      <c r="MXN145" s="15"/>
      <c r="MYC145" s="17"/>
      <c r="MYD145" s="15"/>
      <c r="MYS145" s="17"/>
      <c r="MYT145" s="15"/>
      <c r="MZI145" s="17"/>
      <c r="MZJ145" s="15"/>
      <c r="MZY145" s="17"/>
      <c r="MZZ145" s="15"/>
      <c r="NAO145" s="17"/>
      <c r="NAP145" s="15"/>
      <c r="NBE145" s="17"/>
      <c r="NBF145" s="15"/>
      <c r="NBU145" s="17"/>
      <c r="NBV145" s="15"/>
      <c r="NCK145" s="17"/>
      <c r="NCL145" s="15"/>
      <c r="NDA145" s="17"/>
      <c r="NDB145" s="15"/>
      <c r="NDQ145" s="17"/>
      <c r="NDR145" s="15"/>
      <c r="NEG145" s="17"/>
      <c r="NEH145" s="15"/>
      <c r="NEW145" s="17"/>
      <c r="NEX145" s="15"/>
      <c r="NFM145" s="17"/>
      <c r="NFN145" s="15"/>
      <c r="NGC145" s="17"/>
      <c r="NGD145" s="15"/>
      <c r="NGS145" s="17"/>
      <c r="NGT145" s="15"/>
      <c r="NHI145" s="17"/>
      <c r="NHJ145" s="15"/>
      <c r="NHY145" s="17"/>
      <c r="NHZ145" s="15"/>
      <c r="NIO145" s="17"/>
      <c r="NIP145" s="15"/>
      <c r="NJE145" s="17"/>
      <c r="NJF145" s="15"/>
      <c r="NJU145" s="17"/>
      <c r="NJV145" s="15"/>
      <c r="NKK145" s="17"/>
      <c r="NKL145" s="15"/>
      <c r="NLA145" s="17"/>
      <c r="NLB145" s="15"/>
      <c r="NLQ145" s="17"/>
      <c r="NLR145" s="15"/>
      <c r="NMG145" s="17"/>
      <c r="NMH145" s="15"/>
      <c r="NMW145" s="17"/>
      <c r="NMX145" s="15"/>
      <c r="NNM145" s="17"/>
      <c r="NNN145" s="15"/>
      <c r="NOC145" s="17"/>
      <c r="NOD145" s="15"/>
      <c r="NOS145" s="17"/>
      <c r="NOT145" s="15"/>
      <c r="NPI145" s="17"/>
      <c r="NPJ145" s="15"/>
      <c r="NPY145" s="17"/>
      <c r="NPZ145" s="15"/>
      <c r="NQO145" s="17"/>
      <c r="NQP145" s="15"/>
      <c r="NRE145" s="17"/>
      <c r="NRF145" s="15"/>
      <c r="NRU145" s="17"/>
      <c r="NRV145" s="15"/>
      <c r="NSK145" s="17"/>
      <c r="NSL145" s="15"/>
      <c r="NTA145" s="17"/>
      <c r="NTB145" s="15"/>
      <c r="NTQ145" s="17"/>
      <c r="NTR145" s="15"/>
      <c r="NUG145" s="17"/>
      <c r="NUH145" s="15"/>
      <c r="NUW145" s="17"/>
      <c r="NUX145" s="15"/>
      <c r="NVM145" s="17"/>
      <c r="NVN145" s="15"/>
      <c r="NWC145" s="17"/>
      <c r="NWD145" s="15"/>
      <c r="NWS145" s="17"/>
      <c r="NWT145" s="15"/>
      <c r="NXI145" s="17"/>
      <c r="NXJ145" s="15"/>
      <c r="NXY145" s="17"/>
      <c r="NXZ145" s="15"/>
      <c r="NYO145" s="17"/>
      <c r="NYP145" s="15"/>
      <c r="NZE145" s="17"/>
      <c r="NZF145" s="15"/>
      <c r="NZU145" s="17"/>
      <c r="NZV145" s="15"/>
      <c r="OAK145" s="17"/>
      <c r="OAL145" s="15"/>
      <c r="OBA145" s="17"/>
      <c r="OBB145" s="15"/>
      <c r="OBQ145" s="17"/>
      <c r="OBR145" s="15"/>
      <c r="OCG145" s="17"/>
      <c r="OCH145" s="15"/>
      <c r="OCW145" s="17"/>
      <c r="OCX145" s="15"/>
      <c r="ODM145" s="17"/>
      <c r="ODN145" s="15"/>
      <c r="OEC145" s="17"/>
      <c r="OED145" s="15"/>
      <c r="OES145" s="17"/>
      <c r="OET145" s="15"/>
      <c r="OFI145" s="17"/>
      <c r="OFJ145" s="15"/>
      <c r="OFY145" s="17"/>
      <c r="OFZ145" s="15"/>
      <c r="OGO145" s="17"/>
      <c r="OGP145" s="15"/>
      <c r="OHE145" s="17"/>
      <c r="OHF145" s="15"/>
      <c r="OHU145" s="17"/>
      <c r="OHV145" s="15"/>
      <c r="OIK145" s="17"/>
      <c r="OIL145" s="15"/>
      <c r="OJA145" s="17"/>
      <c r="OJB145" s="15"/>
      <c r="OJQ145" s="17"/>
      <c r="OJR145" s="15"/>
      <c r="OKG145" s="17"/>
      <c r="OKH145" s="15"/>
      <c r="OKW145" s="17"/>
      <c r="OKX145" s="15"/>
      <c r="OLM145" s="17"/>
      <c r="OLN145" s="15"/>
      <c r="OMC145" s="17"/>
      <c r="OMD145" s="15"/>
      <c r="OMS145" s="17"/>
      <c r="OMT145" s="15"/>
      <c r="ONI145" s="17"/>
      <c r="ONJ145" s="15"/>
      <c r="ONY145" s="17"/>
      <c r="ONZ145" s="15"/>
      <c r="OOO145" s="17"/>
      <c r="OOP145" s="15"/>
      <c r="OPE145" s="17"/>
      <c r="OPF145" s="15"/>
      <c r="OPU145" s="17"/>
      <c r="OPV145" s="15"/>
      <c r="OQK145" s="17"/>
      <c r="OQL145" s="15"/>
      <c r="ORA145" s="17"/>
      <c r="ORB145" s="15"/>
      <c r="ORQ145" s="17"/>
      <c r="ORR145" s="15"/>
      <c r="OSG145" s="17"/>
      <c r="OSH145" s="15"/>
      <c r="OSW145" s="17"/>
      <c r="OSX145" s="15"/>
      <c r="OTM145" s="17"/>
      <c r="OTN145" s="15"/>
      <c r="OUC145" s="17"/>
      <c r="OUD145" s="15"/>
      <c r="OUS145" s="17"/>
      <c r="OUT145" s="15"/>
      <c r="OVI145" s="17"/>
      <c r="OVJ145" s="15"/>
      <c r="OVY145" s="17"/>
      <c r="OVZ145" s="15"/>
      <c r="OWO145" s="17"/>
      <c r="OWP145" s="15"/>
      <c r="OXE145" s="17"/>
      <c r="OXF145" s="15"/>
      <c r="OXU145" s="17"/>
      <c r="OXV145" s="15"/>
      <c r="OYK145" s="17"/>
      <c r="OYL145" s="15"/>
      <c r="OZA145" s="17"/>
      <c r="OZB145" s="15"/>
      <c r="OZQ145" s="17"/>
      <c r="OZR145" s="15"/>
      <c r="PAG145" s="17"/>
      <c r="PAH145" s="15"/>
      <c r="PAW145" s="17"/>
      <c r="PAX145" s="15"/>
      <c r="PBM145" s="17"/>
      <c r="PBN145" s="15"/>
      <c r="PCC145" s="17"/>
      <c r="PCD145" s="15"/>
      <c r="PCS145" s="17"/>
      <c r="PCT145" s="15"/>
      <c r="PDI145" s="17"/>
      <c r="PDJ145" s="15"/>
      <c r="PDY145" s="17"/>
      <c r="PDZ145" s="15"/>
      <c r="PEO145" s="17"/>
      <c r="PEP145" s="15"/>
      <c r="PFE145" s="17"/>
      <c r="PFF145" s="15"/>
      <c r="PFU145" s="17"/>
      <c r="PFV145" s="15"/>
      <c r="PGK145" s="17"/>
      <c r="PGL145" s="15"/>
      <c r="PHA145" s="17"/>
      <c r="PHB145" s="15"/>
      <c r="PHQ145" s="17"/>
      <c r="PHR145" s="15"/>
      <c r="PIG145" s="17"/>
      <c r="PIH145" s="15"/>
      <c r="PIW145" s="17"/>
      <c r="PIX145" s="15"/>
      <c r="PJM145" s="17"/>
      <c r="PJN145" s="15"/>
      <c r="PKC145" s="17"/>
      <c r="PKD145" s="15"/>
      <c r="PKS145" s="17"/>
      <c r="PKT145" s="15"/>
      <c r="PLI145" s="17"/>
      <c r="PLJ145" s="15"/>
      <c r="PLY145" s="17"/>
      <c r="PLZ145" s="15"/>
      <c r="PMO145" s="17"/>
      <c r="PMP145" s="15"/>
      <c r="PNE145" s="17"/>
      <c r="PNF145" s="15"/>
      <c r="PNU145" s="17"/>
      <c r="PNV145" s="15"/>
      <c r="POK145" s="17"/>
      <c r="POL145" s="15"/>
      <c r="PPA145" s="17"/>
      <c r="PPB145" s="15"/>
      <c r="PPQ145" s="17"/>
      <c r="PPR145" s="15"/>
      <c r="PQG145" s="17"/>
      <c r="PQH145" s="15"/>
      <c r="PQW145" s="17"/>
      <c r="PQX145" s="15"/>
      <c r="PRM145" s="17"/>
      <c r="PRN145" s="15"/>
      <c r="PSC145" s="17"/>
      <c r="PSD145" s="15"/>
      <c r="PSS145" s="17"/>
      <c r="PST145" s="15"/>
      <c r="PTI145" s="17"/>
      <c r="PTJ145" s="15"/>
      <c r="PTY145" s="17"/>
      <c r="PTZ145" s="15"/>
      <c r="PUO145" s="17"/>
      <c r="PUP145" s="15"/>
      <c r="PVE145" s="17"/>
      <c r="PVF145" s="15"/>
      <c r="PVU145" s="17"/>
      <c r="PVV145" s="15"/>
      <c r="PWK145" s="17"/>
      <c r="PWL145" s="15"/>
      <c r="PXA145" s="17"/>
      <c r="PXB145" s="15"/>
      <c r="PXQ145" s="17"/>
      <c r="PXR145" s="15"/>
      <c r="PYG145" s="17"/>
      <c r="PYH145" s="15"/>
      <c r="PYW145" s="17"/>
      <c r="PYX145" s="15"/>
      <c r="PZM145" s="17"/>
      <c r="PZN145" s="15"/>
      <c r="QAC145" s="17"/>
      <c r="QAD145" s="15"/>
      <c r="QAS145" s="17"/>
      <c r="QAT145" s="15"/>
      <c r="QBI145" s="17"/>
      <c r="QBJ145" s="15"/>
      <c r="QBY145" s="17"/>
      <c r="QBZ145" s="15"/>
      <c r="QCO145" s="17"/>
      <c r="QCP145" s="15"/>
      <c r="QDE145" s="17"/>
      <c r="QDF145" s="15"/>
      <c r="QDU145" s="17"/>
      <c r="QDV145" s="15"/>
      <c r="QEK145" s="17"/>
      <c r="QEL145" s="15"/>
      <c r="QFA145" s="17"/>
      <c r="QFB145" s="15"/>
      <c r="QFQ145" s="17"/>
      <c r="QFR145" s="15"/>
      <c r="QGG145" s="17"/>
      <c r="QGH145" s="15"/>
      <c r="QGW145" s="17"/>
      <c r="QGX145" s="15"/>
      <c r="QHM145" s="17"/>
      <c r="QHN145" s="15"/>
      <c r="QIC145" s="17"/>
      <c r="QID145" s="15"/>
      <c r="QIS145" s="17"/>
      <c r="QIT145" s="15"/>
      <c r="QJI145" s="17"/>
      <c r="QJJ145" s="15"/>
      <c r="QJY145" s="17"/>
      <c r="QJZ145" s="15"/>
      <c r="QKO145" s="17"/>
      <c r="QKP145" s="15"/>
      <c r="QLE145" s="17"/>
      <c r="QLF145" s="15"/>
      <c r="QLU145" s="17"/>
      <c r="QLV145" s="15"/>
      <c r="QMK145" s="17"/>
      <c r="QML145" s="15"/>
      <c r="QNA145" s="17"/>
      <c r="QNB145" s="15"/>
      <c r="QNQ145" s="17"/>
      <c r="QNR145" s="15"/>
      <c r="QOG145" s="17"/>
      <c r="QOH145" s="15"/>
      <c r="QOW145" s="17"/>
      <c r="QOX145" s="15"/>
      <c r="QPM145" s="17"/>
      <c r="QPN145" s="15"/>
      <c r="QQC145" s="17"/>
      <c r="QQD145" s="15"/>
      <c r="QQS145" s="17"/>
      <c r="QQT145" s="15"/>
      <c r="QRI145" s="17"/>
      <c r="QRJ145" s="15"/>
      <c r="QRY145" s="17"/>
      <c r="QRZ145" s="15"/>
      <c r="QSO145" s="17"/>
      <c r="QSP145" s="15"/>
      <c r="QTE145" s="17"/>
      <c r="QTF145" s="15"/>
      <c r="QTU145" s="17"/>
      <c r="QTV145" s="15"/>
      <c r="QUK145" s="17"/>
      <c r="QUL145" s="15"/>
      <c r="QVA145" s="17"/>
      <c r="QVB145" s="15"/>
      <c r="QVQ145" s="17"/>
      <c r="QVR145" s="15"/>
      <c r="QWG145" s="17"/>
      <c r="QWH145" s="15"/>
      <c r="QWW145" s="17"/>
      <c r="QWX145" s="15"/>
      <c r="QXM145" s="17"/>
      <c r="QXN145" s="15"/>
      <c r="QYC145" s="17"/>
      <c r="QYD145" s="15"/>
      <c r="QYS145" s="17"/>
      <c r="QYT145" s="15"/>
      <c r="QZI145" s="17"/>
      <c r="QZJ145" s="15"/>
      <c r="QZY145" s="17"/>
      <c r="QZZ145" s="15"/>
      <c r="RAO145" s="17"/>
      <c r="RAP145" s="15"/>
      <c r="RBE145" s="17"/>
      <c r="RBF145" s="15"/>
      <c r="RBU145" s="17"/>
      <c r="RBV145" s="15"/>
      <c r="RCK145" s="17"/>
      <c r="RCL145" s="15"/>
      <c r="RDA145" s="17"/>
      <c r="RDB145" s="15"/>
      <c r="RDQ145" s="17"/>
      <c r="RDR145" s="15"/>
      <c r="REG145" s="17"/>
      <c r="REH145" s="15"/>
      <c r="REW145" s="17"/>
      <c r="REX145" s="15"/>
      <c r="RFM145" s="17"/>
      <c r="RFN145" s="15"/>
      <c r="RGC145" s="17"/>
      <c r="RGD145" s="15"/>
      <c r="RGS145" s="17"/>
      <c r="RGT145" s="15"/>
      <c r="RHI145" s="17"/>
      <c r="RHJ145" s="15"/>
      <c r="RHY145" s="17"/>
      <c r="RHZ145" s="15"/>
      <c r="RIO145" s="17"/>
      <c r="RIP145" s="15"/>
      <c r="RJE145" s="17"/>
      <c r="RJF145" s="15"/>
      <c r="RJU145" s="17"/>
      <c r="RJV145" s="15"/>
      <c r="RKK145" s="17"/>
      <c r="RKL145" s="15"/>
      <c r="RLA145" s="17"/>
      <c r="RLB145" s="15"/>
      <c r="RLQ145" s="17"/>
      <c r="RLR145" s="15"/>
      <c r="RMG145" s="17"/>
      <c r="RMH145" s="15"/>
      <c r="RMW145" s="17"/>
      <c r="RMX145" s="15"/>
      <c r="RNM145" s="17"/>
      <c r="RNN145" s="15"/>
      <c r="ROC145" s="17"/>
      <c r="ROD145" s="15"/>
      <c r="ROS145" s="17"/>
      <c r="ROT145" s="15"/>
      <c r="RPI145" s="17"/>
      <c r="RPJ145" s="15"/>
      <c r="RPY145" s="17"/>
      <c r="RPZ145" s="15"/>
      <c r="RQO145" s="17"/>
      <c r="RQP145" s="15"/>
      <c r="RRE145" s="17"/>
      <c r="RRF145" s="15"/>
      <c r="RRU145" s="17"/>
      <c r="RRV145" s="15"/>
      <c r="RSK145" s="17"/>
      <c r="RSL145" s="15"/>
      <c r="RTA145" s="17"/>
      <c r="RTB145" s="15"/>
      <c r="RTQ145" s="17"/>
      <c r="RTR145" s="15"/>
      <c r="RUG145" s="17"/>
      <c r="RUH145" s="15"/>
      <c r="RUW145" s="17"/>
      <c r="RUX145" s="15"/>
      <c r="RVM145" s="17"/>
      <c r="RVN145" s="15"/>
      <c r="RWC145" s="17"/>
      <c r="RWD145" s="15"/>
      <c r="RWS145" s="17"/>
      <c r="RWT145" s="15"/>
      <c r="RXI145" s="17"/>
      <c r="RXJ145" s="15"/>
      <c r="RXY145" s="17"/>
      <c r="RXZ145" s="15"/>
      <c r="RYO145" s="17"/>
      <c r="RYP145" s="15"/>
      <c r="RZE145" s="17"/>
      <c r="RZF145" s="15"/>
      <c r="RZU145" s="17"/>
      <c r="RZV145" s="15"/>
      <c r="SAK145" s="17"/>
      <c r="SAL145" s="15"/>
      <c r="SBA145" s="17"/>
      <c r="SBB145" s="15"/>
      <c r="SBQ145" s="17"/>
      <c r="SBR145" s="15"/>
      <c r="SCG145" s="17"/>
      <c r="SCH145" s="15"/>
      <c r="SCW145" s="17"/>
      <c r="SCX145" s="15"/>
      <c r="SDM145" s="17"/>
      <c r="SDN145" s="15"/>
      <c r="SEC145" s="17"/>
      <c r="SED145" s="15"/>
      <c r="SES145" s="17"/>
      <c r="SET145" s="15"/>
      <c r="SFI145" s="17"/>
      <c r="SFJ145" s="15"/>
      <c r="SFY145" s="17"/>
      <c r="SFZ145" s="15"/>
      <c r="SGO145" s="17"/>
      <c r="SGP145" s="15"/>
      <c r="SHE145" s="17"/>
      <c r="SHF145" s="15"/>
      <c r="SHU145" s="17"/>
      <c r="SHV145" s="15"/>
      <c r="SIK145" s="17"/>
      <c r="SIL145" s="15"/>
      <c r="SJA145" s="17"/>
      <c r="SJB145" s="15"/>
      <c r="SJQ145" s="17"/>
      <c r="SJR145" s="15"/>
      <c r="SKG145" s="17"/>
      <c r="SKH145" s="15"/>
      <c r="SKW145" s="17"/>
      <c r="SKX145" s="15"/>
      <c r="SLM145" s="17"/>
      <c r="SLN145" s="15"/>
      <c r="SMC145" s="17"/>
      <c r="SMD145" s="15"/>
      <c r="SMS145" s="17"/>
      <c r="SMT145" s="15"/>
      <c r="SNI145" s="17"/>
      <c r="SNJ145" s="15"/>
      <c r="SNY145" s="17"/>
      <c r="SNZ145" s="15"/>
      <c r="SOO145" s="17"/>
      <c r="SOP145" s="15"/>
      <c r="SPE145" s="17"/>
      <c r="SPF145" s="15"/>
      <c r="SPU145" s="17"/>
      <c r="SPV145" s="15"/>
      <c r="SQK145" s="17"/>
      <c r="SQL145" s="15"/>
      <c r="SRA145" s="17"/>
      <c r="SRB145" s="15"/>
      <c r="SRQ145" s="17"/>
      <c r="SRR145" s="15"/>
      <c r="SSG145" s="17"/>
      <c r="SSH145" s="15"/>
      <c r="SSW145" s="17"/>
      <c r="SSX145" s="15"/>
      <c r="STM145" s="17"/>
      <c r="STN145" s="15"/>
      <c r="SUC145" s="17"/>
      <c r="SUD145" s="15"/>
      <c r="SUS145" s="17"/>
      <c r="SUT145" s="15"/>
      <c r="SVI145" s="17"/>
      <c r="SVJ145" s="15"/>
      <c r="SVY145" s="17"/>
      <c r="SVZ145" s="15"/>
      <c r="SWO145" s="17"/>
      <c r="SWP145" s="15"/>
      <c r="SXE145" s="17"/>
      <c r="SXF145" s="15"/>
      <c r="SXU145" s="17"/>
      <c r="SXV145" s="15"/>
      <c r="SYK145" s="17"/>
      <c r="SYL145" s="15"/>
      <c r="SZA145" s="17"/>
      <c r="SZB145" s="15"/>
      <c r="SZQ145" s="17"/>
      <c r="SZR145" s="15"/>
      <c r="TAG145" s="17"/>
      <c r="TAH145" s="15"/>
      <c r="TAW145" s="17"/>
      <c r="TAX145" s="15"/>
      <c r="TBM145" s="17"/>
      <c r="TBN145" s="15"/>
      <c r="TCC145" s="17"/>
      <c r="TCD145" s="15"/>
      <c r="TCS145" s="17"/>
      <c r="TCT145" s="15"/>
      <c r="TDI145" s="17"/>
      <c r="TDJ145" s="15"/>
      <c r="TDY145" s="17"/>
      <c r="TDZ145" s="15"/>
      <c r="TEO145" s="17"/>
      <c r="TEP145" s="15"/>
      <c r="TFE145" s="17"/>
      <c r="TFF145" s="15"/>
      <c r="TFU145" s="17"/>
      <c r="TFV145" s="15"/>
      <c r="TGK145" s="17"/>
      <c r="TGL145" s="15"/>
      <c r="THA145" s="17"/>
      <c r="THB145" s="15"/>
      <c r="THQ145" s="17"/>
      <c r="THR145" s="15"/>
      <c r="TIG145" s="17"/>
      <c r="TIH145" s="15"/>
      <c r="TIW145" s="17"/>
      <c r="TIX145" s="15"/>
      <c r="TJM145" s="17"/>
      <c r="TJN145" s="15"/>
      <c r="TKC145" s="17"/>
      <c r="TKD145" s="15"/>
      <c r="TKS145" s="17"/>
      <c r="TKT145" s="15"/>
      <c r="TLI145" s="17"/>
      <c r="TLJ145" s="15"/>
      <c r="TLY145" s="17"/>
      <c r="TLZ145" s="15"/>
      <c r="TMO145" s="17"/>
      <c r="TMP145" s="15"/>
      <c r="TNE145" s="17"/>
      <c r="TNF145" s="15"/>
      <c r="TNU145" s="17"/>
      <c r="TNV145" s="15"/>
      <c r="TOK145" s="17"/>
      <c r="TOL145" s="15"/>
      <c r="TPA145" s="17"/>
      <c r="TPB145" s="15"/>
      <c r="TPQ145" s="17"/>
      <c r="TPR145" s="15"/>
      <c r="TQG145" s="17"/>
      <c r="TQH145" s="15"/>
      <c r="TQW145" s="17"/>
      <c r="TQX145" s="15"/>
      <c r="TRM145" s="17"/>
      <c r="TRN145" s="15"/>
      <c r="TSC145" s="17"/>
      <c r="TSD145" s="15"/>
      <c r="TSS145" s="17"/>
      <c r="TST145" s="15"/>
      <c r="TTI145" s="17"/>
      <c r="TTJ145" s="15"/>
      <c r="TTY145" s="17"/>
      <c r="TTZ145" s="15"/>
      <c r="TUO145" s="17"/>
      <c r="TUP145" s="15"/>
      <c r="TVE145" s="17"/>
      <c r="TVF145" s="15"/>
      <c r="TVU145" s="17"/>
      <c r="TVV145" s="15"/>
      <c r="TWK145" s="17"/>
      <c r="TWL145" s="15"/>
      <c r="TXA145" s="17"/>
      <c r="TXB145" s="15"/>
      <c r="TXQ145" s="17"/>
      <c r="TXR145" s="15"/>
      <c r="TYG145" s="17"/>
      <c r="TYH145" s="15"/>
      <c r="TYW145" s="17"/>
      <c r="TYX145" s="15"/>
      <c r="TZM145" s="17"/>
      <c r="TZN145" s="15"/>
      <c r="UAC145" s="17"/>
      <c r="UAD145" s="15"/>
      <c r="UAS145" s="17"/>
      <c r="UAT145" s="15"/>
      <c r="UBI145" s="17"/>
      <c r="UBJ145" s="15"/>
      <c r="UBY145" s="17"/>
      <c r="UBZ145" s="15"/>
      <c r="UCO145" s="17"/>
      <c r="UCP145" s="15"/>
      <c r="UDE145" s="17"/>
      <c r="UDF145" s="15"/>
      <c r="UDU145" s="17"/>
      <c r="UDV145" s="15"/>
      <c r="UEK145" s="17"/>
      <c r="UEL145" s="15"/>
      <c r="UFA145" s="17"/>
      <c r="UFB145" s="15"/>
      <c r="UFQ145" s="17"/>
      <c r="UFR145" s="15"/>
      <c r="UGG145" s="17"/>
      <c r="UGH145" s="15"/>
      <c r="UGW145" s="17"/>
      <c r="UGX145" s="15"/>
      <c r="UHM145" s="17"/>
      <c r="UHN145" s="15"/>
      <c r="UIC145" s="17"/>
      <c r="UID145" s="15"/>
      <c r="UIS145" s="17"/>
      <c r="UIT145" s="15"/>
      <c r="UJI145" s="17"/>
      <c r="UJJ145" s="15"/>
      <c r="UJY145" s="17"/>
      <c r="UJZ145" s="15"/>
      <c r="UKO145" s="17"/>
      <c r="UKP145" s="15"/>
      <c r="ULE145" s="17"/>
      <c r="ULF145" s="15"/>
      <c r="ULU145" s="17"/>
      <c r="ULV145" s="15"/>
      <c r="UMK145" s="17"/>
      <c r="UML145" s="15"/>
      <c r="UNA145" s="17"/>
      <c r="UNB145" s="15"/>
      <c r="UNQ145" s="17"/>
      <c r="UNR145" s="15"/>
      <c r="UOG145" s="17"/>
      <c r="UOH145" s="15"/>
      <c r="UOW145" s="17"/>
      <c r="UOX145" s="15"/>
      <c r="UPM145" s="17"/>
      <c r="UPN145" s="15"/>
      <c r="UQC145" s="17"/>
      <c r="UQD145" s="15"/>
      <c r="UQS145" s="17"/>
      <c r="UQT145" s="15"/>
      <c r="URI145" s="17"/>
      <c r="URJ145" s="15"/>
      <c r="URY145" s="17"/>
      <c r="URZ145" s="15"/>
      <c r="USO145" s="17"/>
      <c r="USP145" s="15"/>
      <c r="UTE145" s="17"/>
      <c r="UTF145" s="15"/>
      <c r="UTU145" s="17"/>
      <c r="UTV145" s="15"/>
      <c r="UUK145" s="17"/>
      <c r="UUL145" s="15"/>
      <c r="UVA145" s="17"/>
      <c r="UVB145" s="15"/>
      <c r="UVQ145" s="17"/>
      <c r="UVR145" s="15"/>
      <c r="UWG145" s="17"/>
      <c r="UWH145" s="15"/>
      <c r="UWW145" s="17"/>
      <c r="UWX145" s="15"/>
      <c r="UXM145" s="17"/>
      <c r="UXN145" s="15"/>
      <c r="UYC145" s="17"/>
      <c r="UYD145" s="15"/>
      <c r="UYS145" s="17"/>
      <c r="UYT145" s="15"/>
      <c r="UZI145" s="17"/>
      <c r="UZJ145" s="15"/>
      <c r="UZY145" s="17"/>
      <c r="UZZ145" s="15"/>
      <c r="VAO145" s="17"/>
      <c r="VAP145" s="15"/>
      <c r="VBE145" s="17"/>
      <c r="VBF145" s="15"/>
      <c r="VBU145" s="17"/>
      <c r="VBV145" s="15"/>
      <c r="VCK145" s="17"/>
      <c r="VCL145" s="15"/>
      <c r="VDA145" s="17"/>
      <c r="VDB145" s="15"/>
      <c r="VDQ145" s="17"/>
      <c r="VDR145" s="15"/>
      <c r="VEG145" s="17"/>
      <c r="VEH145" s="15"/>
      <c r="VEW145" s="17"/>
      <c r="VEX145" s="15"/>
      <c r="VFM145" s="17"/>
      <c r="VFN145" s="15"/>
      <c r="VGC145" s="17"/>
      <c r="VGD145" s="15"/>
      <c r="VGS145" s="17"/>
      <c r="VGT145" s="15"/>
      <c r="VHI145" s="17"/>
      <c r="VHJ145" s="15"/>
      <c r="VHY145" s="17"/>
      <c r="VHZ145" s="15"/>
      <c r="VIO145" s="17"/>
      <c r="VIP145" s="15"/>
      <c r="VJE145" s="17"/>
      <c r="VJF145" s="15"/>
      <c r="VJU145" s="17"/>
      <c r="VJV145" s="15"/>
      <c r="VKK145" s="17"/>
      <c r="VKL145" s="15"/>
      <c r="VLA145" s="17"/>
      <c r="VLB145" s="15"/>
      <c r="VLQ145" s="17"/>
      <c r="VLR145" s="15"/>
      <c r="VMG145" s="17"/>
      <c r="VMH145" s="15"/>
      <c r="VMW145" s="17"/>
      <c r="VMX145" s="15"/>
      <c r="VNM145" s="17"/>
      <c r="VNN145" s="15"/>
      <c r="VOC145" s="17"/>
      <c r="VOD145" s="15"/>
      <c r="VOS145" s="17"/>
      <c r="VOT145" s="15"/>
      <c r="VPI145" s="17"/>
      <c r="VPJ145" s="15"/>
      <c r="VPY145" s="17"/>
      <c r="VPZ145" s="15"/>
      <c r="VQO145" s="17"/>
      <c r="VQP145" s="15"/>
      <c r="VRE145" s="17"/>
      <c r="VRF145" s="15"/>
      <c r="VRU145" s="17"/>
      <c r="VRV145" s="15"/>
      <c r="VSK145" s="17"/>
      <c r="VSL145" s="15"/>
      <c r="VTA145" s="17"/>
      <c r="VTB145" s="15"/>
      <c r="VTQ145" s="17"/>
      <c r="VTR145" s="15"/>
      <c r="VUG145" s="17"/>
      <c r="VUH145" s="15"/>
      <c r="VUW145" s="17"/>
      <c r="VUX145" s="15"/>
      <c r="VVM145" s="17"/>
      <c r="VVN145" s="15"/>
      <c r="VWC145" s="17"/>
      <c r="VWD145" s="15"/>
      <c r="VWS145" s="17"/>
      <c r="VWT145" s="15"/>
      <c r="VXI145" s="17"/>
      <c r="VXJ145" s="15"/>
      <c r="VXY145" s="17"/>
      <c r="VXZ145" s="15"/>
      <c r="VYO145" s="17"/>
      <c r="VYP145" s="15"/>
      <c r="VZE145" s="17"/>
      <c r="VZF145" s="15"/>
      <c r="VZU145" s="17"/>
      <c r="VZV145" s="15"/>
      <c r="WAK145" s="17"/>
      <c r="WAL145" s="15"/>
      <c r="WBA145" s="17"/>
      <c r="WBB145" s="15"/>
      <c r="WBQ145" s="17"/>
      <c r="WBR145" s="15"/>
      <c r="WCG145" s="17"/>
      <c r="WCH145" s="15"/>
      <c r="WCW145" s="17"/>
      <c r="WCX145" s="15"/>
      <c r="WDM145" s="17"/>
      <c r="WDN145" s="15"/>
      <c r="WEC145" s="17"/>
      <c r="WED145" s="15"/>
      <c r="WES145" s="17"/>
      <c r="WET145" s="15"/>
      <c r="WFI145" s="17"/>
      <c r="WFJ145" s="15"/>
      <c r="WFY145" s="17"/>
      <c r="WFZ145" s="15"/>
      <c r="WGO145" s="17"/>
      <c r="WGP145" s="15"/>
      <c r="WHE145" s="17"/>
      <c r="WHF145" s="15"/>
      <c r="WHU145" s="17"/>
      <c r="WHV145" s="15"/>
      <c r="WIK145" s="17"/>
      <c r="WIL145" s="15"/>
      <c r="WJA145" s="17"/>
      <c r="WJB145" s="15"/>
      <c r="WJQ145" s="17"/>
      <c r="WJR145" s="15"/>
      <c r="WKG145" s="17"/>
      <c r="WKH145" s="15"/>
      <c r="WKW145" s="17"/>
      <c r="WKX145" s="15"/>
      <c r="WLM145" s="17"/>
      <c r="WLN145" s="15"/>
      <c r="WMC145" s="17"/>
      <c r="WMD145" s="15"/>
      <c r="WMS145" s="17"/>
      <c r="WMT145" s="15"/>
      <c r="WNI145" s="17"/>
      <c r="WNJ145" s="15"/>
      <c r="WNY145" s="17"/>
      <c r="WNZ145" s="15"/>
      <c r="WOO145" s="17"/>
      <c r="WOP145" s="15"/>
      <c r="WPE145" s="17"/>
      <c r="WPF145" s="15"/>
      <c r="WPU145" s="17"/>
      <c r="WPV145" s="15"/>
      <c r="WQK145" s="17"/>
      <c r="WQL145" s="15"/>
      <c r="WRA145" s="17"/>
      <c r="WRB145" s="15"/>
      <c r="WRQ145" s="17"/>
      <c r="WRR145" s="15"/>
      <c r="WSG145" s="17"/>
      <c r="WSH145" s="15"/>
      <c r="WSW145" s="17"/>
      <c r="WSX145" s="15"/>
      <c r="WTM145" s="17"/>
      <c r="WTN145" s="15"/>
      <c r="WUC145" s="17"/>
      <c r="WUD145" s="15"/>
      <c r="WUS145" s="17"/>
      <c r="WUT145" s="15"/>
      <c r="WVI145" s="17"/>
      <c r="WVJ145" s="15"/>
      <c r="WVY145" s="17"/>
      <c r="WVZ145" s="15"/>
      <c r="WWO145" s="17"/>
      <c r="WWP145" s="15"/>
      <c r="WXE145" s="17"/>
      <c r="WXF145" s="15"/>
      <c r="WXU145" s="17"/>
      <c r="WXV145" s="15"/>
      <c r="WYK145" s="17"/>
      <c r="WYL145" s="15"/>
      <c r="WZA145" s="17"/>
      <c r="WZB145" s="15"/>
      <c r="WZQ145" s="17"/>
      <c r="WZR145" s="15"/>
      <c r="XAG145" s="17"/>
      <c r="XAH145" s="15"/>
      <c r="XAW145" s="17"/>
      <c r="XAX145" s="15"/>
      <c r="XBM145" s="17"/>
      <c r="XBN145" s="15"/>
      <c r="XCC145" s="17"/>
      <c r="XCD145" s="15"/>
      <c r="XCS145" s="17"/>
      <c r="XCT145" s="15"/>
      <c r="XDI145" s="17"/>
      <c r="XDJ145" s="15"/>
      <c r="XDY145" s="17"/>
      <c r="XDZ145" s="15"/>
      <c r="XEO145" s="17"/>
      <c r="XEP145" s="15"/>
    </row>
    <row r="146" spans="1:16384" s="16" customFormat="1" ht="17.100000000000001" customHeight="1">
      <c r="A146" s="22">
        <v>45924</v>
      </c>
      <c r="B146" s="15" t="s">
        <v>531</v>
      </c>
      <c r="C146" s="16" t="s">
        <v>2761</v>
      </c>
      <c r="D146" s="16" t="s">
        <v>2747</v>
      </c>
      <c r="E146" s="16" t="s">
        <v>2763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54</v>
      </c>
      <c r="O146" s="16" t="s">
        <v>2336</v>
      </c>
      <c r="P146" s="16" t="s">
        <v>2760</v>
      </c>
      <c r="Q146" s="15" t="s">
        <v>2770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17"/>
      <c r="AH146" s="15"/>
      <c r="AW146" s="17"/>
      <c r="AX146" s="15"/>
      <c r="BM146" s="17"/>
      <c r="BN146" s="15"/>
      <c r="CC146" s="17"/>
      <c r="CD146" s="15"/>
      <c r="CS146" s="17"/>
      <c r="CT146" s="15"/>
      <c r="DI146" s="17"/>
      <c r="DJ146" s="15"/>
      <c r="DY146" s="17"/>
      <c r="DZ146" s="15"/>
      <c r="EO146" s="17"/>
      <c r="EP146" s="15"/>
      <c r="FE146" s="17"/>
      <c r="FF146" s="15"/>
      <c r="FU146" s="17"/>
      <c r="FV146" s="15"/>
      <c r="GK146" s="17"/>
      <c r="GL146" s="15"/>
      <c r="HA146" s="17"/>
      <c r="HB146" s="15"/>
      <c r="HQ146" s="17"/>
      <c r="HR146" s="15"/>
      <c r="IG146" s="17"/>
      <c r="IH146" s="15"/>
      <c r="IW146" s="17"/>
      <c r="IX146" s="15"/>
      <c r="JM146" s="17"/>
      <c r="JN146" s="15"/>
      <c r="KC146" s="17"/>
      <c r="KD146" s="15"/>
      <c r="KS146" s="17"/>
      <c r="KT146" s="15"/>
      <c r="LI146" s="17"/>
      <c r="LJ146" s="15"/>
      <c r="LY146" s="17"/>
      <c r="LZ146" s="15"/>
      <c r="MO146" s="17"/>
      <c r="MP146" s="15"/>
      <c r="NE146" s="17"/>
      <c r="NF146" s="15"/>
      <c r="NU146" s="17"/>
      <c r="NV146" s="15"/>
      <c r="OK146" s="17"/>
      <c r="OL146" s="15"/>
      <c r="PA146" s="17"/>
      <c r="PB146" s="15"/>
      <c r="PQ146" s="17"/>
      <c r="PR146" s="15"/>
      <c r="QG146" s="17"/>
      <c r="QH146" s="15"/>
      <c r="QW146" s="17"/>
      <c r="QX146" s="15"/>
      <c r="RM146" s="17"/>
      <c r="RN146" s="15"/>
      <c r="SC146" s="17"/>
      <c r="SD146" s="15"/>
      <c r="SS146" s="17"/>
      <c r="ST146" s="15"/>
      <c r="TI146" s="17"/>
      <c r="TJ146" s="15"/>
      <c r="TY146" s="17"/>
      <c r="TZ146" s="15"/>
      <c r="UO146" s="17"/>
      <c r="UP146" s="15"/>
      <c r="VE146" s="17"/>
      <c r="VF146" s="15"/>
      <c r="VU146" s="17"/>
      <c r="VV146" s="15"/>
      <c r="WK146" s="17"/>
      <c r="WL146" s="15"/>
      <c r="XA146" s="17"/>
      <c r="XB146" s="15"/>
      <c r="XQ146" s="17"/>
      <c r="XR146" s="15"/>
      <c r="YG146" s="17"/>
      <c r="YH146" s="15"/>
      <c r="YW146" s="17"/>
      <c r="YX146" s="15"/>
      <c r="ZM146" s="17"/>
      <c r="ZN146" s="15"/>
      <c r="AAC146" s="17"/>
      <c r="AAD146" s="15"/>
      <c r="AAS146" s="17"/>
      <c r="AAT146" s="15"/>
      <c r="ABI146" s="17"/>
      <c r="ABJ146" s="15"/>
      <c r="ABY146" s="17"/>
      <c r="ABZ146" s="15"/>
      <c r="ACO146" s="17"/>
      <c r="ACP146" s="15"/>
      <c r="ADE146" s="17"/>
      <c r="ADF146" s="15"/>
      <c r="ADU146" s="17"/>
      <c r="ADV146" s="15"/>
      <c r="AEK146" s="17"/>
      <c r="AEL146" s="15"/>
      <c r="AFA146" s="17"/>
      <c r="AFB146" s="15"/>
      <c r="AFQ146" s="17"/>
      <c r="AFR146" s="15"/>
      <c r="AGG146" s="17"/>
      <c r="AGH146" s="15"/>
      <c r="AGW146" s="17"/>
      <c r="AGX146" s="15"/>
      <c r="AHM146" s="17"/>
      <c r="AHN146" s="15"/>
      <c r="AIC146" s="17"/>
      <c r="AID146" s="15"/>
      <c r="AIS146" s="17"/>
      <c r="AIT146" s="15"/>
      <c r="AJI146" s="17"/>
      <c r="AJJ146" s="15"/>
      <c r="AJY146" s="17"/>
      <c r="AJZ146" s="15"/>
      <c r="AKO146" s="17"/>
      <c r="AKP146" s="15"/>
      <c r="ALE146" s="17"/>
      <c r="ALF146" s="15"/>
      <c r="ALU146" s="17"/>
      <c r="ALV146" s="15"/>
      <c r="AMK146" s="17"/>
      <c r="AML146" s="15"/>
      <c r="ANA146" s="17"/>
      <c r="ANB146" s="15"/>
      <c r="ANQ146" s="17"/>
      <c r="ANR146" s="15"/>
      <c r="AOG146" s="17"/>
      <c r="AOH146" s="15"/>
      <c r="AOW146" s="17"/>
      <c r="AOX146" s="15"/>
      <c r="APM146" s="17"/>
      <c r="APN146" s="15"/>
      <c r="AQC146" s="17"/>
      <c r="AQD146" s="15"/>
      <c r="AQS146" s="17"/>
      <c r="AQT146" s="15"/>
      <c r="ARI146" s="17"/>
      <c r="ARJ146" s="15"/>
      <c r="ARY146" s="17"/>
      <c r="ARZ146" s="15"/>
      <c r="ASO146" s="17"/>
      <c r="ASP146" s="15"/>
      <c r="ATE146" s="17"/>
      <c r="ATF146" s="15"/>
      <c r="ATU146" s="17"/>
      <c r="ATV146" s="15"/>
      <c r="AUK146" s="17"/>
      <c r="AUL146" s="15"/>
      <c r="AVA146" s="17"/>
      <c r="AVB146" s="15"/>
      <c r="AVQ146" s="17"/>
      <c r="AVR146" s="15"/>
      <c r="AWG146" s="17"/>
      <c r="AWH146" s="15"/>
      <c r="AWW146" s="17"/>
      <c r="AWX146" s="15"/>
      <c r="AXM146" s="17"/>
      <c r="AXN146" s="15"/>
      <c r="AYC146" s="17"/>
      <c r="AYD146" s="15"/>
      <c r="AYS146" s="17"/>
      <c r="AYT146" s="15"/>
      <c r="AZI146" s="17"/>
      <c r="AZJ146" s="15"/>
      <c r="AZY146" s="17"/>
      <c r="AZZ146" s="15"/>
      <c r="BAO146" s="17"/>
      <c r="BAP146" s="15"/>
      <c r="BBE146" s="17"/>
      <c r="BBF146" s="15"/>
      <c r="BBU146" s="17"/>
      <c r="BBV146" s="15"/>
      <c r="BCK146" s="17"/>
      <c r="BCL146" s="15"/>
      <c r="BDA146" s="17"/>
      <c r="BDB146" s="15"/>
      <c r="BDQ146" s="17"/>
      <c r="BDR146" s="15"/>
      <c r="BEG146" s="17"/>
      <c r="BEH146" s="15"/>
      <c r="BEW146" s="17"/>
      <c r="BEX146" s="15"/>
      <c r="BFM146" s="17"/>
      <c r="BFN146" s="15"/>
      <c r="BGC146" s="17"/>
      <c r="BGD146" s="15"/>
      <c r="BGS146" s="17"/>
      <c r="BGT146" s="15"/>
      <c r="BHI146" s="17"/>
      <c r="BHJ146" s="15"/>
      <c r="BHY146" s="17"/>
      <c r="BHZ146" s="15"/>
      <c r="BIO146" s="17"/>
      <c r="BIP146" s="15"/>
      <c r="BJE146" s="17"/>
      <c r="BJF146" s="15"/>
      <c r="BJU146" s="17"/>
      <c r="BJV146" s="15"/>
      <c r="BKK146" s="17"/>
      <c r="BKL146" s="15"/>
      <c r="BLA146" s="17"/>
      <c r="BLB146" s="15"/>
      <c r="BLQ146" s="17"/>
      <c r="BLR146" s="15"/>
      <c r="BMG146" s="17"/>
      <c r="BMH146" s="15"/>
      <c r="BMW146" s="17"/>
      <c r="BMX146" s="15"/>
      <c r="BNM146" s="17"/>
      <c r="BNN146" s="15"/>
      <c r="BOC146" s="17"/>
      <c r="BOD146" s="15"/>
      <c r="BOS146" s="17"/>
      <c r="BOT146" s="15"/>
      <c r="BPI146" s="17"/>
      <c r="BPJ146" s="15"/>
      <c r="BPY146" s="17"/>
      <c r="BPZ146" s="15"/>
      <c r="BQO146" s="17"/>
      <c r="BQP146" s="15"/>
      <c r="BRE146" s="17"/>
      <c r="BRF146" s="15"/>
      <c r="BRU146" s="17"/>
      <c r="BRV146" s="15"/>
      <c r="BSK146" s="17"/>
      <c r="BSL146" s="15"/>
      <c r="BTA146" s="17"/>
      <c r="BTB146" s="15"/>
      <c r="BTQ146" s="17"/>
      <c r="BTR146" s="15"/>
      <c r="BUG146" s="17"/>
      <c r="BUH146" s="15"/>
      <c r="BUW146" s="17"/>
      <c r="BUX146" s="15"/>
      <c r="BVM146" s="17"/>
      <c r="BVN146" s="15"/>
      <c r="BWC146" s="17"/>
      <c r="BWD146" s="15"/>
      <c r="BWS146" s="17"/>
      <c r="BWT146" s="15"/>
      <c r="BXI146" s="17"/>
      <c r="BXJ146" s="15"/>
      <c r="BXY146" s="17"/>
      <c r="BXZ146" s="15"/>
      <c r="BYO146" s="17"/>
      <c r="BYP146" s="15"/>
      <c r="BZE146" s="17"/>
      <c r="BZF146" s="15"/>
      <c r="BZU146" s="17"/>
      <c r="BZV146" s="15"/>
      <c r="CAK146" s="17"/>
      <c r="CAL146" s="15"/>
      <c r="CBA146" s="17"/>
      <c r="CBB146" s="15"/>
      <c r="CBQ146" s="17"/>
      <c r="CBR146" s="15"/>
      <c r="CCG146" s="17"/>
      <c r="CCH146" s="15"/>
      <c r="CCW146" s="17"/>
      <c r="CCX146" s="15"/>
      <c r="CDM146" s="17"/>
      <c r="CDN146" s="15"/>
      <c r="CEC146" s="17"/>
      <c r="CED146" s="15"/>
      <c r="CES146" s="17"/>
      <c r="CET146" s="15"/>
      <c r="CFI146" s="17"/>
      <c r="CFJ146" s="15"/>
      <c r="CFY146" s="17"/>
      <c r="CFZ146" s="15"/>
      <c r="CGO146" s="17"/>
      <c r="CGP146" s="15"/>
      <c r="CHE146" s="17"/>
      <c r="CHF146" s="15"/>
      <c r="CHU146" s="17"/>
      <c r="CHV146" s="15"/>
      <c r="CIK146" s="17"/>
      <c r="CIL146" s="15"/>
      <c r="CJA146" s="17"/>
      <c r="CJB146" s="15"/>
      <c r="CJQ146" s="17"/>
      <c r="CJR146" s="15"/>
      <c r="CKG146" s="17"/>
      <c r="CKH146" s="15"/>
      <c r="CKW146" s="17"/>
      <c r="CKX146" s="15"/>
      <c r="CLM146" s="17"/>
      <c r="CLN146" s="15"/>
      <c r="CMC146" s="17"/>
      <c r="CMD146" s="15"/>
      <c r="CMS146" s="17"/>
      <c r="CMT146" s="15"/>
      <c r="CNI146" s="17"/>
      <c r="CNJ146" s="15"/>
      <c r="CNY146" s="17"/>
      <c r="CNZ146" s="15"/>
      <c r="COO146" s="17"/>
      <c r="COP146" s="15"/>
      <c r="CPE146" s="17"/>
      <c r="CPF146" s="15"/>
      <c r="CPU146" s="17"/>
      <c r="CPV146" s="15"/>
      <c r="CQK146" s="17"/>
      <c r="CQL146" s="15"/>
      <c r="CRA146" s="17"/>
      <c r="CRB146" s="15"/>
      <c r="CRQ146" s="17"/>
      <c r="CRR146" s="15"/>
      <c r="CSG146" s="17"/>
      <c r="CSH146" s="15"/>
      <c r="CSW146" s="17"/>
      <c r="CSX146" s="15"/>
      <c r="CTM146" s="17"/>
      <c r="CTN146" s="15"/>
      <c r="CUC146" s="17"/>
      <c r="CUD146" s="15"/>
      <c r="CUS146" s="17"/>
      <c r="CUT146" s="15"/>
      <c r="CVI146" s="17"/>
      <c r="CVJ146" s="15"/>
      <c r="CVY146" s="17"/>
      <c r="CVZ146" s="15"/>
      <c r="CWO146" s="17"/>
      <c r="CWP146" s="15"/>
      <c r="CXE146" s="17"/>
      <c r="CXF146" s="15"/>
      <c r="CXU146" s="17"/>
      <c r="CXV146" s="15"/>
      <c r="CYK146" s="17"/>
      <c r="CYL146" s="15"/>
      <c r="CZA146" s="17"/>
      <c r="CZB146" s="15"/>
      <c r="CZQ146" s="17"/>
      <c r="CZR146" s="15"/>
      <c r="DAG146" s="17"/>
      <c r="DAH146" s="15"/>
      <c r="DAW146" s="17"/>
      <c r="DAX146" s="15"/>
      <c r="DBM146" s="17"/>
      <c r="DBN146" s="15"/>
      <c r="DCC146" s="17"/>
      <c r="DCD146" s="15"/>
      <c r="DCS146" s="17"/>
      <c r="DCT146" s="15"/>
      <c r="DDI146" s="17"/>
      <c r="DDJ146" s="15"/>
      <c r="DDY146" s="17"/>
      <c r="DDZ146" s="15"/>
      <c r="DEO146" s="17"/>
      <c r="DEP146" s="15"/>
      <c r="DFE146" s="17"/>
      <c r="DFF146" s="15"/>
      <c r="DFU146" s="17"/>
      <c r="DFV146" s="15"/>
      <c r="DGK146" s="17"/>
      <c r="DGL146" s="15"/>
      <c r="DHA146" s="17"/>
      <c r="DHB146" s="15"/>
      <c r="DHQ146" s="17"/>
      <c r="DHR146" s="15"/>
      <c r="DIG146" s="17"/>
      <c r="DIH146" s="15"/>
      <c r="DIW146" s="17"/>
      <c r="DIX146" s="15"/>
      <c r="DJM146" s="17"/>
      <c r="DJN146" s="15"/>
      <c r="DKC146" s="17"/>
      <c r="DKD146" s="15"/>
      <c r="DKS146" s="17"/>
      <c r="DKT146" s="15"/>
      <c r="DLI146" s="17"/>
      <c r="DLJ146" s="15"/>
      <c r="DLY146" s="17"/>
      <c r="DLZ146" s="15"/>
      <c r="DMO146" s="17"/>
      <c r="DMP146" s="15"/>
      <c r="DNE146" s="17"/>
      <c r="DNF146" s="15"/>
      <c r="DNU146" s="17"/>
      <c r="DNV146" s="15"/>
      <c r="DOK146" s="17"/>
      <c r="DOL146" s="15"/>
      <c r="DPA146" s="17"/>
      <c r="DPB146" s="15"/>
      <c r="DPQ146" s="17"/>
      <c r="DPR146" s="15"/>
      <c r="DQG146" s="17"/>
      <c r="DQH146" s="15"/>
      <c r="DQW146" s="17"/>
      <c r="DQX146" s="15"/>
      <c r="DRM146" s="17"/>
      <c r="DRN146" s="15"/>
      <c r="DSC146" s="17"/>
      <c r="DSD146" s="15"/>
      <c r="DSS146" s="17"/>
      <c r="DST146" s="15"/>
      <c r="DTI146" s="17"/>
      <c r="DTJ146" s="15"/>
      <c r="DTY146" s="17"/>
      <c r="DTZ146" s="15"/>
      <c r="DUO146" s="17"/>
      <c r="DUP146" s="15"/>
      <c r="DVE146" s="17"/>
      <c r="DVF146" s="15"/>
      <c r="DVU146" s="17"/>
      <c r="DVV146" s="15"/>
      <c r="DWK146" s="17"/>
      <c r="DWL146" s="15"/>
      <c r="DXA146" s="17"/>
      <c r="DXB146" s="15"/>
      <c r="DXQ146" s="17"/>
      <c r="DXR146" s="15"/>
      <c r="DYG146" s="17"/>
      <c r="DYH146" s="15"/>
      <c r="DYW146" s="17"/>
      <c r="DYX146" s="15"/>
      <c r="DZM146" s="17"/>
      <c r="DZN146" s="15"/>
      <c r="EAC146" s="17"/>
      <c r="EAD146" s="15"/>
      <c r="EAS146" s="17"/>
      <c r="EAT146" s="15"/>
      <c r="EBI146" s="17"/>
      <c r="EBJ146" s="15"/>
      <c r="EBY146" s="17"/>
      <c r="EBZ146" s="15"/>
      <c r="ECO146" s="17"/>
      <c r="ECP146" s="15"/>
      <c r="EDE146" s="17"/>
      <c r="EDF146" s="15"/>
      <c r="EDU146" s="17"/>
      <c r="EDV146" s="15"/>
      <c r="EEK146" s="17"/>
      <c r="EEL146" s="15"/>
      <c r="EFA146" s="17"/>
      <c r="EFB146" s="15"/>
      <c r="EFQ146" s="17"/>
      <c r="EFR146" s="15"/>
      <c r="EGG146" s="17"/>
      <c r="EGH146" s="15"/>
      <c r="EGW146" s="17"/>
      <c r="EGX146" s="15"/>
      <c r="EHM146" s="17"/>
      <c r="EHN146" s="15"/>
      <c r="EIC146" s="17"/>
      <c r="EID146" s="15"/>
      <c r="EIS146" s="17"/>
      <c r="EIT146" s="15"/>
      <c r="EJI146" s="17"/>
      <c r="EJJ146" s="15"/>
      <c r="EJY146" s="17"/>
      <c r="EJZ146" s="15"/>
      <c r="EKO146" s="17"/>
      <c r="EKP146" s="15"/>
      <c r="ELE146" s="17"/>
      <c r="ELF146" s="15"/>
      <c r="ELU146" s="17"/>
      <c r="ELV146" s="15"/>
      <c r="EMK146" s="17"/>
      <c r="EML146" s="15"/>
      <c r="ENA146" s="17"/>
      <c r="ENB146" s="15"/>
      <c r="ENQ146" s="17"/>
      <c r="ENR146" s="15"/>
      <c r="EOG146" s="17"/>
      <c r="EOH146" s="15"/>
      <c r="EOW146" s="17"/>
      <c r="EOX146" s="15"/>
      <c r="EPM146" s="17"/>
      <c r="EPN146" s="15"/>
      <c r="EQC146" s="17"/>
      <c r="EQD146" s="15"/>
      <c r="EQS146" s="17"/>
      <c r="EQT146" s="15"/>
      <c r="ERI146" s="17"/>
      <c r="ERJ146" s="15"/>
      <c r="ERY146" s="17"/>
      <c r="ERZ146" s="15"/>
      <c r="ESO146" s="17"/>
      <c r="ESP146" s="15"/>
      <c r="ETE146" s="17"/>
      <c r="ETF146" s="15"/>
      <c r="ETU146" s="17"/>
      <c r="ETV146" s="15"/>
      <c r="EUK146" s="17"/>
      <c r="EUL146" s="15"/>
      <c r="EVA146" s="17"/>
      <c r="EVB146" s="15"/>
      <c r="EVQ146" s="17"/>
      <c r="EVR146" s="15"/>
      <c r="EWG146" s="17"/>
      <c r="EWH146" s="15"/>
      <c r="EWW146" s="17"/>
      <c r="EWX146" s="15"/>
      <c r="EXM146" s="17"/>
      <c r="EXN146" s="15"/>
      <c r="EYC146" s="17"/>
      <c r="EYD146" s="15"/>
      <c r="EYS146" s="17"/>
      <c r="EYT146" s="15"/>
      <c r="EZI146" s="17"/>
      <c r="EZJ146" s="15"/>
      <c r="EZY146" s="17"/>
      <c r="EZZ146" s="15"/>
      <c r="FAO146" s="17"/>
      <c r="FAP146" s="15"/>
      <c r="FBE146" s="17"/>
      <c r="FBF146" s="15"/>
      <c r="FBU146" s="17"/>
      <c r="FBV146" s="15"/>
      <c r="FCK146" s="17"/>
      <c r="FCL146" s="15"/>
      <c r="FDA146" s="17"/>
      <c r="FDB146" s="15"/>
      <c r="FDQ146" s="17"/>
      <c r="FDR146" s="15"/>
      <c r="FEG146" s="17"/>
      <c r="FEH146" s="15"/>
      <c r="FEW146" s="17"/>
      <c r="FEX146" s="15"/>
      <c r="FFM146" s="17"/>
      <c r="FFN146" s="15"/>
      <c r="FGC146" s="17"/>
      <c r="FGD146" s="15"/>
      <c r="FGS146" s="17"/>
      <c r="FGT146" s="15"/>
      <c r="FHI146" s="17"/>
      <c r="FHJ146" s="15"/>
      <c r="FHY146" s="17"/>
      <c r="FHZ146" s="15"/>
      <c r="FIO146" s="17"/>
      <c r="FIP146" s="15"/>
      <c r="FJE146" s="17"/>
      <c r="FJF146" s="15"/>
      <c r="FJU146" s="17"/>
      <c r="FJV146" s="15"/>
      <c r="FKK146" s="17"/>
      <c r="FKL146" s="15"/>
      <c r="FLA146" s="17"/>
      <c r="FLB146" s="15"/>
      <c r="FLQ146" s="17"/>
      <c r="FLR146" s="15"/>
      <c r="FMG146" s="17"/>
      <c r="FMH146" s="15"/>
      <c r="FMW146" s="17"/>
      <c r="FMX146" s="15"/>
      <c r="FNM146" s="17"/>
      <c r="FNN146" s="15"/>
      <c r="FOC146" s="17"/>
      <c r="FOD146" s="15"/>
      <c r="FOS146" s="17"/>
      <c r="FOT146" s="15"/>
      <c r="FPI146" s="17"/>
      <c r="FPJ146" s="15"/>
      <c r="FPY146" s="17"/>
      <c r="FPZ146" s="15"/>
      <c r="FQO146" s="17"/>
      <c r="FQP146" s="15"/>
      <c r="FRE146" s="17"/>
      <c r="FRF146" s="15"/>
      <c r="FRU146" s="17"/>
      <c r="FRV146" s="15"/>
      <c r="FSK146" s="17"/>
      <c r="FSL146" s="15"/>
      <c r="FTA146" s="17"/>
      <c r="FTB146" s="15"/>
      <c r="FTQ146" s="17"/>
      <c r="FTR146" s="15"/>
      <c r="FUG146" s="17"/>
      <c r="FUH146" s="15"/>
      <c r="FUW146" s="17"/>
      <c r="FUX146" s="15"/>
      <c r="FVM146" s="17"/>
      <c r="FVN146" s="15"/>
      <c r="FWC146" s="17"/>
      <c r="FWD146" s="15"/>
      <c r="FWS146" s="17"/>
      <c r="FWT146" s="15"/>
      <c r="FXI146" s="17"/>
      <c r="FXJ146" s="15"/>
      <c r="FXY146" s="17"/>
      <c r="FXZ146" s="15"/>
      <c r="FYO146" s="17"/>
      <c r="FYP146" s="15"/>
      <c r="FZE146" s="17"/>
      <c r="FZF146" s="15"/>
      <c r="FZU146" s="17"/>
      <c r="FZV146" s="15"/>
      <c r="GAK146" s="17"/>
      <c r="GAL146" s="15"/>
      <c r="GBA146" s="17"/>
      <c r="GBB146" s="15"/>
      <c r="GBQ146" s="17"/>
      <c r="GBR146" s="15"/>
      <c r="GCG146" s="17"/>
      <c r="GCH146" s="15"/>
      <c r="GCW146" s="17"/>
      <c r="GCX146" s="15"/>
      <c r="GDM146" s="17"/>
      <c r="GDN146" s="15"/>
      <c r="GEC146" s="17"/>
      <c r="GED146" s="15"/>
      <c r="GES146" s="17"/>
      <c r="GET146" s="15"/>
      <c r="GFI146" s="17"/>
      <c r="GFJ146" s="15"/>
      <c r="GFY146" s="17"/>
      <c r="GFZ146" s="15"/>
      <c r="GGO146" s="17"/>
      <c r="GGP146" s="15"/>
      <c r="GHE146" s="17"/>
      <c r="GHF146" s="15"/>
      <c r="GHU146" s="17"/>
      <c r="GHV146" s="15"/>
      <c r="GIK146" s="17"/>
      <c r="GIL146" s="15"/>
      <c r="GJA146" s="17"/>
      <c r="GJB146" s="15"/>
      <c r="GJQ146" s="17"/>
      <c r="GJR146" s="15"/>
      <c r="GKG146" s="17"/>
      <c r="GKH146" s="15"/>
      <c r="GKW146" s="17"/>
      <c r="GKX146" s="15"/>
      <c r="GLM146" s="17"/>
      <c r="GLN146" s="15"/>
      <c r="GMC146" s="17"/>
      <c r="GMD146" s="15"/>
      <c r="GMS146" s="17"/>
      <c r="GMT146" s="15"/>
      <c r="GNI146" s="17"/>
      <c r="GNJ146" s="15"/>
      <c r="GNY146" s="17"/>
      <c r="GNZ146" s="15"/>
      <c r="GOO146" s="17"/>
      <c r="GOP146" s="15"/>
      <c r="GPE146" s="17"/>
      <c r="GPF146" s="15"/>
      <c r="GPU146" s="17"/>
      <c r="GPV146" s="15"/>
      <c r="GQK146" s="17"/>
      <c r="GQL146" s="15"/>
      <c r="GRA146" s="17"/>
      <c r="GRB146" s="15"/>
      <c r="GRQ146" s="17"/>
      <c r="GRR146" s="15"/>
      <c r="GSG146" s="17"/>
      <c r="GSH146" s="15"/>
      <c r="GSW146" s="17"/>
      <c r="GSX146" s="15"/>
      <c r="GTM146" s="17"/>
      <c r="GTN146" s="15"/>
      <c r="GUC146" s="17"/>
      <c r="GUD146" s="15"/>
      <c r="GUS146" s="17"/>
      <c r="GUT146" s="15"/>
      <c r="GVI146" s="17"/>
      <c r="GVJ146" s="15"/>
      <c r="GVY146" s="17"/>
      <c r="GVZ146" s="15"/>
      <c r="GWO146" s="17"/>
      <c r="GWP146" s="15"/>
      <c r="GXE146" s="17"/>
      <c r="GXF146" s="15"/>
      <c r="GXU146" s="17"/>
      <c r="GXV146" s="15"/>
      <c r="GYK146" s="17"/>
      <c r="GYL146" s="15"/>
      <c r="GZA146" s="17"/>
      <c r="GZB146" s="15"/>
      <c r="GZQ146" s="17"/>
      <c r="GZR146" s="15"/>
      <c r="HAG146" s="17"/>
      <c r="HAH146" s="15"/>
      <c r="HAW146" s="17"/>
      <c r="HAX146" s="15"/>
      <c r="HBM146" s="17"/>
      <c r="HBN146" s="15"/>
      <c r="HCC146" s="17"/>
      <c r="HCD146" s="15"/>
      <c r="HCS146" s="17"/>
      <c r="HCT146" s="15"/>
      <c r="HDI146" s="17"/>
      <c r="HDJ146" s="15"/>
      <c r="HDY146" s="17"/>
      <c r="HDZ146" s="15"/>
      <c r="HEO146" s="17"/>
      <c r="HEP146" s="15"/>
      <c r="HFE146" s="17"/>
      <c r="HFF146" s="15"/>
      <c r="HFU146" s="17"/>
      <c r="HFV146" s="15"/>
      <c r="HGK146" s="17"/>
      <c r="HGL146" s="15"/>
      <c r="HHA146" s="17"/>
      <c r="HHB146" s="15"/>
      <c r="HHQ146" s="17"/>
      <c r="HHR146" s="15"/>
      <c r="HIG146" s="17"/>
      <c r="HIH146" s="15"/>
      <c r="HIW146" s="17"/>
      <c r="HIX146" s="15"/>
      <c r="HJM146" s="17"/>
      <c r="HJN146" s="15"/>
      <c r="HKC146" s="17"/>
      <c r="HKD146" s="15"/>
      <c r="HKS146" s="17"/>
      <c r="HKT146" s="15"/>
      <c r="HLI146" s="17"/>
      <c r="HLJ146" s="15"/>
      <c r="HLY146" s="17"/>
      <c r="HLZ146" s="15"/>
      <c r="HMO146" s="17"/>
      <c r="HMP146" s="15"/>
      <c r="HNE146" s="17"/>
      <c r="HNF146" s="15"/>
      <c r="HNU146" s="17"/>
      <c r="HNV146" s="15"/>
      <c r="HOK146" s="17"/>
      <c r="HOL146" s="15"/>
      <c r="HPA146" s="17"/>
      <c r="HPB146" s="15"/>
      <c r="HPQ146" s="17"/>
      <c r="HPR146" s="15"/>
      <c r="HQG146" s="17"/>
      <c r="HQH146" s="15"/>
      <c r="HQW146" s="17"/>
      <c r="HQX146" s="15"/>
      <c r="HRM146" s="17"/>
      <c r="HRN146" s="15"/>
      <c r="HSC146" s="17"/>
      <c r="HSD146" s="15"/>
      <c r="HSS146" s="17"/>
      <c r="HST146" s="15"/>
      <c r="HTI146" s="17"/>
      <c r="HTJ146" s="15"/>
      <c r="HTY146" s="17"/>
      <c r="HTZ146" s="15"/>
      <c r="HUO146" s="17"/>
      <c r="HUP146" s="15"/>
      <c r="HVE146" s="17"/>
      <c r="HVF146" s="15"/>
      <c r="HVU146" s="17"/>
      <c r="HVV146" s="15"/>
      <c r="HWK146" s="17"/>
      <c r="HWL146" s="15"/>
      <c r="HXA146" s="17"/>
      <c r="HXB146" s="15"/>
      <c r="HXQ146" s="17"/>
      <c r="HXR146" s="15"/>
      <c r="HYG146" s="17"/>
      <c r="HYH146" s="15"/>
      <c r="HYW146" s="17"/>
      <c r="HYX146" s="15"/>
      <c r="HZM146" s="17"/>
      <c r="HZN146" s="15"/>
      <c r="IAC146" s="17"/>
      <c r="IAD146" s="15"/>
      <c r="IAS146" s="17"/>
      <c r="IAT146" s="15"/>
      <c r="IBI146" s="17"/>
      <c r="IBJ146" s="15"/>
      <c r="IBY146" s="17"/>
      <c r="IBZ146" s="15"/>
      <c r="ICO146" s="17"/>
      <c r="ICP146" s="15"/>
      <c r="IDE146" s="17"/>
      <c r="IDF146" s="15"/>
      <c r="IDU146" s="17"/>
      <c r="IDV146" s="15"/>
      <c r="IEK146" s="17"/>
      <c r="IEL146" s="15"/>
      <c r="IFA146" s="17"/>
      <c r="IFB146" s="15"/>
      <c r="IFQ146" s="17"/>
      <c r="IFR146" s="15"/>
      <c r="IGG146" s="17"/>
      <c r="IGH146" s="15"/>
      <c r="IGW146" s="17"/>
      <c r="IGX146" s="15"/>
      <c r="IHM146" s="17"/>
      <c r="IHN146" s="15"/>
      <c r="IIC146" s="17"/>
      <c r="IID146" s="15"/>
      <c r="IIS146" s="17"/>
      <c r="IIT146" s="15"/>
      <c r="IJI146" s="17"/>
      <c r="IJJ146" s="15"/>
      <c r="IJY146" s="17"/>
      <c r="IJZ146" s="15"/>
      <c r="IKO146" s="17"/>
      <c r="IKP146" s="15"/>
      <c r="ILE146" s="17"/>
      <c r="ILF146" s="15"/>
      <c r="ILU146" s="17"/>
      <c r="ILV146" s="15"/>
      <c r="IMK146" s="17"/>
      <c r="IML146" s="15"/>
      <c r="INA146" s="17"/>
      <c r="INB146" s="15"/>
      <c r="INQ146" s="17"/>
      <c r="INR146" s="15"/>
      <c r="IOG146" s="17"/>
      <c r="IOH146" s="15"/>
      <c r="IOW146" s="17"/>
      <c r="IOX146" s="15"/>
      <c r="IPM146" s="17"/>
      <c r="IPN146" s="15"/>
      <c r="IQC146" s="17"/>
      <c r="IQD146" s="15"/>
      <c r="IQS146" s="17"/>
      <c r="IQT146" s="15"/>
      <c r="IRI146" s="17"/>
      <c r="IRJ146" s="15"/>
      <c r="IRY146" s="17"/>
      <c r="IRZ146" s="15"/>
      <c r="ISO146" s="17"/>
      <c r="ISP146" s="15"/>
      <c r="ITE146" s="17"/>
      <c r="ITF146" s="15"/>
      <c r="ITU146" s="17"/>
      <c r="ITV146" s="15"/>
      <c r="IUK146" s="17"/>
      <c r="IUL146" s="15"/>
      <c r="IVA146" s="17"/>
      <c r="IVB146" s="15"/>
      <c r="IVQ146" s="17"/>
      <c r="IVR146" s="15"/>
      <c r="IWG146" s="17"/>
      <c r="IWH146" s="15"/>
      <c r="IWW146" s="17"/>
      <c r="IWX146" s="15"/>
      <c r="IXM146" s="17"/>
      <c r="IXN146" s="15"/>
      <c r="IYC146" s="17"/>
      <c r="IYD146" s="15"/>
      <c r="IYS146" s="17"/>
      <c r="IYT146" s="15"/>
      <c r="IZI146" s="17"/>
      <c r="IZJ146" s="15"/>
      <c r="IZY146" s="17"/>
      <c r="IZZ146" s="15"/>
      <c r="JAO146" s="17"/>
      <c r="JAP146" s="15"/>
      <c r="JBE146" s="17"/>
      <c r="JBF146" s="15"/>
      <c r="JBU146" s="17"/>
      <c r="JBV146" s="15"/>
      <c r="JCK146" s="17"/>
      <c r="JCL146" s="15"/>
      <c r="JDA146" s="17"/>
      <c r="JDB146" s="15"/>
      <c r="JDQ146" s="17"/>
      <c r="JDR146" s="15"/>
      <c r="JEG146" s="17"/>
      <c r="JEH146" s="15"/>
      <c r="JEW146" s="17"/>
      <c r="JEX146" s="15"/>
      <c r="JFM146" s="17"/>
      <c r="JFN146" s="15"/>
      <c r="JGC146" s="17"/>
      <c r="JGD146" s="15"/>
      <c r="JGS146" s="17"/>
      <c r="JGT146" s="15"/>
      <c r="JHI146" s="17"/>
      <c r="JHJ146" s="15"/>
      <c r="JHY146" s="17"/>
      <c r="JHZ146" s="15"/>
      <c r="JIO146" s="17"/>
      <c r="JIP146" s="15"/>
      <c r="JJE146" s="17"/>
      <c r="JJF146" s="15"/>
      <c r="JJU146" s="17"/>
      <c r="JJV146" s="15"/>
      <c r="JKK146" s="17"/>
      <c r="JKL146" s="15"/>
      <c r="JLA146" s="17"/>
      <c r="JLB146" s="15"/>
      <c r="JLQ146" s="17"/>
      <c r="JLR146" s="15"/>
      <c r="JMG146" s="17"/>
      <c r="JMH146" s="15"/>
      <c r="JMW146" s="17"/>
      <c r="JMX146" s="15"/>
      <c r="JNM146" s="17"/>
      <c r="JNN146" s="15"/>
      <c r="JOC146" s="17"/>
      <c r="JOD146" s="15"/>
      <c r="JOS146" s="17"/>
      <c r="JOT146" s="15"/>
      <c r="JPI146" s="17"/>
      <c r="JPJ146" s="15"/>
      <c r="JPY146" s="17"/>
      <c r="JPZ146" s="15"/>
      <c r="JQO146" s="17"/>
      <c r="JQP146" s="15"/>
      <c r="JRE146" s="17"/>
      <c r="JRF146" s="15"/>
      <c r="JRU146" s="17"/>
      <c r="JRV146" s="15"/>
      <c r="JSK146" s="17"/>
      <c r="JSL146" s="15"/>
      <c r="JTA146" s="17"/>
      <c r="JTB146" s="15"/>
      <c r="JTQ146" s="17"/>
      <c r="JTR146" s="15"/>
      <c r="JUG146" s="17"/>
      <c r="JUH146" s="15"/>
      <c r="JUW146" s="17"/>
      <c r="JUX146" s="15"/>
      <c r="JVM146" s="17"/>
      <c r="JVN146" s="15"/>
      <c r="JWC146" s="17"/>
      <c r="JWD146" s="15"/>
      <c r="JWS146" s="17"/>
      <c r="JWT146" s="15"/>
      <c r="JXI146" s="17"/>
      <c r="JXJ146" s="15"/>
      <c r="JXY146" s="17"/>
      <c r="JXZ146" s="15"/>
      <c r="JYO146" s="17"/>
      <c r="JYP146" s="15"/>
      <c r="JZE146" s="17"/>
      <c r="JZF146" s="15"/>
      <c r="JZU146" s="17"/>
      <c r="JZV146" s="15"/>
      <c r="KAK146" s="17"/>
      <c r="KAL146" s="15"/>
      <c r="KBA146" s="17"/>
      <c r="KBB146" s="15"/>
      <c r="KBQ146" s="17"/>
      <c r="KBR146" s="15"/>
      <c r="KCG146" s="17"/>
      <c r="KCH146" s="15"/>
      <c r="KCW146" s="17"/>
      <c r="KCX146" s="15"/>
      <c r="KDM146" s="17"/>
      <c r="KDN146" s="15"/>
      <c r="KEC146" s="17"/>
      <c r="KED146" s="15"/>
      <c r="KES146" s="17"/>
      <c r="KET146" s="15"/>
      <c r="KFI146" s="17"/>
      <c r="KFJ146" s="15"/>
      <c r="KFY146" s="17"/>
      <c r="KFZ146" s="15"/>
      <c r="KGO146" s="17"/>
      <c r="KGP146" s="15"/>
      <c r="KHE146" s="17"/>
      <c r="KHF146" s="15"/>
      <c r="KHU146" s="17"/>
      <c r="KHV146" s="15"/>
      <c r="KIK146" s="17"/>
      <c r="KIL146" s="15"/>
      <c r="KJA146" s="17"/>
      <c r="KJB146" s="15"/>
      <c r="KJQ146" s="17"/>
      <c r="KJR146" s="15"/>
      <c r="KKG146" s="17"/>
      <c r="KKH146" s="15"/>
      <c r="KKW146" s="17"/>
      <c r="KKX146" s="15"/>
      <c r="KLM146" s="17"/>
      <c r="KLN146" s="15"/>
      <c r="KMC146" s="17"/>
      <c r="KMD146" s="15"/>
      <c r="KMS146" s="17"/>
      <c r="KMT146" s="15"/>
      <c r="KNI146" s="17"/>
      <c r="KNJ146" s="15"/>
      <c r="KNY146" s="17"/>
      <c r="KNZ146" s="15"/>
      <c r="KOO146" s="17"/>
      <c r="KOP146" s="15"/>
      <c r="KPE146" s="17"/>
      <c r="KPF146" s="15"/>
      <c r="KPU146" s="17"/>
      <c r="KPV146" s="15"/>
      <c r="KQK146" s="17"/>
      <c r="KQL146" s="15"/>
      <c r="KRA146" s="17"/>
      <c r="KRB146" s="15"/>
      <c r="KRQ146" s="17"/>
      <c r="KRR146" s="15"/>
      <c r="KSG146" s="17"/>
      <c r="KSH146" s="15"/>
      <c r="KSW146" s="17"/>
      <c r="KSX146" s="15"/>
      <c r="KTM146" s="17"/>
      <c r="KTN146" s="15"/>
      <c r="KUC146" s="17"/>
      <c r="KUD146" s="15"/>
      <c r="KUS146" s="17"/>
      <c r="KUT146" s="15"/>
      <c r="KVI146" s="17"/>
      <c r="KVJ146" s="15"/>
      <c r="KVY146" s="17"/>
      <c r="KVZ146" s="15"/>
      <c r="KWO146" s="17"/>
      <c r="KWP146" s="15"/>
      <c r="KXE146" s="17"/>
      <c r="KXF146" s="15"/>
      <c r="KXU146" s="17"/>
      <c r="KXV146" s="15"/>
      <c r="KYK146" s="17"/>
      <c r="KYL146" s="15"/>
      <c r="KZA146" s="17"/>
      <c r="KZB146" s="15"/>
      <c r="KZQ146" s="17"/>
      <c r="KZR146" s="15"/>
      <c r="LAG146" s="17"/>
      <c r="LAH146" s="15"/>
      <c r="LAW146" s="17"/>
      <c r="LAX146" s="15"/>
      <c r="LBM146" s="17"/>
      <c r="LBN146" s="15"/>
      <c r="LCC146" s="17"/>
      <c r="LCD146" s="15"/>
      <c r="LCS146" s="17"/>
      <c r="LCT146" s="15"/>
      <c r="LDI146" s="17"/>
      <c r="LDJ146" s="15"/>
      <c r="LDY146" s="17"/>
      <c r="LDZ146" s="15"/>
      <c r="LEO146" s="17"/>
      <c r="LEP146" s="15"/>
      <c r="LFE146" s="17"/>
      <c r="LFF146" s="15"/>
      <c r="LFU146" s="17"/>
      <c r="LFV146" s="15"/>
      <c r="LGK146" s="17"/>
      <c r="LGL146" s="15"/>
      <c r="LHA146" s="17"/>
      <c r="LHB146" s="15"/>
      <c r="LHQ146" s="17"/>
      <c r="LHR146" s="15"/>
      <c r="LIG146" s="17"/>
      <c r="LIH146" s="15"/>
      <c r="LIW146" s="17"/>
      <c r="LIX146" s="15"/>
      <c r="LJM146" s="17"/>
      <c r="LJN146" s="15"/>
      <c r="LKC146" s="17"/>
      <c r="LKD146" s="15"/>
      <c r="LKS146" s="17"/>
      <c r="LKT146" s="15"/>
      <c r="LLI146" s="17"/>
      <c r="LLJ146" s="15"/>
      <c r="LLY146" s="17"/>
      <c r="LLZ146" s="15"/>
      <c r="LMO146" s="17"/>
      <c r="LMP146" s="15"/>
      <c r="LNE146" s="17"/>
      <c r="LNF146" s="15"/>
      <c r="LNU146" s="17"/>
      <c r="LNV146" s="15"/>
      <c r="LOK146" s="17"/>
      <c r="LOL146" s="15"/>
      <c r="LPA146" s="17"/>
      <c r="LPB146" s="15"/>
      <c r="LPQ146" s="17"/>
      <c r="LPR146" s="15"/>
      <c r="LQG146" s="17"/>
      <c r="LQH146" s="15"/>
      <c r="LQW146" s="17"/>
      <c r="LQX146" s="15"/>
      <c r="LRM146" s="17"/>
      <c r="LRN146" s="15"/>
      <c r="LSC146" s="17"/>
      <c r="LSD146" s="15"/>
      <c r="LSS146" s="17"/>
      <c r="LST146" s="15"/>
      <c r="LTI146" s="17"/>
      <c r="LTJ146" s="15"/>
      <c r="LTY146" s="17"/>
      <c r="LTZ146" s="15"/>
      <c r="LUO146" s="17"/>
      <c r="LUP146" s="15"/>
      <c r="LVE146" s="17"/>
      <c r="LVF146" s="15"/>
      <c r="LVU146" s="17"/>
      <c r="LVV146" s="15"/>
      <c r="LWK146" s="17"/>
      <c r="LWL146" s="15"/>
      <c r="LXA146" s="17"/>
      <c r="LXB146" s="15"/>
      <c r="LXQ146" s="17"/>
      <c r="LXR146" s="15"/>
      <c r="LYG146" s="17"/>
      <c r="LYH146" s="15"/>
      <c r="LYW146" s="17"/>
      <c r="LYX146" s="15"/>
      <c r="LZM146" s="17"/>
      <c r="LZN146" s="15"/>
      <c r="MAC146" s="17"/>
      <c r="MAD146" s="15"/>
      <c r="MAS146" s="17"/>
      <c r="MAT146" s="15"/>
      <c r="MBI146" s="17"/>
      <c r="MBJ146" s="15"/>
      <c r="MBY146" s="17"/>
      <c r="MBZ146" s="15"/>
      <c r="MCO146" s="17"/>
      <c r="MCP146" s="15"/>
      <c r="MDE146" s="17"/>
      <c r="MDF146" s="15"/>
      <c r="MDU146" s="17"/>
      <c r="MDV146" s="15"/>
      <c r="MEK146" s="17"/>
      <c r="MEL146" s="15"/>
      <c r="MFA146" s="17"/>
      <c r="MFB146" s="15"/>
      <c r="MFQ146" s="17"/>
      <c r="MFR146" s="15"/>
      <c r="MGG146" s="17"/>
      <c r="MGH146" s="15"/>
      <c r="MGW146" s="17"/>
      <c r="MGX146" s="15"/>
      <c r="MHM146" s="17"/>
      <c r="MHN146" s="15"/>
      <c r="MIC146" s="17"/>
      <c r="MID146" s="15"/>
      <c r="MIS146" s="17"/>
      <c r="MIT146" s="15"/>
      <c r="MJI146" s="17"/>
      <c r="MJJ146" s="15"/>
      <c r="MJY146" s="17"/>
      <c r="MJZ146" s="15"/>
      <c r="MKO146" s="17"/>
      <c r="MKP146" s="15"/>
      <c r="MLE146" s="17"/>
      <c r="MLF146" s="15"/>
      <c r="MLU146" s="17"/>
      <c r="MLV146" s="15"/>
      <c r="MMK146" s="17"/>
      <c r="MML146" s="15"/>
      <c r="MNA146" s="17"/>
      <c r="MNB146" s="15"/>
      <c r="MNQ146" s="17"/>
      <c r="MNR146" s="15"/>
      <c r="MOG146" s="17"/>
      <c r="MOH146" s="15"/>
      <c r="MOW146" s="17"/>
      <c r="MOX146" s="15"/>
      <c r="MPM146" s="17"/>
      <c r="MPN146" s="15"/>
      <c r="MQC146" s="17"/>
      <c r="MQD146" s="15"/>
      <c r="MQS146" s="17"/>
      <c r="MQT146" s="15"/>
      <c r="MRI146" s="17"/>
      <c r="MRJ146" s="15"/>
      <c r="MRY146" s="17"/>
      <c r="MRZ146" s="15"/>
      <c r="MSO146" s="17"/>
      <c r="MSP146" s="15"/>
      <c r="MTE146" s="17"/>
      <c r="MTF146" s="15"/>
      <c r="MTU146" s="17"/>
      <c r="MTV146" s="15"/>
      <c r="MUK146" s="17"/>
      <c r="MUL146" s="15"/>
      <c r="MVA146" s="17"/>
      <c r="MVB146" s="15"/>
      <c r="MVQ146" s="17"/>
      <c r="MVR146" s="15"/>
      <c r="MWG146" s="17"/>
      <c r="MWH146" s="15"/>
      <c r="MWW146" s="17"/>
      <c r="MWX146" s="15"/>
      <c r="MXM146" s="17"/>
      <c r="MXN146" s="15"/>
      <c r="MYC146" s="17"/>
      <c r="MYD146" s="15"/>
      <c r="MYS146" s="17"/>
      <c r="MYT146" s="15"/>
      <c r="MZI146" s="17"/>
      <c r="MZJ146" s="15"/>
      <c r="MZY146" s="17"/>
      <c r="MZZ146" s="15"/>
      <c r="NAO146" s="17"/>
      <c r="NAP146" s="15"/>
      <c r="NBE146" s="17"/>
      <c r="NBF146" s="15"/>
      <c r="NBU146" s="17"/>
      <c r="NBV146" s="15"/>
      <c r="NCK146" s="17"/>
      <c r="NCL146" s="15"/>
      <c r="NDA146" s="17"/>
      <c r="NDB146" s="15"/>
      <c r="NDQ146" s="17"/>
      <c r="NDR146" s="15"/>
      <c r="NEG146" s="17"/>
      <c r="NEH146" s="15"/>
      <c r="NEW146" s="17"/>
      <c r="NEX146" s="15"/>
      <c r="NFM146" s="17"/>
      <c r="NFN146" s="15"/>
      <c r="NGC146" s="17"/>
      <c r="NGD146" s="15"/>
      <c r="NGS146" s="17"/>
      <c r="NGT146" s="15"/>
      <c r="NHI146" s="17"/>
      <c r="NHJ146" s="15"/>
      <c r="NHY146" s="17"/>
      <c r="NHZ146" s="15"/>
      <c r="NIO146" s="17"/>
      <c r="NIP146" s="15"/>
      <c r="NJE146" s="17"/>
      <c r="NJF146" s="15"/>
      <c r="NJU146" s="17"/>
      <c r="NJV146" s="15"/>
      <c r="NKK146" s="17"/>
      <c r="NKL146" s="15"/>
      <c r="NLA146" s="17"/>
      <c r="NLB146" s="15"/>
      <c r="NLQ146" s="17"/>
      <c r="NLR146" s="15"/>
      <c r="NMG146" s="17"/>
      <c r="NMH146" s="15"/>
      <c r="NMW146" s="17"/>
      <c r="NMX146" s="15"/>
      <c r="NNM146" s="17"/>
      <c r="NNN146" s="15"/>
      <c r="NOC146" s="17"/>
      <c r="NOD146" s="15"/>
      <c r="NOS146" s="17"/>
      <c r="NOT146" s="15"/>
      <c r="NPI146" s="17"/>
      <c r="NPJ146" s="15"/>
      <c r="NPY146" s="17"/>
      <c r="NPZ146" s="15"/>
      <c r="NQO146" s="17"/>
      <c r="NQP146" s="15"/>
      <c r="NRE146" s="17"/>
      <c r="NRF146" s="15"/>
      <c r="NRU146" s="17"/>
      <c r="NRV146" s="15"/>
      <c r="NSK146" s="17"/>
      <c r="NSL146" s="15"/>
      <c r="NTA146" s="17"/>
      <c r="NTB146" s="15"/>
      <c r="NTQ146" s="17"/>
      <c r="NTR146" s="15"/>
      <c r="NUG146" s="17"/>
      <c r="NUH146" s="15"/>
      <c r="NUW146" s="17"/>
      <c r="NUX146" s="15"/>
      <c r="NVM146" s="17"/>
      <c r="NVN146" s="15"/>
      <c r="NWC146" s="17"/>
      <c r="NWD146" s="15"/>
      <c r="NWS146" s="17"/>
      <c r="NWT146" s="15"/>
      <c r="NXI146" s="17"/>
      <c r="NXJ146" s="15"/>
      <c r="NXY146" s="17"/>
      <c r="NXZ146" s="15"/>
      <c r="NYO146" s="17"/>
      <c r="NYP146" s="15"/>
      <c r="NZE146" s="17"/>
      <c r="NZF146" s="15"/>
      <c r="NZU146" s="17"/>
      <c r="NZV146" s="15"/>
      <c r="OAK146" s="17"/>
      <c r="OAL146" s="15"/>
      <c r="OBA146" s="17"/>
      <c r="OBB146" s="15"/>
      <c r="OBQ146" s="17"/>
      <c r="OBR146" s="15"/>
      <c r="OCG146" s="17"/>
      <c r="OCH146" s="15"/>
      <c r="OCW146" s="17"/>
      <c r="OCX146" s="15"/>
      <c r="ODM146" s="17"/>
      <c r="ODN146" s="15"/>
      <c r="OEC146" s="17"/>
      <c r="OED146" s="15"/>
      <c r="OES146" s="17"/>
      <c r="OET146" s="15"/>
      <c r="OFI146" s="17"/>
      <c r="OFJ146" s="15"/>
      <c r="OFY146" s="17"/>
      <c r="OFZ146" s="15"/>
      <c r="OGO146" s="17"/>
      <c r="OGP146" s="15"/>
      <c r="OHE146" s="17"/>
      <c r="OHF146" s="15"/>
      <c r="OHU146" s="17"/>
      <c r="OHV146" s="15"/>
      <c r="OIK146" s="17"/>
      <c r="OIL146" s="15"/>
      <c r="OJA146" s="17"/>
      <c r="OJB146" s="15"/>
      <c r="OJQ146" s="17"/>
      <c r="OJR146" s="15"/>
      <c r="OKG146" s="17"/>
      <c r="OKH146" s="15"/>
      <c r="OKW146" s="17"/>
      <c r="OKX146" s="15"/>
      <c r="OLM146" s="17"/>
      <c r="OLN146" s="15"/>
      <c r="OMC146" s="17"/>
      <c r="OMD146" s="15"/>
      <c r="OMS146" s="17"/>
      <c r="OMT146" s="15"/>
      <c r="ONI146" s="17"/>
      <c r="ONJ146" s="15"/>
      <c r="ONY146" s="17"/>
      <c r="ONZ146" s="15"/>
      <c r="OOO146" s="17"/>
      <c r="OOP146" s="15"/>
      <c r="OPE146" s="17"/>
      <c r="OPF146" s="15"/>
      <c r="OPU146" s="17"/>
      <c r="OPV146" s="15"/>
      <c r="OQK146" s="17"/>
      <c r="OQL146" s="15"/>
      <c r="ORA146" s="17"/>
      <c r="ORB146" s="15"/>
      <c r="ORQ146" s="17"/>
      <c r="ORR146" s="15"/>
      <c r="OSG146" s="17"/>
      <c r="OSH146" s="15"/>
      <c r="OSW146" s="17"/>
      <c r="OSX146" s="15"/>
      <c r="OTM146" s="17"/>
      <c r="OTN146" s="15"/>
      <c r="OUC146" s="17"/>
      <c r="OUD146" s="15"/>
      <c r="OUS146" s="17"/>
      <c r="OUT146" s="15"/>
      <c r="OVI146" s="17"/>
      <c r="OVJ146" s="15"/>
      <c r="OVY146" s="17"/>
      <c r="OVZ146" s="15"/>
      <c r="OWO146" s="17"/>
      <c r="OWP146" s="15"/>
      <c r="OXE146" s="17"/>
      <c r="OXF146" s="15"/>
      <c r="OXU146" s="17"/>
      <c r="OXV146" s="15"/>
      <c r="OYK146" s="17"/>
      <c r="OYL146" s="15"/>
      <c r="OZA146" s="17"/>
      <c r="OZB146" s="15"/>
      <c r="OZQ146" s="17"/>
      <c r="OZR146" s="15"/>
      <c r="PAG146" s="17"/>
      <c r="PAH146" s="15"/>
      <c r="PAW146" s="17"/>
      <c r="PAX146" s="15"/>
      <c r="PBM146" s="17"/>
      <c r="PBN146" s="15"/>
      <c r="PCC146" s="17"/>
      <c r="PCD146" s="15"/>
      <c r="PCS146" s="17"/>
      <c r="PCT146" s="15"/>
      <c r="PDI146" s="17"/>
      <c r="PDJ146" s="15"/>
      <c r="PDY146" s="17"/>
      <c r="PDZ146" s="15"/>
      <c r="PEO146" s="17"/>
      <c r="PEP146" s="15"/>
      <c r="PFE146" s="17"/>
      <c r="PFF146" s="15"/>
      <c r="PFU146" s="17"/>
      <c r="PFV146" s="15"/>
      <c r="PGK146" s="17"/>
      <c r="PGL146" s="15"/>
      <c r="PHA146" s="17"/>
      <c r="PHB146" s="15"/>
      <c r="PHQ146" s="17"/>
      <c r="PHR146" s="15"/>
      <c r="PIG146" s="17"/>
      <c r="PIH146" s="15"/>
      <c r="PIW146" s="17"/>
      <c r="PIX146" s="15"/>
      <c r="PJM146" s="17"/>
      <c r="PJN146" s="15"/>
      <c r="PKC146" s="17"/>
      <c r="PKD146" s="15"/>
      <c r="PKS146" s="17"/>
      <c r="PKT146" s="15"/>
      <c r="PLI146" s="17"/>
      <c r="PLJ146" s="15"/>
      <c r="PLY146" s="17"/>
      <c r="PLZ146" s="15"/>
      <c r="PMO146" s="17"/>
      <c r="PMP146" s="15"/>
      <c r="PNE146" s="17"/>
      <c r="PNF146" s="15"/>
      <c r="PNU146" s="17"/>
      <c r="PNV146" s="15"/>
      <c r="POK146" s="17"/>
      <c r="POL146" s="15"/>
      <c r="PPA146" s="17"/>
      <c r="PPB146" s="15"/>
      <c r="PPQ146" s="17"/>
      <c r="PPR146" s="15"/>
      <c r="PQG146" s="17"/>
      <c r="PQH146" s="15"/>
      <c r="PQW146" s="17"/>
      <c r="PQX146" s="15"/>
      <c r="PRM146" s="17"/>
      <c r="PRN146" s="15"/>
      <c r="PSC146" s="17"/>
      <c r="PSD146" s="15"/>
      <c r="PSS146" s="17"/>
      <c r="PST146" s="15"/>
      <c r="PTI146" s="17"/>
      <c r="PTJ146" s="15"/>
      <c r="PTY146" s="17"/>
      <c r="PTZ146" s="15"/>
      <c r="PUO146" s="17"/>
      <c r="PUP146" s="15"/>
      <c r="PVE146" s="17"/>
      <c r="PVF146" s="15"/>
      <c r="PVU146" s="17"/>
      <c r="PVV146" s="15"/>
      <c r="PWK146" s="17"/>
      <c r="PWL146" s="15"/>
      <c r="PXA146" s="17"/>
      <c r="PXB146" s="15"/>
      <c r="PXQ146" s="17"/>
      <c r="PXR146" s="15"/>
      <c r="PYG146" s="17"/>
      <c r="PYH146" s="15"/>
      <c r="PYW146" s="17"/>
      <c r="PYX146" s="15"/>
      <c r="PZM146" s="17"/>
      <c r="PZN146" s="15"/>
      <c r="QAC146" s="17"/>
      <c r="QAD146" s="15"/>
      <c r="QAS146" s="17"/>
      <c r="QAT146" s="15"/>
      <c r="QBI146" s="17"/>
      <c r="QBJ146" s="15"/>
      <c r="QBY146" s="17"/>
      <c r="QBZ146" s="15"/>
      <c r="QCO146" s="17"/>
      <c r="QCP146" s="15"/>
      <c r="QDE146" s="17"/>
      <c r="QDF146" s="15"/>
      <c r="QDU146" s="17"/>
      <c r="QDV146" s="15"/>
      <c r="QEK146" s="17"/>
      <c r="QEL146" s="15"/>
      <c r="QFA146" s="17"/>
      <c r="QFB146" s="15"/>
      <c r="QFQ146" s="17"/>
      <c r="QFR146" s="15"/>
      <c r="QGG146" s="17"/>
      <c r="QGH146" s="15"/>
      <c r="QGW146" s="17"/>
      <c r="QGX146" s="15"/>
      <c r="QHM146" s="17"/>
      <c r="QHN146" s="15"/>
      <c r="QIC146" s="17"/>
      <c r="QID146" s="15"/>
      <c r="QIS146" s="17"/>
      <c r="QIT146" s="15"/>
      <c r="QJI146" s="17"/>
      <c r="QJJ146" s="15"/>
      <c r="QJY146" s="17"/>
      <c r="QJZ146" s="15"/>
      <c r="QKO146" s="17"/>
      <c r="QKP146" s="15"/>
      <c r="QLE146" s="17"/>
      <c r="QLF146" s="15"/>
      <c r="QLU146" s="17"/>
      <c r="QLV146" s="15"/>
      <c r="QMK146" s="17"/>
      <c r="QML146" s="15"/>
      <c r="QNA146" s="17"/>
      <c r="QNB146" s="15"/>
      <c r="QNQ146" s="17"/>
      <c r="QNR146" s="15"/>
      <c r="QOG146" s="17"/>
      <c r="QOH146" s="15"/>
      <c r="QOW146" s="17"/>
      <c r="QOX146" s="15"/>
      <c r="QPM146" s="17"/>
      <c r="QPN146" s="15"/>
      <c r="QQC146" s="17"/>
      <c r="QQD146" s="15"/>
      <c r="QQS146" s="17"/>
      <c r="QQT146" s="15"/>
      <c r="QRI146" s="17"/>
      <c r="QRJ146" s="15"/>
      <c r="QRY146" s="17"/>
      <c r="QRZ146" s="15"/>
      <c r="QSO146" s="17"/>
      <c r="QSP146" s="15"/>
      <c r="QTE146" s="17"/>
      <c r="QTF146" s="15"/>
      <c r="QTU146" s="17"/>
      <c r="QTV146" s="15"/>
      <c r="QUK146" s="17"/>
      <c r="QUL146" s="15"/>
      <c r="QVA146" s="17"/>
      <c r="QVB146" s="15"/>
      <c r="QVQ146" s="17"/>
      <c r="QVR146" s="15"/>
      <c r="QWG146" s="17"/>
      <c r="QWH146" s="15"/>
      <c r="QWW146" s="17"/>
      <c r="QWX146" s="15"/>
      <c r="QXM146" s="17"/>
      <c r="QXN146" s="15"/>
      <c r="QYC146" s="17"/>
      <c r="QYD146" s="15"/>
      <c r="QYS146" s="17"/>
      <c r="QYT146" s="15"/>
      <c r="QZI146" s="17"/>
      <c r="QZJ146" s="15"/>
      <c r="QZY146" s="17"/>
      <c r="QZZ146" s="15"/>
      <c r="RAO146" s="17"/>
      <c r="RAP146" s="15"/>
      <c r="RBE146" s="17"/>
      <c r="RBF146" s="15"/>
      <c r="RBU146" s="17"/>
      <c r="RBV146" s="15"/>
      <c r="RCK146" s="17"/>
      <c r="RCL146" s="15"/>
      <c r="RDA146" s="17"/>
      <c r="RDB146" s="15"/>
      <c r="RDQ146" s="17"/>
      <c r="RDR146" s="15"/>
      <c r="REG146" s="17"/>
      <c r="REH146" s="15"/>
      <c r="REW146" s="17"/>
      <c r="REX146" s="15"/>
      <c r="RFM146" s="17"/>
      <c r="RFN146" s="15"/>
      <c r="RGC146" s="17"/>
      <c r="RGD146" s="15"/>
      <c r="RGS146" s="17"/>
      <c r="RGT146" s="15"/>
      <c r="RHI146" s="17"/>
      <c r="RHJ146" s="15"/>
      <c r="RHY146" s="17"/>
      <c r="RHZ146" s="15"/>
      <c r="RIO146" s="17"/>
      <c r="RIP146" s="15"/>
      <c r="RJE146" s="17"/>
      <c r="RJF146" s="15"/>
      <c r="RJU146" s="17"/>
      <c r="RJV146" s="15"/>
      <c r="RKK146" s="17"/>
      <c r="RKL146" s="15"/>
      <c r="RLA146" s="17"/>
      <c r="RLB146" s="15"/>
      <c r="RLQ146" s="17"/>
      <c r="RLR146" s="15"/>
      <c r="RMG146" s="17"/>
      <c r="RMH146" s="15"/>
      <c r="RMW146" s="17"/>
      <c r="RMX146" s="15"/>
      <c r="RNM146" s="17"/>
      <c r="RNN146" s="15"/>
      <c r="ROC146" s="17"/>
      <c r="ROD146" s="15"/>
      <c r="ROS146" s="17"/>
      <c r="ROT146" s="15"/>
      <c r="RPI146" s="17"/>
      <c r="RPJ146" s="15"/>
      <c r="RPY146" s="17"/>
      <c r="RPZ146" s="15"/>
      <c r="RQO146" s="17"/>
      <c r="RQP146" s="15"/>
      <c r="RRE146" s="17"/>
      <c r="RRF146" s="15"/>
      <c r="RRU146" s="17"/>
      <c r="RRV146" s="15"/>
      <c r="RSK146" s="17"/>
      <c r="RSL146" s="15"/>
      <c r="RTA146" s="17"/>
      <c r="RTB146" s="15"/>
      <c r="RTQ146" s="17"/>
      <c r="RTR146" s="15"/>
      <c r="RUG146" s="17"/>
      <c r="RUH146" s="15"/>
      <c r="RUW146" s="17"/>
      <c r="RUX146" s="15"/>
      <c r="RVM146" s="17"/>
      <c r="RVN146" s="15"/>
      <c r="RWC146" s="17"/>
      <c r="RWD146" s="15"/>
      <c r="RWS146" s="17"/>
      <c r="RWT146" s="15"/>
      <c r="RXI146" s="17"/>
      <c r="RXJ146" s="15"/>
      <c r="RXY146" s="17"/>
      <c r="RXZ146" s="15"/>
      <c r="RYO146" s="17"/>
      <c r="RYP146" s="15"/>
      <c r="RZE146" s="17"/>
      <c r="RZF146" s="15"/>
      <c r="RZU146" s="17"/>
      <c r="RZV146" s="15"/>
      <c r="SAK146" s="17"/>
      <c r="SAL146" s="15"/>
      <c r="SBA146" s="17"/>
      <c r="SBB146" s="15"/>
      <c r="SBQ146" s="17"/>
      <c r="SBR146" s="15"/>
      <c r="SCG146" s="17"/>
      <c r="SCH146" s="15"/>
      <c r="SCW146" s="17"/>
      <c r="SCX146" s="15"/>
      <c r="SDM146" s="17"/>
      <c r="SDN146" s="15"/>
      <c r="SEC146" s="17"/>
      <c r="SED146" s="15"/>
      <c r="SES146" s="17"/>
      <c r="SET146" s="15"/>
      <c r="SFI146" s="17"/>
      <c r="SFJ146" s="15"/>
      <c r="SFY146" s="17"/>
      <c r="SFZ146" s="15"/>
      <c r="SGO146" s="17"/>
      <c r="SGP146" s="15"/>
      <c r="SHE146" s="17"/>
      <c r="SHF146" s="15"/>
      <c r="SHU146" s="17"/>
      <c r="SHV146" s="15"/>
      <c r="SIK146" s="17"/>
      <c r="SIL146" s="15"/>
      <c r="SJA146" s="17"/>
      <c r="SJB146" s="15"/>
      <c r="SJQ146" s="17"/>
      <c r="SJR146" s="15"/>
      <c r="SKG146" s="17"/>
      <c r="SKH146" s="15"/>
      <c r="SKW146" s="17"/>
      <c r="SKX146" s="15"/>
      <c r="SLM146" s="17"/>
      <c r="SLN146" s="15"/>
      <c r="SMC146" s="17"/>
      <c r="SMD146" s="15"/>
      <c r="SMS146" s="17"/>
      <c r="SMT146" s="15"/>
      <c r="SNI146" s="17"/>
      <c r="SNJ146" s="15"/>
      <c r="SNY146" s="17"/>
      <c r="SNZ146" s="15"/>
      <c r="SOO146" s="17"/>
      <c r="SOP146" s="15"/>
      <c r="SPE146" s="17"/>
      <c r="SPF146" s="15"/>
      <c r="SPU146" s="17"/>
      <c r="SPV146" s="15"/>
      <c r="SQK146" s="17"/>
      <c r="SQL146" s="15"/>
      <c r="SRA146" s="17"/>
      <c r="SRB146" s="15"/>
      <c r="SRQ146" s="17"/>
      <c r="SRR146" s="15"/>
      <c r="SSG146" s="17"/>
      <c r="SSH146" s="15"/>
      <c r="SSW146" s="17"/>
      <c r="SSX146" s="15"/>
      <c r="STM146" s="17"/>
      <c r="STN146" s="15"/>
      <c r="SUC146" s="17"/>
      <c r="SUD146" s="15"/>
      <c r="SUS146" s="17"/>
      <c r="SUT146" s="15"/>
      <c r="SVI146" s="17"/>
      <c r="SVJ146" s="15"/>
      <c r="SVY146" s="17"/>
      <c r="SVZ146" s="15"/>
      <c r="SWO146" s="17"/>
      <c r="SWP146" s="15"/>
      <c r="SXE146" s="17"/>
      <c r="SXF146" s="15"/>
      <c r="SXU146" s="17"/>
      <c r="SXV146" s="15"/>
      <c r="SYK146" s="17"/>
      <c r="SYL146" s="15"/>
      <c r="SZA146" s="17"/>
      <c r="SZB146" s="15"/>
      <c r="SZQ146" s="17"/>
      <c r="SZR146" s="15"/>
      <c r="TAG146" s="17"/>
      <c r="TAH146" s="15"/>
      <c r="TAW146" s="17"/>
      <c r="TAX146" s="15"/>
      <c r="TBM146" s="17"/>
      <c r="TBN146" s="15"/>
      <c r="TCC146" s="17"/>
      <c r="TCD146" s="15"/>
      <c r="TCS146" s="17"/>
      <c r="TCT146" s="15"/>
      <c r="TDI146" s="17"/>
      <c r="TDJ146" s="15"/>
      <c r="TDY146" s="17"/>
      <c r="TDZ146" s="15"/>
      <c r="TEO146" s="17"/>
      <c r="TEP146" s="15"/>
      <c r="TFE146" s="17"/>
      <c r="TFF146" s="15"/>
      <c r="TFU146" s="17"/>
      <c r="TFV146" s="15"/>
      <c r="TGK146" s="17"/>
      <c r="TGL146" s="15"/>
      <c r="THA146" s="17"/>
      <c r="THB146" s="15"/>
      <c r="THQ146" s="17"/>
      <c r="THR146" s="15"/>
      <c r="TIG146" s="17"/>
      <c r="TIH146" s="15"/>
      <c r="TIW146" s="17"/>
      <c r="TIX146" s="15"/>
      <c r="TJM146" s="17"/>
      <c r="TJN146" s="15"/>
      <c r="TKC146" s="17"/>
      <c r="TKD146" s="15"/>
      <c r="TKS146" s="17"/>
      <c r="TKT146" s="15"/>
      <c r="TLI146" s="17"/>
      <c r="TLJ146" s="15"/>
      <c r="TLY146" s="17"/>
      <c r="TLZ146" s="15"/>
      <c r="TMO146" s="17"/>
      <c r="TMP146" s="15"/>
      <c r="TNE146" s="17"/>
      <c r="TNF146" s="15"/>
      <c r="TNU146" s="17"/>
      <c r="TNV146" s="15"/>
      <c r="TOK146" s="17"/>
      <c r="TOL146" s="15"/>
      <c r="TPA146" s="17"/>
      <c r="TPB146" s="15"/>
      <c r="TPQ146" s="17"/>
      <c r="TPR146" s="15"/>
      <c r="TQG146" s="17"/>
      <c r="TQH146" s="15"/>
      <c r="TQW146" s="17"/>
      <c r="TQX146" s="15"/>
      <c r="TRM146" s="17"/>
      <c r="TRN146" s="15"/>
      <c r="TSC146" s="17"/>
      <c r="TSD146" s="15"/>
      <c r="TSS146" s="17"/>
      <c r="TST146" s="15"/>
      <c r="TTI146" s="17"/>
      <c r="TTJ146" s="15"/>
      <c r="TTY146" s="17"/>
      <c r="TTZ146" s="15"/>
      <c r="TUO146" s="17"/>
      <c r="TUP146" s="15"/>
      <c r="TVE146" s="17"/>
      <c r="TVF146" s="15"/>
      <c r="TVU146" s="17"/>
      <c r="TVV146" s="15"/>
      <c r="TWK146" s="17"/>
      <c r="TWL146" s="15"/>
      <c r="TXA146" s="17"/>
      <c r="TXB146" s="15"/>
      <c r="TXQ146" s="17"/>
      <c r="TXR146" s="15"/>
      <c r="TYG146" s="17"/>
      <c r="TYH146" s="15"/>
      <c r="TYW146" s="17"/>
      <c r="TYX146" s="15"/>
      <c r="TZM146" s="17"/>
      <c r="TZN146" s="15"/>
      <c r="UAC146" s="17"/>
      <c r="UAD146" s="15"/>
      <c r="UAS146" s="17"/>
      <c r="UAT146" s="15"/>
      <c r="UBI146" s="17"/>
      <c r="UBJ146" s="15"/>
      <c r="UBY146" s="17"/>
      <c r="UBZ146" s="15"/>
      <c r="UCO146" s="17"/>
      <c r="UCP146" s="15"/>
      <c r="UDE146" s="17"/>
      <c r="UDF146" s="15"/>
      <c r="UDU146" s="17"/>
      <c r="UDV146" s="15"/>
      <c r="UEK146" s="17"/>
      <c r="UEL146" s="15"/>
      <c r="UFA146" s="17"/>
      <c r="UFB146" s="15"/>
      <c r="UFQ146" s="17"/>
      <c r="UFR146" s="15"/>
      <c r="UGG146" s="17"/>
      <c r="UGH146" s="15"/>
      <c r="UGW146" s="17"/>
      <c r="UGX146" s="15"/>
      <c r="UHM146" s="17"/>
      <c r="UHN146" s="15"/>
      <c r="UIC146" s="17"/>
      <c r="UID146" s="15"/>
      <c r="UIS146" s="17"/>
      <c r="UIT146" s="15"/>
      <c r="UJI146" s="17"/>
      <c r="UJJ146" s="15"/>
      <c r="UJY146" s="17"/>
      <c r="UJZ146" s="15"/>
      <c r="UKO146" s="17"/>
      <c r="UKP146" s="15"/>
      <c r="ULE146" s="17"/>
      <c r="ULF146" s="15"/>
      <c r="ULU146" s="17"/>
      <c r="ULV146" s="15"/>
      <c r="UMK146" s="17"/>
      <c r="UML146" s="15"/>
      <c r="UNA146" s="17"/>
      <c r="UNB146" s="15"/>
      <c r="UNQ146" s="17"/>
      <c r="UNR146" s="15"/>
      <c r="UOG146" s="17"/>
      <c r="UOH146" s="15"/>
      <c r="UOW146" s="17"/>
      <c r="UOX146" s="15"/>
      <c r="UPM146" s="17"/>
      <c r="UPN146" s="15"/>
      <c r="UQC146" s="17"/>
      <c r="UQD146" s="15"/>
      <c r="UQS146" s="17"/>
      <c r="UQT146" s="15"/>
      <c r="URI146" s="17"/>
      <c r="URJ146" s="15"/>
      <c r="URY146" s="17"/>
      <c r="URZ146" s="15"/>
      <c r="USO146" s="17"/>
      <c r="USP146" s="15"/>
      <c r="UTE146" s="17"/>
      <c r="UTF146" s="15"/>
      <c r="UTU146" s="17"/>
      <c r="UTV146" s="15"/>
      <c r="UUK146" s="17"/>
      <c r="UUL146" s="15"/>
      <c r="UVA146" s="17"/>
      <c r="UVB146" s="15"/>
      <c r="UVQ146" s="17"/>
      <c r="UVR146" s="15"/>
      <c r="UWG146" s="17"/>
      <c r="UWH146" s="15"/>
      <c r="UWW146" s="17"/>
      <c r="UWX146" s="15"/>
      <c r="UXM146" s="17"/>
      <c r="UXN146" s="15"/>
      <c r="UYC146" s="17"/>
      <c r="UYD146" s="15"/>
      <c r="UYS146" s="17"/>
      <c r="UYT146" s="15"/>
      <c r="UZI146" s="17"/>
      <c r="UZJ146" s="15"/>
      <c r="UZY146" s="17"/>
      <c r="UZZ146" s="15"/>
      <c r="VAO146" s="17"/>
      <c r="VAP146" s="15"/>
      <c r="VBE146" s="17"/>
      <c r="VBF146" s="15"/>
      <c r="VBU146" s="17"/>
      <c r="VBV146" s="15"/>
      <c r="VCK146" s="17"/>
      <c r="VCL146" s="15"/>
      <c r="VDA146" s="17"/>
      <c r="VDB146" s="15"/>
      <c r="VDQ146" s="17"/>
      <c r="VDR146" s="15"/>
      <c r="VEG146" s="17"/>
      <c r="VEH146" s="15"/>
      <c r="VEW146" s="17"/>
      <c r="VEX146" s="15"/>
      <c r="VFM146" s="17"/>
      <c r="VFN146" s="15"/>
      <c r="VGC146" s="17"/>
      <c r="VGD146" s="15"/>
      <c r="VGS146" s="17"/>
      <c r="VGT146" s="15"/>
      <c r="VHI146" s="17"/>
      <c r="VHJ146" s="15"/>
      <c r="VHY146" s="17"/>
      <c r="VHZ146" s="15"/>
      <c r="VIO146" s="17"/>
      <c r="VIP146" s="15"/>
      <c r="VJE146" s="17"/>
      <c r="VJF146" s="15"/>
      <c r="VJU146" s="17"/>
      <c r="VJV146" s="15"/>
      <c r="VKK146" s="17"/>
      <c r="VKL146" s="15"/>
      <c r="VLA146" s="17"/>
      <c r="VLB146" s="15"/>
      <c r="VLQ146" s="17"/>
      <c r="VLR146" s="15"/>
      <c r="VMG146" s="17"/>
      <c r="VMH146" s="15"/>
      <c r="VMW146" s="17"/>
      <c r="VMX146" s="15"/>
      <c r="VNM146" s="17"/>
      <c r="VNN146" s="15"/>
      <c r="VOC146" s="17"/>
      <c r="VOD146" s="15"/>
      <c r="VOS146" s="17"/>
      <c r="VOT146" s="15"/>
      <c r="VPI146" s="17"/>
      <c r="VPJ146" s="15"/>
      <c r="VPY146" s="17"/>
      <c r="VPZ146" s="15"/>
      <c r="VQO146" s="17"/>
      <c r="VQP146" s="15"/>
      <c r="VRE146" s="17"/>
      <c r="VRF146" s="15"/>
      <c r="VRU146" s="17"/>
      <c r="VRV146" s="15"/>
      <c r="VSK146" s="17"/>
      <c r="VSL146" s="15"/>
      <c r="VTA146" s="17"/>
      <c r="VTB146" s="15"/>
      <c r="VTQ146" s="17"/>
      <c r="VTR146" s="15"/>
      <c r="VUG146" s="17"/>
      <c r="VUH146" s="15"/>
      <c r="VUW146" s="17"/>
      <c r="VUX146" s="15"/>
      <c r="VVM146" s="17"/>
      <c r="VVN146" s="15"/>
      <c r="VWC146" s="17"/>
      <c r="VWD146" s="15"/>
      <c r="VWS146" s="17"/>
      <c r="VWT146" s="15"/>
      <c r="VXI146" s="17"/>
      <c r="VXJ146" s="15"/>
      <c r="VXY146" s="17"/>
      <c r="VXZ146" s="15"/>
      <c r="VYO146" s="17"/>
      <c r="VYP146" s="15"/>
      <c r="VZE146" s="17"/>
      <c r="VZF146" s="15"/>
      <c r="VZU146" s="17"/>
      <c r="VZV146" s="15"/>
      <c r="WAK146" s="17"/>
      <c r="WAL146" s="15"/>
      <c r="WBA146" s="17"/>
      <c r="WBB146" s="15"/>
      <c r="WBQ146" s="17"/>
      <c r="WBR146" s="15"/>
      <c r="WCG146" s="17"/>
      <c r="WCH146" s="15"/>
      <c r="WCW146" s="17"/>
      <c r="WCX146" s="15"/>
      <c r="WDM146" s="17"/>
      <c r="WDN146" s="15"/>
      <c r="WEC146" s="17"/>
      <c r="WED146" s="15"/>
      <c r="WES146" s="17"/>
      <c r="WET146" s="15"/>
      <c r="WFI146" s="17"/>
      <c r="WFJ146" s="15"/>
      <c r="WFY146" s="17"/>
      <c r="WFZ146" s="15"/>
      <c r="WGO146" s="17"/>
      <c r="WGP146" s="15"/>
      <c r="WHE146" s="17"/>
      <c r="WHF146" s="15"/>
      <c r="WHU146" s="17"/>
      <c r="WHV146" s="15"/>
      <c r="WIK146" s="17"/>
      <c r="WIL146" s="15"/>
      <c r="WJA146" s="17"/>
      <c r="WJB146" s="15"/>
      <c r="WJQ146" s="17"/>
      <c r="WJR146" s="15"/>
      <c r="WKG146" s="17"/>
      <c r="WKH146" s="15"/>
      <c r="WKW146" s="17"/>
      <c r="WKX146" s="15"/>
      <c r="WLM146" s="17"/>
      <c r="WLN146" s="15"/>
      <c r="WMC146" s="17"/>
      <c r="WMD146" s="15"/>
      <c r="WMS146" s="17"/>
      <c r="WMT146" s="15"/>
      <c r="WNI146" s="17"/>
      <c r="WNJ146" s="15"/>
      <c r="WNY146" s="17"/>
      <c r="WNZ146" s="15"/>
      <c r="WOO146" s="17"/>
      <c r="WOP146" s="15"/>
      <c r="WPE146" s="17"/>
      <c r="WPF146" s="15"/>
      <c r="WPU146" s="17"/>
      <c r="WPV146" s="15"/>
      <c r="WQK146" s="17"/>
      <c r="WQL146" s="15"/>
      <c r="WRA146" s="17"/>
      <c r="WRB146" s="15"/>
      <c r="WRQ146" s="17"/>
      <c r="WRR146" s="15"/>
      <c r="WSG146" s="17"/>
      <c r="WSH146" s="15"/>
      <c r="WSW146" s="17"/>
      <c r="WSX146" s="15"/>
      <c r="WTM146" s="17"/>
      <c r="WTN146" s="15"/>
      <c r="WUC146" s="17"/>
      <c r="WUD146" s="15"/>
      <c r="WUS146" s="17"/>
      <c r="WUT146" s="15"/>
      <c r="WVI146" s="17"/>
      <c r="WVJ146" s="15"/>
      <c r="WVY146" s="17"/>
      <c r="WVZ146" s="15"/>
      <c r="WWO146" s="17"/>
      <c r="WWP146" s="15"/>
      <c r="WXE146" s="17"/>
      <c r="WXF146" s="15"/>
      <c r="WXU146" s="17"/>
      <c r="WXV146" s="15"/>
      <c r="WYK146" s="17"/>
      <c r="WYL146" s="15"/>
      <c r="WZA146" s="17"/>
      <c r="WZB146" s="15"/>
      <c r="WZQ146" s="17"/>
      <c r="WZR146" s="15"/>
      <c r="XAG146" s="17"/>
      <c r="XAH146" s="15"/>
      <c r="XAW146" s="17"/>
      <c r="XAX146" s="15"/>
      <c r="XBM146" s="17"/>
      <c r="XBN146" s="15"/>
      <c r="XCC146" s="17"/>
      <c r="XCD146" s="15"/>
      <c r="XCS146" s="17"/>
      <c r="XCT146" s="15"/>
      <c r="XDI146" s="17"/>
      <c r="XDJ146" s="15"/>
      <c r="XDY146" s="17"/>
      <c r="XDZ146" s="15"/>
      <c r="XEO146" s="17"/>
      <c r="XEP146" s="15"/>
    </row>
    <row r="147" spans="1:16384" s="16" customFormat="1" ht="17.100000000000001" customHeight="1">
      <c r="A147" s="22">
        <v>45924</v>
      </c>
      <c r="B147" s="15" t="s">
        <v>531</v>
      </c>
      <c r="C147" s="16" t="s">
        <v>2761</v>
      </c>
      <c r="D147" s="16" t="s">
        <v>2747</v>
      </c>
      <c r="E147" s="16" t="s">
        <v>2764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27</v>
      </c>
      <c r="O147" s="16" t="s">
        <v>2336</v>
      </c>
      <c r="P147" s="16" t="s">
        <v>2760</v>
      </c>
      <c r="Q147" s="15" t="s">
        <v>2770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17"/>
      <c r="AH147" s="15"/>
      <c r="AW147" s="17"/>
      <c r="AX147" s="15"/>
      <c r="BM147" s="17"/>
      <c r="BN147" s="15"/>
      <c r="CC147" s="17"/>
      <c r="CD147" s="15"/>
      <c r="CS147" s="17"/>
      <c r="CT147" s="15"/>
      <c r="DI147" s="17"/>
      <c r="DJ147" s="15"/>
      <c r="DY147" s="17"/>
      <c r="DZ147" s="15"/>
      <c r="EO147" s="17"/>
      <c r="EP147" s="15"/>
      <c r="FE147" s="17"/>
      <c r="FF147" s="15"/>
      <c r="FU147" s="17"/>
      <c r="FV147" s="15"/>
      <c r="GK147" s="17"/>
      <c r="GL147" s="15"/>
      <c r="HA147" s="17"/>
      <c r="HB147" s="15"/>
      <c r="HQ147" s="17"/>
      <c r="HR147" s="15"/>
      <c r="IG147" s="17"/>
      <c r="IH147" s="15"/>
      <c r="IW147" s="17"/>
      <c r="IX147" s="15"/>
      <c r="JM147" s="17"/>
      <c r="JN147" s="15"/>
      <c r="KC147" s="17"/>
      <c r="KD147" s="15"/>
      <c r="KS147" s="17"/>
      <c r="KT147" s="15"/>
      <c r="LI147" s="17"/>
      <c r="LJ147" s="15"/>
      <c r="LY147" s="17"/>
      <c r="LZ147" s="15"/>
      <c r="MO147" s="17"/>
      <c r="MP147" s="15"/>
      <c r="NE147" s="17"/>
      <c r="NF147" s="15"/>
      <c r="NU147" s="17"/>
      <c r="NV147" s="15"/>
      <c r="OK147" s="17"/>
      <c r="OL147" s="15"/>
      <c r="PA147" s="17"/>
      <c r="PB147" s="15"/>
      <c r="PQ147" s="17"/>
      <c r="PR147" s="15"/>
      <c r="QG147" s="17"/>
      <c r="QH147" s="15"/>
      <c r="QW147" s="17"/>
      <c r="QX147" s="15"/>
      <c r="RM147" s="17"/>
      <c r="RN147" s="15"/>
      <c r="SC147" s="17"/>
      <c r="SD147" s="15"/>
      <c r="SS147" s="17"/>
      <c r="ST147" s="15"/>
      <c r="TI147" s="17"/>
      <c r="TJ147" s="15"/>
      <c r="TY147" s="17"/>
      <c r="TZ147" s="15"/>
      <c r="UO147" s="17"/>
      <c r="UP147" s="15"/>
      <c r="VE147" s="17"/>
      <c r="VF147" s="15"/>
      <c r="VU147" s="17"/>
      <c r="VV147" s="15"/>
      <c r="WK147" s="17"/>
      <c r="WL147" s="15"/>
      <c r="XA147" s="17"/>
      <c r="XB147" s="15"/>
      <c r="XQ147" s="17"/>
      <c r="XR147" s="15"/>
      <c r="YG147" s="17"/>
      <c r="YH147" s="15"/>
      <c r="YW147" s="17"/>
      <c r="YX147" s="15"/>
      <c r="ZM147" s="17"/>
      <c r="ZN147" s="15"/>
      <c r="AAC147" s="17"/>
      <c r="AAD147" s="15"/>
      <c r="AAS147" s="17"/>
      <c r="AAT147" s="15"/>
      <c r="ABI147" s="17"/>
      <c r="ABJ147" s="15"/>
      <c r="ABY147" s="17"/>
      <c r="ABZ147" s="15"/>
      <c r="ACO147" s="17"/>
      <c r="ACP147" s="15"/>
      <c r="ADE147" s="17"/>
      <c r="ADF147" s="15"/>
      <c r="ADU147" s="17"/>
      <c r="ADV147" s="15"/>
      <c r="AEK147" s="17"/>
      <c r="AEL147" s="15"/>
      <c r="AFA147" s="17"/>
      <c r="AFB147" s="15"/>
      <c r="AFQ147" s="17"/>
      <c r="AFR147" s="15"/>
      <c r="AGG147" s="17"/>
      <c r="AGH147" s="15"/>
      <c r="AGW147" s="17"/>
      <c r="AGX147" s="15"/>
      <c r="AHM147" s="17"/>
      <c r="AHN147" s="15"/>
      <c r="AIC147" s="17"/>
      <c r="AID147" s="15"/>
      <c r="AIS147" s="17"/>
      <c r="AIT147" s="15"/>
      <c r="AJI147" s="17"/>
      <c r="AJJ147" s="15"/>
      <c r="AJY147" s="17"/>
      <c r="AJZ147" s="15"/>
      <c r="AKO147" s="17"/>
      <c r="AKP147" s="15"/>
      <c r="ALE147" s="17"/>
      <c r="ALF147" s="15"/>
      <c r="ALU147" s="17"/>
      <c r="ALV147" s="15"/>
      <c r="AMK147" s="17"/>
      <c r="AML147" s="15"/>
      <c r="ANA147" s="17"/>
      <c r="ANB147" s="15"/>
      <c r="ANQ147" s="17"/>
      <c r="ANR147" s="15"/>
      <c r="AOG147" s="17"/>
      <c r="AOH147" s="15"/>
      <c r="AOW147" s="17"/>
      <c r="AOX147" s="15"/>
      <c r="APM147" s="17"/>
      <c r="APN147" s="15"/>
      <c r="AQC147" s="17"/>
      <c r="AQD147" s="15"/>
      <c r="AQS147" s="17"/>
      <c r="AQT147" s="15"/>
      <c r="ARI147" s="17"/>
      <c r="ARJ147" s="15"/>
      <c r="ARY147" s="17"/>
      <c r="ARZ147" s="15"/>
      <c r="ASO147" s="17"/>
      <c r="ASP147" s="15"/>
      <c r="ATE147" s="17"/>
      <c r="ATF147" s="15"/>
      <c r="ATU147" s="17"/>
      <c r="ATV147" s="15"/>
      <c r="AUK147" s="17"/>
      <c r="AUL147" s="15"/>
      <c r="AVA147" s="17"/>
      <c r="AVB147" s="15"/>
      <c r="AVQ147" s="17"/>
      <c r="AVR147" s="15"/>
      <c r="AWG147" s="17"/>
      <c r="AWH147" s="15"/>
      <c r="AWW147" s="17"/>
      <c r="AWX147" s="15"/>
      <c r="AXM147" s="17"/>
      <c r="AXN147" s="15"/>
      <c r="AYC147" s="17"/>
      <c r="AYD147" s="15"/>
      <c r="AYS147" s="17"/>
      <c r="AYT147" s="15"/>
      <c r="AZI147" s="17"/>
      <c r="AZJ147" s="15"/>
      <c r="AZY147" s="17"/>
      <c r="AZZ147" s="15"/>
      <c r="BAO147" s="17"/>
      <c r="BAP147" s="15"/>
      <c r="BBE147" s="17"/>
      <c r="BBF147" s="15"/>
      <c r="BBU147" s="17"/>
      <c r="BBV147" s="15"/>
      <c r="BCK147" s="17"/>
      <c r="BCL147" s="15"/>
      <c r="BDA147" s="17"/>
      <c r="BDB147" s="15"/>
      <c r="BDQ147" s="17"/>
      <c r="BDR147" s="15"/>
      <c r="BEG147" s="17"/>
      <c r="BEH147" s="15"/>
      <c r="BEW147" s="17"/>
      <c r="BEX147" s="15"/>
      <c r="BFM147" s="17"/>
      <c r="BFN147" s="15"/>
      <c r="BGC147" s="17"/>
      <c r="BGD147" s="15"/>
      <c r="BGS147" s="17"/>
      <c r="BGT147" s="15"/>
      <c r="BHI147" s="17"/>
      <c r="BHJ147" s="15"/>
      <c r="BHY147" s="17"/>
      <c r="BHZ147" s="15"/>
      <c r="BIO147" s="17"/>
      <c r="BIP147" s="15"/>
      <c r="BJE147" s="17"/>
      <c r="BJF147" s="15"/>
      <c r="BJU147" s="17"/>
      <c r="BJV147" s="15"/>
      <c r="BKK147" s="17"/>
      <c r="BKL147" s="15"/>
      <c r="BLA147" s="17"/>
      <c r="BLB147" s="15"/>
      <c r="BLQ147" s="17"/>
      <c r="BLR147" s="15"/>
      <c r="BMG147" s="17"/>
      <c r="BMH147" s="15"/>
      <c r="BMW147" s="17"/>
      <c r="BMX147" s="15"/>
      <c r="BNM147" s="17"/>
      <c r="BNN147" s="15"/>
      <c r="BOC147" s="17"/>
      <c r="BOD147" s="15"/>
      <c r="BOS147" s="17"/>
      <c r="BOT147" s="15"/>
      <c r="BPI147" s="17"/>
      <c r="BPJ147" s="15"/>
      <c r="BPY147" s="17"/>
      <c r="BPZ147" s="15"/>
      <c r="BQO147" s="17"/>
      <c r="BQP147" s="15"/>
      <c r="BRE147" s="17"/>
      <c r="BRF147" s="15"/>
      <c r="BRU147" s="17"/>
      <c r="BRV147" s="15"/>
      <c r="BSK147" s="17"/>
      <c r="BSL147" s="15"/>
      <c r="BTA147" s="17"/>
      <c r="BTB147" s="15"/>
      <c r="BTQ147" s="17"/>
      <c r="BTR147" s="15"/>
      <c r="BUG147" s="17"/>
      <c r="BUH147" s="15"/>
      <c r="BUW147" s="17"/>
      <c r="BUX147" s="15"/>
      <c r="BVM147" s="17"/>
      <c r="BVN147" s="15"/>
      <c r="BWC147" s="17"/>
      <c r="BWD147" s="15"/>
      <c r="BWS147" s="17"/>
      <c r="BWT147" s="15"/>
      <c r="BXI147" s="17"/>
      <c r="BXJ147" s="15"/>
      <c r="BXY147" s="17"/>
      <c r="BXZ147" s="15"/>
      <c r="BYO147" s="17"/>
      <c r="BYP147" s="15"/>
      <c r="BZE147" s="17"/>
      <c r="BZF147" s="15"/>
      <c r="BZU147" s="17"/>
      <c r="BZV147" s="15"/>
      <c r="CAK147" s="17"/>
      <c r="CAL147" s="15"/>
      <c r="CBA147" s="17"/>
      <c r="CBB147" s="15"/>
      <c r="CBQ147" s="17"/>
      <c r="CBR147" s="15"/>
      <c r="CCG147" s="17"/>
      <c r="CCH147" s="15"/>
      <c r="CCW147" s="17"/>
      <c r="CCX147" s="15"/>
      <c r="CDM147" s="17"/>
      <c r="CDN147" s="15"/>
      <c r="CEC147" s="17"/>
      <c r="CED147" s="15"/>
      <c r="CES147" s="17"/>
      <c r="CET147" s="15"/>
      <c r="CFI147" s="17"/>
      <c r="CFJ147" s="15"/>
      <c r="CFY147" s="17"/>
      <c r="CFZ147" s="15"/>
      <c r="CGO147" s="17"/>
      <c r="CGP147" s="15"/>
      <c r="CHE147" s="17"/>
      <c r="CHF147" s="15"/>
      <c r="CHU147" s="17"/>
      <c r="CHV147" s="15"/>
      <c r="CIK147" s="17"/>
      <c r="CIL147" s="15"/>
      <c r="CJA147" s="17"/>
      <c r="CJB147" s="15"/>
      <c r="CJQ147" s="17"/>
      <c r="CJR147" s="15"/>
      <c r="CKG147" s="17"/>
      <c r="CKH147" s="15"/>
      <c r="CKW147" s="17"/>
      <c r="CKX147" s="15"/>
      <c r="CLM147" s="17"/>
      <c r="CLN147" s="15"/>
      <c r="CMC147" s="17"/>
      <c r="CMD147" s="15"/>
      <c r="CMS147" s="17"/>
      <c r="CMT147" s="15"/>
      <c r="CNI147" s="17"/>
      <c r="CNJ147" s="15"/>
      <c r="CNY147" s="17"/>
      <c r="CNZ147" s="15"/>
      <c r="COO147" s="17"/>
      <c r="COP147" s="15"/>
      <c r="CPE147" s="17"/>
      <c r="CPF147" s="15"/>
      <c r="CPU147" s="17"/>
      <c r="CPV147" s="15"/>
      <c r="CQK147" s="17"/>
      <c r="CQL147" s="15"/>
      <c r="CRA147" s="17"/>
      <c r="CRB147" s="15"/>
      <c r="CRQ147" s="17"/>
      <c r="CRR147" s="15"/>
      <c r="CSG147" s="17"/>
      <c r="CSH147" s="15"/>
      <c r="CSW147" s="17"/>
      <c r="CSX147" s="15"/>
      <c r="CTM147" s="17"/>
      <c r="CTN147" s="15"/>
      <c r="CUC147" s="17"/>
      <c r="CUD147" s="15"/>
      <c r="CUS147" s="17"/>
      <c r="CUT147" s="15"/>
      <c r="CVI147" s="17"/>
      <c r="CVJ147" s="15"/>
      <c r="CVY147" s="17"/>
      <c r="CVZ147" s="15"/>
      <c r="CWO147" s="17"/>
      <c r="CWP147" s="15"/>
      <c r="CXE147" s="17"/>
      <c r="CXF147" s="15"/>
      <c r="CXU147" s="17"/>
      <c r="CXV147" s="15"/>
      <c r="CYK147" s="17"/>
      <c r="CYL147" s="15"/>
      <c r="CZA147" s="17"/>
      <c r="CZB147" s="15"/>
      <c r="CZQ147" s="17"/>
      <c r="CZR147" s="15"/>
      <c r="DAG147" s="17"/>
      <c r="DAH147" s="15"/>
      <c r="DAW147" s="17"/>
      <c r="DAX147" s="15"/>
      <c r="DBM147" s="17"/>
      <c r="DBN147" s="15"/>
      <c r="DCC147" s="17"/>
      <c r="DCD147" s="15"/>
      <c r="DCS147" s="17"/>
      <c r="DCT147" s="15"/>
      <c r="DDI147" s="17"/>
      <c r="DDJ147" s="15"/>
      <c r="DDY147" s="17"/>
      <c r="DDZ147" s="15"/>
      <c r="DEO147" s="17"/>
      <c r="DEP147" s="15"/>
      <c r="DFE147" s="17"/>
      <c r="DFF147" s="15"/>
      <c r="DFU147" s="17"/>
      <c r="DFV147" s="15"/>
      <c r="DGK147" s="17"/>
      <c r="DGL147" s="15"/>
      <c r="DHA147" s="17"/>
      <c r="DHB147" s="15"/>
      <c r="DHQ147" s="17"/>
      <c r="DHR147" s="15"/>
      <c r="DIG147" s="17"/>
      <c r="DIH147" s="15"/>
      <c r="DIW147" s="17"/>
      <c r="DIX147" s="15"/>
      <c r="DJM147" s="17"/>
      <c r="DJN147" s="15"/>
      <c r="DKC147" s="17"/>
      <c r="DKD147" s="15"/>
      <c r="DKS147" s="17"/>
      <c r="DKT147" s="15"/>
      <c r="DLI147" s="17"/>
      <c r="DLJ147" s="15"/>
      <c r="DLY147" s="17"/>
      <c r="DLZ147" s="15"/>
      <c r="DMO147" s="17"/>
      <c r="DMP147" s="15"/>
      <c r="DNE147" s="17"/>
      <c r="DNF147" s="15"/>
      <c r="DNU147" s="17"/>
      <c r="DNV147" s="15"/>
      <c r="DOK147" s="17"/>
      <c r="DOL147" s="15"/>
      <c r="DPA147" s="17"/>
      <c r="DPB147" s="15"/>
      <c r="DPQ147" s="17"/>
      <c r="DPR147" s="15"/>
      <c r="DQG147" s="17"/>
      <c r="DQH147" s="15"/>
      <c r="DQW147" s="17"/>
      <c r="DQX147" s="15"/>
      <c r="DRM147" s="17"/>
      <c r="DRN147" s="15"/>
      <c r="DSC147" s="17"/>
      <c r="DSD147" s="15"/>
      <c r="DSS147" s="17"/>
      <c r="DST147" s="15"/>
      <c r="DTI147" s="17"/>
      <c r="DTJ147" s="15"/>
      <c r="DTY147" s="17"/>
      <c r="DTZ147" s="15"/>
      <c r="DUO147" s="17"/>
      <c r="DUP147" s="15"/>
      <c r="DVE147" s="17"/>
      <c r="DVF147" s="15"/>
      <c r="DVU147" s="17"/>
      <c r="DVV147" s="15"/>
      <c r="DWK147" s="17"/>
      <c r="DWL147" s="15"/>
      <c r="DXA147" s="17"/>
      <c r="DXB147" s="15"/>
      <c r="DXQ147" s="17"/>
      <c r="DXR147" s="15"/>
      <c r="DYG147" s="17"/>
      <c r="DYH147" s="15"/>
      <c r="DYW147" s="17"/>
      <c r="DYX147" s="15"/>
      <c r="DZM147" s="17"/>
      <c r="DZN147" s="15"/>
      <c r="EAC147" s="17"/>
      <c r="EAD147" s="15"/>
      <c r="EAS147" s="17"/>
      <c r="EAT147" s="15"/>
      <c r="EBI147" s="17"/>
      <c r="EBJ147" s="15"/>
      <c r="EBY147" s="17"/>
      <c r="EBZ147" s="15"/>
      <c r="ECO147" s="17"/>
      <c r="ECP147" s="15"/>
      <c r="EDE147" s="17"/>
      <c r="EDF147" s="15"/>
      <c r="EDU147" s="17"/>
      <c r="EDV147" s="15"/>
      <c r="EEK147" s="17"/>
      <c r="EEL147" s="15"/>
      <c r="EFA147" s="17"/>
      <c r="EFB147" s="15"/>
      <c r="EFQ147" s="17"/>
      <c r="EFR147" s="15"/>
      <c r="EGG147" s="17"/>
      <c r="EGH147" s="15"/>
      <c r="EGW147" s="17"/>
      <c r="EGX147" s="15"/>
      <c r="EHM147" s="17"/>
      <c r="EHN147" s="15"/>
      <c r="EIC147" s="17"/>
      <c r="EID147" s="15"/>
      <c r="EIS147" s="17"/>
      <c r="EIT147" s="15"/>
      <c r="EJI147" s="17"/>
      <c r="EJJ147" s="15"/>
      <c r="EJY147" s="17"/>
      <c r="EJZ147" s="15"/>
      <c r="EKO147" s="17"/>
      <c r="EKP147" s="15"/>
      <c r="ELE147" s="17"/>
      <c r="ELF147" s="15"/>
      <c r="ELU147" s="17"/>
      <c r="ELV147" s="15"/>
      <c r="EMK147" s="17"/>
      <c r="EML147" s="15"/>
      <c r="ENA147" s="17"/>
      <c r="ENB147" s="15"/>
      <c r="ENQ147" s="17"/>
      <c r="ENR147" s="15"/>
      <c r="EOG147" s="17"/>
      <c r="EOH147" s="15"/>
      <c r="EOW147" s="17"/>
      <c r="EOX147" s="15"/>
      <c r="EPM147" s="17"/>
      <c r="EPN147" s="15"/>
      <c r="EQC147" s="17"/>
      <c r="EQD147" s="15"/>
      <c r="EQS147" s="17"/>
      <c r="EQT147" s="15"/>
      <c r="ERI147" s="17"/>
      <c r="ERJ147" s="15"/>
      <c r="ERY147" s="17"/>
      <c r="ERZ147" s="15"/>
      <c r="ESO147" s="17"/>
      <c r="ESP147" s="15"/>
      <c r="ETE147" s="17"/>
      <c r="ETF147" s="15"/>
      <c r="ETU147" s="17"/>
      <c r="ETV147" s="15"/>
      <c r="EUK147" s="17"/>
      <c r="EUL147" s="15"/>
      <c r="EVA147" s="17"/>
      <c r="EVB147" s="15"/>
      <c r="EVQ147" s="17"/>
      <c r="EVR147" s="15"/>
      <c r="EWG147" s="17"/>
      <c r="EWH147" s="15"/>
      <c r="EWW147" s="17"/>
      <c r="EWX147" s="15"/>
      <c r="EXM147" s="17"/>
      <c r="EXN147" s="15"/>
      <c r="EYC147" s="17"/>
      <c r="EYD147" s="15"/>
      <c r="EYS147" s="17"/>
      <c r="EYT147" s="15"/>
      <c r="EZI147" s="17"/>
      <c r="EZJ147" s="15"/>
      <c r="EZY147" s="17"/>
      <c r="EZZ147" s="15"/>
      <c r="FAO147" s="17"/>
      <c r="FAP147" s="15"/>
      <c r="FBE147" s="17"/>
      <c r="FBF147" s="15"/>
      <c r="FBU147" s="17"/>
      <c r="FBV147" s="15"/>
      <c r="FCK147" s="17"/>
      <c r="FCL147" s="15"/>
      <c r="FDA147" s="17"/>
      <c r="FDB147" s="15"/>
      <c r="FDQ147" s="17"/>
      <c r="FDR147" s="15"/>
      <c r="FEG147" s="17"/>
      <c r="FEH147" s="15"/>
      <c r="FEW147" s="17"/>
      <c r="FEX147" s="15"/>
      <c r="FFM147" s="17"/>
      <c r="FFN147" s="15"/>
      <c r="FGC147" s="17"/>
      <c r="FGD147" s="15"/>
      <c r="FGS147" s="17"/>
      <c r="FGT147" s="15"/>
      <c r="FHI147" s="17"/>
      <c r="FHJ147" s="15"/>
      <c r="FHY147" s="17"/>
      <c r="FHZ147" s="15"/>
      <c r="FIO147" s="17"/>
      <c r="FIP147" s="15"/>
      <c r="FJE147" s="17"/>
      <c r="FJF147" s="15"/>
      <c r="FJU147" s="17"/>
      <c r="FJV147" s="15"/>
      <c r="FKK147" s="17"/>
      <c r="FKL147" s="15"/>
      <c r="FLA147" s="17"/>
      <c r="FLB147" s="15"/>
      <c r="FLQ147" s="17"/>
      <c r="FLR147" s="15"/>
      <c r="FMG147" s="17"/>
      <c r="FMH147" s="15"/>
      <c r="FMW147" s="17"/>
      <c r="FMX147" s="15"/>
      <c r="FNM147" s="17"/>
      <c r="FNN147" s="15"/>
      <c r="FOC147" s="17"/>
      <c r="FOD147" s="15"/>
      <c r="FOS147" s="17"/>
      <c r="FOT147" s="15"/>
      <c r="FPI147" s="17"/>
      <c r="FPJ147" s="15"/>
      <c r="FPY147" s="17"/>
      <c r="FPZ147" s="15"/>
      <c r="FQO147" s="17"/>
      <c r="FQP147" s="15"/>
      <c r="FRE147" s="17"/>
      <c r="FRF147" s="15"/>
      <c r="FRU147" s="17"/>
      <c r="FRV147" s="15"/>
      <c r="FSK147" s="17"/>
      <c r="FSL147" s="15"/>
      <c r="FTA147" s="17"/>
      <c r="FTB147" s="15"/>
      <c r="FTQ147" s="17"/>
      <c r="FTR147" s="15"/>
      <c r="FUG147" s="17"/>
      <c r="FUH147" s="15"/>
      <c r="FUW147" s="17"/>
      <c r="FUX147" s="15"/>
      <c r="FVM147" s="17"/>
      <c r="FVN147" s="15"/>
      <c r="FWC147" s="17"/>
      <c r="FWD147" s="15"/>
      <c r="FWS147" s="17"/>
      <c r="FWT147" s="15"/>
      <c r="FXI147" s="17"/>
      <c r="FXJ147" s="15"/>
      <c r="FXY147" s="17"/>
      <c r="FXZ147" s="15"/>
      <c r="FYO147" s="17"/>
      <c r="FYP147" s="15"/>
      <c r="FZE147" s="17"/>
      <c r="FZF147" s="15"/>
      <c r="FZU147" s="17"/>
      <c r="FZV147" s="15"/>
      <c r="GAK147" s="17"/>
      <c r="GAL147" s="15"/>
      <c r="GBA147" s="17"/>
      <c r="GBB147" s="15"/>
      <c r="GBQ147" s="17"/>
      <c r="GBR147" s="15"/>
      <c r="GCG147" s="17"/>
      <c r="GCH147" s="15"/>
      <c r="GCW147" s="17"/>
      <c r="GCX147" s="15"/>
      <c r="GDM147" s="17"/>
      <c r="GDN147" s="15"/>
      <c r="GEC147" s="17"/>
      <c r="GED147" s="15"/>
      <c r="GES147" s="17"/>
      <c r="GET147" s="15"/>
      <c r="GFI147" s="17"/>
      <c r="GFJ147" s="15"/>
      <c r="GFY147" s="17"/>
      <c r="GFZ147" s="15"/>
      <c r="GGO147" s="17"/>
      <c r="GGP147" s="15"/>
      <c r="GHE147" s="17"/>
      <c r="GHF147" s="15"/>
      <c r="GHU147" s="17"/>
      <c r="GHV147" s="15"/>
      <c r="GIK147" s="17"/>
      <c r="GIL147" s="15"/>
      <c r="GJA147" s="17"/>
      <c r="GJB147" s="15"/>
      <c r="GJQ147" s="17"/>
      <c r="GJR147" s="15"/>
      <c r="GKG147" s="17"/>
      <c r="GKH147" s="15"/>
      <c r="GKW147" s="17"/>
      <c r="GKX147" s="15"/>
      <c r="GLM147" s="17"/>
      <c r="GLN147" s="15"/>
      <c r="GMC147" s="17"/>
      <c r="GMD147" s="15"/>
      <c r="GMS147" s="17"/>
      <c r="GMT147" s="15"/>
      <c r="GNI147" s="17"/>
      <c r="GNJ147" s="15"/>
      <c r="GNY147" s="17"/>
      <c r="GNZ147" s="15"/>
      <c r="GOO147" s="17"/>
      <c r="GOP147" s="15"/>
      <c r="GPE147" s="17"/>
      <c r="GPF147" s="15"/>
      <c r="GPU147" s="17"/>
      <c r="GPV147" s="15"/>
      <c r="GQK147" s="17"/>
      <c r="GQL147" s="15"/>
      <c r="GRA147" s="17"/>
      <c r="GRB147" s="15"/>
      <c r="GRQ147" s="17"/>
      <c r="GRR147" s="15"/>
      <c r="GSG147" s="17"/>
      <c r="GSH147" s="15"/>
      <c r="GSW147" s="17"/>
      <c r="GSX147" s="15"/>
      <c r="GTM147" s="17"/>
      <c r="GTN147" s="15"/>
      <c r="GUC147" s="17"/>
      <c r="GUD147" s="15"/>
      <c r="GUS147" s="17"/>
      <c r="GUT147" s="15"/>
      <c r="GVI147" s="17"/>
      <c r="GVJ147" s="15"/>
      <c r="GVY147" s="17"/>
      <c r="GVZ147" s="15"/>
      <c r="GWO147" s="17"/>
      <c r="GWP147" s="15"/>
      <c r="GXE147" s="17"/>
      <c r="GXF147" s="15"/>
      <c r="GXU147" s="17"/>
      <c r="GXV147" s="15"/>
      <c r="GYK147" s="17"/>
      <c r="GYL147" s="15"/>
      <c r="GZA147" s="17"/>
      <c r="GZB147" s="15"/>
      <c r="GZQ147" s="17"/>
      <c r="GZR147" s="15"/>
      <c r="HAG147" s="17"/>
      <c r="HAH147" s="15"/>
      <c r="HAW147" s="17"/>
      <c r="HAX147" s="15"/>
      <c r="HBM147" s="17"/>
      <c r="HBN147" s="15"/>
      <c r="HCC147" s="17"/>
      <c r="HCD147" s="15"/>
      <c r="HCS147" s="17"/>
      <c r="HCT147" s="15"/>
      <c r="HDI147" s="17"/>
      <c r="HDJ147" s="15"/>
      <c r="HDY147" s="17"/>
      <c r="HDZ147" s="15"/>
      <c r="HEO147" s="17"/>
      <c r="HEP147" s="15"/>
      <c r="HFE147" s="17"/>
      <c r="HFF147" s="15"/>
      <c r="HFU147" s="17"/>
      <c r="HFV147" s="15"/>
      <c r="HGK147" s="17"/>
      <c r="HGL147" s="15"/>
      <c r="HHA147" s="17"/>
      <c r="HHB147" s="15"/>
      <c r="HHQ147" s="17"/>
      <c r="HHR147" s="15"/>
      <c r="HIG147" s="17"/>
      <c r="HIH147" s="15"/>
      <c r="HIW147" s="17"/>
      <c r="HIX147" s="15"/>
      <c r="HJM147" s="17"/>
      <c r="HJN147" s="15"/>
      <c r="HKC147" s="17"/>
      <c r="HKD147" s="15"/>
      <c r="HKS147" s="17"/>
      <c r="HKT147" s="15"/>
      <c r="HLI147" s="17"/>
      <c r="HLJ147" s="15"/>
      <c r="HLY147" s="17"/>
      <c r="HLZ147" s="15"/>
      <c r="HMO147" s="17"/>
      <c r="HMP147" s="15"/>
      <c r="HNE147" s="17"/>
      <c r="HNF147" s="15"/>
      <c r="HNU147" s="17"/>
      <c r="HNV147" s="15"/>
      <c r="HOK147" s="17"/>
      <c r="HOL147" s="15"/>
      <c r="HPA147" s="17"/>
      <c r="HPB147" s="15"/>
      <c r="HPQ147" s="17"/>
      <c r="HPR147" s="15"/>
      <c r="HQG147" s="17"/>
      <c r="HQH147" s="15"/>
      <c r="HQW147" s="17"/>
      <c r="HQX147" s="15"/>
      <c r="HRM147" s="17"/>
      <c r="HRN147" s="15"/>
      <c r="HSC147" s="17"/>
      <c r="HSD147" s="15"/>
      <c r="HSS147" s="17"/>
      <c r="HST147" s="15"/>
      <c r="HTI147" s="17"/>
      <c r="HTJ147" s="15"/>
      <c r="HTY147" s="17"/>
      <c r="HTZ147" s="15"/>
      <c r="HUO147" s="17"/>
      <c r="HUP147" s="15"/>
      <c r="HVE147" s="17"/>
      <c r="HVF147" s="15"/>
      <c r="HVU147" s="17"/>
      <c r="HVV147" s="15"/>
      <c r="HWK147" s="17"/>
      <c r="HWL147" s="15"/>
      <c r="HXA147" s="17"/>
      <c r="HXB147" s="15"/>
      <c r="HXQ147" s="17"/>
      <c r="HXR147" s="15"/>
      <c r="HYG147" s="17"/>
      <c r="HYH147" s="15"/>
      <c r="HYW147" s="17"/>
      <c r="HYX147" s="15"/>
      <c r="HZM147" s="17"/>
      <c r="HZN147" s="15"/>
      <c r="IAC147" s="17"/>
      <c r="IAD147" s="15"/>
      <c r="IAS147" s="17"/>
      <c r="IAT147" s="15"/>
      <c r="IBI147" s="17"/>
      <c r="IBJ147" s="15"/>
      <c r="IBY147" s="17"/>
      <c r="IBZ147" s="15"/>
      <c r="ICO147" s="17"/>
      <c r="ICP147" s="15"/>
      <c r="IDE147" s="17"/>
      <c r="IDF147" s="15"/>
      <c r="IDU147" s="17"/>
      <c r="IDV147" s="15"/>
      <c r="IEK147" s="17"/>
      <c r="IEL147" s="15"/>
      <c r="IFA147" s="17"/>
      <c r="IFB147" s="15"/>
      <c r="IFQ147" s="17"/>
      <c r="IFR147" s="15"/>
      <c r="IGG147" s="17"/>
      <c r="IGH147" s="15"/>
      <c r="IGW147" s="17"/>
      <c r="IGX147" s="15"/>
      <c r="IHM147" s="17"/>
      <c r="IHN147" s="15"/>
      <c r="IIC147" s="17"/>
      <c r="IID147" s="15"/>
      <c r="IIS147" s="17"/>
      <c r="IIT147" s="15"/>
      <c r="IJI147" s="17"/>
      <c r="IJJ147" s="15"/>
      <c r="IJY147" s="17"/>
      <c r="IJZ147" s="15"/>
      <c r="IKO147" s="17"/>
      <c r="IKP147" s="15"/>
      <c r="ILE147" s="17"/>
      <c r="ILF147" s="15"/>
      <c r="ILU147" s="17"/>
      <c r="ILV147" s="15"/>
      <c r="IMK147" s="17"/>
      <c r="IML147" s="15"/>
      <c r="INA147" s="17"/>
      <c r="INB147" s="15"/>
      <c r="INQ147" s="17"/>
      <c r="INR147" s="15"/>
      <c r="IOG147" s="17"/>
      <c r="IOH147" s="15"/>
      <c r="IOW147" s="17"/>
      <c r="IOX147" s="15"/>
      <c r="IPM147" s="17"/>
      <c r="IPN147" s="15"/>
      <c r="IQC147" s="17"/>
      <c r="IQD147" s="15"/>
      <c r="IQS147" s="17"/>
      <c r="IQT147" s="15"/>
      <c r="IRI147" s="17"/>
      <c r="IRJ147" s="15"/>
      <c r="IRY147" s="17"/>
      <c r="IRZ147" s="15"/>
      <c r="ISO147" s="17"/>
      <c r="ISP147" s="15"/>
      <c r="ITE147" s="17"/>
      <c r="ITF147" s="15"/>
      <c r="ITU147" s="17"/>
      <c r="ITV147" s="15"/>
      <c r="IUK147" s="17"/>
      <c r="IUL147" s="15"/>
      <c r="IVA147" s="17"/>
      <c r="IVB147" s="15"/>
      <c r="IVQ147" s="17"/>
      <c r="IVR147" s="15"/>
      <c r="IWG147" s="17"/>
      <c r="IWH147" s="15"/>
      <c r="IWW147" s="17"/>
      <c r="IWX147" s="15"/>
      <c r="IXM147" s="17"/>
      <c r="IXN147" s="15"/>
      <c r="IYC147" s="17"/>
      <c r="IYD147" s="15"/>
      <c r="IYS147" s="17"/>
      <c r="IYT147" s="15"/>
      <c r="IZI147" s="17"/>
      <c r="IZJ147" s="15"/>
      <c r="IZY147" s="17"/>
      <c r="IZZ147" s="15"/>
      <c r="JAO147" s="17"/>
      <c r="JAP147" s="15"/>
      <c r="JBE147" s="17"/>
      <c r="JBF147" s="15"/>
      <c r="JBU147" s="17"/>
      <c r="JBV147" s="15"/>
      <c r="JCK147" s="17"/>
      <c r="JCL147" s="15"/>
      <c r="JDA147" s="17"/>
      <c r="JDB147" s="15"/>
      <c r="JDQ147" s="17"/>
      <c r="JDR147" s="15"/>
      <c r="JEG147" s="17"/>
      <c r="JEH147" s="15"/>
      <c r="JEW147" s="17"/>
      <c r="JEX147" s="15"/>
      <c r="JFM147" s="17"/>
      <c r="JFN147" s="15"/>
      <c r="JGC147" s="17"/>
      <c r="JGD147" s="15"/>
      <c r="JGS147" s="17"/>
      <c r="JGT147" s="15"/>
      <c r="JHI147" s="17"/>
      <c r="JHJ147" s="15"/>
      <c r="JHY147" s="17"/>
      <c r="JHZ147" s="15"/>
      <c r="JIO147" s="17"/>
      <c r="JIP147" s="15"/>
      <c r="JJE147" s="17"/>
      <c r="JJF147" s="15"/>
      <c r="JJU147" s="17"/>
      <c r="JJV147" s="15"/>
      <c r="JKK147" s="17"/>
      <c r="JKL147" s="15"/>
      <c r="JLA147" s="17"/>
      <c r="JLB147" s="15"/>
      <c r="JLQ147" s="17"/>
      <c r="JLR147" s="15"/>
      <c r="JMG147" s="17"/>
      <c r="JMH147" s="15"/>
      <c r="JMW147" s="17"/>
      <c r="JMX147" s="15"/>
      <c r="JNM147" s="17"/>
      <c r="JNN147" s="15"/>
      <c r="JOC147" s="17"/>
      <c r="JOD147" s="15"/>
      <c r="JOS147" s="17"/>
      <c r="JOT147" s="15"/>
      <c r="JPI147" s="17"/>
      <c r="JPJ147" s="15"/>
      <c r="JPY147" s="17"/>
      <c r="JPZ147" s="15"/>
      <c r="JQO147" s="17"/>
      <c r="JQP147" s="15"/>
      <c r="JRE147" s="17"/>
      <c r="JRF147" s="15"/>
      <c r="JRU147" s="17"/>
      <c r="JRV147" s="15"/>
      <c r="JSK147" s="17"/>
      <c r="JSL147" s="15"/>
      <c r="JTA147" s="17"/>
      <c r="JTB147" s="15"/>
      <c r="JTQ147" s="17"/>
      <c r="JTR147" s="15"/>
      <c r="JUG147" s="17"/>
      <c r="JUH147" s="15"/>
      <c r="JUW147" s="17"/>
      <c r="JUX147" s="15"/>
      <c r="JVM147" s="17"/>
      <c r="JVN147" s="15"/>
      <c r="JWC147" s="17"/>
      <c r="JWD147" s="15"/>
      <c r="JWS147" s="17"/>
      <c r="JWT147" s="15"/>
      <c r="JXI147" s="17"/>
      <c r="JXJ147" s="15"/>
      <c r="JXY147" s="17"/>
      <c r="JXZ147" s="15"/>
      <c r="JYO147" s="17"/>
      <c r="JYP147" s="15"/>
      <c r="JZE147" s="17"/>
      <c r="JZF147" s="15"/>
      <c r="JZU147" s="17"/>
      <c r="JZV147" s="15"/>
      <c r="KAK147" s="17"/>
      <c r="KAL147" s="15"/>
      <c r="KBA147" s="17"/>
      <c r="KBB147" s="15"/>
      <c r="KBQ147" s="17"/>
      <c r="KBR147" s="15"/>
      <c r="KCG147" s="17"/>
      <c r="KCH147" s="15"/>
      <c r="KCW147" s="17"/>
      <c r="KCX147" s="15"/>
      <c r="KDM147" s="17"/>
      <c r="KDN147" s="15"/>
      <c r="KEC147" s="17"/>
      <c r="KED147" s="15"/>
      <c r="KES147" s="17"/>
      <c r="KET147" s="15"/>
      <c r="KFI147" s="17"/>
      <c r="KFJ147" s="15"/>
      <c r="KFY147" s="17"/>
      <c r="KFZ147" s="15"/>
      <c r="KGO147" s="17"/>
      <c r="KGP147" s="15"/>
      <c r="KHE147" s="17"/>
      <c r="KHF147" s="15"/>
      <c r="KHU147" s="17"/>
      <c r="KHV147" s="15"/>
      <c r="KIK147" s="17"/>
      <c r="KIL147" s="15"/>
      <c r="KJA147" s="17"/>
      <c r="KJB147" s="15"/>
      <c r="KJQ147" s="17"/>
      <c r="KJR147" s="15"/>
      <c r="KKG147" s="17"/>
      <c r="KKH147" s="15"/>
      <c r="KKW147" s="17"/>
      <c r="KKX147" s="15"/>
      <c r="KLM147" s="17"/>
      <c r="KLN147" s="15"/>
      <c r="KMC147" s="17"/>
      <c r="KMD147" s="15"/>
      <c r="KMS147" s="17"/>
      <c r="KMT147" s="15"/>
      <c r="KNI147" s="17"/>
      <c r="KNJ147" s="15"/>
      <c r="KNY147" s="17"/>
      <c r="KNZ147" s="15"/>
      <c r="KOO147" s="17"/>
      <c r="KOP147" s="15"/>
      <c r="KPE147" s="17"/>
      <c r="KPF147" s="15"/>
      <c r="KPU147" s="17"/>
      <c r="KPV147" s="15"/>
      <c r="KQK147" s="17"/>
      <c r="KQL147" s="15"/>
      <c r="KRA147" s="17"/>
      <c r="KRB147" s="15"/>
      <c r="KRQ147" s="17"/>
      <c r="KRR147" s="15"/>
      <c r="KSG147" s="17"/>
      <c r="KSH147" s="15"/>
      <c r="KSW147" s="17"/>
      <c r="KSX147" s="15"/>
      <c r="KTM147" s="17"/>
      <c r="KTN147" s="15"/>
      <c r="KUC147" s="17"/>
      <c r="KUD147" s="15"/>
      <c r="KUS147" s="17"/>
      <c r="KUT147" s="15"/>
      <c r="KVI147" s="17"/>
      <c r="KVJ147" s="15"/>
      <c r="KVY147" s="17"/>
      <c r="KVZ147" s="15"/>
      <c r="KWO147" s="17"/>
      <c r="KWP147" s="15"/>
      <c r="KXE147" s="17"/>
      <c r="KXF147" s="15"/>
      <c r="KXU147" s="17"/>
      <c r="KXV147" s="15"/>
      <c r="KYK147" s="17"/>
      <c r="KYL147" s="15"/>
      <c r="KZA147" s="17"/>
      <c r="KZB147" s="15"/>
      <c r="KZQ147" s="17"/>
      <c r="KZR147" s="15"/>
      <c r="LAG147" s="17"/>
      <c r="LAH147" s="15"/>
      <c r="LAW147" s="17"/>
      <c r="LAX147" s="15"/>
      <c r="LBM147" s="17"/>
      <c r="LBN147" s="15"/>
      <c r="LCC147" s="17"/>
      <c r="LCD147" s="15"/>
      <c r="LCS147" s="17"/>
      <c r="LCT147" s="15"/>
      <c r="LDI147" s="17"/>
      <c r="LDJ147" s="15"/>
      <c r="LDY147" s="17"/>
      <c r="LDZ147" s="15"/>
      <c r="LEO147" s="17"/>
      <c r="LEP147" s="15"/>
      <c r="LFE147" s="17"/>
      <c r="LFF147" s="15"/>
      <c r="LFU147" s="17"/>
      <c r="LFV147" s="15"/>
      <c r="LGK147" s="17"/>
      <c r="LGL147" s="15"/>
      <c r="LHA147" s="17"/>
      <c r="LHB147" s="15"/>
      <c r="LHQ147" s="17"/>
      <c r="LHR147" s="15"/>
      <c r="LIG147" s="17"/>
      <c r="LIH147" s="15"/>
      <c r="LIW147" s="17"/>
      <c r="LIX147" s="15"/>
      <c r="LJM147" s="17"/>
      <c r="LJN147" s="15"/>
      <c r="LKC147" s="17"/>
      <c r="LKD147" s="15"/>
      <c r="LKS147" s="17"/>
      <c r="LKT147" s="15"/>
      <c r="LLI147" s="17"/>
      <c r="LLJ147" s="15"/>
      <c r="LLY147" s="17"/>
      <c r="LLZ147" s="15"/>
      <c r="LMO147" s="17"/>
      <c r="LMP147" s="15"/>
      <c r="LNE147" s="17"/>
      <c r="LNF147" s="15"/>
      <c r="LNU147" s="17"/>
      <c r="LNV147" s="15"/>
      <c r="LOK147" s="17"/>
      <c r="LOL147" s="15"/>
      <c r="LPA147" s="17"/>
      <c r="LPB147" s="15"/>
      <c r="LPQ147" s="17"/>
      <c r="LPR147" s="15"/>
      <c r="LQG147" s="17"/>
      <c r="LQH147" s="15"/>
      <c r="LQW147" s="17"/>
      <c r="LQX147" s="15"/>
      <c r="LRM147" s="17"/>
      <c r="LRN147" s="15"/>
      <c r="LSC147" s="17"/>
      <c r="LSD147" s="15"/>
      <c r="LSS147" s="17"/>
      <c r="LST147" s="15"/>
      <c r="LTI147" s="17"/>
      <c r="LTJ147" s="15"/>
      <c r="LTY147" s="17"/>
      <c r="LTZ147" s="15"/>
      <c r="LUO147" s="17"/>
      <c r="LUP147" s="15"/>
      <c r="LVE147" s="17"/>
      <c r="LVF147" s="15"/>
      <c r="LVU147" s="17"/>
      <c r="LVV147" s="15"/>
      <c r="LWK147" s="17"/>
      <c r="LWL147" s="15"/>
      <c r="LXA147" s="17"/>
      <c r="LXB147" s="15"/>
      <c r="LXQ147" s="17"/>
      <c r="LXR147" s="15"/>
      <c r="LYG147" s="17"/>
      <c r="LYH147" s="15"/>
      <c r="LYW147" s="17"/>
      <c r="LYX147" s="15"/>
      <c r="LZM147" s="17"/>
      <c r="LZN147" s="15"/>
      <c r="MAC147" s="17"/>
      <c r="MAD147" s="15"/>
      <c r="MAS147" s="17"/>
      <c r="MAT147" s="15"/>
      <c r="MBI147" s="17"/>
      <c r="MBJ147" s="15"/>
      <c r="MBY147" s="17"/>
      <c r="MBZ147" s="15"/>
      <c r="MCO147" s="17"/>
      <c r="MCP147" s="15"/>
      <c r="MDE147" s="17"/>
      <c r="MDF147" s="15"/>
      <c r="MDU147" s="17"/>
      <c r="MDV147" s="15"/>
      <c r="MEK147" s="17"/>
      <c r="MEL147" s="15"/>
      <c r="MFA147" s="17"/>
      <c r="MFB147" s="15"/>
      <c r="MFQ147" s="17"/>
      <c r="MFR147" s="15"/>
      <c r="MGG147" s="17"/>
      <c r="MGH147" s="15"/>
      <c r="MGW147" s="17"/>
      <c r="MGX147" s="15"/>
      <c r="MHM147" s="17"/>
      <c r="MHN147" s="15"/>
      <c r="MIC147" s="17"/>
      <c r="MID147" s="15"/>
      <c r="MIS147" s="17"/>
      <c r="MIT147" s="15"/>
      <c r="MJI147" s="17"/>
      <c r="MJJ147" s="15"/>
      <c r="MJY147" s="17"/>
      <c r="MJZ147" s="15"/>
      <c r="MKO147" s="17"/>
      <c r="MKP147" s="15"/>
      <c r="MLE147" s="17"/>
      <c r="MLF147" s="15"/>
      <c r="MLU147" s="17"/>
      <c r="MLV147" s="15"/>
      <c r="MMK147" s="17"/>
      <c r="MML147" s="15"/>
      <c r="MNA147" s="17"/>
      <c r="MNB147" s="15"/>
      <c r="MNQ147" s="17"/>
      <c r="MNR147" s="15"/>
      <c r="MOG147" s="17"/>
      <c r="MOH147" s="15"/>
      <c r="MOW147" s="17"/>
      <c r="MOX147" s="15"/>
      <c r="MPM147" s="17"/>
      <c r="MPN147" s="15"/>
      <c r="MQC147" s="17"/>
      <c r="MQD147" s="15"/>
      <c r="MQS147" s="17"/>
      <c r="MQT147" s="15"/>
      <c r="MRI147" s="17"/>
      <c r="MRJ147" s="15"/>
      <c r="MRY147" s="17"/>
      <c r="MRZ147" s="15"/>
      <c r="MSO147" s="17"/>
      <c r="MSP147" s="15"/>
      <c r="MTE147" s="17"/>
      <c r="MTF147" s="15"/>
      <c r="MTU147" s="17"/>
      <c r="MTV147" s="15"/>
      <c r="MUK147" s="17"/>
      <c r="MUL147" s="15"/>
      <c r="MVA147" s="17"/>
      <c r="MVB147" s="15"/>
      <c r="MVQ147" s="17"/>
      <c r="MVR147" s="15"/>
      <c r="MWG147" s="17"/>
      <c r="MWH147" s="15"/>
      <c r="MWW147" s="17"/>
      <c r="MWX147" s="15"/>
      <c r="MXM147" s="17"/>
      <c r="MXN147" s="15"/>
      <c r="MYC147" s="17"/>
      <c r="MYD147" s="15"/>
      <c r="MYS147" s="17"/>
      <c r="MYT147" s="15"/>
      <c r="MZI147" s="17"/>
      <c r="MZJ147" s="15"/>
      <c r="MZY147" s="17"/>
      <c r="MZZ147" s="15"/>
      <c r="NAO147" s="17"/>
      <c r="NAP147" s="15"/>
      <c r="NBE147" s="17"/>
      <c r="NBF147" s="15"/>
      <c r="NBU147" s="17"/>
      <c r="NBV147" s="15"/>
      <c r="NCK147" s="17"/>
      <c r="NCL147" s="15"/>
      <c r="NDA147" s="17"/>
      <c r="NDB147" s="15"/>
      <c r="NDQ147" s="17"/>
      <c r="NDR147" s="15"/>
      <c r="NEG147" s="17"/>
      <c r="NEH147" s="15"/>
      <c r="NEW147" s="17"/>
      <c r="NEX147" s="15"/>
      <c r="NFM147" s="17"/>
      <c r="NFN147" s="15"/>
      <c r="NGC147" s="17"/>
      <c r="NGD147" s="15"/>
      <c r="NGS147" s="17"/>
      <c r="NGT147" s="15"/>
      <c r="NHI147" s="17"/>
      <c r="NHJ147" s="15"/>
      <c r="NHY147" s="17"/>
      <c r="NHZ147" s="15"/>
      <c r="NIO147" s="17"/>
      <c r="NIP147" s="15"/>
      <c r="NJE147" s="17"/>
      <c r="NJF147" s="15"/>
      <c r="NJU147" s="17"/>
      <c r="NJV147" s="15"/>
      <c r="NKK147" s="17"/>
      <c r="NKL147" s="15"/>
      <c r="NLA147" s="17"/>
      <c r="NLB147" s="15"/>
      <c r="NLQ147" s="17"/>
      <c r="NLR147" s="15"/>
      <c r="NMG147" s="17"/>
      <c r="NMH147" s="15"/>
      <c r="NMW147" s="17"/>
      <c r="NMX147" s="15"/>
      <c r="NNM147" s="17"/>
      <c r="NNN147" s="15"/>
      <c r="NOC147" s="17"/>
      <c r="NOD147" s="15"/>
      <c r="NOS147" s="17"/>
      <c r="NOT147" s="15"/>
      <c r="NPI147" s="17"/>
      <c r="NPJ147" s="15"/>
      <c r="NPY147" s="17"/>
      <c r="NPZ147" s="15"/>
      <c r="NQO147" s="17"/>
      <c r="NQP147" s="15"/>
      <c r="NRE147" s="17"/>
      <c r="NRF147" s="15"/>
      <c r="NRU147" s="17"/>
      <c r="NRV147" s="15"/>
      <c r="NSK147" s="17"/>
      <c r="NSL147" s="15"/>
      <c r="NTA147" s="17"/>
      <c r="NTB147" s="15"/>
      <c r="NTQ147" s="17"/>
      <c r="NTR147" s="15"/>
      <c r="NUG147" s="17"/>
      <c r="NUH147" s="15"/>
      <c r="NUW147" s="17"/>
      <c r="NUX147" s="15"/>
      <c r="NVM147" s="17"/>
      <c r="NVN147" s="15"/>
      <c r="NWC147" s="17"/>
      <c r="NWD147" s="15"/>
      <c r="NWS147" s="17"/>
      <c r="NWT147" s="15"/>
      <c r="NXI147" s="17"/>
      <c r="NXJ147" s="15"/>
      <c r="NXY147" s="17"/>
      <c r="NXZ147" s="15"/>
      <c r="NYO147" s="17"/>
      <c r="NYP147" s="15"/>
      <c r="NZE147" s="17"/>
      <c r="NZF147" s="15"/>
      <c r="NZU147" s="17"/>
      <c r="NZV147" s="15"/>
      <c r="OAK147" s="17"/>
      <c r="OAL147" s="15"/>
      <c r="OBA147" s="17"/>
      <c r="OBB147" s="15"/>
      <c r="OBQ147" s="17"/>
      <c r="OBR147" s="15"/>
      <c r="OCG147" s="17"/>
      <c r="OCH147" s="15"/>
      <c r="OCW147" s="17"/>
      <c r="OCX147" s="15"/>
      <c r="ODM147" s="17"/>
      <c r="ODN147" s="15"/>
      <c r="OEC147" s="17"/>
      <c r="OED147" s="15"/>
      <c r="OES147" s="17"/>
      <c r="OET147" s="15"/>
      <c r="OFI147" s="17"/>
      <c r="OFJ147" s="15"/>
      <c r="OFY147" s="17"/>
      <c r="OFZ147" s="15"/>
      <c r="OGO147" s="17"/>
      <c r="OGP147" s="15"/>
      <c r="OHE147" s="17"/>
      <c r="OHF147" s="15"/>
      <c r="OHU147" s="17"/>
      <c r="OHV147" s="15"/>
      <c r="OIK147" s="17"/>
      <c r="OIL147" s="15"/>
      <c r="OJA147" s="17"/>
      <c r="OJB147" s="15"/>
      <c r="OJQ147" s="17"/>
      <c r="OJR147" s="15"/>
      <c r="OKG147" s="17"/>
      <c r="OKH147" s="15"/>
      <c r="OKW147" s="17"/>
      <c r="OKX147" s="15"/>
      <c r="OLM147" s="17"/>
      <c r="OLN147" s="15"/>
      <c r="OMC147" s="17"/>
      <c r="OMD147" s="15"/>
      <c r="OMS147" s="17"/>
      <c r="OMT147" s="15"/>
      <c r="ONI147" s="17"/>
      <c r="ONJ147" s="15"/>
      <c r="ONY147" s="17"/>
      <c r="ONZ147" s="15"/>
      <c r="OOO147" s="17"/>
      <c r="OOP147" s="15"/>
      <c r="OPE147" s="17"/>
      <c r="OPF147" s="15"/>
      <c r="OPU147" s="17"/>
      <c r="OPV147" s="15"/>
      <c r="OQK147" s="17"/>
      <c r="OQL147" s="15"/>
      <c r="ORA147" s="17"/>
      <c r="ORB147" s="15"/>
      <c r="ORQ147" s="17"/>
      <c r="ORR147" s="15"/>
      <c r="OSG147" s="17"/>
      <c r="OSH147" s="15"/>
      <c r="OSW147" s="17"/>
      <c r="OSX147" s="15"/>
      <c r="OTM147" s="17"/>
      <c r="OTN147" s="15"/>
      <c r="OUC147" s="17"/>
      <c r="OUD147" s="15"/>
      <c r="OUS147" s="17"/>
      <c r="OUT147" s="15"/>
      <c r="OVI147" s="17"/>
      <c r="OVJ147" s="15"/>
      <c r="OVY147" s="17"/>
      <c r="OVZ147" s="15"/>
      <c r="OWO147" s="17"/>
      <c r="OWP147" s="15"/>
      <c r="OXE147" s="17"/>
      <c r="OXF147" s="15"/>
      <c r="OXU147" s="17"/>
      <c r="OXV147" s="15"/>
      <c r="OYK147" s="17"/>
      <c r="OYL147" s="15"/>
      <c r="OZA147" s="17"/>
      <c r="OZB147" s="15"/>
      <c r="OZQ147" s="17"/>
      <c r="OZR147" s="15"/>
      <c r="PAG147" s="17"/>
      <c r="PAH147" s="15"/>
      <c r="PAW147" s="17"/>
      <c r="PAX147" s="15"/>
      <c r="PBM147" s="17"/>
      <c r="PBN147" s="15"/>
      <c r="PCC147" s="17"/>
      <c r="PCD147" s="15"/>
      <c r="PCS147" s="17"/>
      <c r="PCT147" s="15"/>
      <c r="PDI147" s="17"/>
      <c r="PDJ147" s="15"/>
      <c r="PDY147" s="17"/>
      <c r="PDZ147" s="15"/>
      <c r="PEO147" s="17"/>
      <c r="PEP147" s="15"/>
      <c r="PFE147" s="17"/>
      <c r="PFF147" s="15"/>
      <c r="PFU147" s="17"/>
      <c r="PFV147" s="15"/>
      <c r="PGK147" s="17"/>
      <c r="PGL147" s="15"/>
      <c r="PHA147" s="17"/>
      <c r="PHB147" s="15"/>
      <c r="PHQ147" s="17"/>
      <c r="PHR147" s="15"/>
      <c r="PIG147" s="17"/>
      <c r="PIH147" s="15"/>
      <c r="PIW147" s="17"/>
      <c r="PIX147" s="15"/>
      <c r="PJM147" s="17"/>
      <c r="PJN147" s="15"/>
      <c r="PKC147" s="17"/>
      <c r="PKD147" s="15"/>
      <c r="PKS147" s="17"/>
      <c r="PKT147" s="15"/>
      <c r="PLI147" s="17"/>
      <c r="PLJ147" s="15"/>
      <c r="PLY147" s="17"/>
      <c r="PLZ147" s="15"/>
      <c r="PMO147" s="17"/>
      <c r="PMP147" s="15"/>
      <c r="PNE147" s="17"/>
      <c r="PNF147" s="15"/>
      <c r="PNU147" s="17"/>
      <c r="PNV147" s="15"/>
      <c r="POK147" s="17"/>
      <c r="POL147" s="15"/>
      <c r="PPA147" s="17"/>
      <c r="PPB147" s="15"/>
      <c r="PPQ147" s="17"/>
      <c r="PPR147" s="15"/>
      <c r="PQG147" s="17"/>
      <c r="PQH147" s="15"/>
      <c r="PQW147" s="17"/>
      <c r="PQX147" s="15"/>
      <c r="PRM147" s="17"/>
      <c r="PRN147" s="15"/>
      <c r="PSC147" s="17"/>
      <c r="PSD147" s="15"/>
      <c r="PSS147" s="17"/>
      <c r="PST147" s="15"/>
      <c r="PTI147" s="17"/>
      <c r="PTJ147" s="15"/>
      <c r="PTY147" s="17"/>
      <c r="PTZ147" s="15"/>
      <c r="PUO147" s="17"/>
      <c r="PUP147" s="15"/>
      <c r="PVE147" s="17"/>
      <c r="PVF147" s="15"/>
      <c r="PVU147" s="17"/>
      <c r="PVV147" s="15"/>
      <c r="PWK147" s="17"/>
      <c r="PWL147" s="15"/>
      <c r="PXA147" s="17"/>
      <c r="PXB147" s="15"/>
      <c r="PXQ147" s="17"/>
      <c r="PXR147" s="15"/>
      <c r="PYG147" s="17"/>
      <c r="PYH147" s="15"/>
      <c r="PYW147" s="17"/>
      <c r="PYX147" s="15"/>
      <c r="PZM147" s="17"/>
      <c r="PZN147" s="15"/>
      <c r="QAC147" s="17"/>
      <c r="QAD147" s="15"/>
      <c r="QAS147" s="17"/>
      <c r="QAT147" s="15"/>
      <c r="QBI147" s="17"/>
      <c r="QBJ147" s="15"/>
      <c r="QBY147" s="17"/>
      <c r="QBZ147" s="15"/>
      <c r="QCO147" s="17"/>
      <c r="QCP147" s="15"/>
      <c r="QDE147" s="17"/>
      <c r="QDF147" s="15"/>
      <c r="QDU147" s="17"/>
      <c r="QDV147" s="15"/>
      <c r="QEK147" s="17"/>
      <c r="QEL147" s="15"/>
      <c r="QFA147" s="17"/>
      <c r="QFB147" s="15"/>
      <c r="QFQ147" s="17"/>
      <c r="QFR147" s="15"/>
      <c r="QGG147" s="17"/>
      <c r="QGH147" s="15"/>
      <c r="QGW147" s="17"/>
      <c r="QGX147" s="15"/>
      <c r="QHM147" s="17"/>
      <c r="QHN147" s="15"/>
      <c r="QIC147" s="17"/>
      <c r="QID147" s="15"/>
      <c r="QIS147" s="17"/>
      <c r="QIT147" s="15"/>
      <c r="QJI147" s="17"/>
      <c r="QJJ147" s="15"/>
      <c r="QJY147" s="17"/>
      <c r="QJZ147" s="15"/>
      <c r="QKO147" s="17"/>
      <c r="QKP147" s="15"/>
      <c r="QLE147" s="17"/>
      <c r="QLF147" s="15"/>
      <c r="QLU147" s="17"/>
      <c r="QLV147" s="15"/>
      <c r="QMK147" s="17"/>
      <c r="QML147" s="15"/>
      <c r="QNA147" s="17"/>
      <c r="QNB147" s="15"/>
      <c r="QNQ147" s="17"/>
      <c r="QNR147" s="15"/>
      <c r="QOG147" s="17"/>
      <c r="QOH147" s="15"/>
      <c r="QOW147" s="17"/>
      <c r="QOX147" s="15"/>
      <c r="QPM147" s="17"/>
      <c r="QPN147" s="15"/>
      <c r="QQC147" s="17"/>
      <c r="QQD147" s="15"/>
      <c r="QQS147" s="17"/>
      <c r="QQT147" s="15"/>
      <c r="QRI147" s="17"/>
      <c r="QRJ147" s="15"/>
      <c r="QRY147" s="17"/>
      <c r="QRZ147" s="15"/>
      <c r="QSO147" s="17"/>
      <c r="QSP147" s="15"/>
      <c r="QTE147" s="17"/>
      <c r="QTF147" s="15"/>
      <c r="QTU147" s="17"/>
      <c r="QTV147" s="15"/>
      <c r="QUK147" s="17"/>
      <c r="QUL147" s="15"/>
      <c r="QVA147" s="17"/>
      <c r="QVB147" s="15"/>
      <c r="QVQ147" s="17"/>
      <c r="QVR147" s="15"/>
      <c r="QWG147" s="17"/>
      <c r="QWH147" s="15"/>
      <c r="QWW147" s="17"/>
      <c r="QWX147" s="15"/>
      <c r="QXM147" s="17"/>
      <c r="QXN147" s="15"/>
      <c r="QYC147" s="17"/>
      <c r="QYD147" s="15"/>
      <c r="QYS147" s="17"/>
      <c r="QYT147" s="15"/>
      <c r="QZI147" s="17"/>
      <c r="QZJ147" s="15"/>
      <c r="QZY147" s="17"/>
      <c r="QZZ147" s="15"/>
      <c r="RAO147" s="17"/>
      <c r="RAP147" s="15"/>
      <c r="RBE147" s="17"/>
      <c r="RBF147" s="15"/>
      <c r="RBU147" s="17"/>
      <c r="RBV147" s="15"/>
      <c r="RCK147" s="17"/>
      <c r="RCL147" s="15"/>
      <c r="RDA147" s="17"/>
      <c r="RDB147" s="15"/>
      <c r="RDQ147" s="17"/>
      <c r="RDR147" s="15"/>
      <c r="REG147" s="17"/>
      <c r="REH147" s="15"/>
      <c r="REW147" s="17"/>
      <c r="REX147" s="15"/>
      <c r="RFM147" s="17"/>
      <c r="RFN147" s="15"/>
      <c r="RGC147" s="17"/>
      <c r="RGD147" s="15"/>
      <c r="RGS147" s="17"/>
      <c r="RGT147" s="15"/>
      <c r="RHI147" s="17"/>
      <c r="RHJ147" s="15"/>
      <c r="RHY147" s="17"/>
      <c r="RHZ147" s="15"/>
      <c r="RIO147" s="17"/>
      <c r="RIP147" s="15"/>
      <c r="RJE147" s="17"/>
      <c r="RJF147" s="15"/>
      <c r="RJU147" s="17"/>
      <c r="RJV147" s="15"/>
      <c r="RKK147" s="17"/>
      <c r="RKL147" s="15"/>
      <c r="RLA147" s="17"/>
      <c r="RLB147" s="15"/>
      <c r="RLQ147" s="17"/>
      <c r="RLR147" s="15"/>
      <c r="RMG147" s="17"/>
      <c r="RMH147" s="15"/>
      <c r="RMW147" s="17"/>
      <c r="RMX147" s="15"/>
      <c r="RNM147" s="17"/>
      <c r="RNN147" s="15"/>
      <c r="ROC147" s="17"/>
      <c r="ROD147" s="15"/>
      <c r="ROS147" s="17"/>
      <c r="ROT147" s="15"/>
      <c r="RPI147" s="17"/>
      <c r="RPJ147" s="15"/>
      <c r="RPY147" s="17"/>
      <c r="RPZ147" s="15"/>
      <c r="RQO147" s="17"/>
      <c r="RQP147" s="15"/>
      <c r="RRE147" s="17"/>
      <c r="RRF147" s="15"/>
      <c r="RRU147" s="17"/>
      <c r="RRV147" s="15"/>
      <c r="RSK147" s="17"/>
      <c r="RSL147" s="15"/>
      <c r="RTA147" s="17"/>
      <c r="RTB147" s="15"/>
      <c r="RTQ147" s="17"/>
      <c r="RTR147" s="15"/>
      <c r="RUG147" s="17"/>
      <c r="RUH147" s="15"/>
      <c r="RUW147" s="17"/>
      <c r="RUX147" s="15"/>
      <c r="RVM147" s="17"/>
      <c r="RVN147" s="15"/>
      <c r="RWC147" s="17"/>
      <c r="RWD147" s="15"/>
      <c r="RWS147" s="17"/>
      <c r="RWT147" s="15"/>
      <c r="RXI147" s="17"/>
      <c r="RXJ147" s="15"/>
      <c r="RXY147" s="17"/>
      <c r="RXZ147" s="15"/>
      <c r="RYO147" s="17"/>
      <c r="RYP147" s="15"/>
      <c r="RZE147" s="17"/>
      <c r="RZF147" s="15"/>
      <c r="RZU147" s="17"/>
      <c r="RZV147" s="15"/>
      <c r="SAK147" s="17"/>
      <c r="SAL147" s="15"/>
      <c r="SBA147" s="17"/>
      <c r="SBB147" s="15"/>
      <c r="SBQ147" s="17"/>
      <c r="SBR147" s="15"/>
      <c r="SCG147" s="17"/>
      <c r="SCH147" s="15"/>
      <c r="SCW147" s="17"/>
      <c r="SCX147" s="15"/>
      <c r="SDM147" s="17"/>
      <c r="SDN147" s="15"/>
      <c r="SEC147" s="17"/>
      <c r="SED147" s="15"/>
      <c r="SES147" s="17"/>
      <c r="SET147" s="15"/>
      <c r="SFI147" s="17"/>
      <c r="SFJ147" s="15"/>
      <c r="SFY147" s="17"/>
      <c r="SFZ147" s="15"/>
      <c r="SGO147" s="17"/>
      <c r="SGP147" s="15"/>
      <c r="SHE147" s="17"/>
      <c r="SHF147" s="15"/>
      <c r="SHU147" s="17"/>
      <c r="SHV147" s="15"/>
      <c r="SIK147" s="17"/>
      <c r="SIL147" s="15"/>
      <c r="SJA147" s="17"/>
      <c r="SJB147" s="15"/>
      <c r="SJQ147" s="17"/>
      <c r="SJR147" s="15"/>
      <c r="SKG147" s="17"/>
      <c r="SKH147" s="15"/>
      <c r="SKW147" s="17"/>
      <c r="SKX147" s="15"/>
      <c r="SLM147" s="17"/>
      <c r="SLN147" s="15"/>
      <c r="SMC147" s="17"/>
      <c r="SMD147" s="15"/>
      <c r="SMS147" s="17"/>
      <c r="SMT147" s="15"/>
      <c r="SNI147" s="17"/>
      <c r="SNJ147" s="15"/>
      <c r="SNY147" s="17"/>
      <c r="SNZ147" s="15"/>
      <c r="SOO147" s="17"/>
      <c r="SOP147" s="15"/>
      <c r="SPE147" s="17"/>
      <c r="SPF147" s="15"/>
      <c r="SPU147" s="17"/>
      <c r="SPV147" s="15"/>
      <c r="SQK147" s="17"/>
      <c r="SQL147" s="15"/>
      <c r="SRA147" s="17"/>
      <c r="SRB147" s="15"/>
      <c r="SRQ147" s="17"/>
      <c r="SRR147" s="15"/>
      <c r="SSG147" s="17"/>
      <c r="SSH147" s="15"/>
      <c r="SSW147" s="17"/>
      <c r="SSX147" s="15"/>
      <c r="STM147" s="17"/>
      <c r="STN147" s="15"/>
      <c r="SUC147" s="17"/>
      <c r="SUD147" s="15"/>
      <c r="SUS147" s="17"/>
      <c r="SUT147" s="15"/>
      <c r="SVI147" s="17"/>
      <c r="SVJ147" s="15"/>
      <c r="SVY147" s="17"/>
      <c r="SVZ147" s="15"/>
      <c r="SWO147" s="17"/>
      <c r="SWP147" s="15"/>
      <c r="SXE147" s="17"/>
      <c r="SXF147" s="15"/>
      <c r="SXU147" s="17"/>
      <c r="SXV147" s="15"/>
      <c r="SYK147" s="17"/>
      <c r="SYL147" s="15"/>
      <c r="SZA147" s="17"/>
      <c r="SZB147" s="15"/>
      <c r="SZQ147" s="17"/>
      <c r="SZR147" s="15"/>
      <c r="TAG147" s="17"/>
      <c r="TAH147" s="15"/>
      <c r="TAW147" s="17"/>
      <c r="TAX147" s="15"/>
      <c r="TBM147" s="17"/>
      <c r="TBN147" s="15"/>
      <c r="TCC147" s="17"/>
      <c r="TCD147" s="15"/>
      <c r="TCS147" s="17"/>
      <c r="TCT147" s="15"/>
      <c r="TDI147" s="17"/>
      <c r="TDJ147" s="15"/>
      <c r="TDY147" s="17"/>
      <c r="TDZ147" s="15"/>
      <c r="TEO147" s="17"/>
      <c r="TEP147" s="15"/>
      <c r="TFE147" s="17"/>
      <c r="TFF147" s="15"/>
      <c r="TFU147" s="17"/>
      <c r="TFV147" s="15"/>
      <c r="TGK147" s="17"/>
      <c r="TGL147" s="15"/>
      <c r="THA147" s="17"/>
      <c r="THB147" s="15"/>
      <c r="THQ147" s="17"/>
      <c r="THR147" s="15"/>
      <c r="TIG147" s="17"/>
      <c r="TIH147" s="15"/>
      <c r="TIW147" s="17"/>
      <c r="TIX147" s="15"/>
      <c r="TJM147" s="17"/>
      <c r="TJN147" s="15"/>
      <c r="TKC147" s="17"/>
      <c r="TKD147" s="15"/>
      <c r="TKS147" s="17"/>
      <c r="TKT147" s="15"/>
      <c r="TLI147" s="17"/>
      <c r="TLJ147" s="15"/>
      <c r="TLY147" s="17"/>
      <c r="TLZ147" s="15"/>
      <c r="TMO147" s="17"/>
      <c r="TMP147" s="15"/>
      <c r="TNE147" s="17"/>
      <c r="TNF147" s="15"/>
      <c r="TNU147" s="17"/>
      <c r="TNV147" s="15"/>
      <c r="TOK147" s="17"/>
      <c r="TOL147" s="15"/>
      <c r="TPA147" s="17"/>
      <c r="TPB147" s="15"/>
      <c r="TPQ147" s="17"/>
      <c r="TPR147" s="15"/>
      <c r="TQG147" s="17"/>
      <c r="TQH147" s="15"/>
      <c r="TQW147" s="17"/>
      <c r="TQX147" s="15"/>
      <c r="TRM147" s="17"/>
      <c r="TRN147" s="15"/>
      <c r="TSC147" s="17"/>
      <c r="TSD147" s="15"/>
      <c r="TSS147" s="17"/>
      <c r="TST147" s="15"/>
      <c r="TTI147" s="17"/>
      <c r="TTJ147" s="15"/>
      <c r="TTY147" s="17"/>
      <c r="TTZ147" s="15"/>
      <c r="TUO147" s="17"/>
      <c r="TUP147" s="15"/>
      <c r="TVE147" s="17"/>
      <c r="TVF147" s="15"/>
      <c r="TVU147" s="17"/>
      <c r="TVV147" s="15"/>
      <c r="TWK147" s="17"/>
      <c r="TWL147" s="15"/>
      <c r="TXA147" s="17"/>
      <c r="TXB147" s="15"/>
      <c r="TXQ147" s="17"/>
      <c r="TXR147" s="15"/>
      <c r="TYG147" s="17"/>
      <c r="TYH147" s="15"/>
      <c r="TYW147" s="17"/>
      <c r="TYX147" s="15"/>
      <c r="TZM147" s="17"/>
      <c r="TZN147" s="15"/>
      <c r="UAC147" s="17"/>
      <c r="UAD147" s="15"/>
      <c r="UAS147" s="17"/>
      <c r="UAT147" s="15"/>
      <c r="UBI147" s="17"/>
      <c r="UBJ147" s="15"/>
      <c r="UBY147" s="17"/>
      <c r="UBZ147" s="15"/>
      <c r="UCO147" s="17"/>
      <c r="UCP147" s="15"/>
      <c r="UDE147" s="17"/>
      <c r="UDF147" s="15"/>
      <c r="UDU147" s="17"/>
      <c r="UDV147" s="15"/>
      <c r="UEK147" s="17"/>
      <c r="UEL147" s="15"/>
      <c r="UFA147" s="17"/>
      <c r="UFB147" s="15"/>
      <c r="UFQ147" s="17"/>
      <c r="UFR147" s="15"/>
      <c r="UGG147" s="17"/>
      <c r="UGH147" s="15"/>
      <c r="UGW147" s="17"/>
      <c r="UGX147" s="15"/>
      <c r="UHM147" s="17"/>
      <c r="UHN147" s="15"/>
      <c r="UIC147" s="17"/>
      <c r="UID147" s="15"/>
      <c r="UIS147" s="17"/>
      <c r="UIT147" s="15"/>
      <c r="UJI147" s="17"/>
      <c r="UJJ147" s="15"/>
      <c r="UJY147" s="17"/>
      <c r="UJZ147" s="15"/>
      <c r="UKO147" s="17"/>
      <c r="UKP147" s="15"/>
      <c r="ULE147" s="17"/>
      <c r="ULF147" s="15"/>
      <c r="ULU147" s="17"/>
      <c r="ULV147" s="15"/>
      <c r="UMK147" s="17"/>
      <c r="UML147" s="15"/>
      <c r="UNA147" s="17"/>
      <c r="UNB147" s="15"/>
      <c r="UNQ147" s="17"/>
      <c r="UNR147" s="15"/>
      <c r="UOG147" s="17"/>
      <c r="UOH147" s="15"/>
      <c r="UOW147" s="17"/>
      <c r="UOX147" s="15"/>
      <c r="UPM147" s="17"/>
      <c r="UPN147" s="15"/>
      <c r="UQC147" s="17"/>
      <c r="UQD147" s="15"/>
      <c r="UQS147" s="17"/>
      <c r="UQT147" s="15"/>
      <c r="URI147" s="17"/>
      <c r="URJ147" s="15"/>
      <c r="URY147" s="17"/>
      <c r="URZ147" s="15"/>
      <c r="USO147" s="17"/>
      <c r="USP147" s="15"/>
      <c r="UTE147" s="17"/>
      <c r="UTF147" s="15"/>
      <c r="UTU147" s="17"/>
      <c r="UTV147" s="15"/>
      <c r="UUK147" s="17"/>
      <c r="UUL147" s="15"/>
      <c r="UVA147" s="17"/>
      <c r="UVB147" s="15"/>
      <c r="UVQ147" s="17"/>
      <c r="UVR147" s="15"/>
      <c r="UWG147" s="17"/>
      <c r="UWH147" s="15"/>
      <c r="UWW147" s="17"/>
      <c r="UWX147" s="15"/>
      <c r="UXM147" s="17"/>
      <c r="UXN147" s="15"/>
      <c r="UYC147" s="17"/>
      <c r="UYD147" s="15"/>
      <c r="UYS147" s="17"/>
      <c r="UYT147" s="15"/>
      <c r="UZI147" s="17"/>
      <c r="UZJ147" s="15"/>
      <c r="UZY147" s="17"/>
      <c r="UZZ147" s="15"/>
      <c r="VAO147" s="17"/>
      <c r="VAP147" s="15"/>
      <c r="VBE147" s="17"/>
      <c r="VBF147" s="15"/>
      <c r="VBU147" s="17"/>
      <c r="VBV147" s="15"/>
      <c r="VCK147" s="17"/>
      <c r="VCL147" s="15"/>
      <c r="VDA147" s="17"/>
      <c r="VDB147" s="15"/>
      <c r="VDQ147" s="17"/>
      <c r="VDR147" s="15"/>
      <c r="VEG147" s="17"/>
      <c r="VEH147" s="15"/>
      <c r="VEW147" s="17"/>
      <c r="VEX147" s="15"/>
      <c r="VFM147" s="17"/>
      <c r="VFN147" s="15"/>
      <c r="VGC147" s="17"/>
      <c r="VGD147" s="15"/>
      <c r="VGS147" s="17"/>
      <c r="VGT147" s="15"/>
      <c r="VHI147" s="17"/>
      <c r="VHJ147" s="15"/>
      <c r="VHY147" s="17"/>
      <c r="VHZ147" s="15"/>
      <c r="VIO147" s="17"/>
      <c r="VIP147" s="15"/>
      <c r="VJE147" s="17"/>
      <c r="VJF147" s="15"/>
      <c r="VJU147" s="17"/>
      <c r="VJV147" s="15"/>
      <c r="VKK147" s="17"/>
      <c r="VKL147" s="15"/>
      <c r="VLA147" s="17"/>
      <c r="VLB147" s="15"/>
      <c r="VLQ147" s="17"/>
      <c r="VLR147" s="15"/>
      <c r="VMG147" s="17"/>
      <c r="VMH147" s="15"/>
      <c r="VMW147" s="17"/>
      <c r="VMX147" s="15"/>
      <c r="VNM147" s="17"/>
      <c r="VNN147" s="15"/>
      <c r="VOC147" s="17"/>
      <c r="VOD147" s="15"/>
      <c r="VOS147" s="17"/>
      <c r="VOT147" s="15"/>
      <c r="VPI147" s="17"/>
      <c r="VPJ147" s="15"/>
      <c r="VPY147" s="17"/>
      <c r="VPZ147" s="15"/>
      <c r="VQO147" s="17"/>
      <c r="VQP147" s="15"/>
      <c r="VRE147" s="17"/>
      <c r="VRF147" s="15"/>
      <c r="VRU147" s="17"/>
      <c r="VRV147" s="15"/>
      <c r="VSK147" s="17"/>
      <c r="VSL147" s="15"/>
      <c r="VTA147" s="17"/>
      <c r="VTB147" s="15"/>
      <c r="VTQ147" s="17"/>
      <c r="VTR147" s="15"/>
      <c r="VUG147" s="17"/>
      <c r="VUH147" s="15"/>
      <c r="VUW147" s="17"/>
      <c r="VUX147" s="15"/>
      <c r="VVM147" s="17"/>
      <c r="VVN147" s="15"/>
      <c r="VWC147" s="17"/>
      <c r="VWD147" s="15"/>
      <c r="VWS147" s="17"/>
      <c r="VWT147" s="15"/>
      <c r="VXI147" s="17"/>
      <c r="VXJ147" s="15"/>
      <c r="VXY147" s="17"/>
      <c r="VXZ147" s="15"/>
      <c r="VYO147" s="17"/>
      <c r="VYP147" s="15"/>
      <c r="VZE147" s="17"/>
      <c r="VZF147" s="15"/>
      <c r="VZU147" s="17"/>
      <c r="VZV147" s="15"/>
      <c r="WAK147" s="17"/>
      <c r="WAL147" s="15"/>
      <c r="WBA147" s="17"/>
      <c r="WBB147" s="15"/>
      <c r="WBQ147" s="17"/>
      <c r="WBR147" s="15"/>
      <c r="WCG147" s="17"/>
      <c r="WCH147" s="15"/>
      <c r="WCW147" s="17"/>
      <c r="WCX147" s="15"/>
      <c r="WDM147" s="17"/>
      <c r="WDN147" s="15"/>
      <c r="WEC147" s="17"/>
      <c r="WED147" s="15"/>
      <c r="WES147" s="17"/>
      <c r="WET147" s="15"/>
      <c r="WFI147" s="17"/>
      <c r="WFJ147" s="15"/>
      <c r="WFY147" s="17"/>
      <c r="WFZ147" s="15"/>
      <c r="WGO147" s="17"/>
      <c r="WGP147" s="15"/>
      <c r="WHE147" s="17"/>
      <c r="WHF147" s="15"/>
      <c r="WHU147" s="17"/>
      <c r="WHV147" s="15"/>
      <c r="WIK147" s="17"/>
      <c r="WIL147" s="15"/>
      <c r="WJA147" s="17"/>
      <c r="WJB147" s="15"/>
      <c r="WJQ147" s="17"/>
      <c r="WJR147" s="15"/>
      <c r="WKG147" s="17"/>
      <c r="WKH147" s="15"/>
      <c r="WKW147" s="17"/>
      <c r="WKX147" s="15"/>
      <c r="WLM147" s="17"/>
      <c r="WLN147" s="15"/>
      <c r="WMC147" s="17"/>
      <c r="WMD147" s="15"/>
      <c r="WMS147" s="17"/>
      <c r="WMT147" s="15"/>
      <c r="WNI147" s="17"/>
      <c r="WNJ147" s="15"/>
      <c r="WNY147" s="17"/>
      <c r="WNZ147" s="15"/>
      <c r="WOO147" s="17"/>
      <c r="WOP147" s="15"/>
      <c r="WPE147" s="17"/>
      <c r="WPF147" s="15"/>
      <c r="WPU147" s="17"/>
      <c r="WPV147" s="15"/>
      <c r="WQK147" s="17"/>
      <c r="WQL147" s="15"/>
      <c r="WRA147" s="17"/>
      <c r="WRB147" s="15"/>
      <c r="WRQ147" s="17"/>
      <c r="WRR147" s="15"/>
      <c r="WSG147" s="17"/>
      <c r="WSH147" s="15"/>
      <c r="WSW147" s="17"/>
      <c r="WSX147" s="15"/>
      <c r="WTM147" s="17"/>
      <c r="WTN147" s="15"/>
      <c r="WUC147" s="17"/>
      <c r="WUD147" s="15"/>
      <c r="WUS147" s="17"/>
      <c r="WUT147" s="15"/>
      <c r="WVI147" s="17"/>
      <c r="WVJ147" s="15"/>
      <c r="WVY147" s="17"/>
      <c r="WVZ147" s="15"/>
      <c r="WWO147" s="17"/>
      <c r="WWP147" s="15"/>
      <c r="WXE147" s="17"/>
      <c r="WXF147" s="15"/>
      <c r="WXU147" s="17"/>
      <c r="WXV147" s="15"/>
      <c r="WYK147" s="17"/>
      <c r="WYL147" s="15"/>
      <c r="WZA147" s="17"/>
      <c r="WZB147" s="15"/>
      <c r="WZQ147" s="17"/>
      <c r="WZR147" s="15"/>
      <c r="XAG147" s="17"/>
      <c r="XAH147" s="15"/>
      <c r="XAW147" s="17"/>
      <c r="XAX147" s="15"/>
      <c r="XBM147" s="17"/>
      <c r="XBN147" s="15"/>
      <c r="XCC147" s="17"/>
      <c r="XCD147" s="15"/>
      <c r="XCS147" s="17"/>
      <c r="XCT147" s="15"/>
      <c r="XDI147" s="17"/>
      <c r="XDJ147" s="15"/>
      <c r="XDY147" s="17"/>
      <c r="XDZ147" s="15"/>
      <c r="XEO147" s="17"/>
      <c r="XEP147" s="15"/>
    </row>
    <row r="148" spans="1:16384" ht="17.100000000000001" customHeight="1" thickBot="1">
      <c r="A148" s="22">
        <v>45924</v>
      </c>
      <c r="B148" s="15" t="s">
        <v>531</v>
      </c>
      <c r="C148" s="16" t="s">
        <v>2761</v>
      </c>
      <c r="D148" s="16" t="s">
        <v>2765</v>
      </c>
      <c r="E148" s="16" t="s">
        <v>2766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54</v>
      </c>
      <c r="O148" s="16" t="s">
        <v>2336</v>
      </c>
      <c r="P148" s="16" t="s">
        <v>2760</v>
      </c>
      <c r="Q148" s="15" t="s">
        <v>2770</v>
      </c>
      <c r="AG148" s="18"/>
      <c r="AH148" s="19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18"/>
      <c r="AX148" s="19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16"/>
      <c r="BM148" s="18"/>
      <c r="BN148" s="19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16"/>
      <c r="CC148" s="18"/>
      <c r="CD148" s="19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16"/>
      <c r="CS148" s="18"/>
      <c r="CT148" s="19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16"/>
      <c r="DI148" s="18"/>
      <c r="DJ148" s="19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16"/>
      <c r="DY148" s="18"/>
      <c r="DZ148" s="19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16"/>
      <c r="EO148" s="18"/>
      <c r="EP148" s="19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16"/>
      <c r="FE148" s="18"/>
      <c r="FF148" s="19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16"/>
      <c r="FU148" s="18"/>
      <c r="FV148" s="19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16"/>
      <c r="GK148" s="18"/>
      <c r="GL148" s="19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16"/>
      <c r="HA148" s="18"/>
      <c r="HB148" s="19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16"/>
      <c r="HQ148" s="18"/>
      <c r="HR148" s="19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16"/>
      <c r="IG148" s="18"/>
      <c r="IH148" s="19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16"/>
      <c r="IW148" s="18"/>
      <c r="IX148" s="19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16"/>
      <c r="JM148" s="18"/>
      <c r="JN148" s="19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16"/>
      <c r="KC148" s="18"/>
      <c r="KD148" s="19"/>
      <c r="KE148" s="20"/>
      <c r="KF148" s="20"/>
      <c r="KG148" s="20"/>
      <c r="KH148" s="20"/>
      <c r="KI148" s="20"/>
      <c r="KJ148" s="20"/>
      <c r="KK148" s="20"/>
      <c r="KL148" s="20"/>
      <c r="KM148" s="20"/>
      <c r="KN148" s="20"/>
      <c r="KO148" s="20"/>
      <c r="KP148" s="20"/>
      <c r="KQ148" s="20"/>
      <c r="KR148" s="16"/>
      <c r="KS148" s="18"/>
      <c r="KT148" s="19"/>
      <c r="KU148" s="20"/>
      <c r="KV148" s="20"/>
      <c r="KW148" s="20"/>
      <c r="KX148" s="20"/>
      <c r="KY148" s="20"/>
      <c r="KZ148" s="20"/>
      <c r="LA148" s="20"/>
      <c r="LB148" s="20"/>
      <c r="LC148" s="20"/>
      <c r="LD148" s="20"/>
      <c r="LE148" s="20"/>
      <c r="LF148" s="20"/>
      <c r="LG148" s="20"/>
      <c r="LH148" s="16"/>
      <c r="LI148" s="18"/>
      <c r="LJ148" s="19"/>
      <c r="LK148" s="20"/>
      <c r="LL148" s="20"/>
      <c r="LM148" s="20"/>
      <c r="LN148" s="20"/>
      <c r="LO148" s="20"/>
      <c r="LP148" s="20"/>
      <c r="LQ148" s="20"/>
      <c r="LR148" s="20"/>
      <c r="LS148" s="20"/>
      <c r="LT148" s="20"/>
      <c r="LU148" s="20"/>
      <c r="LV148" s="20"/>
      <c r="LW148" s="20"/>
      <c r="LX148" s="16"/>
      <c r="LY148" s="18"/>
      <c r="LZ148" s="19"/>
      <c r="MA148" s="20"/>
      <c r="MB148" s="20"/>
      <c r="MC148" s="20"/>
      <c r="MD148" s="20"/>
      <c r="ME148" s="20"/>
      <c r="MF148" s="20"/>
      <c r="MG148" s="20"/>
      <c r="MH148" s="20"/>
      <c r="MI148" s="20"/>
      <c r="MJ148" s="20"/>
      <c r="MK148" s="20"/>
      <c r="ML148" s="20"/>
      <c r="MM148" s="20"/>
      <c r="MN148" s="16"/>
      <c r="MO148" s="18"/>
      <c r="MP148" s="19"/>
      <c r="MQ148" s="20"/>
      <c r="MR148" s="20"/>
      <c r="MS148" s="20"/>
      <c r="MT148" s="20"/>
      <c r="MU148" s="20"/>
      <c r="MV148" s="20"/>
      <c r="MW148" s="20"/>
      <c r="MX148" s="20"/>
      <c r="MY148" s="20"/>
      <c r="MZ148" s="20"/>
      <c r="NA148" s="20"/>
      <c r="NB148" s="20"/>
      <c r="NC148" s="20"/>
      <c r="ND148" s="16"/>
      <c r="NE148" s="18"/>
      <c r="NF148" s="19"/>
      <c r="NG148" s="20"/>
      <c r="NH148" s="20"/>
      <c r="NI148" s="20"/>
      <c r="NJ148" s="20"/>
      <c r="NK148" s="20"/>
      <c r="NL148" s="20"/>
      <c r="NM148" s="20"/>
      <c r="NN148" s="20"/>
      <c r="NO148" s="20"/>
      <c r="NP148" s="20"/>
      <c r="NQ148" s="20"/>
      <c r="NR148" s="20"/>
      <c r="NS148" s="20"/>
      <c r="NT148" s="16"/>
      <c r="NU148" s="18"/>
      <c r="NV148" s="19"/>
      <c r="NW148" s="20"/>
      <c r="NX148" s="20"/>
      <c r="NY148" s="20"/>
      <c r="NZ148" s="20"/>
      <c r="OA148" s="20"/>
      <c r="OB148" s="20"/>
      <c r="OC148" s="20"/>
      <c r="OD148" s="20"/>
      <c r="OE148" s="20"/>
      <c r="OF148" s="20"/>
      <c r="OG148" s="20"/>
      <c r="OH148" s="20"/>
      <c r="OI148" s="20"/>
      <c r="OJ148" s="16"/>
      <c r="OK148" s="18"/>
      <c r="OL148" s="19"/>
      <c r="OM148" s="20"/>
      <c r="ON148" s="20"/>
      <c r="OO148" s="20"/>
      <c r="OP148" s="20"/>
      <c r="OQ148" s="20"/>
      <c r="OR148" s="20"/>
      <c r="OS148" s="20"/>
      <c r="OT148" s="20"/>
      <c r="OU148" s="20"/>
      <c r="OV148" s="20"/>
      <c r="OW148" s="20"/>
      <c r="OX148" s="20"/>
      <c r="OY148" s="20"/>
      <c r="OZ148" s="16"/>
      <c r="PA148" s="18"/>
      <c r="PB148" s="19"/>
      <c r="PC148" s="20"/>
      <c r="PD148" s="20"/>
      <c r="PE148" s="20"/>
      <c r="PF148" s="20"/>
      <c r="PG148" s="20"/>
      <c r="PH148" s="20"/>
      <c r="PI148" s="20"/>
      <c r="PJ148" s="20"/>
      <c r="PK148" s="20"/>
      <c r="PL148" s="20"/>
      <c r="PM148" s="20"/>
      <c r="PN148" s="20"/>
      <c r="PO148" s="20"/>
      <c r="PP148" s="16"/>
      <c r="PQ148" s="18"/>
      <c r="PR148" s="19"/>
      <c r="PS148" s="20"/>
      <c r="PT148" s="20"/>
      <c r="PU148" s="20"/>
      <c r="PV148" s="20"/>
      <c r="PW148" s="20"/>
      <c r="PX148" s="20"/>
      <c r="PY148" s="20"/>
      <c r="PZ148" s="20"/>
      <c r="QA148" s="20"/>
      <c r="QB148" s="20"/>
      <c r="QC148" s="20"/>
      <c r="QD148" s="20"/>
      <c r="QE148" s="20"/>
      <c r="QF148" s="16"/>
      <c r="QG148" s="18"/>
      <c r="QH148" s="19"/>
      <c r="QI148" s="20"/>
      <c r="QJ148" s="20"/>
      <c r="QK148" s="20"/>
      <c r="QL148" s="20"/>
      <c r="QM148" s="20"/>
      <c r="QN148" s="20"/>
      <c r="QO148" s="20"/>
      <c r="QP148" s="20"/>
      <c r="QQ148" s="20"/>
      <c r="QR148" s="20"/>
      <c r="QS148" s="20"/>
      <c r="QT148" s="20"/>
      <c r="QU148" s="20"/>
      <c r="QV148" s="16"/>
      <c r="QW148" s="18"/>
      <c r="QX148" s="19"/>
      <c r="QY148" s="20"/>
      <c r="QZ148" s="20"/>
      <c r="RA148" s="20"/>
      <c r="RB148" s="20"/>
      <c r="RC148" s="20"/>
      <c r="RD148" s="20"/>
      <c r="RE148" s="20"/>
      <c r="RF148" s="20"/>
      <c r="RG148" s="20"/>
      <c r="RH148" s="20"/>
      <c r="RI148" s="20"/>
      <c r="RJ148" s="20"/>
      <c r="RK148" s="20"/>
      <c r="RL148" s="16"/>
      <c r="RM148" s="18"/>
      <c r="RN148" s="19"/>
      <c r="RO148" s="20"/>
      <c r="RP148" s="20"/>
      <c r="RQ148" s="20"/>
      <c r="RR148" s="20"/>
      <c r="RS148" s="20"/>
      <c r="RT148" s="20"/>
      <c r="RU148" s="20"/>
      <c r="RV148" s="20"/>
      <c r="RW148" s="20"/>
      <c r="RX148" s="20"/>
      <c r="RY148" s="20"/>
      <c r="RZ148" s="20"/>
      <c r="SA148" s="20"/>
      <c r="SB148" s="16"/>
      <c r="SC148" s="18"/>
      <c r="SD148" s="19"/>
      <c r="SE148" s="20"/>
      <c r="SF148" s="20"/>
      <c r="SG148" s="20"/>
      <c r="SH148" s="20"/>
      <c r="SI148" s="20"/>
      <c r="SJ148" s="20"/>
      <c r="SK148" s="20"/>
      <c r="SL148" s="20"/>
      <c r="SM148" s="20"/>
      <c r="SN148" s="20"/>
      <c r="SO148" s="20"/>
      <c r="SP148" s="20"/>
      <c r="SQ148" s="20"/>
      <c r="SR148" s="16"/>
      <c r="SS148" s="18"/>
      <c r="ST148" s="19"/>
      <c r="SU148" s="20"/>
      <c r="SV148" s="20"/>
      <c r="SW148" s="20"/>
      <c r="SX148" s="20"/>
      <c r="SY148" s="20"/>
      <c r="SZ148" s="20"/>
      <c r="TA148" s="20"/>
      <c r="TB148" s="20"/>
      <c r="TC148" s="20"/>
      <c r="TD148" s="20"/>
      <c r="TE148" s="20"/>
      <c r="TF148" s="20"/>
      <c r="TG148" s="20"/>
      <c r="TH148" s="16"/>
      <c r="TI148" s="18"/>
      <c r="TJ148" s="19"/>
      <c r="TK148" s="20"/>
      <c r="TL148" s="20"/>
      <c r="TM148" s="20"/>
      <c r="TN148" s="20"/>
      <c r="TO148" s="20"/>
      <c r="TP148" s="20"/>
      <c r="TQ148" s="20"/>
      <c r="TR148" s="20"/>
      <c r="TS148" s="20"/>
      <c r="TT148" s="20"/>
      <c r="TU148" s="20"/>
      <c r="TV148" s="20"/>
      <c r="TW148" s="20"/>
      <c r="TX148" s="16"/>
      <c r="TY148" s="18"/>
      <c r="TZ148" s="19"/>
      <c r="UA148" s="20"/>
      <c r="UB148" s="20"/>
      <c r="UC148" s="20"/>
      <c r="UD148" s="20"/>
      <c r="UE148" s="20"/>
      <c r="UF148" s="20"/>
      <c r="UG148" s="20"/>
      <c r="UH148" s="20"/>
      <c r="UI148" s="20"/>
      <c r="UJ148" s="20"/>
      <c r="UK148" s="20"/>
      <c r="UL148" s="20"/>
      <c r="UM148" s="20"/>
      <c r="UN148" s="16"/>
      <c r="UO148" s="18"/>
      <c r="UP148" s="19"/>
      <c r="UQ148" s="20"/>
      <c r="UR148" s="20"/>
      <c r="US148" s="20"/>
      <c r="UT148" s="20"/>
      <c r="UU148" s="20"/>
      <c r="UV148" s="20"/>
      <c r="UW148" s="20"/>
      <c r="UX148" s="20"/>
      <c r="UY148" s="20"/>
      <c r="UZ148" s="20"/>
      <c r="VA148" s="20"/>
      <c r="VB148" s="20"/>
      <c r="VC148" s="20"/>
      <c r="VD148" s="16"/>
      <c r="VE148" s="18"/>
      <c r="VF148" s="19"/>
      <c r="VG148" s="20"/>
      <c r="VH148" s="20"/>
      <c r="VI148" s="20"/>
      <c r="VJ148" s="20"/>
      <c r="VK148" s="20"/>
      <c r="VL148" s="20"/>
      <c r="VM148" s="20"/>
      <c r="VN148" s="20"/>
      <c r="VO148" s="20"/>
      <c r="VP148" s="20"/>
      <c r="VQ148" s="20"/>
      <c r="VR148" s="20"/>
      <c r="VS148" s="20"/>
      <c r="VT148" s="16"/>
      <c r="VU148" s="18"/>
      <c r="VV148" s="19"/>
      <c r="VW148" s="20"/>
      <c r="VX148" s="20"/>
      <c r="VY148" s="20"/>
      <c r="VZ148" s="20"/>
      <c r="WA148" s="20"/>
      <c r="WB148" s="20"/>
      <c r="WC148" s="20"/>
      <c r="WD148" s="20"/>
      <c r="WE148" s="20"/>
      <c r="WF148" s="20"/>
      <c r="WG148" s="20"/>
      <c r="WH148" s="20"/>
      <c r="WI148" s="20"/>
      <c r="WJ148" s="16"/>
      <c r="WK148" s="18"/>
      <c r="WL148" s="19"/>
      <c r="WM148" s="20"/>
      <c r="WN148" s="20"/>
      <c r="WO148" s="20"/>
      <c r="WP148" s="20"/>
      <c r="WQ148" s="20"/>
      <c r="WR148" s="20"/>
      <c r="WS148" s="20"/>
      <c r="WT148" s="20"/>
      <c r="WU148" s="20"/>
      <c r="WV148" s="20"/>
      <c r="WW148" s="20"/>
      <c r="WX148" s="20"/>
      <c r="WY148" s="20"/>
      <c r="WZ148" s="16"/>
      <c r="XA148" s="18"/>
      <c r="XB148" s="19"/>
      <c r="XC148" s="20"/>
      <c r="XD148" s="20"/>
      <c r="XE148" s="20"/>
      <c r="XF148" s="20"/>
      <c r="XG148" s="20"/>
      <c r="XH148" s="20"/>
      <c r="XI148" s="20"/>
      <c r="XJ148" s="20"/>
      <c r="XK148" s="20"/>
      <c r="XL148" s="20"/>
      <c r="XM148" s="20"/>
      <c r="XN148" s="20"/>
      <c r="XO148" s="20"/>
      <c r="XP148" s="16"/>
      <c r="XQ148" s="18"/>
      <c r="XR148" s="19"/>
      <c r="XS148" s="20"/>
      <c r="XT148" s="20"/>
      <c r="XU148" s="20"/>
      <c r="XV148" s="20"/>
      <c r="XW148" s="20"/>
      <c r="XX148" s="20"/>
      <c r="XY148" s="20"/>
      <c r="XZ148" s="20"/>
      <c r="YA148" s="20"/>
      <c r="YB148" s="20"/>
      <c r="YC148" s="20"/>
      <c r="YD148" s="20"/>
      <c r="YE148" s="20"/>
      <c r="YF148" s="16"/>
      <c r="YG148" s="18"/>
      <c r="YH148" s="19"/>
      <c r="YI148" s="20"/>
      <c r="YJ148" s="20"/>
      <c r="YK148" s="20"/>
      <c r="YL148" s="20"/>
      <c r="YM148" s="20"/>
      <c r="YN148" s="20"/>
      <c r="YO148" s="20"/>
      <c r="YP148" s="20"/>
      <c r="YQ148" s="20"/>
      <c r="YR148" s="20"/>
      <c r="YS148" s="20"/>
      <c r="YT148" s="20"/>
      <c r="YU148" s="20"/>
      <c r="YV148" s="16"/>
      <c r="YW148" s="18"/>
      <c r="YX148" s="19"/>
      <c r="YY148" s="20"/>
      <c r="YZ148" s="20"/>
      <c r="ZA148" s="20"/>
      <c r="ZB148" s="20"/>
      <c r="ZC148" s="20"/>
      <c r="ZD148" s="20"/>
      <c r="ZE148" s="20"/>
      <c r="ZF148" s="20"/>
      <c r="ZG148" s="20"/>
      <c r="ZH148" s="20"/>
      <c r="ZI148" s="20"/>
      <c r="ZJ148" s="20"/>
      <c r="ZK148" s="20"/>
      <c r="ZL148" s="16"/>
      <c r="ZM148" s="18"/>
      <c r="ZN148" s="19"/>
      <c r="ZO148" s="20"/>
      <c r="ZP148" s="20"/>
      <c r="ZQ148" s="20"/>
      <c r="ZR148" s="20"/>
      <c r="ZS148" s="20"/>
      <c r="ZT148" s="20"/>
      <c r="ZU148" s="20"/>
      <c r="ZV148" s="20"/>
      <c r="ZW148" s="20"/>
      <c r="ZX148" s="20"/>
      <c r="ZY148" s="20"/>
      <c r="ZZ148" s="20"/>
      <c r="AAA148" s="20"/>
      <c r="AAB148" s="16"/>
      <c r="AAC148" s="18"/>
      <c r="AAD148" s="19"/>
      <c r="AAE148" s="20"/>
      <c r="AAF148" s="20"/>
      <c r="AAG148" s="20"/>
      <c r="AAH148" s="20"/>
      <c r="AAI148" s="20"/>
      <c r="AAJ148" s="20"/>
      <c r="AAK148" s="20"/>
      <c r="AAL148" s="20"/>
      <c r="AAM148" s="20"/>
      <c r="AAN148" s="20"/>
      <c r="AAO148" s="20"/>
      <c r="AAP148" s="20"/>
      <c r="AAQ148" s="20"/>
      <c r="AAR148" s="16"/>
      <c r="AAS148" s="18"/>
      <c r="AAT148" s="19"/>
      <c r="AAU148" s="20"/>
      <c r="AAV148" s="20"/>
      <c r="AAW148" s="20"/>
      <c r="AAX148" s="20"/>
      <c r="AAY148" s="20"/>
      <c r="AAZ148" s="20"/>
      <c r="ABA148" s="20"/>
      <c r="ABB148" s="20"/>
      <c r="ABC148" s="20"/>
      <c r="ABD148" s="20"/>
      <c r="ABE148" s="20"/>
      <c r="ABF148" s="20"/>
      <c r="ABG148" s="20"/>
      <c r="ABH148" s="16"/>
      <c r="ABI148" s="18"/>
      <c r="ABJ148" s="19"/>
      <c r="ABK148" s="20"/>
      <c r="ABL148" s="20"/>
      <c r="ABM148" s="20"/>
      <c r="ABN148" s="20"/>
      <c r="ABO148" s="20"/>
      <c r="ABP148" s="20"/>
      <c r="ABQ148" s="20"/>
      <c r="ABR148" s="20"/>
      <c r="ABS148" s="20"/>
      <c r="ABT148" s="20"/>
      <c r="ABU148" s="20"/>
      <c r="ABV148" s="20"/>
      <c r="ABW148" s="20"/>
      <c r="ABX148" s="16"/>
      <c r="ABY148" s="18"/>
      <c r="ABZ148" s="19"/>
      <c r="ACA148" s="20"/>
      <c r="ACB148" s="20"/>
      <c r="ACC148" s="20"/>
      <c r="ACD148" s="20"/>
      <c r="ACE148" s="20"/>
      <c r="ACF148" s="20"/>
      <c r="ACG148" s="20"/>
      <c r="ACH148" s="20"/>
      <c r="ACI148" s="20"/>
      <c r="ACJ148" s="20"/>
      <c r="ACK148" s="20"/>
      <c r="ACL148" s="20"/>
      <c r="ACM148" s="20"/>
      <c r="ACN148" s="16"/>
      <c r="ACO148" s="18"/>
      <c r="ACP148" s="19"/>
      <c r="ACQ148" s="20"/>
      <c r="ACR148" s="20"/>
      <c r="ACS148" s="20"/>
      <c r="ACT148" s="20"/>
      <c r="ACU148" s="20"/>
      <c r="ACV148" s="20"/>
      <c r="ACW148" s="20"/>
      <c r="ACX148" s="20"/>
      <c r="ACY148" s="20"/>
      <c r="ACZ148" s="20"/>
      <c r="ADA148" s="20"/>
      <c r="ADB148" s="20"/>
      <c r="ADC148" s="20"/>
      <c r="ADD148" s="16"/>
      <c r="ADE148" s="18"/>
      <c r="ADF148" s="19"/>
      <c r="ADG148" s="20"/>
      <c r="ADH148" s="20"/>
      <c r="ADI148" s="20"/>
      <c r="ADJ148" s="20"/>
      <c r="ADK148" s="20"/>
      <c r="ADL148" s="20"/>
      <c r="ADM148" s="20"/>
      <c r="ADN148" s="20"/>
      <c r="ADO148" s="20"/>
      <c r="ADP148" s="20"/>
      <c r="ADQ148" s="20"/>
      <c r="ADR148" s="20"/>
      <c r="ADS148" s="20"/>
      <c r="ADT148" s="16"/>
      <c r="ADU148" s="18"/>
      <c r="ADV148" s="19"/>
      <c r="ADW148" s="20"/>
      <c r="ADX148" s="20"/>
      <c r="ADY148" s="20"/>
      <c r="ADZ148" s="20"/>
      <c r="AEA148" s="20"/>
      <c r="AEB148" s="20"/>
      <c r="AEC148" s="20"/>
      <c r="AED148" s="20"/>
      <c r="AEE148" s="20"/>
      <c r="AEF148" s="20"/>
      <c r="AEG148" s="20"/>
      <c r="AEH148" s="20"/>
      <c r="AEI148" s="20"/>
      <c r="AEJ148" s="16"/>
      <c r="AEK148" s="18"/>
      <c r="AEL148" s="19"/>
      <c r="AEM148" s="20"/>
      <c r="AEN148" s="20"/>
      <c r="AEO148" s="20"/>
      <c r="AEP148" s="20"/>
      <c r="AEQ148" s="20"/>
      <c r="AER148" s="20"/>
      <c r="AES148" s="20"/>
      <c r="AET148" s="20"/>
      <c r="AEU148" s="20"/>
      <c r="AEV148" s="20"/>
      <c r="AEW148" s="20"/>
      <c r="AEX148" s="20"/>
      <c r="AEY148" s="20"/>
      <c r="AEZ148" s="16"/>
      <c r="AFA148" s="18"/>
      <c r="AFB148" s="19"/>
      <c r="AFC148" s="20"/>
      <c r="AFD148" s="20"/>
      <c r="AFE148" s="20"/>
      <c r="AFF148" s="20"/>
      <c r="AFG148" s="20"/>
      <c r="AFH148" s="20"/>
      <c r="AFI148" s="20"/>
      <c r="AFJ148" s="20"/>
      <c r="AFK148" s="20"/>
      <c r="AFL148" s="20"/>
      <c r="AFM148" s="20"/>
      <c r="AFN148" s="20"/>
      <c r="AFO148" s="20"/>
      <c r="AFP148" s="16"/>
      <c r="AFQ148" s="18"/>
      <c r="AFR148" s="19"/>
      <c r="AFS148" s="20"/>
      <c r="AFT148" s="20"/>
      <c r="AFU148" s="20"/>
      <c r="AFV148" s="20"/>
      <c r="AFW148" s="20"/>
      <c r="AFX148" s="20"/>
      <c r="AFY148" s="20"/>
      <c r="AFZ148" s="20"/>
      <c r="AGA148" s="20"/>
      <c r="AGB148" s="20"/>
      <c r="AGC148" s="20"/>
      <c r="AGD148" s="20"/>
      <c r="AGE148" s="20"/>
      <c r="AGF148" s="16"/>
      <c r="AGG148" s="18"/>
      <c r="AGH148" s="19"/>
      <c r="AGI148" s="20"/>
      <c r="AGJ148" s="20"/>
      <c r="AGK148" s="20"/>
      <c r="AGL148" s="20"/>
      <c r="AGM148" s="20"/>
      <c r="AGN148" s="20"/>
      <c r="AGO148" s="20"/>
      <c r="AGP148" s="20"/>
      <c r="AGQ148" s="20"/>
      <c r="AGR148" s="20"/>
      <c r="AGS148" s="20"/>
      <c r="AGT148" s="20"/>
      <c r="AGU148" s="20"/>
      <c r="AGV148" s="16"/>
      <c r="AGW148" s="18"/>
      <c r="AGX148" s="19"/>
      <c r="AGY148" s="20"/>
      <c r="AGZ148" s="20"/>
      <c r="AHA148" s="20"/>
      <c r="AHB148" s="20"/>
      <c r="AHC148" s="20"/>
      <c r="AHD148" s="20"/>
      <c r="AHE148" s="20"/>
      <c r="AHF148" s="20"/>
      <c r="AHG148" s="20"/>
      <c r="AHH148" s="20"/>
      <c r="AHI148" s="20"/>
      <c r="AHJ148" s="20"/>
      <c r="AHK148" s="20"/>
      <c r="AHL148" s="16"/>
      <c r="AHM148" s="18"/>
      <c r="AHN148" s="19"/>
      <c r="AHO148" s="20"/>
      <c r="AHP148" s="20"/>
      <c r="AHQ148" s="20"/>
      <c r="AHR148" s="20"/>
      <c r="AHS148" s="20"/>
      <c r="AHT148" s="20"/>
      <c r="AHU148" s="20"/>
      <c r="AHV148" s="20"/>
      <c r="AHW148" s="20"/>
      <c r="AHX148" s="20"/>
      <c r="AHY148" s="20"/>
      <c r="AHZ148" s="20"/>
      <c r="AIA148" s="20"/>
      <c r="AIB148" s="16"/>
      <c r="AIC148" s="18"/>
      <c r="AID148" s="19"/>
      <c r="AIE148" s="20"/>
      <c r="AIF148" s="20"/>
      <c r="AIG148" s="20"/>
      <c r="AIH148" s="20"/>
      <c r="AII148" s="20"/>
      <c r="AIJ148" s="20"/>
      <c r="AIK148" s="20"/>
      <c r="AIL148" s="20"/>
      <c r="AIM148" s="20"/>
      <c r="AIN148" s="20"/>
      <c r="AIO148" s="20"/>
      <c r="AIP148" s="20"/>
      <c r="AIQ148" s="20"/>
      <c r="AIR148" s="16"/>
      <c r="AIS148" s="18"/>
      <c r="AIT148" s="19"/>
      <c r="AIU148" s="20"/>
      <c r="AIV148" s="20"/>
      <c r="AIW148" s="20"/>
      <c r="AIX148" s="20"/>
      <c r="AIY148" s="20"/>
      <c r="AIZ148" s="20"/>
      <c r="AJA148" s="20"/>
      <c r="AJB148" s="20"/>
      <c r="AJC148" s="20"/>
      <c r="AJD148" s="20"/>
      <c r="AJE148" s="20"/>
      <c r="AJF148" s="20"/>
      <c r="AJG148" s="20"/>
      <c r="AJH148" s="16"/>
      <c r="AJI148" s="18"/>
      <c r="AJJ148" s="19"/>
      <c r="AJK148" s="20"/>
      <c r="AJL148" s="20"/>
      <c r="AJM148" s="20"/>
      <c r="AJN148" s="20"/>
      <c r="AJO148" s="20"/>
      <c r="AJP148" s="20"/>
      <c r="AJQ148" s="20"/>
      <c r="AJR148" s="20"/>
      <c r="AJS148" s="20"/>
      <c r="AJT148" s="20"/>
      <c r="AJU148" s="20"/>
      <c r="AJV148" s="20"/>
      <c r="AJW148" s="20"/>
      <c r="AJX148" s="16"/>
      <c r="AJY148" s="18"/>
      <c r="AJZ148" s="19"/>
      <c r="AKA148" s="20"/>
      <c r="AKB148" s="20"/>
      <c r="AKC148" s="20"/>
      <c r="AKD148" s="20"/>
      <c r="AKE148" s="20"/>
      <c r="AKF148" s="20"/>
      <c r="AKG148" s="20"/>
      <c r="AKH148" s="20"/>
      <c r="AKI148" s="20"/>
      <c r="AKJ148" s="20"/>
      <c r="AKK148" s="20"/>
      <c r="AKL148" s="20"/>
      <c r="AKM148" s="20"/>
      <c r="AKN148" s="16"/>
      <c r="AKO148" s="18"/>
      <c r="AKP148" s="19"/>
      <c r="AKQ148" s="20"/>
      <c r="AKR148" s="20"/>
      <c r="AKS148" s="20"/>
      <c r="AKT148" s="20"/>
      <c r="AKU148" s="20"/>
      <c r="AKV148" s="20"/>
      <c r="AKW148" s="20"/>
      <c r="AKX148" s="20"/>
      <c r="AKY148" s="20"/>
      <c r="AKZ148" s="20"/>
      <c r="ALA148" s="20"/>
      <c r="ALB148" s="20"/>
      <c r="ALC148" s="20"/>
      <c r="ALD148" s="16"/>
      <c r="ALE148" s="18"/>
      <c r="ALF148" s="19"/>
      <c r="ALG148" s="20"/>
      <c r="ALH148" s="20"/>
      <c r="ALI148" s="20"/>
      <c r="ALJ148" s="20"/>
      <c r="ALK148" s="20"/>
      <c r="ALL148" s="20"/>
      <c r="ALM148" s="20"/>
      <c r="ALN148" s="20"/>
      <c r="ALO148" s="20"/>
      <c r="ALP148" s="20"/>
      <c r="ALQ148" s="20"/>
      <c r="ALR148" s="20"/>
      <c r="ALS148" s="20"/>
      <c r="ALT148" s="16"/>
      <c r="ALU148" s="18"/>
      <c r="ALV148" s="19"/>
      <c r="ALW148" s="20"/>
      <c r="ALX148" s="20"/>
      <c r="ALY148" s="20"/>
      <c r="ALZ148" s="20"/>
      <c r="AMA148" s="20"/>
      <c r="AMB148" s="20"/>
      <c r="AMC148" s="20"/>
      <c r="AMD148" s="20"/>
      <c r="AME148" s="20"/>
      <c r="AMF148" s="20"/>
      <c r="AMG148" s="20"/>
      <c r="AMH148" s="20"/>
      <c r="AMI148" s="20"/>
      <c r="AMJ148" s="16"/>
      <c r="AMK148" s="18"/>
      <c r="AML148" s="19"/>
      <c r="AMM148" s="20"/>
      <c r="AMN148" s="20"/>
      <c r="AMO148" s="20"/>
      <c r="AMP148" s="20"/>
      <c r="AMQ148" s="20"/>
      <c r="AMR148" s="20"/>
      <c r="AMS148" s="20"/>
      <c r="AMT148" s="20"/>
      <c r="AMU148" s="20"/>
      <c r="AMV148" s="20"/>
      <c r="AMW148" s="20"/>
      <c r="AMX148" s="20"/>
      <c r="AMY148" s="20"/>
      <c r="AMZ148" s="16"/>
      <c r="ANA148" s="18"/>
      <c r="ANB148" s="19"/>
      <c r="ANC148" s="20"/>
      <c r="AND148" s="20"/>
      <c r="ANE148" s="20"/>
      <c r="ANF148" s="20"/>
      <c r="ANG148" s="20"/>
      <c r="ANH148" s="20"/>
      <c r="ANI148" s="20"/>
      <c r="ANJ148" s="20"/>
      <c r="ANK148" s="20"/>
      <c r="ANL148" s="20"/>
      <c r="ANM148" s="20"/>
      <c r="ANN148" s="20"/>
      <c r="ANO148" s="20"/>
      <c r="ANP148" s="16"/>
      <c r="ANQ148" s="18"/>
      <c r="ANR148" s="19"/>
      <c r="ANS148" s="20"/>
      <c r="ANT148" s="20"/>
      <c r="ANU148" s="20"/>
      <c r="ANV148" s="20"/>
      <c r="ANW148" s="20"/>
      <c r="ANX148" s="20"/>
      <c r="ANY148" s="20"/>
      <c r="ANZ148" s="20"/>
      <c r="AOA148" s="20"/>
      <c r="AOB148" s="20"/>
      <c r="AOC148" s="20"/>
      <c r="AOD148" s="20"/>
      <c r="AOE148" s="20"/>
      <c r="AOF148" s="16"/>
      <c r="AOG148" s="18"/>
      <c r="AOH148" s="19"/>
      <c r="AOI148" s="20"/>
      <c r="AOJ148" s="20"/>
      <c r="AOK148" s="20"/>
      <c r="AOL148" s="20"/>
      <c r="AOM148" s="20"/>
      <c r="AON148" s="20"/>
      <c r="AOO148" s="20"/>
      <c r="AOP148" s="20"/>
      <c r="AOQ148" s="20"/>
      <c r="AOR148" s="20"/>
      <c r="AOS148" s="20"/>
      <c r="AOT148" s="20"/>
      <c r="AOU148" s="20"/>
      <c r="AOV148" s="16"/>
      <c r="AOW148" s="18"/>
      <c r="AOX148" s="19"/>
      <c r="AOY148" s="20"/>
      <c r="AOZ148" s="20"/>
      <c r="APA148" s="20"/>
      <c r="APB148" s="20"/>
      <c r="APC148" s="20"/>
      <c r="APD148" s="20"/>
      <c r="APE148" s="20"/>
      <c r="APF148" s="20"/>
      <c r="APG148" s="20"/>
      <c r="APH148" s="20"/>
      <c r="API148" s="20"/>
      <c r="APJ148" s="20"/>
      <c r="APK148" s="20"/>
      <c r="APL148" s="16"/>
      <c r="APM148" s="18"/>
      <c r="APN148" s="19"/>
      <c r="APO148" s="20"/>
      <c r="APP148" s="20"/>
      <c r="APQ148" s="20"/>
      <c r="APR148" s="20"/>
      <c r="APS148" s="20"/>
      <c r="APT148" s="20"/>
      <c r="APU148" s="20"/>
      <c r="APV148" s="20"/>
      <c r="APW148" s="20"/>
      <c r="APX148" s="20"/>
      <c r="APY148" s="20"/>
      <c r="APZ148" s="20"/>
      <c r="AQA148" s="20"/>
      <c r="AQB148" s="16"/>
      <c r="AQC148" s="18"/>
      <c r="AQD148" s="19"/>
      <c r="AQE148" s="20"/>
      <c r="AQF148" s="20"/>
      <c r="AQG148" s="20"/>
      <c r="AQH148" s="20"/>
      <c r="AQI148" s="20"/>
      <c r="AQJ148" s="20"/>
      <c r="AQK148" s="20"/>
      <c r="AQL148" s="20"/>
      <c r="AQM148" s="20"/>
      <c r="AQN148" s="20"/>
      <c r="AQO148" s="20"/>
      <c r="AQP148" s="20"/>
      <c r="AQQ148" s="20"/>
      <c r="AQR148" s="16"/>
      <c r="AQS148" s="18"/>
      <c r="AQT148" s="19"/>
      <c r="AQU148" s="20"/>
      <c r="AQV148" s="20"/>
      <c r="AQW148" s="20"/>
      <c r="AQX148" s="20"/>
      <c r="AQY148" s="20"/>
      <c r="AQZ148" s="20"/>
      <c r="ARA148" s="20"/>
      <c r="ARB148" s="20"/>
      <c r="ARC148" s="20"/>
      <c r="ARD148" s="20"/>
      <c r="ARE148" s="20"/>
      <c r="ARF148" s="20"/>
      <c r="ARG148" s="20"/>
      <c r="ARH148" s="16"/>
      <c r="ARI148" s="18"/>
      <c r="ARJ148" s="19"/>
      <c r="ARK148" s="20"/>
      <c r="ARL148" s="20"/>
      <c r="ARM148" s="20"/>
      <c r="ARN148" s="20"/>
      <c r="ARO148" s="20"/>
      <c r="ARP148" s="20"/>
      <c r="ARQ148" s="20"/>
      <c r="ARR148" s="20"/>
      <c r="ARS148" s="20"/>
      <c r="ART148" s="20"/>
      <c r="ARU148" s="20"/>
      <c r="ARV148" s="20"/>
      <c r="ARW148" s="20"/>
      <c r="ARX148" s="16"/>
      <c r="ARY148" s="18"/>
      <c r="ARZ148" s="19"/>
      <c r="ASA148" s="20"/>
      <c r="ASB148" s="20"/>
      <c r="ASC148" s="20"/>
      <c r="ASD148" s="20"/>
      <c r="ASE148" s="20"/>
      <c r="ASF148" s="20"/>
      <c r="ASG148" s="20"/>
      <c r="ASH148" s="20"/>
      <c r="ASI148" s="20"/>
      <c r="ASJ148" s="20"/>
      <c r="ASK148" s="20"/>
      <c r="ASL148" s="20"/>
      <c r="ASM148" s="20"/>
      <c r="ASN148" s="16"/>
      <c r="ASO148" s="18"/>
      <c r="ASP148" s="19"/>
      <c r="ASQ148" s="20"/>
      <c r="ASR148" s="20"/>
      <c r="ASS148" s="20"/>
      <c r="AST148" s="20"/>
      <c r="ASU148" s="20"/>
      <c r="ASV148" s="20"/>
      <c r="ASW148" s="20"/>
      <c r="ASX148" s="20"/>
      <c r="ASY148" s="20"/>
      <c r="ASZ148" s="20"/>
      <c r="ATA148" s="20"/>
      <c r="ATB148" s="20"/>
      <c r="ATC148" s="20"/>
      <c r="ATD148" s="16"/>
      <c r="ATE148" s="18"/>
      <c r="ATF148" s="19"/>
      <c r="ATG148" s="20"/>
      <c r="ATH148" s="20"/>
      <c r="ATI148" s="20"/>
      <c r="ATJ148" s="20"/>
      <c r="ATK148" s="20"/>
      <c r="ATL148" s="20"/>
      <c r="ATM148" s="20"/>
      <c r="ATN148" s="20"/>
      <c r="ATO148" s="20"/>
      <c r="ATP148" s="20"/>
      <c r="ATQ148" s="20"/>
      <c r="ATR148" s="20"/>
      <c r="ATS148" s="20"/>
      <c r="ATT148" s="16"/>
      <c r="ATU148" s="18"/>
      <c r="ATV148" s="19"/>
      <c r="ATW148" s="20"/>
      <c r="ATX148" s="20"/>
      <c r="ATY148" s="20"/>
      <c r="ATZ148" s="20"/>
      <c r="AUA148" s="20"/>
      <c r="AUB148" s="20"/>
      <c r="AUC148" s="20"/>
      <c r="AUD148" s="20"/>
      <c r="AUE148" s="20"/>
      <c r="AUF148" s="20"/>
      <c r="AUG148" s="20"/>
      <c r="AUH148" s="20"/>
      <c r="AUI148" s="20"/>
      <c r="AUJ148" s="16"/>
      <c r="AUK148" s="18"/>
      <c r="AUL148" s="19"/>
      <c r="AUM148" s="20"/>
      <c r="AUN148" s="20"/>
      <c r="AUO148" s="20"/>
      <c r="AUP148" s="20"/>
      <c r="AUQ148" s="20"/>
      <c r="AUR148" s="20"/>
      <c r="AUS148" s="20"/>
      <c r="AUT148" s="20"/>
      <c r="AUU148" s="20"/>
      <c r="AUV148" s="20"/>
      <c r="AUW148" s="20"/>
      <c r="AUX148" s="20"/>
      <c r="AUY148" s="20"/>
      <c r="AUZ148" s="16"/>
      <c r="AVA148" s="18"/>
      <c r="AVB148" s="19"/>
      <c r="AVC148" s="20"/>
      <c r="AVD148" s="20"/>
      <c r="AVE148" s="20"/>
      <c r="AVF148" s="20"/>
      <c r="AVG148" s="20"/>
      <c r="AVH148" s="20"/>
      <c r="AVI148" s="20"/>
      <c r="AVJ148" s="20"/>
      <c r="AVK148" s="20"/>
      <c r="AVL148" s="20"/>
      <c r="AVM148" s="20"/>
      <c r="AVN148" s="20"/>
      <c r="AVO148" s="20"/>
      <c r="AVP148" s="16"/>
      <c r="AVQ148" s="18"/>
      <c r="AVR148" s="19"/>
      <c r="AVS148" s="20"/>
      <c r="AVT148" s="20"/>
      <c r="AVU148" s="20"/>
      <c r="AVV148" s="20"/>
      <c r="AVW148" s="20"/>
      <c r="AVX148" s="20"/>
      <c r="AVY148" s="20"/>
      <c r="AVZ148" s="20"/>
      <c r="AWA148" s="20"/>
      <c r="AWB148" s="20"/>
      <c r="AWC148" s="20"/>
      <c r="AWD148" s="20"/>
      <c r="AWE148" s="20"/>
      <c r="AWF148" s="16"/>
      <c r="AWG148" s="18"/>
      <c r="AWH148" s="19"/>
      <c r="AWI148" s="20"/>
      <c r="AWJ148" s="20"/>
      <c r="AWK148" s="20"/>
      <c r="AWL148" s="20"/>
      <c r="AWM148" s="20"/>
      <c r="AWN148" s="20"/>
      <c r="AWO148" s="20"/>
      <c r="AWP148" s="20"/>
      <c r="AWQ148" s="20"/>
      <c r="AWR148" s="20"/>
      <c r="AWS148" s="20"/>
      <c r="AWT148" s="20"/>
      <c r="AWU148" s="20"/>
      <c r="AWV148" s="16"/>
      <c r="AWW148" s="18"/>
      <c r="AWX148" s="19"/>
      <c r="AWY148" s="20"/>
      <c r="AWZ148" s="20"/>
      <c r="AXA148" s="20"/>
      <c r="AXB148" s="20"/>
      <c r="AXC148" s="20"/>
      <c r="AXD148" s="20"/>
      <c r="AXE148" s="20"/>
      <c r="AXF148" s="20"/>
      <c r="AXG148" s="20"/>
      <c r="AXH148" s="20"/>
      <c r="AXI148" s="20"/>
      <c r="AXJ148" s="20"/>
      <c r="AXK148" s="20"/>
      <c r="AXL148" s="16"/>
      <c r="AXM148" s="18"/>
      <c r="AXN148" s="19"/>
      <c r="AXO148" s="20"/>
      <c r="AXP148" s="20"/>
      <c r="AXQ148" s="20"/>
      <c r="AXR148" s="20"/>
      <c r="AXS148" s="20"/>
      <c r="AXT148" s="20"/>
      <c r="AXU148" s="20"/>
      <c r="AXV148" s="20"/>
      <c r="AXW148" s="20"/>
      <c r="AXX148" s="20"/>
      <c r="AXY148" s="20"/>
      <c r="AXZ148" s="20"/>
      <c r="AYA148" s="20"/>
      <c r="AYB148" s="16"/>
      <c r="AYC148" s="18"/>
      <c r="AYD148" s="19"/>
      <c r="AYE148" s="20"/>
      <c r="AYF148" s="20"/>
      <c r="AYG148" s="20"/>
      <c r="AYH148" s="20"/>
      <c r="AYI148" s="20"/>
      <c r="AYJ148" s="20"/>
      <c r="AYK148" s="20"/>
      <c r="AYL148" s="20"/>
      <c r="AYM148" s="20"/>
      <c r="AYN148" s="20"/>
      <c r="AYO148" s="20"/>
      <c r="AYP148" s="20"/>
      <c r="AYQ148" s="20"/>
      <c r="AYR148" s="16"/>
      <c r="AYS148" s="18"/>
      <c r="AYT148" s="19"/>
      <c r="AYU148" s="20"/>
      <c r="AYV148" s="20"/>
      <c r="AYW148" s="20"/>
      <c r="AYX148" s="20"/>
      <c r="AYY148" s="20"/>
      <c r="AYZ148" s="20"/>
      <c r="AZA148" s="20"/>
      <c r="AZB148" s="20"/>
      <c r="AZC148" s="20"/>
      <c r="AZD148" s="20"/>
      <c r="AZE148" s="20"/>
      <c r="AZF148" s="20"/>
      <c r="AZG148" s="20"/>
      <c r="AZH148" s="16"/>
      <c r="AZI148" s="18"/>
      <c r="AZJ148" s="19"/>
      <c r="AZK148" s="20"/>
      <c r="AZL148" s="20"/>
      <c r="AZM148" s="20"/>
      <c r="AZN148" s="20"/>
      <c r="AZO148" s="20"/>
      <c r="AZP148" s="20"/>
      <c r="AZQ148" s="20"/>
      <c r="AZR148" s="20"/>
      <c r="AZS148" s="20"/>
      <c r="AZT148" s="20"/>
      <c r="AZU148" s="20"/>
      <c r="AZV148" s="20"/>
      <c r="AZW148" s="20"/>
      <c r="AZX148" s="16"/>
      <c r="AZY148" s="18"/>
      <c r="AZZ148" s="19"/>
      <c r="BAA148" s="20"/>
      <c r="BAB148" s="20"/>
      <c r="BAC148" s="20"/>
      <c r="BAD148" s="20"/>
      <c r="BAE148" s="20"/>
      <c r="BAF148" s="20"/>
      <c r="BAG148" s="20"/>
      <c r="BAH148" s="20"/>
      <c r="BAI148" s="20"/>
      <c r="BAJ148" s="20"/>
      <c r="BAK148" s="20"/>
      <c r="BAL148" s="20"/>
      <c r="BAM148" s="20"/>
      <c r="BAN148" s="16"/>
      <c r="BAO148" s="18"/>
      <c r="BAP148" s="19"/>
      <c r="BAQ148" s="20"/>
      <c r="BAR148" s="20"/>
      <c r="BAS148" s="20"/>
      <c r="BAT148" s="20"/>
      <c r="BAU148" s="20"/>
      <c r="BAV148" s="20"/>
      <c r="BAW148" s="20"/>
      <c r="BAX148" s="20"/>
      <c r="BAY148" s="20"/>
      <c r="BAZ148" s="20"/>
      <c r="BBA148" s="20"/>
      <c r="BBB148" s="20"/>
      <c r="BBC148" s="20"/>
      <c r="BBD148" s="16"/>
      <c r="BBE148" s="18"/>
      <c r="BBF148" s="19"/>
      <c r="BBG148" s="20"/>
      <c r="BBH148" s="20"/>
      <c r="BBI148" s="20"/>
      <c r="BBJ148" s="20"/>
      <c r="BBK148" s="20"/>
      <c r="BBL148" s="20"/>
      <c r="BBM148" s="20"/>
      <c r="BBN148" s="20"/>
      <c r="BBO148" s="20"/>
      <c r="BBP148" s="20"/>
      <c r="BBQ148" s="20"/>
      <c r="BBR148" s="20"/>
      <c r="BBS148" s="20"/>
      <c r="BBT148" s="16"/>
      <c r="BBU148" s="18"/>
      <c r="BBV148" s="19"/>
      <c r="BBW148" s="20"/>
      <c r="BBX148" s="20"/>
      <c r="BBY148" s="20"/>
      <c r="BBZ148" s="20"/>
      <c r="BCA148" s="20"/>
      <c r="BCB148" s="20"/>
      <c r="BCC148" s="20"/>
      <c r="BCD148" s="20"/>
      <c r="BCE148" s="20"/>
      <c r="BCF148" s="20"/>
      <c r="BCG148" s="20"/>
      <c r="BCH148" s="20"/>
      <c r="BCI148" s="20"/>
      <c r="BCJ148" s="16"/>
      <c r="BCK148" s="18"/>
      <c r="BCL148" s="19"/>
      <c r="BCM148" s="20"/>
      <c r="BCN148" s="20"/>
      <c r="BCO148" s="20"/>
      <c r="BCP148" s="20"/>
      <c r="BCQ148" s="20"/>
      <c r="BCR148" s="20"/>
      <c r="BCS148" s="20"/>
      <c r="BCT148" s="20"/>
      <c r="BCU148" s="20"/>
      <c r="BCV148" s="20"/>
      <c r="BCW148" s="20"/>
      <c r="BCX148" s="20"/>
      <c r="BCY148" s="20"/>
      <c r="BCZ148" s="16"/>
      <c r="BDA148" s="18"/>
      <c r="BDB148" s="19"/>
      <c r="BDC148" s="20"/>
      <c r="BDD148" s="20"/>
      <c r="BDE148" s="20"/>
      <c r="BDF148" s="20"/>
      <c r="BDG148" s="20"/>
      <c r="BDH148" s="20"/>
      <c r="BDI148" s="20"/>
      <c r="BDJ148" s="20"/>
      <c r="BDK148" s="20"/>
      <c r="BDL148" s="20"/>
      <c r="BDM148" s="20"/>
      <c r="BDN148" s="20"/>
      <c r="BDO148" s="20"/>
      <c r="BDP148" s="16"/>
      <c r="BDQ148" s="18"/>
      <c r="BDR148" s="19"/>
      <c r="BDS148" s="20"/>
      <c r="BDT148" s="20"/>
      <c r="BDU148" s="20"/>
      <c r="BDV148" s="20"/>
      <c r="BDW148" s="20"/>
      <c r="BDX148" s="20"/>
      <c r="BDY148" s="20"/>
      <c r="BDZ148" s="20"/>
      <c r="BEA148" s="20"/>
      <c r="BEB148" s="20"/>
      <c r="BEC148" s="20"/>
      <c r="BED148" s="20"/>
      <c r="BEE148" s="20"/>
      <c r="BEF148" s="16"/>
      <c r="BEG148" s="18"/>
      <c r="BEH148" s="19"/>
      <c r="BEI148" s="20"/>
      <c r="BEJ148" s="20"/>
      <c r="BEK148" s="20"/>
      <c r="BEL148" s="20"/>
      <c r="BEM148" s="20"/>
      <c r="BEN148" s="20"/>
      <c r="BEO148" s="20"/>
      <c r="BEP148" s="20"/>
      <c r="BEQ148" s="20"/>
      <c r="BER148" s="20"/>
      <c r="BES148" s="20"/>
      <c r="BET148" s="20"/>
      <c r="BEU148" s="20"/>
      <c r="BEV148" s="16"/>
      <c r="BEW148" s="18"/>
      <c r="BEX148" s="19"/>
      <c r="BEY148" s="20"/>
      <c r="BEZ148" s="20"/>
      <c r="BFA148" s="20"/>
      <c r="BFB148" s="20"/>
      <c r="BFC148" s="20"/>
      <c r="BFD148" s="20"/>
      <c r="BFE148" s="20"/>
      <c r="BFF148" s="20"/>
      <c r="BFG148" s="20"/>
      <c r="BFH148" s="20"/>
      <c r="BFI148" s="20"/>
      <c r="BFJ148" s="20"/>
      <c r="BFK148" s="20"/>
      <c r="BFL148" s="16"/>
      <c r="BFM148" s="18"/>
      <c r="BFN148" s="19"/>
      <c r="BFO148" s="20"/>
      <c r="BFP148" s="20"/>
      <c r="BFQ148" s="20"/>
      <c r="BFR148" s="20"/>
      <c r="BFS148" s="20"/>
      <c r="BFT148" s="20"/>
      <c r="BFU148" s="20"/>
      <c r="BFV148" s="20"/>
      <c r="BFW148" s="20"/>
      <c r="BFX148" s="20"/>
      <c r="BFY148" s="20"/>
      <c r="BFZ148" s="20"/>
      <c r="BGA148" s="20"/>
      <c r="BGB148" s="16"/>
      <c r="BGC148" s="18"/>
      <c r="BGD148" s="19"/>
      <c r="BGE148" s="20"/>
      <c r="BGF148" s="20"/>
      <c r="BGG148" s="20"/>
      <c r="BGH148" s="20"/>
      <c r="BGI148" s="20"/>
      <c r="BGJ148" s="20"/>
      <c r="BGK148" s="20"/>
      <c r="BGL148" s="20"/>
      <c r="BGM148" s="20"/>
      <c r="BGN148" s="20"/>
      <c r="BGO148" s="20"/>
      <c r="BGP148" s="20"/>
      <c r="BGQ148" s="20"/>
      <c r="BGR148" s="16"/>
      <c r="BGS148" s="18"/>
      <c r="BGT148" s="19"/>
      <c r="BGU148" s="20"/>
      <c r="BGV148" s="20"/>
      <c r="BGW148" s="20"/>
      <c r="BGX148" s="20"/>
      <c r="BGY148" s="20"/>
      <c r="BGZ148" s="20"/>
      <c r="BHA148" s="20"/>
      <c r="BHB148" s="20"/>
      <c r="BHC148" s="20"/>
      <c r="BHD148" s="20"/>
      <c r="BHE148" s="20"/>
      <c r="BHF148" s="20"/>
      <c r="BHG148" s="20"/>
      <c r="BHH148" s="16"/>
      <c r="BHI148" s="18"/>
      <c r="BHJ148" s="19"/>
      <c r="BHK148" s="20"/>
      <c r="BHL148" s="20"/>
      <c r="BHM148" s="20"/>
      <c r="BHN148" s="20"/>
      <c r="BHO148" s="20"/>
      <c r="BHP148" s="20"/>
      <c r="BHQ148" s="20"/>
      <c r="BHR148" s="20"/>
      <c r="BHS148" s="20"/>
      <c r="BHT148" s="20"/>
      <c r="BHU148" s="20"/>
      <c r="BHV148" s="20"/>
      <c r="BHW148" s="20"/>
      <c r="BHX148" s="16"/>
      <c r="BHY148" s="18"/>
      <c r="BHZ148" s="19"/>
      <c r="BIA148" s="20"/>
      <c r="BIB148" s="20"/>
      <c r="BIC148" s="20"/>
      <c r="BID148" s="20"/>
      <c r="BIE148" s="20"/>
      <c r="BIF148" s="20"/>
      <c r="BIG148" s="20"/>
      <c r="BIH148" s="20"/>
      <c r="BII148" s="20"/>
      <c r="BIJ148" s="20"/>
      <c r="BIK148" s="20"/>
      <c r="BIL148" s="20"/>
      <c r="BIM148" s="20"/>
      <c r="BIN148" s="16"/>
      <c r="BIO148" s="18"/>
      <c r="BIP148" s="19"/>
      <c r="BIQ148" s="20"/>
      <c r="BIR148" s="20"/>
      <c r="BIS148" s="20"/>
      <c r="BIT148" s="20"/>
      <c r="BIU148" s="20"/>
      <c r="BIV148" s="20"/>
      <c r="BIW148" s="20"/>
      <c r="BIX148" s="20"/>
      <c r="BIY148" s="20"/>
      <c r="BIZ148" s="20"/>
      <c r="BJA148" s="20"/>
      <c r="BJB148" s="20"/>
      <c r="BJC148" s="20"/>
      <c r="BJD148" s="16"/>
      <c r="BJE148" s="18"/>
      <c r="BJF148" s="19"/>
      <c r="BJG148" s="20"/>
      <c r="BJH148" s="20"/>
      <c r="BJI148" s="20"/>
      <c r="BJJ148" s="20"/>
      <c r="BJK148" s="20"/>
      <c r="BJL148" s="20"/>
      <c r="BJM148" s="20"/>
      <c r="BJN148" s="20"/>
      <c r="BJO148" s="20"/>
      <c r="BJP148" s="20"/>
      <c r="BJQ148" s="20"/>
      <c r="BJR148" s="20"/>
      <c r="BJS148" s="20"/>
      <c r="BJT148" s="16"/>
      <c r="BJU148" s="18"/>
      <c r="BJV148" s="19"/>
      <c r="BJW148" s="20"/>
      <c r="BJX148" s="20"/>
      <c r="BJY148" s="20"/>
      <c r="BJZ148" s="20"/>
      <c r="BKA148" s="20"/>
      <c r="BKB148" s="20"/>
      <c r="BKC148" s="20"/>
      <c r="BKD148" s="20"/>
      <c r="BKE148" s="20"/>
      <c r="BKF148" s="20"/>
      <c r="BKG148" s="20"/>
      <c r="BKH148" s="20"/>
      <c r="BKI148" s="20"/>
      <c r="BKJ148" s="16"/>
      <c r="BKK148" s="18"/>
      <c r="BKL148" s="19"/>
      <c r="BKM148" s="20"/>
      <c r="BKN148" s="20"/>
      <c r="BKO148" s="20"/>
      <c r="BKP148" s="20"/>
      <c r="BKQ148" s="20"/>
      <c r="BKR148" s="20"/>
      <c r="BKS148" s="20"/>
      <c r="BKT148" s="20"/>
      <c r="BKU148" s="20"/>
      <c r="BKV148" s="20"/>
      <c r="BKW148" s="20"/>
      <c r="BKX148" s="20"/>
      <c r="BKY148" s="20"/>
      <c r="BKZ148" s="16"/>
      <c r="BLA148" s="18"/>
      <c r="BLB148" s="19"/>
      <c r="BLC148" s="20"/>
      <c r="BLD148" s="20"/>
      <c r="BLE148" s="20"/>
      <c r="BLF148" s="20"/>
      <c r="BLG148" s="20"/>
      <c r="BLH148" s="20"/>
      <c r="BLI148" s="20"/>
      <c r="BLJ148" s="20"/>
      <c r="BLK148" s="20"/>
      <c r="BLL148" s="20"/>
      <c r="BLM148" s="20"/>
      <c r="BLN148" s="20"/>
      <c r="BLO148" s="20"/>
      <c r="BLP148" s="16"/>
      <c r="BLQ148" s="18"/>
      <c r="BLR148" s="19"/>
      <c r="BLS148" s="20"/>
      <c r="BLT148" s="20"/>
      <c r="BLU148" s="20"/>
      <c r="BLV148" s="20"/>
      <c r="BLW148" s="20"/>
      <c r="BLX148" s="20"/>
      <c r="BLY148" s="20"/>
      <c r="BLZ148" s="20"/>
      <c r="BMA148" s="20"/>
      <c r="BMB148" s="20"/>
      <c r="BMC148" s="20"/>
      <c r="BMD148" s="20"/>
      <c r="BME148" s="20"/>
      <c r="BMF148" s="16"/>
      <c r="BMG148" s="18"/>
      <c r="BMH148" s="19"/>
      <c r="BMI148" s="20"/>
      <c r="BMJ148" s="20"/>
      <c r="BMK148" s="20"/>
      <c r="BML148" s="20"/>
      <c r="BMM148" s="20"/>
      <c r="BMN148" s="20"/>
      <c r="BMO148" s="20"/>
      <c r="BMP148" s="20"/>
      <c r="BMQ148" s="20"/>
      <c r="BMR148" s="20"/>
      <c r="BMS148" s="20"/>
      <c r="BMT148" s="20"/>
      <c r="BMU148" s="20"/>
      <c r="BMV148" s="16"/>
      <c r="BMW148" s="18"/>
      <c r="BMX148" s="19"/>
      <c r="BMY148" s="20"/>
      <c r="BMZ148" s="20"/>
      <c r="BNA148" s="20"/>
      <c r="BNB148" s="20"/>
      <c r="BNC148" s="20"/>
      <c r="BND148" s="20"/>
      <c r="BNE148" s="20"/>
      <c r="BNF148" s="20"/>
      <c r="BNG148" s="20"/>
      <c r="BNH148" s="20"/>
      <c r="BNI148" s="20"/>
      <c r="BNJ148" s="20"/>
      <c r="BNK148" s="20"/>
      <c r="BNL148" s="16"/>
      <c r="BNM148" s="18"/>
      <c r="BNN148" s="19"/>
      <c r="BNO148" s="20"/>
      <c r="BNP148" s="20"/>
      <c r="BNQ148" s="20"/>
      <c r="BNR148" s="20"/>
      <c r="BNS148" s="20"/>
      <c r="BNT148" s="20"/>
      <c r="BNU148" s="20"/>
      <c r="BNV148" s="20"/>
      <c r="BNW148" s="20"/>
      <c r="BNX148" s="20"/>
      <c r="BNY148" s="20"/>
      <c r="BNZ148" s="20"/>
      <c r="BOA148" s="20"/>
      <c r="BOB148" s="16"/>
      <c r="BOC148" s="18"/>
      <c r="BOD148" s="19"/>
      <c r="BOE148" s="20"/>
      <c r="BOF148" s="20"/>
      <c r="BOG148" s="20"/>
      <c r="BOH148" s="20"/>
      <c r="BOI148" s="20"/>
      <c r="BOJ148" s="20"/>
      <c r="BOK148" s="20"/>
      <c r="BOL148" s="20"/>
      <c r="BOM148" s="20"/>
      <c r="BON148" s="20"/>
      <c r="BOO148" s="20"/>
      <c r="BOP148" s="20"/>
      <c r="BOQ148" s="20"/>
      <c r="BOR148" s="16"/>
      <c r="BOS148" s="18"/>
      <c r="BOT148" s="19"/>
      <c r="BOU148" s="20"/>
      <c r="BOV148" s="20"/>
      <c r="BOW148" s="20"/>
      <c r="BOX148" s="20"/>
      <c r="BOY148" s="20"/>
      <c r="BOZ148" s="20"/>
      <c r="BPA148" s="20"/>
      <c r="BPB148" s="20"/>
      <c r="BPC148" s="20"/>
      <c r="BPD148" s="20"/>
      <c r="BPE148" s="20"/>
      <c r="BPF148" s="20"/>
      <c r="BPG148" s="20"/>
      <c r="BPH148" s="16"/>
      <c r="BPI148" s="18"/>
      <c r="BPJ148" s="19"/>
      <c r="BPK148" s="20"/>
      <c r="BPL148" s="20"/>
      <c r="BPM148" s="20"/>
      <c r="BPN148" s="20"/>
      <c r="BPO148" s="20"/>
      <c r="BPP148" s="20"/>
      <c r="BPQ148" s="20"/>
      <c r="BPR148" s="20"/>
      <c r="BPS148" s="20"/>
      <c r="BPT148" s="20"/>
      <c r="BPU148" s="20"/>
      <c r="BPV148" s="20"/>
      <c r="BPW148" s="20"/>
      <c r="BPX148" s="16"/>
      <c r="BPY148" s="18"/>
      <c r="BPZ148" s="19"/>
      <c r="BQA148" s="20"/>
      <c r="BQB148" s="20"/>
      <c r="BQC148" s="20"/>
      <c r="BQD148" s="20"/>
      <c r="BQE148" s="20"/>
      <c r="BQF148" s="20"/>
      <c r="BQG148" s="20"/>
      <c r="BQH148" s="20"/>
      <c r="BQI148" s="20"/>
      <c r="BQJ148" s="20"/>
      <c r="BQK148" s="20"/>
      <c r="BQL148" s="20"/>
      <c r="BQM148" s="20"/>
      <c r="BQN148" s="16"/>
      <c r="BQO148" s="18"/>
      <c r="BQP148" s="19"/>
      <c r="BQQ148" s="20"/>
      <c r="BQR148" s="20"/>
      <c r="BQS148" s="20"/>
      <c r="BQT148" s="20"/>
      <c r="BQU148" s="20"/>
      <c r="BQV148" s="20"/>
      <c r="BQW148" s="20"/>
      <c r="BQX148" s="20"/>
      <c r="BQY148" s="20"/>
      <c r="BQZ148" s="20"/>
      <c r="BRA148" s="20"/>
      <c r="BRB148" s="20"/>
      <c r="BRC148" s="20"/>
      <c r="BRD148" s="16"/>
      <c r="BRE148" s="18"/>
      <c r="BRF148" s="19"/>
      <c r="BRG148" s="20"/>
      <c r="BRH148" s="20"/>
      <c r="BRI148" s="20"/>
      <c r="BRJ148" s="20"/>
      <c r="BRK148" s="20"/>
      <c r="BRL148" s="20"/>
      <c r="BRM148" s="20"/>
      <c r="BRN148" s="20"/>
      <c r="BRO148" s="20"/>
      <c r="BRP148" s="20"/>
      <c r="BRQ148" s="20"/>
      <c r="BRR148" s="20"/>
      <c r="BRS148" s="20"/>
      <c r="BRT148" s="16"/>
      <c r="BRU148" s="18"/>
      <c r="BRV148" s="19"/>
      <c r="BRW148" s="20"/>
      <c r="BRX148" s="20"/>
      <c r="BRY148" s="20"/>
      <c r="BRZ148" s="20"/>
      <c r="BSA148" s="20"/>
      <c r="BSB148" s="20"/>
      <c r="BSC148" s="20"/>
      <c r="BSD148" s="20"/>
      <c r="BSE148" s="20"/>
      <c r="BSF148" s="20"/>
      <c r="BSG148" s="20"/>
      <c r="BSH148" s="20"/>
      <c r="BSI148" s="20"/>
      <c r="BSJ148" s="16"/>
      <c r="BSK148" s="18"/>
      <c r="BSL148" s="19"/>
      <c r="BSM148" s="20"/>
      <c r="BSN148" s="20"/>
      <c r="BSO148" s="20"/>
      <c r="BSP148" s="20"/>
      <c r="BSQ148" s="20"/>
      <c r="BSR148" s="20"/>
      <c r="BSS148" s="20"/>
      <c r="BST148" s="20"/>
      <c r="BSU148" s="20"/>
      <c r="BSV148" s="20"/>
      <c r="BSW148" s="20"/>
      <c r="BSX148" s="20"/>
      <c r="BSY148" s="20"/>
      <c r="BSZ148" s="16"/>
      <c r="BTA148" s="18"/>
      <c r="BTB148" s="19"/>
      <c r="BTC148" s="20"/>
      <c r="BTD148" s="20"/>
      <c r="BTE148" s="20"/>
      <c r="BTF148" s="20"/>
      <c r="BTG148" s="20"/>
      <c r="BTH148" s="20"/>
      <c r="BTI148" s="20"/>
      <c r="BTJ148" s="20"/>
      <c r="BTK148" s="20"/>
      <c r="BTL148" s="20"/>
      <c r="BTM148" s="20"/>
      <c r="BTN148" s="20"/>
      <c r="BTO148" s="20"/>
      <c r="BTP148" s="16"/>
      <c r="BTQ148" s="18"/>
      <c r="BTR148" s="19"/>
      <c r="BTS148" s="20"/>
      <c r="BTT148" s="20"/>
      <c r="BTU148" s="20"/>
      <c r="BTV148" s="20"/>
      <c r="BTW148" s="20"/>
      <c r="BTX148" s="20"/>
      <c r="BTY148" s="20"/>
      <c r="BTZ148" s="20"/>
      <c r="BUA148" s="20"/>
      <c r="BUB148" s="20"/>
      <c r="BUC148" s="20"/>
      <c r="BUD148" s="20"/>
      <c r="BUE148" s="20"/>
      <c r="BUF148" s="16"/>
      <c r="BUG148" s="18"/>
      <c r="BUH148" s="19"/>
      <c r="BUI148" s="20"/>
      <c r="BUJ148" s="20"/>
      <c r="BUK148" s="20"/>
      <c r="BUL148" s="20"/>
      <c r="BUM148" s="20"/>
      <c r="BUN148" s="20"/>
      <c r="BUO148" s="20"/>
      <c r="BUP148" s="20"/>
      <c r="BUQ148" s="20"/>
      <c r="BUR148" s="20"/>
      <c r="BUS148" s="20"/>
      <c r="BUT148" s="20"/>
      <c r="BUU148" s="20"/>
      <c r="BUV148" s="16"/>
      <c r="BUW148" s="18"/>
      <c r="BUX148" s="19"/>
      <c r="BUY148" s="20"/>
      <c r="BUZ148" s="20"/>
      <c r="BVA148" s="20"/>
      <c r="BVB148" s="20"/>
      <c r="BVC148" s="20"/>
      <c r="BVD148" s="20"/>
      <c r="BVE148" s="20"/>
      <c r="BVF148" s="20"/>
      <c r="BVG148" s="20"/>
      <c r="BVH148" s="20"/>
      <c r="BVI148" s="20"/>
      <c r="BVJ148" s="20"/>
      <c r="BVK148" s="20"/>
      <c r="BVL148" s="16"/>
      <c r="BVM148" s="18"/>
      <c r="BVN148" s="19"/>
      <c r="BVO148" s="20"/>
      <c r="BVP148" s="20"/>
      <c r="BVQ148" s="20"/>
      <c r="BVR148" s="20"/>
      <c r="BVS148" s="20"/>
      <c r="BVT148" s="20"/>
      <c r="BVU148" s="20"/>
      <c r="BVV148" s="20"/>
      <c r="BVW148" s="20"/>
      <c r="BVX148" s="20"/>
      <c r="BVY148" s="20"/>
      <c r="BVZ148" s="20"/>
      <c r="BWA148" s="20"/>
      <c r="BWB148" s="16"/>
      <c r="BWC148" s="18"/>
      <c r="BWD148" s="19"/>
      <c r="BWE148" s="20"/>
      <c r="BWF148" s="20"/>
      <c r="BWG148" s="20"/>
      <c r="BWH148" s="20"/>
      <c r="BWI148" s="20"/>
      <c r="BWJ148" s="20"/>
      <c r="BWK148" s="20"/>
      <c r="BWL148" s="20"/>
      <c r="BWM148" s="20"/>
      <c r="BWN148" s="20"/>
      <c r="BWO148" s="20"/>
      <c r="BWP148" s="20"/>
      <c r="BWQ148" s="20"/>
      <c r="BWR148" s="16"/>
      <c r="BWS148" s="18"/>
      <c r="BWT148" s="19"/>
      <c r="BWU148" s="20"/>
      <c r="BWV148" s="20"/>
      <c r="BWW148" s="20"/>
      <c r="BWX148" s="20"/>
      <c r="BWY148" s="20"/>
      <c r="BWZ148" s="20"/>
      <c r="BXA148" s="20"/>
      <c r="BXB148" s="20"/>
      <c r="BXC148" s="20"/>
      <c r="BXD148" s="20"/>
      <c r="BXE148" s="20"/>
      <c r="BXF148" s="20"/>
      <c r="BXG148" s="20"/>
      <c r="BXH148" s="16"/>
      <c r="BXI148" s="18"/>
      <c r="BXJ148" s="19"/>
      <c r="BXK148" s="20"/>
      <c r="BXL148" s="20"/>
      <c r="BXM148" s="20"/>
      <c r="BXN148" s="20"/>
      <c r="BXO148" s="20"/>
      <c r="BXP148" s="20"/>
      <c r="BXQ148" s="20"/>
      <c r="BXR148" s="20"/>
      <c r="BXS148" s="20"/>
      <c r="BXT148" s="20"/>
      <c r="BXU148" s="20"/>
      <c r="BXV148" s="20"/>
      <c r="BXW148" s="20"/>
      <c r="BXX148" s="16"/>
      <c r="BXY148" s="18"/>
      <c r="BXZ148" s="19"/>
      <c r="BYA148" s="20"/>
      <c r="BYB148" s="20"/>
      <c r="BYC148" s="20"/>
      <c r="BYD148" s="20"/>
      <c r="BYE148" s="20"/>
      <c r="BYF148" s="20"/>
      <c r="BYG148" s="20"/>
      <c r="BYH148" s="20"/>
      <c r="BYI148" s="20"/>
      <c r="BYJ148" s="20"/>
      <c r="BYK148" s="20"/>
      <c r="BYL148" s="20"/>
      <c r="BYM148" s="20"/>
      <c r="BYN148" s="16"/>
      <c r="BYO148" s="18"/>
      <c r="BYP148" s="19"/>
      <c r="BYQ148" s="20"/>
      <c r="BYR148" s="20"/>
      <c r="BYS148" s="20"/>
      <c r="BYT148" s="20"/>
      <c r="BYU148" s="20"/>
      <c r="BYV148" s="20"/>
      <c r="BYW148" s="20"/>
      <c r="BYX148" s="20"/>
      <c r="BYY148" s="20"/>
      <c r="BYZ148" s="20"/>
      <c r="BZA148" s="20"/>
      <c r="BZB148" s="20"/>
      <c r="BZC148" s="20"/>
      <c r="BZD148" s="16"/>
      <c r="BZE148" s="18"/>
      <c r="BZF148" s="19"/>
      <c r="BZG148" s="20"/>
      <c r="BZH148" s="20"/>
      <c r="BZI148" s="20"/>
      <c r="BZJ148" s="20"/>
      <c r="BZK148" s="20"/>
      <c r="BZL148" s="20"/>
      <c r="BZM148" s="20"/>
      <c r="BZN148" s="20"/>
      <c r="BZO148" s="20"/>
      <c r="BZP148" s="20"/>
      <c r="BZQ148" s="20"/>
      <c r="BZR148" s="20"/>
      <c r="BZS148" s="20"/>
      <c r="BZT148" s="16"/>
      <c r="BZU148" s="18"/>
      <c r="BZV148" s="19"/>
      <c r="BZW148" s="20"/>
      <c r="BZX148" s="20"/>
      <c r="BZY148" s="20"/>
      <c r="BZZ148" s="20"/>
      <c r="CAA148" s="20"/>
      <c r="CAB148" s="20"/>
      <c r="CAC148" s="20"/>
      <c r="CAD148" s="20"/>
      <c r="CAE148" s="20"/>
      <c r="CAF148" s="20"/>
      <c r="CAG148" s="20"/>
      <c r="CAH148" s="20"/>
      <c r="CAI148" s="20"/>
      <c r="CAJ148" s="16"/>
      <c r="CAK148" s="18"/>
      <c r="CAL148" s="19"/>
      <c r="CAM148" s="20"/>
      <c r="CAN148" s="20"/>
      <c r="CAO148" s="20"/>
      <c r="CAP148" s="20"/>
      <c r="CAQ148" s="20"/>
      <c r="CAR148" s="20"/>
      <c r="CAS148" s="20"/>
      <c r="CAT148" s="20"/>
      <c r="CAU148" s="20"/>
      <c r="CAV148" s="20"/>
      <c r="CAW148" s="20"/>
      <c r="CAX148" s="20"/>
      <c r="CAY148" s="20"/>
      <c r="CAZ148" s="16"/>
      <c r="CBA148" s="18"/>
      <c r="CBB148" s="19"/>
      <c r="CBC148" s="20"/>
      <c r="CBD148" s="20"/>
      <c r="CBE148" s="20"/>
      <c r="CBF148" s="20"/>
      <c r="CBG148" s="20"/>
      <c r="CBH148" s="20"/>
      <c r="CBI148" s="20"/>
      <c r="CBJ148" s="20"/>
      <c r="CBK148" s="20"/>
      <c r="CBL148" s="20"/>
      <c r="CBM148" s="20"/>
      <c r="CBN148" s="20"/>
      <c r="CBO148" s="20"/>
      <c r="CBP148" s="16"/>
      <c r="CBQ148" s="18"/>
      <c r="CBR148" s="19"/>
      <c r="CBS148" s="20"/>
      <c r="CBT148" s="20"/>
      <c r="CBU148" s="20"/>
      <c r="CBV148" s="20"/>
      <c r="CBW148" s="20"/>
      <c r="CBX148" s="20"/>
      <c r="CBY148" s="20"/>
      <c r="CBZ148" s="20"/>
      <c r="CCA148" s="20"/>
      <c r="CCB148" s="20"/>
      <c r="CCC148" s="20"/>
      <c r="CCD148" s="20"/>
      <c r="CCE148" s="20"/>
      <c r="CCF148" s="16"/>
      <c r="CCG148" s="18"/>
      <c r="CCH148" s="19"/>
      <c r="CCI148" s="20"/>
      <c r="CCJ148" s="20"/>
      <c r="CCK148" s="20"/>
      <c r="CCL148" s="20"/>
      <c r="CCM148" s="20"/>
      <c r="CCN148" s="20"/>
      <c r="CCO148" s="20"/>
      <c r="CCP148" s="20"/>
      <c r="CCQ148" s="20"/>
      <c r="CCR148" s="20"/>
      <c r="CCS148" s="20"/>
      <c r="CCT148" s="20"/>
      <c r="CCU148" s="20"/>
      <c r="CCV148" s="16"/>
      <c r="CCW148" s="18"/>
      <c r="CCX148" s="19"/>
      <c r="CCY148" s="20"/>
      <c r="CCZ148" s="20"/>
      <c r="CDA148" s="20"/>
      <c r="CDB148" s="20"/>
      <c r="CDC148" s="20"/>
      <c r="CDD148" s="20"/>
      <c r="CDE148" s="20"/>
      <c r="CDF148" s="20"/>
      <c r="CDG148" s="20"/>
      <c r="CDH148" s="20"/>
      <c r="CDI148" s="20"/>
      <c r="CDJ148" s="20"/>
      <c r="CDK148" s="20"/>
      <c r="CDL148" s="16"/>
      <c r="CDM148" s="18"/>
      <c r="CDN148" s="19"/>
      <c r="CDO148" s="20"/>
      <c r="CDP148" s="20"/>
      <c r="CDQ148" s="20"/>
      <c r="CDR148" s="20"/>
      <c r="CDS148" s="20"/>
      <c r="CDT148" s="20"/>
      <c r="CDU148" s="20"/>
      <c r="CDV148" s="20"/>
      <c r="CDW148" s="20"/>
      <c r="CDX148" s="20"/>
      <c r="CDY148" s="20"/>
      <c r="CDZ148" s="20"/>
      <c r="CEA148" s="20"/>
      <c r="CEB148" s="16"/>
      <c r="CEC148" s="18"/>
      <c r="CED148" s="19"/>
      <c r="CEE148" s="20"/>
      <c r="CEF148" s="20"/>
      <c r="CEG148" s="20"/>
      <c r="CEH148" s="20"/>
      <c r="CEI148" s="20"/>
      <c r="CEJ148" s="20"/>
      <c r="CEK148" s="20"/>
      <c r="CEL148" s="20"/>
      <c r="CEM148" s="20"/>
      <c r="CEN148" s="20"/>
      <c r="CEO148" s="20"/>
      <c r="CEP148" s="20"/>
      <c r="CEQ148" s="20"/>
      <c r="CER148" s="16"/>
      <c r="CES148" s="18"/>
      <c r="CET148" s="19"/>
      <c r="CEU148" s="20"/>
      <c r="CEV148" s="20"/>
      <c r="CEW148" s="20"/>
      <c r="CEX148" s="20"/>
      <c r="CEY148" s="20"/>
      <c r="CEZ148" s="20"/>
      <c r="CFA148" s="20"/>
      <c r="CFB148" s="20"/>
      <c r="CFC148" s="20"/>
      <c r="CFD148" s="20"/>
      <c r="CFE148" s="20"/>
      <c r="CFF148" s="20"/>
      <c r="CFG148" s="20"/>
      <c r="CFH148" s="16"/>
      <c r="CFI148" s="18"/>
      <c r="CFJ148" s="19"/>
      <c r="CFK148" s="20"/>
      <c r="CFL148" s="20"/>
      <c r="CFM148" s="20"/>
      <c r="CFN148" s="20"/>
      <c r="CFO148" s="20"/>
      <c r="CFP148" s="20"/>
      <c r="CFQ148" s="20"/>
      <c r="CFR148" s="20"/>
      <c r="CFS148" s="20"/>
      <c r="CFT148" s="20"/>
      <c r="CFU148" s="20"/>
      <c r="CFV148" s="20"/>
      <c r="CFW148" s="20"/>
      <c r="CFX148" s="16"/>
      <c r="CFY148" s="18"/>
      <c r="CFZ148" s="19"/>
      <c r="CGA148" s="20"/>
      <c r="CGB148" s="20"/>
      <c r="CGC148" s="20"/>
      <c r="CGD148" s="20"/>
      <c r="CGE148" s="20"/>
      <c r="CGF148" s="20"/>
      <c r="CGG148" s="20"/>
      <c r="CGH148" s="20"/>
      <c r="CGI148" s="20"/>
      <c r="CGJ148" s="20"/>
      <c r="CGK148" s="20"/>
      <c r="CGL148" s="20"/>
      <c r="CGM148" s="20"/>
      <c r="CGN148" s="16"/>
      <c r="CGO148" s="18"/>
      <c r="CGP148" s="19"/>
      <c r="CGQ148" s="20"/>
      <c r="CGR148" s="20"/>
      <c r="CGS148" s="20"/>
      <c r="CGT148" s="20"/>
      <c r="CGU148" s="20"/>
      <c r="CGV148" s="20"/>
      <c r="CGW148" s="20"/>
      <c r="CGX148" s="20"/>
      <c r="CGY148" s="20"/>
      <c r="CGZ148" s="20"/>
      <c r="CHA148" s="20"/>
      <c r="CHB148" s="20"/>
      <c r="CHC148" s="20"/>
      <c r="CHD148" s="16"/>
      <c r="CHE148" s="18"/>
      <c r="CHF148" s="19"/>
      <c r="CHG148" s="20"/>
      <c r="CHH148" s="20"/>
      <c r="CHI148" s="20"/>
      <c r="CHJ148" s="20"/>
      <c r="CHK148" s="20"/>
      <c r="CHL148" s="20"/>
      <c r="CHM148" s="20"/>
      <c r="CHN148" s="20"/>
      <c r="CHO148" s="20"/>
      <c r="CHP148" s="20"/>
      <c r="CHQ148" s="20"/>
      <c r="CHR148" s="20"/>
      <c r="CHS148" s="20"/>
      <c r="CHT148" s="16"/>
      <c r="CHU148" s="18"/>
      <c r="CHV148" s="19"/>
      <c r="CHW148" s="20"/>
      <c r="CHX148" s="20"/>
      <c r="CHY148" s="20"/>
      <c r="CHZ148" s="20"/>
      <c r="CIA148" s="20"/>
      <c r="CIB148" s="20"/>
      <c r="CIC148" s="20"/>
      <c r="CID148" s="20"/>
      <c r="CIE148" s="20"/>
      <c r="CIF148" s="20"/>
      <c r="CIG148" s="20"/>
      <c r="CIH148" s="20"/>
      <c r="CII148" s="20"/>
      <c r="CIJ148" s="16"/>
      <c r="CIK148" s="18"/>
      <c r="CIL148" s="19"/>
      <c r="CIM148" s="20"/>
      <c r="CIN148" s="20"/>
      <c r="CIO148" s="20"/>
      <c r="CIP148" s="20"/>
      <c r="CIQ148" s="20"/>
      <c r="CIR148" s="20"/>
      <c r="CIS148" s="20"/>
      <c r="CIT148" s="20"/>
      <c r="CIU148" s="20"/>
      <c r="CIV148" s="20"/>
      <c r="CIW148" s="20"/>
      <c r="CIX148" s="20"/>
      <c r="CIY148" s="20"/>
      <c r="CIZ148" s="16"/>
      <c r="CJA148" s="18"/>
      <c r="CJB148" s="19"/>
      <c r="CJC148" s="20"/>
      <c r="CJD148" s="20"/>
      <c r="CJE148" s="20"/>
      <c r="CJF148" s="20"/>
      <c r="CJG148" s="20"/>
      <c r="CJH148" s="20"/>
      <c r="CJI148" s="20"/>
      <c r="CJJ148" s="20"/>
      <c r="CJK148" s="20"/>
      <c r="CJL148" s="20"/>
      <c r="CJM148" s="20"/>
      <c r="CJN148" s="20"/>
      <c r="CJO148" s="20"/>
      <c r="CJP148" s="16"/>
      <c r="CJQ148" s="18"/>
      <c r="CJR148" s="19"/>
      <c r="CJS148" s="20"/>
      <c r="CJT148" s="20"/>
      <c r="CJU148" s="20"/>
      <c r="CJV148" s="20"/>
      <c r="CJW148" s="20"/>
      <c r="CJX148" s="20"/>
      <c r="CJY148" s="20"/>
      <c r="CJZ148" s="20"/>
      <c r="CKA148" s="20"/>
      <c r="CKB148" s="20"/>
      <c r="CKC148" s="20"/>
      <c r="CKD148" s="20"/>
      <c r="CKE148" s="20"/>
      <c r="CKF148" s="16"/>
      <c r="CKG148" s="18"/>
      <c r="CKH148" s="19"/>
      <c r="CKI148" s="20"/>
      <c r="CKJ148" s="20"/>
      <c r="CKK148" s="20"/>
      <c r="CKL148" s="20"/>
      <c r="CKM148" s="20"/>
      <c r="CKN148" s="20"/>
      <c r="CKO148" s="20"/>
      <c r="CKP148" s="20"/>
      <c r="CKQ148" s="20"/>
      <c r="CKR148" s="20"/>
      <c r="CKS148" s="20"/>
      <c r="CKT148" s="20"/>
      <c r="CKU148" s="20"/>
      <c r="CKV148" s="16"/>
      <c r="CKW148" s="18"/>
      <c r="CKX148" s="19"/>
      <c r="CKY148" s="20"/>
      <c r="CKZ148" s="20"/>
      <c r="CLA148" s="20"/>
      <c r="CLB148" s="20"/>
      <c r="CLC148" s="20"/>
      <c r="CLD148" s="20"/>
      <c r="CLE148" s="20"/>
      <c r="CLF148" s="20"/>
      <c r="CLG148" s="20"/>
      <c r="CLH148" s="20"/>
      <c r="CLI148" s="20"/>
      <c r="CLJ148" s="20"/>
      <c r="CLK148" s="20"/>
      <c r="CLL148" s="16"/>
      <c r="CLM148" s="18"/>
      <c r="CLN148" s="19"/>
      <c r="CLO148" s="20"/>
      <c r="CLP148" s="20"/>
      <c r="CLQ148" s="20"/>
      <c r="CLR148" s="20"/>
      <c r="CLS148" s="20"/>
      <c r="CLT148" s="20"/>
      <c r="CLU148" s="20"/>
      <c r="CLV148" s="20"/>
      <c r="CLW148" s="20"/>
      <c r="CLX148" s="20"/>
      <c r="CLY148" s="20"/>
      <c r="CLZ148" s="20"/>
      <c r="CMA148" s="20"/>
      <c r="CMB148" s="16"/>
      <c r="CMC148" s="18"/>
      <c r="CMD148" s="19"/>
      <c r="CME148" s="20"/>
      <c r="CMF148" s="20"/>
      <c r="CMG148" s="20"/>
      <c r="CMH148" s="20"/>
      <c r="CMI148" s="20"/>
      <c r="CMJ148" s="20"/>
      <c r="CMK148" s="20"/>
      <c r="CML148" s="20"/>
      <c r="CMM148" s="20"/>
      <c r="CMN148" s="20"/>
      <c r="CMO148" s="20"/>
      <c r="CMP148" s="20"/>
      <c r="CMQ148" s="20"/>
      <c r="CMR148" s="16"/>
      <c r="CMS148" s="18"/>
      <c r="CMT148" s="19"/>
      <c r="CMU148" s="20"/>
      <c r="CMV148" s="20"/>
      <c r="CMW148" s="20"/>
      <c r="CMX148" s="20"/>
      <c r="CMY148" s="20"/>
      <c r="CMZ148" s="20"/>
      <c r="CNA148" s="20"/>
      <c r="CNB148" s="20"/>
      <c r="CNC148" s="20"/>
      <c r="CND148" s="20"/>
      <c r="CNE148" s="20"/>
      <c r="CNF148" s="20"/>
      <c r="CNG148" s="20"/>
      <c r="CNH148" s="16"/>
      <c r="CNI148" s="18"/>
      <c r="CNJ148" s="19"/>
      <c r="CNK148" s="20"/>
      <c r="CNL148" s="20"/>
      <c r="CNM148" s="20"/>
      <c r="CNN148" s="20"/>
      <c r="CNO148" s="20"/>
      <c r="CNP148" s="20"/>
      <c r="CNQ148" s="20"/>
      <c r="CNR148" s="20"/>
      <c r="CNS148" s="20"/>
      <c r="CNT148" s="20"/>
      <c r="CNU148" s="20"/>
      <c r="CNV148" s="20"/>
      <c r="CNW148" s="20"/>
      <c r="CNX148" s="16"/>
      <c r="CNY148" s="18"/>
      <c r="CNZ148" s="19"/>
      <c r="COA148" s="20"/>
      <c r="COB148" s="20"/>
      <c r="COC148" s="20"/>
      <c r="COD148" s="20"/>
      <c r="COE148" s="20"/>
      <c r="COF148" s="20"/>
      <c r="COG148" s="20"/>
      <c r="COH148" s="20"/>
      <c r="COI148" s="20"/>
      <c r="COJ148" s="20"/>
      <c r="COK148" s="20"/>
      <c r="COL148" s="20"/>
      <c r="COM148" s="20"/>
      <c r="CON148" s="16"/>
      <c r="COO148" s="18"/>
      <c r="COP148" s="19"/>
      <c r="COQ148" s="20"/>
      <c r="COR148" s="20"/>
      <c r="COS148" s="20"/>
      <c r="COT148" s="20"/>
      <c r="COU148" s="20"/>
      <c r="COV148" s="20"/>
      <c r="COW148" s="20"/>
      <c r="COX148" s="20"/>
      <c r="COY148" s="20"/>
      <c r="COZ148" s="20"/>
      <c r="CPA148" s="20"/>
      <c r="CPB148" s="20"/>
      <c r="CPC148" s="20"/>
      <c r="CPD148" s="16"/>
      <c r="CPE148" s="18"/>
      <c r="CPF148" s="19"/>
      <c r="CPG148" s="20"/>
      <c r="CPH148" s="20"/>
      <c r="CPI148" s="20"/>
      <c r="CPJ148" s="20"/>
      <c r="CPK148" s="20"/>
      <c r="CPL148" s="20"/>
      <c r="CPM148" s="20"/>
      <c r="CPN148" s="20"/>
      <c r="CPO148" s="20"/>
      <c r="CPP148" s="20"/>
      <c r="CPQ148" s="20"/>
      <c r="CPR148" s="20"/>
      <c r="CPS148" s="20"/>
      <c r="CPT148" s="16"/>
      <c r="CPU148" s="18"/>
      <c r="CPV148" s="19"/>
      <c r="CPW148" s="20"/>
      <c r="CPX148" s="20"/>
      <c r="CPY148" s="20"/>
      <c r="CPZ148" s="20"/>
      <c r="CQA148" s="20"/>
      <c r="CQB148" s="20"/>
      <c r="CQC148" s="20"/>
      <c r="CQD148" s="20"/>
      <c r="CQE148" s="20"/>
      <c r="CQF148" s="20"/>
      <c r="CQG148" s="20"/>
      <c r="CQH148" s="20"/>
      <c r="CQI148" s="20"/>
      <c r="CQJ148" s="16"/>
      <c r="CQK148" s="18"/>
      <c r="CQL148" s="19"/>
      <c r="CQM148" s="20"/>
      <c r="CQN148" s="20"/>
      <c r="CQO148" s="20"/>
      <c r="CQP148" s="20"/>
      <c r="CQQ148" s="20"/>
      <c r="CQR148" s="20"/>
      <c r="CQS148" s="20"/>
      <c r="CQT148" s="20"/>
      <c r="CQU148" s="20"/>
      <c r="CQV148" s="20"/>
      <c r="CQW148" s="20"/>
      <c r="CQX148" s="20"/>
      <c r="CQY148" s="20"/>
      <c r="CQZ148" s="16"/>
      <c r="CRA148" s="18"/>
      <c r="CRB148" s="19"/>
      <c r="CRC148" s="20"/>
      <c r="CRD148" s="20"/>
      <c r="CRE148" s="20"/>
      <c r="CRF148" s="20"/>
      <c r="CRG148" s="20"/>
      <c r="CRH148" s="20"/>
      <c r="CRI148" s="20"/>
      <c r="CRJ148" s="20"/>
      <c r="CRK148" s="20"/>
      <c r="CRL148" s="20"/>
      <c r="CRM148" s="20"/>
      <c r="CRN148" s="20"/>
      <c r="CRO148" s="20"/>
      <c r="CRP148" s="16"/>
      <c r="CRQ148" s="18"/>
      <c r="CRR148" s="19"/>
      <c r="CRS148" s="20"/>
      <c r="CRT148" s="20"/>
      <c r="CRU148" s="20"/>
      <c r="CRV148" s="20"/>
      <c r="CRW148" s="20"/>
      <c r="CRX148" s="20"/>
      <c r="CRY148" s="20"/>
      <c r="CRZ148" s="20"/>
      <c r="CSA148" s="20"/>
      <c r="CSB148" s="20"/>
      <c r="CSC148" s="20"/>
      <c r="CSD148" s="20"/>
      <c r="CSE148" s="20"/>
      <c r="CSF148" s="16"/>
      <c r="CSG148" s="18"/>
      <c r="CSH148" s="19"/>
      <c r="CSI148" s="20"/>
      <c r="CSJ148" s="20"/>
      <c r="CSK148" s="20"/>
      <c r="CSL148" s="20"/>
      <c r="CSM148" s="20"/>
      <c r="CSN148" s="20"/>
      <c r="CSO148" s="20"/>
      <c r="CSP148" s="20"/>
      <c r="CSQ148" s="20"/>
      <c r="CSR148" s="20"/>
      <c r="CSS148" s="20"/>
      <c r="CST148" s="20"/>
      <c r="CSU148" s="20"/>
      <c r="CSV148" s="16"/>
      <c r="CSW148" s="18"/>
      <c r="CSX148" s="19"/>
      <c r="CSY148" s="20"/>
      <c r="CSZ148" s="20"/>
      <c r="CTA148" s="20"/>
      <c r="CTB148" s="20"/>
      <c r="CTC148" s="20"/>
      <c r="CTD148" s="20"/>
      <c r="CTE148" s="20"/>
      <c r="CTF148" s="20"/>
      <c r="CTG148" s="20"/>
      <c r="CTH148" s="20"/>
      <c r="CTI148" s="20"/>
      <c r="CTJ148" s="20"/>
      <c r="CTK148" s="20"/>
      <c r="CTL148" s="16"/>
      <c r="CTM148" s="18"/>
      <c r="CTN148" s="19"/>
      <c r="CTO148" s="20"/>
      <c r="CTP148" s="20"/>
      <c r="CTQ148" s="20"/>
      <c r="CTR148" s="20"/>
      <c r="CTS148" s="20"/>
      <c r="CTT148" s="20"/>
      <c r="CTU148" s="20"/>
      <c r="CTV148" s="20"/>
      <c r="CTW148" s="20"/>
      <c r="CTX148" s="20"/>
      <c r="CTY148" s="20"/>
      <c r="CTZ148" s="20"/>
      <c r="CUA148" s="20"/>
      <c r="CUB148" s="16"/>
      <c r="CUC148" s="18"/>
      <c r="CUD148" s="19"/>
      <c r="CUE148" s="20"/>
      <c r="CUF148" s="20"/>
      <c r="CUG148" s="20"/>
      <c r="CUH148" s="20"/>
      <c r="CUI148" s="20"/>
      <c r="CUJ148" s="20"/>
      <c r="CUK148" s="20"/>
      <c r="CUL148" s="20"/>
      <c r="CUM148" s="20"/>
      <c r="CUN148" s="20"/>
      <c r="CUO148" s="20"/>
      <c r="CUP148" s="20"/>
      <c r="CUQ148" s="20"/>
      <c r="CUR148" s="16"/>
      <c r="CUS148" s="18"/>
      <c r="CUT148" s="19"/>
      <c r="CUU148" s="20"/>
      <c r="CUV148" s="20"/>
      <c r="CUW148" s="20"/>
      <c r="CUX148" s="20"/>
      <c r="CUY148" s="20"/>
      <c r="CUZ148" s="20"/>
      <c r="CVA148" s="20"/>
      <c r="CVB148" s="20"/>
      <c r="CVC148" s="20"/>
      <c r="CVD148" s="20"/>
      <c r="CVE148" s="20"/>
      <c r="CVF148" s="20"/>
      <c r="CVG148" s="20"/>
      <c r="CVH148" s="16"/>
      <c r="CVI148" s="18"/>
      <c r="CVJ148" s="19"/>
      <c r="CVK148" s="20"/>
      <c r="CVL148" s="20"/>
      <c r="CVM148" s="20"/>
      <c r="CVN148" s="20"/>
      <c r="CVO148" s="20"/>
      <c r="CVP148" s="20"/>
      <c r="CVQ148" s="20"/>
      <c r="CVR148" s="20"/>
      <c r="CVS148" s="20"/>
      <c r="CVT148" s="20"/>
      <c r="CVU148" s="20"/>
      <c r="CVV148" s="20"/>
      <c r="CVW148" s="20"/>
      <c r="CVX148" s="16"/>
      <c r="CVY148" s="18"/>
      <c r="CVZ148" s="19"/>
      <c r="CWA148" s="20"/>
      <c r="CWB148" s="20"/>
      <c r="CWC148" s="20"/>
      <c r="CWD148" s="20"/>
      <c r="CWE148" s="20"/>
      <c r="CWF148" s="20"/>
      <c r="CWG148" s="20"/>
      <c r="CWH148" s="20"/>
      <c r="CWI148" s="20"/>
      <c r="CWJ148" s="20"/>
      <c r="CWK148" s="20"/>
      <c r="CWL148" s="20"/>
      <c r="CWM148" s="20"/>
      <c r="CWN148" s="16"/>
      <c r="CWO148" s="18"/>
      <c r="CWP148" s="19"/>
      <c r="CWQ148" s="20"/>
      <c r="CWR148" s="20"/>
      <c r="CWS148" s="20"/>
      <c r="CWT148" s="20"/>
      <c r="CWU148" s="20"/>
      <c r="CWV148" s="20"/>
      <c r="CWW148" s="20"/>
      <c r="CWX148" s="20"/>
      <c r="CWY148" s="20"/>
      <c r="CWZ148" s="20"/>
      <c r="CXA148" s="20"/>
      <c r="CXB148" s="20"/>
      <c r="CXC148" s="20"/>
      <c r="CXD148" s="16"/>
      <c r="CXE148" s="18"/>
      <c r="CXF148" s="19"/>
      <c r="CXG148" s="20"/>
      <c r="CXH148" s="20"/>
      <c r="CXI148" s="20"/>
      <c r="CXJ148" s="20"/>
      <c r="CXK148" s="20"/>
      <c r="CXL148" s="20"/>
      <c r="CXM148" s="20"/>
      <c r="CXN148" s="20"/>
      <c r="CXO148" s="20"/>
      <c r="CXP148" s="20"/>
      <c r="CXQ148" s="20"/>
      <c r="CXR148" s="20"/>
      <c r="CXS148" s="20"/>
      <c r="CXT148" s="16"/>
      <c r="CXU148" s="18"/>
      <c r="CXV148" s="19"/>
      <c r="CXW148" s="20"/>
      <c r="CXX148" s="20"/>
      <c r="CXY148" s="20"/>
      <c r="CXZ148" s="20"/>
      <c r="CYA148" s="20"/>
      <c r="CYB148" s="20"/>
      <c r="CYC148" s="20"/>
      <c r="CYD148" s="20"/>
      <c r="CYE148" s="20"/>
      <c r="CYF148" s="20"/>
      <c r="CYG148" s="20"/>
      <c r="CYH148" s="20"/>
      <c r="CYI148" s="20"/>
      <c r="CYJ148" s="16"/>
      <c r="CYK148" s="18"/>
      <c r="CYL148" s="19"/>
      <c r="CYM148" s="20"/>
      <c r="CYN148" s="20"/>
      <c r="CYO148" s="20"/>
      <c r="CYP148" s="20"/>
      <c r="CYQ148" s="20"/>
      <c r="CYR148" s="20"/>
      <c r="CYS148" s="20"/>
      <c r="CYT148" s="20"/>
      <c r="CYU148" s="20"/>
      <c r="CYV148" s="20"/>
      <c r="CYW148" s="20"/>
      <c r="CYX148" s="20"/>
      <c r="CYY148" s="20"/>
      <c r="CYZ148" s="16"/>
      <c r="CZA148" s="18"/>
      <c r="CZB148" s="19"/>
      <c r="CZC148" s="20"/>
      <c r="CZD148" s="20"/>
      <c r="CZE148" s="20"/>
      <c r="CZF148" s="20"/>
      <c r="CZG148" s="20"/>
      <c r="CZH148" s="20"/>
      <c r="CZI148" s="20"/>
      <c r="CZJ148" s="20"/>
      <c r="CZK148" s="20"/>
      <c r="CZL148" s="20"/>
      <c r="CZM148" s="20"/>
      <c r="CZN148" s="20"/>
      <c r="CZO148" s="20"/>
      <c r="CZP148" s="16"/>
      <c r="CZQ148" s="18"/>
      <c r="CZR148" s="19"/>
      <c r="CZS148" s="20"/>
      <c r="CZT148" s="20"/>
      <c r="CZU148" s="20"/>
      <c r="CZV148" s="20"/>
      <c r="CZW148" s="20"/>
      <c r="CZX148" s="20"/>
      <c r="CZY148" s="20"/>
      <c r="CZZ148" s="20"/>
      <c r="DAA148" s="20"/>
      <c r="DAB148" s="20"/>
      <c r="DAC148" s="20"/>
      <c r="DAD148" s="20"/>
      <c r="DAE148" s="20"/>
      <c r="DAF148" s="16"/>
      <c r="DAG148" s="18"/>
      <c r="DAH148" s="19"/>
      <c r="DAI148" s="20"/>
      <c r="DAJ148" s="20"/>
      <c r="DAK148" s="20"/>
      <c r="DAL148" s="20"/>
      <c r="DAM148" s="20"/>
      <c r="DAN148" s="20"/>
      <c r="DAO148" s="20"/>
      <c r="DAP148" s="20"/>
      <c r="DAQ148" s="20"/>
      <c r="DAR148" s="20"/>
      <c r="DAS148" s="20"/>
      <c r="DAT148" s="20"/>
      <c r="DAU148" s="20"/>
      <c r="DAV148" s="16"/>
      <c r="DAW148" s="18"/>
      <c r="DAX148" s="19"/>
      <c r="DAY148" s="20"/>
      <c r="DAZ148" s="20"/>
      <c r="DBA148" s="20"/>
      <c r="DBB148" s="20"/>
      <c r="DBC148" s="20"/>
      <c r="DBD148" s="20"/>
      <c r="DBE148" s="20"/>
      <c r="DBF148" s="20"/>
      <c r="DBG148" s="20"/>
      <c r="DBH148" s="20"/>
      <c r="DBI148" s="20"/>
      <c r="DBJ148" s="20"/>
      <c r="DBK148" s="20"/>
      <c r="DBL148" s="16"/>
      <c r="DBM148" s="18"/>
      <c r="DBN148" s="19"/>
      <c r="DBO148" s="20"/>
      <c r="DBP148" s="20"/>
      <c r="DBQ148" s="20"/>
      <c r="DBR148" s="20"/>
      <c r="DBS148" s="20"/>
      <c r="DBT148" s="20"/>
      <c r="DBU148" s="20"/>
      <c r="DBV148" s="20"/>
      <c r="DBW148" s="20"/>
      <c r="DBX148" s="20"/>
      <c r="DBY148" s="20"/>
      <c r="DBZ148" s="20"/>
      <c r="DCA148" s="20"/>
      <c r="DCB148" s="16"/>
      <c r="DCC148" s="18"/>
      <c r="DCD148" s="19"/>
      <c r="DCE148" s="20"/>
      <c r="DCF148" s="20"/>
      <c r="DCG148" s="20"/>
      <c r="DCH148" s="20"/>
      <c r="DCI148" s="20"/>
      <c r="DCJ148" s="20"/>
      <c r="DCK148" s="20"/>
      <c r="DCL148" s="20"/>
      <c r="DCM148" s="20"/>
      <c r="DCN148" s="20"/>
      <c r="DCO148" s="20"/>
      <c r="DCP148" s="20"/>
      <c r="DCQ148" s="20"/>
      <c r="DCR148" s="16"/>
      <c r="DCS148" s="18"/>
      <c r="DCT148" s="19"/>
      <c r="DCU148" s="20"/>
      <c r="DCV148" s="20"/>
      <c r="DCW148" s="20"/>
      <c r="DCX148" s="20"/>
      <c r="DCY148" s="20"/>
      <c r="DCZ148" s="20"/>
      <c r="DDA148" s="20"/>
      <c r="DDB148" s="20"/>
      <c r="DDC148" s="20"/>
      <c r="DDD148" s="20"/>
      <c r="DDE148" s="20"/>
      <c r="DDF148" s="20"/>
      <c r="DDG148" s="20"/>
      <c r="DDH148" s="16"/>
      <c r="DDI148" s="18"/>
      <c r="DDJ148" s="19"/>
      <c r="DDK148" s="20"/>
      <c r="DDL148" s="20"/>
      <c r="DDM148" s="20"/>
      <c r="DDN148" s="20"/>
      <c r="DDO148" s="20"/>
      <c r="DDP148" s="20"/>
      <c r="DDQ148" s="20"/>
      <c r="DDR148" s="20"/>
      <c r="DDS148" s="20"/>
      <c r="DDT148" s="20"/>
      <c r="DDU148" s="20"/>
      <c r="DDV148" s="20"/>
      <c r="DDW148" s="20"/>
      <c r="DDX148" s="16"/>
      <c r="DDY148" s="18"/>
      <c r="DDZ148" s="19"/>
      <c r="DEA148" s="20"/>
      <c r="DEB148" s="20"/>
      <c r="DEC148" s="20"/>
      <c r="DED148" s="20"/>
      <c r="DEE148" s="20"/>
      <c r="DEF148" s="20"/>
      <c r="DEG148" s="20"/>
      <c r="DEH148" s="20"/>
      <c r="DEI148" s="20"/>
      <c r="DEJ148" s="20"/>
      <c r="DEK148" s="20"/>
      <c r="DEL148" s="20"/>
      <c r="DEM148" s="20"/>
      <c r="DEN148" s="16"/>
      <c r="DEO148" s="18"/>
      <c r="DEP148" s="19"/>
      <c r="DEQ148" s="20"/>
      <c r="DER148" s="20"/>
      <c r="DES148" s="20"/>
      <c r="DET148" s="20"/>
      <c r="DEU148" s="20"/>
      <c r="DEV148" s="20"/>
      <c r="DEW148" s="20"/>
      <c r="DEX148" s="20"/>
      <c r="DEY148" s="20"/>
      <c r="DEZ148" s="20"/>
      <c r="DFA148" s="20"/>
      <c r="DFB148" s="20"/>
      <c r="DFC148" s="20"/>
      <c r="DFD148" s="16"/>
      <c r="DFE148" s="18"/>
      <c r="DFF148" s="19"/>
      <c r="DFG148" s="20"/>
      <c r="DFH148" s="20"/>
      <c r="DFI148" s="20"/>
      <c r="DFJ148" s="20"/>
      <c r="DFK148" s="20"/>
      <c r="DFL148" s="20"/>
      <c r="DFM148" s="20"/>
      <c r="DFN148" s="20"/>
      <c r="DFO148" s="20"/>
      <c r="DFP148" s="20"/>
      <c r="DFQ148" s="20"/>
      <c r="DFR148" s="20"/>
      <c r="DFS148" s="20"/>
      <c r="DFT148" s="16"/>
      <c r="DFU148" s="18"/>
      <c r="DFV148" s="19"/>
      <c r="DFW148" s="20"/>
      <c r="DFX148" s="20"/>
      <c r="DFY148" s="20"/>
      <c r="DFZ148" s="20"/>
      <c r="DGA148" s="20"/>
      <c r="DGB148" s="20"/>
      <c r="DGC148" s="20"/>
      <c r="DGD148" s="20"/>
      <c r="DGE148" s="20"/>
      <c r="DGF148" s="20"/>
      <c r="DGG148" s="20"/>
      <c r="DGH148" s="20"/>
      <c r="DGI148" s="20"/>
      <c r="DGJ148" s="16"/>
      <c r="DGK148" s="18"/>
      <c r="DGL148" s="19"/>
      <c r="DGM148" s="20"/>
      <c r="DGN148" s="20"/>
      <c r="DGO148" s="20"/>
      <c r="DGP148" s="20"/>
      <c r="DGQ148" s="20"/>
      <c r="DGR148" s="20"/>
      <c r="DGS148" s="20"/>
      <c r="DGT148" s="20"/>
      <c r="DGU148" s="20"/>
      <c r="DGV148" s="20"/>
      <c r="DGW148" s="20"/>
      <c r="DGX148" s="20"/>
      <c r="DGY148" s="20"/>
      <c r="DGZ148" s="16"/>
      <c r="DHA148" s="18"/>
      <c r="DHB148" s="19"/>
      <c r="DHC148" s="20"/>
      <c r="DHD148" s="20"/>
      <c r="DHE148" s="20"/>
      <c r="DHF148" s="20"/>
      <c r="DHG148" s="20"/>
      <c r="DHH148" s="20"/>
      <c r="DHI148" s="20"/>
      <c r="DHJ148" s="20"/>
      <c r="DHK148" s="20"/>
      <c r="DHL148" s="20"/>
      <c r="DHM148" s="20"/>
      <c r="DHN148" s="20"/>
      <c r="DHO148" s="20"/>
      <c r="DHP148" s="16"/>
      <c r="DHQ148" s="18"/>
      <c r="DHR148" s="19"/>
      <c r="DHS148" s="20"/>
      <c r="DHT148" s="20"/>
      <c r="DHU148" s="20"/>
      <c r="DHV148" s="20"/>
      <c r="DHW148" s="20"/>
      <c r="DHX148" s="20"/>
      <c r="DHY148" s="20"/>
      <c r="DHZ148" s="20"/>
      <c r="DIA148" s="20"/>
      <c r="DIB148" s="20"/>
      <c r="DIC148" s="20"/>
      <c r="DID148" s="20"/>
      <c r="DIE148" s="20"/>
      <c r="DIF148" s="16"/>
      <c r="DIG148" s="18"/>
      <c r="DIH148" s="19"/>
      <c r="DII148" s="20"/>
      <c r="DIJ148" s="20"/>
      <c r="DIK148" s="20"/>
      <c r="DIL148" s="20"/>
      <c r="DIM148" s="20"/>
      <c r="DIN148" s="20"/>
      <c r="DIO148" s="20"/>
      <c r="DIP148" s="20"/>
      <c r="DIQ148" s="20"/>
      <c r="DIR148" s="20"/>
      <c r="DIS148" s="20"/>
      <c r="DIT148" s="20"/>
      <c r="DIU148" s="20"/>
      <c r="DIV148" s="16"/>
      <c r="DIW148" s="18"/>
      <c r="DIX148" s="19"/>
      <c r="DIY148" s="20"/>
      <c r="DIZ148" s="20"/>
      <c r="DJA148" s="20"/>
      <c r="DJB148" s="20"/>
      <c r="DJC148" s="20"/>
      <c r="DJD148" s="20"/>
      <c r="DJE148" s="20"/>
      <c r="DJF148" s="20"/>
      <c r="DJG148" s="20"/>
      <c r="DJH148" s="20"/>
      <c r="DJI148" s="20"/>
      <c r="DJJ148" s="20"/>
      <c r="DJK148" s="20"/>
      <c r="DJL148" s="16"/>
      <c r="DJM148" s="18"/>
      <c r="DJN148" s="19"/>
      <c r="DJO148" s="20"/>
      <c r="DJP148" s="20"/>
      <c r="DJQ148" s="20"/>
      <c r="DJR148" s="20"/>
      <c r="DJS148" s="20"/>
      <c r="DJT148" s="20"/>
      <c r="DJU148" s="20"/>
      <c r="DJV148" s="20"/>
      <c r="DJW148" s="20"/>
      <c r="DJX148" s="20"/>
      <c r="DJY148" s="20"/>
      <c r="DJZ148" s="20"/>
      <c r="DKA148" s="20"/>
      <c r="DKB148" s="16"/>
      <c r="DKC148" s="18"/>
      <c r="DKD148" s="19"/>
      <c r="DKE148" s="20"/>
      <c r="DKF148" s="20"/>
      <c r="DKG148" s="20"/>
      <c r="DKH148" s="20"/>
      <c r="DKI148" s="20"/>
      <c r="DKJ148" s="20"/>
      <c r="DKK148" s="20"/>
      <c r="DKL148" s="20"/>
      <c r="DKM148" s="20"/>
      <c r="DKN148" s="20"/>
      <c r="DKO148" s="20"/>
      <c r="DKP148" s="20"/>
      <c r="DKQ148" s="20"/>
      <c r="DKR148" s="16"/>
      <c r="DKS148" s="18"/>
      <c r="DKT148" s="19"/>
      <c r="DKU148" s="20"/>
      <c r="DKV148" s="20"/>
      <c r="DKW148" s="20"/>
      <c r="DKX148" s="20"/>
      <c r="DKY148" s="20"/>
      <c r="DKZ148" s="20"/>
      <c r="DLA148" s="20"/>
      <c r="DLB148" s="20"/>
      <c r="DLC148" s="20"/>
      <c r="DLD148" s="20"/>
      <c r="DLE148" s="20"/>
      <c r="DLF148" s="20"/>
      <c r="DLG148" s="20"/>
      <c r="DLH148" s="16"/>
      <c r="DLI148" s="18"/>
      <c r="DLJ148" s="19"/>
      <c r="DLK148" s="20"/>
      <c r="DLL148" s="20"/>
      <c r="DLM148" s="20"/>
      <c r="DLN148" s="20"/>
      <c r="DLO148" s="20"/>
      <c r="DLP148" s="20"/>
      <c r="DLQ148" s="20"/>
      <c r="DLR148" s="20"/>
      <c r="DLS148" s="20"/>
      <c r="DLT148" s="20"/>
      <c r="DLU148" s="20"/>
      <c r="DLV148" s="20"/>
      <c r="DLW148" s="20"/>
      <c r="DLX148" s="16"/>
      <c r="DLY148" s="18"/>
      <c r="DLZ148" s="19"/>
      <c r="DMA148" s="20"/>
      <c r="DMB148" s="20"/>
      <c r="DMC148" s="20"/>
      <c r="DMD148" s="20"/>
      <c r="DME148" s="20"/>
      <c r="DMF148" s="20"/>
      <c r="DMG148" s="20"/>
      <c r="DMH148" s="20"/>
      <c r="DMI148" s="20"/>
      <c r="DMJ148" s="20"/>
      <c r="DMK148" s="20"/>
      <c r="DML148" s="20"/>
      <c r="DMM148" s="20"/>
      <c r="DMN148" s="16"/>
      <c r="DMO148" s="18"/>
      <c r="DMP148" s="19"/>
      <c r="DMQ148" s="20"/>
      <c r="DMR148" s="20"/>
      <c r="DMS148" s="20"/>
      <c r="DMT148" s="20"/>
      <c r="DMU148" s="20"/>
      <c r="DMV148" s="20"/>
      <c r="DMW148" s="20"/>
      <c r="DMX148" s="20"/>
      <c r="DMY148" s="20"/>
      <c r="DMZ148" s="20"/>
      <c r="DNA148" s="20"/>
      <c r="DNB148" s="20"/>
      <c r="DNC148" s="20"/>
      <c r="DND148" s="16"/>
      <c r="DNE148" s="18"/>
      <c r="DNF148" s="19"/>
      <c r="DNG148" s="20"/>
      <c r="DNH148" s="20"/>
      <c r="DNI148" s="20"/>
      <c r="DNJ148" s="20"/>
      <c r="DNK148" s="20"/>
      <c r="DNL148" s="20"/>
      <c r="DNM148" s="20"/>
      <c r="DNN148" s="20"/>
      <c r="DNO148" s="20"/>
      <c r="DNP148" s="20"/>
      <c r="DNQ148" s="20"/>
      <c r="DNR148" s="20"/>
      <c r="DNS148" s="20"/>
      <c r="DNT148" s="16"/>
      <c r="DNU148" s="18"/>
      <c r="DNV148" s="19"/>
      <c r="DNW148" s="20"/>
      <c r="DNX148" s="20"/>
      <c r="DNY148" s="20"/>
      <c r="DNZ148" s="20"/>
      <c r="DOA148" s="20"/>
      <c r="DOB148" s="20"/>
      <c r="DOC148" s="20"/>
      <c r="DOD148" s="20"/>
      <c r="DOE148" s="20"/>
      <c r="DOF148" s="20"/>
      <c r="DOG148" s="20"/>
      <c r="DOH148" s="20"/>
      <c r="DOI148" s="20"/>
      <c r="DOJ148" s="16"/>
      <c r="DOK148" s="18"/>
      <c r="DOL148" s="19"/>
      <c r="DOM148" s="20"/>
      <c r="DON148" s="20"/>
      <c r="DOO148" s="20"/>
      <c r="DOP148" s="20"/>
      <c r="DOQ148" s="20"/>
      <c r="DOR148" s="20"/>
      <c r="DOS148" s="20"/>
      <c r="DOT148" s="20"/>
      <c r="DOU148" s="20"/>
      <c r="DOV148" s="20"/>
      <c r="DOW148" s="20"/>
      <c r="DOX148" s="20"/>
      <c r="DOY148" s="20"/>
      <c r="DOZ148" s="16"/>
      <c r="DPA148" s="18"/>
      <c r="DPB148" s="19"/>
      <c r="DPC148" s="20"/>
      <c r="DPD148" s="20"/>
      <c r="DPE148" s="20"/>
      <c r="DPF148" s="20"/>
      <c r="DPG148" s="20"/>
      <c r="DPH148" s="20"/>
      <c r="DPI148" s="20"/>
      <c r="DPJ148" s="20"/>
      <c r="DPK148" s="20"/>
      <c r="DPL148" s="20"/>
      <c r="DPM148" s="20"/>
      <c r="DPN148" s="20"/>
      <c r="DPO148" s="20"/>
      <c r="DPP148" s="16"/>
      <c r="DPQ148" s="18"/>
      <c r="DPR148" s="19"/>
      <c r="DPS148" s="20"/>
      <c r="DPT148" s="20"/>
      <c r="DPU148" s="20"/>
      <c r="DPV148" s="20"/>
      <c r="DPW148" s="20"/>
      <c r="DPX148" s="20"/>
      <c r="DPY148" s="20"/>
      <c r="DPZ148" s="20"/>
      <c r="DQA148" s="20"/>
      <c r="DQB148" s="20"/>
      <c r="DQC148" s="20"/>
      <c r="DQD148" s="20"/>
      <c r="DQE148" s="20"/>
      <c r="DQF148" s="16"/>
      <c r="DQG148" s="18"/>
      <c r="DQH148" s="19"/>
      <c r="DQI148" s="20"/>
      <c r="DQJ148" s="20"/>
      <c r="DQK148" s="20"/>
      <c r="DQL148" s="20"/>
      <c r="DQM148" s="20"/>
      <c r="DQN148" s="20"/>
      <c r="DQO148" s="20"/>
      <c r="DQP148" s="20"/>
      <c r="DQQ148" s="20"/>
      <c r="DQR148" s="20"/>
      <c r="DQS148" s="20"/>
      <c r="DQT148" s="20"/>
      <c r="DQU148" s="20"/>
      <c r="DQV148" s="16"/>
      <c r="DQW148" s="18"/>
      <c r="DQX148" s="19"/>
      <c r="DQY148" s="20"/>
      <c r="DQZ148" s="20"/>
      <c r="DRA148" s="20"/>
      <c r="DRB148" s="20"/>
      <c r="DRC148" s="20"/>
      <c r="DRD148" s="20"/>
      <c r="DRE148" s="20"/>
      <c r="DRF148" s="20"/>
      <c r="DRG148" s="20"/>
      <c r="DRH148" s="20"/>
      <c r="DRI148" s="20"/>
      <c r="DRJ148" s="20"/>
      <c r="DRK148" s="20"/>
      <c r="DRL148" s="16"/>
      <c r="DRM148" s="18"/>
      <c r="DRN148" s="19"/>
      <c r="DRO148" s="20"/>
      <c r="DRP148" s="20"/>
      <c r="DRQ148" s="20"/>
      <c r="DRR148" s="20"/>
      <c r="DRS148" s="20"/>
      <c r="DRT148" s="20"/>
      <c r="DRU148" s="20"/>
      <c r="DRV148" s="20"/>
      <c r="DRW148" s="20"/>
      <c r="DRX148" s="20"/>
      <c r="DRY148" s="20"/>
      <c r="DRZ148" s="20"/>
      <c r="DSA148" s="20"/>
      <c r="DSB148" s="16"/>
      <c r="DSC148" s="18"/>
      <c r="DSD148" s="19"/>
      <c r="DSE148" s="20"/>
      <c r="DSF148" s="20"/>
      <c r="DSG148" s="20"/>
      <c r="DSH148" s="20"/>
      <c r="DSI148" s="20"/>
      <c r="DSJ148" s="20"/>
      <c r="DSK148" s="20"/>
      <c r="DSL148" s="20"/>
      <c r="DSM148" s="20"/>
      <c r="DSN148" s="20"/>
      <c r="DSO148" s="20"/>
      <c r="DSP148" s="20"/>
      <c r="DSQ148" s="20"/>
      <c r="DSR148" s="16"/>
      <c r="DSS148" s="18"/>
      <c r="DST148" s="19"/>
      <c r="DSU148" s="20"/>
      <c r="DSV148" s="20"/>
      <c r="DSW148" s="20"/>
      <c r="DSX148" s="20"/>
      <c r="DSY148" s="20"/>
      <c r="DSZ148" s="20"/>
      <c r="DTA148" s="20"/>
      <c r="DTB148" s="20"/>
      <c r="DTC148" s="20"/>
      <c r="DTD148" s="20"/>
      <c r="DTE148" s="20"/>
      <c r="DTF148" s="20"/>
      <c r="DTG148" s="20"/>
      <c r="DTH148" s="16"/>
      <c r="DTI148" s="18"/>
      <c r="DTJ148" s="19"/>
      <c r="DTK148" s="20"/>
      <c r="DTL148" s="20"/>
      <c r="DTM148" s="20"/>
      <c r="DTN148" s="20"/>
      <c r="DTO148" s="20"/>
      <c r="DTP148" s="20"/>
      <c r="DTQ148" s="20"/>
      <c r="DTR148" s="20"/>
      <c r="DTS148" s="20"/>
      <c r="DTT148" s="20"/>
      <c r="DTU148" s="20"/>
      <c r="DTV148" s="20"/>
      <c r="DTW148" s="20"/>
      <c r="DTX148" s="16"/>
      <c r="DTY148" s="18"/>
      <c r="DTZ148" s="19"/>
      <c r="DUA148" s="20"/>
      <c r="DUB148" s="20"/>
      <c r="DUC148" s="20"/>
      <c r="DUD148" s="20"/>
      <c r="DUE148" s="20"/>
      <c r="DUF148" s="20"/>
      <c r="DUG148" s="20"/>
      <c r="DUH148" s="20"/>
      <c r="DUI148" s="20"/>
      <c r="DUJ148" s="20"/>
      <c r="DUK148" s="20"/>
      <c r="DUL148" s="20"/>
      <c r="DUM148" s="20"/>
      <c r="DUN148" s="16"/>
      <c r="DUO148" s="18"/>
      <c r="DUP148" s="19"/>
      <c r="DUQ148" s="20"/>
      <c r="DUR148" s="20"/>
      <c r="DUS148" s="20"/>
      <c r="DUT148" s="20"/>
      <c r="DUU148" s="20"/>
      <c r="DUV148" s="20"/>
      <c r="DUW148" s="20"/>
      <c r="DUX148" s="20"/>
      <c r="DUY148" s="20"/>
      <c r="DUZ148" s="20"/>
      <c r="DVA148" s="20"/>
      <c r="DVB148" s="20"/>
      <c r="DVC148" s="20"/>
      <c r="DVD148" s="16"/>
      <c r="DVE148" s="18"/>
      <c r="DVF148" s="19"/>
      <c r="DVG148" s="20"/>
      <c r="DVH148" s="20"/>
      <c r="DVI148" s="20"/>
      <c r="DVJ148" s="20"/>
      <c r="DVK148" s="20"/>
      <c r="DVL148" s="20"/>
      <c r="DVM148" s="20"/>
      <c r="DVN148" s="20"/>
      <c r="DVO148" s="20"/>
      <c r="DVP148" s="20"/>
      <c r="DVQ148" s="20"/>
      <c r="DVR148" s="20"/>
      <c r="DVS148" s="20"/>
      <c r="DVT148" s="16"/>
      <c r="DVU148" s="18"/>
      <c r="DVV148" s="19"/>
      <c r="DVW148" s="20"/>
      <c r="DVX148" s="20"/>
      <c r="DVY148" s="20"/>
      <c r="DVZ148" s="20"/>
      <c r="DWA148" s="20"/>
      <c r="DWB148" s="20"/>
      <c r="DWC148" s="20"/>
      <c r="DWD148" s="20"/>
      <c r="DWE148" s="20"/>
      <c r="DWF148" s="20"/>
      <c r="DWG148" s="20"/>
      <c r="DWH148" s="20"/>
      <c r="DWI148" s="20"/>
      <c r="DWJ148" s="16"/>
      <c r="DWK148" s="18"/>
      <c r="DWL148" s="19"/>
      <c r="DWM148" s="20"/>
      <c r="DWN148" s="20"/>
      <c r="DWO148" s="20"/>
      <c r="DWP148" s="20"/>
      <c r="DWQ148" s="20"/>
      <c r="DWR148" s="20"/>
      <c r="DWS148" s="20"/>
      <c r="DWT148" s="20"/>
      <c r="DWU148" s="20"/>
      <c r="DWV148" s="20"/>
      <c r="DWW148" s="20"/>
      <c r="DWX148" s="20"/>
      <c r="DWY148" s="20"/>
      <c r="DWZ148" s="16"/>
      <c r="DXA148" s="18"/>
      <c r="DXB148" s="19"/>
      <c r="DXC148" s="20"/>
      <c r="DXD148" s="20"/>
      <c r="DXE148" s="20"/>
      <c r="DXF148" s="20"/>
      <c r="DXG148" s="20"/>
      <c r="DXH148" s="20"/>
      <c r="DXI148" s="20"/>
      <c r="DXJ148" s="20"/>
      <c r="DXK148" s="20"/>
      <c r="DXL148" s="20"/>
      <c r="DXM148" s="20"/>
      <c r="DXN148" s="20"/>
      <c r="DXO148" s="20"/>
      <c r="DXP148" s="16"/>
      <c r="DXQ148" s="18"/>
      <c r="DXR148" s="19"/>
      <c r="DXS148" s="20"/>
      <c r="DXT148" s="20"/>
      <c r="DXU148" s="20"/>
      <c r="DXV148" s="20"/>
      <c r="DXW148" s="20"/>
      <c r="DXX148" s="20"/>
      <c r="DXY148" s="20"/>
      <c r="DXZ148" s="20"/>
      <c r="DYA148" s="20"/>
      <c r="DYB148" s="20"/>
      <c r="DYC148" s="20"/>
      <c r="DYD148" s="20"/>
      <c r="DYE148" s="20"/>
      <c r="DYF148" s="16"/>
      <c r="DYG148" s="18"/>
      <c r="DYH148" s="19"/>
      <c r="DYI148" s="20"/>
      <c r="DYJ148" s="20"/>
      <c r="DYK148" s="20"/>
      <c r="DYL148" s="20"/>
      <c r="DYM148" s="20"/>
      <c r="DYN148" s="20"/>
      <c r="DYO148" s="20"/>
      <c r="DYP148" s="20"/>
      <c r="DYQ148" s="20"/>
      <c r="DYR148" s="20"/>
      <c r="DYS148" s="20"/>
      <c r="DYT148" s="20"/>
      <c r="DYU148" s="20"/>
      <c r="DYV148" s="16"/>
      <c r="DYW148" s="18"/>
      <c r="DYX148" s="19"/>
      <c r="DYY148" s="20"/>
      <c r="DYZ148" s="20"/>
      <c r="DZA148" s="20"/>
      <c r="DZB148" s="20"/>
      <c r="DZC148" s="20"/>
      <c r="DZD148" s="20"/>
      <c r="DZE148" s="20"/>
      <c r="DZF148" s="20"/>
      <c r="DZG148" s="20"/>
      <c r="DZH148" s="20"/>
      <c r="DZI148" s="20"/>
      <c r="DZJ148" s="20"/>
      <c r="DZK148" s="20"/>
      <c r="DZL148" s="16"/>
      <c r="DZM148" s="18"/>
      <c r="DZN148" s="19"/>
      <c r="DZO148" s="20"/>
      <c r="DZP148" s="20"/>
      <c r="DZQ148" s="20"/>
      <c r="DZR148" s="20"/>
      <c r="DZS148" s="20"/>
      <c r="DZT148" s="20"/>
      <c r="DZU148" s="20"/>
      <c r="DZV148" s="20"/>
      <c r="DZW148" s="20"/>
      <c r="DZX148" s="20"/>
      <c r="DZY148" s="20"/>
      <c r="DZZ148" s="20"/>
      <c r="EAA148" s="20"/>
      <c r="EAB148" s="16"/>
      <c r="EAC148" s="18"/>
      <c r="EAD148" s="19"/>
      <c r="EAE148" s="20"/>
      <c r="EAF148" s="20"/>
      <c r="EAG148" s="20"/>
      <c r="EAH148" s="20"/>
      <c r="EAI148" s="20"/>
      <c r="EAJ148" s="20"/>
      <c r="EAK148" s="20"/>
      <c r="EAL148" s="20"/>
      <c r="EAM148" s="20"/>
      <c r="EAN148" s="20"/>
      <c r="EAO148" s="20"/>
      <c r="EAP148" s="20"/>
      <c r="EAQ148" s="20"/>
      <c r="EAR148" s="16"/>
      <c r="EAS148" s="18"/>
      <c r="EAT148" s="19"/>
      <c r="EAU148" s="20"/>
      <c r="EAV148" s="20"/>
      <c r="EAW148" s="20"/>
      <c r="EAX148" s="20"/>
      <c r="EAY148" s="20"/>
      <c r="EAZ148" s="20"/>
      <c r="EBA148" s="20"/>
      <c r="EBB148" s="20"/>
      <c r="EBC148" s="20"/>
      <c r="EBD148" s="20"/>
      <c r="EBE148" s="20"/>
      <c r="EBF148" s="20"/>
      <c r="EBG148" s="20"/>
      <c r="EBH148" s="16"/>
      <c r="EBI148" s="18"/>
      <c r="EBJ148" s="19"/>
      <c r="EBK148" s="20"/>
      <c r="EBL148" s="20"/>
      <c r="EBM148" s="20"/>
      <c r="EBN148" s="20"/>
      <c r="EBO148" s="20"/>
      <c r="EBP148" s="20"/>
      <c r="EBQ148" s="20"/>
      <c r="EBR148" s="20"/>
      <c r="EBS148" s="20"/>
      <c r="EBT148" s="20"/>
      <c r="EBU148" s="20"/>
      <c r="EBV148" s="20"/>
      <c r="EBW148" s="20"/>
      <c r="EBX148" s="16"/>
      <c r="EBY148" s="18"/>
      <c r="EBZ148" s="19"/>
      <c r="ECA148" s="20"/>
      <c r="ECB148" s="20"/>
      <c r="ECC148" s="20"/>
      <c r="ECD148" s="20"/>
      <c r="ECE148" s="20"/>
      <c r="ECF148" s="20"/>
      <c r="ECG148" s="20"/>
      <c r="ECH148" s="20"/>
      <c r="ECI148" s="20"/>
      <c r="ECJ148" s="20"/>
      <c r="ECK148" s="20"/>
      <c r="ECL148" s="20"/>
      <c r="ECM148" s="20"/>
      <c r="ECN148" s="16"/>
      <c r="ECO148" s="18"/>
      <c r="ECP148" s="19"/>
      <c r="ECQ148" s="20"/>
      <c r="ECR148" s="20"/>
      <c r="ECS148" s="20"/>
      <c r="ECT148" s="20"/>
      <c r="ECU148" s="20"/>
      <c r="ECV148" s="20"/>
      <c r="ECW148" s="20"/>
      <c r="ECX148" s="20"/>
      <c r="ECY148" s="20"/>
      <c r="ECZ148" s="20"/>
      <c r="EDA148" s="20"/>
      <c r="EDB148" s="20"/>
      <c r="EDC148" s="20"/>
      <c r="EDD148" s="16"/>
      <c r="EDE148" s="18"/>
      <c r="EDF148" s="19"/>
      <c r="EDG148" s="20"/>
      <c r="EDH148" s="20"/>
      <c r="EDI148" s="20"/>
      <c r="EDJ148" s="20"/>
      <c r="EDK148" s="20"/>
      <c r="EDL148" s="20"/>
      <c r="EDM148" s="20"/>
      <c r="EDN148" s="20"/>
      <c r="EDO148" s="20"/>
      <c r="EDP148" s="20"/>
      <c r="EDQ148" s="20"/>
      <c r="EDR148" s="20"/>
      <c r="EDS148" s="20"/>
      <c r="EDT148" s="16"/>
      <c r="EDU148" s="18"/>
      <c r="EDV148" s="19"/>
      <c r="EDW148" s="20"/>
      <c r="EDX148" s="20"/>
      <c r="EDY148" s="20"/>
      <c r="EDZ148" s="20"/>
      <c r="EEA148" s="20"/>
      <c r="EEB148" s="20"/>
      <c r="EEC148" s="20"/>
      <c r="EED148" s="20"/>
      <c r="EEE148" s="20"/>
      <c r="EEF148" s="20"/>
      <c r="EEG148" s="20"/>
      <c r="EEH148" s="20"/>
      <c r="EEI148" s="20"/>
      <c r="EEJ148" s="16"/>
      <c r="EEK148" s="18"/>
      <c r="EEL148" s="19"/>
      <c r="EEM148" s="20"/>
      <c r="EEN148" s="20"/>
      <c r="EEO148" s="20"/>
      <c r="EEP148" s="20"/>
      <c r="EEQ148" s="20"/>
      <c r="EER148" s="20"/>
      <c r="EES148" s="20"/>
      <c r="EET148" s="20"/>
      <c r="EEU148" s="20"/>
      <c r="EEV148" s="20"/>
      <c r="EEW148" s="20"/>
      <c r="EEX148" s="20"/>
      <c r="EEY148" s="20"/>
      <c r="EEZ148" s="16"/>
      <c r="EFA148" s="18"/>
      <c r="EFB148" s="19"/>
      <c r="EFC148" s="20"/>
      <c r="EFD148" s="20"/>
      <c r="EFE148" s="20"/>
      <c r="EFF148" s="20"/>
      <c r="EFG148" s="20"/>
      <c r="EFH148" s="20"/>
      <c r="EFI148" s="20"/>
      <c r="EFJ148" s="20"/>
      <c r="EFK148" s="20"/>
      <c r="EFL148" s="20"/>
      <c r="EFM148" s="20"/>
      <c r="EFN148" s="20"/>
      <c r="EFO148" s="20"/>
      <c r="EFP148" s="16"/>
      <c r="EFQ148" s="18"/>
      <c r="EFR148" s="19"/>
      <c r="EFS148" s="20"/>
      <c r="EFT148" s="20"/>
      <c r="EFU148" s="20"/>
      <c r="EFV148" s="20"/>
      <c r="EFW148" s="20"/>
      <c r="EFX148" s="20"/>
      <c r="EFY148" s="20"/>
      <c r="EFZ148" s="20"/>
      <c r="EGA148" s="20"/>
      <c r="EGB148" s="20"/>
      <c r="EGC148" s="20"/>
      <c r="EGD148" s="20"/>
      <c r="EGE148" s="20"/>
      <c r="EGF148" s="16"/>
      <c r="EGG148" s="18"/>
      <c r="EGH148" s="19"/>
      <c r="EGI148" s="20"/>
      <c r="EGJ148" s="20"/>
      <c r="EGK148" s="20"/>
      <c r="EGL148" s="20"/>
      <c r="EGM148" s="20"/>
      <c r="EGN148" s="20"/>
      <c r="EGO148" s="20"/>
      <c r="EGP148" s="20"/>
      <c r="EGQ148" s="20"/>
      <c r="EGR148" s="20"/>
      <c r="EGS148" s="20"/>
      <c r="EGT148" s="20"/>
      <c r="EGU148" s="20"/>
      <c r="EGV148" s="16"/>
      <c r="EGW148" s="18"/>
      <c r="EGX148" s="19"/>
      <c r="EGY148" s="20"/>
      <c r="EGZ148" s="20"/>
      <c r="EHA148" s="20"/>
      <c r="EHB148" s="20"/>
      <c r="EHC148" s="20"/>
      <c r="EHD148" s="20"/>
      <c r="EHE148" s="20"/>
      <c r="EHF148" s="20"/>
      <c r="EHG148" s="20"/>
      <c r="EHH148" s="20"/>
      <c r="EHI148" s="20"/>
      <c r="EHJ148" s="20"/>
      <c r="EHK148" s="20"/>
      <c r="EHL148" s="16"/>
      <c r="EHM148" s="18"/>
      <c r="EHN148" s="19"/>
      <c r="EHO148" s="20"/>
      <c r="EHP148" s="20"/>
      <c r="EHQ148" s="20"/>
      <c r="EHR148" s="20"/>
      <c r="EHS148" s="20"/>
      <c r="EHT148" s="20"/>
      <c r="EHU148" s="20"/>
      <c r="EHV148" s="20"/>
      <c r="EHW148" s="20"/>
      <c r="EHX148" s="20"/>
      <c r="EHY148" s="20"/>
      <c r="EHZ148" s="20"/>
      <c r="EIA148" s="20"/>
      <c r="EIB148" s="16"/>
      <c r="EIC148" s="18"/>
      <c r="EID148" s="19"/>
      <c r="EIE148" s="20"/>
      <c r="EIF148" s="20"/>
      <c r="EIG148" s="20"/>
      <c r="EIH148" s="20"/>
      <c r="EII148" s="20"/>
      <c r="EIJ148" s="20"/>
      <c r="EIK148" s="20"/>
      <c r="EIL148" s="20"/>
      <c r="EIM148" s="20"/>
      <c r="EIN148" s="20"/>
      <c r="EIO148" s="20"/>
      <c r="EIP148" s="20"/>
      <c r="EIQ148" s="20"/>
      <c r="EIR148" s="16"/>
      <c r="EIS148" s="18"/>
      <c r="EIT148" s="19"/>
      <c r="EIU148" s="20"/>
      <c r="EIV148" s="20"/>
      <c r="EIW148" s="20"/>
      <c r="EIX148" s="20"/>
      <c r="EIY148" s="20"/>
      <c r="EIZ148" s="20"/>
      <c r="EJA148" s="20"/>
      <c r="EJB148" s="20"/>
      <c r="EJC148" s="20"/>
      <c r="EJD148" s="20"/>
      <c r="EJE148" s="20"/>
      <c r="EJF148" s="20"/>
      <c r="EJG148" s="20"/>
      <c r="EJH148" s="16"/>
      <c r="EJI148" s="18"/>
      <c r="EJJ148" s="19"/>
      <c r="EJK148" s="20"/>
      <c r="EJL148" s="20"/>
      <c r="EJM148" s="20"/>
      <c r="EJN148" s="20"/>
      <c r="EJO148" s="20"/>
      <c r="EJP148" s="20"/>
      <c r="EJQ148" s="20"/>
      <c r="EJR148" s="20"/>
      <c r="EJS148" s="20"/>
      <c r="EJT148" s="20"/>
      <c r="EJU148" s="20"/>
      <c r="EJV148" s="20"/>
      <c r="EJW148" s="20"/>
      <c r="EJX148" s="16"/>
      <c r="EJY148" s="18"/>
      <c r="EJZ148" s="19"/>
      <c r="EKA148" s="20"/>
      <c r="EKB148" s="20"/>
      <c r="EKC148" s="20"/>
      <c r="EKD148" s="20"/>
      <c r="EKE148" s="20"/>
      <c r="EKF148" s="20"/>
      <c r="EKG148" s="20"/>
      <c r="EKH148" s="20"/>
      <c r="EKI148" s="20"/>
      <c r="EKJ148" s="20"/>
      <c r="EKK148" s="20"/>
      <c r="EKL148" s="20"/>
      <c r="EKM148" s="20"/>
      <c r="EKN148" s="16"/>
      <c r="EKO148" s="18"/>
      <c r="EKP148" s="19"/>
      <c r="EKQ148" s="20"/>
      <c r="EKR148" s="20"/>
      <c r="EKS148" s="20"/>
      <c r="EKT148" s="20"/>
      <c r="EKU148" s="20"/>
      <c r="EKV148" s="20"/>
      <c r="EKW148" s="20"/>
      <c r="EKX148" s="20"/>
      <c r="EKY148" s="20"/>
      <c r="EKZ148" s="20"/>
      <c r="ELA148" s="20"/>
      <c r="ELB148" s="20"/>
      <c r="ELC148" s="20"/>
      <c r="ELD148" s="16"/>
      <c r="ELE148" s="18"/>
      <c r="ELF148" s="19"/>
      <c r="ELG148" s="20"/>
      <c r="ELH148" s="20"/>
      <c r="ELI148" s="20"/>
      <c r="ELJ148" s="20"/>
      <c r="ELK148" s="20"/>
      <c r="ELL148" s="20"/>
      <c r="ELM148" s="20"/>
      <c r="ELN148" s="20"/>
      <c r="ELO148" s="20"/>
      <c r="ELP148" s="20"/>
      <c r="ELQ148" s="20"/>
      <c r="ELR148" s="20"/>
      <c r="ELS148" s="20"/>
      <c r="ELT148" s="16"/>
      <c r="ELU148" s="18"/>
      <c r="ELV148" s="19"/>
      <c r="ELW148" s="20"/>
      <c r="ELX148" s="20"/>
      <c r="ELY148" s="20"/>
      <c r="ELZ148" s="20"/>
      <c r="EMA148" s="20"/>
      <c r="EMB148" s="20"/>
      <c r="EMC148" s="20"/>
      <c r="EMD148" s="20"/>
      <c r="EME148" s="20"/>
      <c r="EMF148" s="20"/>
      <c r="EMG148" s="20"/>
      <c r="EMH148" s="20"/>
      <c r="EMI148" s="20"/>
      <c r="EMJ148" s="16"/>
      <c r="EMK148" s="18"/>
      <c r="EML148" s="19"/>
      <c r="EMM148" s="20"/>
      <c r="EMN148" s="20"/>
      <c r="EMO148" s="20"/>
      <c r="EMP148" s="20"/>
      <c r="EMQ148" s="20"/>
      <c r="EMR148" s="20"/>
      <c r="EMS148" s="20"/>
      <c r="EMT148" s="20"/>
      <c r="EMU148" s="20"/>
      <c r="EMV148" s="20"/>
      <c r="EMW148" s="20"/>
      <c r="EMX148" s="20"/>
      <c r="EMY148" s="20"/>
      <c r="EMZ148" s="16"/>
      <c r="ENA148" s="18"/>
      <c r="ENB148" s="19"/>
      <c r="ENC148" s="20"/>
      <c r="END148" s="20"/>
      <c r="ENE148" s="20"/>
      <c r="ENF148" s="20"/>
      <c r="ENG148" s="20"/>
      <c r="ENH148" s="20"/>
      <c r="ENI148" s="20"/>
      <c r="ENJ148" s="20"/>
      <c r="ENK148" s="20"/>
      <c r="ENL148" s="20"/>
      <c r="ENM148" s="20"/>
      <c r="ENN148" s="20"/>
      <c r="ENO148" s="20"/>
      <c r="ENP148" s="16"/>
      <c r="ENQ148" s="18"/>
      <c r="ENR148" s="19"/>
      <c r="ENS148" s="20"/>
      <c r="ENT148" s="20"/>
      <c r="ENU148" s="20"/>
      <c r="ENV148" s="20"/>
      <c r="ENW148" s="20"/>
      <c r="ENX148" s="20"/>
      <c r="ENY148" s="20"/>
      <c r="ENZ148" s="20"/>
      <c r="EOA148" s="20"/>
      <c r="EOB148" s="20"/>
      <c r="EOC148" s="20"/>
      <c r="EOD148" s="20"/>
      <c r="EOE148" s="20"/>
      <c r="EOF148" s="16"/>
      <c r="EOG148" s="18"/>
      <c r="EOH148" s="19"/>
      <c r="EOI148" s="20"/>
      <c r="EOJ148" s="20"/>
      <c r="EOK148" s="20"/>
      <c r="EOL148" s="20"/>
      <c r="EOM148" s="20"/>
      <c r="EON148" s="20"/>
      <c r="EOO148" s="20"/>
      <c r="EOP148" s="20"/>
      <c r="EOQ148" s="20"/>
      <c r="EOR148" s="20"/>
      <c r="EOS148" s="20"/>
      <c r="EOT148" s="20"/>
      <c r="EOU148" s="20"/>
      <c r="EOV148" s="16"/>
      <c r="EOW148" s="18"/>
      <c r="EOX148" s="19"/>
      <c r="EOY148" s="20"/>
      <c r="EOZ148" s="20"/>
      <c r="EPA148" s="20"/>
      <c r="EPB148" s="20"/>
      <c r="EPC148" s="20"/>
      <c r="EPD148" s="20"/>
      <c r="EPE148" s="20"/>
      <c r="EPF148" s="20"/>
      <c r="EPG148" s="20"/>
      <c r="EPH148" s="20"/>
      <c r="EPI148" s="20"/>
      <c r="EPJ148" s="20"/>
      <c r="EPK148" s="20"/>
      <c r="EPL148" s="16"/>
      <c r="EPM148" s="18"/>
      <c r="EPN148" s="19"/>
      <c r="EPO148" s="20"/>
      <c r="EPP148" s="20"/>
      <c r="EPQ148" s="20"/>
      <c r="EPR148" s="20"/>
      <c r="EPS148" s="20"/>
      <c r="EPT148" s="20"/>
      <c r="EPU148" s="20"/>
      <c r="EPV148" s="20"/>
      <c r="EPW148" s="20"/>
      <c r="EPX148" s="20"/>
      <c r="EPY148" s="20"/>
      <c r="EPZ148" s="20"/>
      <c r="EQA148" s="20"/>
      <c r="EQB148" s="16"/>
      <c r="EQC148" s="18"/>
      <c r="EQD148" s="19"/>
      <c r="EQE148" s="20"/>
      <c r="EQF148" s="20"/>
      <c r="EQG148" s="20"/>
      <c r="EQH148" s="20"/>
      <c r="EQI148" s="20"/>
      <c r="EQJ148" s="20"/>
      <c r="EQK148" s="20"/>
      <c r="EQL148" s="20"/>
      <c r="EQM148" s="20"/>
      <c r="EQN148" s="20"/>
      <c r="EQO148" s="20"/>
      <c r="EQP148" s="20"/>
      <c r="EQQ148" s="20"/>
      <c r="EQR148" s="16"/>
      <c r="EQS148" s="18"/>
      <c r="EQT148" s="19"/>
      <c r="EQU148" s="20"/>
      <c r="EQV148" s="20"/>
      <c r="EQW148" s="20"/>
      <c r="EQX148" s="20"/>
      <c r="EQY148" s="20"/>
      <c r="EQZ148" s="20"/>
      <c r="ERA148" s="20"/>
      <c r="ERB148" s="20"/>
      <c r="ERC148" s="20"/>
      <c r="ERD148" s="20"/>
      <c r="ERE148" s="20"/>
      <c r="ERF148" s="20"/>
      <c r="ERG148" s="20"/>
      <c r="ERH148" s="16"/>
      <c r="ERI148" s="18"/>
      <c r="ERJ148" s="19"/>
      <c r="ERK148" s="20"/>
      <c r="ERL148" s="20"/>
      <c r="ERM148" s="20"/>
      <c r="ERN148" s="20"/>
      <c r="ERO148" s="20"/>
      <c r="ERP148" s="20"/>
      <c r="ERQ148" s="20"/>
      <c r="ERR148" s="20"/>
      <c r="ERS148" s="20"/>
      <c r="ERT148" s="20"/>
      <c r="ERU148" s="20"/>
      <c r="ERV148" s="20"/>
      <c r="ERW148" s="20"/>
      <c r="ERX148" s="16"/>
      <c r="ERY148" s="18"/>
      <c r="ERZ148" s="19"/>
      <c r="ESA148" s="20"/>
      <c r="ESB148" s="20"/>
      <c r="ESC148" s="20"/>
      <c r="ESD148" s="20"/>
      <c r="ESE148" s="20"/>
      <c r="ESF148" s="20"/>
      <c r="ESG148" s="20"/>
      <c r="ESH148" s="20"/>
      <c r="ESI148" s="20"/>
      <c r="ESJ148" s="20"/>
      <c r="ESK148" s="20"/>
      <c r="ESL148" s="20"/>
      <c r="ESM148" s="20"/>
      <c r="ESN148" s="16"/>
      <c r="ESO148" s="18"/>
      <c r="ESP148" s="19"/>
      <c r="ESQ148" s="20"/>
      <c r="ESR148" s="20"/>
      <c r="ESS148" s="20"/>
      <c r="EST148" s="20"/>
      <c r="ESU148" s="20"/>
      <c r="ESV148" s="20"/>
      <c r="ESW148" s="20"/>
      <c r="ESX148" s="20"/>
      <c r="ESY148" s="20"/>
      <c r="ESZ148" s="20"/>
      <c r="ETA148" s="20"/>
      <c r="ETB148" s="20"/>
      <c r="ETC148" s="20"/>
      <c r="ETD148" s="16"/>
      <c r="ETE148" s="18"/>
      <c r="ETF148" s="19"/>
      <c r="ETG148" s="20"/>
      <c r="ETH148" s="20"/>
      <c r="ETI148" s="20"/>
      <c r="ETJ148" s="20"/>
      <c r="ETK148" s="20"/>
      <c r="ETL148" s="20"/>
      <c r="ETM148" s="20"/>
      <c r="ETN148" s="20"/>
      <c r="ETO148" s="20"/>
      <c r="ETP148" s="20"/>
      <c r="ETQ148" s="20"/>
      <c r="ETR148" s="20"/>
      <c r="ETS148" s="20"/>
      <c r="ETT148" s="16"/>
      <c r="ETU148" s="18"/>
      <c r="ETV148" s="19"/>
      <c r="ETW148" s="20"/>
      <c r="ETX148" s="20"/>
      <c r="ETY148" s="20"/>
      <c r="ETZ148" s="20"/>
      <c r="EUA148" s="20"/>
      <c r="EUB148" s="20"/>
      <c r="EUC148" s="20"/>
      <c r="EUD148" s="20"/>
      <c r="EUE148" s="20"/>
      <c r="EUF148" s="20"/>
      <c r="EUG148" s="20"/>
      <c r="EUH148" s="20"/>
      <c r="EUI148" s="20"/>
      <c r="EUJ148" s="16"/>
      <c r="EUK148" s="18"/>
      <c r="EUL148" s="19"/>
      <c r="EUM148" s="20"/>
      <c r="EUN148" s="20"/>
      <c r="EUO148" s="20"/>
      <c r="EUP148" s="20"/>
      <c r="EUQ148" s="20"/>
      <c r="EUR148" s="20"/>
      <c r="EUS148" s="20"/>
      <c r="EUT148" s="20"/>
      <c r="EUU148" s="20"/>
      <c r="EUV148" s="20"/>
      <c r="EUW148" s="20"/>
      <c r="EUX148" s="20"/>
      <c r="EUY148" s="20"/>
      <c r="EUZ148" s="16"/>
      <c r="EVA148" s="18"/>
      <c r="EVB148" s="19"/>
      <c r="EVC148" s="20"/>
      <c r="EVD148" s="20"/>
      <c r="EVE148" s="20"/>
      <c r="EVF148" s="20"/>
      <c r="EVG148" s="20"/>
      <c r="EVH148" s="20"/>
      <c r="EVI148" s="20"/>
      <c r="EVJ148" s="20"/>
      <c r="EVK148" s="20"/>
      <c r="EVL148" s="20"/>
      <c r="EVM148" s="20"/>
      <c r="EVN148" s="20"/>
      <c r="EVO148" s="20"/>
      <c r="EVP148" s="16"/>
      <c r="EVQ148" s="18"/>
      <c r="EVR148" s="19"/>
      <c r="EVS148" s="20"/>
      <c r="EVT148" s="20"/>
      <c r="EVU148" s="20"/>
      <c r="EVV148" s="20"/>
      <c r="EVW148" s="20"/>
      <c r="EVX148" s="20"/>
      <c r="EVY148" s="20"/>
      <c r="EVZ148" s="20"/>
      <c r="EWA148" s="20"/>
      <c r="EWB148" s="20"/>
      <c r="EWC148" s="20"/>
      <c r="EWD148" s="20"/>
      <c r="EWE148" s="20"/>
      <c r="EWF148" s="16"/>
      <c r="EWG148" s="18"/>
      <c r="EWH148" s="19"/>
      <c r="EWI148" s="20"/>
      <c r="EWJ148" s="20"/>
      <c r="EWK148" s="20"/>
      <c r="EWL148" s="20"/>
      <c r="EWM148" s="20"/>
      <c r="EWN148" s="20"/>
      <c r="EWO148" s="20"/>
      <c r="EWP148" s="20"/>
      <c r="EWQ148" s="20"/>
      <c r="EWR148" s="20"/>
      <c r="EWS148" s="20"/>
      <c r="EWT148" s="20"/>
      <c r="EWU148" s="20"/>
      <c r="EWV148" s="16"/>
      <c r="EWW148" s="18"/>
      <c r="EWX148" s="19"/>
      <c r="EWY148" s="20"/>
      <c r="EWZ148" s="20"/>
      <c r="EXA148" s="20"/>
      <c r="EXB148" s="20"/>
      <c r="EXC148" s="20"/>
      <c r="EXD148" s="20"/>
      <c r="EXE148" s="20"/>
      <c r="EXF148" s="20"/>
      <c r="EXG148" s="20"/>
      <c r="EXH148" s="20"/>
      <c r="EXI148" s="20"/>
      <c r="EXJ148" s="20"/>
      <c r="EXK148" s="20"/>
      <c r="EXL148" s="16"/>
      <c r="EXM148" s="18"/>
      <c r="EXN148" s="19"/>
      <c r="EXO148" s="20"/>
      <c r="EXP148" s="20"/>
      <c r="EXQ148" s="20"/>
      <c r="EXR148" s="20"/>
      <c r="EXS148" s="20"/>
      <c r="EXT148" s="20"/>
      <c r="EXU148" s="20"/>
      <c r="EXV148" s="20"/>
      <c r="EXW148" s="20"/>
      <c r="EXX148" s="20"/>
      <c r="EXY148" s="20"/>
      <c r="EXZ148" s="20"/>
      <c r="EYA148" s="20"/>
      <c r="EYB148" s="16"/>
      <c r="EYC148" s="18"/>
      <c r="EYD148" s="19"/>
      <c r="EYE148" s="20"/>
      <c r="EYF148" s="20"/>
      <c r="EYG148" s="20"/>
      <c r="EYH148" s="20"/>
      <c r="EYI148" s="20"/>
      <c r="EYJ148" s="20"/>
      <c r="EYK148" s="20"/>
      <c r="EYL148" s="20"/>
      <c r="EYM148" s="20"/>
      <c r="EYN148" s="20"/>
      <c r="EYO148" s="20"/>
      <c r="EYP148" s="20"/>
      <c r="EYQ148" s="20"/>
      <c r="EYR148" s="16"/>
      <c r="EYS148" s="18"/>
      <c r="EYT148" s="19"/>
      <c r="EYU148" s="20"/>
      <c r="EYV148" s="20"/>
      <c r="EYW148" s="20"/>
      <c r="EYX148" s="20"/>
      <c r="EYY148" s="20"/>
      <c r="EYZ148" s="20"/>
      <c r="EZA148" s="20"/>
      <c r="EZB148" s="20"/>
      <c r="EZC148" s="20"/>
      <c r="EZD148" s="20"/>
      <c r="EZE148" s="20"/>
      <c r="EZF148" s="20"/>
      <c r="EZG148" s="20"/>
      <c r="EZH148" s="16"/>
      <c r="EZI148" s="18"/>
      <c r="EZJ148" s="19"/>
      <c r="EZK148" s="20"/>
      <c r="EZL148" s="20"/>
      <c r="EZM148" s="20"/>
      <c r="EZN148" s="20"/>
      <c r="EZO148" s="20"/>
      <c r="EZP148" s="20"/>
      <c r="EZQ148" s="20"/>
      <c r="EZR148" s="20"/>
      <c r="EZS148" s="20"/>
      <c r="EZT148" s="20"/>
      <c r="EZU148" s="20"/>
      <c r="EZV148" s="20"/>
      <c r="EZW148" s="20"/>
      <c r="EZX148" s="16"/>
      <c r="EZY148" s="18"/>
      <c r="EZZ148" s="19"/>
      <c r="FAA148" s="20"/>
      <c r="FAB148" s="20"/>
      <c r="FAC148" s="20"/>
      <c r="FAD148" s="20"/>
      <c r="FAE148" s="20"/>
      <c r="FAF148" s="20"/>
      <c r="FAG148" s="20"/>
      <c r="FAH148" s="20"/>
      <c r="FAI148" s="20"/>
      <c r="FAJ148" s="20"/>
      <c r="FAK148" s="20"/>
      <c r="FAL148" s="20"/>
      <c r="FAM148" s="20"/>
      <c r="FAN148" s="16"/>
      <c r="FAO148" s="18"/>
      <c r="FAP148" s="19"/>
      <c r="FAQ148" s="20"/>
      <c r="FAR148" s="20"/>
      <c r="FAS148" s="20"/>
      <c r="FAT148" s="20"/>
      <c r="FAU148" s="20"/>
      <c r="FAV148" s="20"/>
      <c r="FAW148" s="20"/>
      <c r="FAX148" s="20"/>
      <c r="FAY148" s="20"/>
      <c r="FAZ148" s="20"/>
      <c r="FBA148" s="20"/>
      <c r="FBB148" s="20"/>
      <c r="FBC148" s="20"/>
      <c r="FBD148" s="16"/>
      <c r="FBE148" s="18"/>
      <c r="FBF148" s="19"/>
      <c r="FBG148" s="20"/>
      <c r="FBH148" s="20"/>
      <c r="FBI148" s="20"/>
      <c r="FBJ148" s="20"/>
      <c r="FBK148" s="20"/>
      <c r="FBL148" s="20"/>
      <c r="FBM148" s="20"/>
      <c r="FBN148" s="20"/>
      <c r="FBO148" s="20"/>
      <c r="FBP148" s="20"/>
      <c r="FBQ148" s="20"/>
      <c r="FBR148" s="20"/>
      <c r="FBS148" s="20"/>
      <c r="FBT148" s="16"/>
      <c r="FBU148" s="18"/>
      <c r="FBV148" s="19"/>
      <c r="FBW148" s="20"/>
      <c r="FBX148" s="20"/>
      <c r="FBY148" s="20"/>
      <c r="FBZ148" s="20"/>
      <c r="FCA148" s="20"/>
      <c r="FCB148" s="20"/>
      <c r="FCC148" s="20"/>
      <c r="FCD148" s="20"/>
      <c r="FCE148" s="20"/>
      <c r="FCF148" s="20"/>
      <c r="FCG148" s="20"/>
      <c r="FCH148" s="20"/>
      <c r="FCI148" s="20"/>
      <c r="FCJ148" s="16"/>
      <c r="FCK148" s="18"/>
      <c r="FCL148" s="19"/>
      <c r="FCM148" s="20"/>
      <c r="FCN148" s="20"/>
      <c r="FCO148" s="20"/>
      <c r="FCP148" s="20"/>
      <c r="FCQ148" s="20"/>
      <c r="FCR148" s="20"/>
      <c r="FCS148" s="20"/>
      <c r="FCT148" s="20"/>
      <c r="FCU148" s="20"/>
      <c r="FCV148" s="20"/>
      <c r="FCW148" s="20"/>
      <c r="FCX148" s="20"/>
      <c r="FCY148" s="20"/>
      <c r="FCZ148" s="16"/>
      <c r="FDA148" s="18"/>
      <c r="FDB148" s="19"/>
      <c r="FDC148" s="20"/>
      <c r="FDD148" s="20"/>
      <c r="FDE148" s="20"/>
      <c r="FDF148" s="20"/>
      <c r="FDG148" s="20"/>
      <c r="FDH148" s="20"/>
      <c r="FDI148" s="20"/>
      <c r="FDJ148" s="20"/>
      <c r="FDK148" s="20"/>
      <c r="FDL148" s="20"/>
      <c r="FDM148" s="20"/>
      <c r="FDN148" s="20"/>
      <c r="FDO148" s="20"/>
      <c r="FDP148" s="16"/>
      <c r="FDQ148" s="18"/>
      <c r="FDR148" s="19"/>
      <c r="FDS148" s="20"/>
      <c r="FDT148" s="20"/>
      <c r="FDU148" s="20"/>
      <c r="FDV148" s="20"/>
      <c r="FDW148" s="20"/>
      <c r="FDX148" s="20"/>
      <c r="FDY148" s="20"/>
      <c r="FDZ148" s="20"/>
      <c r="FEA148" s="20"/>
      <c r="FEB148" s="20"/>
      <c r="FEC148" s="20"/>
      <c r="FED148" s="20"/>
      <c r="FEE148" s="20"/>
      <c r="FEF148" s="16"/>
      <c r="FEG148" s="18"/>
      <c r="FEH148" s="19"/>
      <c r="FEI148" s="20"/>
      <c r="FEJ148" s="20"/>
      <c r="FEK148" s="20"/>
      <c r="FEL148" s="20"/>
      <c r="FEM148" s="20"/>
      <c r="FEN148" s="20"/>
      <c r="FEO148" s="20"/>
      <c r="FEP148" s="20"/>
      <c r="FEQ148" s="20"/>
      <c r="FER148" s="20"/>
      <c r="FES148" s="20"/>
      <c r="FET148" s="20"/>
      <c r="FEU148" s="20"/>
      <c r="FEV148" s="16"/>
      <c r="FEW148" s="18"/>
      <c r="FEX148" s="19"/>
      <c r="FEY148" s="20"/>
      <c r="FEZ148" s="20"/>
      <c r="FFA148" s="20"/>
      <c r="FFB148" s="20"/>
      <c r="FFC148" s="20"/>
      <c r="FFD148" s="20"/>
      <c r="FFE148" s="20"/>
      <c r="FFF148" s="20"/>
      <c r="FFG148" s="20"/>
      <c r="FFH148" s="20"/>
      <c r="FFI148" s="20"/>
      <c r="FFJ148" s="20"/>
      <c r="FFK148" s="20"/>
      <c r="FFL148" s="16"/>
      <c r="FFM148" s="18"/>
      <c r="FFN148" s="19"/>
      <c r="FFO148" s="20"/>
      <c r="FFP148" s="20"/>
      <c r="FFQ148" s="20"/>
      <c r="FFR148" s="20"/>
      <c r="FFS148" s="20"/>
      <c r="FFT148" s="20"/>
      <c r="FFU148" s="20"/>
      <c r="FFV148" s="20"/>
      <c r="FFW148" s="20"/>
      <c r="FFX148" s="20"/>
      <c r="FFY148" s="20"/>
      <c r="FFZ148" s="20"/>
      <c r="FGA148" s="20"/>
      <c r="FGB148" s="16"/>
      <c r="FGC148" s="18"/>
      <c r="FGD148" s="19"/>
      <c r="FGE148" s="20"/>
      <c r="FGF148" s="20"/>
      <c r="FGG148" s="20"/>
      <c r="FGH148" s="20"/>
      <c r="FGI148" s="20"/>
      <c r="FGJ148" s="20"/>
      <c r="FGK148" s="20"/>
      <c r="FGL148" s="20"/>
      <c r="FGM148" s="20"/>
      <c r="FGN148" s="20"/>
      <c r="FGO148" s="20"/>
      <c r="FGP148" s="20"/>
      <c r="FGQ148" s="20"/>
      <c r="FGR148" s="16"/>
      <c r="FGS148" s="18"/>
      <c r="FGT148" s="19"/>
      <c r="FGU148" s="20"/>
      <c r="FGV148" s="20"/>
      <c r="FGW148" s="20"/>
      <c r="FGX148" s="20"/>
      <c r="FGY148" s="20"/>
      <c r="FGZ148" s="20"/>
      <c r="FHA148" s="20"/>
      <c r="FHB148" s="20"/>
      <c r="FHC148" s="20"/>
      <c r="FHD148" s="20"/>
      <c r="FHE148" s="20"/>
      <c r="FHF148" s="20"/>
      <c r="FHG148" s="20"/>
      <c r="FHH148" s="16"/>
      <c r="FHI148" s="18"/>
      <c r="FHJ148" s="19"/>
      <c r="FHK148" s="20"/>
      <c r="FHL148" s="20"/>
      <c r="FHM148" s="20"/>
      <c r="FHN148" s="20"/>
      <c r="FHO148" s="20"/>
      <c r="FHP148" s="20"/>
      <c r="FHQ148" s="20"/>
      <c r="FHR148" s="20"/>
      <c r="FHS148" s="20"/>
      <c r="FHT148" s="20"/>
      <c r="FHU148" s="20"/>
      <c r="FHV148" s="20"/>
      <c r="FHW148" s="20"/>
      <c r="FHX148" s="16"/>
      <c r="FHY148" s="18"/>
      <c r="FHZ148" s="19"/>
      <c r="FIA148" s="20"/>
      <c r="FIB148" s="20"/>
      <c r="FIC148" s="20"/>
      <c r="FID148" s="20"/>
      <c r="FIE148" s="20"/>
      <c r="FIF148" s="20"/>
      <c r="FIG148" s="20"/>
      <c r="FIH148" s="20"/>
      <c r="FII148" s="20"/>
      <c r="FIJ148" s="20"/>
      <c r="FIK148" s="20"/>
      <c r="FIL148" s="20"/>
      <c r="FIM148" s="20"/>
      <c r="FIN148" s="16"/>
      <c r="FIO148" s="18"/>
      <c r="FIP148" s="19"/>
      <c r="FIQ148" s="20"/>
      <c r="FIR148" s="20"/>
      <c r="FIS148" s="20"/>
      <c r="FIT148" s="20"/>
      <c r="FIU148" s="20"/>
      <c r="FIV148" s="20"/>
      <c r="FIW148" s="20"/>
      <c r="FIX148" s="20"/>
      <c r="FIY148" s="20"/>
      <c r="FIZ148" s="20"/>
      <c r="FJA148" s="20"/>
      <c r="FJB148" s="20"/>
      <c r="FJC148" s="20"/>
      <c r="FJD148" s="16"/>
      <c r="FJE148" s="18"/>
      <c r="FJF148" s="19"/>
      <c r="FJG148" s="20"/>
      <c r="FJH148" s="20"/>
      <c r="FJI148" s="20"/>
      <c r="FJJ148" s="20"/>
      <c r="FJK148" s="20"/>
      <c r="FJL148" s="20"/>
      <c r="FJM148" s="20"/>
      <c r="FJN148" s="20"/>
      <c r="FJO148" s="20"/>
      <c r="FJP148" s="20"/>
      <c r="FJQ148" s="20"/>
      <c r="FJR148" s="20"/>
      <c r="FJS148" s="20"/>
      <c r="FJT148" s="16"/>
      <c r="FJU148" s="18"/>
      <c r="FJV148" s="19"/>
      <c r="FJW148" s="20"/>
      <c r="FJX148" s="20"/>
      <c r="FJY148" s="20"/>
      <c r="FJZ148" s="20"/>
      <c r="FKA148" s="20"/>
      <c r="FKB148" s="20"/>
      <c r="FKC148" s="20"/>
      <c r="FKD148" s="20"/>
      <c r="FKE148" s="20"/>
      <c r="FKF148" s="20"/>
      <c r="FKG148" s="20"/>
      <c r="FKH148" s="20"/>
      <c r="FKI148" s="20"/>
      <c r="FKJ148" s="16"/>
      <c r="FKK148" s="18"/>
      <c r="FKL148" s="19"/>
      <c r="FKM148" s="20"/>
      <c r="FKN148" s="20"/>
      <c r="FKO148" s="20"/>
      <c r="FKP148" s="20"/>
      <c r="FKQ148" s="20"/>
      <c r="FKR148" s="20"/>
      <c r="FKS148" s="20"/>
      <c r="FKT148" s="20"/>
      <c r="FKU148" s="20"/>
      <c r="FKV148" s="20"/>
      <c r="FKW148" s="20"/>
      <c r="FKX148" s="20"/>
      <c r="FKY148" s="20"/>
      <c r="FKZ148" s="16"/>
      <c r="FLA148" s="18"/>
      <c r="FLB148" s="19"/>
      <c r="FLC148" s="20"/>
      <c r="FLD148" s="20"/>
      <c r="FLE148" s="20"/>
      <c r="FLF148" s="20"/>
      <c r="FLG148" s="20"/>
      <c r="FLH148" s="20"/>
      <c r="FLI148" s="20"/>
      <c r="FLJ148" s="20"/>
      <c r="FLK148" s="20"/>
      <c r="FLL148" s="20"/>
      <c r="FLM148" s="20"/>
      <c r="FLN148" s="20"/>
      <c r="FLO148" s="20"/>
      <c r="FLP148" s="16"/>
      <c r="FLQ148" s="18"/>
      <c r="FLR148" s="19"/>
      <c r="FLS148" s="20"/>
      <c r="FLT148" s="20"/>
      <c r="FLU148" s="20"/>
      <c r="FLV148" s="20"/>
      <c r="FLW148" s="20"/>
      <c r="FLX148" s="20"/>
      <c r="FLY148" s="20"/>
      <c r="FLZ148" s="20"/>
      <c r="FMA148" s="20"/>
      <c r="FMB148" s="20"/>
      <c r="FMC148" s="20"/>
      <c r="FMD148" s="20"/>
      <c r="FME148" s="20"/>
      <c r="FMF148" s="16"/>
      <c r="FMG148" s="18"/>
      <c r="FMH148" s="19"/>
      <c r="FMI148" s="20"/>
      <c r="FMJ148" s="20"/>
      <c r="FMK148" s="20"/>
      <c r="FML148" s="20"/>
      <c r="FMM148" s="20"/>
      <c r="FMN148" s="20"/>
      <c r="FMO148" s="20"/>
      <c r="FMP148" s="20"/>
      <c r="FMQ148" s="20"/>
      <c r="FMR148" s="20"/>
      <c r="FMS148" s="20"/>
      <c r="FMT148" s="20"/>
      <c r="FMU148" s="20"/>
      <c r="FMV148" s="16"/>
      <c r="FMW148" s="18"/>
      <c r="FMX148" s="19"/>
      <c r="FMY148" s="20"/>
      <c r="FMZ148" s="20"/>
      <c r="FNA148" s="20"/>
      <c r="FNB148" s="20"/>
      <c r="FNC148" s="20"/>
      <c r="FND148" s="20"/>
      <c r="FNE148" s="20"/>
      <c r="FNF148" s="20"/>
      <c r="FNG148" s="20"/>
      <c r="FNH148" s="20"/>
      <c r="FNI148" s="20"/>
      <c r="FNJ148" s="20"/>
      <c r="FNK148" s="20"/>
      <c r="FNL148" s="16"/>
      <c r="FNM148" s="18"/>
      <c r="FNN148" s="19"/>
      <c r="FNO148" s="20"/>
      <c r="FNP148" s="20"/>
      <c r="FNQ148" s="20"/>
      <c r="FNR148" s="20"/>
      <c r="FNS148" s="20"/>
      <c r="FNT148" s="20"/>
      <c r="FNU148" s="20"/>
      <c r="FNV148" s="20"/>
      <c r="FNW148" s="20"/>
      <c r="FNX148" s="20"/>
      <c r="FNY148" s="20"/>
      <c r="FNZ148" s="20"/>
      <c r="FOA148" s="20"/>
      <c r="FOB148" s="16"/>
      <c r="FOC148" s="18"/>
      <c r="FOD148" s="19"/>
      <c r="FOE148" s="20"/>
      <c r="FOF148" s="20"/>
      <c r="FOG148" s="20"/>
      <c r="FOH148" s="20"/>
      <c r="FOI148" s="20"/>
      <c r="FOJ148" s="20"/>
      <c r="FOK148" s="20"/>
      <c r="FOL148" s="20"/>
      <c r="FOM148" s="20"/>
      <c r="FON148" s="20"/>
      <c r="FOO148" s="20"/>
      <c r="FOP148" s="20"/>
      <c r="FOQ148" s="20"/>
      <c r="FOR148" s="16"/>
      <c r="FOS148" s="18"/>
      <c r="FOT148" s="19"/>
      <c r="FOU148" s="20"/>
      <c r="FOV148" s="20"/>
      <c r="FOW148" s="20"/>
      <c r="FOX148" s="20"/>
      <c r="FOY148" s="20"/>
      <c r="FOZ148" s="20"/>
      <c r="FPA148" s="20"/>
      <c r="FPB148" s="20"/>
      <c r="FPC148" s="20"/>
      <c r="FPD148" s="20"/>
      <c r="FPE148" s="20"/>
      <c r="FPF148" s="20"/>
      <c r="FPG148" s="20"/>
      <c r="FPH148" s="16"/>
      <c r="FPI148" s="18"/>
      <c r="FPJ148" s="19"/>
      <c r="FPK148" s="20"/>
      <c r="FPL148" s="20"/>
      <c r="FPM148" s="20"/>
      <c r="FPN148" s="20"/>
      <c r="FPO148" s="20"/>
      <c r="FPP148" s="20"/>
      <c r="FPQ148" s="20"/>
      <c r="FPR148" s="20"/>
      <c r="FPS148" s="20"/>
      <c r="FPT148" s="20"/>
      <c r="FPU148" s="20"/>
      <c r="FPV148" s="20"/>
      <c r="FPW148" s="20"/>
      <c r="FPX148" s="16"/>
      <c r="FPY148" s="18"/>
      <c r="FPZ148" s="19"/>
      <c r="FQA148" s="20"/>
      <c r="FQB148" s="20"/>
      <c r="FQC148" s="20"/>
      <c r="FQD148" s="20"/>
      <c r="FQE148" s="20"/>
      <c r="FQF148" s="20"/>
      <c r="FQG148" s="20"/>
      <c r="FQH148" s="20"/>
      <c r="FQI148" s="20"/>
      <c r="FQJ148" s="20"/>
      <c r="FQK148" s="20"/>
      <c r="FQL148" s="20"/>
      <c r="FQM148" s="20"/>
      <c r="FQN148" s="16"/>
      <c r="FQO148" s="18"/>
      <c r="FQP148" s="19"/>
      <c r="FQQ148" s="20"/>
      <c r="FQR148" s="20"/>
      <c r="FQS148" s="20"/>
      <c r="FQT148" s="20"/>
      <c r="FQU148" s="20"/>
      <c r="FQV148" s="20"/>
      <c r="FQW148" s="20"/>
      <c r="FQX148" s="20"/>
      <c r="FQY148" s="20"/>
      <c r="FQZ148" s="20"/>
      <c r="FRA148" s="20"/>
      <c r="FRB148" s="20"/>
      <c r="FRC148" s="20"/>
      <c r="FRD148" s="16"/>
      <c r="FRE148" s="18"/>
      <c r="FRF148" s="19"/>
      <c r="FRG148" s="20"/>
      <c r="FRH148" s="20"/>
      <c r="FRI148" s="20"/>
      <c r="FRJ148" s="20"/>
      <c r="FRK148" s="20"/>
      <c r="FRL148" s="20"/>
      <c r="FRM148" s="20"/>
      <c r="FRN148" s="20"/>
      <c r="FRO148" s="20"/>
      <c r="FRP148" s="20"/>
      <c r="FRQ148" s="20"/>
      <c r="FRR148" s="20"/>
      <c r="FRS148" s="20"/>
      <c r="FRT148" s="16"/>
      <c r="FRU148" s="18"/>
      <c r="FRV148" s="19"/>
      <c r="FRW148" s="20"/>
      <c r="FRX148" s="20"/>
      <c r="FRY148" s="20"/>
      <c r="FRZ148" s="20"/>
      <c r="FSA148" s="20"/>
      <c r="FSB148" s="20"/>
      <c r="FSC148" s="20"/>
      <c r="FSD148" s="20"/>
      <c r="FSE148" s="20"/>
      <c r="FSF148" s="20"/>
      <c r="FSG148" s="20"/>
      <c r="FSH148" s="20"/>
      <c r="FSI148" s="20"/>
      <c r="FSJ148" s="16"/>
      <c r="FSK148" s="18"/>
      <c r="FSL148" s="19"/>
      <c r="FSM148" s="20"/>
      <c r="FSN148" s="20"/>
      <c r="FSO148" s="20"/>
      <c r="FSP148" s="20"/>
      <c r="FSQ148" s="20"/>
      <c r="FSR148" s="20"/>
      <c r="FSS148" s="20"/>
      <c r="FST148" s="20"/>
      <c r="FSU148" s="20"/>
      <c r="FSV148" s="20"/>
      <c r="FSW148" s="20"/>
      <c r="FSX148" s="20"/>
      <c r="FSY148" s="20"/>
      <c r="FSZ148" s="16"/>
      <c r="FTA148" s="18"/>
      <c r="FTB148" s="19"/>
      <c r="FTC148" s="20"/>
      <c r="FTD148" s="20"/>
      <c r="FTE148" s="20"/>
      <c r="FTF148" s="20"/>
      <c r="FTG148" s="20"/>
      <c r="FTH148" s="20"/>
      <c r="FTI148" s="20"/>
      <c r="FTJ148" s="20"/>
      <c r="FTK148" s="20"/>
      <c r="FTL148" s="20"/>
      <c r="FTM148" s="20"/>
      <c r="FTN148" s="20"/>
      <c r="FTO148" s="20"/>
      <c r="FTP148" s="16"/>
      <c r="FTQ148" s="18"/>
      <c r="FTR148" s="19"/>
      <c r="FTS148" s="20"/>
      <c r="FTT148" s="20"/>
      <c r="FTU148" s="20"/>
      <c r="FTV148" s="20"/>
      <c r="FTW148" s="20"/>
      <c r="FTX148" s="20"/>
      <c r="FTY148" s="20"/>
      <c r="FTZ148" s="20"/>
      <c r="FUA148" s="20"/>
      <c r="FUB148" s="20"/>
      <c r="FUC148" s="20"/>
      <c r="FUD148" s="20"/>
      <c r="FUE148" s="20"/>
      <c r="FUF148" s="16"/>
      <c r="FUG148" s="18"/>
      <c r="FUH148" s="19"/>
      <c r="FUI148" s="20"/>
      <c r="FUJ148" s="20"/>
      <c r="FUK148" s="20"/>
      <c r="FUL148" s="20"/>
      <c r="FUM148" s="20"/>
      <c r="FUN148" s="20"/>
      <c r="FUO148" s="20"/>
      <c r="FUP148" s="20"/>
      <c r="FUQ148" s="20"/>
      <c r="FUR148" s="20"/>
      <c r="FUS148" s="20"/>
      <c r="FUT148" s="20"/>
      <c r="FUU148" s="20"/>
      <c r="FUV148" s="16"/>
      <c r="FUW148" s="18"/>
      <c r="FUX148" s="19"/>
      <c r="FUY148" s="20"/>
      <c r="FUZ148" s="20"/>
      <c r="FVA148" s="20"/>
      <c r="FVB148" s="20"/>
      <c r="FVC148" s="20"/>
      <c r="FVD148" s="20"/>
      <c r="FVE148" s="20"/>
      <c r="FVF148" s="20"/>
      <c r="FVG148" s="20"/>
      <c r="FVH148" s="20"/>
      <c r="FVI148" s="20"/>
      <c r="FVJ148" s="20"/>
      <c r="FVK148" s="20"/>
      <c r="FVL148" s="16"/>
      <c r="FVM148" s="18"/>
      <c r="FVN148" s="19"/>
      <c r="FVO148" s="20"/>
      <c r="FVP148" s="20"/>
      <c r="FVQ148" s="20"/>
      <c r="FVR148" s="20"/>
      <c r="FVS148" s="20"/>
      <c r="FVT148" s="20"/>
      <c r="FVU148" s="20"/>
      <c r="FVV148" s="20"/>
      <c r="FVW148" s="20"/>
      <c r="FVX148" s="20"/>
      <c r="FVY148" s="20"/>
      <c r="FVZ148" s="20"/>
      <c r="FWA148" s="20"/>
      <c r="FWB148" s="16"/>
      <c r="FWC148" s="18"/>
      <c r="FWD148" s="19"/>
      <c r="FWE148" s="20"/>
      <c r="FWF148" s="20"/>
      <c r="FWG148" s="20"/>
      <c r="FWH148" s="20"/>
      <c r="FWI148" s="20"/>
      <c r="FWJ148" s="20"/>
      <c r="FWK148" s="20"/>
      <c r="FWL148" s="20"/>
      <c r="FWM148" s="20"/>
      <c r="FWN148" s="20"/>
      <c r="FWO148" s="20"/>
      <c r="FWP148" s="20"/>
      <c r="FWQ148" s="20"/>
      <c r="FWR148" s="16"/>
      <c r="FWS148" s="18"/>
      <c r="FWT148" s="19"/>
      <c r="FWU148" s="20"/>
      <c r="FWV148" s="20"/>
      <c r="FWW148" s="20"/>
      <c r="FWX148" s="20"/>
      <c r="FWY148" s="20"/>
      <c r="FWZ148" s="20"/>
      <c r="FXA148" s="20"/>
      <c r="FXB148" s="20"/>
      <c r="FXC148" s="20"/>
      <c r="FXD148" s="20"/>
      <c r="FXE148" s="20"/>
      <c r="FXF148" s="20"/>
      <c r="FXG148" s="20"/>
      <c r="FXH148" s="16"/>
      <c r="FXI148" s="18"/>
      <c r="FXJ148" s="19"/>
      <c r="FXK148" s="20"/>
      <c r="FXL148" s="20"/>
      <c r="FXM148" s="20"/>
      <c r="FXN148" s="20"/>
      <c r="FXO148" s="20"/>
      <c r="FXP148" s="20"/>
      <c r="FXQ148" s="20"/>
      <c r="FXR148" s="20"/>
      <c r="FXS148" s="20"/>
      <c r="FXT148" s="20"/>
      <c r="FXU148" s="20"/>
      <c r="FXV148" s="20"/>
      <c r="FXW148" s="20"/>
      <c r="FXX148" s="16"/>
      <c r="FXY148" s="18"/>
      <c r="FXZ148" s="19"/>
      <c r="FYA148" s="20"/>
      <c r="FYB148" s="20"/>
      <c r="FYC148" s="20"/>
      <c r="FYD148" s="20"/>
      <c r="FYE148" s="20"/>
      <c r="FYF148" s="20"/>
      <c r="FYG148" s="20"/>
      <c r="FYH148" s="20"/>
      <c r="FYI148" s="20"/>
      <c r="FYJ148" s="20"/>
      <c r="FYK148" s="20"/>
      <c r="FYL148" s="20"/>
      <c r="FYM148" s="20"/>
      <c r="FYN148" s="16"/>
      <c r="FYO148" s="18"/>
      <c r="FYP148" s="19"/>
      <c r="FYQ148" s="20"/>
      <c r="FYR148" s="20"/>
      <c r="FYS148" s="20"/>
      <c r="FYT148" s="20"/>
      <c r="FYU148" s="20"/>
      <c r="FYV148" s="20"/>
      <c r="FYW148" s="20"/>
      <c r="FYX148" s="20"/>
      <c r="FYY148" s="20"/>
      <c r="FYZ148" s="20"/>
      <c r="FZA148" s="20"/>
      <c r="FZB148" s="20"/>
      <c r="FZC148" s="20"/>
      <c r="FZD148" s="16"/>
      <c r="FZE148" s="18"/>
      <c r="FZF148" s="19"/>
      <c r="FZG148" s="20"/>
      <c r="FZH148" s="20"/>
      <c r="FZI148" s="20"/>
      <c r="FZJ148" s="20"/>
      <c r="FZK148" s="20"/>
      <c r="FZL148" s="20"/>
      <c r="FZM148" s="20"/>
      <c r="FZN148" s="20"/>
      <c r="FZO148" s="20"/>
      <c r="FZP148" s="20"/>
      <c r="FZQ148" s="20"/>
      <c r="FZR148" s="20"/>
      <c r="FZS148" s="20"/>
      <c r="FZT148" s="16"/>
      <c r="FZU148" s="18"/>
      <c r="FZV148" s="19"/>
      <c r="FZW148" s="20"/>
      <c r="FZX148" s="20"/>
      <c r="FZY148" s="20"/>
      <c r="FZZ148" s="20"/>
      <c r="GAA148" s="20"/>
      <c r="GAB148" s="20"/>
      <c r="GAC148" s="20"/>
      <c r="GAD148" s="20"/>
      <c r="GAE148" s="20"/>
      <c r="GAF148" s="20"/>
      <c r="GAG148" s="20"/>
      <c r="GAH148" s="20"/>
      <c r="GAI148" s="20"/>
      <c r="GAJ148" s="16"/>
      <c r="GAK148" s="18"/>
      <c r="GAL148" s="19"/>
      <c r="GAM148" s="20"/>
      <c r="GAN148" s="20"/>
      <c r="GAO148" s="20"/>
      <c r="GAP148" s="20"/>
      <c r="GAQ148" s="20"/>
      <c r="GAR148" s="20"/>
      <c r="GAS148" s="20"/>
      <c r="GAT148" s="20"/>
      <c r="GAU148" s="20"/>
      <c r="GAV148" s="20"/>
      <c r="GAW148" s="20"/>
      <c r="GAX148" s="20"/>
      <c r="GAY148" s="20"/>
      <c r="GAZ148" s="16"/>
      <c r="GBA148" s="18"/>
      <c r="GBB148" s="19"/>
      <c r="GBC148" s="20"/>
      <c r="GBD148" s="20"/>
      <c r="GBE148" s="20"/>
      <c r="GBF148" s="20"/>
      <c r="GBG148" s="20"/>
      <c r="GBH148" s="20"/>
      <c r="GBI148" s="20"/>
      <c r="GBJ148" s="20"/>
      <c r="GBK148" s="20"/>
      <c r="GBL148" s="20"/>
      <c r="GBM148" s="20"/>
      <c r="GBN148" s="20"/>
      <c r="GBO148" s="20"/>
      <c r="GBP148" s="16"/>
      <c r="GBQ148" s="18"/>
      <c r="GBR148" s="19"/>
      <c r="GBS148" s="20"/>
      <c r="GBT148" s="20"/>
      <c r="GBU148" s="20"/>
      <c r="GBV148" s="20"/>
      <c r="GBW148" s="20"/>
      <c r="GBX148" s="20"/>
      <c r="GBY148" s="20"/>
      <c r="GBZ148" s="20"/>
      <c r="GCA148" s="20"/>
      <c r="GCB148" s="20"/>
      <c r="GCC148" s="20"/>
      <c r="GCD148" s="20"/>
      <c r="GCE148" s="20"/>
      <c r="GCF148" s="16"/>
      <c r="GCG148" s="18"/>
      <c r="GCH148" s="19"/>
      <c r="GCI148" s="20"/>
      <c r="GCJ148" s="20"/>
      <c r="GCK148" s="20"/>
      <c r="GCL148" s="20"/>
      <c r="GCM148" s="20"/>
      <c r="GCN148" s="20"/>
      <c r="GCO148" s="20"/>
      <c r="GCP148" s="20"/>
      <c r="GCQ148" s="20"/>
      <c r="GCR148" s="20"/>
      <c r="GCS148" s="20"/>
      <c r="GCT148" s="20"/>
      <c r="GCU148" s="20"/>
      <c r="GCV148" s="16"/>
      <c r="GCW148" s="18"/>
      <c r="GCX148" s="19"/>
      <c r="GCY148" s="20"/>
      <c r="GCZ148" s="20"/>
      <c r="GDA148" s="20"/>
      <c r="GDB148" s="20"/>
      <c r="GDC148" s="20"/>
      <c r="GDD148" s="20"/>
      <c r="GDE148" s="20"/>
      <c r="GDF148" s="20"/>
      <c r="GDG148" s="20"/>
      <c r="GDH148" s="20"/>
      <c r="GDI148" s="20"/>
      <c r="GDJ148" s="20"/>
      <c r="GDK148" s="20"/>
      <c r="GDL148" s="16"/>
      <c r="GDM148" s="18"/>
      <c r="GDN148" s="19"/>
      <c r="GDO148" s="20"/>
      <c r="GDP148" s="20"/>
      <c r="GDQ148" s="20"/>
      <c r="GDR148" s="20"/>
      <c r="GDS148" s="20"/>
      <c r="GDT148" s="20"/>
      <c r="GDU148" s="20"/>
      <c r="GDV148" s="20"/>
      <c r="GDW148" s="20"/>
      <c r="GDX148" s="20"/>
      <c r="GDY148" s="20"/>
      <c r="GDZ148" s="20"/>
      <c r="GEA148" s="20"/>
      <c r="GEB148" s="16"/>
      <c r="GEC148" s="18"/>
      <c r="GED148" s="19"/>
      <c r="GEE148" s="20"/>
      <c r="GEF148" s="20"/>
      <c r="GEG148" s="20"/>
      <c r="GEH148" s="20"/>
      <c r="GEI148" s="20"/>
      <c r="GEJ148" s="20"/>
      <c r="GEK148" s="20"/>
      <c r="GEL148" s="20"/>
      <c r="GEM148" s="20"/>
      <c r="GEN148" s="20"/>
      <c r="GEO148" s="20"/>
      <c r="GEP148" s="20"/>
      <c r="GEQ148" s="20"/>
      <c r="GER148" s="16"/>
      <c r="GES148" s="18"/>
      <c r="GET148" s="19"/>
      <c r="GEU148" s="20"/>
      <c r="GEV148" s="20"/>
      <c r="GEW148" s="20"/>
      <c r="GEX148" s="20"/>
      <c r="GEY148" s="20"/>
      <c r="GEZ148" s="20"/>
      <c r="GFA148" s="20"/>
      <c r="GFB148" s="20"/>
      <c r="GFC148" s="20"/>
      <c r="GFD148" s="20"/>
      <c r="GFE148" s="20"/>
      <c r="GFF148" s="20"/>
      <c r="GFG148" s="20"/>
      <c r="GFH148" s="16"/>
      <c r="GFI148" s="18"/>
      <c r="GFJ148" s="19"/>
      <c r="GFK148" s="20"/>
      <c r="GFL148" s="20"/>
      <c r="GFM148" s="20"/>
      <c r="GFN148" s="20"/>
      <c r="GFO148" s="20"/>
      <c r="GFP148" s="20"/>
      <c r="GFQ148" s="20"/>
      <c r="GFR148" s="20"/>
      <c r="GFS148" s="20"/>
      <c r="GFT148" s="20"/>
      <c r="GFU148" s="20"/>
      <c r="GFV148" s="20"/>
      <c r="GFW148" s="20"/>
      <c r="GFX148" s="16"/>
      <c r="GFY148" s="18"/>
      <c r="GFZ148" s="19"/>
      <c r="GGA148" s="20"/>
      <c r="GGB148" s="20"/>
      <c r="GGC148" s="20"/>
      <c r="GGD148" s="20"/>
      <c r="GGE148" s="20"/>
      <c r="GGF148" s="20"/>
      <c r="GGG148" s="20"/>
      <c r="GGH148" s="20"/>
      <c r="GGI148" s="20"/>
      <c r="GGJ148" s="20"/>
      <c r="GGK148" s="20"/>
      <c r="GGL148" s="20"/>
      <c r="GGM148" s="20"/>
      <c r="GGN148" s="16"/>
      <c r="GGO148" s="18"/>
      <c r="GGP148" s="19"/>
      <c r="GGQ148" s="20"/>
      <c r="GGR148" s="20"/>
      <c r="GGS148" s="20"/>
      <c r="GGT148" s="20"/>
      <c r="GGU148" s="20"/>
      <c r="GGV148" s="20"/>
      <c r="GGW148" s="20"/>
      <c r="GGX148" s="20"/>
      <c r="GGY148" s="20"/>
      <c r="GGZ148" s="20"/>
      <c r="GHA148" s="20"/>
      <c r="GHB148" s="20"/>
      <c r="GHC148" s="20"/>
      <c r="GHD148" s="16"/>
      <c r="GHE148" s="18"/>
      <c r="GHF148" s="19"/>
      <c r="GHG148" s="20"/>
      <c r="GHH148" s="20"/>
      <c r="GHI148" s="20"/>
      <c r="GHJ148" s="20"/>
      <c r="GHK148" s="20"/>
      <c r="GHL148" s="20"/>
      <c r="GHM148" s="20"/>
      <c r="GHN148" s="20"/>
      <c r="GHO148" s="20"/>
      <c r="GHP148" s="20"/>
      <c r="GHQ148" s="20"/>
      <c r="GHR148" s="20"/>
      <c r="GHS148" s="20"/>
      <c r="GHT148" s="16"/>
      <c r="GHU148" s="18"/>
      <c r="GHV148" s="19"/>
      <c r="GHW148" s="20"/>
      <c r="GHX148" s="20"/>
      <c r="GHY148" s="20"/>
      <c r="GHZ148" s="20"/>
      <c r="GIA148" s="20"/>
      <c r="GIB148" s="20"/>
      <c r="GIC148" s="20"/>
      <c r="GID148" s="20"/>
      <c r="GIE148" s="20"/>
      <c r="GIF148" s="20"/>
      <c r="GIG148" s="20"/>
      <c r="GIH148" s="20"/>
      <c r="GII148" s="20"/>
      <c r="GIJ148" s="16"/>
      <c r="GIK148" s="18"/>
      <c r="GIL148" s="19"/>
      <c r="GIM148" s="20"/>
      <c r="GIN148" s="20"/>
      <c r="GIO148" s="20"/>
      <c r="GIP148" s="20"/>
      <c r="GIQ148" s="20"/>
      <c r="GIR148" s="20"/>
      <c r="GIS148" s="20"/>
      <c r="GIT148" s="20"/>
      <c r="GIU148" s="20"/>
      <c r="GIV148" s="20"/>
      <c r="GIW148" s="20"/>
      <c r="GIX148" s="20"/>
      <c r="GIY148" s="20"/>
      <c r="GIZ148" s="16"/>
      <c r="GJA148" s="18"/>
      <c r="GJB148" s="19"/>
      <c r="GJC148" s="20"/>
      <c r="GJD148" s="20"/>
      <c r="GJE148" s="20"/>
      <c r="GJF148" s="20"/>
      <c r="GJG148" s="20"/>
      <c r="GJH148" s="20"/>
      <c r="GJI148" s="20"/>
      <c r="GJJ148" s="20"/>
      <c r="GJK148" s="20"/>
      <c r="GJL148" s="20"/>
      <c r="GJM148" s="20"/>
      <c r="GJN148" s="20"/>
      <c r="GJO148" s="20"/>
      <c r="GJP148" s="16"/>
      <c r="GJQ148" s="18"/>
      <c r="GJR148" s="19"/>
      <c r="GJS148" s="20"/>
      <c r="GJT148" s="20"/>
      <c r="GJU148" s="20"/>
      <c r="GJV148" s="20"/>
      <c r="GJW148" s="20"/>
      <c r="GJX148" s="20"/>
      <c r="GJY148" s="20"/>
      <c r="GJZ148" s="20"/>
      <c r="GKA148" s="20"/>
      <c r="GKB148" s="20"/>
      <c r="GKC148" s="20"/>
      <c r="GKD148" s="20"/>
      <c r="GKE148" s="20"/>
      <c r="GKF148" s="16"/>
      <c r="GKG148" s="18"/>
      <c r="GKH148" s="19"/>
      <c r="GKI148" s="20"/>
      <c r="GKJ148" s="20"/>
      <c r="GKK148" s="20"/>
      <c r="GKL148" s="20"/>
      <c r="GKM148" s="20"/>
      <c r="GKN148" s="20"/>
      <c r="GKO148" s="20"/>
      <c r="GKP148" s="20"/>
      <c r="GKQ148" s="20"/>
      <c r="GKR148" s="20"/>
      <c r="GKS148" s="20"/>
      <c r="GKT148" s="20"/>
      <c r="GKU148" s="20"/>
      <c r="GKV148" s="16"/>
      <c r="GKW148" s="18"/>
      <c r="GKX148" s="19"/>
      <c r="GKY148" s="20"/>
      <c r="GKZ148" s="20"/>
      <c r="GLA148" s="20"/>
      <c r="GLB148" s="20"/>
      <c r="GLC148" s="20"/>
      <c r="GLD148" s="20"/>
      <c r="GLE148" s="20"/>
      <c r="GLF148" s="20"/>
      <c r="GLG148" s="20"/>
      <c r="GLH148" s="20"/>
      <c r="GLI148" s="20"/>
      <c r="GLJ148" s="20"/>
      <c r="GLK148" s="20"/>
      <c r="GLL148" s="16"/>
      <c r="GLM148" s="18"/>
      <c r="GLN148" s="19"/>
      <c r="GLO148" s="20"/>
      <c r="GLP148" s="20"/>
      <c r="GLQ148" s="20"/>
      <c r="GLR148" s="20"/>
      <c r="GLS148" s="20"/>
      <c r="GLT148" s="20"/>
      <c r="GLU148" s="20"/>
      <c r="GLV148" s="20"/>
      <c r="GLW148" s="20"/>
      <c r="GLX148" s="20"/>
      <c r="GLY148" s="20"/>
      <c r="GLZ148" s="20"/>
      <c r="GMA148" s="20"/>
      <c r="GMB148" s="16"/>
      <c r="GMC148" s="18"/>
      <c r="GMD148" s="19"/>
      <c r="GME148" s="20"/>
      <c r="GMF148" s="20"/>
      <c r="GMG148" s="20"/>
      <c r="GMH148" s="20"/>
      <c r="GMI148" s="20"/>
      <c r="GMJ148" s="20"/>
      <c r="GMK148" s="20"/>
      <c r="GML148" s="20"/>
      <c r="GMM148" s="20"/>
      <c r="GMN148" s="20"/>
      <c r="GMO148" s="20"/>
      <c r="GMP148" s="20"/>
      <c r="GMQ148" s="20"/>
      <c r="GMR148" s="16"/>
      <c r="GMS148" s="18"/>
      <c r="GMT148" s="19"/>
      <c r="GMU148" s="20"/>
      <c r="GMV148" s="20"/>
      <c r="GMW148" s="20"/>
      <c r="GMX148" s="20"/>
      <c r="GMY148" s="20"/>
      <c r="GMZ148" s="20"/>
      <c r="GNA148" s="20"/>
      <c r="GNB148" s="20"/>
      <c r="GNC148" s="20"/>
      <c r="GND148" s="20"/>
      <c r="GNE148" s="20"/>
      <c r="GNF148" s="20"/>
      <c r="GNG148" s="20"/>
      <c r="GNH148" s="16"/>
      <c r="GNI148" s="18"/>
      <c r="GNJ148" s="19"/>
      <c r="GNK148" s="20"/>
      <c r="GNL148" s="20"/>
      <c r="GNM148" s="20"/>
      <c r="GNN148" s="20"/>
      <c r="GNO148" s="20"/>
      <c r="GNP148" s="20"/>
      <c r="GNQ148" s="20"/>
      <c r="GNR148" s="20"/>
      <c r="GNS148" s="20"/>
      <c r="GNT148" s="20"/>
      <c r="GNU148" s="20"/>
      <c r="GNV148" s="20"/>
      <c r="GNW148" s="20"/>
      <c r="GNX148" s="16"/>
      <c r="GNY148" s="18"/>
      <c r="GNZ148" s="19"/>
      <c r="GOA148" s="20"/>
      <c r="GOB148" s="20"/>
      <c r="GOC148" s="20"/>
      <c r="GOD148" s="20"/>
      <c r="GOE148" s="20"/>
      <c r="GOF148" s="20"/>
      <c r="GOG148" s="20"/>
      <c r="GOH148" s="20"/>
      <c r="GOI148" s="20"/>
      <c r="GOJ148" s="20"/>
      <c r="GOK148" s="20"/>
      <c r="GOL148" s="20"/>
      <c r="GOM148" s="20"/>
      <c r="GON148" s="16"/>
      <c r="GOO148" s="18"/>
      <c r="GOP148" s="19"/>
      <c r="GOQ148" s="20"/>
      <c r="GOR148" s="20"/>
      <c r="GOS148" s="20"/>
      <c r="GOT148" s="20"/>
      <c r="GOU148" s="20"/>
      <c r="GOV148" s="20"/>
      <c r="GOW148" s="20"/>
      <c r="GOX148" s="20"/>
      <c r="GOY148" s="20"/>
      <c r="GOZ148" s="20"/>
      <c r="GPA148" s="20"/>
      <c r="GPB148" s="20"/>
      <c r="GPC148" s="20"/>
      <c r="GPD148" s="16"/>
      <c r="GPE148" s="18"/>
      <c r="GPF148" s="19"/>
      <c r="GPG148" s="20"/>
      <c r="GPH148" s="20"/>
      <c r="GPI148" s="20"/>
      <c r="GPJ148" s="20"/>
      <c r="GPK148" s="20"/>
      <c r="GPL148" s="20"/>
      <c r="GPM148" s="20"/>
      <c r="GPN148" s="20"/>
      <c r="GPO148" s="20"/>
      <c r="GPP148" s="20"/>
      <c r="GPQ148" s="20"/>
      <c r="GPR148" s="20"/>
      <c r="GPS148" s="20"/>
      <c r="GPT148" s="16"/>
      <c r="GPU148" s="18"/>
      <c r="GPV148" s="19"/>
      <c r="GPW148" s="20"/>
      <c r="GPX148" s="20"/>
      <c r="GPY148" s="20"/>
      <c r="GPZ148" s="20"/>
      <c r="GQA148" s="20"/>
      <c r="GQB148" s="20"/>
      <c r="GQC148" s="20"/>
      <c r="GQD148" s="20"/>
      <c r="GQE148" s="20"/>
      <c r="GQF148" s="20"/>
      <c r="GQG148" s="20"/>
      <c r="GQH148" s="20"/>
      <c r="GQI148" s="20"/>
      <c r="GQJ148" s="16"/>
      <c r="GQK148" s="18"/>
      <c r="GQL148" s="19"/>
      <c r="GQM148" s="20"/>
      <c r="GQN148" s="20"/>
      <c r="GQO148" s="20"/>
      <c r="GQP148" s="20"/>
      <c r="GQQ148" s="20"/>
      <c r="GQR148" s="20"/>
      <c r="GQS148" s="20"/>
      <c r="GQT148" s="20"/>
      <c r="GQU148" s="20"/>
      <c r="GQV148" s="20"/>
      <c r="GQW148" s="20"/>
      <c r="GQX148" s="20"/>
      <c r="GQY148" s="20"/>
      <c r="GQZ148" s="16"/>
      <c r="GRA148" s="18"/>
      <c r="GRB148" s="19"/>
      <c r="GRC148" s="20"/>
      <c r="GRD148" s="20"/>
      <c r="GRE148" s="20"/>
      <c r="GRF148" s="20"/>
      <c r="GRG148" s="20"/>
      <c r="GRH148" s="20"/>
      <c r="GRI148" s="20"/>
      <c r="GRJ148" s="20"/>
      <c r="GRK148" s="20"/>
      <c r="GRL148" s="20"/>
      <c r="GRM148" s="20"/>
      <c r="GRN148" s="20"/>
      <c r="GRO148" s="20"/>
      <c r="GRP148" s="16"/>
      <c r="GRQ148" s="18"/>
      <c r="GRR148" s="19"/>
      <c r="GRS148" s="20"/>
      <c r="GRT148" s="20"/>
      <c r="GRU148" s="20"/>
      <c r="GRV148" s="20"/>
      <c r="GRW148" s="20"/>
      <c r="GRX148" s="20"/>
      <c r="GRY148" s="20"/>
      <c r="GRZ148" s="20"/>
      <c r="GSA148" s="20"/>
      <c r="GSB148" s="20"/>
      <c r="GSC148" s="20"/>
      <c r="GSD148" s="20"/>
      <c r="GSE148" s="20"/>
      <c r="GSF148" s="16"/>
      <c r="GSG148" s="18"/>
      <c r="GSH148" s="19"/>
      <c r="GSI148" s="20"/>
      <c r="GSJ148" s="20"/>
      <c r="GSK148" s="20"/>
      <c r="GSL148" s="20"/>
      <c r="GSM148" s="20"/>
      <c r="GSN148" s="20"/>
      <c r="GSO148" s="20"/>
      <c r="GSP148" s="20"/>
      <c r="GSQ148" s="20"/>
      <c r="GSR148" s="20"/>
      <c r="GSS148" s="20"/>
      <c r="GST148" s="20"/>
      <c r="GSU148" s="20"/>
      <c r="GSV148" s="16"/>
      <c r="GSW148" s="18"/>
      <c r="GSX148" s="19"/>
      <c r="GSY148" s="20"/>
      <c r="GSZ148" s="20"/>
      <c r="GTA148" s="20"/>
      <c r="GTB148" s="20"/>
      <c r="GTC148" s="20"/>
      <c r="GTD148" s="20"/>
      <c r="GTE148" s="20"/>
      <c r="GTF148" s="20"/>
      <c r="GTG148" s="20"/>
      <c r="GTH148" s="20"/>
      <c r="GTI148" s="20"/>
      <c r="GTJ148" s="20"/>
      <c r="GTK148" s="20"/>
      <c r="GTL148" s="16"/>
      <c r="GTM148" s="18"/>
      <c r="GTN148" s="19"/>
      <c r="GTO148" s="20"/>
      <c r="GTP148" s="20"/>
      <c r="GTQ148" s="20"/>
      <c r="GTR148" s="20"/>
      <c r="GTS148" s="20"/>
      <c r="GTT148" s="20"/>
      <c r="GTU148" s="20"/>
      <c r="GTV148" s="20"/>
      <c r="GTW148" s="20"/>
      <c r="GTX148" s="20"/>
      <c r="GTY148" s="20"/>
      <c r="GTZ148" s="20"/>
      <c r="GUA148" s="20"/>
      <c r="GUB148" s="16"/>
      <c r="GUC148" s="18"/>
      <c r="GUD148" s="19"/>
      <c r="GUE148" s="20"/>
      <c r="GUF148" s="20"/>
      <c r="GUG148" s="20"/>
      <c r="GUH148" s="20"/>
      <c r="GUI148" s="20"/>
      <c r="GUJ148" s="20"/>
      <c r="GUK148" s="20"/>
      <c r="GUL148" s="20"/>
      <c r="GUM148" s="20"/>
      <c r="GUN148" s="20"/>
      <c r="GUO148" s="20"/>
      <c r="GUP148" s="20"/>
      <c r="GUQ148" s="20"/>
      <c r="GUR148" s="16"/>
      <c r="GUS148" s="18"/>
      <c r="GUT148" s="19"/>
      <c r="GUU148" s="20"/>
      <c r="GUV148" s="20"/>
      <c r="GUW148" s="20"/>
      <c r="GUX148" s="20"/>
      <c r="GUY148" s="20"/>
      <c r="GUZ148" s="20"/>
      <c r="GVA148" s="20"/>
      <c r="GVB148" s="20"/>
      <c r="GVC148" s="20"/>
      <c r="GVD148" s="20"/>
      <c r="GVE148" s="20"/>
      <c r="GVF148" s="20"/>
      <c r="GVG148" s="20"/>
      <c r="GVH148" s="16"/>
      <c r="GVI148" s="18"/>
      <c r="GVJ148" s="19"/>
      <c r="GVK148" s="20"/>
      <c r="GVL148" s="20"/>
      <c r="GVM148" s="20"/>
      <c r="GVN148" s="20"/>
      <c r="GVO148" s="20"/>
      <c r="GVP148" s="20"/>
      <c r="GVQ148" s="20"/>
      <c r="GVR148" s="20"/>
      <c r="GVS148" s="20"/>
      <c r="GVT148" s="20"/>
      <c r="GVU148" s="20"/>
      <c r="GVV148" s="20"/>
      <c r="GVW148" s="20"/>
      <c r="GVX148" s="16"/>
      <c r="GVY148" s="18"/>
      <c r="GVZ148" s="19"/>
      <c r="GWA148" s="20"/>
      <c r="GWB148" s="20"/>
      <c r="GWC148" s="20"/>
      <c r="GWD148" s="20"/>
      <c r="GWE148" s="20"/>
      <c r="GWF148" s="20"/>
      <c r="GWG148" s="20"/>
      <c r="GWH148" s="20"/>
      <c r="GWI148" s="20"/>
      <c r="GWJ148" s="20"/>
      <c r="GWK148" s="20"/>
      <c r="GWL148" s="20"/>
      <c r="GWM148" s="20"/>
      <c r="GWN148" s="16"/>
      <c r="GWO148" s="18"/>
      <c r="GWP148" s="19"/>
      <c r="GWQ148" s="20"/>
      <c r="GWR148" s="20"/>
      <c r="GWS148" s="20"/>
      <c r="GWT148" s="20"/>
      <c r="GWU148" s="20"/>
      <c r="GWV148" s="20"/>
      <c r="GWW148" s="20"/>
      <c r="GWX148" s="20"/>
      <c r="GWY148" s="20"/>
      <c r="GWZ148" s="20"/>
      <c r="GXA148" s="20"/>
      <c r="GXB148" s="20"/>
      <c r="GXC148" s="20"/>
      <c r="GXD148" s="16"/>
      <c r="GXE148" s="18"/>
      <c r="GXF148" s="19"/>
      <c r="GXG148" s="20"/>
      <c r="GXH148" s="20"/>
      <c r="GXI148" s="20"/>
      <c r="GXJ148" s="20"/>
      <c r="GXK148" s="20"/>
      <c r="GXL148" s="20"/>
      <c r="GXM148" s="20"/>
      <c r="GXN148" s="20"/>
      <c r="GXO148" s="20"/>
      <c r="GXP148" s="20"/>
      <c r="GXQ148" s="20"/>
      <c r="GXR148" s="20"/>
      <c r="GXS148" s="20"/>
      <c r="GXT148" s="16"/>
      <c r="GXU148" s="18"/>
      <c r="GXV148" s="19"/>
      <c r="GXW148" s="20"/>
      <c r="GXX148" s="20"/>
      <c r="GXY148" s="20"/>
      <c r="GXZ148" s="20"/>
      <c r="GYA148" s="20"/>
      <c r="GYB148" s="20"/>
      <c r="GYC148" s="20"/>
      <c r="GYD148" s="20"/>
      <c r="GYE148" s="20"/>
      <c r="GYF148" s="20"/>
      <c r="GYG148" s="20"/>
      <c r="GYH148" s="20"/>
      <c r="GYI148" s="20"/>
      <c r="GYJ148" s="16"/>
      <c r="GYK148" s="18"/>
      <c r="GYL148" s="19"/>
      <c r="GYM148" s="20"/>
      <c r="GYN148" s="20"/>
      <c r="GYO148" s="20"/>
      <c r="GYP148" s="20"/>
      <c r="GYQ148" s="20"/>
      <c r="GYR148" s="20"/>
      <c r="GYS148" s="20"/>
      <c r="GYT148" s="20"/>
      <c r="GYU148" s="20"/>
      <c r="GYV148" s="20"/>
      <c r="GYW148" s="20"/>
      <c r="GYX148" s="20"/>
      <c r="GYY148" s="20"/>
      <c r="GYZ148" s="16"/>
      <c r="GZA148" s="18"/>
      <c r="GZB148" s="19"/>
      <c r="GZC148" s="20"/>
      <c r="GZD148" s="20"/>
      <c r="GZE148" s="20"/>
      <c r="GZF148" s="20"/>
      <c r="GZG148" s="20"/>
      <c r="GZH148" s="20"/>
      <c r="GZI148" s="20"/>
      <c r="GZJ148" s="20"/>
      <c r="GZK148" s="20"/>
      <c r="GZL148" s="20"/>
      <c r="GZM148" s="20"/>
      <c r="GZN148" s="20"/>
      <c r="GZO148" s="20"/>
      <c r="GZP148" s="16"/>
      <c r="GZQ148" s="18"/>
      <c r="GZR148" s="19"/>
      <c r="GZS148" s="20"/>
      <c r="GZT148" s="20"/>
      <c r="GZU148" s="20"/>
      <c r="GZV148" s="20"/>
      <c r="GZW148" s="20"/>
      <c r="GZX148" s="20"/>
      <c r="GZY148" s="20"/>
      <c r="GZZ148" s="20"/>
      <c r="HAA148" s="20"/>
      <c r="HAB148" s="20"/>
      <c r="HAC148" s="20"/>
      <c r="HAD148" s="20"/>
      <c r="HAE148" s="20"/>
      <c r="HAF148" s="16"/>
      <c r="HAG148" s="18"/>
      <c r="HAH148" s="19"/>
      <c r="HAI148" s="20"/>
      <c r="HAJ148" s="20"/>
      <c r="HAK148" s="20"/>
      <c r="HAL148" s="20"/>
      <c r="HAM148" s="20"/>
      <c r="HAN148" s="20"/>
      <c r="HAO148" s="20"/>
      <c r="HAP148" s="20"/>
      <c r="HAQ148" s="20"/>
      <c r="HAR148" s="20"/>
      <c r="HAS148" s="20"/>
      <c r="HAT148" s="20"/>
      <c r="HAU148" s="20"/>
      <c r="HAV148" s="16"/>
      <c r="HAW148" s="18"/>
      <c r="HAX148" s="19"/>
      <c r="HAY148" s="20"/>
      <c r="HAZ148" s="20"/>
      <c r="HBA148" s="20"/>
      <c r="HBB148" s="20"/>
      <c r="HBC148" s="20"/>
      <c r="HBD148" s="20"/>
      <c r="HBE148" s="20"/>
      <c r="HBF148" s="20"/>
      <c r="HBG148" s="20"/>
      <c r="HBH148" s="20"/>
      <c r="HBI148" s="20"/>
      <c r="HBJ148" s="20"/>
      <c r="HBK148" s="20"/>
      <c r="HBL148" s="16"/>
      <c r="HBM148" s="18"/>
      <c r="HBN148" s="19"/>
      <c r="HBO148" s="20"/>
      <c r="HBP148" s="20"/>
      <c r="HBQ148" s="20"/>
      <c r="HBR148" s="20"/>
      <c r="HBS148" s="20"/>
      <c r="HBT148" s="20"/>
      <c r="HBU148" s="20"/>
      <c r="HBV148" s="20"/>
      <c r="HBW148" s="20"/>
      <c r="HBX148" s="20"/>
      <c r="HBY148" s="20"/>
      <c r="HBZ148" s="20"/>
      <c r="HCA148" s="20"/>
      <c r="HCB148" s="16"/>
      <c r="HCC148" s="18"/>
      <c r="HCD148" s="19"/>
      <c r="HCE148" s="20"/>
      <c r="HCF148" s="20"/>
      <c r="HCG148" s="20"/>
      <c r="HCH148" s="20"/>
      <c r="HCI148" s="20"/>
      <c r="HCJ148" s="20"/>
      <c r="HCK148" s="20"/>
      <c r="HCL148" s="20"/>
      <c r="HCM148" s="20"/>
      <c r="HCN148" s="20"/>
      <c r="HCO148" s="20"/>
      <c r="HCP148" s="20"/>
      <c r="HCQ148" s="20"/>
      <c r="HCR148" s="16"/>
      <c r="HCS148" s="18"/>
      <c r="HCT148" s="19"/>
      <c r="HCU148" s="20"/>
      <c r="HCV148" s="20"/>
      <c r="HCW148" s="20"/>
      <c r="HCX148" s="20"/>
      <c r="HCY148" s="20"/>
      <c r="HCZ148" s="20"/>
      <c r="HDA148" s="20"/>
      <c r="HDB148" s="20"/>
      <c r="HDC148" s="20"/>
      <c r="HDD148" s="20"/>
      <c r="HDE148" s="20"/>
      <c r="HDF148" s="20"/>
      <c r="HDG148" s="20"/>
      <c r="HDH148" s="16"/>
      <c r="HDI148" s="18"/>
      <c r="HDJ148" s="19"/>
      <c r="HDK148" s="20"/>
      <c r="HDL148" s="20"/>
      <c r="HDM148" s="20"/>
      <c r="HDN148" s="20"/>
      <c r="HDO148" s="20"/>
      <c r="HDP148" s="20"/>
      <c r="HDQ148" s="20"/>
      <c r="HDR148" s="20"/>
      <c r="HDS148" s="20"/>
      <c r="HDT148" s="20"/>
      <c r="HDU148" s="20"/>
      <c r="HDV148" s="20"/>
      <c r="HDW148" s="20"/>
      <c r="HDX148" s="16"/>
      <c r="HDY148" s="18"/>
      <c r="HDZ148" s="19"/>
      <c r="HEA148" s="20"/>
      <c r="HEB148" s="20"/>
      <c r="HEC148" s="20"/>
      <c r="HED148" s="20"/>
      <c r="HEE148" s="20"/>
      <c r="HEF148" s="20"/>
      <c r="HEG148" s="20"/>
      <c r="HEH148" s="20"/>
      <c r="HEI148" s="20"/>
      <c r="HEJ148" s="20"/>
      <c r="HEK148" s="20"/>
      <c r="HEL148" s="20"/>
      <c r="HEM148" s="20"/>
      <c r="HEN148" s="16"/>
      <c r="HEO148" s="18"/>
      <c r="HEP148" s="19"/>
      <c r="HEQ148" s="20"/>
      <c r="HER148" s="20"/>
      <c r="HES148" s="20"/>
      <c r="HET148" s="20"/>
      <c r="HEU148" s="20"/>
      <c r="HEV148" s="20"/>
      <c r="HEW148" s="20"/>
      <c r="HEX148" s="20"/>
      <c r="HEY148" s="20"/>
      <c r="HEZ148" s="20"/>
      <c r="HFA148" s="20"/>
      <c r="HFB148" s="20"/>
      <c r="HFC148" s="20"/>
      <c r="HFD148" s="16"/>
      <c r="HFE148" s="18"/>
      <c r="HFF148" s="19"/>
      <c r="HFG148" s="20"/>
      <c r="HFH148" s="20"/>
      <c r="HFI148" s="20"/>
      <c r="HFJ148" s="20"/>
      <c r="HFK148" s="20"/>
      <c r="HFL148" s="20"/>
      <c r="HFM148" s="20"/>
      <c r="HFN148" s="20"/>
      <c r="HFO148" s="20"/>
      <c r="HFP148" s="20"/>
      <c r="HFQ148" s="20"/>
      <c r="HFR148" s="20"/>
      <c r="HFS148" s="20"/>
      <c r="HFT148" s="16"/>
      <c r="HFU148" s="18"/>
      <c r="HFV148" s="19"/>
      <c r="HFW148" s="20"/>
      <c r="HFX148" s="20"/>
      <c r="HFY148" s="20"/>
      <c r="HFZ148" s="20"/>
      <c r="HGA148" s="20"/>
      <c r="HGB148" s="20"/>
      <c r="HGC148" s="20"/>
      <c r="HGD148" s="20"/>
      <c r="HGE148" s="20"/>
      <c r="HGF148" s="20"/>
      <c r="HGG148" s="20"/>
      <c r="HGH148" s="20"/>
      <c r="HGI148" s="20"/>
      <c r="HGJ148" s="16"/>
      <c r="HGK148" s="18"/>
      <c r="HGL148" s="19"/>
      <c r="HGM148" s="20"/>
      <c r="HGN148" s="20"/>
      <c r="HGO148" s="20"/>
      <c r="HGP148" s="20"/>
      <c r="HGQ148" s="20"/>
      <c r="HGR148" s="20"/>
      <c r="HGS148" s="20"/>
      <c r="HGT148" s="20"/>
      <c r="HGU148" s="20"/>
      <c r="HGV148" s="20"/>
      <c r="HGW148" s="20"/>
      <c r="HGX148" s="20"/>
      <c r="HGY148" s="20"/>
      <c r="HGZ148" s="16"/>
      <c r="HHA148" s="18"/>
      <c r="HHB148" s="19"/>
      <c r="HHC148" s="20"/>
      <c r="HHD148" s="20"/>
      <c r="HHE148" s="20"/>
      <c r="HHF148" s="20"/>
      <c r="HHG148" s="20"/>
      <c r="HHH148" s="20"/>
      <c r="HHI148" s="20"/>
      <c r="HHJ148" s="20"/>
      <c r="HHK148" s="20"/>
      <c r="HHL148" s="20"/>
      <c r="HHM148" s="20"/>
      <c r="HHN148" s="20"/>
      <c r="HHO148" s="20"/>
      <c r="HHP148" s="16"/>
      <c r="HHQ148" s="18"/>
      <c r="HHR148" s="19"/>
      <c r="HHS148" s="20"/>
      <c r="HHT148" s="20"/>
      <c r="HHU148" s="20"/>
      <c r="HHV148" s="20"/>
      <c r="HHW148" s="20"/>
      <c r="HHX148" s="20"/>
      <c r="HHY148" s="20"/>
      <c r="HHZ148" s="20"/>
      <c r="HIA148" s="20"/>
      <c r="HIB148" s="20"/>
      <c r="HIC148" s="20"/>
      <c r="HID148" s="20"/>
      <c r="HIE148" s="20"/>
      <c r="HIF148" s="16"/>
      <c r="HIG148" s="18"/>
      <c r="HIH148" s="19"/>
      <c r="HII148" s="20"/>
      <c r="HIJ148" s="20"/>
      <c r="HIK148" s="20"/>
      <c r="HIL148" s="20"/>
      <c r="HIM148" s="20"/>
      <c r="HIN148" s="20"/>
      <c r="HIO148" s="20"/>
      <c r="HIP148" s="20"/>
      <c r="HIQ148" s="20"/>
      <c r="HIR148" s="20"/>
      <c r="HIS148" s="20"/>
      <c r="HIT148" s="20"/>
      <c r="HIU148" s="20"/>
      <c r="HIV148" s="16"/>
      <c r="HIW148" s="18"/>
      <c r="HIX148" s="19"/>
      <c r="HIY148" s="20"/>
      <c r="HIZ148" s="20"/>
      <c r="HJA148" s="20"/>
      <c r="HJB148" s="20"/>
      <c r="HJC148" s="20"/>
      <c r="HJD148" s="20"/>
      <c r="HJE148" s="20"/>
      <c r="HJF148" s="20"/>
      <c r="HJG148" s="20"/>
      <c r="HJH148" s="20"/>
      <c r="HJI148" s="20"/>
      <c r="HJJ148" s="20"/>
      <c r="HJK148" s="20"/>
      <c r="HJL148" s="16"/>
      <c r="HJM148" s="18"/>
      <c r="HJN148" s="19"/>
      <c r="HJO148" s="20"/>
      <c r="HJP148" s="20"/>
      <c r="HJQ148" s="20"/>
      <c r="HJR148" s="20"/>
      <c r="HJS148" s="20"/>
      <c r="HJT148" s="20"/>
      <c r="HJU148" s="20"/>
      <c r="HJV148" s="20"/>
      <c r="HJW148" s="20"/>
      <c r="HJX148" s="20"/>
      <c r="HJY148" s="20"/>
      <c r="HJZ148" s="20"/>
      <c r="HKA148" s="20"/>
      <c r="HKB148" s="16"/>
      <c r="HKC148" s="18"/>
      <c r="HKD148" s="19"/>
      <c r="HKE148" s="20"/>
      <c r="HKF148" s="20"/>
      <c r="HKG148" s="20"/>
      <c r="HKH148" s="20"/>
      <c r="HKI148" s="20"/>
      <c r="HKJ148" s="20"/>
      <c r="HKK148" s="20"/>
      <c r="HKL148" s="20"/>
      <c r="HKM148" s="20"/>
      <c r="HKN148" s="20"/>
      <c r="HKO148" s="20"/>
      <c r="HKP148" s="20"/>
      <c r="HKQ148" s="20"/>
      <c r="HKR148" s="16"/>
      <c r="HKS148" s="18"/>
      <c r="HKT148" s="19"/>
      <c r="HKU148" s="20"/>
      <c r="HKV148" s="20"/>
      <c r="HKW148" s="20"/>
      <c r="HKX148" s="20"/>
      <c r="HKY148" s="20"/>
      <c r="HKZ148" s="20"/>
      <c r="HLA148" s="20"/>
      <c r="HLB148" s="20"/>
      <c r="HLC148" s="20"/>
      <c r="HLD148" s="20"/>
      <c r="HLE148" s="20"/>
      <c r="HLF148" s="20"/>
      <c r="HLG148" s="20"/>
      <c r="HLH148" s="16"/>
      <c r="HLI148" s="18"/>
      <c r="HLJ148" s="19"/>
      <c r="HLK148" s="20"/>
      <c r="HLL148" s="20"/>
      <c r="HLM148" s="20"/>
      <c r="HLN148" s="20"/>
      <c r="HLO148" s="20"/>
      <c r="HLP148" s="20"/>
      <c r="HLQ148" s="20"/>
      <c r="HLR148" s="20"/>
      <c r="HLS148" s="20"/>
      <c r="HLT148" s="20"/>
      <c r="HLU148" s="20"/>
      <c r="HLV148" s="20"/>
      <c r="HLW148" s="20"/>
      <c r="HLX148" s="16"/>
      <c r="HLY148" s="18"/>
      <c r="HLZ148" s="19"/>
      <c r="HMA148" s="20"/>
      <c r="HMB148" s="20"/>
      <c r="HMC148" s="20"/>
      <c r="HMD148" s="20"/>
      <c r="HME148" s="20"/>
      <c r="HMF148" s="20"/>
      <c r="HMG148" s="20"/>
      <c r="HMH148" s="20"/>
      <c r="HMI148" s="20"/>
      <c r="HMJ148" s="20"/>
      <c r="HMK148" s="20"/>
      <c r="HML148" s="20"/>
      <c r="HMM148" s="20"/>
      <c r="HMN148" s="16"/>
      <c r="HMO148" s="18"/>
      <c r="HMP148" s="19"/>
      <c r="HMQ148" s="20"/>
      <c r="HMR148" s="20"/>
      <c r="HMS148" s="20"/>
      <c r="HMT148" s="20"/>
      <c r="HMU148" s="20"/>
      <c r="HMV148" s="20"/>
      <c r="HMW148" s="20"/>
      <c r="HMX148" s="20"/>
      <c r="HMY148" s="20"/>
      <c r="HMZ148" s="20"/>
      <c r="HNA148" s="20"/>
      <c r="HNB148" s="20"/>
      <c r="HNC148" s="20"/>
      <c r="HND148" s="16"/>
      <c r="HNE148" s="18"/>
      <c r="HNF148" s="19"/>
      <c r="HNG148" s="20"/>
      <c r="HNH148" s="20"/>
      <c r="HNI148" s="20"/>
      <c r="HNJ148" s="20"/>
      <c r="HNK148" s="20"/>
      <c r="HNL148" s="20"/>
      <c r="HNM148" s="20"/>
      <c r="HNN148" s="20"/>
      <c r="HNO148" s="20"/>
      <c r="HNP148" s="20"/>
      <c r="HNQ148" s="20"/>
      <c r="HNR148" s="20"/>
      <c r="HNS148" s="20"/>
      <c r="HNT148" s="16"/>
      <c r="HNU148" s="18"/>
      <c r="HNV148" s="19"/>
      <c r="HNW148" s="20"/>
      <c r="HNX148" s="20"/>
      <c r="HNY148" s="20"/>
      <c r="HNZ148" s="20"/>
      <c r="HOA148" s="20"/>
      <c r="HOB148" s="20"/>
      <c r="HOC148" s="20"/>
      <c r="HOD148" s="20"/>
      <c r="HOE148" s="20"/>
      <c r="HOF148" s="20"/>
      <c r="HOG148" s="20"/>
      <c r="HOH148" s="20"/>
      <c r="HOI148" s="20"/>
      <c r="HOJ148" s="16"/>
      <c r="HOK148" s="18"/>
      <c r="HOL148" s="19"/>
      <c r="HOM148" s="20"/>
      <c r="HON148" s="20"/>
      <c r="HOO148" s="20"/>
      <c r="HOP148" s="20"/>
      <c r="HOQ148" s="20"/>
      <c r="HOR148" s="20"/>
      <c r="HOS148" s="20"/>
      <c r="HOT148" s="20"/>
      <c r="HOU148" s="20"/>
      <c r="HOV148" s="20"/>
      <c r="HOW148" s="20"/>
      <c r="HOX148" s="20"/>
      <c r="HOY148" s="20"/>
      <c r="HOZ148" s="16"/>
      <c r="HPA148" s="18"/>
      <c r="HPB148" s="19"/>
      <c r="HPC148" s="20"/>
      <c r="HPD148" s="20"/>
      <c r="HPE148" s="20"/>
      <c r="HPF148" s="20"/>
      <c r="HPG148" s="20"/>
      <c r="HPH148" s="20"/>
      <c r="HPI148" s="20"/>
      <c r="HPJ148" s="20"/>
      <c r="HPK148" s="20"/>
      <c r="HPL148" s="20"/>
      <c r="HPM148" s="20"/>
      <c r="HPN148" s="20"/>
      <c r="HPO148" s="20"/>
      <c r="HPP148" s="16"/>
      <c r="HPQ148" s="18"/>
      <c r="HPR148" s="19"/>
      <c r="HPS148" s="20"/>
      <c r="HPT148" s="20"/>
      <c r="HPU148" s="20"/>
      <c r="HPV148" s="20"/>
      <c r="HPW148" s="20"/>
      <c r="HPX148" s="20"/>
      <c r="HPY148" s="20"/>
      <c r="HPZ148" s="20"/>
      <c r="HQA148" s="20"/>
      <c r="HQB148" s="20"/>
      <c r="HQC148" s="20"/>
      <c r="HQD148" s="20"/>
      <c r="HQE148" s="20"/>
      <c r="HQF148" s="16"/>
      <c r="HQG148" s="18"/>
      <c r="HQH148" s="19"/>
      <c r="HQI148" s="20"/>
      <c r="HQJ148" s="20"/>
      <c r="HQK148" s="20"/>
      <c r="HQL148" s="20"/>
      <c r="HQM148" s="20"/>
      <c r="HQN148" s="20"/>
      <c r="HQO148" s="20"/>
      <c r="HQP148" s="20"/>
      <c r="HQQ148" s="20"/>
      <c r="HQR148" s="20"/>
      <c r="HQS148" s="20"/>
      <c r="HQT148" s="20"/>
      <c r="HQU148" s="20"/>
      <c r="HQV148" s="16"/>
      <c r="HQW148" s="18"/>
      <c r="HQX148" s="19"/>
      <c r="HQY148" s="20"/>
      <c r="HQZ148" s="20"/>
      <c r="HRA148" s="20"/>
      <c r="HRB148" s="20"/>
      <c r="HRC148" s="20"/>
      <c r="HRD148" s="20"/>
      <c r="HRE148" s="20"/>
      <c r="HRF148" s="20"/>
      <c r="HRG148" s="20"/>
      <c r="HRH148" s="20"/>
      <c r="HRI148" s="20"/>
      <c r="HRJ148" s="20"/>
      <c r="HRK148" s="20"/>
      <c r="HRL148" s="16"/>
      <c r="HRM148" s="18"/>
      <c r="HRN148" s="19"/>
      <c r="HRO148" s="20"/>
      <c r="HRP148" s="20"/>
      <c r="HRQ148" s="20"/>
      <c r="HRR148" s="20"/>
      <c r="HRS148" s="20"/>
      <c r="HRT148" s="20"/>
      <c r="HRU148" s="20"/>
      <c r="HRV148" s="20"/>
      <c r="HRW148" s="20"/>
      <c r="HRX148" s="20"/>
      <c r="HRY148" s="20"/>
      <c r="HRZ148" s="20"/>
      <c r="HSA148" s="20"/>
      <c r="HSB148" s="16"/>
      <c r="HSC148" s="18"/>
      <c r="HSD148" s="19"/>
      <c r="HSE148" s="20"/>
      <c r="HSF148" s="20"/>
      <c r="HSG148" s="20"/>
      <c r="HSH148" s="20"/>
      <c r="HSI148" s="20"/>
      <c r="HSJ148" s="20"/>
      <c r="HSK148" s="20"/>
      <c r="HSL148" s="20"/>
      <c r="HSM148" s="20"/>
      <c r="HSN148" s="20"/>
      <c r="HSO148" s="20"/>
      <c r="HSP148" s="20"/>
      <c r="HSQ148" s="20"/>
      <c r="HSR148" s="16"/>
      <c r="HSS148" s="18"/>
      <c r="HST148" s="19"/>
      <c r="HSU148" s="20"/>
      <c r="HSV148" s="20"/>
      <c r="HSW148" s="20"/>
      <c r="HSX148" s="20"/>
      <c r="HSY148" s="20"/>
      <c r="HSZ148" s="20"/>
      <c r="HTA148" s="20"/>
      <c r="HTB148" s="20"/>
      <c r="HTC148" s="20"/>
      <c r="HTD148" s="20"/>
      <c r="HTE148" s="20"/>
      <c r="HTF148" s="20"/>
      <c r="HTG148" s="20"/>
      <c r="HTH148" s="16"/>
      <c r="HTI148" s="18"/>
      <c r="HTJ148" s="19"/>
      <c r="HTK148" s="20"/>
      <c r="HTL148" s="20"/>
      <c r="HTM148" s="20"/>
      <c r="HTN148" s="20"/>
      <c r="HTO148" s="20"/>
      <c r="HTP148" s="20"/>
      <c r="HTQ148" s="20"/>
      <c r="HTR148" s="20"/>
      <c r="HTS148" s="20"/>
      <c r="HTT148" s="20"/>
      <c r="HTU148" s="20"/>
      <c r="HTV148" s="20"/>
      <c r="HTW148" s="20"/>
      <c r="HTX148" s="16"/>
      <c r="HTY148" s="18"/>
      <c r="HTZ148" s="19"/>
      <c r="HUA148" s="20"/>
      <c r="HUB148" s="20"/>
      <c r="HUC148" s="20"/>
      <c r="HUD148" s="20"/>
      <c r="HUE148" s="20"/>
      <c r="HUF148" s="20"/>
      <c r="HUG148" s="20"/>
      <c r="HUH148" s="20"/>
      <c r="HUI148" s="20"/>
      <c r="HUJ148" s="20"/>
      <c r="HUK148" s="20"/>
      <c r="HUL148" s="20"/>
      <c r="HUM148" s="20"/>
      <c r="HUN148" s="16"/>
      <c r="HUO148" s="18"/>
      <c r="HUP148" s="19"/>
      <c r="HUQ148" s="20"/>
      <c r="HUR148" s="20"/>
      <c r="HUS148" s="20"/>
      <c r="HUT148" s="20"/>
      <c r="HUU148" s="20"/>
      <c r="HUV148" s="20"/>
      <c r="HUW148" s="20"/>
      <c r="HUX148" s="20"/>
      <c r="HUY148" s="20"/>
      <c r="HUZ148" s="20"/>
      <c r="HVA148" s="20"/>
      <c r="HVB148" s="20"/>
      <c r="HVC148" s="20"/>
      <c r="HVD148" s="16"/>
      <c r="HVE148" s="18"/>
      <c r="HVF148" s="19"/>
      <c r="HVG148" s="20"/>
      <c r="HVH148" s="20"/>
      <c r="HVI148" s="20"/>
      <c r="HVJ148" s="20"/>
      <c r="HVK148" s="20"/>
      <c r="HVL148" s="20"/>
      <c r="HVM148" s="20"/>
      <c r="HVN148" s="20"/>
      <c r="HVO148" s="20"/>
      <c r="HVP148" s="20"/>
      <c r="HVQ148" s="20"/>
      <c r="HVR148" s="20"/>
      <c r="HVS148" s="20"/>
      <c r="HVT148" s="16"/>
      <c r="HVU148" s="18"/>
      <c r="HVV148" s="19"/>
      <c r="HVW148" s="20"/>
      <c r="HVX148" s="20"/>
      <c r="HVY148" s="20"/>
      <c r="HVZ148" s="20"/>
      <c r="HWA148" s="20"/>
      <c r="HWB148" s="20"/>
      <c r="HWC148" s="20"/>
      <c r="HWD148" s="20"/>
      <c r="HWE148" s="20"/>
      <c r="HWF148" s="20"/>
      <c r="HWG148" s="20"/>
      <c r="HWH148" s="20"/>
      <c r="HWI148" s="20"/>
      <c r="HWJ148" s="16"/>
      <c r="HWK148" s="18"/>
      <c r="HWL148" s="19"/>
      <c r="HWM148" s="20"/>
      <c r="HWN148" s="20"/>
      <c r="HWO148" s="20"/>
      <c r="HWP148" s="20"/>
      <c r="HWQ148" s="20"/>
      <c r="HWR148" s="20"/>
      <c r="HWS148" s="20"/>
      <c r="HWT148" s="20"/>
      <c r="HWU148" s="20"/>
      <c r="HWV148" s="20"/>
      <c r="HWW148" s="20"/>
      <c r="HWX148" s="20"/>
      <c r="HWY148" s="20"/>
      <c r="HWZ148" s="16"/>
      <c r="HXA148" s="18"/>
      <c r="HXB148" s="19"/>
      <c r="HXC148" s="20"/>
      <c r="HXD148" s="20"/>
      <c r="HXE148" s="20"/>
      <c r="HXF148" s="20"/>
      <c r="HXG148" s="20"/>
      <c r="HXH148" s="20"/>
      <c r="HXI148" s="20"/>
      <c r="HXJ148" s="20"/>
      <c r="HXK148" s="20"/>
      <c r="HXL148" s="20"/>
      <c r="HXM148" s="20"/>
      <c r="HXN148" s="20"/>
      <c r="HXO148" s="20"/>
      <c r="HXP148" s="16"/>
      <c r="HXQ148" s="18"/>
      <c r="HXR148" s="19"/>
      <c r="HXS148" s="20"/>
      <c r="HXT148" s="20"/>
      <c r="HXU148" s="20"/>
      <c r="HXV148" s="20"/>
      <c r="HXW148" s="20"/>
      <c r="HXX148" s="20"/>
      <c r="HXY148" s="20"/>
      <c r="HXZ148" s="20"/>
      <c r="HYA148" s="20"/>
      <c r="HYB148" s="20"/>
      <c r="HYC148" s="20"/>
      <c r="HYD148" s="20"/>
      <c r="HYE148" s="20"/>
      <c r="HYF148" s="16"/>
      <c r="HYG148" s="18"/>
      <c r="HYH148" s="19"/>
      <c r="HYI148" s="20"/>
      <c r="HYJ148" s="20"/>
      <c r="HYK148" s="20"/>
      <c r="HYL148" s="20"/>
      <c r="HYM148" s="20"/>
      <c r="HYN148" s="20"/>
      <c r="HYO148" s="20"/>
      <c r="HYP148" s="20"/>
      <c r="HYQ148" s="20"/>
      <c r="HYR148" s="20"/>
      <c r="HYS148" s="20"/>
      <c r="HYT148" s="20"/>
      <c r="HYU148" s="20"/>
      <c r="HYV148" s="16"/>
      <c r="HYW148" s="18"/>
      <c r="HYX148" s="19"/>
      <c r="HYY148" s="20"/>
      <c r="HYZ148" s="20"/>
      <c r="HZA148" s="20"/>
      <c r="HZB148" s="20"/>
      <c r="HZC148" s="20"/>
      <c r="HZD148" s="20"/>
      <c r="HZE148" s="20"/>
      <c r="HZF148" s="20"/>
      <c r="HZG148" s="20"/>
      <c r="HZH148" s="20"/>
      <c r="HZI148" s="20"/>
      <c r="HZJ148" s="20"/>
      <c r="HZK148" s="20"/>
      <c r="HZL148" s="16"/>
      <c r="HZM148" s="18"/>
      <c r="HZN148" s="19"/>
      <c r="HZO148" s="20"/>
      <c r="HZP148" s="20"/>
      <c r="HZQ148" s="20"/>
      <c r="HZR148" s="20"/>
      <c r="HZS148" s="20"/>
      <c r="HZT148" s="20"/>
      <c r="HZU148" s="20"/>
      <c r="HZV148" s="20"/>
      <c r="HZW148" s="20"/>
      <c r="HZX148" s="20"/>
      <c r="HZY148" s="20"/>
      <c r="HZZ148" s="20"/>
      <c r="IAA148" s="20"/>
      <c r="IAB148" s="16"/>
      <c r="IAC148" s="18"/>
      <c r="IAD148" s="19"/>
      <c r="IAE148" s="20"/>
      <c r="IAF148" s="20"/>
      <c r="IAG148" s="20"/>
      <c r="IAH148" s="20"/>
      <c r="IAI148" s="20"/>
      <c r="IAJ148" s="20"/>
      <c r="IAK148" s="20"/>
      <c r="IAL148" s="20"/>
      <c r="IAM148" s="20"/>
      <c r="IAN148" s="20"/>
      <c r="IAO148" s="20"/>
      <c r="IAP148" s="20"/>
      <c r="IAQ148" s="20"/>
      <c r="IAR148" s="16"/>
      <c r="IAS148" s="18"/>
      <c r="IAT148" s="19"/>
      <c r="IAU148" s="20"/>
      <c r="IAV148" s="20"/>
      <c r="IAW148" s="20"/>
      <c r="IAX148" s="20"/>
      <c r="IAY148" s="20"/>
      <c r="IAZ148" s="20"/>
      <c r="IBA148" s="20"/>
      <c r="IBB148" s="20"/>
      <c r="IBC148" s="20"/>
      <c r="IBD148" s="20"/>
      <c r="IBE148" s="20"/>
      <c r="IBF148" s="20"/>
      <c r="IBG148" s="20"/>
      <c r="IBH148" s="16"/>
      <c r="IBI148" s="18"/>
      <c r="IBJ148" s="19"/>
      <c r="IBK148" s="20"/>
      <c r="IBL148" s="20"/>
      <c r="IBM148" s="20"/>
      <c r="IBN148" s="20"/>
      <c r="IBO148" s="20"/>
      <c r="IBP148" s="20"/>
      <c r="IBQ148" s="20"/>
      <c r="IBR148" s="20"/>
      <c r="IBS148" s="20"/>
      <c r="IBT148" s="20"/>
      <c r="IBU148" s="20"/>
      <c r="IBV148" s="20"/>
      <c r="IBW148" s="20"/>
      <c r="IBX148" s="16"/>
      <c r="IBY148" s="18"/>
      <c r="IBZ148" s="19"/>
      <c r="ICA148" s="20"/>
      <c r="ICB148" s="20"/>
      <c r="ICC148" s="20"/>
      <c r="ICD148" s="20"/>
      <c r="ICE148" s="20"/>
      <c r="ICF148" s="20"/>
      <c r="ICG148" s="20"/>
      <c r="ICH148" s="20"/>
      <c r="ICI148" s="20"/>
      <c r="ICJ148" s="20"/>
      <c r="ICK148" s="20"/>
      <c r="ICL148" s="20"/>
      <c r="ICM148" s="20"/>
      <c r="ICN148" s="16"/>
      <c r="ICO148" s="18"/>
      <c r="ICP148" s="19"/>
      <c r="ICQ148" s="20"/>
      <c r="ICR148" s="20"/>
      <c r="ICS148" s="20"/>
      <c r="ICT148" s="20"/>
      <c r="ICU148" s="20"/>
      <c r="ICV148" s="20"/>
      <c r="ICW148" s="20"/>
      <c r="ICX148" s="20"/>
      <c r="ICY148" s="20"/>
      <c r="ICZ148" s="20"/>
      <c r="IDA148" s="20"/>
      <c r="IDB148" s="20"/>
      <c r="IDC148" s="20"/>
      <c r="IDD148" s="16"/>
      <c r="IDE148" s="18"/>
      <c r="IDF148" s="19"/>
      <c r="IDG148" s="20"/>
      <c r="IDH148" s="20"/>
      <c r="IDI148" s="20"/>
      <c r="IDJ148" s="20"/>
      <c r="IDK148" s="20"/>
      <c r="IDL148" s="20"/>
      <c r="IDM148" s="20"/>
      <c r="IDN148" s="20"/>
      <c r="IDO148" s="20"/>
      <c r="IDP148" s="20"/>
      <c r="IDQ148" s="20"/>
      <c r="IDR148" s="20"/>
      <c r="IDS148" s="20"/>
      <c r="IDT148" s="16"/>
      <c r="IDU148" s="18"/>
      <c r="IDV148" s="19"/>
      <c r="IDW148" s="20"/>
      <c r="IDX148" s="20"/>
      <c r="IDY148" s="20"/>
      <c r="IDZ148" s="20"/>
      <c r="IEA148" s="20"/>
      <c r="IEB148" s="20"/>
      <c r="IEC148" s="20"/>
      <c r="IED148" s="20"/>
      <c r="IEE148" s="20"/>
      <c r="IEF148" s="20"/>
      <c r="IEG148" s="20"/>
      <c r="IEH148" s="20"/>
      <c r="IEI148" s="20"/>
      <c r="IEJ148" s="16"/>
      <c r="IEK148" s="18"/>
      <c r="IEL148" s="19"/>
      <c r="IEM148" s="20"/>
      <c r="IEN148" s="20"/>
      <c r="IEO148" s="20"/>
      <c r="IEP148" s="20"/>
      <c r="IEQ148" s="20"/>
      <c r="IER148" s="20"/>
      <c r="IES148" s="20"/>
      <c r="IET148" s="20"/>
      <c r="IEU148" s="20"/>
      <c r="IEV148" s="20"/>
      <c r="IEW148" s="20"/>
      <c r="IEX148" s="20"/>
      <c r="IEY148" s="20"/>
      <c r="IEZ148" s="16"/>
      <c r="IFA148" s="18"/>
      <c r="IFB148" s="19"/>
      <c r="IFC148" s="20"/>
      <c r="IFD148" s="20"/>
      <c r="IFE148" s="20"/>
      <c r="IFF148" s="20"/>
      <c r="IFG148" s="20"/>
      <c r="IFH148" s="20"/>
      <c r="IFI148" s="20"/>
      <c r="IFJ148" s="20"/>
      <c r="IFK148" s="20"/>
      <c r="IFL148" s="20"/>
      <c r="IFM148" s="20"/>
      <c r="IFN148" s="20"/>
      <c r="IFO148" s="20"/>
      <c r="IFP148" s="16"/>
      <c r="IFQ148" s="18"/>
      <c r="IFR148" s="19"/>
      <c r="IFS148" s="20"/>
      <c r="IFT148" s="20"/>
      <c r="IFU148" s="20"/>
      <c r="IFV148" s="20"/>
      <c r="IFW148" s="20"/>
      <c r="IFX148" s="20"/>
      <c r="IFY148" s="20"/>
      <c r="IFZ148" s="20"/>
      <c r="IGA148" s="20"/>
      <c r="IGB148" s="20"/>
      <c r="IGC148" s="20"/>
      <c r="IGD148" s="20"/>
      <c r="IGE148" s="20"/>
      <c r="IGF148" s="16"/>
      <c r="IGG148" s="18"/>
      <c r="IGH148" s="19"/>
      <c r="IGI148" s="20"/>
      <c r="IGJ148" s="20"/>
      <c r="IGK148" s="20"/>
      <c r="IGL148" s="20"/>
      <c r="IGM148" s="20"/>
      <c r="IGN148" s="20"/>
      <c r="IGO148" s="20"/>
      <c r="IGP148" s="20"/>
      <c r="IGQ148" s="20"/>
      <c r="IGR148" s="20"/>
      <c r="IGS148" s="20"/>
      <c r="IGT148" s="20"/>
      <c r="IGU148" s="20"/>
      <c r="IGV148" s="16"/>
      <c r="IGW148" s="18"/>
      <c r="IGX148" s="19"/>
      <c r="IGY148" s="20"/>
      <c r="IGZ148" s="20"/>
      <c r="IHA148" s="20"/>
      <c r="IHB148" s="20"/>
      <c r="IHC148" s="20"/>
      <c r="IHD148" s="20"/>
      <c r="IHE148" s="20"/>
      <c r="IHF148" s="20"/>
      <c r="IHG148" s="20"/>
      <c r="IHH148" s="20"/>
      <c r="IHI148" s="20"/>
      <c r="IHJ148" s="20"/>
      <c r="IHK148" s="20"/>
      <c r="IHL148" s="16"/>
      <c r="IHM148" s="18"/>
      <c r="IHN148" s="19"/>
      <c r="IHO148" s="20"/>
      <c r="IHP148" s="20"/>
      <c r="IHQ148" s="20"/>
      <c r="IHR148" s="20"/>
      <c r="IHS148" s="20"/>
      <c r="IHT148" s="20"/>
      <c r="IHU148" s="20"/>
      <c r="IHV148" s="20"/>
      <c r="IHW148" s="20"/>
      <c r="IHX148" s="20"/>
      <c r="IHY148" s="20"/>
      <c r="IHZ148" s="20"/>
      <c r="IIA148" s="20"/>
      <c r="IIB148" s="16"/>
      <c r="IIC148" s="18"/>
      <c r="IID148" s="19"/>
      <c r="IIE148" s="20"/>
      <c r="IIF148" s="20"/>
      <c r="IIG148" s="20"/>
      <c r="IIH148" s="20"/>
      <c r="III148" s="20"/>
      <c r="IIJ148" s="20"/>
      <c r="IIK148" s="20"/>
      <c r="IIL148" s="20"/>
      <c r="IIM148" s="20"/>
      <c r="IIN148" s="20"/>
      <c r="IIO148" s="20"/>
      <c r="IIP148" s="20"/>
      <c r="IIQ148" s="20"/>
      <c r="IIR148" s="16"/>
      <c r="IIS148" s="18"/>
      <c r="IIT148" s="19"/>
      <c r="IIU148" s="20"/>
      <c r="IIV148" s="20"/>
      <c r="IIW148" s="20"/>
      <c r="IIX148" s="20"/>
      <c r="IIY148" s="20"/>
      <c r="IIZ148" s="20"/>
      <c r="IJA148" s="20"/>
      <c r="IJB148" s="20"/>
      <c r="IJC148" s="20"/>
      <c r="IJD148" s="20"/>
      <c r="IJE148" s="20"/>
      <c r="IJF148" s="20"/>
      <c r="IJG148" s="20"/>
      <c r="IJH148" s="16"/>
      <c r="IJI148" s="18"/>
      <c r="IJJ148" s="19"/>
      <c r="IJK148" s="20"/>
      <c r="IJL148" s="20"/>
      <c r="IJM148" s="20"/>
      <c r="IJN148" s="20"/>
      <c r="IJO148" s="20"/>
      <c r="IJP148" s="20"/>
      <c r="IJQ148" s="20"/>
      <c r="IJR148" s="20"/>
      <c r="IJS148" s="20"/>
      <c r="IJT148" s="20"/>
      <c r="IJU148" s="20"/>
      <c r="IJV148" s="20"/>
      <c r="IJW148" s="20"/>
      <c r="IJX148" s="16"/>
      <c r="IJY148" s="18"/>
      <c r="IJZ148" s="19"/>
      <c r="IKA148" s="20"/>
      <c r="IKB148" s="20"/>
      <c r="IKC148" s="20"/>
      <c r="IKD148" s="20"/>
      <c r="IKE148" s="20"/>
      <c r="IKF148" s="20"/>
      <c r="IKG148" s="20"/>
      <c r="IKH148" s="20"/>
      <c r="IKI148" s="20"/>
      <c r="IKJ148" s="20"/>
      <c r="IKK148" s="20"/>
      <c r="IKL148" s="20"/>
      <c r="IKM148" s="20"/>
      <c r="IKN148" s="16"/>
      <c r="IKO148" s="18"/>
      <c r="IKP148" s="19"/>
      <c r="IKQ148" s="20"/>
      <c r="IKR148" s="20"/>
      <c r="IKS148" s="20"/>
      <c r="IKT148" s="20"/>
      <c r="IKU148" s="20"/>
      <c r="IKV148" s="20"/>
      <c r="IKW148" s="20"/>
      <c r="IKX148" s="20"/>
      <c r="IKY148" s="20"/>
      <c r="IKZ148" s="20"/>
      <c r="ILA148" s="20"/>
      <c r="ILB148" s="20"/>
      <c r="ILC148" s="20"/>
      <c r="ILD148" s="16"/>
      <c r="ILE148" s="18"/>
      <c r="ILF148" s="19"/>
      <c r="ILG148" s="20"/>
      <c r="ILH148" s="20"/>
      <c r="ILI148" s="20"/>
      <c r="ILJ148" s="20"/>
      <c r="ILK148" s="20"/>
      <c r="ILL148" s="20"/>
      <c r="ILM148" s="20"/>
      <c r="ILN148" s="20"/>
      <c r="ILO148" s="20"/>
      <c r="ILP148" s="20"/>
      <c r="ILQ148" s="20"/>
      <c r="ILR148" s="20"/>
      <c r="ILS148" s="20"/>
      <c r="ILT148" s="16"/>
      <c r="ILU148" s="18"/>
      <c r="ILV148" s="19"/>
      <c r="ILW148" s="20"/>
      <c r="ILX148" s="20"/>
      <c r="ILY148" s="20"/>
      <c r="ILZ148" s="20"/>
      <c r="IMA148" s="20"/>
      <c r="IMB148" s="20"/>
      <c r="IMC148" s="20"/>
      <c r="IMD148" s="20"/>
      <c r="IME148" s="20"/>
      <c r="IMF148" s="20"/>
      <c r="IMG148" s="20"/>
      <c r="IMH148" s="20"/>
      <c r="IMI148" s="20"/>
      <c r="IMJ148" s="16"/>
      <c r="IMK148" s="18"/>
      <c r="IML148" s="19"/>
      <c r="IMM148" s="20"/>
      <c r="IMN148" s="20"/>
      <c r="IMO148" s="20"/>
      <c r="IMP148" s="20"/>
      <c r="IMQ148" s="20"/>
      <c r="IMR148" s="20"/>
      <c r="IMS148" s="20"/>
      <c r="IMT148" s="20"/>
      <c r="IMU148" s="20"/>
      <c r="IMV148" s="20"/>
      <c r="IMW148" s="20"/>
      <c r="IMX148" s="20"/>
      <c r="IMY148" s="20"/>
      <c r="IMZ148" s="16"/>
      <c r="INA148" s="18"/>
      <c r="INB148" s="19"/>
      <c r="INC148" s="20"/>
      <c r="IND148" s="20"/>
      <c r="INE148" s="20"/>
      <c r="INF148" s="20"/>
      <c r="ING148" s="20"/>
      <c r="INH148" s="20"/>
      <c r="INI148" s="20"/>
      <c r="INJ148" s="20"/>
      <c r="INK148" s="20"/>
      <c r="INL148" s="20"/>
      <c r="INM148" s="20"/>
      <c r="INN148" s="20"/>
      <c r="INO148" s="20"/>
      <c r="INP148" s="16"/>
      <c r="INQ148" s="18"/>
      <c r="INR148" s="19"/>
      <c r="INS148" s="20"/>
      <c r="INT148" s="20"/>
      <c r="INU148" s="20"/>
      <c r="INV148" s="20"/>
      <c r="INW148" s="20"/>
      <c r="INX148" s="20"/>
      <c r="INY148" s="20"/>
      <c r="INZ148" s="20"/>
      <c r="IOA148" s="20"/>
      <c r="IOB148" s="20"/>
      <c r="IOC148" s="20"/>
      <c r="IOD148" s="20"/>
      <c r="IOE148" s="20"/>
      <c r="IOF148" s="16"/>
      <c r="IOG148" s="18"/>
      <c r="IOH148" s="19"/>
      <c r="IOI148" s="20"/>
      <c r="IOJ148" s="20"/>
      <c r="IOK148" s="20"/>
      <c r="IOL148" s="20"/>
      <c r="IOM148" s="20"/>
      <c r="ION148" s="20"/>
      <c r="IOO148" s="20"/>
      <c r="IOP148" s="20"/>
      <c r="IOQ148" s="20"/>
      <c r="IOR148" s="20"/>
      <c r="IOS148" s="20"/>
      <c r="IOT148" s="20"/>
      <c r="IOU148" s="20"/>
      <c r="IOV148" s="16"/>
      <c r="IOW148" s="18"/>
      <c r="IOX148" s="19"/>
      <c r="IOY148" s="20"/>
      <c r="IOZ148" s="20"/>
      <c r="IPA148" s="20"/>
      <c r="IPB148" s="20"/>
      <c r="IPC148" s="20"/>
      <c r="IPD148" s="20"/>
      <c r="IPE148" s="20"/>
      <c r="IPF148" s="20"/>
      <c r="IPG148" s="20"/>
      <c r="IPH148" s="20"/>
      <c r="IPI148" s="20"/>
      <c r="IPJ148" s="20"/>
      <c r="IPK148" s="20"/>
      <c r="IPL148" s="16"/>
      <c r="IPM148" s="18"/>
      <c r="IPN148" s="19"/>
      <c r="IPO148" s="20"/>
      <c r="IPP148" s="20"/>
      <c r="IPQ148" s="20"/>
      <c r="IPR148" s="20"/>
      <c r="IPS148" s="20"/>
      <c r="IPT148" s="20"/>
      <c r="IPU148" s="20"/>
      <c r="IPV148" s="20"/>
      <c r="IPW148" s="20"/>
      <c r="IPX148" s="20"/>
      <c r="IPY148" s="20"/>
      <c r="IPZ148" s="20"/>
      <c r="IQA148" s="20"/>
      <c r="IQB148" s="16"/>
      <c r="IQC148" s="18"/>
      <c r="IQD148" s="19"/>
      <c r="IQE148" s="20"/>
      <c r="IQF148" s="20"/>
      <c r="IQG148" s="20"/>
      <c r="IQH148" s="20"/>
      <c r="IQI148" s="20"/>
      <c r="IQJ148" s="20"/>
      <c r="IQK148" s="20"/>
      <c r="IQL148" s="20"/>
      <c r="IQM148" s="20"/>
      <c r="IQN148" s="20"/>
      <c r="IQO148" s="20"/>
      <c r="IQP148" s="20"/>
      <c r="IQQ148" s="20"/>
      <c r="IQR148" s="16"/>
      <c r="IQS148" s="18"/>
      <c r="IQT148" s="19"/>
      <c r="IQU148" s="20"/>
      <c r="IQV148" s="20"/>
      <c r="IQW148" s="20"/>
      <c r="IQX148" s="20"/>
      <c r="IQY148" s="20"/>
      <c r="IQZ148" s="20"/>
      <c r="IRA148" s="20"/>
      <c r="IRB148" s="20"/>
      <c r="IRC148" s="20"/>
      <c r="IRD148" s="20"/>
      <c r="IRE148" s="20"/>
      <c r="IRF148" s="20"/>
      <c r="IRG148" s="20"/>
      <c r="IRH148" s="16"/>
      <c r="IRI148" s="18"/>
      <c r="IRJ148" s="19"/>
      <c r="IRK148" s="20"/>
      <c r="IRL148" s="20"/>
      <c r="IRM148" s="20"/>
      <c r="IRN148" s="20"/>
      <c r="IRO148" s="20"/>
      <c r="IRP148" s="20"/>
      <c r="IRQ148" s="20"/>
      <c r="IRR148" s="20"/>
      <c r="IRS148" s="20"/>
      <c r="IRT148" s="20"/>
      <c r="IRU148" s="20"/>
      <c r="IRV148" s="20"/>
      <c r="IRW148" s="20"/>
      <c r="IRX148" s="16"/>
      <c r="IRY148" s="18"/>
      <c r="IRZ148" s="19"/>
      <c r="ISA148" s="20"/>
      <c r="ISB148" s="20"/>
      <c r="ISC148" s="20"/>
      <c r="ISD148" s="20"/>
      <c r="ISE148" s="20"/>
      <c r="ISF148" s="20"/>
      <c r="ISG148" s="20"/>
      <c r="ISH148" s="20"/>
      <c r="ISI148" s="20"/>
      <c r="ISJ148" s="20"/>
      <c r="ISK148" s="20"/>
      <c r="ISL148" s="20"/>
      <c r="ISM148" s="20"/>
      <c r="ISN148" s="16"/>
      <c r="ISO148" s="18"/>
      <c r="ISP148" s="19"/>
      <c r="ISQ148" s="20"/>
      <c r="ISR148" s="20"/>
      <c r="ISS148" s="20"/>
      <c r="IST148" s="20"/>
      <c r="ISU148" s="20"/>
      <c r="ISV148" s="20"/>
      <c r="ISW148" s="20"/>
      <c r="ISX148" s="20"/>
      <c r="ISY148" s="20"/>
      <c r="ISZ148" s="20"/>
      <c r="ITA148" s="20"/>
      <c r="ITB148" s="20"/>
      <c r="ITC148" s="20"/>
      <c r="ITD148" s="16"/>
      <c r="ITE148" s="18"/>
      <c r="ITF148" s="19"/>
      <c r="ITG148" s="20"/>
      <c r="ITH148" s="20"/>
      <c r="ITI148" s="20"/>
      <c r="ITJ148" s="20"/>
      <c r="ITK148" s="20"/>
      <c r="ITL148" s="20"/>
      <c r="ITM148" s="20"/>
      <c r="ITN148" s="20"/>
      <c r="ITO148" s="20"/>
      <c r="ITP148" s="20"/>
      <c r="ITQ148" s="20"/>
      <c r="ITR148" s="20"/>
      <c r="ITS148" s="20"/>
      <c r="ITT148" s="16"/>
      <c r="ITU148" s="18"/>
      <c r="ITV148" s="19"/>
      <c r="ITW148" s="20"/>
      <c r="ITX148" s="20"/>
      <c r="ITY148" s="20"/>
      <c r="ITZ148" s="20"/>
      <c r="IUA148" s="20"/>
      <c r="IUB148" s="20"/>
      <c r="IUC148" s="20"/>
      <c r="IUD148" s="20"/>
      <c r="IUE148" s="20"/>
      <c r="IUF148" s="20"/>
      <c r="IUG148" s="20"/>
      <c r="IUH148" s="20"/>
      <c r="IUI148" s="20"/>
      <c r="IUJ148" s="16"/>
      <c r="IUK148" s="18"/>
      <c r="IUL148" s="19"/>
      <c r="IUM148" s="20"/>
      <c r="IUN148" s="20"/>
      <c r="IUO148" s="20"/>
      <c r="IUP148" s="20"/>
      <c r="IUQ148" s="20"/>
      <c r="IUR148" s="20"/>
      <c r="IUS148" s="20"/>
      <c r="IUT148" s="20"/>
      <c r="IUU148" s="20"/>
      <c r="IUV148" s="20"/>
      <c r="IUW148" s="20"/>
      <c r="IUX148" s="20"/>
      <c r="IUY148" s="20"/>
      <c r="IUZ148" s="16"/>
      <c r="IVA148" s="18"/>
      <c r="IVB148" s="19"/>
      <c r="IVC148" s="20"/>
      <c r="IVD148" s="20"/>
      <c r="IVE148" s="20"/>
      <c r="IVF148" s="20"/>
      <c r="IVG148" s="20"/>
      <c r="IVH148" s="20"/>
      <c r="IVI148" s="20"/>
      <c r="IVJ148" s="20"/>
      <c r="IVK148" s="20"/>
      <c r="IVL148" s="20"/>
      <c r="IVM148" s="20"/>
      <c r="IVN148" s="20"/>
      <c r="IVO148" s="20"/>
      <c r="IVP148" s="16"/>
      <c r="IVQ148" s="18"/>
      <c r="IVR148" s="19"/>
      <c r="IVS148" s="20"/>
      <c r="IVT148" s="20"/>
      <c r="IVU148" s="20"/>
      <c r="IVV148" s="20"/>
      <c r="IVW148" s="20"/>
      <c r="IVX148" s="20"/>
      <c r="IVY148" s="20"/>
      <c r="IVZ148" s="20"/>
      <c r="IWA148" s="20"/>
      <c r="IWB148" s="20"/>
      <c r="IWC148" s="20"/>
      <c r="IWD148" s="20"/>
      <c r="IWE148" s="20"/>
      <c r="IWF148" s="16"/>
      <c r="IWG148" s="18"/>
      <c r="IWH148" s="19"/>
      <c r="IWI148" s="20"/>
      <c r="IWJ148" s="20"/>
      <c r="IWK148" s="20"/>
      <c r="IWL148" s="20"/>
      <c r="IWM148" s="20"/>
      <c r="IWN148" s="20"/>
      <c r="IWO148" s="20"/>
      <c r="IWP148" s="20"/>
      <c r="IWQ148" s="20"/>
      <c r="IWR148" s="20"/>
      <c r="IWS148" s="20"/>
      <c r="IWT148" s="20"/>
      <c r="IWU148" s="20"/>
      <c r="IWV148" s="16"/>
      <c r="IWW148" s="18"/>
      <c r="IWX148" s="19"/>
      <c r="IWY148" s="20"/>
      <c r="IWZ148" s="20"/>
      <c r="IXA148" s="20"/>
      <c r="IXB148" s="20"/>
      <c r="IXC148" s="20"/>
      <c r="IXD148" s="20"/>
      <c r="IXE148" s="20"/>
      <c r="IXF148" s="20"/>
      <c r="IXG148" s="20"/>
      <c r="IXH148" s="20"/>
      <c r="IXI148" s="20"/>
      <c r="IXJ148" s="20"/>
      <c r="IXK148" s="20"/>
      <c r="IXL148" s="16"/>
      <c r="IXM148" s="18"/>
      <c r="IXN148" s="19"/>
      <c r="IXO148" s="20"/>
      <c r="IXP148" s="20"/>
      <c r="IXQ148" s="20"/>
      <c r="IXR148" s="20"/>
      <c r="IXS148" s="20"/>
      <c r="IXT148" s="20"/>
      <c r="IXU148" s="20"/>
      <c r="IXV148" s="20"/>
      <c r="IXW148" s="20"/>
      <c r="IXX148" s="20"/>
      <c r="IXY148" s="20"/>
      <c r="IXZ148" s="20"/>
      <c r="IYA148" s="20"/>
      <c r="IYB148" s="16"/>
      <c r="IYC148" s="18"/>
      <c r="IYD148" s="19"/>
      <c r="IYE148" s="20"/>
      <c r="IYF148" s="20"/>
      <c r="IYG148" s="20"/>
      <c r="IYH148" s="20"/>
      <c r="IYI148" s="20"/>
      <c r="IYJ148" s="20"/>
      <c r="IYK148" s="20"/>
      <c r="IYL148" s="20"/>
      <c r="IYM148" s="20"/>
      <c r="IYN148" s="20"/>
      <c r="IYO148" s="20"/>
      <c r="IYP148" s="20"/>
      <c r="IYQ148" s="20"/>
      <c r="IYR148" s="16"/>
      <c r="IYS148" s="18"/>
      <c r="IYT148" s="19"/>
      <c r="IYU148" s="20"/>
      <c r="IYV148" s="20"/>
      <c r="IYW148" s="20"/>
      <c r="IYX148" s="20"/>
      <c r="IYY148" s="20"/>
      <c r="IYZ148" s="20"/>
      <c r="IZA148" s="20"/>
      <c r="IZB148" s="20"/>
      <c r="IZC148" s="20"/>
      <c r="IZD148" s="20"/>
      <c r="IZE148" s="20"/>
      <c r="IZF148" s="20"/>
      <c r="IZG148" s="20"/>
      <c r="IZH148" s="16"/>
      <c r="IZI148" s="18"/>
      <c r="IZJ148" s="19"/>
      <c r="IZK148" s="20"/>
      <c r="IZL148" s="20"/>
      <c r="IZM148" s="20"/>
      <c r="IZN148" s="20"/>
      <c r="IZO148" s="20"/>
      <c r="IZP148" s="20"/>
      <c r="IZQ148" s="20"/>
      <c r="IZR148" s="20"/>
      <c r="IZS148" s="20"/>
      <c r="IZT148" s="20"/>
      <c r="IZU148" s="20"/>
      <c r="IZV148" s="20"/>
      <c r="IZW148" s="20"/>
      <c r="IZX148" s="16"/>
      <c r="IZY148" s="18"/>
      <c r="IZZ148" s="19"/>
      <c r="JAA148" s="20"/>
      <c r="JAB148" s="20"/>
      <c r="JAC148" s="20"/>
      <c r="JAD148" s="20"/>
      <c r="JAE148" s="20"/>
      <c r="JAF148" s="20"/>
      <c r="JAG148" s="20"/>
      <c r="JAH148" s="20"/>
      <c r="JAI148" s="20"/>
      <c r="JAJ148" s="20"/>
      <c r="JAK148" s="20"/>
      <c r="JAL148" s="20"/>
      <c r="JAM148" s="20"/>
      <c r="JAN148" s="16"/>
      <c r="JAO148" s="18"/>
      <c r="JAP148" s="19"/>
      <c r="JAQ148" s="20"/>
      <c r="JAR148" s="20"/>
      <c r="JAS148" s="20"/>
      <c r="JAT148" s="20"/>
      <c r="JAU148" s="20"/>
      <c r="JAV148" s="20"/>
      <c r="JAW148" s="20"/>
      <c r="JAX148" s="20"/>
      <c r="JAY148" s="20"/>
      <c r="JAZ148" s="20"/>
      <c r="JBA148" s="20"/>
      <c r="JBB148" s="20"/>
      <c r="JBC148" s="20"/>
      <c r="JBD148" s="16"/>
      <c r="JBE148" s="18"/>
      <c r="JBF148" s="19"/>
      <c r="JBG148" s="20"/>
      <c r="JBH148" s="20"/>
      <c r="JBI148" s="20"/>
      <c r="JBJ148" s="20"/>
      <c r="JBK148" s="20"/>
      <c r="JBL148" s="20"/>
      <c r="JBM148" s="20"/>
      <c r="JBN148" s="20"/>
      <c r="JBO148" s="20"/>
      <c r="JBP148" s="20"/>
      <c r="JBQ148" s="20"/>
      <c r="JBR148" s="20"/>
      <c r="JBS148" s="20"/>
      <c r="JBT148" s="16"/>
      <c r="JBU148" s="18"/>
      <c r="JBV148" s="19"/>
      <c r="JBW148" s="20"/>
      <c r="JBX148" s="20"/>
      <c r="JBY148" s="20"/>
      <c r="JBZ148" s="20"/>
      <c r="JCA148" s="20"/>
      <c r="JCB148" s="20"/>
      <c r="JCC148" s="20"/>
      <c r="JCD148" s="20"/>
      <c r="JCE148" s="20"/>
      <c r="JCF148" s="20"/>
      <c r="JCG148" s="20"/>
      <c r="JCH148" s="20"/>
      <c r="JCI148" s="20"/>
      <c r="JCJ148" s="16"/>
      <c r="JCK148" s="18"/>
      <c r="JCL148" s="19"/>
      <c r="JCM148" s="20"/>
      <c r="JCN148" s="20"/>
      <c r="JCO148" s="20"/>
      <c r="JCP148" s="20"/>
      <c r="JCQ148" s="20"/>
      <c r="JCR148" s="20"/>
      <c r="JCS148" s="20"/>
      <c r="JCT148" s="20"/>
      <c r="JCU148" s="20"/>
      <c r="JCV148" s="20"/>
      <c r="JCW148" s="20"/>
      <c r="JCX148" s="20"/>
      <c r="JCY148" s="20"/>
      <c r="JCZ148" s="16"/>
      <c r="JDA148" s="18"/>
      <c r="JDB148" s="19"/>
      <c r="JDC148" s="20"/>
      <c r="JDD148" s="20"/>
      <c r="JDE148" s="20"/>
      <c r="JDF148" s="20"/>
      <c r="JDG148" s="20"/>
      <c r="JDH148" s="20"/>
      <c r="JDI148" s="20"/>
      <c r="JDJ148" s="20"/>
      <c r="JDK148" s="20"/>
      <c r="JDL148" s="20"/>
      <c r="JDM148" s="20"/>
      <c r="JDN148" s="20"/>
      <c r="JDO148" s="20"/>
      <c r="JDP148" s="16"/>
      <c r="JDQ148" s="18"/>
      <c r="JDR148" s="19"/>
      <c r="JDS148" s="20"/>
      <c r="JDT148" s="20"/>
      <c r="JDU148" s="20"/>
      <c r="JDV148" s="20"/>
      <c r="JDW148" s="20"/>
      <c r="JDX148" s="20"/>
      <c r="JDY148" s="20"/>
      <c r="JDZ148" s="20"/>
      <c r="JEA148" s="20"/>
      <c r="JEB148" s="20"/>
      <c r="JEC148" s="20"/>
      <c r="JED148" s="20"/>
      <c r="JEE148" s="20"/>
      <c r="JEF148" s="16"/>
      <c r="JEG148" s="18"/>
      <c r="JEH148" s="19"/>
      <c r="JEI148" s="20"/>
      <c r="JEJ148" s="20"/>
      <c r="JEK148" s="20"/>
      <c r="JEL148" s="20"/>
      <c r="JEM148" s="20"/>
      <c r="JEN148" s="20"/>
      <c r="JEO148" s="20"/>
      <c r="JEP148" s="20"/>
      <c r="JEQ148" s="20"/>
      <c r="JER148" s="20"/>
      <c r="JES148" s="20"/>
      <c r="JET148" s="20"/>
      <c r="JEU148" s="20"/>
      <c r="JEV148" s="16"/>
      <c r="JEW148" s="18"/>
      <c r="JEX148" s="19"/>
      <c r="JEY148" s="20"/>
      <c r="JEZ148" s="20"/>
      <c r="JFA148" s="20"/>
      <c r="JFB148" s="20"/>
      <c r="JFC148" s="20"/>
      <c r="JFD148" s="20"/>
      <c r="JFE148" s="20"/>
      <c r="JFF148" s="20"/>
      <c r="JFG148" s="20"/>
      <c r="JFH148" s="20"/>
      <c r="JFI148" s="20"/>
      <c r="JFJ148" s="20"/>
      <c r="JFK148" s="20"/>
      <c r="JFL148" s="16"/>
      <c r="JFM148" s="18"/>
      <c r="JFN148" s="19"/>
      <c r="JFO148" s="20"/>
      <c r="JFP148" s="20"/>
      <c r="JFQ148" s="20"/>
      <c r="JFR148" s="20"/>
      <c r="JFS148" s="20"/>
      <c r="JFT148" s="20"/>
      <c r="JFU148" s="20"/>
      <c r="JFV148" s="20"/>
      <c r="JFW148" s="20"/>
      <c r="JFX148" s="20"/>
      <c r="JFY148" s="20"/>
      <c r="JFZ148" s="20"/>
      <c r="JGA148" s="20"/>
      <c r="JGB148" s="16"/>
      <c r="JGC148" s="18"/>
      <c r="JGD148" s="19"/>
      <c r="JGE148" s="20"/>
      <c r="JGF148" s="20"/>
      <c r="JGG148" s="20"/>
      <c r="JGH148" s="20"/>
      <c r="JGI148" s="20"/>
      <c r="JGJ148" s="20"/>
      <c r="JGK148" s="20"/>
      <c r="JGL148" s="20"/>
      <c r="JGM148" s="20"/>
      <c r="JGN148" s="20"/>
      <c r="JGO148" s="20"/>
      <c r="JGP148" s="20"/>
      <c r="JGQ148" s="20"/>
      <c r="JGR148" s="16"/>
      <c r="JGS148" s="18"/>
      <c r="JGT148" s="19"/>
      <c r="JGU148" s="20"/>
      <c r="JGV148" s="20"/>
      <c r="JGW148" s="20"/>
      <c r="JGX148" s="20"/>
      <c r="JGY148" s="20"/>
      <c r="JGZ148" s="20"/>
      <c r="JHA148" s="20"/>
      <c r="JHB148" s="20"/>
      <c r="JHC148" s="20"/>
      <c r="JHD148" s="20"/>
      <c r="JHE148" s="20"/>
      <c r="JHF148" s="20"/>
      <c r="JHG148" s="20"/>
      <c r="JHH148" s="16"/>
      <c r="JHI148" s="18"/>
      <c r="JHJ148" s="19"/>
      <c r="JHK148" s="20"/>
      <c r="JHL148" s="20"/>
      <c r="JHM148" s="20"/>
      <c r="JHN148" s="20"/>
      <c r="JHO148" s="20"/>
      <c r="JHP148" s="20"/>
      <c r="JHQ148" s="20"/>
      <c r="JHR148" s="20"/>
      <c r="JHS148" s="20"/>
      <c r="JHT148" s="20"/>
      <c r="JHU148" s="20"/>
      <c r="JHV148" s="20"/>
      <c r="JHW148" s="20"/>
      <c r="JHX148" s="16"/>
      <c r="JHY148" s="18"/>
      <c r="JHZ148" s="19"/>
      <c r="JIA148" s="20"/>
      <c r="JIB148" s="20"/>
      <c r="JIC148" s="20"/>
      <c r="JID148" s="20"/>
      <c r="JIE148" s="20"/>
      <c r="JIF148" s="20"/>
      <c r="JIG148" s="20"/>
      <c r="JIH148" s="20"/>
      <c r="JII148" s="20"/>
      <c r="JIJ148" s="20"/>
      <c r="JIK148" s="20"/>
      <c r="JIL148" s="20"/>
      <c r="JIM148" s="20"/>
      <c r="JIN148" s="16"/>
      <c r="JIO148" s="18"/>
      <c r="JIP148" s="19"/>
      <c r="JIQ148" s="20"/>
      <c r="JIR148" s="20"/>
      <c r="JIS148" s="20"/>
      <c r="JIT148" s="20"/>
      <c r="JIU148" s="20"/>
      <c r="JIV148" s="20"/>
      <c r="JIW148" s="20"/>
      <c r="JIX148" s="20"/>
      <c r="JIY148" s="20"/>
      <c r="JIZ148" s="20"/>
      <c r="JJA148" s="20"/>
      <c r="JJB148" s="20"/>
      <c r="JJC148" s="20"/>
      <c r="JJD148" s="16"/>
      <c r="JJE148" s="18"/>
      <c r="JJF148" s="19"/>
      <c r="JJG148" s="20"/>
      <c r="JJH148" s="20"/>
      <c r="JJI148" s="20"/>
      <c r="JJJ148" s="20"/>
      <c r="JJK148" s="20"/>
      <c r="JJL148" s="20"/>
      <c r="JJM148" s="20"/>
      <c r="JJN148" s="20"/>
      <c r="JJO148" s="20"/>
      <c r="JJP148" s="20"/>
      <c r="JJQ148" s="20"/>
      <c r="JJR148" s="20"/>
      <c r="JJS148" s="20"/>
      <c r="JJT148" s="16"/>
      <c r="JJU148" s="18"/>
      <c r="JJV148" s="19"/>
      <c r="JJW148" s="20"/>
      <c r="JJX148" s="20"/>
      <c r="JJY148" s="20"/>
      <c r="JJZ148" s="20"/>
      <c r="JKA148" s="20"/>
      <c r="JKB148" s="20"/>
      <c r="JKC148" s="20"/>
      <c r="JKD148" s="20"/>
      <c r="JKE148" s="20"/>
      <c r="JKF148" s="20"/>
      <c r="JKG148" s="20"/>
      <c r="JKH148" s="20"/>
      <c r="JKI148" s="20"/>
      <c r="JKJ148" s="16"/>
      <c r="JKK148" s="18"/>
      <c r="JKL148" s="19"/>
      <c r="JKM148" s="20"/>
      <c r="JKN148" s="20"/>
      <c r="JKO148" s="20"/>
      <c r="JKP148" s="20"/>
      <c r="JKQ148" s="20"/>
      <c r="JKR148" s="20"/>
      <c r="JKS148" s="20"/>
      <c r="JKT148" s="20"/>
      <c r="JKU148" s="20"/>
      <c r="JKV148" s="20"/>
      <c r="JKW148" s="20"/>
      <c r="JKX148" s="20"/>
      <c r="JKY148" s="20"/>
      <c r="JKZ148" s="16"/>
      <c r="JLA148" s="18"/>
      <c r="JLB148" s="19"/>
      <c r="JLC148" s="20"/>
      <c r="JLD148" s="20"/>
      <c r="JLE148" s="20"/>
      <c r="JLF148" s="20"/>
      <c r="JLG148" s="20"/>
      <c r="JLH148" s="20"/>
      <c r="JLI148" s="20"/>
      <c r="JLJ148" s="20"/>
      <c r="JLK148" s="20"/>
      <c r="JLL148" s="20"/>
      <c r="JLM148" s="20"/>
      <c r="JLN148" s="20"/>
      <c r="JLO148" s="20"/>
      <c r="JLP148" s="16"/>
      <c r="JLQ148" s="18"/>
      <c r="JLR148" s="19"/>
      <c r="JLS148" s="20"/>
      <c r="JLT148" s="20"/>
      <c r="JLU148" s="20"/>
      <c r="JLV148" s="20"/>
      <c r="JLW148" s="20"/>
      <c r="JLX148" s="20"/>
      <c r="JLY148" s="20"/>
      <c r="JLZ148" s="20"/>
      <c r="JMA148" s="20"/>
      <c r="JMB148" s="20"/>
      <c r="JMC148" s="20"/>
      <c r="JMD148" s="20"/>
      <c r="JME148" s="20"/>
      <c r="JMF148" s="16"/>
      <c r="JMG148" s="18"/>
      <c r="JMH148" s="19"/>
      <c r="JMI148" s="20"/>
      <c r="JMJ148" s="20"/>
      <c r="JMK148" s="20"/>
      <c r="JML148" s="20"/>
      <c r="JMM148" s="20"/>
      <c r="JMN148" s="20"/>
      <c r="JMO148" s="20"/>
      <c r="JMP148" s="20"/>
      <c r="JMQ148" s="20"/>
      <c r="JMR148" s="20"/>
      <c r="JMS148" s="20"/>
      <c r="JMT148" s="20"/>
      <c r="JMU148" s="20"/>
      <c r="JMV148" s="16"/>
      <c r="JMW148" s="18"/>
      <c r="JMX148" s="19"/>
      <c r="JMY148" s="20"/>
      <c r="JMZ148" s="20"/>
      <c r="JNA148" s="20"/>
      <c r="JNB148" s="20"/>
      <c r="JNC148" s="20"/>
      <c r="JND148" s="20"/>
      <c r="JNE148" s="20"/>
      <c r="JNF148" s="20"/>
      <c r="JNG148" s="20"/>
      <c r="JNH148" s="20"/>
      <c r="JNI148" s="20"/>
      <c r="JNJ148" s="20"/>
      <c r="JNK148" s="20"/>
      <c r="JNL148" s="16"/>
      <c r="JNM148" s="18"/>
      <c r="JNN148" s="19"/>
      <c r="JNO148" s="20"/>
      <c r="JNP148" s="20"/>
      <c r="JNQ148" s="20"/>
      <c r="JNR148" s="20"/>
      <c r="JNS148" s="20"/>
      <c r="JNT148" s="20"/>
      <c r="JNU148" s="20"/>
      <c r="JNV148" s="20"/>
      <c r="JNW148" s="20"/>
      <c r="JNX148" s="20"/>
      <c r="JNY148" s="20"/>
      <c r="JNZ148" s="20"/>
      <c r="JOA148" s="20"/>
      <c r="JOB148" s="16"/>
      <c r="JOC148" s="18"/>
      <c r="JOD148" s="19"/>
      <c r="JOE148" s="20"/>
      <c r="JOF148" s="20"/>
      <c r="JOG148" s="20"/>
      <c r="JOH148" s="20"/>
      <c r="JOI148" s="20"/>
      <c r="JOJ148" s="20"/>
      <c r="JOK148" s="20"/>
      <c r="JOL148" s="20"/>
      <c r="JOM148" s="20"/>
      <c r="JON148" s="20"/>
      <c r="JOO148" s="20"/>
      <c r="JOP148" s="20"/>
      <c r="JOQ148" s="20"/>
      <c r="JOR148" s="16"/>
      <c r="JOS148" s="18"/>
      <c r="JOT148" s="19"/>
      <c r="JOU148" s="20"/>
      <c r="JOV148" s="20"/>
      <c r="JOW148" s="20"/>
      <c r="JOX148" s="20"/>
      <c r="JOY148" s="20"/>
      <c r="JOZ148" s="20"/>
      <c r="JPA148" s="20"/>
      <c r="JPB148" s="20"/>
      <c r="JPC148" s="20"/>
      <c r="JPD148" s="20"/>
      <c r="JPE148" s="20"/>
      <c r="JPF148" s="20"/>
      <c r="JPG148" s="20"/>
      <c r="JPH148" s="16"/>
      <c r="JPI148" s="18"/>
      <c r="JPJ148" s="19"/>
      <c r="JPK148" s="20"/>
      <c r="JPL148" s="20"/>
      <c r="JPM148" s="20"/>
      <c r="JPN148" s="20"/>
      <c r="JPO148" s="20"/>
      <c r="JPP148" s="20"/>
      <c r="JPQ148" s="20"/>
      <c r="JPR148" s="20"/>
      <c r="JPS148" s="20"/>
      <c r="JPT148" s="20"/>
      <c r="JPU148" s="20"/>
      <c r="JPV148" s="20"/>
      <c r="JPW148" s="20"/>
      <c r="JPX148" s="16"/>
      <c r="JPY148" s="18"/>
      <c r="JPZ148" s="19"/>
      <c r="JQA148" s="20"/>
      <c r="JQB148" s="20"/>
      <c r="JQC148" s="20"/>
      <c r="JQD148" s="20"/>
      <c r="JQE148" s="20"/>
      <c r="JQF148" s="20"/>
      <c r="JQG148" s="20"/>
      <c r="JQH148" s="20"/>
      <c r="JQI148" s="20"/>
      <c r="JQJ148" s="20"/>
      <c r="JQK148" s="20"/>
      <c r="JQL148" s="20"/>
      <c r="JQM148" s="20"/>
      <c r="JQN148" s="16"/>
      <c r="JQO148" s="18"/>
      <c r="JQP148" s="19"/>
      <c r="JQQ148" s="20"/>
      <c r="JQR148" s="20"/>
      <c r="JQS148" s="20"/>
      <c r="JQT148" s="20"/>
      <c r="JQU148" s="20"/>
      <c r="JQV148" s="20"/>
      <c r="JQW148" s="20"/>
      <c r="JQX148" s="20"/>
      <c r="JQY148" s="20"/>
      <c r="JQZ148" s="20"/>
      <c r="JRA148" s="20"/>
      <c r="JRB148" s="20"/>
      <c r="JRC148" s="20"/>
      <c r="JRD148" s="16"/>
      <c r="JRE148" s="18"/>
      <c r="JRF148" s="19"/>
      <c r="JRG148" s="20"/>
      <c r="JRH148" s="20"/>
      <c r="JRI148" s="20"/>
      <c r="JRJ148" s="20"/>
      <c r="JRK148" s="20"/>
      <c r="JRL148" s="20"/>
      <c r="JRM148" s="20"/>
      <c r="JRN148" s="20"/>
      <c r="JRO148" s="20"/>
      <c r="JRP148" s="20"/>
      <c r="JRQ148" s="20"/>
      <c r="JRR148" s="20"/>
      <c r="JRS148" s="20"/>
      <c r="JRT148" s="16"/>
      <c r="JRU148" s="18"/>
      <c r="JRV148" s="19"/>
      <c r="JRW148" s="20"/>
      <c r="JRX148" s="20"/>
      <c r="JRY148" s="20"/>
      <c r="JRZ148" s="20"/>
      <c r="JSA148" s="20"/>
      <c r="JSB148" s="20"/>
      <c r="JSC148" s="20"/>
      <c r="JSD148" s="20"/>
      <c r="JSE148" s="20"/>
      <c r="JSF148" s="20"/>
      <c r="JSG148" s="20"/>
      <c r="JSH148" s="20"/>
      <c r="JSI148" s="20"/>
      <c r="JSJ148" s="16"/>
      <c r="JSK148" s="18"/>
      <c r="JSL148" s="19"/>
      <c r="JSM148" s="20"/>
      <c r="JSN148" s="20"/>
      <c r="JSO148" s="20"/>
      <c r="JSP148" s="20"/>
      <c r="JSQ148" s="20"/>
      <c r="JSR148" s="20"/>
      <c r="JSS148" s="20"/>
      <c r="JST148" s="20"/>
      <c r="JSU148" s="20"/>
      <c r="JSV148" s="20"/>
      <c r="JSW148" s="20"/>
      <c r="JSX148" s="20"/>
      <c r="JSY148" s="20"/>
      <c r="JSZ148" s="16"/>
      <c r="JTA148" s="18"/>
      <c r="JTB148" s="19"/>
      <c r="JTC148" s="20"/>
      <c r="JTD148" s="20"/>
      <c r="JTE148" s="20"/>
      <c r="JTF148" s="20"/>
      <c r="JTG148" s="20"/>
      <c r="JTH148" s="20"/>
      <c r="JTI148" s="20"/>
      <c r="JTJ148" s="20"/>
      <c r="JTK148" s="20"/>
      <c r="JTL148" s="20"/>
      <c r="JTM148" s="20"/>
      <c r="JTN148" s="20"/>
      <c r="JTO148" s="20"/>
      <c r="JTP148" s="16"/>
      <c r="JTQ148" s="18"/>
      <c r="JTR148" s="19"/>
      <c r="JTS148" s="20"/>
      <c r="JTT148" s="20"/>
      <c r="JTU148" s="20"/>
      <c r="JTV148" s="20"/>
      <c r="JTW148" s="20"/>
      <c r="JTX148" s="20"/>
      <c r="JTY148" s="20"/>
      <c r="JTZ148" s="20"/>
      <c r="JUA148" s="20"/>
      <c r="JUB148" s="20"/>
      <c r="JUC148" s="20"/>
      <c r="JUD148" s="20"/>
      <c r="JUE148" s="20"/>
      <c r="JUF148" s="16"/>
      <c r="JUG148" s="18"/>
      <c r="JUH148" s="19"/>
      <c r="JUI148" s="20"/>
      <c r="JUJ148" s="20"/>
      <c r="JUK148" s="20"/>
      <c r="JUL148" s="20"/>
      <c r="JUM148" s="20"/>
      <c r="JUN148" s="20"/>
      <c r="JUO148" s="20"/>
      <c r="JUP148" s="20"/>
      <c r="JUQ148" s="20"/>
      <c r="JUR148" s="20"/>
      <c r="JUS148" s="20"/>
      <c r="JUT148" s="20"/>
      <c r="JUU148" s="20"/>
      <c r="JUV148" s="16"/>
      <c r="JUW148" s="18"/>
      <c r="JUX148" s="19"/>
      <c r="JUY148" s="20"/>
      <c r="JUZ148" s="20"/>
      <c r="JVA148" s="20"/>
      <c r="JVB148" s="20"/>
      <c r="JVC148" s="20"/>
      <c r="JVD148" s="20"/>
      <c r="JVE148" s="20"/>
      <c r="JVF148" s="20"/>
      <c r="JVG148" s="20"/>
      <c r="JVH148" s="20"/>
      <c r="JVI148" s="20"/>
      <c r="JVJ148" s="20"/>
      <c r="JVK148" s="20"/>
      <c r="JVL148" s="16"/>
      <c r="JVM148" s="18"/>
      <c r="JVN148" s="19"/>
      <c r="JVO148" s="20"/>
      <c r="JVP148" s="20"/>
      <c r="JVQ148" s="20"/>
      <c r="JVR148" s="20"/>
      <c r="JVS148" s="20"/>
      <c r="JVT148" s="20"/>
      <c r="JVU148" s="20"/>
      <c r="JVV148" s="20"/>
      <c r="JVW148" s="20"/>
      <c r="JVX148" s="20"/>
      <c r="JVY148" s="20"/>
      <c r="JVZ148" s="20"/>
      <c r="JWA148" s="20"/>
      <c r="JWB148" s="16"/>
      <c r="JWC148" s="18"/>
      <c r="JWD148" s="19"/>
      <c r="JWE148" s="20"/>
      <c r="JWF148" s="20"/>
      <c r="JWG148" s="20"/>
      <c r="JWH148" s="20"/>
      <c r="JWI148" s="20"/>
      <c r="JWJ148" s="20"/>
      <c r="JWK148" s="20"/>
      <c r="JWL148" s="20"/>
      <c r="JWM148" s="20"/>
      <c r="JWN148" s="20"/>
      <c r="JWO148" s="20"/>
      <c r="JWP148" s="20"/>
      <c r="JWQ148" s="20"/>
      <c r="JWR148" s="16"/>
      <c r="JWS148" s="18"/>
      <c r="JWT148" s="19"/>
      <c r="JWU148" s="20"/>
      <c r="JWV148" s="20"/>
      <c r="JWW148" s="20"/>
      <c r="JWX148" s="20"/>
      <c r="JWY148" s="20"/>
      <c r="JWZ148" s="20"/>
      <c r="JXA148" s="20"/>
      <c r="JXB148" s="20"/>
      <c r="JXC148" s="20"/>
      <c r="JXD148" s="20"/>
      <c r="JXE148" s="20"/>
      <c r="JXF148" s="20"/>
      <c r="JXG148" s="20"/>
      <c r="JXH148" s="16"/>
      <c r="JXI148" s="18"/>
      <c r="JXJ148" s="19"/>
      <c r="JXK148" s="20"/>
      <c r="JXL148" s="20"/>
      <c r="JXM148" s="20"/>
      <c r="JXN148" s="20"/>
      <c r="JXO148" s="20"/>
      <c r="JXP148" s="20"/>
      <c r="JXQ148" s="20"/>
      <c r="JXR148" s="20"/>
      <c r="JXS148" s="20"/>
      <c r="JXT148" s="20"/>
      <c r="JXU148" s="20"/>
      <c r="JXV148" s="20"/>
      <c r="JXW148" s="20"/>
      <c r="JXX148" s="16"/>
      <c r="JXY148" s="18"/>
      <c r="JXZ148" s="19"/>
      <c r="JYA148" s="20"/>
      <c r="JYB148" s="20"/>
      <c r="JYC148" s="20"/>
      <c r="JYD148" s="20"/>
      <c r="JYE148" s="20"/>
      <c r="JYF148" s="20"/>
      <c r="JYG148" s="20"/>
      <c r="JYH148" s="20"/>
      <c r="JYI148" s="20"/>
      <c r="JYJ148" s="20"/>
      <c r="JYK148" s="20"/>
      <c r="JYL148" s="20"/>
      <c r="JYM148" s="20"/>
      <c r="JYN148" s="16"/>
      <c r="JYO148" s="18"/>
      <c r="JYP148" s="19"/>
      <c r="JYQ148" s="20"/>
      <c r="JYR148" s="20"/>
      <c r="JYS148" s="20"/>
      <c r="JYT148" s="20"/>
      <c r="JYU148" s="20"/>
      <c r="JYV148" s="20"/>
      <c r="JYW148" s="20"/>
      <c r="JYX148" s="20"/>
      <c r="JYY148" s="20"/>
      <c r="JYZ148" s="20"/>
      <c r="JZA148" s="20"/>
      <c r="JZB148" s="20"/>
      <c r="JZC148" s="20"/>
      <c r="JZD148" s="16"/>
      <c r="JZE148" s="18"/>
      <c r="JZF148" s="19"/>
      <c r="JZG148" s="20"/>
      <c r="JZH148" s="20"/>
      <c r="JZI148" s="20"/>
      <c r="JZJ148" s="20"/>
      <c r="JZK148" s="20"/>
      <c r="JZL148" s="20"/>
      <c r="JZM148" s="20"/>
      <c r="JZN148" s="20"/>
      <c r="JZO148" s="20"/>
      <c r="JZP148" s="20"/>
      <c r="JZQ148" s="20"/>
      <c r="JZR148" s="20"/>
      <c r="JZS148" s="20"/>
      <c r="JZT148" s="16"/>
      <c r="JZU148" s="18"/>
      <c r="JZV148" s="19"/>
      <c r="JZW148" s="20"/>
      <c r="JZX148" s="20"/>
      <c r="JZY148" s="20"/>
      <c r="JZZ148" s="20"/>
      <c r="KAA148" s="20"/>
      <c r="KAB148" s="20"/>
      <c r="KAC148" s="20"/>
      <c r="KAD148" s="20"/>
      <c r="KAE148" s="20"/>
      <c r="KAF148" s="20"/>
      <c r="KAG148" s="20"/>
      <c r="KAH148" s="20"/>
      <c r="KAI148" s="20"/>
      <c r="KAJ148" s="16"/>
      <c r="KAK148" s="18"/>
      <c r="KAL148" s="19"/>
      <c r="KAM148" s="20"/>
      <c r="KAN148" s="20"/>
      <c r="KAO148" s="20"/>
      <c r="KAP148" s="20"/>
      <c r="KAQ148" s="20"/>
      <c r="KAR148" s="20"/>
      <c r="KAS148" s="20"/>
      <c r="KAT148" s="20"/>
      <c r="KAU148" s="20"/>
      <c r="KAV148" s="20"/>
      <c r="KAW148" s="20"/>
      <c r="KAX148" s="20"/>
      <c r="KAY148" s="20"/>
      <c r="KAZ148" s="16"/>
      <c r="KBA148" s="18"/>
      <c r="KBB148" s="19"/>
      <c r="KBC148" s="20"/>
      <c r="KBD148" s="20"/>
      <c r="KBE148" s="20"/>
      <c r="KBF148" s="20"/>
      <c r="KBG148" s="20"/>
      <c r="KBH148" s="20"/>
      <c r="KBI148" s="20"/>
      <c r="KBJ148" s="20"/>
      <c r="KBK148" s="20"/>
      <c r="KBL148" s="20"/>
      <c r="KBM148" s="20"/>
      <c r="KBN148" s="20"/>
      <c r="KBO148" s="20"/>
      <c r="KBP148" s="16"/>
      <c r="KBQ148" s="18"/>
      <c r="KBR148" s="19"/>
      <c r="KBS148" s="20"/>
      <c r="KBT148" s="20"/>
      <c r="KBU148" s="20"/>
      <c r="KBV148" s="20"/>
      <c r="KBW148" s="20"/>
      <c r="KBX148" s="20"/>
      <c r="KBY148" s="20"/>
      <c r="KBZ148" s="20"/>
      <c r="KCA148" s="20"/>
      <c r="KCB148" s="20"/>
      <c r="KCC148" s="20"/>
      <c r="KCD148" s="20"/>
      <c r="KCE148" s="20"/>
      <c r="KCF148" s="16"/>
      <c r="KCG148" s="18"/>
      <c r="KCH148" s="19"/>
      <c r="KCI148" s="20"/>
      <c r="KCJ148" s="20"/>
      <c r="KCK148" s="20"/>
      <c r="KCL148" s="20"/>
      <c r="KCM148" s="20"/>
      <c r="KCN148" s="20"/>
      <c r="KCO148" s="20"/>
      <c r="KCP148" s="20"/>
      <c r="KCQ148" s="20"/>
      <c r="KCR148" s="20"/>
      <c r="KCS148" s="20"/>
      <c r="KCT148" s="20"/>
      <c r="KCU148" s="20"/>
      <c r="KCV148" s="16"/>
      <c r="KCW148" s="18"/>
      <c r="KCX148" s="19"/>
      <c r="KCY148" s="20"/>
      <c r="KCZ148" s="20"/>
      <c r="KDA148" s="20"/>
      <c r="KDB148" s="20"/>
      <c r="KDC148" s="20"/>
      <c r="KDD148" s="20"/>
      <c r="KDE148" s="20"/>
      <c r="KDF148" s="20"/>
      <c r="KDG148" s="20"/>
      <c r="KDH148" s="20"/>
      <c r="KDI148" s="20"/>
      <c r="KDJ148" s="20"/>
      <c r="KDK148" s="20"/>
      <c r="KDL148" s="16"/>
      <c r="KDM148" s="18"/>
      <c r="KDN148" s="19"/>
      <c r="KDO148" s="20"/>
      <c r="KDP148" s="20"/>
      <c r="KDQ148" s="20"/>
      <c r="KDR148" s="20"/>
      <c r="KDS148" s="20"/>
      <c r="KDT148" s="20"/>
      <c r="KDU148" s="20"/>
      <c r="KDV148" s="20"/>
      <c r="KDW148" s="20"/>
      <c r="KDX148" s="20"/>
      <c r="KDY148" s="20"/>
      <c r="KDZ148" s="20"/>
      <c r="KEA148" s="20"/>
      <c r="KEB148" s="16"/>
      <c r="KEC148" s="18"/>
      <c r="KED148" s="19"/>
      <c r="KEE148" s="20"/>
      <c r="KEF148" s="20"/>
      <c r="KEG148" s="20"/>
      <c r="KEH148" s="20"/>
      <c r="KEI148" s="20"/>
      <c r="KEJ148" s="20"/>
      <c r="KEK148" s="20"/>
      <c r="KEL148" s="20"/>
      <c r="KEM148" s="20"/>
      <c r="KEN148" s="20"/>
      <c r="KEO148" s="20"/>
      <c r="KEP148" s="20"/>
      <c r="KEQ148" s="20"/>
      <c r="KER148" s="16"/>
      <c r="KES148" s="18"/>
      <c r="KET148" s="19"/>
      <c r="KEU148" s="20"/>
      <c r="KEV148" s="20"/>
      <c r="KEW148" s="20"/>
      <c r="KEX148" s="20"/>
      <c r="KEY148" s="20"/>
      <c r="KEZ148" s="20"/>
      <c r="KFA148" s="20"/>
      <c r="KFB148" s="20"/>
      <c r="KFC148" s="20"/>
      <c r="KFD148" s="20"/>
      <c r="KFE148" s="20"/>
      <c r="KFF148" s="20"/>
      <c r="KFG148" s="20"/>
      <c r="KFH148" s="16"/>
      <c r="KFI148" s="18"/>
      <c r="KFJ148" s="19"/>
      <c r="KFK148" s="20"/>
      <c r="KFL148" s="20"/>
      <c r="KFM148" s="20"/>
      <c r="KFN148" s="20"/>
      <c r="KFO148" s="20"/>
      <c r="KFP148" s="20"/>
      <c r="KFQ148" s="20"/>
      <c r="KFR148" s="20"/>
      <c r="KFS148" s="20"/>
      <c r="KFT148" s="20"/>
      <c r="KFU148" s="20"/>
      <c r="KFV148" s="20"/>
      <c r="KFW148" s="20"/>
      <c r="KFX148" s="16"/>
      <c r="KFY148" s="18"/>
      <c r="KFZ148" s="19"/>
      <c r="KGA148" s="20"/>
      <c r="KGB148" s="20"/>
      <c r="KGC148" s="20"/>
      <c r="KGD148" s="20"/>
      <c r="KGE148" s="20"/>
      <c r="KGF148" s="20"/>
      <c r="KGG148" s="20"/>
      <c r="KGH148" s="20"/>
      <c r="KGI148" s="20"/>
      <c r="KGJ148" s="20"/>
      <c r="KGK148" s="20"/>
      <c r="KGL148" s="20"/>
      <c r="KGM148" s="20"/>
      <c r="KGN148" s="16"/>
      <c r="KGO148" s="18"/>
      <c r="KGP148" s="19"/>
      <c r="KGQ148" s="20"/>
      <c r="KGR148" s="20"/>
      <c r="KGS148" s="20"/>
      <c r="KGT148" s="20"/>
      <c r="KGU148" s="20"/>
      <c r="KGV148" s="20"/>
      <c r="KGW148" s="20"/>
      <c r="KGX148" s="20"/>
      <c r="KGY148" s="20"/>
      <c r="KGZ148" s="20"/>
      <c r="KHA148" s="20"/>
      <c r="KHB148" s="20"/>
      <c r="KHC148" s="20"/>
      <c r="KHD148" s="16"/>
      <c r="KHE148" s="18"/>
      <c r="KHF148" s="19"/>
      <c r="KHG148" s="20"/>
      <c r="KHH148" s="20"/>
      <c r="KHI148" s="20"/>
      <c r="KHJ148" s="20"/>
      <c r="KHK148" s="20"/>
      <c r="KHL148" s="20"/>
      <c r="KHM148" s="20"/>
      <c r="KHN148" s="20"/>
      <c r="KHO148" s="20"/>
      <c r="KHP148" s="20"/>
      <c r="KHQ148" s="20"/>
      <c r="KHR148" s="20"/>
      <c r="KHS148" s="20"/>
      <c r="KHT148" s="16"/>
      <c r="KHU148" s="18"/>
      <c r="KHV148" s="19"/>
      <c r="KHW148" s="20"/>
      <c r="KHX148" s="20"/>
      <c r="KHY148" s="20"/>
      <c r="KHZ148" s="20"/>
      <c r="KIA148" s="20"/>
      <c r="KIB148" s="20"/>
      <c r="KIC148" s="20"/>
      <c r="KID148" s="20"/>
      <c r="KIE148" s="20"/>
      <c r="KIF148" s="20"/>
      <c r="KIG148" s="20"/>
      <c r="KIH148" s="20"/>
      <c r="KII148" s="20"/>
      <c r="KIJ148" s="16"/>
      <c r="KIK148" s="18"/>
      <c r="KIL148" s="19"/>
      <c r="KIM148" s="20"/>
      <c r="KIN148" s="20"/>
      <c r="KIO148" s="20"/>
      <c r="KIP148" s="20"/>
      <c r="KIQ148" s="20"/>
      <c r="KIR148" s="20"/>
      <c r="KIS148" s="20"/>
      <c r="KIT148" s="20"/>
      <c r="KIU148" s="20"/>
      <c r="KIV148" s="20"/>
      <c r="KIW148" s="20"/>
      <c r="KIX148" s="20"/>
      <c r="KIY148" s="20"/>
      <c r="KIZ148" s="16"/>
      <c r="KJA148" s="18"/>
      <c r="KJB148" s="19"/>
      <c r="KJC148" s="20"/>
      <c r="KJD148" s="20"/>
      <c r="KJE148" s="20"/>
      <c r="KJF148" s="20"/>
      <c r="KJG148" s="20"/>
      <c r="KJH148" s="20"/>
      <c r="KJI148" s="20"/>
      <c r="KJJ148" s="20"/>
      <c r="KJK148" s="20"/>
      <c r="KJL148" s="20"/>
      <c r="KJM148" s="20"/>
      <c r="KJN148" s="20"/>
      <c r="KJO148" s="20"/>
      <c r="KJP148" s="16"/>
      <c r="KJQ148" s="18"/>
      <c r="KJR148" s="19"/>
      <c r="KJS148" s="20"/>
      <c r="KJT148" s="20"/>
      <c r="KJU148" s="20"/>
      <c r="KJV148" s="20"/>
      <c r="KJW148" s="20"/>
      <c r="KJX148" s="20"/>
      <c r="KJY148" s="20"/>
      <c r="KJZ148" s="20"/>
      <c r="KKA148" s="20"/>
      <c r="KKB148" s="20"/>
      <c r="KKC148" s="20"/>
      <c r="KKD148" s="20"/>
      <c r="KKE148" s="20"/>
      <c r="KKF148" s="16"/>
      <c r="KKG148" s="18"/>
      <c r="KKH148" s="19"/>
      <c r="KKI148" s="20"/>
      <c r="KKJ148" s="20"/>
      <c r="KKK148" s="20"/>
      <c r="KKL148" s="20"/>
      <c r="KKM148" s="20"/>
      <c r="KKN148" s="20"/>
      <c r="KKO148" s="20"/>
      <c r="KKP148" s="20"/>
      <c r="KKQ148" s="20"/>
      <c r="KKR148" s="20"/>
      <c r="KKS148" s="20"/>
      <c r="KKT148" s="20"/>
      <c r="KKU148" s="20"/>
      <c r="KKV148" s="16"/>
      <c r="KKW148" s="18"/>
      <c r="KKX148" s="19"/>
      <c r="KKY148" s="20"/>
      <c r="KKZ148" s="20"/>
      <c r="KLA148" s="20"/>
      <c r="KLB148" s="20"/>
      <c r="KLC148" s="20"/>
      <c r="KLD148" s="20"/>
      <c r="KLE148" s="20"/>
      <c r="KLF148" s="20"/>
      <c r="KLG148" s="20"/>
      <c r="KLH148" s="20"/>
      <c r="KLI148" s="20"/>
      <c r="KLJ148" s="20"/>
      <c r="KLK148" s="20"/>
      <c r="KLL148" s="16"/>
      <c r="KLM148" s="18"/>
      <c r="KLN148" s="19"/>
      <c r="KLO148" s="20"/>
      <c r="KLP148" s="20"/>
      <c r="KLQ148" s="20"/>
      <c r="KLR148" s="20"/>
      <c r="KLS148" s="20"/>
      <c r="KLT148" s="20"/>
      <c r="KLU148" s="20"/>
      <c r="KLV148" s="20"/>
      <c r="KLW148" s="20"/>
      <c r="KLX148" s="20"/>
      <c r="KLY148" s="20"/>
      <c r="KLZ148" s="20"/>
      <c r="KMA148" s="20"/>
      <c r="KMB148" s="16"/>
      <c r="KMC148" s="18"/>
      <c r="KMD148" s="19"/>
      <c r="KME148" s="20"/>
      <c r="KMF148" s="20"/>
      <c r="KMG148" s="20"/>
      <c r="KMH148" s="20"/>
      <c r="KMI148" s="20"/>
      <c r="KMJ148" s="20"/>
      <c r="KMK148" s="20"/>
      <c r="KML148" s="20"/>
      <c r="KMM148" s="20"/>
      <c r="KMN148" s="20"/>
      <c r="KMO148" s="20"/>
      <c r="KMP148" s="20"/>
      <c r="KMQ148" s="20"/>
      <c r="KMR148" s="16"/>
      <c r="KMS148" s="18"/>
      <c r="KMT148" s="19"/>
      <c r="KMU148" s="20"/>
      <c r="KMV148" s="20"/>
      <c r="KMW148" s="20"/>
      <c r="KMX148" s="20"/>
      <c r="KMY148" s="20"/>
      <c r="KMZ148" s="20"/>
      <c r="KNA148" s="20"/>
      <c r="KNB148" s="20"/>
      <c r="KNC148" s="20"/>
      <c r="KND148" s="20"/>
      <c r="KNE148" s="20"/>
      <c r="KNF148" s="20"/>
      <c r="KNG148" s="20"/>
      <c r="KNH148" s="16"/>
      <c r="KNI148" s="18"/>
      <c r="KNJ148" s="19"/>
      <c r="KNK148" s="20"/>
      <c r="KNL148" s="20"/>
      <c r="KNM148" s="20"/>
      <c r="KNN148" s="20"/>
      <c r="KNO148" s="20"/>
      <c r="KNP148" s="20"/>
      <c r="KNQ148" s="20"/>
      <c r="KNR148" s="20"/>
      <c r="KNS148" s="20"/>
      <c r="KNT148" s="20"/>
      <c r="KNU148" s="20"/>
      <c r="KNV148" s="20"/>
      <c r="KNW148" s="20"/>
      <c r="KNX148" s="16"/>
      <c r="KNY148" s="18"/>
      <c r="KNZ148" s="19"/>
      <c r="KOA148" s="20"/>
      <c r="KOB148" s="20"/>
      <c r="KOC148" s="20"/>
      <c r="KOD148" s="20"/>
      <c r="KOE148" s="20"/>
      <c r="KOF148" s="20"/>
      <c r="KOG148" s="20"/>
      <c r="KOH148" s="20"/>
      <c r="KOI148" s="20"/>
      <c r="KOJ148" s="20"/>
      <c r="KOK148" s="20"/>
      <c r="KOL148" s="20"/>
      <c r="KOM148" s="20"/>
      <c r="KON148" s="16"/>
      <c r="KOO148" s="18"/>
      <c r="KOP148" s="19"/>
      <c r="KOQ148" s="20"/>
      <c r="KOR148" s="20"/>
      <c r="KOS148" s="20"/>
      <c r="KOT148" s="20"/>
      <c r="KOU148" s="20"/>
      <c r="KOV148" s="20"/>
      <c r="KOW148" s="20"/>
      <c r="KOX148" s="20"/>
      <c r="KOY148" s="20"/>
      <c r="KOZ148" s="20"/>
      <c r="KPA148" s="20"/>
      <c r="KPB148" s="20"/>
      <c r="KPC148" s="20"/>
      <c r="KPD148" s="16"/>
      <c r="KPE148" s="18"/>
      <c r="KPF148" s="19"/>
      <c r="KPG148" s="20"/>
      <c r="KPH148" s="20"/>
      <c r="KPI148" s="20"/>
      <c r="KPJ148" s="20"/>
      <c r="KPK148" s="20"/>
      <c r="KPL148" s="20"/>
      <c r="KPM148" s="20"/>
      <c r="KPN148" s="20"/>
      <c r="KPO148" s="20"/>
      <c r="KPP148" s="20"/>
      <c r="KPQ148" s="20"/>
      <c r="KPR148" s="20"/>
      <c r="KPS148" s="20"/>
      <c r="KPT148" s="16"/>
      <c r="KPU148" s="18"/>
      <c r="KPV148" s="19"/>
      <c r="KPW148" s="20"/>
      <c r="KPX148" s="20"/>
      <c r="KPY148" s="20"/>
      <c r="KPZ148" s="20"/>
      <c r="KQA148" s="20"/>
      <c r="KQB148" s="20"/>
      <c r="KQC148" s="20"/>
      <c r="KQD148" s="20"/>
      <c r="KQE148" s="20"/>
      <c r="KQF148" s="20"/>
      <c r="KQG148" s="20"/>
      <c r="KQH148" s="20"/>
      <c r="KQI148" s="20"/>
      <c r="KQJ148" s="16"/>
      <c r="KQK148" s="18"/>
      <c r="KQL148" s="19"/>
      <c r="KQM148" s="20"/>
      <c r="KQN148" s="20"/>
      <c r="KQO148" s="20"/>
      <c r="KQP148" s="20"/>
      <c r="KQQ148" s="20"/>
      <c r="KQR148" s="20"/>
      <c r="KQS148" s="20"/>
      <c r="KQT148" s="20"/>
      <c r="KQU148" s="20"/>
      <c r="KQV148" s="20"/>
      <c r="KQW148" s="20"/>
      <c r="KQX148" s="20"/>
      <c r="KQY148" s="20"/>
      <c r="KQZ148" s="16"/>
      <c r="KRA148" s="18"/>
      <c r="KRB148" s="19"/>
      <c r="KRC148" s="20"/>
      <c r="KRD148" s="20"/>
      <c r="KRE148" s="20"/>
      <c r="KRF148" s="20"/>
      <c r="KRG148" s="20"/>
      <c r="KRH148" s="20"/>
      <c r="KRI148" s="20"/>
      <c r="KRJ148" s="20"/>
      <c r="KRK148" s="20"/>
      <c r="KRL148" s="20"/>
      <c r="KRM148" s="20"/>
      <c r="KRN148" s="20"/>
      <c r="KRO148" s="20"/>
      <c r="KRP148" s="16"/>
      <c r="KRQ148" s="18"/>
      <c r="KRR148" s="19"/>
      <c r="KRS148" s="20"/>
      <c r="KRT148" s="20"/>
      <c r="KRU148" s="20"/>
      <c r="KRV148" s="20"/>
      <c r="KRW148" s="20"/>
      <c r="KRX148" s="20"/>
      <c r="KRY148" s="20"/>
      <c r="KRZ148" s="20"/>
      <c r="KSA148" s="20"/>
      <c r="KSB148" s="20"/>
      <c r="KSC148" s="20"/>
      <c r="KSD148" s="20"/>
      <c r="KSE148" s="20"/>
      <c r="KSF148" s="16"/>
      <c r="KSG148" s="18"/>
      <c r="KSH148" s="19"/>
      <c r="KSI148" s="20"/>
      <c r="KSJ148" s="20"/>
      <c r="KSK148" s="20"/>
      <c r="KSL148" s="20"/>
      <c r="KSM148" s="20"/>
      <c r="KSN148" s="20"/>
      <c r="KSO148" s="20"/>
      <c r="KSP148" s="20"/>
      <c r="KSQ148" s="20"/>
      <c r="KSR148" s="20"/>
      <c r="KSS148" s="20"/>
      <c r="KST148" s="20"/>
      <c r="KSU148" s="20"/>
      <c r="KSV148" s="16"/>
      <c r="KSW148" s="18"/>
      <c r="KSX148" s="19"/>
      <c r="KSY148" s="20"/>
      <c r="KSZ148" s="20"/>
      <c r="KTA148" s="20"/>
      <c r="KTB148" s="20"/>
      <c r="KTC148" s="20"/>
      <c r="KTD148" s="20"/>
      <c r="KTE148" s="20"/>
      <c r="KTF148" s="20"/>
      <c r="KTG148" s="20"/>
      <c r="KTH148" s="20"/>
      <c r="KTI148" s="20"/>
      <c r="KTJ148" s="20"/>
      <c r="KTK148" s="20"/>
      <c r="KTL148" s="16"/>
      <c r="KTM148" s="18"/>
      <c r="KTN148" s="19"/>
      <c r="KTO148" s="20"/>
      <c r="KTP148" s="20"/>
      <c r="KTQ148" s="20"/>
      <c r="KTR148" s="20"/>
      <c r="KTS148" s="20"/>
      <c r="KTT148" s="20"/>
      <c r="KTU148" s="20"/>
      <c r="KTV148" s="20"/>
      <c r="KTW148" s="20"/>
      <c r="KTX148" s="20"/>
      <c r="KTY148" s="20"/>
      <c r="KTZ148" s="20"/>
      <c r="KUA148" s="20"/>
      <c r="KUB148" s="16"/>
      <c r="KUC148" s="18"/>
      <c r="KUD148" s="19"/>
      <c r="KUE148" s="20"/>
      <c r="KUF148" s="20"/>
      <c r="KUG148" s="20"/>
      <c r="KUH148" s="20"/>
      <c r="KUI148" s="20"/>
      <c r="KUJ148" s="20"/>
      <c r="KUK148" s="20"/>
      <c r="KUL148" s="20"/>
      <c r="KUM148" s="20"/>
      <c r="KUN148" s="20"/>
      <c r="KUO148" s="20"/>
      <c r="KUP148" s="20"/>
      <c r="KUQ148" s="20"/>
      <c r="KUR148" s="16"/>
      <c r="KUS148" s="18"/>
      <c r="KUT148" s="19"/>
      <c r="KUU148" s="20"/>
      <c r="KUV148" s="20"/>
      <c r="KUW148" s="20"/>
      <c r="KUX148" s="20"/>
      <c r="KUY148" s="20"/>
      <c r="KUZ148" s="20"/>
      <c r="KVA148" s="20"/>
      <c r="KVB148" s="20"/>
      <c r="KVC148" s="20"/>
      <c r="KVD148" s="20"/>
      <c r="KVE148" s="20"/>
      <c r="KVF148" s="20"/>
      <c r="KVG148" s="20"/>
      <c r="KVH148" s="16"/>
      <c r="KVI148" s="18"/>
      <c r="KVJ148" s="19"/>
      <c r="KVK148" s="20"/>
      <c r="KVL148" s="20"/>
      <c r="KVM148" s="20"/>
      <c r="KVN148" s="20"/>
      <c r="KVO148" s="20"/>
      <c r="KVP148" s="20"/>
      <c r="KVQ148" s="20"/>
      <c r="KVR148" s="20"/>
      <c r="KVS148" s="20"/>
      <c r="KVT148" s="20"/>
      <c r="KVU148" s="20"/>
      <c r="KVV148" s="20"/>
      <c r="KVW148" s="20"/>
      <c r="KVX148" s="16"/>
      <c r="KVY148" s="18"/>
      <c r="KVZ148" s="19"/>
      <c r="KWA148" s="20"/>
      <c r="KWB148" s="20"/>
      <c r="KWC148" s="20"/>
      <c r="KWD148" s="20"/>
      <c r="KWE148" s="20"/>
      <c r="KWF148" s="20"/>
      <c r="KWG148" s="20"/>
      <c r="KWH148" s="20"/>
      <c r="KWI148" s="20"/>
      <c r="KWJ148" s="20"/>
      <c r="KWK148" s="20"/>
      <c r="KWL148" s="20"/>
      <c r="KWM148" s="20"/>
      <c r="KWN148" s="16"/>
      <c r="KWO148" s="18"/>
      <c r="KWP148" s="19"/>
      <c r="KWQ148" s="20"/>
      <c r="KWR148" s="20"/>
      <c r="KWS148" s="20"/>
      <c r="KWT148" s="20"/>
      <c r="KWU148" s="20"/>
      <c r="KWV148" s="20"/>
      <c r="KWW148" s="20"/>
      <c r="KWX148" s="20"/>
      <c r="KWY148" s="20"/>
      <c r="KWZ148" s="20"/>
      <c r="KXA148" s="20"/>
      <c r="KXB148" s="20"/>
      <c r="KXC148" s="20"/>
      <c r="KXD148" s="16"/>
      <c r="KXE148" s="18"/>
      <c r="KXF148" s="19"/>
      <c r="KXG148" s="20"/>
      <c r="KXH148" s="20"/>
      <c r="KXI148" s="20"/>
      <c r="KXJ148" s="20"/>
      <c r="KXK148" s="20"/>
      <c r="KXL148" s="20"/>
      <c r="KXM148" s="20"/>
      <c r="KXN148" s="20"/>
      <c r="KXO148" s="20"/>
      <c r="KXP148" s="20"/>
      <c r="KXQ148" s="20"/>
      <c r="KXR148" s="20"/>
      <c r="KXS148" s="20"/>
      <c r="KXT148" s="16"/>
      <c r="KXU148" s="18"/>
      <c r="KXV148" s="19"/>
      <c r="KXW148" s="20"/>
      <c r="KXX148" s="20"/>
      <c r="KXY148" s="20"/>
      <c r="KXZ148" s="20"/>
      <c r="KYA148" s="20"/>
      <c r="KYB148" s="20"/>
      <c r="KYC148" s="20"/>
      <c r="KYD148" s="20"/>
      <c r="KYE148" s="20"/>
      <c r="KYF148" s="20"/>
      <c r="KYG148" s="20"/>
      <c r="KYH148" s="20"/>
      <c r="KYI148" s="20"/>
      <c r="KYJ148" s="16"/>
      <c r="KYK148" s="18"/>
      <c r="KYL148" s="19"/>
      <c r="KYM148" s="20"/>
      <c r="KYN148" s="20"/>
      <c r="KYO148" s="20"/>
      <c r="KYP148" s="20"/>
      <c r="KYQ148" s="20"/>
      <c r="KYR148" s="20"/>
      <c r="KYS148" s="20"/>
      <c r="KYT148" s="20"/>
      <c r="KYU148" s="20"/>
      <c r="KYV148" s="20"/>
      <c r="KYW148" s="20"/>
      <c r="KYX148" s="20"/>
      <c r="KYY148" s="20"/>
      <c r="KYZ148" s="16"/>
      <c r="KZA148" s="18"/>
      <c r="KZB148" s="19"/>
      <c r="KZC148" s="20"/>
      <c r="KZD148" s="20"/>
      <c r="KZE148" s="20"/>
      <c r="KZF148" s="20"/>
      <c r="KZG148" s="20"/>
      <c r="KZH148" s="20"/>
      <c r="KZI148" s="20"/>
      <c r="KZJ148" s="20"/>
      <c r="KZK148" s="20"/>
      <c r="KZL148" s="20"/>
      <c r="KZM148" s="20"/>
      <c r="KZN148" s="20"/>
      <c r="KZO148" s="20"/>
      <c r="KZP148" s="16"/>
      <c r="KZQ148" s="18"/>
      <c r="KZR148" s="19"/>
      <c r="KZS148" s="20"/>
      <c r="KZT148" s="20"/>
      <c r="KZU148" s="20"/>
      <c r="KZV148" s="20"/>
      <c r="KZW148" s="20"/>
      <c r="KZX148" s="20"/>
      <c r="KZY148" s="20"/>
      <c r="KZZ148" s="20"/>
      <c r="LAA148" s="20"/>
      <c r="LAB148" s="20"/>
      <c r="LAC148" s="20"/>
      <c r="LAD148" s="20"/>
      <c r="LAE148" s="20"/>
      <c r="LAF148" s="16"/>
      <c r="LAG148" s="18"/>
      <c r="LAH148" s="19"/>
      <c r="LAI148" s="20"/>
      <c r="LAJ148" s="20"/>
      <c r="LAK148" s="20"/>
      <c r="LAL148" s="20"/>
      <c r="LAM148" s="20"/>
      <c r="LAN148" s="20"/>
      <c r="LAO148" s="20"/>
      <c r="LAP148" s="20"/>
      <c r="LAQ148" s="20"/>
      <c r="LAR148" s="20"/>
      <c r="LAS148" s="20"/>
      <c r="LAT148" s="20"/>
      <c r="LAU148" s="20"/>
      <c r="LAV148" s="16"/>
      <c r="LAW148" s="18"/>
      <c r="LAX148" s="19"/>
      <c r="LAY148" s="20"/>
      <c r="LAZ148" s="20"/>
      <c r="LBA148" s="20"/>
      <c r="LBB148" s="20"/>
      <c r="LBC148" s="20"/>
      <c r="LBD148" s="20"/>
      <c r="LBE148" s="20"/>
      <c r="LBF148" s="20"/>
      <c r="LBG148" s="20"/>
      <c r="LBH148" s="20"/>
      <c r="LBI148" s="20"/>
      <c r="LBJ148" s="20"/>
      <c r="LBK148" s="20"/>
      <c r="LBL148" s="16"/>
      <c r="LBM148" s="18"/>
      <c r="LBN148" s="19"/>
      <c r="LBO148" s="20"/>
      <c r="LBP148" s="20"/>
      <c r="LBQ148" s="20"/>
      <c r="LBR148" s="20"/>
      <c r="LBS148" s="20"/>
      <c r="LBT148" s="20"/>
      <c r="LBU148" s="20"/>
      <c r="LBV148" s="20"/>
      <c r="LBW148" s="20"/>
      <c r="LBX148" s="20"/>
      <c r="LBY148" s="20"/>
      <c r="LBZ148" s="20"/>
      <c r="LCA148" s="20"/>
      <c r="LCB148" s="16"/>
      <c r="LCC148" s="18"/>
      <c r="LCD148" s="19"/>
      <c r="LCE148" s="20"/>
      <c r="LCF148" s="20"/>
      <c r="LCG148" s="20"/>
      <c r="LCH148" s="20"/>
      <c r="LCI148" s="20"/>
      <c r="LCJ148" s="20"/>
      <c r="LCK148" s="20"/>
      <c r="LCL148" s="20"/>
      <c r="LCM148" s="20"/>
      <c r="LCN148" s="20"/>
      <c r="LCO148" s="20"/>
      <c r="LCP148" s="20"/>
      <c r="LCQ148" s="20"/>
      <c r="LCR148" s="16"/>
      <c r="LCS148" s="18"/>
      <c r="LCT148" s="19"/>
      <c r="LCU148" s="20"/>
      <c r="LCV148" s="20"/>
      <c r="LCW148" s="20"/>
      <c r="LCX148" s="20"/>
      <c r="LCY148" s="20"/>
      <c r="LCZ148" s="20"/>
      <c r="LDA148" s="20"/>
      <c r="LDB148" s="20"/>
      <c r="LDC148" s="20"/>
      <c r="LDD148" s="20"/>
      <c r="LDE148" s="20"/>
      <c r="LDF148" s="20"/>
      <c r="LDG148" s="20"/>
      <c r="LDH148" s="16"/>
      <c r="LDI148" s="18"/>
      <c r="LDJ148" s="19"/>
      <c r="LDK148" s="20"/>
      <c r="LDL148" s="20"/>
      <c r="LDM148" s="20"/>
      <c r="LDN148" s="20"/>
      <c r="LDO148" s="20"/>
      <c r="LDP148" s="20"/>
      <c r="LDQ148" s="20"/>
      <c r="LDR148" s="20"/>
      <c r="LDS148" s="20"/>
      <c r="LDT148" s="20"/>
      <c r="LDU148" s="20"/>
      <c r="LDV148" s="20"/>
      <c r="LDW148" s="20"/>
      <c r="LDX148" s="16"/>
      <c r="LDY148" s="18"/>
      <c r="LDZ148" s="19"/>
      <c r="LEA148" s="20"/>
      <c r="LEB148" s="20"/>
      <c r="LEC148" s="20"/>
      <c r="LED148" s="20"/>
      <c r="LEE148" s="20"/>
      <c r="LEF148" s="20"/>
      <c r="LEG148" s="20"/>
      <c r="LEH148" s="20"/>
      <c r="LEI148" s="20"/>
      <c r="LEJ148" s="20"/>
      <c r="LEK148" s="20"/>
      <c r="LEL148" s="20"/>
      <c r="LEM148" s="20"/>
      <c r="LEN148" s="16"/>
      <c r="LEO148" s="18"/>
      <c r="LEP148" s="19"/>
      <c r="LEQ148" s="20"/>
      <c r="LER148" s="20"/>
      <c r="LES148" s="20"/>
      <c r="LET148" s="20"/>
      <c r="LEU148" s="20"/>
      <c r="LEV148" s="20"/>
      <c r="LEW148" s="20"/>
      <c r="LEX148" s="20"/>
      <c r="LEY148" s="20"/>
      <c r="LEZ148" s="20"/>
      <c r="LFA148" s="20"/>
      <c r="LFB148" s="20"/>
      <c r="LFC148" s="20"/>
      <c r="LFD148" s="16"/>
      <c r="LFE148" s="18"/>
      <c r="LFF148" s="19"/>
      <c r="LFG148" s="20"/>
      <c r="LFH148" s="20"/>
      <c r="LFI148" s="20"/>
      <c r="LFJ148" s="20"/>
      <c r="LFK148" s="20"/>
      <c r="LFL148" s="20"/>
      <c r="LFM148" s="20"/>
      <c r="LFN148" s="20"/>
      <c r="LFO148" s="20"/>
      <c r="LFP148" s="20"/>
      <c r="LFQ148" s="20"/>
      <c r="LFR148" s="20"/>
      <c r="LFS148" s="20"/>
      <c r="LFT148" s="16"/>
      <c r="LFU148" s="18"/>
      <c r="LFV148" s="19"/>
      <c r="LFW148" s="20"/>
      <c r="LFX148" s="20"/>
      <c r="LFY148" s="20"/>
      <c r="LFZ148" s="20"/>
      <c r="LGA148" s="20"/>
      <c r="LGB148" s="20"/>
      <c r="LGC148" s="20"/>
      <c r="LGD148" s="20"/>
      <c r="LGE148" s="20"/>
      <c r="LGF148" s="20"/>
      <c r="LGG148" s="20"/>
      <c r="LGH148" s="20"/>
      <c r="LGI148" s="20"/>
      <c r="LGJ148" s="16"/>
      <c r="LGK148" s="18"/>
      <c r="LGL148" s="19"/>
      <c r="LGM148" s="20"/>
      <c r="LGN148" s="20"/>
      <c r="LGO148" s="20"/>
      <c r="LGP148" s="20"/>
      <c r="LGQ148" s="20"/>
      <c r="LGR148" s="20"/>
      <c r="LGS148" s="20"/>
      <c r="LGT148" s="20"/>
      <c r="LGU148" s="20"/>
      <c r="LGV148" s="20"/>
      <c r="LGW148" s="20"/>
      <c r="LGX148" s="20"/>
      <c r="LGY148" s="20"/>
      <c r="LGZ148" s="16"/>
      <c r="LHA148" s="18"/>
      <c r="LHB148" s="19"/>
      <c r="LHC148" s="20"/>
      <c r="LHD148" s="20"/>
      <c r="LHE148" s="20"/>
      <c r="LHF148" s="20"/>
      <c r="LHG148" s="20"/>
      <c r="LHH148" s="20"/>
      <c r="LHI148" s="20"/>
      <c r="LHJ148" s="20"/>
      <c r="LHK148" s="20"/>
      <c r="LHL148" s="20"/>
      <c r="LHM148" s="20"/>
      <c r="LHN148" s="20"/>
      <c r="LHO148" s="20"/>
      <c r="LHP148" s="16"/>
      <c r="LHQ148" s="18"/>
      <c r="LHR148" s="19"/>
      <c r="LHS148" s="20"/>
      <c r="LHT148" s="20"/>
      <c r="LHU148" s="20"/>
      <c r="LHV148" s="20"/>
      <c r="LHW148" s="20"/>
      <c r="LHX148" s="20"/>
      <c r="LHY148" s="20"/>
      <c r="LHZ148" s="20"/>
      <c r="LIA148" s="20"/>
      <c r="LIB148" s="20"/>
      <c r="LIC148" s="20"/>
      <c r="LID148" s="20"/>
      <c r="LIE148" s="20"/>
      <c r="LIF148" s="16"/>
      <c r="LIG148" s="18"/>
      <c r="LIH148" s="19"/>
      <c r="LII148" s="20"/>
      <c r="LIJ148" s="20"/>
      <c r="LIK148" s="20"/>
      <c r="LIL148" s="20"/>
      <c r="LIM148" s="20"/>
      <c r="LIN148" s="20"/>
      <c r="LIO148" s="20"/>
      <c r="LIP148" s="20"/>
      <c r="LIQ148" s="20"/>
      <c r="LIR148" s="20"/>
      <c r="LIS148" s="20"/>
      <c r="LIT148" s="20"/>
      <c r="LIU148" s="20"/>
      <c r="LIV148" s="16"/>
      <c r="LIW148" s="18"/>
      <c r="LIX148" s="19"/>
      <c r="LIY148" s="20"/>
      <c r="LIZ148" s="20"/>
      <c r="LJA148" s="20"/>
      <c r="LJB148" s="20"/>
      <c r="LJC148" s="20"/>
      <c r="LJD148" s="20"/>
      <c r="LJE148" s="20"/>
      <c r="LJF148" s="20"/>
      <c r="LJG148" s="20"/>
      <c r="LJH148" s="20"/>
      <c r="LJI148" s="20"/>
      <c r="LJJ148" s="20"/>
      <c r="LJK148" s="20"/>
      <c r="LJL148" s="16"/>
      <c r="LJM148" s="18"/>
      <c r="LJN148" s="19"/>
      <c r="LJO148" s="20"/>
      <c r="LJP148" s="20"/>
      <c r="LJQ148" s="20"/>
      <c r="LJR148" s="20"/>
      <c r="LJS148" s="20"/>
      <c r="LJT148" s="20"/>
      <c r="LJU148" s="20"/>
      <c r="LJV148" s="20"/>
      <c r="LJW148" s="20"/>
      <c r="LJX148" s="20"/>
      <c r="LJY148" s="20"/>
      <c r="LJZ148" s="20"/>
      <c r="LKA148" s="20"/>
      <c r="LKB148" s="16"/>
      <c r="LKC148" s="18"/>
      <c r="LKD148" s="19"/>
      <c r="LKE148" s="20"/>
      <c r="LKF148" s="20"/>
      <c r="LKG148" s="20"/>
      <c r="LKH148" s="20"/>
      <c r="LKI148" s="20"/>
      <c r="LKJ148" s="20"/>
      <c r="LKK148" s="20"/>
      <c r="LKL148" s="20"/>
      <c r="LKM148" s="20"/>
      <c r="LKN148" s="20"/>
      <c r="LKO148" s="20"/>
      <c r="LKP148" s="20"/>
      <c r="LKQ148" s="20"/>
      <c r="LKR148" s="16"/>
      <c r="LKS148" s="18"/>
      <c r="LKT148" s="19"/>
      <c r="LKU148" s="20"/>
      <c r="LKV148" s="20"/>
      <c r="LKW148" s="20"/>
      <c r="LKX148" s="20"/>
      <c r="LKY148" s="20"/>
      <c r="LKZ148" s="20"/>
      <c r="LLA148" s="20"/>
      <c r="LLB148" s="20"/>
      <c r="LLC148" s="20"/>
      <c r="LLD148" s="20"/>
      <c r="LLE148" s="20"/>
      <c r="LLF148" s="20"/>
      <c r="LLG148" s="20"/>
      <c r="LLH148" s="16"/>
      <c r="LLI148" s="18"/>
      <c r="LLJ148" s="19"/>
      <c r="LLK148" s="20"/>
      <c r="LLL148" s="20"/>
      <c r="LLM148" s="20"/>
      <c r="LLN148" s="20"/>
      <c r="LLO148" s="20"/>
      <c r="LLP148" s="20"/>
      <c r="LLQ148" s="20"/>
      <c r="LLR148" s="20"/>
      <c r="LLS148" s="20"/>
      <c r="LLT148" s="20"/>
      <c r="LLU148" s="20"/>
      <c r="LLV148" s="20"/>
      <c r="LLW148" s="20"/>
      <c r="LLX148" s="16"/>
      <c r="LLY148" s="18"/>
      <c r="LLZ148" s="19"/>
      <c r="LMA148" s="20"/>
      <c r="LMB148" s="20"/>
      <c r="LMC148" s="20"/>
      <c r="LMD148" s="20"/>
      <c r="LME148" s="20"/>
      <c r="LMF148" s="20"/>
      <c r="LMG148" s="20"/>
      <c r="LMH148" s="20"/>
      <c r="LMI148" s="20"/>
      <c r="LMJ148" s="20"/>
      <c r="LMK148" s="20"/>
      <c r="LML148" s="20"/>
      <c r="LMM148" s="20"/>
      <c r="LMN148" s="16"/>
      <c r="LMO148" s="18"/>
      <c r="LMP148" s="19"/>
      <c r="LMQ148" s="20"/>
      <c r="LMR148" s="20"/>
      <c r="LMS148" s="20"/>
      <c r="LMT148" s="20"/>
      <c r="LMU148" s="20"/>
      <c r="LMV148" s="20"/>
      <c r="LMW148" s="20"/>
      <c r="LMX148" s="20"/>
      <c r="LMY148" s="20"/>
      <c r="LMZ148" s="20"/>
      <c r="LNA148" s="20"/>
      <c r="LNB148" s="20"/>
      <c r="LNC148" s="20"/>
      <c r="LND148" s="16"/>
      <c r="LNE148" s="18"/>
      <c r="LNF148" s="19"/>
      <c r="LNG148" s="20"/>
      <c r="LNH148" s="20"/>
      <c r="LNI148" s="20"/>
      <c r="LNJ148" s="20"/>
      <c r="LNK148" s="20"/>
      <c r="LNL148" s="20"/>
      <c r="LNM148" s="20"/>
      <c r="LNN148" s="20"/>
      <c r="LNO148" s="20"/>
      <c r="LNP148" s="20"/>
      <c r="LNQ148" s="20"/>
      <c r="LNR148" s="20"/>
      <c r="LNS148" s="20"/>
      <c r="LNT148" s="16"/>
      <c r="LNU148" s="18"/>
      <c r="LNV148" s="19"/>
      <c r="LNW148" s="20"/>
      <c r="LNX148" s="20"/>
      <c r="LNY148" s="20"/>
      <c r="LNZ148" s="20"/>
      <c r="LOA148" s="20"/>
      <c r="LOB148" s="20"/>
      <c r="LOC148" s="20"/>
      <c r="LOD148" s="20"/>
      <c r="LOE148" s="20"/>
      <c r="LOF148" s="20"/>
      <c r="LOG148" s="20"/>
      <c r="LOH148" s="20"/>
      <c r="LOI148" s="20"/>
      <c r="LOJ148" s="16"/>
      <c r="LOK148" s="18"/>
      <c r="LOL148" s="19"/>
      <c r="LOM148" s="20"/>
      <c r="LON148" s="20"/>
      <c r="LOO148" s="20"/>
      <c r="LOP148" s="20"/>
      <c r="LOQ148" s="20"/>
      <c r="LOR148" s="20"/>
      <c r="LOS148" s="20"/>
      <c r="LOT148" s="20"/>
      <c r="LOU148" s="20"/>
      <c r="LOV148" s="20"/>
      <c r="LOW148" s="20"/>
      <c r="LOX148" s="20"/>
      <c r="LOY148" s="20"/>
      <c r="LOZ148" s="16"/>
      <c r="LPA148" s="18"/>
      <c r="LPB148" s="19"/>
      <c r="LPC148" s="20"/>
      <c r="LPD148" s="20"/>
      <c r="LPE148" s="20"/>
      <c r="LPF148" s="20"/>
      <c r="LPG148" s="20"/>
      <c r="LPH148" s="20"/>
      <c r="LPI148" s="20"/>
      <c r="LPJ148" s="20"/>
      <c r="LPK148" s="20"/>
      <c r="LPL148" s="20"/>
      <c r="LPM148" s="20"/>
      <c r="LPN148" s="20"/>
      <c r="LPO148" s="20"/>
      <c r="LPP148" s="16"/>
      <c r="LPQ148" s="18"/>
      <c r="LPR148" s="19"/>
      <c r="LPS148" s="20"/>
      <c r="LPT148" s="20"/>
      <c r="LPU148" s="20"/>
      <c r="LPV148" s="20"/>
      <c r="LPW148" s="20"/>
      <c r="LPX148" s="20"/>
      <c r="LPY148" s="20"/>
      <c r="LPZ148" s="20"/>
      <c r="LQA148" s="20"/>
      <c r="LQB148" s="20"/>
      <c r="LQC148" s="20"/>
      <c r="LQD148" s="20"/>
      <c r="LQE148" s="20"/>
      <c r="LQF148" s="16"/>
      <c r="LQG148" s="18"/>
      <c r="LQH148" s="19"/>
      <c r="LQI148" s="20"/>
      <c r="LQJ148" s="20"/>
      <c r="LQK148" s="20"/>
      <c r="LQL148" s="20"/>
      <c r="LQM148" s="20"/>
      <c r="LQN148" s="20"/>
      <c r="LQO148" s="20"/>
      <c r="LQP148" s="20"/>
      <c r="LQQ148" s="20"/>
      <c r="LQR148" s="20"/>
      <c r="LQS148" s="20"/>
      <c r="LQT148" s="20"/>
      <c r="LQU148" s="20"/>
      <c r="LQV148" s="16"/>
      <c r="LQW148" s="18"/>
      <c r="LQX148" s="19"/>
      <c r="LQY148" s="20"/>
      <c r="LQZ148" s="20"/>
      <c r="LRA148" s="20"/>
      <c r="LRB148" s="20"/>
      <c r="LRC148" s="20"/>
      <c r="LRD148" s="20"/>
      <c r="LRE148" s="20"/>
      <c r="LRF148" s="20"/>
      <c r="LRG148" s="20"/>
      <c r="LRH148" s="20"/>
      <c r="LRI148" s="20"/>
      <c r="LRJ148" s="20"/>
      <c r="LRK148" s="20"/>
      <c r="LRL148" s="16"/>
      <c r="LRM148" s="18"/>
      <c r="LRN148" s="19"/>
      <c r="LRO148" s="20"/>
      <c r="LRP148" s="20"/>
      <c r="LRQ148" s="20"/>
      <c r="LRR148" s="20"/>
      <c r="LRS148" s="20"/>
      <c r="LRT148" s="20"/>
      <c r="LRU148" s="20"/>
      <c r="LRV148" s="20"/>
      <c r="LRW148" s="20"/>
      <c r="LRX148" s="20"/>
      <c r="LRY148" s="20"/>
      <c r="LRZ148" s="20"/>
      <c r="LSA148" s="20"/>
      <c r="LSB148" s="16"/>
      <c r="LSC148" s="18"/>
      <c r="LSD148" s="19"/>
      <c r="LSE148" s="20"/>
      <c r="LSF148" s="20"/>
      <c r="LSG148" s="20"/>
      <c r="LSH148" s="20"/>
      <c r="LSI148" s="20"/>
      <c r="LSJ148" s="20"/>
      <c r="LSK148" s="20"/>
      <c r="LSL148" s="20"/>
      <c r="LSM148" s="20"/>
      <c r="LSN148" s="20"/>
      <c r="LSO148" s="20"/>
      <c r="LSP148" s="20"/>
      <c r="LSQ148" s="20"/>
      <c r="LSR148" s="16"/>
      <c r="LSS148" s="18"/>
      <c r="LST148" s="19"/>
      <c r="LSU148" s="20"/>
      <c r="LSV148" s="20"/>
      <c r="LSW148" s="20"/>
      <c r="LSX148" s="20"/>
      <c r="LSY148" s="20"/>
      <c r="LSZ148" s="20"/>
      <c r="LTA148" s="20"/>
      <c r="LTB148" s="20"/>
      <c r="LTC148" s="20"/>
      <c r="LTD148" s="20"/>
      <c r="LTE148" s="20"/>
      <c r="LTF148" s="20"/>
      <c r="LTG148" s="20"/>
      <c r="LTH148" s="16"/>
      <c r="LTI148" s="18"/>
      <c r="LTJ148" s="19"/>
      <c r="LTK148" s="20"/>
      <c r="LTL148" s="20"/>
      <c r="LTM148" s="20"/>
      <c r="LTN148" s="20"/>
      <c r="LTO148" s="20"/>
      <c r="LTP148" s="20"/>
      <c r="LTQ148" s="20"/>
      <c r="LTR148" s="20"/>
      <c r="LTS148" s="20"/>
      <c r="LTT148" s="20"/>
      <c r="LTU148" s="20"/>
      <c r="LTV148" s="20"/>
      <c r="LTW148" s="20"/>
      <c r="LTX148" s="16"/>
      <c r="LTY148" s="18"/>
      <c r="LTZ148" s="19"/>
      <c r="LUA148" s="20"/>
      <c r="LUB148" s="20"/>
      <c r="LUC148" s="20"/>
      <c r="LUD148" s="20"/>
      <c r="LUE148" s="20"/>
      <c r="LUF148" s="20"/>
      <c r="LUG148" s="20"/>
      <c r="LUH148" s="20"/>
      <c r="LUI148" s="20"/>
      <c r="LUJ148" s="20"/>
      <c r="LUK148" s="20"/>
      <c r="LUL148" s="20"/>
      <c r="LUM148" s="20"/>
      <c r="LUN148" s="16"/>
      <c r="LUO148" s="18"/>
      <c r="LUP148" s="19"/>
      <c r="LUQ148" s="20"/>
      <c r="LUR148" s="20"/>
      <c r="LUS148" s="20"/>
      <c r="LUT148" s="20"/>
      <c r="LUU148" s="20"/>
      <c r="LUV148" s="20"/>
      <c r="LUW148" s="20"/>
      <c r="LUX148" s="20"/>
      <c r="LUY148" s="20"/>
      <c r="LUZ148" s="20"/>
      <c r="LVA148" s="20"/>
      <c r="LVB148" s="20"/>
      <c r="LVC148" s="20"/>
      <c r="LVD148" s="16"/>
      <c r="LVE148" s="18"/>
      <c r="LVF148" s="19"/>
      <c r="LVG148" s="20"/>
      <c r="LVH148" s="20"/>
      <c r="LVI148" s="20"/>
      <c r="LVJ148" s="20"/>
      <c r="LVK148" s="20"/>
      <c r="LVL148" s="20"/>
      <c r="LVM148" s="20"/>
      <c r="LVN148" s="20"/>
      <c r="LVO148" s="20"/>
      <c r="LVP148" s="20"/>
      <c r="LVQ148" s="20"/>
      <c r="LVR148" s="20"/>
      <c r="LVS148" s="20"/>
      <c r="LVT148" s="16"/>
      <c r="LVU148" s="18"/>
      <c r="LVV148" s="19"/>
      <c r="LVW148" s="20"/>
      <c r="LVX148" s="20"/>
      <c r="LVY148" s="20"/>
      <c r="LVZ148" s="20"/>
      <c r="LWA148" s="20"/>
      <c r="LWB148" s="20"/>
      <c r="LWC148" s="20"/>
      <c r="LWD148" s="20"/>
      <c r="LWE148" s="20"/>
      <c r="LWF148" s="20"/>
      <c r="LWG148" s="20"/>
      <c r="LWH148" s="20"/>
      <c r="LWI148" s="20"/>
      <c r="LWJ148" s="16"/>
      <c r="LWK148" s="18"/>
      <c r="LWL148" s="19"/>
      <c r="LWM148" s="20"/>
      <c r="LWN148" s="20"/>
      <c r="LWO148" s="20"/>
      <c r="LWP148" s="20"/>
      <c r="LWQ148" s="20"/>
      <c r="LWR148" s="20"/>
      <c r="LWS148" s="20"/>
      <c r="LWT148" s="20"/>
      <c r="LWU148" s="20"/>
      <c r="LWV148" s="20"/>
      <c r="LWW148" s="20"/>
      <c r="LWX148" s="20"/>
      <c r="LWY148" s="20"/>
      <c r="LWZ148" s="16"/>
      <c r="LXA148" s="18"/>
      <c r="LXB148" s="19"/>
      <c r="LXC148" s="20"/>
      <c r="LXD148" s="20"/>
      <c r="LXE148" s="20"/>
      <c r="LXF148" s="20"/>
      <c r="LXG148" s="20"/>
      <c r="LXH148" s="20"/>
      <c r="LXI148" s="20"/>
      <c r="LXJ148" s="20"/>
      <c r="LXK148" s="20"/>
      <c r="LXL148" s="20"/>
      <c r="LXM148" s="20"/>
      <c r="LXN148" s="20"/>
      <c r="LXO148" s="20"/>
      <c r="LXP148" s="16"/>
      <c r="LXQ148" s="18"/>
      <c r="LXR148" s="19"/>
      <c r="LXS148" s="20"/>
      <c r="LXT148" s="20"/>
      <c r="LXU148" s="20"/>
      <c r="LXV148" s="20"/>
      <c r="LXW148" s="20"/>
      <c r="LXX148" s="20"/>
      <c r="LXY148" s="20"/>
      <c r="LXZ148" s="20"/>
      <c r="LYA148" s="20"/>
      <c r="LYB148" s="20"/>
      <c r="LYC148" s="20"/>
      <c r="LYD148" s="20"/>
      <c r="LYE148" s="20"/>
      <c r="LYF148" s="16"/>
      <c r="LYG148" s="18"/>
      <c r="LYH148" s="19"/>
      <c r="LYI148" s="20"/>
      <c r="LYJ148" s="20"/>
      <c r="LYK148" s="20"/>
      <c r="LYL148" s="20"/>
      <c r="LYM148" s="20"/>
      <c r="LYN148" s="20"/>
      <c r="LYO148" s="20"/>
      <c r="LYP148" s="20"/>
      <c r="LYQ148" s="20"/>
      <c r="LYR148" s="20"/>
      <c r="LYS148" s="20"/>
      <c r="LYT148" s="20"/>
      <c r="LYU148" s="20"/>
      <c r="LYV148" s="16"/>
      <c r="LYW148" s="18"/>
      <c r="LYX148" s="19"/>
      <c r="LYY148" s="20"/>
      <c r="LYZ148" s="20"/>
      <c r="LZA148" s="20"/>
      <c r="LZB148" s="20"/>
      <c r="LZC148" s="20"/>
      <c r="LZD148" s="20"/>
      <c r="LZE148" s="20"/>
      <c r="LZF148" s="20"/>
      <c r="LZG148" s="20"/>
      <c r="LZH148" s="20"/>
      <c r="LZI148" s="20"/>
      <c r="LZJ148" s="20"/>
      <c r="LZK148" s="20"/>
      <c r="LZL148" s="16"/>
      <c r="LZM148" s="18"/>
      <c r="LZN148" s="19"/>
      <c r="LZO148" s="20"/>
      <c r="LZP148" s="20"/>
      <c r="LZQ148" s="20"/>
      <c r="LZR148" s="20"/>
      <c r="LZS148" s="20"/>
      <c r="LZT148" s="20"/>
      <c r="LZU148" s="20"/>
      <c r="LZV148" s="20"/>
      <c r="LZW148" s="20"/>
      <c r="LZX148" s="20"/>
      <c r="LZY148" s="20"/>
      <c r="LZZ148" s="20"/>
      <c r="MAA148" s="20"/>
      <c r="MAB148" s="16"/>
      <c r="MAC148" s="18"/>
      <c r="MAD148" s="19"/>
      <c r="MAE148" s="20"/>
      <c r="MAF148" s="20"/>
      <c r="MAG148" s="20"/>
      <c r="MAH148" s="20"/>
      <c r="MAI148" s="20"/>
      <c r="MAJ148" s="20"/>
      <c r="MAK148" s="20"/>
      <c r="MAL148" s="20"/>
      <c r="MAM148" s="20"/>
      <c r="MAN148" s="20"/>
      <c r="MAO148" s="20"/>
      <c r="MAP148" s="20"/>
      <c r="MAQ148" s="20"/>
      <c r="MAR148" s="16"/>
      <c r="MAS148" s="18"/>
      <c r="MAT148" s="19"/>
      <c r="MAU148" s="20"/>
      <c r="MAV148" s="20"/>
      <c r="MAW148" s="20"/>
      <c r="MAX148" s="20"/>
      <c r="MAY148" s="20"/>
      <c r="MAZ148" s="20"/>
      <c r="MBA148" s="20"/>
      <c r="MBB148" s="20"/>
      <c r="MBC148" s="20"/>
      <c r="MBD148" s="20"/>
      <c r="MBE148" s="20"/>
      <c r="MBF148" s="20"/>
      <c r="MBG148" s="20"/>
      <c r="MBH148" s="16"/>
      <c r="MBI148" s="18"/>
      <c r="MBJ148" s="19"/>
      <c r="MBK148" s="20"/>
      <c r="MBL148" s="20"/>
      <c r="MBM148" s="20"/>
      <c r="MBN148" s="20"/>
      <c r="MBO148" s="20"/>
      <c r="MBP148" s="20"/>
      <c r="MBQ148" s="20"/>
      <c r="MBR148" s="20"/>
      <c r="MBS148" s="20"/>
      <c r="MBT148" s="20"/>
      <c r="MBU148" s="20"/>
      <c r="MBV148" s="20"/>
      <c r="MBW148" s="20"/>
      <c r="MBX148" s="16"/>
      <c r="MBY148" s="18"/>
      <c r="MBZ148" s="19"/>
      <c r="MCA148" s="20"/>
      <c r="MCB148" s="20"/>
      <c r="MCC148" s="20"/>
      <c r="MCD148" s="20"/>
      <c r="MCE148" s="20"/>
      <c r="MCF148" s="20"/>
      <c r="MCG148" s="20"/>
      <c r="MCH148" s="20"/>
      <c r="MCI148" s="20"/>
      <c r="MCJ148" s="20"/>
      <c r="MCK148" s="20"/>
      <c r="MCL148" s="20"/>
      <c r="MCM148" s="20"/>
      <c r="MCN148" s="16"/>
      <c r="MCO148" s="18"/>
      <c r="MCP148" s="19"/>
      <c r="MCQ148" s="20"/>
      <c r="MCR148" s="20"/>
      <c r="MCS148" s="20"/>
      <c r="MCT148" s="20"/>
      <c r="MCU148" s="20"/>
      <c r="MCV148" s="20"/>
      <c r="MCW148" s="20"/>
      <c r="MCX148" s="20"/>
      <c r="MCY148" s="20"/>
      <c r="MCZ148" s="20"/>
      <c r="MDA148" s="20"/>
      <c r="MDB148" s="20"/>
      <c r="MDC148" s="20"/>
      <c r="MDD148" s="16"/>
      <c r="MDE148" s="18"/>
      <c r="MDF148" s="19"/>
      <c r="MDG148" s="20"/>
      <c r="MDH148" s="20"/>
      <c r="MDI148" s="20"/>
      <c r="MDJ148" s="20"/>
      <c r="MDK148" s="20"/>
      <c r="MDL148" s="20"/>
      <c r="MDM148" s="20"/>
      <c r="MDN148" s="20"/>
      <c r="MDO148" s="20"/>
      <c r="MDP148" s="20"/>
      <c r="MDQ148" s="20"/>
      <c r="MDR148" s="20"/>
      <c r="MDS148" s="20"/>
      <c r="MDT148" s="16"/>
      <c r="MDU148" s="18"/>
      <c r="MDV148" s="19"/>
      <c r="MDW148" s="20"/>
      <c r="MDX148" s="20"/>
      <c r="MDY148" s="20"/>
      <c r="MDZ148" s="20"/>
      <c r="MEA148" s="20"/>
      <c r="MEB148" s="20"/>
      <c r="MEC148" s="20"/>
      <c r="MED148" s="20"/>
      <c r="MEE148" s="20"/>
      <c r="MEF148" s="20"/>
      <c r="MEG148" s="20"/>
      <c r="MEH148" s="20"/>
      <c r="MEI148" s="20"/>
      <c r="MEJ148" s="16"/>
      <c r="MEK148" s="18"/>
      <c r="MEL148" s="19"/>
      <c r="MEM148" s="20"/>
      <c r="MEN148" s="20"/>
      <c r="MEO148" s="20"/>
      <c r="MEP148" s="20"/>
      <c r="MEQ148" s="20"/>
      <c r="MER148" s="20"/>
      <c r="MES148" s="20"/>
      <c r="MET148" s="20"/>
      <c r="MEU148" s="20"/>
      <c r="MEV148" s="20"/>
      <c r="MEW148" s="20"/>
      <c r="MEX148" s="20"/>
      <c r="MEY148" s="20"/>
      <c r="MEZ148" s="16"/>
      <c r="MFA148" s="18"/>
      <c r="MFB148" s="19"/>
      <c r="MFC148" s="20"/>
      <c r="MFD148" s="20"/>
      <c r="MFE148" s="20"/>
      <c r="MFF148" s="20"/>
      <c r="MFG148" s="20"/>
      <c r="MFH148" s="20"/>
      <c r="MFI148" s="20"/>
      <c r="MFJ148" s="20"/>
      <c r="MFK148" s="20"/>
      <c r="MFL148" s="20"/>
      <c r="MFM148" s="20"/>
      <c r="MFN148" s="20"/>
      <c r="MFO148" s="20"/>
      <c r="MFP148" s="16"/>
      <c r="MFQ148" s="18"/>
      <c r="MFR148" s="19"/>
      <c r="MFS148" s="20"/>
      <c r="MFT148" s="20"/>
      <c r="MFU148" s="20"/>
      <c r="MFV148" s="20"/>
      <c r="MFW148" s="20"/>
      <c r="MFX148" s="20"/>
      <c r="MFY148" s="20"/>
      <c r="MFZ148" s="20"/>
      <c r="MGA148" s="20"/>
      <c r="MGB148" s="20"/>
      <c r="MGC148" s="20"/>
      <c r="MGD148" s="20"/>
      <c r="MGE148" s="20"/>
      <c r="MGF148" s="16"/>
      <c r="MGG148" s="18"/>
      <c r="MGH148" s="19"/>
      <c r="MGI148" s="20"/>
      <c r="MGJ148" s="20"/>
      <c r="MGK148" s="20"/>
      <c r="MGL148" s="20"/>
      <c r="MGM148" s="20"/>
      <c r="MGN148" s="20"/>
      <c r="MGO148" s="20"/>
      <c r="MGP148" s="20"/>
      <c r="MGQ148" s="20"/>
      <c r="MGR148" s="20"/>
      <c r="MGS148" s="20"/>
      <c r="MGT148" s="20"/>
      <c r="MGU148" s="20"/>
      <c r="MGV148" s="16"/>
      <c r="MGW148" s="18"/>
      <c r="MGX148" s="19"/>
      <c r="MGY148" s="20"/>
      <c r="MGZ148" s="20"/>
      <c r="MHA148" s="20"/>
      <c r="MHB148" s="20"/>
      <c r="MHC148" s="20"/>
      <c r="MHD148" s="20"/>
      <c r="MHE148" s="20"/>
      <c r="MHF148" s="20"/>
      <c r="MHG148" s="20"/>
      <c r="MHH148" s="20"/>
      <c r="MHI148" s="20"/>
      <c r="MHJ148" s="20"/>
      <c r="MHK148" s="20"/>
      <c r="MHL148" s="16"/>
      <c r="MHM148" s="18"/>
      <c r="MHN148" s="19"/>
      <c r="MHO148" s="20"/>
      <c r="MHP148" s="20"/>
      <c r="MHQ148" s="20"/>
      <c r="MHR148" s="20"/>
      <c r="MHS148" s="20"/>
      <c r="MHT148" s="20"/>
      <c r="MHU148" s="20"/>
      <c r="MHV148" s="20"/>
      <c r="MHW148" s="20"/>
      <c r="MHX148" s="20"/>
      <c r="MHY148" s="20"/>
      <c r="MHZ148" s="20"/>
      <c r="MIA148" s="20"/>
      <c r="MIB148" s="16"/>
      <c r="MIC148" s="18"/>
      <c r="MID148" s="19"/>
      <c r="MIE148" s="20"/>
      <c r="MIF148" s="20"/>
      <c r="MIG148" s="20"/>
      <c r="MIH148" s="20"/>
      <c r="MII148" s="20"/>
      <c r="MIJ148" s="20"/>
      <c r="MIK148" s="20"/>
      <c r="MIL148" s="20"/>
      <c r="MIM148" s="20"/>
      <c r="MIN148" s="20"/>
      <c r="MIO148" s="20"/>
      <c r="MIP148" s="20"/>
      <c r="MIQ148" s="20"/>
      <c r="MIR148" s="16"/>
      <c r="MIS148" s="18"/>
      <c r="MIT148" s="19"/>
      <c r="MIU148" s="20"/>
      <c r="MIV148" s="20"/>
      <c r="MIW148" s="20"/>
      <c r="MIX148" s="20"/>
      <c r="MIY148" s="20"/>
      <c r="MIZ148" s="20"/>
      <c r="MJA148" s="20"/>
      <c r="MJB148" s="20"/>
      <c r="MJC148" s="20"/>
      <c r="MJD148" s="20"/>
      <c r="MJE148" s="20"/>
      <c r="MJF148" s="20"/>
      <c r="MJG148" s="20"/>
      <c r="MJH148" s="16"/>
      <c r="MJI148" s="18"/>
      <c r="MJJ148" s="19"/>
      <c r="MJK148" s="20"/>
      <c r="MJL148" s="20"/>
      <c r="MJM148" s="20"/>
      <c r="MJN148" s="20"/>
      <c r="MJO148" s="20"/>
      <c r="MJP148" s="20"/>
      <c r="MJQ148" s="20"/>
      <c r="MJR148" s="20"/>
      <c r="MJS148" s="20"/>
      <c r="MJT148" s="20"/>
      <c r="MJU148" s="20"/>
      <c r="MJV148" s="20"/>
      <c r="MJW148" s="20"/>
      <c r="MJX148" s="16"/>
      <c r="MJY148" s="18"/>
      <c r="MJZ148" s="19"/>
      <c r="MKA148" s="20"/>
      <c r="MKB148" s="20"/>
      <c r="MKC148" s="20"/>
      <c r="MKD148" s="20"/>
      <c r="MKE148" s="20"/>
      <c r="MKF148" s="20"/>
      <c r="MKG148" s="20"/>
      <c r="MKH148" s="20"/>
      <c r="MKI148" s="20"/>
      <c r="MKJ148" s="20"/>
      <c r="MKK148" s="20"/>
      <c r="MKL148" s="20"/>
      <c r="MKM148" s="20"/>
      <c r="MKN148" s="16"/>
      <c r="MKO148" s="18"/>
      <c r="MKP148" s="19"/>
      <c r="MKQ148" s="20"/>
      <c r="MKR148" s="20"/>
      <c r="MKS148" s="20"/>
      <c r="MKT148" s="20"/>
      <c r="MKU148" s="20"/>
      <c r="MKV148" s="20"/>
      <c r="MKW148" s="20"/>
      <c r="MKX148" s="20"/>
      <c r="MKY148" s="20"/>
      <c r="MKZ148" s="20"/>
      <c r="MLA148" s="20"/>
      <c r="MLB148" s="20"/>
      <c r="MLC148" s="20"/>
      <c r="MLD148" s="16"/>
      <c r="MLE148" s="18"/>
      <c r="MLF148" s="19"/>
      <c r="MLG148" s="20"/>
      <c r="MLH148" s="20"/>
      <c r="MLI148" s="20"/>
      <c r="MLJ148" s="20"/>
      <c r="MLK148" s="20"/>
      <c r="MLL148" s="20"/>
      <c r="MLM148" s="20"/>
      <c r="MLN148" s="20"/>
      <c r="MLO148" s="20"/>
      <c r="MLP148" s="20"/>
      <c r="MLQ148" s="20"/>
      <c r="MLR148" s="20"/>
      <c r="MLS148" s="20"/>
      <c r="MLT148" s="16"/>
      <c r="MLU148" s="18"/>
      <c r="MLV148" s="19"/>
      <c r="MLW148" s="20"/>
      <c r="MLX148" s="20"/>
      <c r="MLY148" s="20"/>
      <c r="MLZ148" s="20"/>
      <c r="MMA148" s="20"/>
      <c r="MMB148" s="20"/>
      <c r="MMC148" s="20"/>
      <c r="MMD148" s="20"/>
      <c r="MME148" s="20"/>
      <c r="MMF148" s="20"/>
      <c r="MMG148" s="20"/>
      <c r="MMH148" s="20"/>
      <c r="MMI148" s="20"/>
      <c r="MMJ148" s="16"/>
      <c r="MMK148" s="18"/>
      <c r="MML148" s="19"/>
      <c r="MMM148" s="20"/>
      <c r="MMN148" s="20"/>
      <c r="MMO148" s="20"/>
      <c r="MMP148" s="20"/>
      <c r="MMQ148" s="20"/>
      <c r="MMR148" s="20"/>
      <c r="MMS148" s="20"/>
      <c r="MMT148" s="20"/>
      <c r="MMU148" s="20"/>
      <c r="MMV148" s="20"/>
      <c r="MMW148" s="20"/>
      <c r="MMX148" s="20"/>
      <c r="MMY148" s="20"/>
      <c r="MMZ148" s="16"/>
      <c r="MNA148" s="18"/>
      <c r="MNB148" s="19"/>
      <c r="MNC148" s="20"/>
      <c r="MND148" s="20"/>
      <c r="MNE148" s="20"/>
      <c r="MNF148" s="20"/>
      <c r="MNG148" s="20"/>
      <c r="MNH148" s="20"/>
      <c r="MNI148" s="20"/>
      <c r="MNJ148" s="20"/>
      <c r="MNK148" s="20"/>
      <c r="MNL148" s="20"/>
      <c r="MNM148" s="20"/>
      <c r="MNN148" s="20"/>
      <c r="MNO148" s="20"/>
      <c r="MNP148" s="16"/>
      <c r="MNQ148" s="18"/>
      <c r="MNR148" s="19"/>
      <c r="MNS148" s="20"/>
      <c r="MNT148" s="20"/>
      <c r="MNU148" s="20"/>
      <c r="MNV148" s="20"/>
      <c r="MNW148" s="20"/>
      <c r="MNX148" s="20"/>
      <c r="MNY148" s="20"/>
      <c r="MNZ148" s="20"/>
      <c r="MOA148" s="20"/>
      <c r="MOB148" s="20"/>
      <c r="MOC148" s="20"/>
      <c r="MOD148" s="20"/>
      <c r="MOE148" s="20"/>
      <c r="MOF148" s="16"/>
      <c r="MOG148" s="18"/>
      <c r="MOH148" s="19"/>
      <c r="MOI148" s="20"/>
      <c r="MOJ148" s="20"/>
      <c r="MOK148" s="20"/>
      <c r="MOL148" s="20"/>
      <c r="MOM148" s="20"/>
      <c r="MON148" s="20"/>
      <c r="MOO148" s="20"/>
      <c r="MOP148" s="20"/>
      <c r="MOQ148" s="20"/>
      <c r="MOR148" s="20"/>
      <c r="MOS148" s="20"/>
      <c r="MOT148" s="20"/>
      <c r="MOU148" s="20"/>
      <c r="MOV148" s="16"/>
      <c r="MOW148" s="18"/>
      <c r="MOX148" s="19"/>
      <c r="MOY148" s="20"/>
      <c r="MOZ148" s="20"/>
      <c r="MPA148" s="20"/>
      <c r="MPB148" s="20"/>
      <c r="MPC148" s="20"/>
      <c r="MPD148" s="20"/>
      <c r="MPE148" s="20"/>
      <c r="MPF148" s="20"/>
      <c r="MPG148" s="20"/>
      <c r="MPH148" s="20"/>
      <c r="MPI148" s="20"/>
      <c r="MPJ148" s="20"/>
      <c r="MPK148" s="20"/>
      <c r="MPL148" s="16"/>
      <c r="MPM148" s="18"/>
      <c r="MPN148" s="19"/>
      <c r="MPO148" s="20"/>
      <c r="MPP148" s="20"/>
      <c r="MPQ148" s="20"/>
      <c r="MPR148" s="20"/>
      <c r="MPS148" s="20"/>
      <c r="MPT148" s="20"/>
      <c r="MPU148" s="20"/>
      <c r="MPV148" s="20"/>
      <c r="MPW148" s="20"/>
      <c r="MPX148" s="20"/>
      <c r="MPY148" s="20"/>
      <c r="MPZ148" s="20"/>
      <c r="MQA148" s="20"/>
      <c r="MQB148" s="16"/>
      <c r="MQC148" s="18"/>
      <c r="MQD148" s="19"/>
      <c r="MQE148" s="20"/>
      <c r="MQF148" s="20"/>
      <c r="MQG148" s="20"/>
      <c r="MQH148" s="20"/>
      <c r="MQI148" s="20"/>
      <c r="MQJ148" s="20"/>
      <c r="MQK148" s="20"/>
      <c r="MQL148" s="20"/>
      <c r="MQM148" s="20"/>
      <c r="MQN148" s="20"/>
      <c r="MQO148" s="20"/>
      <c r="MQP148" s="20"/>
      <c r="MQQ148" s="20"/>
      <c r="MQR148" s="16"/>
      <c r="MQS148" s="18"/>
      <c r="MQT148" s="19"/>
      <c r="MQU148" s="20"/>
      <c r="MQV148" s="20"/>
      <c r="MQW148" s="20"/>
      <c r="MQX148" s="20"/>
      <c r="MQY148" s="20"/>
      <c r="MQZ148" s="20"/>
      <c r="MRA148" s="20"/>
      <c r="MRB148" s="20"/>
      <c r="MRC148" s="20"/>
      <c r="MRD148" s="20"/>
      <c r="MRE148" s="20"/>
      <c r="MRF148" s="20"/>
      <c r="MRG148" s="20"/>
      <c r="MRH148" s="16"/>
      <c r="MRI148" s="18"/>
      <c r="MRJ148" s="19"/>
      <c r="MRK148" s="20"/>
      <c r="MRL148" s="20"/>
      <c r="MRM148" s="20"/>
      <c r="MRN148" s="20"/>
      <c r="MRO148" s="20"/>
      <c r="MRP148" s="20"/>
      <c r="MRQ148" s="20"/>
      <c r="MRR148" s="20"/>
      <c r="MRS148" s="20"/>
      <c r="MRT148" s="20"/>
      <c r="MRU148" s="20"/>
      <c r="MRV148" s="20"/>
      <c r="MRW148" s="20"/>
      <c r="MRX148" s="16"/>
      <c r="MRY148" s="18"/>
      <c r="MRZ148" s="19"/>
      <c r="MSA148" s="20"/>
      <c r="MSB148" s="20"/>
      <c r="MSC148" s="20"/>
      <c r="MSD148" s="20"/>
      <c r="MSE148" s="20"/>
      <c r="MSF148" s="20"/>
      <c r="MSG148" s="20"/>
      <c r="MSH148" s="20"/>
      <c r="MSI148" s="20"/>
      <c r="MSJ148" s="20"/>
      <c r="MSK148" s="20"/>
      <c r="MSL148" s="20"/>
      <c r="MSM148" s="20"/>
      <c r="MSN148" s="16"/>
      <c r="MSO148" s="18"/>
      <c r="MSP148" s="19"/>
      <c r="MSQ148" s="20"/>
      <c r="MSR148" s="20"/>
      <c r="MSS148" s="20"/>
      <c r="MST148" s="20"/>
      <c r="MSU148" s="20"/>
      <c r="MSV148" s="20"/>
      <c r="MSW148" s="20"/>
      <c r="MSX148" s="20"/>
      <c r="MSY148" s="20"/>
      <c r="MSZ148" s="20"/>
      <c r="MTA148" s="20"/>
      <c r="MTB148" s="20"/>
      <c r="MTC148" s="20"/>
      <c r="MTD148" s="16"/>
      <c r="MTE148" s="18"/>
      <c r="MTF148" s="19"/>
      <c r="MTG148" s="20"/>
      <c r="MTH148" s="20"/>
      <c r="MTI148" s="20"/>
      <c r="MTJ148" s="20"/>
      <c r="MTK148" s="20"/>
      <c r="MTL148" s="20"/>
      <c r="MTM148" s="20"/>
      <c r="MTN148" s="20"/>
      <c r="MTO148" s="20"/>
      <c r="MTP148" s="20"/>
      <c r="MTQ148" s="20"/>
      <c r="MTR148" s="20"/>
      <c r="MTS148" s="20"/>
      <c r="MTT148" s="16"/>
      <c r="MTU148" s="18"/>
      <c r="MTV148" s="19"/>
      <c r="MTW148" s="20"/>
      <c r="MTX148" s="20"/>
      <c r="MTY148" s="20"/>
      <c r="MTZ148" s="20"/>
      <c r="MUA148" s="20"/>
      <c r="MUB148" s="20"/>
      <c r="MUC148" s="20"/>
      <c r="MUD148" s="20"/>
      <c r="MUE148" s="20"/>
      <c r="MUF148" s="20"/>
      <c r="MUG148" s="20"/>
      <c r="MUH148" s="20"/>
      <c r="MUI148" s="20"/>
      <c r="MUJ148" s="16"/>
      <c r="MUK148" s="18"/>
      <c r="MUL148" s="19"/>
      <c r="MUM148" s="20"/>
      <c r="MUN148" s="20"/>
      <c r="MUO148" s="20"/>
      <c r="MUP148" s="20"/>
      <c r="MUQ148" s="20"/>
      <c r="MUR148" s="20"/>
      <c r="MUS148" s="20"/>
      <c r="MUT148" s="20"/>
      <c r="MUU148" s="20"/>
      <c r="MUV148" s="20"/>
      <c r="MUW148" s="20"/>
      <c r="MUX148" s="20"/>
      <c r="MUY148" s="20"/>
      <c r="MUZ148" s="16"/>
      <c r="MVA148" s="18"/>
      <c r="MVB148" s="19"/>
      <c r="MVC148" s="20"/>
      <c r="MVD148" s="20"/>
      <c r="MVE148" s="20"/>
      <c r="MVF148" s="20"/>
      <c r="MVG148" s="20"/>
      <c r="MVH148" s="20"/>
      <c r="MVI148" s="20"/>
      <c r="MVJ148" s="20"/>
      <c r="MVK148" s="20"/>
      <c r="MVL148" s="20"/>
      <c r="MVM148" s="20"/>
      <c r="MVN148" s="20"/>
      <c r="MVO148" s="20"/>
      <c r="MVP148" s="16"/>
      <c r="MVQ148" s="18"/>
      <c r="MVR148" s="19"/>
      <c r="MVS148" s="20"/>
      <c r="MVT148" s="20"/>
      <c r="MVU148" s="20"/>
      <c r="MVV148" s="20"/>
      <c r="MVW148" s="20"/>
      <c r="MVX148" s="20"/>
      <c r="MVY148" s="20"/>
      <c r="MVZ148" s="20"/>
      <c r="MWA148" s="20"/>
      <c r="MWB148" s="20"/>
      <c r="MWC148" s="20"/>
      <c r="MWD148" s="20"/>
      <c r="MWE148" s="20"/>
      <c r="MWF148" s="16"/>
      <c r="MWG148" s="18"/>
      <c r="MWH148" s="19"/>
      <c r="MWI148" s="20"/>
      <c r="MWJ148" s="20"/>
      <c r="MWK148" s="20"/>
      <c r="MWL148" s="20"/>
      <c r="MWM148" s="20"/>
      <c r="MWN148" s="20"/>
      <c r="MWO148" s="20"/>
      <c r="MWP148" s="20"/>
      <c r="MWQ148" s="20"/>
      <c r="MWR148" s="20"/>
      <c r="MWS148" s="20"/>
      <c r="MWT148" s="20"/>
      <c r="MWU148" s="20"/>
      <c r="MWV148" s="16"/>
      <c r="MWW148" s="18"/>
      <c r="MWX148" s="19"/>
      <c r="MWY148" s="20"/>
      <c r="MWZ148" s="20"/>
      <c r="MXA148" s="20"/>
      <c r="MXB148" s="20"/>
      <c r="MXC148" s="20"/>
      <c r="MXD148" s="20"/>
      <c r="MXE148" s="20"/>
      <c r="MXF148" s="20"/>
      <c r="MXG148" s="20"/>
      <c r="MXH148" s="20"/>
      <c r="MXI148" s="20"/>
      <c r="MXJ148" s="20"/>
      <c r="MXK148" s="20"/>
      <c r="MXL148" s="16"/>
      <c r="MXM148" s="18"/>
      <c r="MXN148" s="19"/>
      <c r="MXO148" s="20"/>
      <c r="MXP148" s="20"/>
      <c r="MXQ148" s="20"/>
      <c r="MXR148" s="20"/>
      <c r="MXS148" s="20"/>
      <c r="MXT148" s="20"/>
      <c r="MXU148" s="20"/>
      <c r="MXV148" s="20"/>
      <c r="MXW148" s="20"/>
      <c r="MXX148" s="20"/>
      <c r="MXY148" s="20"/>
      <c r="MXZ148" s="20"/>
      <c r="MYA148" s="20"/>
      <c r="MYB148" s="16"/>
      <c r="MYC148" s="18"/>
      <c r="MYD148" s="19"/>
      <c r="MYE148" s="20"/>
      <c r="MYF148" s="20"/>
      <c r="MYG148" s="20"/>
      <c r="MYH148" s="20"/>
      <c r="MYI148" s="20"/>
      <c r="MYJ148" s="20"/>
      <c r="MYK148" s="20"/>
      <c r="MYL148" s="20"/>
      <c r="MYM148" s="20"/>
      <c r="MYN148" s="20"/>
      <c r="MYO148" s="20"/>
      <c r="MYP148" s="20"/>
      <c r="MYQ148" s="20"/>
      <c r="MYR148" s="16"/>
      <c r="MYS148" s="18"/>
      <c r="MYT148" s="19"/>
      <c r="MYU148" s="20"/>
      <c r="MYV148" s="20"/>
      <c r="MYW148" s="20"/>
      <c r="MYX148" s="20"/>
      <c r="MYY148" s="20"/>
      <c r="MYZ148" s="20"/>
      <c r="MZA148" s="20"/>
      <c r="MZB148" s="20"/>
      <c r="MZC148" s="20"/>
      <c r="MZD148" s="20"/>
      <c r="MZE148" s="20"/>
      <c r="MZF148" s="20"/>
      <c r="MZG148" s="20"/>
      <c r="MZH148" s="16"/>
      <c r="MZI148" s="18"/>
      <c r="MZJ148" s="19"/>
      <c r="MZK148" s="20"/>
      <c r="MZL148" s="20"/>
      <c r="MZM148" s="20"/>
      <c r="MZN148" s="20"/>
      <c r="MZO148" s="20"/>
      <c r="MZP148" s="20"/>
      <c r="MZQ148" s="20"/>
      <c r="MZR148" s="20"/>
      <c r="MZS148" s="20"/>
      <c r="MZT148" s="20"/>
      <c r="MZU148" s="20"/>
      <c r="MZV148" s="20"/>
      <c r="MZW148" s="20"/>
      <c r="MZX148" s="16"/>
      <c r="MZY148" s="18"/>
      <c r="MZZ148" s="19"/>
      <c r="NAA148" s="20"/>
      <c r="NAB148" s="20"/>
      <c r="NAC148" s="20"/>
      <c r="NAD148" s="20"/>
      <c r="NAE148" s="20"/>
      <c r="NAF148" s="20"/>
      <c r="NAG148" s="20"/>
      <c r="NAH148" s="20"/>
      <c r="NAI148" s="20"/>
      <c r="NAJ148" s="20"/>
      <c r="NAK148" s="20"/>
      <c r="NAL148" s="20"/>
      <c r="NAM148" s="20"/>
      <c r="NAN148" s="16"/>
      <c r="NAO148" s="18"/>
      <c r="NAP148" s="19"/>
      <c r="NAQ148" s="20"/>
      <c r="NAR148" s="20"/>
      <c r="NAS148" s="20"/>
      <c r="NAT148" s="20"/>
      <c r="NAU148" s="20"/>
      <c r="NAV148" s="20"/>
      <c r="NAW148" s="20"/>
      <c r="NAX148" s="20"/>
      <c r="NAY148" s="20"/>
      <c r="NAZ148" s="20"/>
      <c r="NBA148" s="20"/>
      <c r="NBB148" s="20"/>
      <c r="NBC148" s="20"/>
      <c r="NBD148" s="16"/>
      <c r="NBE148" s="18"/>
      <c r="NBF148" s="19"/>
      <c r="NBG148" s="20"/>
      <c r="NBH148" s="20"/>
      <c r="NBI148" s="20"/>
      <c r="NBJ148" s="20"/>
      <c r="NBK148" s="20"/>
      <c r="NBL148" s="20"/>
      <c r="NBM148" s="20"/>
      <c r="NBN148" s="20"/>
      <c r="NBO148" s="20"/>
      <c r="NBP148" s="20"/>
      <c r="NBQ148" s="20"/>
      <c r="NBR148" s="20"/>
      <c r="NBS148" s="20"/>
      <c r="NBT148" s="16"/>
      <c r="NBU148" s="18"/>
      <c r="NBV148" s="19"/>
      <c r="NBW148" s="20"/>
      <c r="NBX148" s="20"/>
      <c r="NBY148" s="20"/>
      <c r="NBZ148" s="20"/>
      <c r="NCA148" s="20"/>
      <c r="NCB148" s="20"/>
      <c r="NCC148" s="20"/>
      <c r="NCD148" s="20"/>
      <c r="NCE148" s="20"/>
      <c r="NCF148" s="20"/>
      <c r="NCG148" s="20"/>
      <c r="NCH148" s="20"/>
      <c r="NCI148" s="20"/>
      <c r="NCJ148" s="16"/>
      <c r="NCK148" s="18"/>
      <c r="NCL148" s="19"/>
      <c r="NCM148" s="20"/>
      <c r="NCN148" s="20"/>
      <c r="NCO148" s="20"/>
      <c r="NCP148" s="20"/>
      <c r="NCQ148" s="20"/>
      <c r="NCR148" s="20"/>
      <c r="NCS148" s="20"/>
      <c r="NCT148" s="20"/>
      <c r="NCU148" s="20"/>
      <c r="NCV148" s="20"/>
      <c r="NCW148" s="20"/>
      <c r="NCX148" s="20"/>
      <c r="NCY148" s="20"/>
      <c r="NCZ148" s="16"/>
      <c r="NDA148" s="18"/>
      <c r="NDB148" s="19"/>
      <c r="NDC148" s="20"/>
      <c r="NDD148" s="20"/>
      <c r="NDE148" s="20"/>
      <c r="NDF148" s="20"/>
      <c r="NDG148" s="20"/>
      <c r="NDH148" s="20"/>
      <c r="NDI148" s="20"/>
      <c r="NDJ148" s="20"/>
      <c r="NDK148" s="20"/>
      <c r="NDL148" s="20"/>
      <c r="NDM148" s="20"/>
      <c r="NDN148" s="20"/>
      <c r="NDO148" s="20"/>
      <c r="NDP148" s="16"/>
      <c r="NDQ148" s="18"/>
      <c r="NDR148" s="19"/>
      <c r="NDS148" s="20"/>
      <c r="NDT148" s="20"/>
      <c r="NDU148" s="20"/>
      <c r="NDV148" s="20"/>
      <c r="NDW148" s="20"/>
      <c r="NDX148" s="20"/>
      <c r="NDY148" s="20"/>
      <c r="NDZ148" s="20"/>
      <c r="NEA148" s="20"/>
      <c r="NEB148" s="20"/>
      <c r="NEC148" s="20"/>
      <c r="NED148" s="20"/>
      <c r="NEE148" s="20"/>
      <c r="NEF148" s="16"/>
      <c r="NEG148" s="18"/>
      <c r="NEH148" s="19"/>
      <c r="NEI148" s="20"/>
      <c r="NEJ148" s="20"/>
      <c r="NEK148" s="20"/>
      <c r="NEL148" s="20"/>
      <c r="NEM148" s="20"/>
      <c r="NEN148" s="20"/>
      <c r="NEO148" s="20"/>
      <c r="NEP148" s="20"/>
      <c r="NEQ148" s="20"/>
      <c r="NER148" s="20"/>
      <c r="NES148" s="20"/>
      <c r="NET148" s="20"/>
      <c r="NEU148" s="20"/>
      <c r="NEV148" s="16"/>
      <c r="NEW148" s="18"/>
      <c r="NEX148" s="19"/>
      <c r="NEY148" s="20"/>
      <c r="NEZ148" s="20"/>
      <c r="NFA148" s="20"/>
      <c r="NFB148" s="20"/>
      <c r="NFC148" s="20"/>
      <c r="NFD148" s="20"/>
      <c r="NFE148" s="20"/>
      <c r="NFF148" s="20"/>
      <c r="NFG148" s="20"/>
      <c r="NFH148" s="20"/>
      <c r="NFI148" s="20"/>
      <c r="NFJ148" s="20"/>
      <c r="NFK148" s="20"/>
      <c r="NFL148" s="16"/>
      <c r="NFM148" s="18"/>
      <c r="NFN148" s="19"/>
      <c r="NFO148" s="20"/>
      <c r="NFP148" s="20"/>
      <c r="NFQ148" s="20"/>
      <c r="NFR148" s="20"/>
      <c r="NFS148" s="20"/>
      <c r="NFT148" s="20"/>
      <c r="NFU148" s="20"/>
      <c r="NFV148" s="20"/>
      <c r="NFW148" s="20"/>
      <c r="NFX148" s="20"/>
      <c r="NFY148" s="20"/>
      <c r="NFZ148" s="20"/>
      <c r="NGA148" s="20"/>
      <c r="NGB148" s="16"/>
      <c r="NGC148" s="18"/>
      <c r="NGD148" s="19"/>
      <c r="NGE148" s="20"/>
      <c r="NGF148" s="20"/>
      <c r="NGG148" s="20"/>
      <c r="NGH148" s="20"/>
      <c r="NGI148" s="20"/>
      <c r="NGJ148" s="20"/>
      <c r="NGK148" s="20"/>
      <c r="NGL148" s="20"/>
      <c r="NGM148" s="20"/>
      <c r="NGN148" s="20"/>
      <c r="NGO148" s="20"/>
      <c r="NGP148" s="20"/>
      <c r="NGQ148" s="20"/>
      <c r="NGR148" s="16"/>
      <c r="NGS148" s="18"/>
      <c r="NGT148" s="19"/>
      <c r="NGU148" s="20"/>
      <c r="NGV148" s="20"/>
      <c r="NGW148" s="20"/>
      <c r="NGX148" s="20"/>
      <c r="NGY148" s="20"/>
      <c r="NGZ148" s="20"/>
      <c r="NHA148" s="20"/>
      <c r="NHB148" s="20"/>
      <c r="NHC148" s="20"/>
      <c r="NHD148" s="20"/>
      <c r="NHE148" s="20"/>
      <c r="NHF148" s="20"/>
      <c r="NHG148" s="20"/>
      <c r="NHH148" s="16"/>
      <c r="NHI148" s="18"/>
      <c r="NHJ148" s="19"/>
      <c r="NHK148" s="20"/>
      <c r="NHL148" s="20"/>
      <c r="NHM148" s="20"/>
      <c r="NHN148" s="20"/>
      <c r="NHO148" s="20"/>
      <c r="NHP148" s="20"/>
      <c r="NHQ148" s="20"/>
      <c r="NHR148" s="20"/>
      <c r="NHS148" s="20"/>
      <c r="NHT148" s="20"/>
      <c r="NHU148" s="20"/>
      <c r="NHV148" s="20"/>
      <c r="NHW148" s="20"/>
      <c r="NHX148" s="16"/>
      <c r="NHY148" s="18"/>
      <c r="NHZ148" s="19"/>
      <c r="NIA148" s="20"/>
      <c r="NIB148" s="20"/>
      <c r="NIC148" s="20"/>
      <c r="NID148" s="20"/>
      <c r="NIE148" s="20"/>
      <c r="NIF148" s="20"/>
      <c r="NIG148" s="20"/>
      <c r="NIH148" s="20"/>
      <c r="NII148" s="20"/>
      <c r="NIJ148" s="20"/>
      <c r="NIK148" s="20"/>
      <c r="NIL148" s="20"/>
      <c r="NIM148" s="20"/>
      <c r="NIN148" s="16"/>
      <c r="NIO148" s="18"/>
      <c r="NIP148" s="19"/>
      <c r="NIQ148" s="20"/>
      <c r="NIR148" s="20"/>
      <c r="NIS148" s="20"/>
      <c r="NIT148" s="20"/>
      <c r="NIU148" s="20"/>
      <c r="NIV148" s="20"/>
      <c r="NIW148" s="20"/>
      <c r="NIX148" s="20"/>
      <c r="NIY148" s="20"/>
      <c r="NIZ148" s="20"/>
      <c r="NJA148" s="20"/>
      <c r="NJB148" s="20"/>
      <c r="NJC148" s="20"/>
      <c r="NJD148" s="16"/>
      <c r="NJE148" s="18"/>
      <c r="NJF148" s="19"/>
      <c r="NJG148" s="20"/>
      <c r="NJH148" s="20"/>
      <c r="NJI148" s="20"/>
      <c r="NJJ148" s="20"/>
      <c r="NJK148" s="20"/>
      <c r="NJL148" s="20"/>
      <c r="NJM148" s="20"/>
      <c r="NJN148" s="20"/>
      <c r="NJO148" s="20"/>
      <c r="NJP148" s="20"/>
      <c r="NJQ148" s="20"/>
      <c r="NJR148" s="20"/>
      <c r="NJS148" s="20"/>
      <c r="NJT148" s="16"/>
      <c r="NJU148" s="18"/>
      <c r="NJV148" s="19"/>
      <c r="NJW148" s="20"/>
      <c r="NJX148" s="20"/>
      <c r="NJY148" s="20"/>
      <c r="NJZ148" s="20"/>
      <c r="NKA148" s="20"/>
      <c r="NKB148" s="20"/>
      <c r="NKC148" s="20"/>
      <c r="NKD148" s="20"/>
      <c r="NKE148" s="20"/>
      <c r="NKF148" s="20"/>
      <c r="NKG148" s="20"/>
      <c r="NKH148" s="20"/>
      <c r="NKI148" s="20"/>
      <c r="NKJ148" s="16"/>
      <c r="NKK148" s="18"/>
      <c r="NKL148" s="19"/>
      <c r="NKM148" s="20"/>
      <c r="NKN148" s="20"/>
      <c r="NKO148" s="20"/>
      <c r="NKP148" s="20"/>
      <c r="NKQ148" s="20"/>
      <c r="NKR148" s="20"/>
      <c r="NKS148" s="20"/>
      <c r="NKT148" s="20"/>
      <c r="NKU148" s="20"/>
      <c r="NKV148" s="20"/>
      <c r="NKW148" s="20"/>
      <c r="NKX148" s="20"/>
      <c r="NKY148" s="20"/>
      <c r="NKZ148" s="16"/>
      <c r="NLA148" s="18"/>
      <c r="NLB148" s="19"/>
      <c r="NLC148" s="20"/>
      <c r="NLD148" s="20"/>
      <c r="NLE148" s="20"/>
      <c r="NLF148" s="20"/>
      <c r="NLG148" s="20"/>
      <c r="NLH148" s="20"/>
      <c r="NLI148" s="20"/>
      <c r="NLJ148" s="20"/>
      <c r="NLK148" s="20"/>
      <c r="NLL148" s="20"/>
      <c r="NLM148" s="20"/>
      <c r="NLN148" s="20"/>
      <c r="NLO148" s="20"/>
      <c r="NLP148" s="16"/>
      <c r="NLQ148" s="18"/>
      <c r="NLR148" s="19"/>
      <c r="NLS148" s="20"/>
      <c r="NLT148" s="20"/>
      <c r="NLU148" s="20"/>
      <c r="NLV148" s="20"/>
      <c r="NLW148" s="20"/>
      <c r="NLX148" s="20"/>
      <c r="NLY148" s="20"/>
      <c r="NLZ148" s="20"/>
      <c r="NMA148" s="20"/>
      <c r="NMB148" s="20"/>
      <c r="NMC148" s="20"/>
      <c r="NMD148" s="20"/>
      <c r="NME148" s="20"/>
      <c r="NMF148" s="16"/>
      <c r="NMG148" s="18"/>
      <c r="NMH148" s="19"/>
      <c r="NMI148" s="20"/>
      <c r="NMJ148" s="20"/>
      <c r="NMK148" s="20"/>
      <c r="NML148" s="20"/>
      <c r="NMM148" s="20"/>
      <c r="NMN148" s="20"/>
      <c r="NMO148" s="20"/>
      <c r="NMP148" s="20"/>
      <c r="NMQ148" s="20"/>
      <c r="NMR148" s="20"/>
      <c r="NMS148" s="20"/>
      <c r="NMT148" s="20"/>
      <c r="NMU148" s="20"/>
      <c r="NMV148" s="16"/>
      <c r="NMW148" s="18"/>
      <c r="NMX148" s="19"/>
      <c r="NMY148" s="20"/>
      <c r="NMZ148" s="20"/>
      <c r="NNA148" s="20"/>
      <c r="NNB148" s="20"/>
      <c r="NNC148" s="20"/>
      <c r="NND148" s="20"/>
      <c r="NNE148" s="20"/>
      <c r="NNF148" s="20"/>
      <c r="NNG148" s="20"/>
      <c r="NNH148" s="20"/>
      <c r="NNI148" s="20"/>
      <c r="NNJ148" s="20"/>
      <c r="NNK148" s="20"/>
      <c r="NNL148" s="16"/>
      <c r="NNM148" s="18"/>
      <c r="NNN148" s="19"/>
      <c r="NNO148" s="20"/>
      <c r="NNP148" s="20"/>
      <c r="NNQ148" s="20"/>
      <c r="NNR148" s="20"/>
      <c r="NNS148" s="20"/>
      <c r="NNT148" s="20"/>
      <c r="NNU148" s="20"/>
      <c r="NNV148" s="20"/>
      <c r="NNW148" s="20"/>
      <c r="NNX148" s="20"/>
      <c r="NNY148" s="20"/>
      <c r="NNZ148" s="20"/>
      <c r="NOA148" s="20"/>
      <c r="NOB148" s="16"/>
      <c r="NOC148" s="18"/>
      <c r="NOD148" s="19"/>
      <c r="NOE148" s="20"/>
      <c r="NOF148" s="20"/>
      <c r="NOG148" s="20"/>
      <c r="NOH148" s="20"/>
      <c r="NOI148" s="20"/>
      <c r="NOJ148" s="20"/>
      <c r="NOK148" s="20"/>
      <c r="NOL148" s="20"/>
      <c r="NOM148" s="20"/>
      <c r="NON148" s="20"/>
      <c r="NOO148" s="20"/>
      <c r="NOP148" s="20"/>
      <c r="NOQ148" s="20"/>
      <c r="NOR148" s="16"/>
      <c r="NOS148" s="18"/>
      <c r="NOT148" s="19"/>
      <c r="NOU148" s="20"/>
      <c r="NOV148" s="20"/>
      <c r="NOW148" s="20"/>
      <c r="NOX148" s="20"/>
      <c r="NOY148" s="20"/>
      <c r="NOZ148" s="20"/>
      <c r="NPA148" s="20"/>
      <c r="NPB148" s="20"/>
      <c r="NPC148" s="20"/>
      <c r="NPD148" s="20"/>
      <c r="NPE148" s="20"/>
      <c r="NPF148" s="20"/>
      <c r="NPG148" s="20"/>
      <c r="NPH148" s="16"/>
      <c r="NPI148" s="18"/>
      <c r="NPJ148" s="19"/>
      <c r="NPK148" s="20"/>
      <c r="NPL148" s="20"/>
      <c r="NPM148" s="20"/>
      <c r="NPN148" s="20"/>
      <c r="NPO148" s="20"/>
      <c r="NPP148" s="20"/>
      <c r="NPQ148" s="20"/>
      <c r="NPR148" s="20"/>
      <c r="NPS148" s="20"/>
      <c r="NPT148" s="20"/>
      <c r="NPU148" s="20"/>
      <c r="NPV148" s="20"/>
      <c r="NPW148" s="20"/>
      <c r="NPX148" s="16"/>
      <c r="NPY148" s="18"/>
      <c r="NPZ148" s="19"/>
      <c r="NQA148" s="20"/>
      <c r="NQB148" s="20"/>
      <c r="NQC148" s="20"/>
      <c r="NQD148" s="20"/>
      <c r="NQE148" s="20"/>
      <c r="NQF148" s="20"/>
      <c r="NQG148" s="20"/>
      <c r="NQH148" s="20"/>
      <c r="NQI148" s="20"/>
      <c r="NQJ148" s="20"/>
      <c r="NQK148" s="20"/>
      <c r="NQL148" s="20"/>
      <c r="NQM148" s="20"/>
      <c r="NQN148" s="16"/>
      <c r="NQO148" s="18"/>
      <c r="NQP148" s="19"/>
      <c r="NQQ148" s="20"/>
      <c r="NQR148" s="20"/>
      <c r="NQS148" s="20"/>
      <c r="NQT148" s="20"/>
      <c r="NQU148" s="20"/>
      <c r="NQV148" s="20"/>
      <c r="NQW148" s="20"/>
      <c r="NQX148" s="20"/>
      <c r="NQY148" s="20"/>
      <c r="NQZ148" s="20"/>
      <c r="NRA148" s="20"/>
      <c r="NRB148" s="20"/>
      <c r="NRC148" s="20"/>
      <c r="NRD148" s="16"/>
      <c r="NRE148" s="18"/>
      <c r="NRF148" s="19"/>
      <c r="NRG148" s="20"/>
      <c r="NRH148" s="20"/>
      <c r="NRI148" s="20"/>
      <c r="NRJ148" s="20"/>
      <c r="NRK148" s="20"/>
      <c r="NRL148" s="20"/>
      <c r="NRM148" s="20"/>
      <c r="NRN148" s="20"/>
      <c r="NRO148" s="20"/>
      <c r="NRP148" s="20"/>
      <c r="NRQ148" s="20"/>
      <c r="NRR148" s="20"/>
      <c r="NRS148" s="20"/>
      <c r="NRT148" s="16"/>
      <c r="NRU148" s="18"/>
      <c r="NRV148" s="19"/>
      <c r="NRW148" s="20"/>
      <c r="NRX148" s="20"/>
      <c r="NRY148" s="20"/>
      <c r="NRZ148" s="20"/>
      <c r="NSA148" s="20"/>
      <c r="NSB148" s="20"/>
      <c r="NSC148" s="20"/>
      <c r="NSD148" s="20"/>
      <c r="NSE148" s="20"/>
      <c r="NSF148" s="20"/>
      <c r="NSG148" s="20"/>
      <c r="NSH148" s="20"/>
      <c r="NSI148" s="20"/>
      <c r="NSJ148" s="16"/>
      <c r="NSK148" s="18"/>
      <c r="NSL148" s="19"/>
      <c r="NSM148" s="20"/>
      <c r="NSN148" s="20"/>
      <c r="NSO148" s="20"/>
      <c r="NSP148" s="20"/>
      <c r="NSQ148" s="20"/>
      <c r="NSR148" s="20"/>
      <c r="NSS148" s="20"/>
      <c r="NST148" s="20"/>
      <c r="NSU148" s="20"/>
      <c r="NSV148" s="20"/>
      <c r="NSW148" s="20"/>
      <c r="NSX148" s="20"/>
      <c r="NSY148" s="20"/>
      <c r="NSZ148" s="16"/>
      <c r="NTA148" s="18"/>
      <c r="NTB148" s="19"/>
      <c r="NTC148" s="20"/>
      <c r="NTD148" s="20"/>
      <c r="NTE148" s="20"/>
      <c r="NTF148" s="20"/>
      <c r="NTG148" s="20"/>
      <c r="NTH148" s="20"/>
      <c r="NTI148" s="20"/>
      <c r="NTJ148" s="20"/>
      <c r="NTK148" s="20"/>
      <c r="NTL148" s="20"/>
      <c r="NTM148" s="20"/>
      <c r="NTN148" s="20"/>
      <c r="NTO148" s="20"/>
      <c r="NTP148" s="16"/>
      <c r="NTQ148" s="18"/>
      <c r="NTR148" s="19"/>
      <c r="NTS148" s="20"/>
      <c r="NTT148" s="20"/>
      <c r="NTU148" s="20"/>
      <c r="NTV148" s="20"/>
      <c r="NTW148" s="20"/>
      <c r="NTX148" s="20"/>
      <c r="NTY148" s="20"/>
      <c r="NTZ148" s="20"/>
      <c r="NUA148" s="20"/>
      <c r="NUB148" s="20"/>
      <c r="NUC148" s="20"/>
      <c r="NUD148" s="20"/>
      <c r="NUE148" s="20"/>
      <c r="NUF148" s="16"/>
      <c r="NUG148" s="18"/>
      <c r="NUH148" s="19"/>
      <c r="NUI148" s="20"/>
      <c r="NUJ148" s="20"/>
      <c r="NUK148" s="20"/>
      <c r="NUL148" s="20"/>
      <c r="NUM148" s="20"/>
      <c r="NUN148" s="20"/>
      <c r="NUO148" s="20"/>
      <c r="NUP148" s="20"/>
      <c r="NUQ148" s="20"/>
      <c r="NUR148" s="20"/>
      <c r="NUS148" s="20"/>
      <c r="NUT148" s="20"/>
      <c r="NUU148" s="20"/>
      <c r="NUV148" s="16"/>
      <c r="NUW148" s="18"/>
      <c r="NUX148" s="19"/>
      <c r="NUY148" s="20"/>
      <c r="NUZ148" s="20"/>
      <c r="NVA148" s="20"/>
      <c r="NVB148" s="20"/>
      <c r="NVC148" s="20"/>
      <c r="NVD148" s="20"/>
      <c r="NVE148" s="20"/>
      <c r="NVF148" s="20"/>
      <c r="NVG148" s="20"/>
      <c r="NVH148" s="20"/>
      <c r="NVI148" s="20"/>
      <c r="NVJ148" s="20"/>
      <c r="NVK148" s="20"/>
      <c r="NVL148" s="16"/>
      <c r="NVM148" s="18"/>
      <c r="NVN148" s="19"/>
      <c r="NVO148" s="20"/>
      <c r="NVP148" s="20"/>
      <c r="NVQ148" s="20"/>
      <c r="NVR148" s="20"/>
      <c r="NVS148" s="20"/>
      <c r="NVT148" s="20"/>
      <c r="NVU148" s="20"/>
      <c r="NVV148" s="20"/>
      <c r="NVW148" s="20"/>
      <c r="NVX148" s="20"/>
      <c r="NVY148" s="20"/>
      <c r="NVZ148" s="20"/>
      <c r="NWA148" s="20"/>
      <c r="NWB148" s="16"/>
      <c r="NWC148" s="18"/>
      <c r="NWD148" s="19"/>
      <c r="NWE148" s="20"/>
      <c r="NWF148" s="20"/>
      <c r="NWG148" s="20"/>
      <c r="NWH148" s="20"/>
      <c r="NWI148" s="20"/>
      <c r="NWJ148" s="20"/>
      <c r="NWK148" s="20"/>
      <c r="NWL148" s="20"/>
      <c r="NWM148" s="20"/>
      <c r="NWN148" s="20"/>
      <c r="NWO148" s="20"/>
      <c r="NWP148" s="20"/>
      <c r="NWQ148" s="20"/>
      <c r="NWR148" s="16"/>
      <c r="NWS148" s="18"/>
      <c r="NWT148" s="19"/>
      <c r="NWU148" s="20"/>
      <c r="NWV148" s="20"/>
      <c r="NWW148" s="20"/>
      <c r="NWX148" s="20"/>
      <c r="NWY148" s="20"/>
      <c r="NWZ148" s="20"/>
      <c r="NXA148" s="20"/>
      <c r="NXB148" s="20"/>
      <c r="NXC148" s="20"/>
      <c r="NXD148" s="20"/>
      <c r="NXE148" s="20"/>
      <c r="NXF148" s="20"/>
      <c r="NXG148" s="20"/>
      <c r="NXH148" s="16"/>
      <c r="NXI148" s="18"/>
      <c r="NXJ148" s="19"/>
      <c r="NXK148" s="20"/>
      <c r="NXL148" s="20"/>
      <c r="NXM148" s="20"/>
      <c r="NXN148" s="20"/>
      <c r="NXO148" s="20"/>
      <c r="NXP148" s="20"/>
      <c r="NXQ148" s="20"/>
      <c r="NXR148" s="20"/>
      <c r="NXS148" s="20"/>
      <c r="NXT148" s="20"/>
      <c r="NXU148" s="20"/>
      <c r="NXV148" s="20"/>
      <c r="NXW148" s="20"/>
      <c r="NXX148" s="16"/>
      <c r="NXY148" s="18"/>
      <c r="NXZ148" s="19"/>
      <c r="NYA148" s="20"/>
      <c r="NYB148" s="20"/>
      <c r="NYC148" s="20"/>
      <c r="NYD148" s="20"/>
      <c r="NYE148" s="20"/>
      <c r="NYF148" s="20"/>
      <c r="NYG148" s="20"/>
      <c r="NYH148" s="20"/>
      <c r="NYI148" s="20"/>
      <c r="NYJ148" s="20"/>
      <c r="NYK148" s="20"/>
      <c r="NYL148" s="20"/>
      <c r="NYM148" s="20"/>
      <c r="NYN148" s="16"/>
      <c r="NYO148" s="18"/>
      <c r="NYP148" s="19"/>
      <c r="NYQ148" s="20"/>
      <c r="NYR148" s="20"/>
      <c r="NYS148" s="20"/>
      <c r="NYT148" s="20"/>
      <c r="NYU148" s="20"/>
      <c r="NYV148" s="20"/>
      <c r="NYW148" s="20"/>
      <c r="NYX148" s="20"/>
      <c r="NYY148" s="20"/>
      <c r="NYZ148" s="20"/>
      <c r="NZA148" s="20"/>
      <c r="NZB148" s="20"/>
      <c r="NZC148" s="20"/>
      <c r="NZD148" s="16"/>
      <c r="NZE148" s="18"/>
      <c r="NZF148" s="19"/>
      <c r="NZG148" s="20"/>
      <c r="NZH148" s="20"/>
      <c r="NZI148" s="20"/>
      <c r="NZJ148" s="20"/>
      <c r="NZK148" s="20"/>
      <c r="NZL148" s="20"/>
      <c r="NZM148" s="20"/>
      <c r="NZN148" s="20"/>
      <c r="NZO148" s="20"/>
      <c r="NZP148" s="20"/>
      <c r="NZQ148" s="20"/>
      <c r="NZR148" s="20"/>
      <c r="NZS148" s="20"/>
      <c r="NZT148" s="16"/>
      <c r="NZU148" s="18"/>
      <c r="NZV148" s="19"/>
      <c r="NZW148" s="20"/>
      <c r="NZX148" s="20"/>
      <c r="NZY148" s="20"/>
      <c r="NZZ148" s="20"/>
      <c r="OAA148" s="20"/>
      <c r="OAB148" s="20"/>
      <c r="OAC148" s="20"/>
      <c r="OAD148" s="20"/>
      <c r="OAE148" s="20"/>
      <c r="OAF148" s="20"/>
      <c r="OAG148" s="20"/>
      <c r="OAH148" s="20"/>
      <c r="OAI148" s="20"/>
      <c r="OAJ148" s="16"/>
      <c r="OAK148" s="18"/>
      <c r="OAL148" s="19"/>
      <c r="OAM148" s="20"/>
      <c r="OAN148" s="20"/>
      <c r="OAO148" s="20"/>
      <c r="OAP148" s="20"/>
      <c r="OAQ148" s="20"/>
      <c r="OAR148" s="20"/>
      <c r="OAS148" s="20"/>
      <c r="OAT148" s="20"/>
      <c r="OAU148" s="20"/>
      <c r="OAV148" s="20"/>
      <c r="OAW148" s="20"/>
      <c r="OAX148" s="20"/>
      <c r="OAY148" s="20"/>
      <c r="OAZ148" s="16"/>
      <c r="OBA148" s="18"/>
      <c r="OBB148" s="19"/>
      <c r="OBC148" s="20"/>
      <c r="OBD148" s="20"/>
      <c r="OBE148" s="20"/>
      <c r="OBF148" s="20"/>
      <c r="OBG148" s="20"/>
      <c r="OBH148" s="20"/>
      <c r="OBI148" s="20"/>
      <c r="OBJ148" s="20"/>
      <c r="OBK148" s="20"/>
      <c r="OBL148" s="20"/>
      <c r="OBM148" s="20"/>
      <c r="OBN148" s="20"/>
      <c r="OBO148" s="20"/>
      <c r="OBP148" s="16"/>
      <c r="OBQ148" s="18"/>
      <c r="OBR148" s="19"/>
      <c r="OBS148" s="20"/>
      <c r="OBT148" s="20"/>
      <c r="OBU148" s="20"/>
      <c r="OBV148" s="20"/>
      <c r="OBW148" s="20"/>
      <c r="OBX148" s="20"/>
      <c r="OBY148" s="20"/>
      <c r="OBZ148" s="20"/>
      <c r="OCA148" s="20"/>
      <c r="OCB148" s="20"/>
      <c r="OCC148" s="20"/>
      <c r="OCD148" s="20"/>
      <c r="OCE148" s="20"/>
      <c r="OCF148" s="16"/>
      <c r="OCG148" s="18"/>
      <c r="OCH148" s="19"/>
      <c r="OCI148" s="20"/>
      <c r="OCJ148" s="20"/>
      <c r="OCK148" s="20"/>
      <c r="OCL148" s="20"/>
      <c r="OCM148" s="20"/>
      <c r="OCN148" s="20"/>
      <c r="OCO148" s="20"/>
      <c r="OCP148" s="20"/>
      <c r="OCQ148" s="20"/>
      <c r="OCR148" s="20"/>
      <c r="OCS148" s="20"/>
      <c r="OCT148" s="20"/>
      <c r="OCU148" s="20"/>
      <c r="OCV148" s="16"/>
      <c r="OCW148" s="18"/>
      <c r="OCX148" s="19"/>
      <c r="OCY148" s="20"/>
      <c r="OCZ148" s="20"/>
      <c r="ODA148" s="20"/>
      <c r="ODB148" s="20"/>
      <c r="ODC148" s="20"/>
      <c r="ODD148" s="20"/>
      <c r="ODE148" s="20"/>
      <c r="ODF148" s="20"/>
      <c r="ODG148" s="20"/>
      <c r="ODH148" s="20"/>
      <c r="ODI148" s="20"/>
      <c r="ODJ148" s="20"/>
      <c r="ODK148" s="20"/>
      <c r="ODL148" s="16"/>
      <c r="ODM148" s="18"/>
      <c r="ODN148" s="19"/>
      <c r="ODO148" s="20"/>
      <c r="ODP148" s="20"/>
      <c r="ODQ148" s="20"/>
      <c r="ODR148" s="20"/>
      <c r="ODS148" s="20"/>
      <c r="ODT148" s="20"/>
      <c r="ODU148" s="20"/>
      <c r="ODV148" s="20"/>
      <c r="ODW148" s="20"/>
      <c r="ODX148" s="20"/>
      <c r="ODY148" s="20"/>
      <c r="ODZ148" s="20"/>
      <c r="OEA148" s="20"/>
      <c r="OEB148" s="16"/>
      <c r="OEC148" s="18"/>
      <c r="OED148" s="19"/>
      <c r="OEE148" s="20"/>
      <c r="OEF148" s="20"/>
      <c r="OEG148" s="20"/>
      <c r="OEH148" s="20"/>
      <c r="OEI148" s="20"/>
      <c r="OEJ148" s="20"/>
      <c r="OEK148" s="20"/>
      <c r="OEL148" s="20"/>
      <c r="OEM148" s="20"/>
      <c r="OEN148" s="20"/>
      <c r="OEO148" s="20"/>
      <c r="OEP148" s="20"/>
      <c r="OEQ148" s="20"/>
      <c r="OER148" s="16"/>
      <c r="OES148" s="18"/>
      <c r="OET148" s="19"/>
      <c r="OEU148" s="20"/>
      <c r="OEV148" s="20"/>
      <c r="OEW148" s="20"/>
      <c r="OEX148" s="20"/>
      <c r="OEY148" s="20"/>
      <c r="OEZ148" s="20"/>
      <c r="OFA148" s="20"/>
      <c r="OFB148" s="20"/>
      <c r="OFC148" s="20"/>
      <c r="OFD148" s="20"/>
      <c r="OFE148" s="20"/>
      <c r="OFF148" s="20"/>
      <c r="OFG148" s="20"/>
      <c r="OFH148" s="16"/>
      <c r="OFI148" s="18"/>
      <c r="OFJ148" s="19"/>
      <c r="OFK148" s="20"/>
      <c r="OFL148" s="20"/>
      <c r="OFM148" s="20"/>
      <c r="OFN148" s="20"/>
      <c r="OFO148" s="20"/>
      <c r="OFP148" s="20"/>
      <c r="OFQ148" s="20"/>
      <c r="OFR148" s="20"/>
      <c r="OFS148" s="20"/>
      <c r="OFT148" s="20"/>
      <c r="OFU148" s="20"/>
      <c r="OFV148" s="20"/>
      <c r="OFW148" s="20"/>
      <c r="OFX148" s="16"/>
      <c r="OFY148" s="18"/>
      <c r="OFZ148" s="19"/>
      <c r="OGA148" s="20"/>
      <c r="OGB148" s="20"/>
      <c r="OGC148" s="20"/>
      <c r="OGD148" s="20"/>
      <c r="OGE148" s="20"/>
      <c r="OGF148" s="20"/>
      <c r="OGG148" s="20"/>
      <c r="OGH148" s="20"/>
      <c r="OGI148" s="20"/>
      <c r="OGJ148" s="20"/>
      <c r="OGK148" s="20"/>
      <c r="OGL148" s="20"/>
      <c r="OGM148" s="20"/>
      <c r="OGN148" s="16"/>
      <c r="OGO148" s="18"/>
      <c r="OGP148" s="19"/>
      <c r="OGQ148" s="20"/>
      <c r="OGR148" s="20"/>
      <c r="OGS148" s="20"/>
      <c r="OGT148" s="20"/>
      <c r="OGU148" s="20"/>
      <c r="OGV148" s="20"/>
      <c r="OGW148" s="20"/>
      <c r="OGX148" s="20"/>
      <c r="OGY148" s="20"/>
      <c r="OGZ148" s="20"/>
      <c r="OHA148" s="20"/>
      <c r="OHB148" s="20"/>
      <c r="OHC148" s="20"/>
      <c r="OHD148" s="16"/>
      <c r="OHE148" s="18"/>
      <c r="OHF148" s="19"/>
      <c r="OHG148" s="20"/>
      <c r="OHH148" s="20"/>
      <c r="OHI148" s="20"/>
      <c r="OHJ148" s="20"/>
      <c r="OHK148" s="20"/>
      <c r="OHL148" s="20"/>
      <c r="OHM148" s="20"/>
      <c r="OHN148" s="20"/>
      <c r="OHO148" s="20"/>
      <c r="OHP148" s="20"/>
      <c r="OHQ148" s="20"/>
      <c r="OHR148" s="20"/>
      <c r="OHS148" s="20"/>
      <c r="OHT148" s="16"/>
      <c r="OHU148" s="18"/>
      <c r="OHV148" s="19"/>
      <c r="OHW148" s="20"/>
      <c r="OHX148" s="20"/>
      <c r="OHY148" s="20"/>
      <c r="OHZ148" s="20"/>
      <c r="OIA148" s="20"/>
      <c r="OIB148" s="20"/>
      <c r="OIC148" s="20"/>
      <c r="OID148" s="20"/>
      <c r="OIE148" s="20"/>
      <c r="OIF148" s="20"/>
      <c r="OIG148" s="20"/>
      <c r="OIH148" s="20"/>
      <c r="OII148" s="20"/>
      <c r="OIJ148" s="16"/>
      <c r="OIK148" s="18"/>
      <c r="OIL148" s="19"/>
      <c r="OIM148" s="20"/>
      <c r="OIN148" s="20"/>
      <c r="OIO148" s="20"/>
      <c r="OIP148" s="20"/>
      <c r="OIQ148" s="20"/>
      <c r="OIR148" s="20"/>
      <c r="OIS148" s="20"/>
      <c r="OIT148" s="20"/>
      <c r="OIU148" s="20"/>
      <c r="OIV148" s="20"/>
      <c r="OIW148" s="20"/>
      <c r="OIX148" s="20"/>
      <c r="OIY148" s="20"/>
      <c r="OIZ148" s="16"/>
      <c r="OJA148" s="18"/>
      <c r="OJB148" s="19"/>
      <c r="OJC148" s="20"/>
      <c r="OJD148" s="20"/>
      <c r="OJE148" s="20"/>
      <c r="OJF148" s="20"/>
      <c r="OJG148" s="20"/>
      <c r="OJH148" s="20"/>
      <c r="OJI148" s="20"/>
      <c r="OJJ148" s="20"/>
      <c r="OJK148" s="20"/>
      <c r="OJL148" s="20"/>
      <c r="OJM148" s="20"/>
      <c r="OJN148" s="20"/>
      <c r="OJO148" s="20"/>
      <c r="OJP148" s="16"/>
      <c r="OJQ148" s="18"/>
      <c r="OJR148" s="19"/>
      <c r="OJS148" s="20"/>
      <c r="OJT148" s="20"/>
      <c r="OJU148" s="20"/>
      <c r="OJV148" s="20"/>
      <c r="OJW148" s="20"/>
      <c r="OJX148" s="20"/>
      <c r="OJY148" s="20"/>
      <c r="OJZ148" s="20"/>
      <c r="OKA148" s="20"/>
      <c r="OKB148" s="20"/>
      <c r="OKC148" s="20"/>
      <c r="OKD148" s="20"/>
      <c r="OKE148" s="20"/>
      <c r="OKF148" s="16"/>
      <c r="OKG148" s="18"/>
      <c r="OKH148" s="19"/>
      <c r="OKI148" s="20"/>
      <c r="OKJ148" s="20"/>
      <c r="OKK148" s="20"/>
      <c r="OKL148" s="20"/>
      <c r="OKM148" s="20"/>
      <c r="OKN148" s="20"/>
      <c r="OKO148" s="20"/>
      <c r="OKP148" s="20"/>
      <c r="OKQ148" s="20"/>
      <c r="OKR148" s="20"/>
      <c r="OKS148" s="20"/>
      <c r="OKT148" s="20"/>
      <c r="OKU148" s="20"/>
      <c r="OKV148" s="16"/>
      <c r="OKW148" s="18"/>
      <c r="OKX148" s="19"/>
      <c r="OKY148" s="20"/>
      <c r="OKZ148" s="20"/>
      <c r="OLA148" s="20"/>
      <c r="OLB148" s="20"/>
      <c r="OLC148" s="20"/>
      <c r="OLD148" s="20"/>
      <c r="OLE148" s="20"/>
      <c r="OLF148" s="20"/>
      <c r="OLG148" s="20"/>
      <c r="OLH148" s="20"/>
      <c r="OLI148" s="20"/>
      <c r="OLJ148" s="20"/>
      <c r="OLK148" s="20"/>
      <c r="OLL148" s="16"/>
      <c r="OLM148" s="18"/>
      <c r="OLN148" s="19"/>
      <c r="OLO148" s="20"/>
      <c r="OLP148" s="20"/>
      <c r="OLQ148" s="20"/>
      <c r="OLR148" s="20"/>
      <c r="OLS148" s="20"/>
      <c r="OLT148" s="20"/>
      <c r="OLU148" s="20"/>
      <c r="OLV148" s="20"/>
      <c r="OLW148" s="20"/>
      <c r="OLX148" s="20"/>
      <c r="OLY148" s="20"/>
      <c r="OLZ148" s="20"/>
      <c r="OMA148" s="20"/>
      <c r="OMB148" s="16"/>
      <c r="OMC148" s="18"/>
      <c r="OMD148" s="19"/>
      <c r="OME148" s="20"/>
      <c r="OMF148" s="20"/>
      <c r="OMG148" s="20"/>
      <c r="OMH148" s="20"/>
      <c r="OMI148" s="20"/>
      <c r="OMJ148" s="20"/>
      <c r="OMK148" s="20"/>
      <c r="OML148" s="20"/>
      <c r="OMM148" s="20"/>
      <c r="OMN148" s="20"/>
      <c r="OMO148" s="20"/>
      <c r="OMP148" s="20"/>
      <c r="OMQ148" s="20"/>
      <c r="OMR148" s="16"/>
      <c r="OMS148" s="18"/>
      <c r="OMT148" s="19"/>
      <c r="OMU148" s="20"/>
      <c r="OMV148" s="20"/>
      <c r="OMW148" s="20"/>
      <c r="OMX148" s="20"/>
      <c r="OMY148" s="20"/>
      <c r="OMZ148" s="20"/>
      <c r="ONA148" s="20"/>
      <c r="ONB148" s="20"/>
      <c r="ONC148" s="20"/>
      <c r="OND148" s="20"/>
      <c r="ONE148" s="20"/>
      <c r="ONF148" s="20"/>
      <c r="ONG148" s="20"/>
      <c r="ONH148" s="16"/>
      <c r="ONI148" s="18"/>
      <c r="ONJ148" s="19"/>
      <c r="ONK148" s="20"/>
      <c r="ONL148" s="20"/>
      <c r="ONM148" s="20"/>
      <c r="ONN148" s="20"/>
      <c r="ONO148" s="20"/>
      <c r="ONP148" s="20"/>
      <c r="ONQ148" s="20"/>
      <c r="ONR148" s="20"/>
      <c r="ONS148" s="20"/>
      <c r="ONT148" s="20"/>
      <c r="ONU148" s="20"/>
      <c r="ONV148" s="20"/>
      <c r="ONW148" s="20"/>
      <c r="ONX148" s="16"/>
      <c r="ONY148" s="18"/>
      <c r="ONZ148" s="19"/>
      <c r="OOA148" s="20"/>
      <c r="OOB148" s="20"/>
      <c r="OOC148" s="20"/>
      <c r="OOD148" s="20"/>
      <c r="OOE148" s="20"/>
      <c r="OOF148" s="20"/>
      <c r="OOG148" s="20"/>
      <c r="OOH148" s="20"/>
      <c r="OOI148" s="20"/>
      <c r="OOJ148" s="20"/>
      <c r="OOK148" s="20"/>
      <c r="OOL148" s="20"/>
      <c r="OOM148" s="20"/>
      <c r="OON148" s="16"/>
      <c r="OOO148" s="18"/>
      <c r="OOP148" s="19"/>
      <c r="OOQ148" s="20"/>
      <c r="OOR148" s="20"/>
      <c r="OOS148" s="20"/>
      <c r="OOT148" s="20"/>
      <c r="OOU148" s="20"/>
      <c r="OOV148" s="20"/>
      <c r="OOW148" s="20"/>
      <c r="OOX148" s="20"/>
      <c r="OOY148" s="20"/>
      <c r="OOZ148" s="20"/>
      <c r="OPA148" s="20"/>
      <c r="OPB148" s="20"/>
      <c r="OPC148" s="20"/>
      <c r="OPD148" s="16"/>
      <c r="OPE148" s="18"/>
      <c r="OPF148" s="19"/>
      <c r="OPG148" s="20"/>
      <c r="OPH148" s="20"/>
      <c r="OPI148" s="20"/>
      <c r="OPJ148" s="20"/>
      <c r="OPK148" s="20"/>
      <c r="OPL148" s="20"/>
      <c r="OPM148" s="20"/>
      <c r="OPN148" s="20"/>
      <c r="OPO148" s="20"/>
      <c r="OPP148" s="20"/>
      <c r="OPQ148" s="20"/>
      <c r="OPR148" s="20"/>
      <c r="OPS148" s="20"/>
      <c r="OPT148" s="16"/>
      <c r="OPU148" s="18"/>
      <c r="OPV148" s="19"/>
      <c r="OPW148" s="20"/>
      <c r="OPX148" s="20"/>
      <c r="OPY148" s="20"/>
      <c r="OPZ148" s="20"/>
      <c r="OQA148" s="20"/>
      <c r="OQB148" s="20"/>
      <c r="OQC148" s="20"/>
      <c r="OQD148" s="20"/>
      <c r="OQE148" s="20"/>
      <c r="OQF148" s="20"/>
      <c r="OQG148" s="20"/>
      <c r="OQH148" s="20"/>
      <c r="OQI148" s="20"/>
      <c r="OQJ148" s="16"/>
      <c r="OQK148" s="18"/>
      <c r="OQL148" s="19"/>
      <c r="OQM148" s="20"/>
      <c r="OQN148" s="20"/>
      <c r="OQO148" s="20"/>
      <c r="OQP148" s="20"/>
      <c r="OQQ148" s="20"/>
      <c r="OQR148" s="20"/>
      <c r="OQS148" s="20"/>
      <c r="OQT148" s="20"/>
      <c r="OQU148" s="20"/>
      <c r="OQV148" s="20"/>
      <c r="OQW148" s="20"/>
      <c r="OQX148" s="20"/>
      <c r="OQY148" s="20"/>
      <c r="OQZ148" s="16"/>
      <c r="ORA148" s="18"/>
      <c r="ORB148" s="19"/>
      <c r="ORC148" s="20"/>
      <c r="ORD148" s="20"/>
      <c r="ORE148" s="20"/>
      <c r="ORF148" s="20"/>
      <c r="ORG148" s="20"/>
      <c r="ORH148" s="20"/>
      <c r="ORI148" s="20"/>
      <c r="ORJ148" s="20"/>
      <c r="ORK148" s="20"/>
      <c r="ORL148" s="20"/>
      <c r="ORM148" s="20"/>
      <c r="ORN148" s="20"/>
      <c r="ORO148" s="20"/>
      <c r="ORP148" s="16"/>
      <c r="ORQ148" s="18"/>
      <c r="ORR148" s="19"/>
      <c r="ORS148" s="20"/>
      <c r="ORT148" s="20"/>
      <c r="ORU148" s="20"/>
      <c r="ORV148" s="20"/>
      <c r="ORW148" s="20"/>
      <c r="ORX148" s="20"/>
      <c r="ORY148" s="20"/>
      <c r="ORZ148" s="20"/>
      <c r="OSA148" s="20"/>
      <c r="OSB148" s="20"/>
      <c r="OSC148" s="20"/>
      <c r="OSD148" s="20"/>
      <c r="OSE148" s="20"/>
      <c r="OSF148" s="16"/>
      <c r="OSG148" s="18"/>
      <c r="OSH148" s="19"/>
      <c r="OSI148" s="20"/>
      <c r="OSJ148" s="20"/>
      <c r="OSK148" s="20"/>
      <c r="OSL148" s="20"/>
      <c r="OSM148" s="20"/>
      <c r="OSN148" s="20"/>
      <c r="OSO148" s="20"/>
      <c r="OSP148" s="20"/>
      <c r="OSQ148" s="20"/>
      <c r="OSR148" s="20"/>
      <c r="OSS148" s="20"/>
      <c r="OST148" s="20"/>
      <c r="OSU148" s="20"/>
      <c r="OSV148" s="16"/>
      <c r="OSW148" s="18"/>
      <c r="OSX148" s="19"/>
      <c r="OSY148" s="20"/>
      <c r="OSZ148" s="20"/>
      <c r="OTA148" s="20"/>
      <c r="OTB148" s="20"/>
      <c r="OTC148" s="20"/>
      <c r="OTD148" s="20"/>
      <c r="OTE148" s="20"/>
      <c r="OTF148" s="20"/>
      <c r="OTG148" s="20"/>
      <c r="OTH148" s="20"/>
      <c r="OTI148" s="20"/>
      <c r="OTJ148" s="20"/>
      <c r="OTK148" s="20"/>
      <c r="OTL148" s="16"/>
      <c r="OTM148" s="18"/>
      <c r="OTN148" s="19"/>
      <c r="OTO148" s="20"/>
      <c r="OTP148" s="20"/>
      <c r="OTQ148" s="20"/>
      <c r="OTR148" s="20"/>
      <c r="OTS148" s="20"/>
      <c r="OTT148" s="20"/>
      <c r="OTU148" s="20"/>
      <c r="OTV148" s="20"/>
      <c r="OTW148" s="20"/>
      <c r="OTX148" s="20"/>
      <c r="OTY148" s="20"/>
      <c r="OTZ148" s="20"/>
      <c r="OUA148" s="20"/>
      <c r="OUB148" s="16"/>
      <c r="OUC148" s="18"/>
      <c r="OUD148" s="19"/>
      <c r="OUE148" s="20"/>
      <c r="OUF148" s="20"/>
      <c r="OUG148" s="20"/>
      <c r="OUH148" s="20"/>
      <c r="OUI148" s="20"/>
      <c r="OUJ148" s="20"/>
      <c r="OUK148" s="20"/>
      <c r="OUL148" s="20"/>
      <c r="OUM148" s="20"/>
      <c r="OUN148" s="20"/>
      <c r="OUO148" s="20"/>
      <c r="OUP148" s="20"/>
      <c r="OUQ148" s="20"/>
      <c r="OUR148" s="16"/>
      <c r="OUS148" s="18"/>
      <c r="OUT148" s="19"/>
      <c r="OUU148" s="20"/>
      <c r="OUV148" s="20"/>
      <c r="OUW148" s="20"/>
      <c r="OUX148" s="20"/>
      <c r="OUY148" s="20"/>
      <c r="OUZ148" s="20"/>
      <c r="OVA148" s="20"/>
      <c r="OVB148" s="20"/>
      <c r="OVC148" s="20"/>
      <c r="OVD148" s="20"/>
      <c r="OVE148" s="20"/>
      <c r="OVF148" s="20"/>
      <c r="OVG148" s="20"/>
      <c r="OVH148" s="16"/>
      <c r="OVI148" s="18"/>
      <c r="OVJ148" s="19"/>
      <c r="OVK148" s="20"/>
      <c r="OVL148" s="20"/>
      <c r="OVM148" s="20"/>
      <c r="OVN148" s="20"/>
      <c r="OVO148" s="20"/>
      <c r="OVP148" s="20"/>
      <c r="OVQ148" s="20"/>
      <c r="OVR148" s="20"/>
      <c r="OVS148" s="20"/>
      <c r="OVT148" s="20"/>
      <c r="OVU148" s="20"/>
      <c r="OVV148" s="20"/>
      <c r="OVW148" s="20"/>
      <c r="OVX148" s="16"/>
      <c r="OVY148" s="18"/>
      <c r="OVZ148" s="19"/>
      <c r="OWA148" s="20"/>
      <c r="OWB148" s="20"/>
      <c r="OWC148" s="20"/>
      <c r="OWD148" s="20"/>
      <c r="OWE148" s="20"/>
      <c r="OWF148" s="20"/>
      <c r="OWG148" s="20"/>
      <c r="OWH148" s="20"/>
      <c r="OWI148" s="20"/>
      <c r="OWJ148" s="20"/>
      <c r="OWK148" s="20"/>
      <c r="OWL148" s="20"/>
      <c r="OWM148" s="20"/>
      <c r="OWN148" s="16"/>
      <c r="OWO148" s="18"/>
      <c r="OWP148" s="19"/>
      <c r="OWQ148" s="20"/>
      <c r="OWR148" s="20"/>
      <c r="OWS148" s="20"/>
      <c r="OWT148" s="20"/>
      <c r="OWU148" s="20"/>
      <c r="OWV148" s="20"/>
      <c r="OWW148" s="20"/>
      <c r="OWX148" s="20"/>
      <c r="OWY148" s="20"/>
      <c r="OWZ148" s="20"/>
      <c r="OXA148" s="20"/>
      <c r="OXB148" s="20"/>
      <c r="OXC148" s="20"/>
      <c r="OXD148" s="16"/>
      <c r="OXE148" s="18"/>
      <c r="OXF148" s="19"/>
      <c r="OXG148" s="20"/>
      <c r="OXH148" s="20"/>
      <c r="OXI148" s="20"/>
      <c r="OXJ148" s="20"/>
      <c r="OXK148" s="20"/>
      <c r="OXL148" s="20"/>
      <c r="OXM148" s="20"/>
      <c r="OXN148" s="20"/>
      <c r="OXO148" s="20"/>
      <c r="OXP148" s="20"/>
      <c r="OXQ148" s="20"/>
      <c r="OXR148" s="20"/>
      <c r="OXS148" s="20"/>
      <c r="OXT148" s="16"/>
      <c r="OXU148" s="18"/>
      <c r="OXV148" s="19"/>
      <c r="OXW148" s="20"/>
      <c r="OXX148" s="20"/>
      <c r="OXY148" s="20"/>
      <c r="OXZ148" s="20"/>
      <c r="OYA148" s="20"/>
      <c r="OYB148" s="20"/>
      <c r="OYC148" s="20"/>
      <c r="OYD148" s="20"/>
      <c r="OYE148" s="20"/>
      <c r="OYF148" s="20"/>
      <c r="OYG148" s="20"/>
      <c r="OYH148" s="20"/>
      <c r="OYI148" s="20"/>
      <c r="OYJ148" s="16"/>
      <c r="OYK148" s="18"/>
      <c r="OYL148" s="19"/>
      <c r="OYM148" s="20"/>
      <c r="OYN148" s="20"/>
      <c r="OYO148" s="20"/>
      <c r="OYP148" s="20"/>
      <c r="OYQ148" s="20"/>
      <c r="OYR148" s="20"/>
      <c r="OYS148" s="20"/>
      <c r="OYT148" s="20"/>
      <c r="OYU148" s="20"/>
      <c r="OYV148" s="20"/>
      <c r="OYW148" s="20"/>
      <c r="OYX148" s="20"/>
      <c r="OYY148" s="20"/>
      <c r="OYZ148" s="16"/>
      <c r="OZA148" s="18"/>
      <c r="OZB148" s="19"/>
      <c r="OZC148" s="20"/>
      <c r="OZD148" s="20"/>
      <c r="OZE148" s="20"/>
      <c r="OZF148" s="20"/>
      <c r="OZG148" s="20"/>
      <c r="OZH148" s="20"/>
      <c r="OZI148" s="20"/>
      <c r="OZJ148" s="20"/>
      <c r="OZK148" s="20"/>
      <c r="OZL148" s="20"/>
      <c r="OZM148" s="20"/>
      <c r="OZN148" s="20"/>
      <c r="OZO148" s="20"/>
      <c r="OZP148" s="16"/>
      <c r="OZQ148" s="18"/>
      <c r="OZR148" s="19"/>
      <c r="OZS148" s="20"/>
      <c r="OZT148" s="20"/>
      <c r="OZU148" s="20"/>
      <c r="OZV148" s="20"/>
      <c r="OZW148" s="20"/>
      <c r="OZX148" s="20"/>
      <c r="OZY148" s="20"/>
      <c r="OZZ148" s="20"/>
      <c r="PAA148" s="20"/>
      <c r="PAB148" s="20"/>
      <c r="PAC148" s="20"/>
      <c r="PAD148" s="20"/>
      <c r="PAE148" s="20"/>
      <c r="PAF148" s="16"/>
      <c r="PAG148" s="18"/>
      <c r="PAH148" s="19"/>
      <c r="PAI148" s="20"/>
      <c r="PAJ148" s="20"/>
      <c r="PAK148" s="20"/>
      <c r="PAL148" s="20"/>
      <c r="PAM148" s="20"/>
      <c r="PAN148" s="20"/>
      <c r="PAO148" s="20"/>
      <c r="PAP148" s="20"/>
      <c r="PAQ148" s="20"/>
      <c r="PAR148" s="20"/>
      <c r="PAS148" s="20"/>
      <c r="PAT148" s="20"/>
      <c r="PAU148" s="20"/>
      <c r="PAV148" s="16"/>
      <c r="PAW148" s="18"/>
      <c r="PAX148" s="19"/>
      <c r="PAY148" s="20"/>
      <c r="PAZ148" s="20"/>
      <c r="PBA148" s="20"/>
      <c r="PBB148" s="20"/>
      <c r="PBC148" s="20"/>
      <c r="PBD148" s="20"/>
      <c r="PBE148" s="20"/>
      <c r="PBF148" s="20"/>
      <c r="PBG148" s="20"/>
      <c r="PBH148" s="20"/>
      <c r="PBI148" s="20"/>
      <c r="PBJ148" s="20"/>
      <c r="PBK148" s="20"/>
      <c r="PBL148" s="16"/>
      <c r="PBM148" s="18"/>
      <c r="PBN148" s="19"/>
      <c r="PBO148" s="20"/>
      <c r="PBP148" s="20"/>
      <c r="PBQ148" s="20"/>
      <c r="PBR148" s="20"/>
      <c r="PBS148" s="20"/>
      <c r="PBT148" s="20"/>
      <c r="PBU148" s="20"/>
      <c r="PBV148" s="20"/>
      <c r="PBW148" s="20"/>
      <c r="PBX148" s="20"/>
      <c r="PBY148" s="20"/>
      <c r="PBZ148" s="20"/>
      <c r="PCA148" s="20"/>
      <c r="PCB148" s="16"/>
      <c r="PCC148" s="18"/>
      <c r="PCD148" s="19"/>
      <c r="PCE148" s="20"/>
      <c r="PCF148" s="20"/>
      <c r="PCG148" s="20"/>
      <c r="PCH148" s="20"/>
      <c r="PCI148" s="20"/>
      <c r="PCJ148" s="20"/>
      <c r="PCK148" s="20"/>
      <c r="PCL148" s="20"/>
      <c r="PCM148" s="20"/>
      <c r="PCN148" s="20"/>
      <c r="PCO148" s="20"/>
      <c r="PCP148" s="20"/>
      <c r="PCQ148" s="20"/>
      <c r="PCR148" s="16"/>
      <c r="PCS148" s="18"/>
      <c r="PCT148" s="19"/>
      <c r="PCU148" s="20"/>
      <c r="PCV148" s="20"/>
      <c r="PCW148" s="20"/>
      <c r="PCX148" s="20"/>
      <c r="PCY148" s="20"/>
      <c r="PCZ148" s="20"/>
      <c r="PDA148" s="20"/>
      <c r="PDB148" s="20"/>
      <c r="PDC148" s="20"/>
      <c r="PDD148" s="20"/>
      <c r="PDE148" s="20"/>
      <c r="PDF148" s="20"/>
      <c r="PDG148" s="20"/>
      <c r="PDH148" s="16"/>
      <c r="PDI148" s="18"/>
      <c r="PDJ148" s="19"/>
      <c r="PDK148" s="20"/>
      <c r="PDL148" s="20"/>
      <c r="PDM148" s="20"/>
      <c r="PDN148" s="20"/>
      <c r="PDO148" s="20"/>
      <c r="PDP148" s="20"/>
      <c r="PDQ148" s="20"/>
      <c r="PDR148" s="20"/>
      <c r="PDS148" s="20"/>
      <c r="PDT148" s="20"/>
      <c r="PDU148" s="20"/>
      <c r="PDV148" s="20"/>
      <c r="PDW148" s="20"/>
      <c r="PDX148" s="16"/>
      <c r="PDY148" s="18"/>
      <c r="PDZ148" s="19"/>
      <c r="PEA148" s="20"/>
      <c r="PEB148" s="20"/>
      <c r="PEC148" s="20"/>
      <c r="PED148" s="20"/>
      <c r="PEE148" s="20"/>
      <c r="PEF148" s="20"/>
      <c r="PEG148" s="20"/>
      <c r="PEH148" s="20"/>
      <c r="PEI148" s="20"/>
      <c r="PEJ148" s="20"/>
      <c r="PEK148" s="20"/>
      <c r="PEL148" s="20"/>
      <c r="PEM148" s="20"/>
      <c r="PEN148" s="16"/>
      <c r="PEO148" s="18"/>
      <c r="PEP148" s="19"/>
      <c r="PEQ148" s="20"/>
      <c r="PER148" s="20"/>
      <c r="PES148" s="20"/>
      <c r="PET148" s="20"/>
      <c r="PEU148" s="20"/>
      <c r="PEV148" s="20"/>
      <c r="PEW148" s="20"/>
      <c r="PEX148" s="20"/>
      <c r="PEY148" s="20"/>
      <c r="PEZ148" s="20"/>
      <c r="PFA148" s="20"/>
      <c r="PFB148" s="20"/>
      <c r="PFC148" s="20"/>
      <c r="PFD148" s="16"/>
      <c r="PFE148" s="18"/>
      <c r="PFF148" s="19"/>
      <c r="PFG148" s="20"/>
      <c r="PFH148" s="20"/>
      <c r="PFI148" s="20"/>
      <c r="PFJ148" s="20"/>
      <c r="PFK148" s="20"/>
      <c r="PFL148" s="20"/>
      <c r="PFM148" s="20"/>
      <c r="PFN148" s="20"/>
      <c r="PFO148" s="20"/>
      <c r="PFP148" s="20"/>
      <c r="PFQ148" s="20"/>
      <c r="PFR148" s="20"/>
      <c r="PFS148" s="20"/>
      <c r="PFT148" s="16"/>
      <c r="PFU148" s="18"/>
      <c r="PFV148" s="19"/>
      <c r="PFW148" s="20"/>
      <c r="PFX148" s="20"/>
      <c r="PFY148" s="20"/>
      <c r="PFZ148" s="20"/>
      <c r="PGA148" s="20"/>
      <c r="PGB148" s="20"/>
      <c r="PGC148" s="20"/>
      <c r="PGD148" s="20"/>
      <c r="PGE148" s="20"/>
      <c r="PGF148" s="20"/>
      <c r="PGG148" s="20"/>
      <c r="PGH148" s="20"/>
      <c r="PGI148" s="20"/>
      <c r="PGJ148" s="16"/>
      <c r="PGK148" s="18"/>
      <c r="PGL148" s="19"/>
      <c r="PGM148" s="20"/>
      <c r="PGN148" s="20"/>
      <c r="PGO148" s="20"/>
      <c r="PGP148" s="20"/>
      <c r="PGQ148" s="20"/>
      <c r="PGR148" s="20"/>
      <c r="PGS148" s="20"/>
      <c r="PGT148" s="20"/>
      <c r="PGU148" s="20"/>
      <c r="PGV148" s="20"/>
      <c r="PGW148" s="20"/>
      <c r="PGX148" s="20"/>
      <c r="PGY148" s="20"/>
      <c r="PGZ148" s="16"/>
      <c r="PHA148" s="18"/>
      <c r="PHB148" s="19"/>
      <c r="PHC148" s="20"/>
      <c r="PHD148" s="20"/>
      <c r="PHE148" s="20"/>
      <c r="PHF148" s="20"/>
      <c r="PHG148" s="20"/>
      <c r="PHH148" s="20"/>
      <c r="PHI148" s="20"/>
      <c r="PHJ148" s="20"/>
      <c r="PHK148" s="20"/>
      <c r="PHL148" s="20"/>
      <c r="PHM148" s="20"/>
      <c r="PHN148" s="20"/>
      <c r="PHO148" s="20"/>
      <c r="PHP148" s="16"/>
      <c r="PHQ148" s="18"/>
      <c r="PHR148" s="19"/>
      <c r="PHS148" s="20"/>
      <c r="PHT148" s="20"/>
      <c r="PHU148" s="20"/>
      <c r="PHV148" s="20"/>
      <c r="PHW148" s="20"/>
      <c r="PHX148" s="20"/>
      <c r="PHY148" s="20"/>
      <c r="PHZ148" s="20"/>
      <c r="PIA148" s="20"/>
      <c r="PIB148" s="20"/>
      <c r="PIC148" s="20"/>
      <c r="PID148" s="20"/>
      <c r="PIE148" s="20"/>
      <c r="PIF148" s="16"/>
      <c r="PIG148" s="18"/>
      <c r="PIH148" s="19"/>
      <c r="PII148" s="20"/>
      <c r="PIJ148" s="20"/>
      <c r="PIK148" s="20"/>
      <c r="PIL148" s="20"/>
      <c r="PIM148" s="20"/>
      <c r="PIN148" s="20"/>
      <c r="PIO148" s="20"/>
      <c r="PIP148" s="20"/>
      <c r="PIQ148" s="20"/>
      <c r="PIR148" s="20"/>
      <c r="PIS148" s="20"/>
      <c r="PIT148" s="20"/>
      <c r="PIU148" s="20"/>
      <c r="PIV148" s="16"/>
      <c r="PIW148" s="18"/>
      <c r="PIX148" s="19"/>
      <c r="PIY148" s="20"/>
      <c r="PIZ148" s="20"/>
      <c r="PJA148" s="20"/>
      <c r="PJB148" s="20"/>
      <c r="PJC148" s="20"/>
      <c r="PJD148" s="20"/>
      <c r="PJE148" s="20"/>
      <c r="PJF148" s="20"/>
      <c r="PJG148" s="20"/>
      <c r="PJH148" s="20"/>
      <c r="PJI148" s="20"/>
      <c r="PJJ148" s="20"/>
      <c r="PJK148" s="20"/>
      <c r="PJL148" s="16"/>
      <c r="PJM148" s="18"/>
      <c r="PJN148" s="19"/>
      <c r="PJO148" s="20"/>
      <c r="PJP148" s="20"/>
      <c r="PJQ148" s="20"/>
      <c r="PJR148" s="20"/>
      <c r="PJS148" s="20"/>
      <c r="PJT148" s="20"/>
      <c r="PJU148" s="20"/>
      <c r="PJV148" s="20"/>
      <c r="PJW148" s="20"/>
      <c r="PJX148" s="20"/>
      <c r="PJY148" s="20"/>
      <c r="PJZ148" s="20"/>
      <c r="PKA148" s="20"/>
      <c r="PKB148" s="16"/>
      <c r="PKC148" s="18"/>
      <c r="PKD148" s="19"/>
      <c r="PKE148" s="20"/>
      <c r="PKF148" s="20"/>
      <c r="PKG148" s="20"/>
      <c r="PKH148" s="20"/>
      <c r="PKI148" s="20"/>
      <c r="PKJ148" s="20"/>
      <c r="PKK148" s="20"/>
      <c r="PKL148" s="20"/>
      <c r="PKM148" s="20"/>
      <c r="PKN148" s="20"/>
      <c r="PKO148" s="20"/>
      <c r="PKP148" s="20"/>
      <c r="PKQ148" s="20"/>
      <c r="PKR148" s="16"/>
      <c r="PKS148" s="18"/>
      <c r="PKT148" s="19"/>
      <c r="PKU148" s="20"/>
      <c r="PKV148" s="20"/>
      <c r="PKW148" s="20"/>
      <c r="PKX148" s="20"/>
      <c r="PKY148" s="20"/>
      <c r="PKZ148" s="20"/>
      <c r="PLA148" s="20"/>
      <c r="PLB148" s="20"/>
      <c r="PLC148" s="20"/>
      <c r="PLD148" s="20"/>
      <c r="PLE148" s="20"/>
      <c r="PLF148" s="20"/>
      <c r="PLG148" s="20"/>
      <c r="PLH148" s="16"/>
      <c r="PLI148" s="18"/>
      <c r="PLJ148" s="19"/>
      <c r="PLK148" s="20"/>
      <c r="PLL148" s="20"/>
      <c r="PLM148" s="20"/>
      <c r="PLN148" s="20"/>
      <c r="PLO148" s="20"/>
      <c r="PLP148" s="20"/>
      <c r="PLQ148" s="20"/>
      <c r="PLR148" s="20"/>
      <c r="PLS148" s="20"/>
      <c r="PLT148" s="20"/>
      <c r="PLU148" s="20"/>
      <c r="PLV148" s="20"/>
      <c r="PLW148" s="20"/>
      <c r="PLX148" s="16"/>
      <c r="PLY148" s="18"/>
      <c r="PLZ148" s="19"/>
      <c r="PMA148" s="20"/>
      <c r="PMB148" s="20"/>
      <c r="PMC148" s="20"/>
      <c r="PMD148" s="20"/>
      <c r="PME148" s="20"/>
      <c r="PMF148" s="20"/>
      <c r="PMG148" s="20"/>
      <c r="PMH148" s="20"/>
      <c r="PMI148" s="20"/>
      <c r="PMJ148" s="20"/>
      <c r="PMK148" s="20"/>
      <c r="PML148" s="20"/>
      <c r="PMM148" s="20"/>
      <c r="PMN148" s="16"/>
      <c r="PMO148" s="18"/>
      <c r="PMP148" s="19"/>
      <c r="PMQ148" s="20"/>
      <c r="PMR148" s="20"/>
      <c r="PMS148" s="20"/>
      <c r="PMT148" s="20"/>
      <c r="PMU148" s="20"/>
      <c r="PMV148" s="20"/>
      <c r="PMW148" s="20"/>
      <c r="PMX148" s="20"/>
      <c r="PMY148" s="20"/>
      <c r="PMZ148" s="20"/>
      <c r="PNA148" s="20"/>
      <c r="PNB148" s="20"/>
      <c r="PNC148" s="20"/>
      <c r="PND148" s="16"/>
      <c r="PNE148" s="18"/>
      <c r="PNF148" s="19"/>
      <c r="PNG148" s="20"/>
      <c r="PNH148" s="20"/>
      <c r="PNI148" s="20"/>
      <c r="PNJ148" s="20"/>
      <c r="PNK148" s="20"/>
      <c r="PNL148" s="20"/>
      <c r="PNM148" s="20"/>
      <c r="PNN148" s="20"/>
      <c r="PNO148" s="20"/>
      <c r="PNP148" s="20"/>
      <c r="PNQ148" s="20"/>
      <c r="PNR148" s="20"/>
      <c r="PNS148" s="20"/>
      <c r="PNT148" s="16"/>
      <c r="PNU148" s="18"/>
      <c r="PNV148" s="19"/>
      <c r="PNW148" s="20"/>
      <c r="PNX148" s="20"/>
      <c r="PNY148" s="20"/>
      <c r="PNZ148" s="20"/>
      <c r="POA148" s="20"/>
      <c r="POB148" s="20"/>
      <c r="POC148" s="20"/>
      <c r="POD148" s="20"/>
      <c r="POE148" s="20"/>
      <c r="POF148" s="20"/>
      <c r="POG148" s="20"/>
      <c r="POH148" s="20"/>
      <c r="POI148" s="20"/>
      <c r="POJ148" s="16"/>
      <c r="POK148" s="18"/>
      <c r="POL148" s="19"/>
      <c r="POM148" s="20"/>
      <c r="PON148" s="20"/>
      <c r="POO148" s="20"/>
      <c r="POP148" s="20"/>
      <c r="POQ148" s="20"/>
      <c r="POR148" s="20"/>
      <c r="POS148" s="20"/>
      <c r="POT148" s="20"/>
      <c r="POU148" s="20"/>
      <c r="POV148" s="20"/>
      <c r="POW148" s="20"/>
      <c r="POX148" s="20"/>
      <c r="POY148" s="20"/>
      <c r="POZ148" s="16"/>
      <c r="PPA148" s="18"/>
      <c r="PPB148" s="19"/>
      <c r="PPC148" s="20"/>
      <c r="PPD148" s="20"/>
      <c r="PPE148" s="20"/>
      <c r="PPF148" s="20"/>
      <c r="PPG148" s="20"/>
      <c r="PPH148" s="20"/>
      <c r="PPI148" s="20"/>
      <c r="PPJ148" s="20"/>
      <c r="PPK148" s="20"/>
      <c r="PPL148" s="20"/>
      <c r="PPM148" s="20"/>
      <c r="PPN148" s="20"/>
      <c r="PPO148" s="20"/>
      <c r="PPP148" s="16"/>
      <c r="PPQ148" s="18"/>
      <c r="PPR148" s="19"/>
      <c r="PPS148" s="20"/>
      <c r="PPT148" s="20"/>
      <c r="PPU148" s="20"/>
      <c r="PPV148" s="20"/>
      <c r="PPW148" s="20"/>
      <c r="PPX148" s="20"/>
      <c r="PPY148" s="20"/>
      <c r="PPZ148" s="20"/>
      <c r="PQA148" s="20"/>
      <c r="PQB148" s="20"/>
      <c r="PQC148" s="20"/>
      <c r="PQD148" s="20"/>
      <c r="PQE148" s="20"/>
      <c r="PQF148" s="16"/>
      <c r="PQG148" s="18"/>
      <c r="PQH148" s="19"/>
      <c r="PQI148" s="20"/>
      <c r="PQJ148" s="20"/>
      <c r="PQK148" s="20"/>
      <c r="PQL148" s="20"/>
      <c r="PQM148" s="20"/>
      <c r="PQN148" s="20"/>
      <c r="PQO148" s="20"/>
      <c r="PQP148" s="20"/>
      <c r="PQQ148" s="20"/>
      <c r="PQR148" s="20"/>
      <c r="PQS148" s="20"/>
      <c r="PQT148" s="20"/>
      <c r="PQU148" s="20"/>
      <c r="PQV148" s="16"/>
      <c r="PQW148" s="18"/>
      <c r="PQX148" s="19"/>
      <c r="PQY148" s="20"/>
      <c r="PQZ148" s="20"/>
      <c r="PRA148" s="20"/>
      <c r="PRB148" s="20"/>
      <c r="PRC148" s="20"/>
      <c r="PRD148" s="20"/>
      <c r="PRE148" s="20"/>
      <c r="PRF148" s="20"/>
      <c r="PRG148" s="20"/>
      <c r="PRH148" s="20"/>
      <c r="PRI148" s="20"/>
      <c r="PRJ148" s="20"/>
      <c r="PRK148" s="20"/>
      <c r="PRL148" s="16"/>
      <c r="PRM148" s="18"/>
      <c r="PRN148" s="19"/>
      <c r="PRO148" s="20"/>
      <c r="PRP148" s="20"/>
      <c r="PRQ148" s="20"/>
      <c r="PRR148" s="20"/>
      <c r="PRS148" s="20"/>
      <c r="PRT148" s="20"/>
      <c r="PRU148" s="20"/>
      <c r="PRV148" s="20"/>
      <c r="PRW148" s="20"/>
      <c r="PRX148" s="20"/>
      <c r="PRY148" s="20"/>
      <c r="PRZ148" s="20"/>
      <c r="PSA148" s="20"/>
      <c r="PSB148" s="16"/>
      <c r="PSC148" s="18"/>
      <c r="PSD148" s="19"/>
      <c r="PSE148" s="20"/>
      <c r="PSF148" s="20"/>
      <c r="PSG148" s="20"/>
      <c r="PSH148" s="20"/>
      <c r="PSI148" s="20"/>
      <c r="PSJ148" s="20"/>
      <c r="PSK148" s="20"/>
      <c r="PSL148" s="20"/>
      <c r="PSM148" s="20"/>
      <c r="PSN148" s="20"/>
      <c r="PSO148" s="20"/>
      <c r="PSP148" s="20"/>
      <c r="PSQ148" s="20"/>
      <c r="PSR148" s="16"/>
      <c r="PSS148" s="18"/>
      <c r="PST148" s="19"/>
      <c r="PSU148" s="20"/>
      <c r="PSV148" s="20"/>
      <c r="PSW148" s="20"/>
      <c r="PSX148" s="20"/>
      <c r="PSY148" s="20"/>
      <c r="PSZ148" s="20"/>
      <c r="PTA148" s="20"/>
      <c r="PTB148" s="20"/>
      <c r="PTC148" s="20"/>
      <c r="PTD148" s="20"/>
      <c r="PTE148" s="20"/>
      <c r="PTF148" s="20"/>
      <c r="PTG148" s="20"/>
      <c r="PTH148" s="16"/>
      <c r="PTI148" s="18"/>
      <c r="PTJ148" s="19"/>
      <c r="PTK148" s="20"/>
      <c r="PTL148" s="20"/>
      <c r="PTM148" s="20"/>
      <c r="PTN148" s="20"/>
      <c r="PTO148" s="20"/>
      <c r="PTP148" s="20"/>
      <c r="PTQ148" s="20"/>
      <c r="PTR148" s="20"/>
      <c r="PTS148" s="20"/>
      <c r="PTT148" s="20"/>
      <c r="PTU148" s="20"/>
      <c r="PTV148" s="20"/>
      <c r="PTW148" s="20"/>
      <c r="PTX148" s="16"/>
      <c r="PTY148" s="18"/>
      <c r="PTZ148" s="19"/>
      <c r="PUA148" s="20"/>
      <c r="PUB148" s="20"/>
      <c r="PUC148" s="20"/>
      <c r="PUD148" s="20"/>
      <c r="PUE148" s="20"/>
      <c r="PUF148" s="20"/>
      <c r="PUG148" s="20"/>
      <c r="PUH148" s="20"/>
      <c r="PUI148" s="20"/>
      <c r="PUJ148" s="20"/>
      <c r="PUK148" s="20"/>
      <c r="PUL148" s="20"/>
      <c r="PUM148" s="20"/>
      <c r="PUN148" s="16"/>
      <c r="PUO148" s="18"/>
      <c r="PUP148" s="19"/>
      <c r="PUQ148" s="20"/>
      <c r="PUR148" s="20"/>
      <c r="PUS148" s="20"/>
      <c r="PUT148" s="20"/>
      <c r="PUU148" s="20"/>
      <c r="PUV148" s="20"/>
      <c r="PUW148" s="20"/>
      <c r="PUX148" s="20"/>
      <c r="PUY148" s="20"/>
      <c r="PUZ148" s="20"/>
      <c r="PVA148" s="20"/>
      <c r="PVB148" s="20"/>
      <c r="PVC148" s="20"/>
      <c r="PVD148" s="16"/>
      <c r="PVE148" s="18"/>
      <c r="PVF148" s="19"/>
      <c r="PVG148" s="20"/>
      <c r="PVH148" s="20"/>
      <c r="PVI148" s="20"/>
      <c r="PVJ148" s="20"/>
      <c r="PVK148" s="20"/>
      <c r="PVL148" s="20"/>
      <c r="PVM148" s="20"/>
      <c r="PVN148" s="20"/>
      <c r="PVO148" s="20"/>
      <c r="PVP148" s="20"/>
      <c r="PVQ148" s="20"/>
      <c r="PVR148" s="20"/>
      <c r="PVS148" s="20"/>
      <c r="PVT148" s="16"/>
      <c r="PVU148" s="18"/>
      <c r="PVV148" s="19"/>
      <c r="PVW148" s="20"/>
      <c r="PVX148" s="20"/>
      <c r="PVY148" s="20"/>
      <c r="PVZ148" s="20"/>
      <c r="PWA148" s="20"/>
      <c r="PWB148" s="20"/>
      <c r="PWC148" s="20"/>
      <c r="PWD148" s="20"/>
      <c r="PWE148" s="20"/>
      <c r="PWF148" s="20"/>
      <c r="PWG148" s="20"/>
      <c r="PWH148" s="20"/>
      <c r="PWI148" s="20"/>
      <c r="PWJ148" s="16"/>
      <c r="PWK148" s="18"/>
      <c r="PWL148" s="19"/>
      <c r="PWM148" s="20"/>
      <c r="PWN148" s="20"/>
      <c r="PWO148" s="20"/>
      <c r="PWP148" s="20"/>
      <c r="PWQ148" s="20"/>
      <c r="PWR148" s="20"/>
      <c r="PWS148" s="20"/>
      <c r="PWT148" s="20"/>
      <c r="PWU148" s="20"/>
      <c r="PWV148" s="20"/>
      <c r="PWW148" s="20"/>
      <c r="PWX148" s="20"/>
      <c r="PWY148" s="20"/>
      <c r="PWZ148" s="16"/>
      <c r="PXA148" s="18"/>
      <c r="PXB148" s="19"/>
      <c r="PXC148" s="20"/>
      <c r="PXD148" s="20"/>
      <c r="PXE148" s="20"/>
      <c r="PXF148" s="20"/>
      <c r="PXG148" s="20"/>
      <c r="PXH148" s="20"/>
      <c r="PXI148" s="20"/>
      <c r="PXJ148" s="20"/>
      <c r="PXK148" s="20"/>
      <c r="PXL148" s="20"/>
      <c r="PXM148" s="20"/>
      <c r="PXN148" s="20"/>
      <c r="PXO148" s="20"/>
      <c r="PXP148" s="16"/>
      <c r="PXQ148" s="18"/>
      <c r="PXR148" s="19"/>
      <c r="PXS148" s="20"/>
      <c r="PXT148" s="20"/>
      <c r="PXU148" s="20"/>
      <c r="PXV148" s="20"/>
      <c r="PXW148" s="20"/>
      <c r="PXX148" s="20"/>
      <c r="PXY148" s="20"/>
      <c r="PXZ148" s="20"/>
      <c r="PYA148" s="20"/>
      <c r="PYB148" s="20"/>
      <c r="PYC148" s="20"/>
      <c r="PYD148" s="20"/>
      <c r="PYE148" s="20"/>
      <c r="PYF148" s="16"/>
      <c r="PYG148" s="18"/>
      <c r="PYH148" s="19"/>
      <c r="PYI148" s="20"/>
      <c r="PYJ148" s="20"/>
      <c r="PYK148" s="20"/>
      <c r="PYL148" s="20"/>
      <c r="PYM148" s="20"/>
      <c r="PYN148" s="20"/>
      <c r="PYO148" s="20"/>
      <c r="PYP148" s="20"/>
      <c r="PYQ148" s="20"/>
      <c r="PYR148" s="20"/>
      <c r="PYS148" s="20"/>
      <c r="PYT148" s="20"/>
      <c r="PYU148" s="20"/>
      <c r="PYV148" s="16"/>
      <c r="PYW148" s="18"/>
      <c r="PYX148" s="19"/>
      <c r="PYY148" s="20"/>
      <c r="PYZ148" s="20"/>
      <c r="PZA148" s="20"/>
      <c r="PZB148" s="20"/>
      <c r="PZC148" s="20"/>
      <c r="PZD148" s="20"/>
      <c r="PZE148" s="20"/>
      <c r="PZF148" s="20"/>
      <c r="PZG148" s="20"/>
      <c r="PZH148" s="20"/>
      <c r="PZI148" s="20"/>
      <c r="PZJ148" s="20"/>
      <c r="PZK148" s="20"/>
      <c r="PZL148" s="16"/>
      <c r="PZM148" s="18"/>
      <c r="PZN148" s="19"/>
      <c r="PZO148" s="20"/>
      <c r="PZP148" s="20"/>
      <c r="PZQ148" s="20"/>
      <c r="PZR148" s="20"/>
      <c r="PZS148" s="20"/>
      <c r="PZT148" s="20"/>
      <c r="PZU148" s="20"/>
      <c r="PZV148" s="20"/>
      <c r="PZW148" s="20"/>
      <c r="PZX148" s="20"/>
      <c r="PZY148" s="20"/>
      <c r="PZZ148" s="20"/>
      <c r="QAA148" s="20"/>
      <c r="QAB148" s="16"/>
      <c r="QAC148" s="18"/>
      <c r="QAD148" s="19"/>
      <c r="QAE148" s="20"/>
      <c r="QAF148" s="20"/>
      <c r="QAG148" s="20"/>
      <c r="QAH148" s="20"/>
      <c r="QAI148" s="20"/>
      <c r="QAJ148" s="20"/>
      <c r="QAK148" s="20"/>
      <c r="QAL148" s="20"/>
      <c r="QAM148" s="20"/>
      <c r="QAN148" s="20"/>
      <c r="QAO148" s="20"/>
      <c r="QAP148" s="20"/>
      <c r="QAQ148" s="20"/>
      <c r="QAR148" s="16"/>
      <c r="QAS148" s="18"/>
      <c r="QAT148" s="19"/>
      <c r="QAU148" s="20"/>
      <c r="QAV148" s="20"/>
      <c r="QAW148" s="20"/>
      <c r="QAX148" s="20"/>
      <c r="QAY148" s="20"/>
      <c r="QAZ148" s="20"/>
      <c r="QBA148" s="20"/>
      <c r="QBB148" s="20"/>
      <c r="QBC148" s="20"/>
      <c r="QBD148" s="20"/>
      <c r="QBE148" s="20"/>
      <c r="QBF148" s="20"/>
      <c r="QBG148" s="20"/>
      <c r="QBH148" s="16"/>
      <c r="QBI148" s="18"/>
      <c r="QBJ148" s="19"/>
      <c r="QBK148" s="20"/>
      <c r="QBL148" s="20"/>
      <c r="QBM148" s="20"/>
      <c r="QBN148" s="20"/>
      <c r="QBO148" s="20"/>
      <c r="QBP148" s="20"/>
      <c r="QBQ148" s="20"/>
      <c r="QBR148" s="20"/>
      <c r="QBS148" s="20"/>
      <c r="QBT148" s="20"/>
      <c r="QBU148" s="20"/>
      <c r="QBV148" s="20"/>
      <c r="QBW148" s="20"/>
      <c r="QBX148" s="16"/>
      <c r="QBY148" s="18"/>
      <c r="QBZ148" s="19"/>
      <c r="QCA148" s="20"/>
      <c r="QCB148" s="20"/>
      <c r="QCC148" s="20"/>
      <c r="QCD148" s="20"/>
      <c r="QCE148" s="20"/>
      <c r="QCF148" s="20"/>
      <c r="QCG148" s="20"/>
      <c r="QCH148" s="20"/>
      <c r="QCI148" s="20"/>
      <c r="QCJ148" s="20"/>
      <c r="QCK148" s="20"/>
      <c r="QCL148" s="20"/>
      <c r="QCM148" s="20"/>
      <c r="QCN148" s="16"/>
      <c r="QCO148" s="18"/>
      <c r="QCP148" s="19"/>
      <c r="QCQ148" s="20"/>
      <c r="QCR148" s="20"/>
      <c r="QCS148" s="20"/>
      <c r="QCT148" s="20"/>
      <c r="QCU148" s="20"/>
      <c r="QCV148" s="20"/>
      <c r="QCW148" s="20"/>
      <c r="QCX148" s="20"/>
      <c r="QCY148" s="20"/>
      <c r="QCZ148" s="20"/>
      <c r="QDA148" s="20"/>
      <c r="QDB148" s="20"/>
      <c r="QDC148" s="20"/>
      <c r="QDD148" s="16"/>
      <c r="QDE148" s="18"/>
      <c r="QDF148" s="19"/>
      <c r="QDG148" s="20"/>
      <c r="QDH148" s="20"/>
      <c r="QDI148" s="20"/>
      <c r="QDJ148" s="20"/>
      <c r="QDK148" s="20"/>
      <c r="QDL148" s="20"/>
      <c r="QDM148" s="20"/>
      <c r="QDN148" s="20"/>
      <c r="QDO148" s="20"/>
      <c r="QDP148" s="20"/>
      <c r="QDQ148" s="20"/>
      <c r="QDR148" s="20"/>
      <c r="QDS148" s="20"/>
      <c r="QDT148" s="16"/>
      <c r="QDU148" s="18"/>
      <c r="QDV148" s="19"/>
      <c r="QDW148" s="20"/>
      <c r="QDX148" s="20"/>
      <c r="QDY148" s="20"/>
      <c r="QDZ148" s="20"/>
      <c r="QEA148" s="20"/>
      <c r="QEB148" s="20"/>
      <c r="QEC148" s="20"/>
      <c r="QED148" s="20"/>
      <c r="QEE148" s="20"/>
      <c r="QEF148" s="20"/>
      <c r="QEG148" s="20"/>
      <c r="QEH148" s="20"/>
      <c r="QEI148" s="20"/>
      <c r="QEJ148" s="16"/>
      <c r="QEK148" s="18"/>
      <c r="QEL148" s="19"/>
      <c r="QEM148" s="20"/>
      <c r="QEN148" s="20"/>
      <c r="QEO148" s="20"/>
      <c r="QEP148" s="20"/>
      <c r="QEQ148" s="20"/>
      <c r="QER148" s="20"/>
      <c r="QES148" s="20"/>
      <c r="QET148" s="20"/>
      <c r="QEU148" s="20"/>
      <c r="QEV148" s="20"/>
      <c r="QEW148" s="20"/>
      <c r="QEX148" s="20"/>
      <c r="QEY148" s="20"/>
      <c r="QEZ148" s="16"/>
      <c r="QFA148" s="18"/>
      <c r="QFB148" s="19"/>
      <c r="QFC148" s="20"/>
      <c r="QFD148" s="20"/>
      <c r="QFE148" s="20"/>
      <c r="QFF148" s="20"/>
      <c r="QFG148" s="20"/>
      <c r="QFH148" s="20"/>
      <c r="QFI148" s="20"/>
      <c r="QFJ148" s="20"/>
      <c r="QFK148" s="20"/>
      <c r="QFL148" s="20"/>
      <c r="QFM148" s="20"/>
      <c r="QFN148" s="20"/>
      <c r="QFO148" s="20"/>
      <c r="QFP148" s="16"/>
      <c r="QFQ148" s="18"/>
      <c r="QFR148" s="19"/>
      <c r="QFS148" s="20"/>
      <c r="QFT148" s="20"/>
      <c r="QFU148" s="20"/>
      <c r="QFV148" s="20"/>
      <c r="QFW148" s="20"/>
      <c r="QFX148" s="20"/>
      <c r="QFY148" s="20"/>
      <c r="QFZ148" s="20"/>
      <c r="QGA148" s="20"/>
      <c r="QGB148" s="20"/>
      <c r="QGC148" s="20"/>
      <c r="QGD148" s="20"/>
      <c r="QGE148" s="20"/>
      <c r="QGF148" s="16"/>
      <c r="QGG148" s="18"/>
      <c r="QGH148" s="19"/>
      <c r="QGI148" s="20"/>
      <c r="QGJ148" s="20"/>
      <c r="QGK148" s="20"/>
      <c r="QGL148" s="20"/>
      <c r="QGM148" s="20"/>
      <c r="QGN148" s="20"/>
      <c r="QGO148" s="20"/>
      <c r="QGP148" s="20"/>
      <c r="QGQ148" s="20"/>
      <c r="QGR148" s="20"/>
      <c r="QGS148" s="20"/>
      <c r="QGT148" s="20"/>
      <c r="QGU148" s="20"/>
      <c r="QGV148" s="16"/>
      <c r="QGW148" s="18"/>
      <c r="QGX148" s="19"/>
      <c r="QGY148" s="20"/>
      <c r="QGZ148" s="20"/>
      <c r="QHA148" s="20"/>
      <c r="QHB148" s="20"/>
      <c r="QHC148" s="20"/>
      <c r="QHD148" s="20"/>
      <c r="QHE148" s="20"/>
      <c r="QHF148" s="20"/>
      <c r="QHG148" s="20"/>
      <c r="QHH148" s="20"/>
      <c r="QHI148" s="20"/>
      <c r="QHJ148" s="20"/>
      <c r="QHK148" s="20"/>
      <c r="QHL148" s="16"/>
      <c r="QHM148" s="18"/>
      <c r="QHN148" s="19"/>
      <c r="QHO148" s="20"/>
      <c r="QHP148" s="20"/>
      <c r="QHQ148" s="20"/>
      <c r="QHR148" s="20"/>
      <c r="QHS148" s="20"/>
      <c r="QHT148" s="20"/>
      <c r="QHU148" s="20"/>
      <c r="QHV148" s="20"/>
      <c r="QHW148" s="20"/>
      <c r="QHX148" s="20"/>
      <c r="QHY148" s="20"/>
      <c r="QHZ148" s="20"/>
      <c r="QIA148" s="20"/>
      <c r="QIB148" s="16"/>
      <c r="QIC148" s="18"/>
      <c r="QID148" s="19"/>
      <c r="QIE148" s="20"/>
      <c r="QIF148" s="20"/>
      <c r="QIG148" s="20"/>
      <c r="QIH148" s="20"/>
      <c r="QII148" s="20"/>
      <c r="QIJ148" s="20"/>
      <c r="QIK148" s="20"/>
      <c r="QIL148" s="20"/>
      <c r="QIM148" s="20"/>
      <c r="QIN148" s="20"/>
      <c r="QIO148" s="20"/>
      <c r="QIP148" s="20"/>
      <c r="QIQ148" s="20"/>
      <c r="QIR148" s="16"/>
      <c r="QIS148" s="18"/>
      <c r="QIT148" s="19"/>
      <c r="QIU148" s="20"/>
      <c r="QIV148" s="20"/>
      <c r="QIW148" s="20"/>
      <c r="QIX148" s="20"/>
      <c r="QIY148" s="20"/>
      <c r="QIZ148" s="20"/>
      <c r="QJA148" s="20"/>
      <c r="QJB148" s="20"/>
      <c r="QJC148" s="20"/>
      <c r="QJD148" s="20"/>
      <c r="QJE148" s="20"/>
      <c r="QJF148" s="20"/>
      <c r="QJG148" s="20"/>
      <c r="QJH148" s="16"/>
      <c r="QJI148" s="18"/>
      <c r="QJJ148" s="19"/>
      <c r="QJK148" s="20"/>
      <c r="QJL148" s="20"/>
      <c r="QJM148" s="20"/>
      <c r="QJN148" s="20"/>
      <c r="QJO148" s="20"/>
      <c r="QJP148" s="20"/>
      <c r="QJQ148" s="20"/>
      <c r="QJR148" s="20"/>
      <c r="QJS148" s="20"/>
      <c r="QJT148" s="20"/>
      <c r="QJU148" s="20"/>
      <c r="QJV148" s="20"/>
      <c r="QJW148" s="20"/>
      <c r="QJX148" s="16"/>
      <c r="QJY148" s="18"/>
      <c r="QJZ148" s="19"/>
      <c r="QKA148" s="20"/>
      <c r="QKB148" s="20"/>
      <c r="QKC148" s="20"/>
      <c r="QKD148" s="20"/>
      <c r="QKE148" s="20"/>
      <c r="QKF148" s="20"/>
      <c r="QKG148" s="20"/>
      <c r="QKH148" s="20"/>
      <c r="QKI148" s="20"/>
      <c r="QKJ148" s="20"/>
      <c r="QKK148" s="20"/>
      <c r="QKL148" s="20"/>
      <c r="QKM148" s="20"/>
      <c r="QKN148" s="16"/>
      <c r="QKO148" s="18"/>
      <c r="QKP148" s="19"/>
      <c r="QKQ148" s="20"/>
      <c r="QKR148" s="20"/>
      <c r="QKS148" s="20"/>
      <c r="QKT148" s="20"/>
      <c r="QKU148" s="20"/>
      <c r="QKV148" s="20"/>
      <c r="QKW148" s="20"/>
      <c r="QKX148" s="20"/>
      <c r="QKY148" s="20"/>
      <c r="QKZ148" s="20"/>
      <c r="QLA148" s="20"/>
      <c r="QLB148" s="20"/>
      <c r="QLC148" s="20"/>
      <c r="QLD148" s="16"/>
      <c r="QLE148" s="18"/>
      <c r="QLF148" s="19"/>
      <c r="QLG148" s="20"/>
      <c r="QLH148" s="20"/>
      <c r="QLI148" s="20"/>
      <c r="QLJ148" s="20"/>
      <c r="QLK148" s="20"/>
      <c r="QLL148" s="20"/>
      <c r="QLM148" s="20"/>
      <c r="QLN148" s="20"/>
      <c r="QLO148" s="20"/>
      <c r="QLP148" s="20"/>
      <c r="QLQ148" s="20"/>
      <c r="QLR148" s="20"/>
      <c r="QLS148" s="20"/>
      <c r="QLT148" s="16"/>
      <c r="QLU148" s="18"/>
      <c r="QLV148" s="19"/>
      <c r="QLW148" s="20"/>
      <c r="QLX148" s="20"/>
      <c r="QLY148" s="20"/>
      <c r="QLZ148" s="20"/>
      <c r="QMA148" s="20"/>
      <c r="QMB148" s="20"/>
      <c r="QMC148" s="20"/>
      <c r="QMD148" s="20"/>
      <c r="QME148" s="20"/>
      <c r="QMF148" s="20"/>
      <c r="QMG148" s="20"/>
      <c r="QMH148" s="20"/>
      <c r="QMI148" s="20"/>
      <c r="QMJ148" s="16"/>
      <c r="QMK148" s="18"/>
      <c r="QML148" s="19"/>
      <c r="QMM148" s="20"/>
      <c r="QMN148" s="20"/>
      <c r="QMO148" s="20"/>
      <c r="QMP148" s="20"/>
      <c r="QMQ148" s="20"/>
      <c r="QMR148" s="20"/>
      <c r="QMS148" s="20"/>
      <c r="QMT148" s="20"/>
      <c r="QMU148" s="20"/>
      <c r="QMV148" s="20"/>
      <c r="QMW148" s="20"/>
      <c r="QMX148" s="20"/>
      <c r="QMY148" s="20"/>
      <c r="QMZ148" s="16"/>
      <c r="QNA148" s="18"/>
      <c r="QNB148" s="19"/>
      <c r="QNC148" s="20"/>
      <c r="QND148" s="20"/>
      <c r="QNE148" s="20"/>
      <c r="QNF148" s="20"/>
      <c r="QNG148" s="20"/>
      <c r="QNH148" s="20"/>
      <c r="QNI148" s="20"/>
      <c r="QNJ148" s="20"/>
      <c r="QNK148" s="20"/>
      <c r="QNL148" s="20"/>
      <c r="QNM148" s="20"/>
      <c r="QNN148" s="20"/>
      <c r="QNO148" s="20"/>
      <c r="QNP148" s="16"/>
      <c r="QNQ148" s="18"/>
      <c r="QNR148" s="19"/>
      <c r="QNS148" s="20"/>
      <c r="QNT148" s="20"/>
      <c r="QNU148" s="20"/>
      <c r="QNV148" s="20"/>
      <c r="QNW148" s="20"/>
      <c r="QNX148" s="20"/>
      <c r="QNY148" s="20"/>
      <c r="QNZ148" s="20"/>
      <c r="QOA148" s="20"/>
      <c r="QOB148" s="20"/>
      <c r="QOC148" s="20"/>
      <c r="QOD148" s="20"/>
      <c r="QOE148" s="20"/>
      <c r="QOF148" s="16"/>
      <c r="QOG148" s="18"/>
      <c r="QOH148" s="19"/>
      <c r="QOI148" s="20"/>
      <c r="QOJ148" s="20"/>
      <c r="QOK148" s="20"/>
      <c r="QOL148" s="20"/>
      <c r="QOM148" s="20"/>
      <c r="QON148" s="20"/>
      <c r="QOO148" s="20"/>
      <c r="QOP148" s="20"/>
      <c r="QOQ148" s="20"/>
      <c r="QOR148" s="20"/>
      <c r="QOS148" s="20"/>
      <c r="QOT148" s="20"/>
      <c r="QOU148" s="20"/>
      <c r="QOV148" s="16"/>
      <c r="QOW148" s="18"/>
      <c r="QOX148" s="19"/>
      <c r="QOY148" s="20"/>
      <c r="QOZ148" s="20"/>
      <c r="QPA148" s="20"/>
      <c r="QPB148" s="20"/>
      <c r="QPC148" s="20"/>
      <c r="QPD148" s="20"/>
      <c r="QPE148" s="20"/>
      <c r="QPF148" s="20"/>
      <c r="QPG148" s="20"/>
      <c r="QPH148" s="20"/>
      <c r="QPI148" s="20"/>
      <c r="QPJ148" s="20"/>
      <c r="QPK148" s="20"/>
      <c r="QPL148" s="16"/>
      <c r="QPM148" s="18"/>
      <c r="QPN148" s="19"/>
      <c r="QPO148" s="20"/>
      <c r="QPP148" s="20"/>
      <c r="QPQ148" s="20"/>
      <c r="QPR148" s="20"/>
      <c r="QPS148" s="20"/>
      <c r="QPT148" s="20"/>
      <c r="QPU148" s="20"/>
      <c r="QPV148" s="20"/>
      <c r="QPW148" s="20"/>
      <c r="QPX148" s="20"/>
      <c r="QPY148" s="20"/>
      <c r="QPZ148" s="20"/>
      <c r="QQA148" s="20"/>
      <c r="QQB148" s="16"/>
      <c r="QQC148" s="18"/>
      <c r="QQD148" s="19"/>
      <c r="QQE148" s="20"/>
      <c r="QQF148" s="20"/>
      <c r="QQG148" s="20"/>
      <c r="QQH148" s="20"/>
      <c r="QQI148" s="20"/>
      <c r="QQJ148" s="20"/>
      <c r="QQK148" s="20"/>
      <c r="QQL148" s="20"/>
      <c r="QQM148" s="20"/>
      <c r="QQN148" s="20"/>
      <c r="QQO148" s="20"/>
      <c r="QQP148" s="20"/>
      <c r="QQQ148" s="20"/>
      <c r="QQR148" s="16"/>
      <c r="QQS148" s="18"/>
      <c r="QQT148" s="19"/>
      <c r="QQU148" s="20"/>
      <c r="QQV148" s="20"/>
      <c r="QQW148" s="20"/>
      <c r="QQX148" s="20"/>
      <c r="QQY148" s="20"/>
      <c r="QQZ148" s="20"/>
      <c r="QRA148" s="20"/>
      <c r="QRB148" s="20"/>
      <c r="QRC148" s="20"/>
      <c r="QRD148" s="20"/>
      <c r="QRE148" s="20"/>
      <c r="QRF148" s="20"/>
      <c r="QRG148" s="20"/>
      <c r="QRH148" s="16"/>
      <c r="QRI148" s="18"/>
      <c r="QRJ148" s="19"/>
      <c r="QRK148" s="20"/>
      <c r="QRL148" s="20"/>
      <c r="QRM148" s="20"/>
      <c r="QRN148" s="20"/>
      <c r="QRO148" s="20"/>
      <c r="QRP148" s="20"/>
      <c r="QRQ148" s="20"/>
      <c r="QRR148" s="20"/>
      <c r="QRS148" s="20"/>
      <c r="QRT148" s="20"/>
      <c r="QRU148" s="20"/>
      <c r="QRV148" s="20"/>
      <c r="QRW148" s="20"/>
      <c r="QRX148" s="16"/>
      <c r="QRY148" s="18"/>
      <c r="QRZ148" s="19"/>
      <c r="QSA148" s="20"/>
      <c r="QSB148" s="20"/>
      <c r="QSC148" s="20"/>
      <c r="QSD148" s="20"/>
      <c r="QSE148" s="20"/>
      <c r="QSF148" s="20"/>
      <c r="QSG148" s="20"/>
      <c r="QSH148" s="20"/>
      <c r="QSI148" s="20"/>
      <c r="QSJ148" s="20"/>
      <c r="QSK148" s="20"/>
      <c r="QSL148" s="20"/>
      <c r="QSM148" s="20"/>
      <c r="QSN148" s="16"/>
      <c r="QSO148" s="18"/>
      <c r="QSP148" s="19"/>
      <c r="QSQ148" s="20"/>
      <c r="QSR148" s="20"/>
      <c r="QSS148" s="20"/>
      <c r="QST148" s="20"/>
      <c r="QSU148" s="20"/>
      <c r="QSV148" s="20"/>
      <c r="QSW148" s="20"/>
      <c r="QSX148" s="20"/>
      <c r="QSY148" s="20"/>
      <c r="QSZ148" s="20"/>
      <c r="QTA148" s="20"/>
      <c r="QTB148" s="20"/>
      <c r="QTC148" s="20"/>
      <c r="QTD148" s="16"/>
      <c r="QTE148" s="18"/>
      <c r="QTF148" s="19"/>
      <c r="QTG148" s="20"/>
      <c r="QTH148" s="20"/>
      <c r="QTI148" s="20"/>
      <c r="QTJ148" s="20"/>
      <c r="QTK148" s="20"/>
      <c r="QTL148" s="20"/>
      <c r="QTM148" s="20"/>
      <c r="QTN148" s="20"/>
      <c r="QTO148" s="20"/>
      <c r="QTP148" s="20"/>
      <c r="QTQ148" s="20"/>
      <c r="QTR148" s="20"/>
      <c r="QTS148" s="20"/>
      <c r="QTT148" s="16"/>
      <c r="QTU148" s="18"/>
      <c r="QTV148" s="19"/>
      <c r="QTW148" s="20"/>
      <c r="QTX148" s="20"/>
      <c r="QTY148" s="20"/>
      <c r="QTZ148" s="20"/>
      <c r="QUA148" s="20"/>
      <c r="QUB148" s="20"/>
      <c r="QUC148" s="20"/>
      <c r="QUD148" s="20"/>
      <c r="QUE148" s="20"/>
      <c r="QUF148" s="20"/>
      <c r="QUG148" s="20"/>
      <c r="QUH148" s="20"/>
      <c r="QUI148" s="20"/>
      <c r="QUJ148" s="16"/>
      <c r="QUK148" s="18"/>
      <c r="QUL148" s="19"/>
      <c r="QUM148" s="20"/>
      <c r="QUN148" s="20"/>
      <c r="QUO148" s="20"/>
      <c r="QUP148" s="20"/>
      <c r="QUQ148" s="20"/>
      <c r="QUR148" s="20"/>
      <c r="QUS148" s="20"/>
      <c r="QUT148" s="20"/>
      <c r="QUU148" s="20"/>
      <c r="QUV148" s="20"/>
      <c r="QUW148" s="20"/>
      <c r="QUX148" s="20"/>
      <c r="QUY148" s="20"/>
      <c r="QUZ148" s="16"/>
      <c r="QVA148" s="18"/>
      <c r="QVB148" s="19"/>
      <c r="QVC148" s="20"/>
      <c r="QVD148" s="20"/>
      <c r="QVE148" s="20"/>
      <c r="QVF148" s="20"/>
      <c r="QVG148" s="20"/>
      <c r="QVH148" s="20"/>
      <c r="QVI148" s="20"/>
      <c r="QVJ148" s="20"/>
      <c r="QVK148" s="20"/>
      <c r="QVL148" s="20"/>
      <c r="QVM148" s="20"/>
      <c r="QVN148" s="20"/>
      <c r="QVO148" s="20"/>
      <c r="QVP148" s="16"/>
      <c r="QVQ148" s="18"/>
      <c r="QVR148" s="19"/>
      <c r="QVS148" s="20"/>
      <c r="QVT148" s="20"/>
      <c r="QVU148" s="20"/>
      <c r="QVV148" s="20"/>
      <c r="QVW148" s="20"/>
      <c r="QVX148" s="20"/>
      <c r="QVY148" s="20"/>
      <c r="QVZ148" s="20"/>
      <c r="QWA148" s="20"/>
      <c r="QWB148" s="20"/>
      <c r="QWC148" s="20"/>
      <c r="QWD148" s="20"/>
      <c r="QWE148" s="20"/>
      <c r="QWF148" s="16"/>
      <c r="QWG148" s="18"/>
      <c r="QWH148" s="19"/>
      <c r="QWI148" s="20"/>
      <c r="QWJ148" s="20"/>
      <c r="QWK148" s="20"/>
      <c r="QWL148" s="20"/>
      <c r="QWM148" s="20"/>
      <c r="QWN148" s="20"/>
      <c r="QWO148" s="20"/>
      <c r="QWP148" s="20"/>
      <c r="QWQ148" s="20"/>
      <c r="QWR148" s="20"/>
      <c r="QWS148" s="20"/>
      <c r="QWT148" s="20"/>
      <c r="QWU148" s="20"/>
      <c r="QWV148" s="16"/>
      <c r="QWW148" s="18"/>
      <c r="QWX148" s="19"/>
      <c r="QWY148" s="20"/>
      <c r="QWZ148" s="20"/>
      <c r="QXA148" s="20"/>
      <c r="QXB148" s="20"/>
      <c r="QXC148" s="20"/>
      <c r="QXD148" s="20"/>
      <c r="QXE148" s="20"/>
      <c r="QXF148" s="20"/>
      <c r="QXG148" s="20"/>
      <c r="QXH148" s="20"/>
      <c r="QXI148" s="20"/>
      <c r="QXJ148" s="20"/>
      <c r="QXK148" s="20"/>
      <c r="QXL148" s="16"/>
      <c r="QXM148" s="18"/>
      <c r="QXN148" s="19"/>
      <c r="QXO148" s="20"/>
      <c r="QXP148" s="20"/>
      <c r="QXQ148" s="20"/>
      <c r="QXR148" s="20"/>
      <c r="QXS148" s="20"/>
      <c r="QXT148" s="20"/>
      <c r="QXU148" s="20"/>
      <c r="QXV148" s="20"/>
      <c r="QXW148" s="20"/>
      <c r="QXX148" s="20"/>
      <c r="QXY148" s="20"/>
      <c r="QXZ148" s="20"/>
      <c r="QYA148" s="20"/>
      <c r="QYB148" s="16"/>
      <c r="QYC148" s="18"/>
      <c r="QYD148" s="19"/>
      <c r="QYE148" s="20"/>
      <c r="QYF148" s="20"/>
      <c r="QYG148" s="20"/>
      <c r="QYH148" s="20"/>
      <c r="QYI148" s="20"/>
      <c r="QYJ148" s="20"/>
      <c r="QYK148" s="20"/>
      <c r="QYL148" s="20"/>
      <c r="QYM148" s="20"/>
      <c r="QYN148" s="20"/>
      <c r="QYO148" s="20"/>
      <c r="QYP148" s="20"/>
      <c r="QYQ148" s="20"/>
      <c r="QYR148" s="16"/>
      <c r="QYS148" s="18"/>
      <c r="QYT148" s="19"/>
      <c r="QYU148" s="20"/>
      <c r="QYV148" s="20"/>
      <c r="QYW148" s="20"/>
      <c r="QYX148" s="20"/>
      <c r="QYY148" s="20"/>
      <c r="QYZ148" s="20"/>
      <c r="QZA148" s="20"/>
      <c r="QZB148" s="20"/>
      <c r="QZC148" s="20"/>
      <c r="QZD148" s="20"/>
      <c r="QZE148" s="20"/>
      <c r="QZF148" s="20"/>
      <c r="QZG148" s="20"/>
      <c r="QZH148" s="16"/>
      <c r="QZI148" s="18"/>
      <c r="QZJ148" s="19"/>
      <c r="QZK148" s="20"/>
      <c r="QZL148" s="20"/>
      <c r="QZM148" s="20"/>
      <c r="QZN148" s="20"/>
      <c r="QZO148" s="20"/>
      <c r="QZP148" s="20"/>
      <c r="QZQ148" s="20"/>
      <c r="QZR148" s="20"/>
      <c r="QZS148" s="20"/>
      <c r="QZT148" s="20"/>
      <c r="QZU148" s="20"/>
      <c r="QZV148" s="20"/>
      <c r="QZW148" s="20"/>
      <c r="QZX148" s="16"/>
      <c r="QZY148" s="18"/>
      <c r="QZZ148" s="19"/>
      <c r="RAA148" s="20"/>
      <c r="RAB148" s="20"/>
      <c r="RAC148" s="20"/>
      <c r="RAD148" s="20"/>
      <c r="RAE148" s="20"/>
      <c r="RAF148" s="20"/>
      <c r="RAG148" s="20"/>
      <c r="RAH148" s="20"/>
      <c r="RAI148" s="20"/>
      <c r="RAJ148" s="20"/>
      <c r="RAK148" s="20"/>
      <c r="RAL148" s="20"/>
      <c r="RAM148" s="20"/>
      <c r="RAN148" s="16"/>
      <c r="RAO148" s="18"/>
      <c r="RAP148" s="19"/>
      <c r="RAQ148" s="20"/>
      <c r="RAR148" s="20"/>
      <c r="RAS148" s="20"/>
      <c r="RAT148" s="20"/>
      <c r="RAU148" s="20"/>
      <c r="RAV148" s="20"/>
      <c r="RAW148" s="20"/>
      <c r="RAX148" s="20"/>
      <c r="RAY148" s="20"/>
      <c r="RAZ148" s="20"/>
      <c r="RBA148" s="20"/>
      <c r="RBB148" s="20"/>
      <c r="RBC148" s="20"/>
      <c r="RBD148" s="16"/>
      <c r="RBE148" s="18"/>
      <c r="RBF148" s="19"/>
      <c r="RBG148" s="20"/>
      <c r="RBH148" s="20"/>
      <c r="RBI148" s="20"/>
      <c r="RBJ148" s="20"/>
      <c r="RBK148" s="20"/>
      <c r="RBL148" s="20"/>
      <c r="RBM148" s="20"/>
      <c r="RBN148" s="20"/>
      <c r="RBO148" s="20"/>
      <c r="RBP148" s="20"/>
      <c r="RBQ148" s="20"/>
      <c r="RBR148" s="20"/>
      <c r="RBS148" s="20"/>
      <c r="RBT148" s="16"/>
      <c r="RBU148" s="18"/>
      <c r="RBV148" s="19"/>
      <c r="RBW148" s="20"/>
      <c r="RBX148" s="20"/>
      <c r="RBY148" s="20"/>
      <c r="RBZ148" s="20"/>
      <c r="RCA148" s="20"/>
      <c r="RCB148" s="20"/>
      <c r="RCC148" s="20"/>
      <c r="RCD148" s="20"/>
      <c r="RCE148" s="20"/>
      <c r="RCF148" s="20"/>
      <c r="RCG148" s="20"/>
      <c r="RCH148" s="20"/>
      <c r="RCI148" s="20"/>
      <c r="RCJ148" s="16"/>
      <c r="RCK148" s="18"/>
      <c r="RCL148" s="19"/>
      <c r="RCM148" s="20"/>
      <c r="RCN148" s="20"/>
      <c r="RCO148" s="20"/>
      <c r="RCP148" s="20"/>
      <c r="RCQ148" s="20"/>
      <c r="RCR148" s="20"/>
      <c r="RCS148" s="20"/>
      <c r="RCT148" s="20"/>
      <c r="RCU148" s="20"/>
      <c r="RCV148" s="20"/>
      <c r="RCW148" s="20"/>
      <c r="RCX148" s="20"/>
      <c r="RCY148" s="20"/>
      <c r="RCZ148" s="16"/>
      <c r="RDA148" s="18"/>
      <c r="RDB148" s="19"/>
      <c r="RDC148" s="20"/>
      <c r="RDD148" s="20"/>
      <c r="RDE148" s="20"/>
      <c r="RDF148" s="20"/>
      <c r="RDG148" s="20"/>
      <c r="RDH148" s="20"/>
      <c r="RDI148" s="20"/>
      <c r="RDJ148" s="20"/>
      <c r="RDK148" s="20"/>
      <c r="RDL148" s="20"/>
      <c r="RDM148" s="20"/>
      <c r="RDN148" s="20"/>
      <c r="RDO148" s="20"/>
      <c r="RDP148" s="16"/>
      <c r="RDQ148" s="18"/>
      <c r="RDR148" s="19"/>
      <c r="RDS148" s="20"/>
      <c r="RDT148" s="20"/>
      <c r="RDU148" s="20"/>
      <c r="RDV148" s="20"/>
      <c r="RDW148" s="20"/>
      <c r="RDX148" s="20"/>
      <c r="RDY148" s="20"/>
      <c r="RDZ148" s="20"/>
      <c r="REA148" s="20"/>
      <c r="REB148" s="20"/>
      <c r="REC148" s="20"/>
      <c r="RED148" s="20"/>
      <c r="REE148" s="20"/>
      <c r="REF148" s="16"/>
      <c r="REG148" s="18"/>
      <c r="REH148" s="19"/>
      <c r="REI148" s="20"/>
      <c r="REJ148" s="20"/>
      <c r="REK148" s="20"/>
      <c r="REL148" s="20"/>
      <c r="REM148" s="20"/>
      <c r="REN148" s="20"/>
      <c r="REO148" s="20"/>
      <c r="REP148" s="20"/>
      <c r="REQ148" s="20"/>
      <c r="RER148" s="20"/>
      <c r="RES148" s="20"/>
      <c r="RET148" s="20"/>
      <c r="REU148" s="20"/>
      <c r="REV148" s="16"/>
      <c r="REW148" s="18"/>
      <c r="REX148" s="19"/>
      <c r="REY148" s="20"/>
      <c r="REZ148" s="20"/>
      <c r="RFA148" s="20"/>
      <c r="RFB148" s="20"/>
      <c r="RFC148" s="20"/>
      <c r="RFD148" s="20"/>
      <c r="RFE148" s="20"/>
      <c r="RFF148" s="20"/>
      <c r="RFG148" s="20"/>
      <c r="RFH148" s="20"/>
      <c r="RFI148" s="20"/>
      <c r="RFJ148" s="20"/>
      <c r="RFK148" s="20"/>
      <c r="RFL148" s="16"/>
      <c r="RFM148" s="18"/>
      <c r="RFN148" s="19"/>
      <c r="RFO148" s="20"/>
      <c r="RFP148" s="20"/>
      <c r="RFQ148" s="20"/>
      <c r="RFR148" s="20"/>
      <c r="RFS148" s="20"/>
      <c r="RFT148" s="20"/>
      <c r="RFU148" s="20"/>
      <c r="RFV148" s="20"/>
      <c r="RFW148" s="20"/>
      <c r="RFX148" s="20"/>
      <c r="RFY148" s="20"/>
      <c r="RFZ148" s="20"/>
      <c r="RGA148" s="20"/>
      <c r="RGB148" s="16"/>
      <c r="RGC148" s="18"/>
      <c r="RGD148" s="19"/>
      <c r="RGE148" s="20"/>
      <c r="RGF148" s="20"/>
      <c r="RGG148" s="20"/>
      <c r="RGH148" s="20"/>
      <c r="RGI148" s="20"/>
      <c r="RGJ148" s="20"/>
      <c r="RGK148" s="20"/>
      <c r="RGL148" s="20"/>
      <c r="RGM148" s="20"/>
      <c r="RGN148" s="20"/>
      <c r="RGO148" s="20"/>
      <c r="RGP148" s="20"/>
      <c r="RGQ148" s="20"/>
      <c r="RGR148" s="16"/>
      <c r="RGS148" s="18"/>
      <c r="RGT148" s="19"/>
      <c r="RGU148" s="20"/>
      <c r="RGV148" s="20"/>
      <c r="RGW148" s="20"/>
      <c r="RGX148" s="20"/>
      <c r="RGY148" s="20"/>
      <c r="RGZ148" s="20"/>
      <c r="RHA148" s="20"/>
      <c r="RHB148" s="20"/>
      <c r="RHC148" s="20"/>
      <c r="RHD148" s="20"/>
      <c r="RHE148" s="20"/>
      <c r="RHF148" s="20"/>
      <c r="RHG148" s="20"/>
      <c r="RHH148" s="16"/>
      <c r="RHI148" s="18"/>
      <c r="RHJ148" s="19"/>
      <c r="RHK148" s="20"/>
      <c r="RHL148" s="20"/>
      <c r="RHM148" s="20"/>
      <c r="RHN148" s="20"/>
      <c r="RHO148" s="20"/>
      <c r="RHP148" s="20"/>
      <c r="RHQ148" s="20"/>
      <c r="RHR148" s="20"/>
      <c r="RHS148" s="20"/>
      <c r="RHT148" s="20"/>
      <c r="RHU148" s="20"/>
      <c r="RHV148" s="20"/>
      <c r="RHW148" s="20"/>
      <c r="RHX148" s="16"/>
      <c r="RHY148" s="18"/>
      <c r="RHZ148" s="19"/>
      <c r="RIA148" s="20"/>
      <c r="RIB148" s="20"/>
      <c r="RIC148" s="20"/>
      <c r="RID148" s="20"/>
      <c r="RIE148" s="20"/>
      <c r="RIF148" s="20"/>
      <c r="RIG148" s="20"/>
      <c r="RIH148" s="20"/>
      <c r="RII148" s="20"/>
      <c r="RIJ148" s="20"/>
      <c r="RIK148" s="20"/>
      <c r="RIL148" s="20"/>
      <c r="RIM148" s="20"/>
      <c r="RIN148" s="16"/>
      <c r="RIO148" s="18"/>
      <c r="RIP148" s="19"/>
      <c r="RIQ148" s="20"/>
      <c r="RIR148" s="20"/>
      <c r="RIS148" s="20"/>
      <c r="RIT148" s="20"/>
      <c r="RIU148" s="20"/>
      <c r="RIV148" s="20"/>
      <c r="RIW148" s="20"/>
      <c r="RIX148" s="20"/>
      <c r="RIY148" s="20"/>
      <c r="RIZ148" s="20"/>
      <c r="RJA148" s="20"/>
      <c r="RJB148" s="20"/>
      <c r="RJC148" s="20"/>
      <c r="RJD148" s="16"/>
      <c r="RJE148" s="18"/>
      <c r="RJF148" s="19"/>
      <c r="RJG148" s="20"/>
      <c r="RJH148" s="20"/>
      <c r="RJI148" s="20"/>
      <c r="RJJ148" s="20"/>
      <c r="RJK148" s="20"/>
      <c r="RJL148" s="20"/>
      <c r="RJM148" s="20"/>
      <c r="RJN148" s="20"/>
      <c r="RJO148" s="20"/>
      <c r="RJP148" s="20"/>
      <c r="RJQ148" s="20"/>
      <c r="RJR148" s="20"/>
      <c r="RJS148" s="20"/>
      <c r="RJT148" s="16"/>
      <c r="RJU148" s="18"/>
      <c r="RJV148" s="19"/>
      <c r="RJW148" s="20"/>
      <c r="RJX148" s="20"/>
      <c r="RJY148" s="20"/>
      <c r="RJZ148" s="20"/>
      <c r="RKA148" s="20"/>
      <c r="RKB148" s="20"/>
      <c r="RKC148" s="20"/>
      <c r="RKD148" s="20"/>
      <c r="RKE148" s="20"/>
      <c r="RKF148" s="20"/>
      <c r="RKG148" s="20"/>
      <c r="RKH148" s="20"/>
      <c r="RKI148" s="20"/>
      <c r="RKJ148" s="16"/>
      <c r="RKK148" s="18"/>
      <c r="RKL148" s="19"/>
      <c r="RKM148" s="20"/>
      <c r="RKN148" s="20"/>
      <c r="RKO148" s="20"/>
      <c r="RKP148" s="20"/>
      <c r="RKQ148" s="20"/>
      <c r="RKR148" s="20"/>
      <c r="RKS148" s="20"/>
      <c r="RKT148" s="20"/>
      <c r="RKU148" s="20"/>
      <c r="RKV148" s="20"/>
      <c r="RKW148" s="20"/>
      <c r="RKX148" s="20"/>
      <c r="RKY148" s="20"/>
      <c r="RKZ148" s="16"/>
      <c r="RLA148" s="18"/>
      <c r="RLB148" s="19"/>
      <c r="RLC148" s="20"/>
      <c r="RLD148" s="20"/>
      <c r="RLE148" s="20"/>
      <c r="RLF148" s="20"/>
      <c r="RLG148" s="20"/>
      <c r="RLH148" s="20"/>
      <c r="RLI148" s="20"/>
      <c r="RLJ148" s="20"/>
      <c r="RLK148" s="20"/>
      <c r="RLL148" s="20"/>
      <c r="RLM148" s="20"/>
      <c r="RLN148" s="20"/>
      <c r="RLO148" s="20"/>
      <c r="RLP148" s="16"/>
      <c r="RLQ148" s="18"/>
      <c r="RLR148" s="19"/>
      <c r="RLS148" s="20"/>
      <c r="RLT148" s="20"/>
      <c r="RLU148" s="20"/>
      <c r="RLV148" s="20"/>
      <c r="RLW148" s="20"/>
      <c r="RLX148" s="20"/>
      <c r="RLY148" s="20"/>
      <c r="RLZ148" s="20"/>
      <c r="RMA148" s="20"/>
      <c r="RMB148" s="20"/>
      <c r="RMC148" s="20"/>
      <c r="RMD148" s="20"/>
      <c r="RME148" s="20"/>
      <c r="RMF148" s="16"/>
      <c r="RMG148" s="18"/>
      <c r="RMH148" s="19"/>
      <c r="RMI148" s="20"/>
      <c r="RMJ148" s="20"/>
      <c r="RMK148" s="20"/>
      <c r="RML148" s="20"/>
      <c r="RMM148" s="20"/>
      <c r="RMN148" s="20"/>
      <c r="RMO148" s="20"/>
      <c r="RMP148" s="20"/>
      <c r="RMQ148" s="20"/>
      <c r="RMR148" s="20"/>
      <c r="RMS148" s="20"/>
      <c r="RMT148" s="20"/>
      <c r="RMU148" s="20"/>
      <c r="RMV148" s="16"/>
      <c r="RMW148" s="18"/>
      <c r="RMX148" s="19"/>
      <c r="RMY148" s="20"/>
      <c r="RMZ148" s="20"/>
      <c r="RNA148" s="20"/>
      <c r="RNB148" s="20"/>
      <c r="RNC148" s="20"/>
      <c r="RND148" s="20"/>
      <c r="RNE148" s="20"/>
      <c r="RNF148" s="20"/>
      <c r="RNG148" s="20"/>
      <c r="RNH148" s="20"/>
      <c r="RNI148" s="20"/>
      <c r="RNJ148" s="20"/>
      <c r="RNK148" s="20"/>
      <c r="RNL148" s="16"/>
      <c r="RNM148" s="18"/>
      <c r="RNN148" s="19"/>
      <c r="RNO148" s="20"/>
      <c r="RNP148" s="20"/>
      <c r="RNQ148" s="20"/>
      <c r="RNR148" s="20"/>
      <c r="RNS148" s="20"/>
      <c r="RNT148" s="20"/>
      <c r="RNU148" s="20"/>
      <c r="RNV148" s="20"/>
      <c r="RNW148" s="20"/>
      <c r="RNX148" s="20"/>
      <c r="RNY148" s="20"/>
      <c r="RNZ148" s="20"/>
      <c r="ROA148" s="20"/>
      <c r="ROB148" s="16"/>
      <c r="ROC148" s="18"/>
      <c r="ROD148" s="19"/>
      <c r="ROE148" s="20"/>
      <c r="ROF148" s="20"/>
      <c r="ROG148" s="20"/>
      <c r="ROH148" s="20"/>
      <c r="ROI148" s="20"/>
      <c r="ROJ148" s="20"/>
      <c r="ROK148" s="20"/>
      <c r="ROL148" s="20"/>
      <c r="ROM148" s="20"/>
      <c r="RON148" s="20"/>
      <c r="ROO148" s="20"/>
      <c r="ROP148" s="20"/>
      <c r="ROQ148" s="20"/>
      <c r="ROR148" s="16"/>
      <c r="ROS148" s="18"/>
      <c r="ROT148" s="19"/>
      <c r="ROU148" s="20"/>
      <c r="ROV148" s="20"/>
      <c r="ROW148" s="20"/>
      <c r="ROX148" s="20"/>
      <c r="ROY148" s="20"/>
      <c r="ROZ148" s="20"/>
      <c r="RPA148" s="20"/>
      <c r="RPB148" s="20"/>
      <c r="RPC148" s="20"/>
      <c r="RPD148" s="20"/>
      <c r="RPE148" s="20"/>
      <c r="RPF148" s="20"/>
      <c r="RPG148" s="20"/>
      <c r="RPH148" s="16"/>
      <c r="RPI148" s="18"/>
      <c r="RPJ148" s="19"/>
      <c r="RPK148" s="20"/>
      <c r="RPL148" s="20"/>
      <c r="RPM148" s="20"/>
      <c r="RPN148" s="20"/>
      <c r="RPO148" s="20"/>
      <c r="RPP148" s="20"/>
      <c r="RPQ148" s="20"/>
      <c r="RPR148" s="20"/>
      <c r="RPS148" s="20"/>
      <c r="RPT148" s="20"/>
      <c r="RPU148" s="20"/>
      <c r="RPV148" s="20"/>
      <c r="RPW148" s="20"/>
      <c r="RPX148" s="16"/>
      <c r="RPY148" s="18"/>
      <c r="RPZ148" s="19"/>
      <c r="RQA148" s="20"/>
      <c r="RQB148" s="20"/>
      <c r="RQC148" s="20"/>
      <c r="RQD148" s="20"/>
      <c r="RQE148" s="20"/>
      <c r="RQF148" s="20"/>
      <c r="RQG148" s="20"/>
      <c r="RQH148" s="20"/>
      <c r="RQI148" s="20"/>
      <c r="RQJ148" s="20"/>
      <c r="RQK148" s="20"/>
      <c r="RQL148" s="20"/>
      <c r="RQM148" s="20"/>
      <c r="RQN148" s="16"/>
      <c r="RQO148" s="18"/>
      <c r="RQP148" s="19"/>
      <c r="RQQ148" s="20"/>
      <c r="RQR148" s="20"/>
      <c r="RQS148" s="20"/>
      <c r="RQT148" s="20"/>
      <c r="RQU148" s="20"/>
      <c r="RQV148" s="20"/>
      <c r="RQW148" s="20"/>
      <c r="RQX148" s="20"/>
      <c r="RQY148" s="20"/>
      <c r="RQZ148" s="20"/>
      <c r="RRA148" s="20"/>
      <c r="RRB148" s="20"/>
      <c r="RRC148" s="20"/>
      <c r="RRD148" s="16"/>
      <c r="RRE148" s="18"/>
      <c r="RRF148" s="19"/>
      <c r="RRG148" s="20"/>
      <c r="RRH148" s="20"/>
      <c r="RRI148" s="20"/>
      <c r="RRJ148" s="20"/>
      <c r="RRK148" s="20"/>
      <c r="RRL148" s="20"/>
      <c r="RRM148" s="20"/>
      <c r="RRN148" s="20"/>
      <c r="RRO148" s="20"/>
      <c r="RRP148" s="20"/>
      <c r="RRQ148" s="20"/>
      <c r="RRR148" s="20"/>
      <c r="RRS148" s="20"/>
      <c r="RRT148" s="16"/>
      <c r="RRU148" s="18"/>
      <c r="RRV148" s="19"/>
      <c r="RRW148" s="20"/>
      <c r="RRX148" s="20"/>
      <c r="RRY148" s="20"/>
      <c r="RRZ148" s="20"/>
      <c r="RSA148" s="20"/>
      <c r="RSB148" s="20"/>
      <c r="RSC148" s="20"/>
      <c r="RSD148" s="20"/>
      <c r="RSE148" s="20"/>
      <c r="RSF148" s="20"/>
      <c r="RSG148" s="20"/>
      <c r="RSH148" s="20"/>
      <c r="RSI148" s="20"/>
      <c r="RSJ148" s="16"/>
      <c r="RSK148" s="18"/>
      <c r="RSL148" s="19"/>
      <c r="RSM148" s="20"/>
      <c r="RSN148" s="20"/>
      <c r="RSO148" s="20"/>
      <c r="RSP148" s="20"/>
      <c r="RSQ148" s="20"/>
      <c r="RSR148" s="20"/>
      <c r="RSS148" s="20"/>
      <c r="RST148" s="20"/>
      <c r="RSU148" s="20"/>
      <c r="RSV148" s="20"/>
      <c r="RSW148" s="20"/>
      <c r="RSX148" s="20"/>
      <c r="RSY148" s="20"/>
      <c r="RSZ148" s="16"/>
      <c r="RTA148" s="18"/>
      <c r="RTB148" s="19"/>
      <c r="RTC148" s="20"/>
      <c r="RTD148" s="20"/>
      <c r="RTE148" s="20"/>
      <c r="RTF148" s="20"/>
      <c r="RTG148" s="20"/>
      <c r="RTH148" s="20"/>
      <c r="RTI148" s="20"/>
      <c r="RTJ148" s="20"/>
      <c r="RTK148" s="20"/>
      <c r="RTL148" s="20"/>
      <c r="RTM148" s="20"/>
      <c r="RTN148" s="20"/>
      <c r="RTO148" s="20"/>
      <c r="RTP148" s="16"/>
      <c r="RTQ148" s="18"/>
      <c r="RTR148" s="19"/>
      <c r="RTS148" s="20"/>
      <c r="RTT148" s="20"/>
      <c r="RTU148" s="20"/>
      <c r="RTV148" s="20"/>
      <c r="RTW148" s="20"/>
      <c r="RTX148" s="20"/>
      <c r="RTY148" s="20"/>
      <c r="RTZ148" s="20"/>
      <c r="RUA148" s="20"/>
      <c r="RUB148" s="20"/>
      <c r="RUC148" s="20"/>
      <c r="RUD148" s="20"/>
      <c r="RUE148" s="20"/>
      <c r="RUF148" s="16"/>
      <c r="RUG148" s="18"/>
      <c r="RUH148" s="19"/>
      <c r="RUI148" s="20"/>
      <c r="RUJ148" s="20"/>
      <c r="RUK148" s="20"/>
      <c r="RUL148" s="20"/>
      <c r="RUM148" s="20"/>
      <c r="RUN148" s="20"/>
      <c r="RUO148" s="20"/>
      <c r="RUP148" s="20"/>
      <c r="RUQ148" s="20"/>
      <c r="RUR148" s="20"/>
      <c r="RUS148" s="20"/>
      <c r="RUT148" s="20"/>
      <c r="RUU148" s="20"/>
      <c r="RUV148" s="16"/>
      <c r="RUW148" s="18"/>
      <c r="RUX148" s="19"/>
      <c r="RUY148" s="20"/>
      <c r="RUZ148" s="20"/>
      <c r="RVA148" s="20"/>
      <c r="RVB148" s="20"/>
      <c r="RVC148" s="20"/>
      <c r="RVD148" s="20"/>
      <c r="RVE148" s="20"/>
      <c r="RVF148" s="20"/>
      <c r="RVG148" s="20"/>
      <c r="RVH148" s="20"/>
      <c r="RVI148" s="20"/>
      <c r="RVJ148" s="20"/>
      <c r="RVK148" s="20"/>
      <c r="RVL148" s="16"/>
      <c r="RVM148" s="18"/>
      <c r="RVN148" s="19"/>
      <c r="RVO148" s="20"/>
      <c r="RVP148" s="20"/>
      <c r="RVQ148" s="20"/>
      <c r="RVR148" s="20"/>
      <c r="RVS148" s="20"/>
      <c r="RVT148" s="20"/>
      <c r="RVU148" s="20"/>
      <c r="RVV148" s="20"/>
      <c r="RVW148" s="20"/>
      <c r="RVX148" s="20"/>
      <c r="RVY148" s="20"/>
      <c r="RVZ148" s="20"/>
      <c r="RWA148" s="20"/>
      <c r="RWB148" s="16"/>
      <c r="RWC148" s="18"/>
      <c r="RWD148" s="19"/>
      <c r="RWE148" s="20"/>
      <c r="RWF148" s="20"/>
      <c r="RWG148" s="20"/>
      <c r="RWH148" s="20"/>
      <c r="RWI148" s="20"/>
      <c r="RWJ148" s="20"/>
      <c r="RWK148" s="20"/>
      <c r="RWL148" s="20"/>
      <c r="RWM148" s="20"/>
      <c r="RWN148" s="20"/>
      <c r="RWO148" s="20"/>
      <c r="RWP148" s="20"/>
      <c r="RWQ148" s="20"/>
      <c r="RWR148" s="16"/>
      <c r="RWS148" s="18"/>
      <c r="RWT148" s="19"/>
      <c r="RWU148" s="20"/>
      <c r="RWV148" s="20"/>
      <c r="RWW148" s="20"/>
      <c r="RWX148" s="20"/>
      <c r="RWY148" s="20"/>
      <c r="RWZ148" s="20"/>
      <c r="RXA148" s="20"/>
      <c r="RXB148" s="20"/>
      <c r="RXC148" s="20"/>
      <c r="RXD148" s="20"/>
      <c r="RXE148" s="20"/>
      <c r="RXF148" s="20"/>
      <c r="RXG148" s="20"/>
      <c r="RXH148" s="16"/>
      <c r="RXI148" s="18"/>
      <c r="RXJ148" s="19"/>
      <c r="RXK148" s="20"/>
      <c r="RXL148" s="20"/>
      <c r="RXM148" s="20"/>
      <c r="RXN148" s="20"/>
      <c r="RXO148" s="20"/>
      <c r="RXP148" s="20"/>
      <c r="RXQ148" s="20"/>
      <c r="RXR148" s="20"/>
      <c r="RXS148" s="20"/>
      <c r="RXT148" s="20"/>
      <c r="RXU148" s="20"/>
      <c r="RXV148" s="20"/>
      <c r="RXW148" s="20"/>
      <c r="RXX148" s="16"/>
      <c r="RXY148" s="18"/>
      <c r="RXZ148" s="19"/>
      <c r="RYA148" s="20"/>
      <c r="RYB148" s="20"/>
      <c r="RYC148" s="20"/>
      <c r="RYD148" s="20"/>
      <c r="RYE148" s="20"/>
      <c r="RYF148" s="20"/>
      <c r="RYG148" s="20"/>
      <c r="RYH148" s="20"/>
      <c r="RYI148" s="20"/>
      <c r="RYJ148" s="20"/>
      <c r="RYK148" s="20"/>
      <c r="RYL148" s="20"/>
      <c r="RYM148" s="20"/>
      <c r="RYN148" s="16"/>
      <c r="RYO148" s="18"/>
      <c r="RYP148" s="19"/>
      <c r="RYQ148" s="20"/>
      <c r="RYR148" s="20"/>
      <c r="RYS148" s="20"/>
      <c r="RYT148" s="20"/>
      <c r="RYU148" s="20"/>
      <c r="RYV148" s="20"/>
      <c r="RYW148" s="20"/>
      <c r="RYX148" s="20"/>
      <c r="RYY148" s="20"/>
      <c r="RYZ148" s="20"/>
      <c r="RZA148" s="20"/>
      <c r="RZB148" s="20"/>
      <c r="RZC148" s="20"/>
      <c r="RZD148" s="16"/>
      <c r="RZE148" s="18"/>
      <c r="RZF148" s="19"/>
      <c r="RZG148" s="20"/>
      <c r="RZH148" s="20"/>
      <c r="RZI148" s="20"/>
      <c r="RZJ148" s="20"/>
      <c r="RZK148" s="20"/>
      <c r="RZL148" s="20"/>
      <c r="RZM148" s="20"/>
      <c r="RZN148" s="20"/>
      <c r="RZO148" s="20"/>
      <c r="RZP148" s="20"/>
      <c r="RZQ148" s="20"/>
      <c r="RZR148" s="20"/>
      <c r="RZS148" s="20"/>
      <c r="RZT148" s="16"/>
      <c r="RZU148" s="18"/>
      <c r="RZV148" s="19"/>
      <c r="RZW148" s="20"/>
      <c r="RZX148" s="20"/>
      <c r="RZY148" s="20"/>
      <c r="RZZ148" s="20"/>
      <c r="SAA148" s="20"/>
      <c r="SAB148" s="20"/>
      <c r="SAC148" s="20"/>
      <c r="SAD148" s="20"/>
      <c r="SAE148" s="20"/>
      <c r="SAF148" s="20"/>
      <c r="SAG148" s="20"/>
      <c r="SAH148" s="20"/>
      <c r="SAI148" s="20"/>
      <c r="SAJ148" s="16"/>
      <c r="SAK148" s="18"/>
      <c r="SAL148" s="19"/>
      <c r="SAM148" s="20"/>
      <c r="SAN148" s="20"/>
      <c r="SAO148" s="20"/>
      <c r="SAP148" s="20"/>
      <c r="SAQ148" s="20"/>
      <c r="SAR148" s="20"/>
      <c r="SAS148" s="20"/>
      <c r="SAT148" s="20"/>
      <c r="SAU148" s="20"/>
      <c r="SAV148" s="20"/>
      <c r="SAW148" s="20"/>
      <c r="SAX148" s="20"/>
      <c r="SAY148" s="20"/>
      <c r="SAZ148" s="16"/>
      <c r="SBA148" s="18"/>
      <c r="SBB148" s="19"/>
      <c r="SBC148" s="20"/>
      <c r="SBD148" s="20"/>
      <c r="SBE148" s="20"/>
      <c r="SBF148" s="20"/>
      <c r="SBG148" s="20"/>
      <c r="SBH148" s="20"/>
      <c r="SBI148" s="20"/>
      <c r="SBJ148" s="20"/>
      <c r="SBK148" s="20"/>
      <c r="SBL148" s="20"/>
      <c r="SBM148" s="20"/>
      <c r="SBN148" s="20"/>
      <c r="SBO148" s="20"/>
      <c r="SBP148" s="16"/>
      <c r="SBQ148" s="18"/>
      <c r="SBR148" s="19"/>
      <c r="SBS148" s="20"/>
      <c r="SBT148" s="20"/>
      <c r="SBU148" s="20"/>
      <c r="SBV148" s="20"/>
      <c r="SBW148" s="20"/>
      <c r="SBX148" s="20"/>
      <c r="SBY148" s="20"/>
      <c r="SBZ148" s="20"/>
      <c r="SCA148" s="20"/>
      <c r="SCB148" s="20"/>
      <c r="SCC148" s="20"/>
      <c r="SCD148" s="20"/>
      <c r="SCE148" s="20"/>
      <c r="SCF148" s="16"/>
      <c r="SCG148" s="18"/>
      <c r="SCH148" s="19"/>
      <c r="SCI148" s="20"/>
      <c r="SCJ148" s="20"/>
      <c r="SCK148" s="20"/>
      <c r="SCL148" s="20"/>
      <c r="SCM148" s="20"/>
      <c r="SCN148" s="20"/>
      <c r="SCO148" s="20"/>
      <c r="SCP148" s="20"/>
      <c r="SCQ148" s="20"/>
      <c r="SCR148" s="20"/>
      <c r="SCS148" s="20"/>
      <c r="SCT148" s="20"/>
      <c r="SCU148" s="20"/>
      <c r="SCV148" s="16"/>
      <c r="SCW148" s="18"/>
      <c r="SCX148" s="19"/>
      <c r="SCY148" s="20"/>
      <c r="SCZ148" s="20"/>
      <c r="SDA148" s="20"/>
      <c r="SDB148" s="20"/>
      <c r="SDC148" s="20"/>
      <c r="SDD148" s="20"/>
      <c r="SDE148" s="20"/>
      <c r="SDF148" s="20"/>
      <c r="SDG148" s="20"/>
      <c r="SDH148" s="20"/>
      <c r="SDI148" s="20"/>
      <c r="SDJ148" s="20"/>
      <c r="SDK148" s="20"/>
      <c r="SDL148" s="16"/>
      <c r="SDM148" s="18"/>
      <c r="SDN148" s="19"/>
      <c r="SDO148" s="20"/>
      <c r="SDP148" s="20"/>
      <c r="SDQ148" s="20"/>
      <c r="SDR148" s="20"/>
      <c r="SDS148" s="20"/>
      <c r="SDT148" s="20"/>
      <c r="SDU148" s="20"/>
      <c r="SDV148" s="20"/>
      <c r="SDW148" s="20"/>
      <c r="SDX148" s="20"/>
      <c r="SDY148" s="20"/>
      <c r="SDZ148" s="20"/>
      <c r="SEA148" s="20"/>
      <c r="SEB148" s="16"/>
      <c r="SEC148" s="18"/>
      <c r="SED148" s="19"/>
      <c r="SEE148" s="20"/>
      <c r="SEF148" s="20"/>
      <c r="SEG148" s="20"/>
      <c r="SEH148" s="20"/>
      <c r="SEI148" s="20"/>
      <c r="SEJ148" s="20"/>
      <c r="SEK148" s="20"/>
      <c r="SEL148" s="20"/>
      <c r="SEM148" s="20"/>
      <c r="SEN148" s="20"/>
      <c r="SEO148" s="20"/>
      <c r="SEP148" s="20"/>
      <c r="SEQ148" s="20"/>
      <c r="SER148" s="16"/>
      <c r="SES148" s="18"/>
      <c r="SET148" s="19"/>
      <c r="SEU148" s="20"/>
      <c r="SEV148" s="20"/>
      <c r="SEW148" s="20"/>
      <c r="SEX148" s="20"/>
      <c r="SEY148" s="20"/>
      <c r="SEZ148" s="20"/>
      <c r="SFA148" s="20"/>
      <c r="SFB148" s="20"/>
      <c r="SFC148" s="20"/>
      <c r="SFD148" s="20"/>
      <c r="SFE148" s="20"/>
      <c r="SFF148" s="20"/>
      <c r="SFG148" s="20"/>
      <c r="SFH148" s="16"/>
      <c r="SFI148" s="18"/>
      <c r="SFJ148" s="19"/>
      <c r="SFK148" s="20"/>
      <c r="SFL148" s="20"/>
      <c r="SFM148" s="20"/>
      <c r="SFN148" s="20"/>
      <c r="SFO148" s="20"/>
      <c r="SFP148" s="20"/>
      <c r="SFQ148" s="20"/>
      <c r="SFR148" s="20"/>
      <c r="SFS148" s="20"/>
      <c r="SFT148" s="20"/>
      <c r="SFU148" s="20"/>
      <c r="SFV148" s="20"/>
      <c r="SFW148" s="20"/>
      <c r="SFX148" s="16"/>
      <c r="SFY148" s="18"/>
      <c r="SFZ148" s="19"/>
      <c r="SGA148" s="20"/>
      <c r="SGB148" s="20"/>
      <c r="SGC148" s="20"/>
      <c r="SGD148" s="20"/>
      <c r="SGE148" s="20"/>
      <c r="SGF148" s="20"/>
      <c r="SGG148" s="20"/>
      <c r="SGH148" s="20"/>
      <c r="SGI148" s="20"/>
      <c r="SGJ148" s="20"/>
      <c r="SGK148" s="20"/>
      <c r="SGL148" s="20"/>
      <c r="SGM148" s="20"/>
      <c r="SGN148" s="16"/>
      <c r="SGO148" s="18"/>
      <c r="SGP148" s="19"/>
      <c r="SGQ148" s="20"/>
      <c r="SGR148" s="20"/>
      <c r="SGS148" s="20"/>
      <c r="SGT148" s="20"/>
      <c r="SGU148" s="20"/>
      <c r="SGV148" s="20"/>
      <c r="SGW148" s="20"/>
      <c r="SGX148" s="20"/>
      <c r="SGY148" s="20"/>
      <c r="SGZ148" s="20"/>
      <c r="SHA148" s="20"/>
      <c r="SHB148" s="20"/>
      <c r="SHC148" s="20"/>
      <c r="SHD148" s="16"/>
      <c r="SHE148" s="18"/>
      <c r="SHF148" s="19"/>
      <c r="SHG148" s="20"/>
      <c r="SHH148" s="20"/>
      <c r="SHI148" s="20"/>
      <c r="SHJ148" s="20"/>
      <c r="SHK148" s="20"/>
      <c r="SHL148" s="20"/>
      <c r="SHM148" s="20"/>
      <c r="SHN148" s="20"/>
      <c r="SHO148" s="20"/>
      <c r="SHP148" s="20"/>
      <c r="SHQ148" s="20"/>
      <c r="SHR148" s="20"/>
      <c r="SHS148" s="20"/>
      <c r="SHT148" s="16"/>
      <c r="SHU148" s="18"/>
      <c r="SHV148" s="19"/>
      <c r="SHW148" s="20"/>
      <c r="SHX148" s="20"/>
      <c r="SHY148" s="20"/>
      <c r="SHZ148" s="20"/>
      <c r="SIA148" s="20"/>
      <c r="SIB148" s="20"/>
      <c r="SIC148" s="20"/>
      <c r="SID148" s="20"/>
      <c r="SIE148" s="20"/>
      <c r="SIF148" s="20"/>
      <c r="SIG148" s="20"/>
      <c r="SIH148" s="20"/>
      <c r="SII148" s="20"/>
      <c r="SIJ148" s="16"/>
      <c r="SIK148" s="18"/>
      <c r="SIL148" s="19"/>
      <c r="SIM148" s="20"/>
      <c r="SIN148" s="20"/>
      <c r="SIO148" s="20"/>
      <c r="SIP148" s="20"/>
      <c r="SIQ148" s="20"/>
      <c r="SIR148" s="20"/>
      <c r="SIS148" s="20"/>
      <c r="SIT148" s="20"/>
      <c r="SIU148" s="20"/>
      <c r="SIV148" s="20"/>
      <c r="SIW148" s="20"/>
      <c r="SIX148" s="20"/>
      <c r="SIY148" s="20"/>
      <c r="SIZ148" s="16"/>
      <c r="SJA148" s="18"/>
      <c r="SJB148" s="19"/>
      <c r="SJC148" s="20"/>
      <c r="SJD148" s="20"/>
      <c r="SJE148" s="20"/>
      <c r="SJF148" s="20"/>
      <c r="SJG148" s="20"/>
      <c r="SJH148" s="20"/>
      <c r="SJI148" s="20"/>
      <c r="SJJ148" s="20"/>
      <c r="SJK148" s="20"/>
      <c r="SJL148" s="20"/>
      <c r="SJM148" s="20"/>
      <c r="SJN148" s="20"/>
      <c r="SJO148" s="20"/>
      <c r="SJP148" s="16"/>
      <c r="SJQ148" s="18"/>
      <c r="SJR148" s="19"/>
      <c r="SJS148" s="20"/>
      <c r="SJT148" s="20"/>
      <c r="SJU148" s="20"/>
      <c r="SJV148" s="20"/>
      <c r="SJW148" s="20"/>
      <c r="SJX148" s="20"/>
      <c r="SJY148" s="20"/>
      <c r="SJZ148" s="20"/>
      <c r="SKA148" s="20"/>
      <c r="SKB148" s="20"/>
      <c r="SKC148" s="20"/>
      <c r="SKD148" s="20"/>
      <c r="SKE148" s="20"/>
      <c r="SKF148" s="16"/>
      <c r="SKG148" s="18"/>
      <c r="SKH148" s="19"/>
      <c r="SKI148" s="20"/>
      <c r="SKJ148" s="20"/>
      <c r="SKK148" s="20"/>
      <c r="SKL148" s="20"/>
      <c r="SKM148" s="20"/>
      <c r="SKN148" s="20"/>
      <c r="SKO148" s="20"/>
      <c r="SKP148" s="20"/>
      <c r="SKQ148" s="20"/>
      <c r="SKR148" s="20"/>
      <c r="SKS148" s="20"/>
      <c r="SKT148" s="20"/>
      <c r="SKU148" s="20"/>
      <c r="SKV148" s="16"/>
      <c r="SKW148" s="18"/>
      <c r="SKX148" s="19"/>
      <c r="SKY148" s="20"/>
      <c r="SKZ148" s="20"/>
      <c r="SLA148" s="20"/>
      <c r="SLB148" s="20"/>
      <c r="SLC148" s="20"/>
      <c r="SLD148" s="20"/>
      <c r="SLE148" s="20"/>
      <c r="SLF148" s="20"/>
      <c r="SLG148" s="20"/>
      <c r="SLH148" s="20"/>
      <c r="SLI148" s="20"/>
      <c r="SLJ148" s="20"/>
      <c r="SLK148" s="20"/>
      <c r="SLL148" s="16"/>
      <c r="SLM148" s="18"/>
      <c r="SLN148" s="19"/>
      <c r="SLO148" s="20"/>
      <c r="SLP148" s="20"/>
      <c r="SLQ148" s="20"/>
      <c r="SLR148" s="20"/>
      <c r="SLS148" s="20"/>
      <c r="SLT148" s="20"/>
      <c r="SLU148" s="20"/>
      <c r="SLV148" s="20"/>
      <c r="SLW148" s="20"/>
      <c r="SLX148" s="20"/>
      <c r="SLY148" s="20"/>
      <c r="SLZ148" s="20"/>
      <c r="SMA148" s="20"/>
      <c r="SMB148" s="16"/>
      <c r="SMC148" s="18"/>
      <c r="SMD148" s="19"/>
      <c r="SME148" s="20"/>
      <c r="SMF148" s="20"/>
      <c r="SMG148" s="20"/>
      <c r="SMH148" s="20"/>
      <c r="SMI148" s="20"/>
      <c r="SMJ148" s="20"/>
      <c r="SMK148" s="20"/>
      <c r="SML148" s="20"/>
      <c r="SMM148" s="20"/>
      <c r="SMN148" s="20"/>
      <c r="SMO148" s="20"/>
      <c r="SMP148" s="20"/>
      <c r="SMQ148" s="20"/>
      <c r="SMR148" s="16"/>
      <c r="SMS148" s="18"/>
      <c r="SMT148" s="19"/>
      <c r="SMU148" s="20"/>
      <c r="SMV148" s="20"/>
      <c r="SMW148" s="20"/>
      <c r="SMX148" s="20"/>
      <c r="SMY148" s="20"/>
      <c r="SMZ148" s="20"/>
      <c r="SNA148" s="20"/>
      <c r="SNB148" s="20"/>
      <c r="SNC148" s="20"/>
      <c r="SND148" s="20"/>
      <c r="SNE148" s="20"/>
      <c r="SNF148" s="20"/>
      <c r="SNG148" s="20"/>
      <c r="SNH148" s="16"/>
      <c r="SNI148" s="18"/>
      <c r="SNJ148" s="19"/>
      <c r="SNK148" s="20"/>
      <c r="SNL148" s="20"/>
      <c r="SNM148" s="20"/>
      <c r="SNN148" s="20"/>
      <c r="SNO148" s="20"/>
      <c r="SNP148" s="20"/>
      <c r="SNQ148" s="20"/>
      <c r="SNR148" s="20"/>
      <c r="SNS148" s="20"/>
      <c r="SNT148" s="20"/>
      <c r="SNU148" s="20"/>
      <c r="SNV148" s="20"/>
      <c r="SNW148" s="20"/>
      <c r="SNX148" s="16"/>
      <c r="SNY148" s="18"/>
      <c r="SNZ148" s="19"/>
      <c r="SOA148" s="20"/>
      <c r="SOB148" s="20"/>
      <c r="SOC148" s="20"/>
      <c r="SOD148" s="20"/>
      <c r="SOE148" s="20"/>
      <c r="SOF148" s="20"/>
      <c r="SOG148" s="20"/>
      <c r="SOH148" s="20"/>
      <c r="SOI148" s="20"/>
      <c r="SOJ148" s="20"/>
      <c r="SOK148" s="20"/>
      <c r="SOL148" s="20"/>
      <c r="SOM148" s="20"/>
      <c r="SON148" s="16"/>
      <c r="SOO148" s="18"/>
      <c r="SOP148" s="19"/>
      <c r="SOQ148" s="20"/>
      <c r="SOR148" s="20"/>
      <c r="SOS148" s="20"/>
      <c r="SOT148" s="20"/>
      <c r="SOU148" s="20"/>
      <c r="SOV148" s="20"/>
      <c r="SOW148" s="20"/>
      <c r="SOX148" s="20"/>
      <c r="SOY148" s="20"/>
      <c r="SOZ148" s="20"/>
      <c r="SPA148" s="20"/>
      <c r="SPB148" s="20"/>
      <c r="SPC148" s="20"/>
      <c r="SPD148" s="16"/>
      <c r="SPE148" s="18"/>
      <c r="SPF148" s="19"/>
      <c r="SPG148" s="20"/>
      <c r="SPH148" s="20"/>
      <c r="SPI148" s="20"/>
      <c r="SPJ148" s="20"/>
      <c r="SPK148" s="20"/>
      <c r="SPL148" s="20"/>
      <c r="SPM148" s="20"/>
      <c r="SPN148" s="20"/>
      <c r="SPO148" s="20"/>
      <c r="SPP148" s="20"/>
      <c r="SPQ148" s="20"/>
      <c r="SPR148" s="20"/>
      <c r="SPS148" s="20"/>
      <c r="SPT148" s="16"/>
      <c r="SPU148" s="18"/>
      <c r="SPV148" s="19"/>
      <c r="SPW148" s="20"/>
      <c r="SPX148" s="20"/>
      <c r="SPY148" s="20"/>
      <c r="SPZ148" s="20"/>
      <c r="SQA148" s="20"/>
      <c r="SQB148" s="20"/>
      <c r="SQC148" s="20"/>
      <c r="SQD148" s="20"/>
      <c r="SQE148" s="20"/>
      <c r="SQF148" s="20"/>
      <c r="SQG148" s="20"/>
      <c r="SQH148" s="20"/>
      <c r="SQI148" s="20"/>
      <c r="SQJ148" s="16"/>
      <c r="SQK148" s="18"/>
      <c r="SQL148" s="19"/>
      <c r="SQM148" s="20"/>
      <c r="SQN148" s="20"/>
      <c r="SQO148" s="20"/>
      <c r="SQP148" s="20"/>
      <c r="SQQ148" s="20"/>
      <c r="SQR148" s="20"/>
      <c r="SQS148" s="20"/>
      <c r="SQT148" s="20"/>
      <c r="SQU148" s="20"/>
      <c r="SQV148" s="20"/>
      <c r="SQW148" s="20"/>
      <c r="SQX148" s="20"/>
      <c r="SQY148" s="20"/>
      <c r="SQZ148" s="16"/>
      <c r="SRA148" s="18"/>
      <c r="SRB148" s="19"/>
      <c r="SRC148" s="20"/>
      <c r="SRD148" s="20"/>
      <c r="SRE148" s="20"/>
      <c r="SRF148" s="20"/>
      <c r="SRG148" s="20"/>
      <c r="SRH148" s="20"/>
      <c r="SRI148" s="20"/>
      <c r="SRJ148" s="20"/>
      <c r="SRK148" s="20"/>
      <c r="SRL148" s="20"/>
      <c r="SRM148" s="20"/>
      <c r="SRN148" s="20"/>
      <c r="SRO148" s="20"/>
      <c r="SRP148" s="16"/>
      <c r="SRQ148" s="18"/>
      <c r="SRR148" s="19"/>
      <c r="SRS148" s="20"/>
      <c r="SRT148" s="20"/>
      <c r="SRU148" s="20"/>
      <c r="SRV148" s="20"/>
      <c r="SRW148" s="20"/>
      <c r="SRX148" s="20"/>
      <c r="SRY148" s="20"/>
      <c r="SRZ148" s="20"/>
      <c r="SSA148" s="20"/>
      <c r="SSB148" s="20"/>
      <c r="SSC148" s="20"/>
      <c r="SSD148" s="20"/>
      <c r="SSE148" s="20"/>
      <c r="SSF148" s="16"/>
      <c r="SSG148" s="18"/>
      <c r="SSH148" s="19"/>
      <c r="SSI148" s="20"/>
      <c r="SSJ148" s="20"/>
      <c r="SSK148" s="20"/>
      <c r="SSL148" s="20"/>
      <c r="SSM148" s="20"/>
      <c r="SSN148" s="20"/>
      <c r="SSO148" s="20"/>
      <c r="SSP148" s="20"/>
      <c r="SSQ148" s="20"/>
      <c r="SSR148" s="20"/>
      <c r="SSS148" s="20"/>
      <c r="SST148" s="20"/>
      <c r="SSU148" s="20"/>
      <c r="SSV148" s="16"/>
      <c r="SSW148" s="18"/>
      <c r="SSX148" s="19"/>
      <c r="SSY148" s="20"/>
      <c r="SSZ148" s="20"/>
      <c r="STA148" s="20"/>
      <c r="STB148" s="20"/>
      <c r="STC148" s="20"/>
      <c r="STD148" s="20"/>
      <c r="STE148" s="20"/>
      <c r="STF148" s="20"/>
      <c r="STG148" s="20"/>
      <c r="STH148" s="20"/>
      <c r="STI148" s="20"/>
      <c r="STJ148" s="20"/>
      <c r="STK148" s="20"/>
      <c r="STL148" s="16"/>
      <c r="STM148" s="18"/>
      <c r="STN148" s="19"/>
      <c r="STO148" s="20"/>
      <c r="STP148" s="20"/>
      <c r="STQ148" s="20"/>
      <c r="STR148" s="20"/>
      <c r="STS148" s="20"/>
      <c r="STT148" s="20"/>
      <c r="STU148" s="20"/>
      <c r="STV148" s="20"/>
      <c r="STW148" s="20"/>
      <c r="STX148" s="20"/>
      <c r="STY148" s="20"/>
      <c r="STZ148" s="20"/>
      <c r="SUA148" s="20"/>
      <c r="SUB148" s="16"/>
      <c r="SUC148" s="18"/>
      <c r="SUD148" s="19"/>
      <c r="SUE148" s="20"/>
      <c r="SUF148" s="20"/>
      <c r="SUG148" s="20"/>
      <c r="SUH148" s="20"/>
      <c r="SUI148" s="20"/>
      <c r="SUJ148" s="20"/>
      <c r="SUK148" s="20"/>
      <c r="SUL148" s="20"/>
      <c r="SUM148" s="20"/>
      <c r="SUN148" s="20"/>
      <c r="SUO148" s="20"/>
      <c r="SUP148" s="20"/>
      <c r="SUQ148" s="20"/>
      <c r="SUR148" s="16"/>
      <c r="SUS148" s="18"/>
      <c r="SUT148" s="19"/>
      <c r="SUU148" s="20"/>
      <c r="SUV148" s="20"/>
      <c r="SUW148" s="20"/>
      <c r="SUX148" s="20"/>
      <c r="SUY148" s="20"/>
      <c r="SUZ148" s="20"/>
      <c r="SVA148" s="20"/>
      <c r="SVB148" s="20"/>
      <c r="SVC148" s="20"/>
      <c r="SVD148" s="20"/>
      <c r="SVE148" s="20"/>
      <c r="SVF148" s="20"/>
      <c r="SVG148" s="20"/>
      <c r="SVH148" s="16"/>
      <c r="SVI148" s="18"/>
      <c r="SVJ148" s="19"/>
      <c r="SVK148" s="20"/>
      <c r="SVL148" s="20"/>
      <c r="SVM148" s="20"/>
      <c r="SVN148" s="20"/>
      <c r="SVO148" s="20"/>
      <c r="SVP148" s="20"/>
      <c r="SVQ148" s="20"/>
      <c r="SVR148" s="20"/>
      <c r="SVS148" s="20"/>
      <c r="SVT148" s="20"/>
      <c r="SVU148" s="20"/>
      <c r="SVV148" s="20"/>
      <c r="SVW148" s="20"/>
      <c r="SVX148" s="16"/>
      <c r="SVY148" s="18"/>
      <c r="SVZ148" s="19"/>
      <c r="SWA148" s="20"/>
      <c r="SWB148" s="20"/>
      <c r="SWC148" s="20"/>
      <c r="SWD148" s="20"/>
      <c r="SWE148" s="20"/>
      <c r="SWF148" s="20"/>
      <c r="SWG148" s="20"/>
      <c r="SWH148" s="20"/>
      <c r="SWI148" s="20"/>
      <c r="SWJ148" s="20"/>
      <c r="SWK148" s="20"/>
      <c r="SWL148" s="20"/>
      <c r="SWM148" s="20"/>
      <c r="SWN148" s="16"/>
      <c r="SWO148" s="18"/>
      <c r="SWP148" s="19"/>
      <c r="SWQ148" s="20"/>
      <c r="SWR148" s="20"/>
      <c r="SWS148" s="20"/>
      <c r="SWT148" s="20"/>
      <c r="SWU148" s="20"/>
      <c r="SWV148" s="20"/>
      <c r="SWW148" s="20"/>
      <c r="SWX148" s="20"/>
      <c r="SWY148" s="20"/>
      <c r="SWZ148" s="20"/>
      <c r="SXA148" s="20"/>
      <c r="SXB148" s="20"/>
      <c r="SXC148" s="20"/>
      <c r="SXD148" s="16"/>
      <c r="SXE148" s="18"/>
      <c r="SXF148" s="19"/>
      <c r="SXG148" s="20"/>
      <c r="SXH148" s="20"/>
      <c r="SXI148" s="20"/>
      <c r="SXJ148" s="20"/>
      <c r="SXK148" s="20"/>
      <c r="SXL148" s="20"/>
      <c r="SXM148" s="20"/>
      <c r="SXN148" s="20"/>
      <c r="SXO148" s="20"/>
      <c r="SXP148" s="20"/>
      <c r="SXQ148" s="20"/>
      <c r="SXR148" s="20"/>
      <c r="SXS148" s="20"/>
      <c r="SXT148" s="16"/>
      <c r="SXU148" s="18"/>
      <c r="SXV148" s="19"/>
      <c r="SXW148" s="20"/>
      <c r="SXX148" s="20"/>
      <c r="SXY148" s="20"/>
      <c r="SXZ148" s="20"/>
      <c r="SYA148" s="20"/>
      <c r="SYB148" s="20"/>
      <c r="SYC148" s="20"/>
      <c r="SYD148" s="20"/>
      <c r="SYE148" s="20"/>
      <c r="SYF148" s="20"/>
      <c r="SYG148" s="20"/>
      <c r="SYH148" s="20"/>
      <c r="SYI148" s="20"/>
      <c r="SYJ148" s="16"/>
      <c r="SYK148" s="18"/>
      <c r="SYL148" s="19"/>
      <c r="SYM148" s="20"/>
      <c r="SYN148" s="20"/>
      <c r="SYO148" s="20"/>
      <c r="SYP148" s="20"/>
      <c r="SYQ148" s="20"/>
      <c r="SYR148" s="20"/>
      <c r="SYS148" s="20"/>
      <c r="SYT148" s="20"/>
      <c r="SYU148" s="20"/>
      <c r="SYV148" s="20"/>
      <c r="SYW148" s="20"/>
      <c r="SYX148" s="20"/>
      <c r="SYY148" s="20"/>
      <c r="SYZ148" s="16"/>
      <c r="SZA148" s="18"/>
      <c r="SZB148" s="19"/>
      <c r="SZC148" s="20"/>
      <c r="SZD148" s="20"/>
      <c r="SZE148" s="20"/>
      <c r="SZF148" s="20"/>
      <c r="SZG148" s="20"/>
      <c r="SZH148" s="20"/>
      <c r="SZI148" s="20"/>
      <c r="SZJ148" s="20"/>
      <c r="SZK148" s="20"/>
      <c r="SZL148" s="20"/>
      <c r="SZM148" s="20"/>
      <c r="SZN148" s="20"/>
      <c r="SZO148" s="20"/>
      <c r="SZP148" s="16"/>
      <c r="SZQ148" s="18"/>
      <c r="SZR148" s="19"/>
      <c r="SZS148" s="20"/>
      <c r="SZT148" s="20"/>
      <c r="SZU148" s="20"/>
      <c r="SZV148" s="20"/>
      <c r="SZW148" s="20"/>
      <c r="SZX148" s="20"/>
      <c r="SZY148" s="20"/>
      <c r="SZZ148" s="20"/>
      <c r="TAA148" s="20"/>
      <c r="TAB148" s="20"/>
      <c r="TAC148" s="20"/>
      <c r="TAD148" s="20"/>
      <c r="TAE148" s="20"/>
      <c r="TAF148" s="16"/>
      <c r="TAG148" s="18"/>
      <c r="TAH148" s="19"/>
      <c r="TAI148" s="20"/>
      <c r="TAJ148" s="20"/>
      <c r="TAK148" s="20"/>
      <c r="TAL148" s="20"/>
      <c r="TAM148" s="20"/>
      <c r="TAN148" s="20"/>
      <c r="TAO148" s="20"/>
      <c r="TAP148" s="20"/>
      <c r="TAQ148" s="20"/>
      <c r="TAR148" s="20"/>
      <c r="TAS148" s="20"/>
      <c r="TAT148" s="20"/>
      <c r="TAU148" s="20"/>
      <c r="TAV148" s="16"/>
      <c r="TAW148" s="18"/>
      <c r="TAX148" s="19"/>
      <c r="TAY148" s="20"/>
      <c r="TAZ148" s="20"/>
      <c r="TBA148" s="20"/>
      <c r="TBB148" s="20"/>
      <c r="TBC148" s="20"/>
      <c r="TBD148" s="20"/>
      <c r="TBE148" s="20"/>
      <c r="TBF148" s="20"/>
      <c r="TBG148" s="20"/>
      <c r="TBH148" s="20"/>
      <c r="TBI148" s="20"/>
      <c r="TBJ148" s="20"/>
      <c r="TBK148" s="20"/>
      <c r="TBL148" s="16"/>
      <c r="TBM148" s="18"/>
      <c r="TBN148" s="19"/>
      <c r="TBO148" s="20"/>
      <c r="TBP148" s="20"/>
      <c r="TBQ148" s="20"/>
      <c r="TBR148" s="20"/>
      <c r="TBS148" s="20"/>
      <c r="TBT148" s="20"/>
      <c r="TBU148" s="20"/>
      <c r="TBV148" s="20"/>
      <c r="TBW148" s="20"/>
      <c r="TBX148" s="20"/>
      <c r="TBY148" s="20"/>
      <c r="TBZ148" s="20"/>
      <c r="TCA148" s="20"/>
      <c r="TCB148" s="16"/>
      <c r="TCC148" s="18"/>
      <c r="TCD148" s="19"/>
      <c r="TCE148" s="20"/>
      <c r="TCF148" s="20"/>
      <c r="TCG148" s="20"/>
      <c r="TCH148" s="20"/>
      <c r="TCI148" s="20"/>
      <c r="TCJ148" s="20"/>
      <c r="TCK148" s="20"/>
      <c r="TCL148" s="20"/>
      <c r="TCM148" s="20"/>
      <c r="TCN148" s="20"/>
      <c r="TCO148" s="20"/>
      <c r="TCP148" s="20"/>
      <c r="TCQ148" s="20"/>
      <c r="TCR148" s="16"/>
      <c r="TCS148" s="18"/>
      <c r="TCT148" s="19"/>
      <c r="TCU148" s="20"/>
      <c r="TCV148" s="20"/>
      <c r="TCW148" s="20"/>
      <c r="TCX148" s="20"/>
      <c r="TCY148" s="20"/>
      <c r="TCZ148" s="20"/>
      <c r="TDA148" s="20"/>
      <c r="TDB148" s="20"/>
      <c r="TDC148" s="20"/>
      <c r="TDD148" s="20"/>
      <c r="TDE148" s="20"/>
      <c r="TDF148" s="20"/>
      <c r="TDG148" s="20"/>
      <c r="TDH148" s="16"/>
      <c r="TDI148" s="18"/>
      <c r="TDJ148" s="19"/>
      <c r="TDK148" s="20"/>
      <c r="TDL148" s="20"/>
      <c r="TDM148" s="20"/>
      <c r="TDN148" s="20"/>
      <c r="TDO148" s="20"/>
      <c r="TDP148" s="20"/>
      <c r="TDQ148" s="20"/>
      <c r="TDR148" s="20"/>
      <c r="TDS148" s="20"/>
      <c r="TDT148" s="20"/>
      <c r="TDU148" s="20"/>
      <c r="TDV148" s="20"/>
      <c r="TDW148" s="20"/>
      <c r="TDX148" s="16"/>
      <c r="TDY148" s="18"/>
      <c r="TDZ148" s="19"/>
      <c r="TEA148" s="20"/>
      <c r="TEB148" s="20"/>
      <c r="TEC148" s="20"/>
      <c r="TED148" s="20"/>
      <c r="TEE148" s="20"/>
      <c r="TEF148" s="20"/>
      <c r="TEG148" s="20"/>
      <c r="TEH148" s="20"/>
      <c r="TEI148" s="20"/>
      <c r="TEJ148" s="20"/>
      <c r="TEK148" s="20"/>
      <c r="TEL148" s="20"/>
      <c r="TEM148" s="20"/>
      <c r="TEN148" s="16"/>
      <c r="TEO148" s="18"/>
      <c r="TEP148" s="19"/>
      <c r="TEQ148" s="20"/>
      <c r="TER148" s="20"/>
      <c r="TES148" s="20"/>
      <c r="TET148" s="20"/>
      <c r="TEU148" s="20"/>
      <c r="TEV148" s="20"/>
      <c r="TEW148" s="20"/>
      <c r="TEX148" s="20"/>
      <c r="TEY148" s="20"/>
      <c r="TEZ148" s="20"/>
      <c r="TFA148" s="20"/>
      <c r="TFB148" s="20"/>
      <c r="TFC148" s="20"/>
      <c r="TFD148" s="16"/>
      <c r="TFE148" s="18"/>
      <c r="TFF148" s="19"/>
      <c r="TFG148" s="20"/>
      <c r="TFH148" s="20"/>
      <c r="TFI148" s="20"/>
      <c r="TFJ148" s="20"/>
      <c r="TFK148" s="20"/>
      <c r="TFL148" s="20"/>
      <c r="TFM148" s="20"/>
      <c r="TFN148" s="20"/>
      <c r="TFO148" s="20"/>
      <c r="TFP148" s="20"/>
      <c r="TFQ148" s="20"/>
      <c r="TFR148" s="20"/>
      <c r="TFS148" s="20"/>
      <c r="TFT148" s="16"/>
      <c r="TFU148" s="18"/>
      <c r="TFV148" s="19"/>
      <c r="TFW148" s="20"/>
      <c r="TFX148" s="20"/>
      <c r="TFY148" s="20"/>
      <c r="TFZ148" s="20"/>
      <c r="TGA148" s="20"/>
      <c r="TGB148" s="20"/>
      <c r="TGC148" s="20"/>
      <c r="TGD148" s="20"/>
      <c r="TGE148" s="20"/>
      <c r="TGF148" s="20"/>
      <c r="TGG148" s="20"/>
      <c r="TGH148" s="20"/>
      <c r="TGI148" s="20"/>
      <c r="TGJ148" s="16"/>
      <c r="TGK148" s="18"/>
      <c r="TGL148" s="19"/>
      <c r="TGM148" s="20"/>
      <c r="TGN148" s="20"/>
      <c r="TGO148" s="20"/>
      <c r="TGP148" s="20"/>
      <c r="TGQ148" s="20"/>
      <c r="TGR148" s="20"/>
      <c r="TGS148" s="20"/>
      <c r="TGT148" s="20"/>
      <c r="TGU148" s="20"/>
      <c r="TGV148" s="20"/>
      <c r="TGW148" s="20"/>
      <c r="TGX148" s="20"/>
      <c r="TGY148" s="20"/>
      <c r="TGZ148" s="16"/>
      <c r="THA148" s="18"/>
      <c r="THB148" s="19"/>
      <c r="THC148" s="20"/>
      <c r="THD148" s="20"/>
      <c r="THE148" s="20"/>
      <c r="THF148" s="20"/>
      <c r="THG148" s="20"/>
      <c r="THH148" s="20"/>
      <c r="THI148" s="20"/>
      <c r="THJ148" s="20"/>
      <c r="THK148" s="20"/>
      <c r="THL148" s="20"/>
      <c r="THM148" s="20"/>
      <c r="THN148" s="20"/>
      <c r="THO148" s="20"/>
      <c r="THP148" s="16"/>
      <c r="THQ148" s="18"/>
      <c r="THR148" s="19"/>
      <c r="THS148" s="20"/>
      <c r="THT148" s="20"/>
      <c r="THU148" s="20"/>
      <c r="THV148" s="20"/>
      <c r="THW148" s="20"/>
      <c r="THX148" s="20"/>
      <c r="THY148" s="20"/>
      <c r="THZ148" s="20"/>
      <c r="TIA148" s="20"/>
      <c r="TIB148" s="20"/>
      <c r="TIC148" s="20"/>
      <c r="TID148" s="20"/>
      <c r="TIE148" s="20"/>
      <c r="TIF148" s="16"/>
      <c r="TIG148" s="18"/>
      <c r="TIH148" s="19"/>
      <c r="TII148" s="20"/>
      <c r="TIJ148" s="20"/>
      <c r="TIK148" s="20"/>
      <c r="TIL148" s="20"/>
      <c r="TIM148" s="20"/>
      <c r="TIN148" s="20"/>
      <c r="TIO148" s="20"/>
      <c r="TIP148" s="20"/>
      <c r="TIQ148" s="20"/>
      <c r="TIR148" s="20"/>
      <c r="TIS148" s="20"/>
      <c r="TIT148" s="20"/>
      <c r="TIU148" s="20"/>
      <c r="TIV148" s="16"/>
      <c r="TIW148" s="18"/>
      <c r="TIX148" s="19"/>
      <c r="TIY148" s="20"/>
      <c r="TIZ148" s="20"/>
      <c r="TJA148" s="20"/>
      <c r="TJB148" s="20"/>
      <c r="TJC148" s="20"/>
      <c r="TJD148" s="20"/>
      <c r="TJE148" s="20"/>
      <c r="TJF148" s="20"/>
      <c r="TJG148" s="20"/>
      <c r="TJH148" s="20"/>
      <c r="TJI148" s="20"/>
      <c r="TJJ148" s="20"/>
      <c r="TJK148" s="20"/>
      <c r="TJL148" s="16"/>
      <c r="TJM148" s="18"/>
      <c r="TJN148" s="19"/>
      <c r="TJO148" s="20"/>
      <c r="TJP148" s="20"/>
      <c r="TJQ148" s="20"/>
      <c r="TJR148" s="20"/>
      <c r="TJS148" s="20"/>
      <c r="TJT148" s="20"/>
      <c r="TJU148" s="20"/>
      <c r="TJV148" s="20"/>
      <c r="TJW148" s="20"/>
      <c r="TJX148" s="20"/>
      <c r="TJY148" s="20"/>
      <c r="TJZ148" s="20"/>
      <c r="TKA148" s="20"/>
      <c r="TKB148" s="16"/>
      <c r="TKC148" s="18"/>
      <c r="TKD148" s="19"/>
      <c r="TKE148" s="20"/>
      <c r="TKF148" s="20"/>
      <c r="TKG148" s="20"/>
      <c r="TKH148" s="20"/>
      <c r="TKI148" s="20"/>
      <c r="TKJ148" s="20"/>
      <c r="TKK148" s="20"/>
      <c r="TKL148" s="20"/>
      <c r="TKM148" s="20"/>
      <c r="TKN148" s="20"/>
      <c r="TKO148" s="20"/>
      <c r="TKP148" s="20"/>
      <c r="TKQ148" s="20"/>
      <c r="TKR148" s="16"/>
      <c r="TKS148" s="18"/>
      <c r="TKT148" s="19"/>
      <c r="TKU148" s="20"/>
      <c r="TKV148" s="20"/>
      <c r="TKW148" s="20"/>
      <c r="TKX148" s="20"/>
      <c r="TKY148" s="20"/>
      <c r="TKZ148" s="20"/>
      <c r="TLA148" s="20"/>
      <c r="TLB148" s="20"/>
      <c r="TLC148" s="20"/>
      <c r="TLD148" s="20"/>
      <c r="TLE148" s="20"/>
      <c r="TLF148" s="20"/>
      <c r="TLG148" s="20"/>
      <c r="TLH148" s="16"/>
      <c r="TLI148" s="18"/>
      <c r="TLJ148" s="19"/>
      <c r="TLK148" s="20"/>
      <c r="TLL148" s="20"/>
      <c r="TLM148" s="20"/>
      <c r="TLN148" s="20"/>
      <c r="TLO148" s="20"/>
      <c r="TLP148" s="20"/>
      <c r="TLQ148" s="20"/>
      <c r="TLR148" s="20"/>
      <c r="TLS148" s="20"/>
      <c r="TLT148" s="20"/>
      <c r="TLU148" s="20"/>
      <c r="TLV148" s="20"/>
      <c r="TLW148" s="20"/>
      <c r="TLX148" s="16"/>
      <c r="TLY148" s="18"/>
      <c r="TLZ148" s="19"/>
      <c r="TMA148" s="20"/>
      <c r="TMB148" s="20"/>
      <c r="TMC148" s="20"/>
      <c r="TMD148" s="20"/>
      <c r="TME148" s="20"/>
      <c r="TMF148" s="20"/>
      <c r="TMG148" s="20"/>
      <c r="TMH148" s="20"/>
      <c r="TMI148" s="20"/>
      <c r="TMJ148" s="20"/>
      <c r="TMK148" s="20"/>
      <c r="TML148" s="20"/>
      <c r="TMM148" s="20"/>
      <c r="TMN148" s="16"/>
      <c r="TMO148" s="18"/>
      <c r="TMP148" s="19"/>
      <c r="TMQ148" s="20"/>
      <c r="TMR148" s="20"/>
      <c r="TMS148" s="20"/>
      <c r="TMT148" s="20"/>
      <c r="TMU148" s="20"/>
      <c r="TMV148" s="20"/>
      <c r="TMW148" s="20"/>
      <c r="TMX148" s="20"/>
      <c r="TMY148" s="20"/>
      <c r="TMZ148" s="20"/>
      <c r="TNA148" s="20"/>
      <c r="TNB148" s="20"/>
      <c r="TNC148" s="20"/>
      <c r="TND148" s="16"/>
      <c r="TNE148" s="18"/>
      <c r="TNF148" s="19"/>
      <c r="TNG148" s="20"/>
      <c r="TNH148" s="20"/>
      <c r="TNI148" s="20"/>
      <c r="TNJ148" s="20"/>
      <c r="TNK148" s="20"/>
      <c r="TNL148" s="20"/>
      <c r="TNM148" s="20"/>
      <c r="TNN148" s="20"/>
      <c r="TNO148" s="20"/>
      <c r="TNP148" s="20"/>
      <c r="TNQ148" s="20"/>
      <c r="TNR148" s="20"/>
      <c r="TNS148" s="20"/>
      <c r="TNT148" s="16"/>
      <c r="TNU148" s="18"/>
      <c r="TNV148" s="19"/>
      <c r="TNW148" s="20"/>
      <c r="TNX148" s="20"/>
      <c r="TNY148" s="20"/>
      <c r="TNZ148" s="20"/>
      <c r="TOA148" s="20"/>
      <c r="TOB148" s="20"/>
      <c r="TOC148" s="20"/>
      <c r="TOD148" s="20"/>
      <c r="TOE148" s="20"/>
      <c r="TOF148" s="20"/>
      <c r="TOG148" s="20"/>
      <c r="TOH148" s="20"/>
      <c r="TOI148" s="20"/>
      <c r="TOJ148" s="16"/>
      <c r="TOK148" s="18"/>
      <c r="TOL148" s="19"/>
      <c r="TOM148" s="20"/>
      <c r="TON148" s="20"/>
      <c r="TOO148" s="20"/>
      <c r="TOP148" s="20"/>
      <c r="TOQ148" s="20"/>
      <c r="TOR148" s="20"/>
      <c r="TOS148" s="20"/>
      <c r="TOT148" s="20"/>
      <c r="TOU148" s="20"/>
      <c r="TOV148" s="20"/>
      <c r="TOW148" s="20"/>
      <c r="TOX148" s="20"/>
      <c r="TOY148" s="20"/>
      <c r="TOZ148" s="16"/>
      <c r="TPA148" s="18"/>
      <c r="TPB148" s="19"/>
      <c r="TPC148" s="20"/>
      <c r="TPD148" s="20"/>
      <c r="TPE148" s="20"/>
      <c r="TPF148" s="20"/>
      <c r="TPG148" s="20"/>
      <c r="TPH148" s="20"/>
      <c r="TPI148" s="20"/>
      <c r="TPJ148" s="20"/>
      <c r="TPK148" s="20"/>
      <c r="TPL148" s="20"/>
      <c r="TPM148" s="20"/>
      <c r="TPN148" s="20"/>
      <c r="TPO148" s="20"/>
      <c r="TPP148" s="16"/>
      <c r="TPQ148" s="18"/>
      <c r="TPR148" s="19"/>
      <c r="TPS148" s="20"/>
      <c r="TPT148" s="20"/>
      <c r="TPU148" s="20"/>
      <c r="TPV148" s="20"/>
      <c r="TPW148" s="20"/>
      <c r="TPX148" s="20"/>
      <c r="TPY148" s="20"/>
      <c r="TPZ148" s="20"/>
      <c r="TQA148" s="20"/>
      <c r="TQB148" s="20"/>
      <c r="TQC148" s="20"/>
      <c r="TQD148" s="20"/>
      <c r="TQE148" s="20"/>
      <c r="TQF148" s="16"/>
      <c r="TQG148" s="18"/>
      <c r="TQH148" s="19"/>
      <c r="TQI148" s="20"/>
      <c r="TQJ148" s="20"/>
      <c r="TQK148" s="20"/>
      <c r="TQL148" s="20"/>
      <c r="TQM148" s="20"/>
      <c r="TQN148" s="20"/>
      <c r="TQO148" s="20"/>
      <c r="TQP148" s="20"/>
      <c r="TQQ148" s="20"/>
      <c r="TQR148" s="20"/>
      <c r="TQS148" s="20"/>
      <c r="TQT148" s="20"/>
      <c r="TQU148" s="20"/>
      <c r="TQV148" s="16"/>
      <c r="TQW148" s="18"/>
      <c r="TQX148" s="19"/>
      <c r="TQY148" s="20"/>
      <c r="TQZ148" s="20"/>
      <c r="TRA148" s="20"/>
      <c r="TRB148" s="20"/>
      <c r="TRC148" s="20"/>
      <c r="TRD148" s="20"/>
      <c r="TRE148" s="20"/>
      <c r="TRF148" s="20"/>
      <c r="TRG148" s="20"/>
      <c r="TRH148" s="20"/>
      <c r="TRI148" s="20"/>
      <c r="TRJ148" s="20"/>
      <c r="TRK148" s="20"/>
      <c r="TRL148" s="16"/>
      <c r="TRM148" s="18"/>
      <c r="TRN148" s="19"/>
      <c r="TRO148" s="20"/>
      <c r="TRP148" s="20"/>
      <c r="TRQ148" s="20"/>
      <c r="TRR148" s="20"/>
      <c r="TRS148" s="20"/>
      <c r="TRT148" s="20"/>
      <c r="TRU148" s="20"/>
      <c r="TRV148" s="20"/>
      <c r="TRW148" s="20"/>
      <c r="TRX148" s="20"/>
      <c r="TRY148" s="20"/>
      <c r="TRZ148" s="20"/>
      <c r="TSA148" s="20"/>
      <c r="TSB148" s="16"/>
      <c r="TSC148" s="18"/>
      <c r="TSD148" s="19"/>
      <c r="TSE148" s="20"/>
      <c r="TSF148" s="20"/>
      <c r="TSG148" s="20"/>
      <c r="TSH148" s="20"/>
      <c r="TSI148" s="20"/>
      <c r="TSJ148" s="20"/>
      <c r="TSK148" s="20"/>
      <c r="TSL148" s="20"/>
      <c r="TSM148" s="20"/>
      <c r="TSN148" s="20"/>
      <c r="TSO148" s="20"/>
      <c r="TSP148" s="20"/>
      <c r="TSQ148" s="20"/>
      <c r="TSR148" s="16"/>
      <c r="TSS148" s="18"/>
      <c r="TST148" s="19"/>
      <c r="TSU148" s="20"/>
      <c r="TSV148" s="20"/>
      <c r="TSW148" s="20"/>
      <c r="TSX148" s="20"/>
      <c r="TSY148" s="20"/>
      <c r="TSZ148" s="20"/>
      <c r="TTA148" s="20"/>
      <c r="TTB148" s="20"/>
      <c r="TTC148" s="20"/>
      <c r="TTD148" s="20"/>
      <c r="TTE148" s="20"/>
      <c r="TTF148" s="20"/>
      <c r="TTG148" s="20"/>
      <c r="TTH148" s="16"/>
      <c r="TTI148" s="18"/>
      <c r="TTJ148" s="19"/>
      <c r="TTK148" s="20"/>
      <c r="TTL148" s="20"/>
      <c r="TTM148" s="20"/>
      <c r="TTN148" s="20"/>
      <c r="TTO148" s="20"/>
      <c r="TTP148" s="20"/>
      <c r="TTQ148" s="20"/>
      <c r="TTR148" s="20"/>
      <c r="TTS148" s="20"/>
      <c r="TTT148" s="20"/>
      <c r="TTU148" s="20"/>
      <c r="TTV148" s="20"/>
      <c r="TTW148" s="20"/>
      <c r="TTX148" s="16"/>
      <c r="TTY148" s="18"/>
      <c r="TTZ148" s="19"/>
      <c r="TUA148" s="20"/>
      <c r="TUB148" s="20"/>
      <c r="TUC148" s="20"/>
      <c r="TUD148" s="20"/>
      <c r="TUE148" s="20"/>
      <c r="TUF148" s="20"/>
      <c r="TUG148" s="20"/>
      <c r="TUH148" s="20"/>
      <c r="TUI148" s="20"/>
      <c r="TUJ148" s="20"/>
      <c r="TUK148" s="20"/>
      <c r="TUL148" s="20"/>
      <c r="TUM148" s="20"/>
      <c r="TUN148" s="16"/>
      <c r="TUO148" s="18"/>
      <c r="TUP148" s="19"/>
      <c r="TUQ148" s="20"/>
      <c r="TUR148" s="20"/>
      <c r="TUS148" s="20"/>
      <c r="TUT148" s="20"/>
      <c r="TUU148" s="20"/>
      <c r="TUV148" s="20"/>
      <c r="TUW148" s="20"/>
      <c r="TUX148" s="20"/>
      <c r="TUY148" s="20"/>
      <c r="TUZ148" s="20"/>
      <c r="TVA148" s="20"/>
      <c r="TVB148" s="20"/>
      <c r="TVC148" s="20"/>
      <c r="TVD148" s="16"/>
      <c r="TVE148" s="18"/>
      <c r="TVF148" s="19"/>
      <c r="TVG148" s="20"/>
      <c r="TVH148" s="20"/>
      <c r="TVI148" s="20"/>
      <c r="TVJ148" s="20"/>
      <c r="TVK148" s="20"/>
      <c r="TVL148" s="20"/>
      <c r="TVM148" s="20"/>
      <c r="TVN148" s="20"/>
      <c r="TVO148" s="20"/>
      <c r="TVP148" s="20"/>
      <c r="TVQ148" s="20"/>
      <c r="TVR148" s="20"/>
      <c r="TVS148" s="20"/>
      <c r="TVT148" s="16"/>
      <c r="TVU148" s="18"/>
      <c r="TVV148" s="19"/>
      <c r="TVW148" s="20"/>
      <c r="TVX148" s="20"/>
      <c r="TVY148" s="20"/>
      <c r="TVZ148" s="20"/>
      <c r="TWA148" s="20"/>
      <c r="TWB148" s="20"/>
      <c r="TWC148" s="20"/>
      <c r="TWD148" s="20"/>
      <c r="TWE148" s="20"/>
      <c r="TWF148" s="20"/>
      <c r="TWG148" s="20"/>
      <c r="TWH148" s="20"/>
      <c r="TWI148" s="20"/>
      <c r="TWJ148" s="16"/>
      <c r="TWK148" s="18"/>
      <c r="TWL148" s="19"/>
      <c r="TWM148" s="20"/>
      <c r="TWN148" s="20"/>
      <c r="TWO148" s="20"/>
      <c r="TWP148" s="20"/>
      <c r="TWQ148" s="20"/>
      <c r="TWR148" s="20"/>
      <c r="TWS148" s="20"/>
      <c r="TWT148" s="20"/>
      <c r="TWU148" s="20"/>
      <c r="TWV148" s="20"/>
      <c r="TWW148" s="20"/>
      <c r="TWX148" s="20"/>
      <c r="TWY148" s="20"/>
      <c r="TWZ148" s="16"/>
      <c r="TXA148" s="18"/>
      <c r="TXB148" s="19"/>
      <c r="TXC148" s="20"/>
      <c r="TXD148" s="20"/>
      <c r="TXE148" s="20"/>
      <c r="TXF148" s="20"/>
      <c r="TXG148" s="20"/>
      <c r="TXH148" s="20"/>
      <c r="TXI148" s="20"/>
      <c r="TXJ148" s="20"/>
      <c r="TXK148" s="20"/>
      <c r="TXL148" s="20"/>
      <c r="TXM148" s="20"/>
      <c r="TXN148" s="20"/>
      <c r="TXO148" s="20"/>
      <c r="TXP148" s="16"/>
      <c r="TXQ148" s="18"/>
      <c r="TXR148" s="19"/>
      <c r="TXS148" s="20"/>
      <c r="TXT148" s="20"/>
      <c r="TXU148" s="20"/>
      <c r="TXV148" s="20"/>
      <c r="TXW148" s="20"/>
      <c r="TXX148" s="20"/>
      <c r="TXY148" s="20"/>
      <c r="TXZ148" s="20"/>
      <c r="TYA148" s="20"/>
      <c r="TYB148" s="20"/>
      <c r="TYC148" s="20"/>
      <c r="TYD148" s="20"/>
      <c r="TYE148" s="20"/>
      <c r="TYF148" s="16"/>
      <c r="TYG148" s="18"/>
      <c r="TYH148" s="19"/>
      <c r="TYI148" s="20"/>
      <c r="TYJ148" s="20"/>
      <c r="TYK148" s="20"/>
      <c r="TYL148" s="20"/>
      <c r="TYM148" s="20"/>
      <c r="TYN148" s="20"/>
      <c r="TYO148" s="20"/>
      <c r="TYP148" s="20"/>
      <c r="TYQ148" s="20"/>
      <c r="TYR148" s="20"/>
      <c r="TYS148" s="20"/>
      <c r="TYT148" s="20"/>
      <c r="TYU148" s="20"/>
      <c r="TYV148" s="16"/>
      <c r="TYW148" s="18"/>
      <c r="TYX148" s="19"/>
      <c r="TYY148" s="20"/>
      <c r="TYZ148" s="20"/>
      <c r="TZA148" s="20"/>
      <c r="TZB148" s="20"/>
      <c r="TZC148" s="20"/>
      <c r="TZD148" s="20"/>
      <c r="TZE148" s="20"/>
      <c r="TZF148" s="20"/>
      <c r="TZG148" s="20"/>
      <c r="TZH148" s="20"/>
      <c r="TZI148" s="20"/>
      <c r="TZJ148" s="20"/>
      <c r="TZK148" s="20"/>
      <c r="TZL148" s="16"/>
      <c r="TZM148" s="18"/>
      <c r="TZN148" s="19"/>
      <c r="TZO148" s="20"/>
      <c r="TZP148" s="20"/>
      <c r="TZQ148" s="20"/>
      <c r="TZR148" s="20"/>
      <c r="TZS148" s="20"/>
      <c r="TZT148" s="20"/>
      <c r="TZU148" s="20"/>
      <c r="TZV148" s="20"/>
      <c r="TZW148" s="20"/>
      <c r="TZX148" s="20"/>
      <c r="TZY148" s="20"/>
      <c r="TZZ148" s="20"/>
      <c r="UAA148" s="20"/>
      <c r="UAB148" s="16"/>
      <c r="UAC148" s="18"/>
      <c r="UAD148" s="19"/>
      <c r="UAE148" s="20"/>
      <c r="UAF148" s="20"/>
      <c r="UAG148" s="20"/>
      <c r="UAH148" s="20"/>
      <c r="UAI148" s="20"/>
      <c r="UAJ148" s="20"/>
      <c r="UAK148" s="20"/>
      <c r="UAL148" s="20"/>
      <c r="UAM148" s="20"/>
      <c r="UAN148" s="20"/>
      <c r="UAO148" s="20"/>
      <c r="UAP148" s="20"/>
      <c r="UAQ148" s="20"/>
      <c r="UAR148" s="16"/>
      <c r="UAS148" s="18"/>
      <c r="UAT148" s="19"/>
      <c r="UAU148" s="20"/>
      <c r="UAV148" s="20"/>
      <c r="UAW148" s="20"/>
      <c r="UAX148" s="20"/>
      <c r="UAY148" s="20"/>
      <c r="UAZ148" s="20"/>
      <c r="UBA148" s="20"/>
      <c r="UBB148" s="20"/>
      <c r="UBC148" s="20"/>
      <c r="UBD148" s="20"/>
      <c r="UBE148" s="20"/>
      <c r="UBF148" s="20"/>
      <c r="UBG148" s="20"/>
      <c r="UBH148" s="16"/>
      <c r="UBI148" s="18"/>
      <c r="UBJ148" s="19"/>
      <c r="UBK148" s="20"/>
      <c r="UBL148" s="20"/>
      <c r="UBM148" s="20"/>
      <c r="UBN148" s="20"/>
      <c r="UBO148" s="20"/>
      <c r="UBP148" s="20"/>
      <c r="UBQ148" s="20"/>
      <c r="UBR148" s="20"/>
      <c r="UBS148" s="20"/>
      <c r="UBT148" s="20"/>
      <c r="UBU148" s="20"/>
      <c r="UBV148" s="20"/>
      <c r="UBW148" s="20"/>
      <c r="UBX148" s="16"/>
      <c r="UBY148" s="18"/>
      <c r="UBZ148" s="19"/>
      <c r="UCA148" s="20"/>
      <c r="UCB148" s="20"/>
      <c r="UCC148" s="20"/>
      <c r="UCD148" s="20"/>
      <c r="UCE148" s="20"/>
      <c r="UCF148" s="20"/>
      <c r="UCG148" s="20"/>
      <c r="UCH148" s="20"/>
      <c r="UCI148" s="20"/>
      <c r="UCJ148" s="20"/>
      <c r="UCK148" s="20"/>
      <c r="UCL148" s="20"/>
      <c r="UCM148" s="20"/>
      <c r="UCN148" s="16"/>
      <c r="UCO148" s="18"/>
      <c r="UCP148" s="19"/>
      <c r="UCQ148" s="20"/>
      <c r="UCR148" s="20"/>
      <c r="UCS148" s="20"/>
      <c r="UCT148" s="20"/>
      <c r="UCU148" s="20"/>
      <c r="UCV148" s="20"/>
      <c r="UCW148" s="20"/>
      <c r="UCX148" s="20"/>
      <c r="UCY148" s="20"/>
      <c r="UCZ148" s="20"/>
      <c r="UDA148" s="20"/>
      <c r="UDB148" s="20"/>
      <c r="UDC148" s="20"/>
      <c r="UDD148" s="16"/>
      <c r="UDE148" s="18"/>
      <c r="UDF148" s="19"/>
      <c r="UDG148" s="20"/>
      <c r="UDH148" s="20"/>
      <c r="UDI148" s="20"/>
      <c r="UDJ148" s="20"/>
      <c r="UDK148" s="20"/>
      <c r="UDL148" s="20"/>
      <c r="UDM148" s="20"/>
      <c r="UDN148" s="20"/>
      <c r="UDO148" s="20"/>
      <c r="UDP148" s="20"/>
      <c r="UDQ148" s="20"/>
      <c r="UDR148" s="20"/>
      <c r="UDS148" s="20"/>
      <c r="UDT148" s="16"/>
      <c r="UDU148" s="18"/>
      <c r="UDV148" s="19"/>
      <c r="UDW148" s="20"/>
      <c r="UDX148" s="20"/>
      <c r="UDY148" s="20"/>
      <c r="UDZ148" s="20"/>
      <c r="UEA148" s="20"/>
      <c r="UEB148" s="20"/>
      <c r="UEC148" s="20"/>
      <c r="UED148" s="20"/>
      <c r="UEE148" s="20"/>
      <c r="UEF148" s="20"/>
      <c r="UEG148" s="20"/>
      <c r="UEH148" s="20"/>
      <c r="UEI148" s="20"/>
      <c r="UEJ148" s="16"/>
      <c r="UEK148" s="18"/>
      <c r="UEL148" s="19"/>
      <c r="UEM148" s="20"/>
      <c r="UEN148" s="20"/>
      <c r="UEO148" s="20"/>
      <c r="UEP148" s="20"/>
      <c r="UEQ148" s="20"/>
      <c r="UER148" s="20"/>
      <c r="UES148" s="20"/>
      <c r="UET148" s="20"/>
      <c r="UEU148" s="20"/>
      <c r="UEV148" s="20"/>
      <c r="UEW148" s="20"/>
      <c r="UEX148" s="20"/>
      <c r="UEY148" s="20"/>
      <c r="UEZ148" s="16"/>
      <c r="UFA148" s="18"/>
      <c r="UFB148" s="19"/>
      <c r="UFC148" s="20"/>
      <c r="UFD148" s="20"/>
      <c r="UFE148" s="20"/>
      <c r="UFF148" s="20"/>
      <c r="UFG148" s="20"/>
      <c r="UFH148" s="20"/>
      <c r="UFI148" s="20"/>
      <c r="UFJ148" s="20"/>
      <c r="UFK148" s="20"/>
      <c r="UFL148" s="20"/>
      <c r="UFM148" s="20"/>
      <c r="UFN148" s="20"/>
      <c r="UFO148" s="20"/>
      <c r="UFP148" s="16"/>
      <c r="UFQ148" s="18"/>
      <c r="UFR148" s="19"/>
      <c r="UFS148" s="20"/>
      <c r="UFT148" s="20"/>
      <c r="UFU148" s="20"/>
      <c r="UFV148" s="20"/>
      <c r="UFW148" s="20"/>
      <c r="UFX148" s="20"/>
      <c r="UFY148" s="20"/>
      <c r="UFZ148" s="20"/>
      <c r="UGA148" s="20"/>
      <c r="UGB148" s="20"/>
      <c r="UGC148" s="20"/>
      <c r="UGD148" s="20"/>
      <c r="UGE148" s="20"/>
      <c r="UGF148" s="16"/>
      <c r="UGG148" s="18"/>
      <c r="UGH148" s="19"/>
      <c r="UGI148" s="20"/>
      <c r="UGJ148" s="20"/>
      <c r="UGK148" s="20"/>
      <c r="UGL148" s="20"/>
      <c r="UGM148" s="20"/>
      <c r="UGN148" s="20"/>
      <c r="UGO148" s="20"/>
      <c r="UGP148" s="20"/>
      <c r="UGQ148" s="20"/>
      <c r="UGR148" s="20"/>
      <c r="UGS148" s="20"/>
      <c r="UGT148" s="20"/>
      <c r="UGU148" s="20"/>
      <c r="UGV148" s="16"/>
      <c r="UGW148" s="18"/>
      <c r="UGX148" s="19"/>
      <c r="UGY148" s="20"/>
      <c r="UGZ148" s="20"/>
      <c r="UHA148" s="20"/>
      <c r="UHB148" s="20"/>
      <c r="UHC148" s="20"/>
      <c r="UHD148" s="20"/>
      <c r="UHE148" s="20"/>
      <c r="UHF148" s="20"/>
      <c r="UHG148" s="20"/>
      <c r="UHH148" s="20"/>
      <c r="UHI148" s="20"/>
      <c r="UHJ148" s="20"/>
      <c r="UHK148" s="20"/>
      <c r="UHL148" s="16"/>
      <c r="UHM148" s="18"/>
      <c r="UHN148" s="19"/>
      <c r="UHO148" s="20"/>
      <c r="UHP148" s="20"/>
      <c r="UHQ148" s="20"/>
      <c r="UHR148" s="20"/>
      <c r="UHS148" s="20"/>
      <c r="UHT148" s="20"/>
      <c r="UHU148" s="20"/>
      <c r="UHV148" s="20"/>
      <c r="UHW148" s="20"/>
      <c r="UHX148" s="20"/>
      <c r="UHY148" s="20"/>
      <c r="UHZ148" s="20"/>
      <c r="UIA148" s="20"/>
      <c r="UIB148" s="16"/>
      <c r="UIC148" s="18"/>
      <c r="UID148" s="19"/>
      <c r="UIE148" s="20"/>
      <c r="UIF148" s="20"/>
      <c r="UIG148" s="20"/>
      <c r="UIH148" s="20"/>
      <c r="UII148" s="20"/>
      <c r="UIJ148" s="20"/>
      <c r="UIK148" s="20"/>
      <c r="UIL148" s="20"/>
      <c r="UIM148" s="20"/>
      <c r="UIN148" s="20"/>
      <c r="UIO148" s="20"/>
      <c r="UIP148" s="20"/>
      <c r="UIQ148" s="20"/>
      <c r="UIR148" s="16"/>
      <c r="UIS148" s="18"/>
      <c r="UIT148" s="19"/>
      <c r="UIU148" s="20"/>
      <c r="UIV148" s="20"/>
      <c r="UIW148" s="20"/>
      <c r="UIX148" s="20"/>
      <c r="UIY148" s="20"/>
      <c r="UIZ148" s="20"/>
      <c r="UJA148" s="20"/>
      <c r="UJB148" s="20"/>
      <c r="UJC148" s="20"/>
      <c r="UJD148" s="20"/>
      <c r="UJE148" s="20"/>
      <c r="UJF148" s="20"/>
      <c r="UJG148" s="20"/>
      <c r="UJH148" s="16"/>
      <c r="UJI148" s="18"/>
      <c r="UJJ148" s="19"/>
      <c r="UJK148" s="20"/>
      <c r="UJL148" s="20"/>
      <c r="UJM148" s="20"/>
      <c r="UJN148" s="20"/>
      <c r="UJO148" s="20"/>
      <c r="UJP148" s="20"/>
      <c r="UJQ148" s="20"/>
      <c r="UJR148" s="20"/>
      <c r="UJS148" s="20"/>
      <c r="UJT148" s="20"/>
      <c r="UJU148" s="20"/>
      <c r="UJV148" s="20"/>
      <c r="UJW148" s="20"/>
      <c r="UJX148" s="16"/>
      <c r="UJY148" s="18"/>
      <c r="UJZ148" s="19"/>
      <c r="UKA148" s="20"/>
      <c r="UKB148" s="20"/>
      <c r="UKC148" s="20"/>
      <c r="UKD148" s="20"/>
      <c r="UKE148" s="20"/>
      <c r="UKF148" s="20"/>
      <c r="UKG148" s="20"/>
      <c r="UKH148" s="20"/>
      <c r="UKI148" s="20"/>
      <c r="UKJ148" s="20"/>
      <c r="UKK148" s="20"/>
      <c r="UKL148" s="20"/>
      <c r="UKM148" s="20"/>
      <c r="UKN148" s="16"/>
      <c r="UKO148" s="18"/>
      <c r="UKP148" s="19"/>
      <c r="UKQ148" s="20"/>
      <c r="UKR148" s="20"/>
      <c r="UKS148" s="20"/>
      <c r="UKT148" s="20"/>
      <c r="UKU148" s="20"/>
      <c r="UKV148" s="20"/>
      <c r="UKW148" s="20"/>
      <c r="UKX148" s="20"/>
      <c r="UKY148" s="20"/>
      <c r="UKZ148" s="20"/>
      <c r="ULA148" s="20"/>
      <c r="ULB148" s="20"/>
      <c r="ULC148" s="20"/>
      <c r="ULD148" s="16"/>
      <c r="ULE148" s="18"/>
      <c r="ULF148" s="19"/>
      <c r="ULG148" s="20"/>
      <c r="ULH148" s="20"/>
      <c r="ULI148" s="20"/>
      <c r="ULJ148" s="20"/>
      <c r="ULK148" s="20"/>
      <c r="ULL148" s="20"/>
      <c r="ULM148" s="20"/>
      <c r="ULN148" s="20"/>
      <c r="ULO148" s="20"/>
      <c r="ULP148" s="20"/>
      <c r="ULQ148" s="20"/>
      <c r="ULR148" s="20"/>
      <c r="ULS148" s="20"/>
      <c r="ULT148" s="16"/>
      <c r="ULU148" s="18"/>
      <c r="ULV148" s="19"/>
      <c r="ULW148" s="20"/>
      <c r="ULX148" s="20"/>
      <c r="ULY148" s="20"/>
      <c r="ULZ148" s="20"/>
      <c r="UMA148" s="20"/>
      <c r="UMB148" s="20"/>
      <c r="UMC148" s="20"/>
      <c r="UMD148" s="20"/>
      <c r="UME148" s="20"/>
      <c r="UMF148" s="20"/>
      <c r="UMG148" s="20"/>
      <c r="UMH148" s="20"/>
      <c r="UMI148" s="20"/>
      <c r="UMJ148" s="16"/>
      <c r="UMK148" s="18"/>
      <c r="UML148" s="19"/>
      <c r="UMM148" s="20"/>
      <c r="UMN148" s="20"/>
      <c r="UMO148" s="20"/>
      <c r="UMP148" s="20"/>
      <c r="UMQ148" s="20"/>
      <c r="UMR148" s="20"/>
      <c r="UMS148" s="20"/>
      <c r="UMT148" s="20"/>
      <c r="UMU148" s="20"/>
      <c r="UMV148" s="20"/>
      <c r="UMW148" s="20"/>
      <c r="UMX148" s="20"/>
      <c r="UMY148" s="20"/>
      <c r="UMZ148" s="16"/>
      <c r="UNA148" s="18"/>
      <c r="UNB148" s="19"/>
      <c r="UNC148" s="20"/>
      <c r="UND148" s="20"/>
      <c r="UNE148" s="20"/>
      <c r="UNF148" s="20"/>
      <c r="UNG148" s="20"/>
      <c r="UNH148" s="20"/>
      <c r="UNI148" s="20"/>
      <c r="UNJ148" s="20"/>
      <c r="UNK148" s="20"/>
      <c r="UNL148" s="20"/>
      <c r="UNM148" s="20"/>
      <c r="UNN148" s="20"/>
      <c r="UNO148" s="20"/>
      <c r="UNP148" s="16"/>
      <c r="UNQ148" s="18"/>
      <c r="UNR148" s="19"/>
      <c r="UNS148" s="20"/>
      <c r="UNT148" s="20"/>
      <c r="UNU148" s="20"/>
      <c r="UNV148" s="20"/>
      <c r="UNW148" s="20"/>
      <c r="UNX148" s="20"/>
      <c r="UNY148" s="20"/>
      <c r="UNZ148" s="20"/>
      <c r="UOA148" s="20"/>
      <c r="UOB148" s="20"/>
      <c r="UOC148" s="20"/>
      <c r="UOD148" s="20"/>
      <c r="UOE148" s="20"/>
      <c r="UOF148" s="16"/>
      <c r="UOG148" s="18"/>
      <c r="UOH148" s="19"/>
      <c r="UOI148" s="20"/>
      <c r="UOJ148" s="20"/>
      <c r="UOK148" s="20"/>
      <c r="UOL148" s="20"/>
      <c r="UOM148" s="20"/>
      <c r="UON148" s="20"/>
      <c r="UOO148" s="20"/>
      <c r="UOP148" s="20"/>
      <c r="UOQ148" s="20"/>
      <c r="UOR148" s="20"/>
      <c r="UOS148" s="20"/>
      <c r="UOT148" s="20"/>
      <c r="UOU148" s="20"/>
      <c r="UOV148" s="16"/>
      <c r="UOW148" s="18"/>
      <c r="UOX148" s="19"/>
      <c r="UOY148" s="20"/>
      <c r="UOZ148" s="20"/>
      <c r="UPA148" s="20"/>
      <c r="UPB148" s="20"/>
      <c r="UPC148" s="20"/>
      <c r="UPD148" s="20"/>
      <c r="UPE148" s="20"/>
      <c r="UPF148" s="20"/>
      <c r="UPG148" s="20"/>
      <c r="UPH148" s="20"/>
      <c r="UPI148" s="20"/>
      <c r="UPJ148" s="20"/>
      <c r="UPK148" s="20"/>
      <c r="UPL148" s="16"/>
      <c r="UPM148" s="18"/>
      <c r="UPN148" s="19"/>
      <c r="UPO148" s="20"/>
      <c r="UPP148" s="20"/>
      <c r="UPQ148" s="20"/>
      <c r="UPR148" s="20"/>
      <c r="UPS148" s="20"/>
      <c r="UPT148" s="20"/>
      <c r="UPU148" s="20"/>
      <c r="UPV148" s="20"/>
      <c r="UPW148" s="20"/>
      <c r="UPX148" s="20"/>
      <c r="UPY148" s="20"/>
      <c r="UPZ148" s="20"/>
      <c r="UQA148" s="20"/>
      <c r="UQB148" s="16"/>
      <c r="UQC148" s="18"/>
      <c r="UQD148" s="19"/>
      <c r="UQE148" s="20"/>
      <c r="UQF148" s="20"/>
      <c r="UQG148" s="20"/>
      <c r="UQH148" s="20"/>
      <c r="UQI148" s="20"/>
      <c r="UQJ148" s="20"/>
      <c r="UQK148" s="20"/>
      <c r="UQL148" s="20"/>
      <c r="UQM148" s="20"/>
      <c r="UQN148" s="20"/>
      <c r="UQO148" s="20"/>
      <c r="UQP148" s="20"/>
      <c r="UQQ148" s="20"/>
      <c r="UQR148" s="16"/>
      <c r="UQS148" s="18"/>
      <c r="UQT148" s="19"/>
      <c r="UQU148" s="20"/>
      <c r="UQV148" s="20"/>
      <c r="UQW148" s="20"/>
      <c r="UQX148" s="20"/>
      <c r="UQY148" s="20"/>
      <c r="UQZ148" s="20"/>
      <c r="URA148" s="20"/>
      <c r="URB148" s="20"/>
      <c r="URC148" s="20"/>
      <c r="URD148" s="20"/>
      <c r="URE148" s="20"/>
      <c r="URF148" s="20"/>
      <c r="URG148" s="20"/>
      <c r="URH148" s="16"/>
      <c r="URI148" s="18"/>
      <c r="URJ148" s="19"/>
      <c r="URK148" s="20"/>
      <c r="URL148" s="20"/>
      <c r="URM148" s="20"/>
      <c r="URN148" s="20"/>
      <c r="URO148" s="20"/>
      <c r="URP148" s="20"/>
      <c r="URQ148" s="20"/>
      <c r="URR148" s="20"/>
      <c r="URS148" s="20"/>
      <c r="URT148" s="20"/>
      <c r="URU148" s="20"/>
      <c r="URV148" s="20"/>
      <c r="URW148" s="20"/>
      <c r="URX148" s="16"/>
      <c r="URY148" s="18"/>
      <c r="URZ148" s="19"/>
      <c r="USA148" s="20"/>
      <c r="USB148" s="20"/>
      <c r="USC148" s="20"/>
      <c r="USD148" s="20"/>
      <c r="USE148" s="20"/>
      <c r="USF148" s="20"/>
      <c r="USG148" s="20"/>
      <c r="USH148" s="20"/>
      <c r="USI148" s="20"/>
      <c r="USJ148" s="20"/>
      <c r="USK148" s="20"/>
      <c r="USL148" s="20"/>
      <c r="USM148" s="20"/>
      <c r="USN148" s="16"/>
      <c r="USO148" s="18"/>
      <c r="USP148" s="19"/>
      <c r="USQ148" s="20"/>
      <c r="USR148" s="20"/>
      <c r="USS148" s="20"/>
      <c r="UST148" s="20"/>
      <c r="USU148" s="20"/>
      <c r="USV148" s="20"/>
      <c r="USW148" s="20"/>
      <c r="USX148" s="20"/>
      <c r="USY148" s="20"/>
      <c r="USZ148" s="20"/>
      <c r="UTA148" s="20"/>
      <c r="UTB148" s="20"/>
      <c r="UTC148" s="20"/>
      <c r="UTD148" s="16"/>
      <c r="UTE148" s="18"/>
      <c r="UTF148" s="19"/>
      <c r="UTG148" s="20"/>
      <c r="UTH148" s="20"/>
      <c r="UTI148" s="20"/>
      <c r="UTJ148" s="20"/>
      <c r="UTK148" s="20"/>
      <c r="UTL148" s="20"/>
      <c r="UTM148" s="20"/>
      <c r="UTN148" s="20"/>
      <c r="UTO148" s="20"/>
      <c r="UTP148" s="20"/>
      <c r="UTQ148" s="20"/>
      <c r="UTR148" s="20"/>
      <c r="UTS148" s="20"/>
      <c r="UTT148" s="16"/>
      <c r="UTU148" s="18"/>
      <c r="UTV148" s="19"/>
      <c r="UTW148" s="20"/>
      <c r="UTX148" s="20"/>
      <c r="UTY148" s="20"/>
      <c r="UTZ148" s="20"/>
      <c r="UUA148" s="20"/>
      <c r="UUB148" s="20"/>
      <c r="UUC148" s="20"/>
      <c r="UUD148" s="20"/>
      <c r="UUE148" s="20"/>
      <c r="UUF148" s="20"/>
      <c r="UUG148" s="20"/>
      <c r="UUH148" s="20"/>
      <c r="UUI148" s="20"/>
      <c r="UUJ148" s="16"/>
      <c r="UUK148" s="18"/>
      <c r="UUL148" s="19"/>
      <c r="UUM148" s="20"/>
      <c r="UUN148" s="20"/>
      <c r="UUO148" s="20"/>
      <c r="UUP148" s="20"/>
      <c r="UUQ148" s="20"/>
      <c r="UUR148" s="20"/>
      <c r="UUS148" s="20"/>
      <c r="UUT148" s="20"/>
      <c r="UUU148" s="20"/>
      <c r="UUV148" s="20"/>
      <c r="UUW148" s="20"/>
      <c r="UUX148" s="20"/>
      <c r="UUY148" s="20"/>
      <c r="UUZ148" s="16"/>
      <c r="UVA148" s="18"/>
      <c r="UVB148" s="19"/>
      <c r="UVC148" s="20"/>
      <c r="UVD148" s="20"/>
      <c r="UVE148" s="20"/>
      <c r="UVF148" s="20"/>
      <c r="UVG148" s="20"/>
      <c r="UVH148" s="20"/>
      <c r="UVI148" s="20"/>
      <c r="UVJ148" s="20"/>
      <c r="UVK148" s="20"/>
      <c r="UVL148" s="20"/>
      <c r="UVM148" s="20"/>
      <c r="UVN148" s="20"/>
      <c r="UVO148" s="20"/>
      <c r="UVP148" s="16"/>
      <c r="UVQ148" s="18"/>
      <c r="UVR148" s="19"/>
      <c r="UVS148" s="20"/>
      <c r="UVT148" s="20"/>
      <c r="UVU148" s="20"/>
      <c r="UVV148" s="20"/>
      <c r="UVW148" s="20"/>
      <c r="UVX148" s="20"/>
      <c r="UVY148" s="20"/>
      <c r="UVZ148" s="20"/>
      <c r="UWA148" s="20"/>
      <c r="UWB148" s="20"/>
      <c r="UWC148" s="20"/>
      <c r="UWD148" s="20"/>
      <c r="UWE148" s="20"/>
      <c r="UWF148" s="16"/>
      <c r="UWG148" s="18"/>
      <c r="UWH148" s="19"/>
      <c r="UWI148" s="20"/>
      <c r="UWJ148" s="20"/>
      <c r="UWK148" s="20"/>
      <c r="UWL148" s="20"/>
      <c r="UWM148" s="20"/>
      <c r="UWN148" s="20"/>
      <c r="UWO148" s="20"/>
      <c r="UWP148" s="20"/>
      <c r="UWQ148" s="20"/>
      <c r="UWR148" s="20"/>
      <c r="UWS148" s="20"/>
      <c r="UWT148" s="20"/>
      <c r="UWU148" s="20"/>
      <c r="UWV148" s="16"/>
      <c r="UWW148" s="18"/>
      <c r="UWX148" s="19"/>
      <c r="UWY148" s="20"/>
      <c r="UWZ148" s="20"/>
      <c r="UXA148" s="20"/>
      <c r="UXB148" s="20"/>
      <c r="UXC148" s="20"/>
      <c r="UXD148" s="20"/>
      <c r="UXE148" s="20"/>
      <c r="UXF148" s="20"/>
      <c r="UXG148" s="20"/>
      <c r="UXH148" s="20"/>
      <c r="UXI148" s="20"/>
      <c r="UXJ148" s="20"/>
      <c r="UXK148" s="20"/>
      <c r="UXL148" s="16"/>
      <c r="UXM148" s="18"/>
      <c r="UXN148" s="19"/>
      <c r="UXO148" s="20"/>
      <c r="UXP148" s="20"/>
      <c r="UXQ148" s="20"/>
      <c r="UXR148" s="20"/>
      <c r="UXS148" s="20"/>
      <c r="UXT148" s="20"/>
      <c r="UXU148" s="20"/>
      <c r="UXV148" s="20"/>
      <c r="UXW148" s="20"/>
      <c r="UXX148" s="20"/>
      <c r="UXY148" s="20"/>
      <c r="UXZ148" s="20"/>
      <c r="UYA148" s="20"/>
      <c r="UYB148" s="16"/>
      <c r="UYC148" s="18"/>
      <c r="UYD148" s="19"/>
      <c r="UYE148" s="20"/>
      <c r="UYF148" s="20"/>
      <c r="UYG148" s="20"/>
      <c r="UYH148" s="20"/>
      <c r="UYI148" s="20"/>
      <c r="UYJ148" s="20"/>
      <c r="UYK148" s="20"/>
      <c r="UYL148" s="20"/>
      <c r="UYM148" s="20"/>
      <c r="UYN148" s="20"/>
      <c r="UYO148" s="20"/>
      <c r="UYP148" s="20"/>
      <c r="UYQ148" s="20"/>
      <c r="UYR148" s="16"/>
      <c r="UYS148" s="18"/>
      <c r="UYT148" s="19"/>
      <c r="UYU148" s="20"/>
      <c r="UYV148" s="20"/>
      <c r="UYW148" s="20"/>
      <c r="UYX148" s="20"/>
      <c r="UYY148" s="20"/>
      <c r="UYZ148" s="20"/>
      <c r="UZA148" s="20"/>
      <c r="UZB148" s="20"/>
      <c r="UZC148" s="20"/>
      <c r="UZD148" s="20"/>
      <c r="UZE148" s="20"/>
      <c r="UZF148" s="20"/>
      <c r="UZG148" s="20"/>
      <c r="UZH148" s="16"/>
      <c r="UZI148" s="18"/>
      <c r="UZJ148" s="19"/>
      <c r="UZK148" s="20"/>
      <c r="UZL148" s="20"/>
      <c r="UZM148" s="20"/>
      <c r="UZN148" s="20"/>
      <c r="UZO148" s="20"/>
      <c r="UZP148" s="20"/>
      <c r="UZQ148" s="20"/>
      <c r="UZR148" s="20"/>
      <c r="UZS148" s="20"/>
      <c r="UZT148" s="20"/>
      <c r="UZU148" s="20"/>
      <c r="UZV148" s="20"/>
      <c r="UZW148" s="20"/>
      <c r="UZX148" s="16"/>
      <c r="UZY148" s="18"/>
      <c r="UZZ148" s="19"/>
      <c r="VAA148" s="20"/>
      <c r="VAB148" s="20"/>
      <c r="VAC148" s="20"/>
      <c r="VAD148" s="20"/>
      <c r="VAE148" s="20"/>
      <c r="VAF148" s="20"/>
      <c r="VAG148" s="20"/>
      <c r="VAH148" s="20"/>
      <c r="VAI148" s="20"/>
      <c r="VAJ148" s="20"/>
      <c r="VAK148" s="20"/>
      <c r="VAL148" s="20"/>
      <c r="VAM148" s="20"/>
      <c r="VAN148" s="16"/>
      <c r="VAO148" s="18"/>
      <c r="VAP148" s="19"/>
      <c r="VAQ148" s="20"/>
      <c r="VAR148" s="20"/>
      <c r="VAS148" s="20"/>
      <c r="VAT148" s="20"/>
      <c r="VAU148" s="20"/>
      <c r="VAV148" s="20"/>
      <c r="VAW148" s="20"/>
      <c r="VAX148" s="20"/>
      <c r="VAY148" s="20"/>
      <c r="VAZ148" s="20"/>
      <c r="VBA148" s="20"/>
      <c r="VBB148" s="20"/>
      <c r="VBC148" s="20"/>
      <c r="VBD148" s="16"/>
      <c r="VBE148" s="18"/>
      <c r="VBF148" s="19"/>
      <c r="VBG148" s="20"/>
      <c r="VBH148" s="20"/>
      <c r="VBI148" s="20"/>
      <c r="VBJ148" s="20"/>
      <c r="VBK148" s="20"/>
      <c r="VBL148" s="20"/>
      <c r="VBM148" s="20"/>
      <c r="VBN148" s="20"/>
      <c r="VBO148" s="20"/>
      <c r="VBP148" s="20"/>
      <c r="VBQ148" s="20"/>
      <c r="VBR148" s="20"/>
      <c r="VBS148" s="20"/>
      <c r="VBT148" s="16"/>
      <c r="VBU148" s="18"/>
      <c r="VBV148" s="19"/>
      <c r="VBW148" s="20"/>
      <c r="VBX148" s="20"/>
      <c r="VBY148" s="20"/>
      <c r="VBZ148" s="20"/>
      <c r="VCA148" s="20"/>
      <c r="VCB148" s="20"/>
      <c r="VCC148" s="20"/>
      <c r="VCD148" s="20"/>
      <c r="VCE148" s="20"/>
      <c r="VCF148" s="20"/>
      <c r="VCG148" s="20"/>
      <c r="VCH148" s="20"/>
      <c r="VCI148" s="20"/>
      <c r="VCJ148" s="16"/>
      <c r="VCK148" s="18"/>
      <c r="VCL148" s="19"/>
      <c r="VCM148" s="20"/>
      <c r="VCN148" s="20"/>
      <c r="VCO148" s="20"/>
      <c r="VCP148" s="20"/>
      <c r="VCQ148" s="20"/>
      <c r="VCR148" s="20"/>
      <c r="VCS148" s="20"/>
      <c r="VCT148" s="20"/>
      <c r="VCU148" s="20"/>
      <c r="VCV148" s="20"/>
      <c r="VCW148" s="20"/>
      <c r="VCX148" s="20"/>
      <c r="VCY148" s="20"/>
      <c r="VCZ148" s="16"/>
      <c r="VDA148" s="18"/>
      <c r="VDB148" s="19"/>
      <c r="VDC148" s="20"/>
      <c r="VDD148" s="20"/>
      <c r="VDE148" s="20"/>
      <c r="VDF148" s="20"/>
      <c r="VDG148" s="20"/>
      <c r="VDH148" s="20"/>
      <c r="VDI148" s="20"/>
      <c r="VDJ148" s="20"/>
      <c r="VDK148" s="20"/>
      <c r="VDL148" s="20"/>
      <c r="VDM148" s="20"/>
      <c r="VDN148" s="20"/>
      <c r="VDO148" s="20"/>
      <c r="VDP148" s="16"/>
      <c r="VDQ148" s="18"/>
      <c r="VDR148" s="19"/>
      <c r="VDS148" s="20"/>
      <c r="VDT148" s="20"/>
      <c r="VDU148" s="20"/>
      <c r="VDV148" s="20"/>
      <c r="VDW148" s="20"/>
      <c r="VDX148" s="20"/>
      <c r="VDY148" s="20"/>
      <c r="VDZ148" s="20"/>
      <c r="VEA148" s="20"/>
      <c r="VEB148" s="20"/>
      <c r="VEC148" s="20"/>
      <c r="VED148" s="20"/>
      <c r="VEE148" s="20"/>
      <c r="VEF148" s="16"/>
      <c r="VEG148" s="18"/>
      <c r="VEH148" s="19"/>
      <c r="VEI148" s="20"/>
      <c r="VEJ148" s="20"/>
      <c r="VEK148" s="20"/>
      <c r="VEL148" s="20"/>
      <c r="VEM148" s="20"/>
      <c r="VEN148" s="20"/>
      <c r="VEO148" s="20"/>
      <c r="VEP148" s="20"/>
      <c r="VEQ148" s="20"/>
      <c r="VER148" s="20"/>
      <c r="VES148" s="20"/>
      <c r="VET148" s="20"/>
      <c r="VEU148" s="20"/>
      <c r="VEV148" s="16"/>
      <c r="VEW148" s="18"/>
      <c r="VEX148" s="19"/>
      <c r="VEY148" s="20"/>
      <c r="VEZ148" s="20"/>
      <c r="VFA148" s="20"/>
      <c r="VFB148" s="20"/>
      <c r="VFC148" s="20"/>
      <c r="VFD148" s="20"/>
      <c r="VFE148" s="20"/>
      <c r="VFF148" s="20"/>
      <c r="VFG148" s="20"/>
      <c r="VFH148" s="20"/>
      <c r="VFI148" s="20"/>
      <c r="VFJ148" s="20"/>
      <c r="VFK148" s="20"/>
      <c r="VFL148" s="16"/>
      <c r="VFM148" s="18"/>
      <c r="VFN148" s="19"/>
      <c r="VFO148" s="20"/>
      <c r="VFP148" s="20"/>
      <c r="VFQ148" s="20"/>
      <c r="VFR148" s="20"/>
      <c r="VFS148" s="20"/>
      <c r="VFT148" s="20"/>
      <c r="VFU148" s="20"/>
      <c r="VFV148" s="20"/>
      <c r="VFW148" s="20"/>
      <c r="VFX148" s="20"/>
      <c r="VFY148" s="20"/>
      <c r="VFZ148" s="20"/>
      <c r="VGA148" s="20"/>
      <c r="VGB148" s="16"/>
      <c r="VGC148" s="18"/>
      <c r="VGD148" s="19"/>
      <c r="VGE148" s="20"/>
      <c r="VGF148" s="20"/>
      <c r="VGG148" s="20"/>
      <c r="VGH148" s="20"/>
      <c r="VGI148" s="20"/>
      <c r="VGJ148" s="20"/>
      <c r="VGK148" s="20"/>
      <c r="VGL148" s="20"/>
      <c r="VGM148" s="20"/>
      <c r="VGN148" s="20"/>
      <c r="VGO148" s="20"/>
      <c r="VGP148" s="20"/>
      <c r="VGQ148" s="20"/>
      <c r="VGR148" s="16"/>
      <c r="VGS148" s="18"/>
      <c r="VGT148" s="19"/>
      <c r="VGU148" s="20"/>
      <c r="VGV148" s="20"/>
      <c r="VGW148" s="20"/>
      <c r="VGX148" s="20"/>
      <c r="VGY148" s="20"/>
      <c r="VGZ148" s="20"/>
      <c r="VHA148" s="20"/>
      <c r="VHB148" s="20"/>
      <c r="VHC148" s="20"/>
      <c r="VHD148" s="20"/>
      <c r="VHE148" s="20"/>
      <c r="VHF148" s="20"/>
      <c r="VHG148" s="20"/>
      <c r="VHH148" s="16"/>
      <c r="VHI148" s="18"/>
      <c r="VHJ148" s="19"/>
      <c r="VHK148" s="20"/>
      <c r="VHL148" s="20"/>
      <c r="VHM148" s="20"/>
      <c r="VHN148" s="20"/>
      <c r="VHO148" s="20"/>
      <c r="VHP148" s="20"/>
      <c r="VHQ148" s="20"/>
      <c r="VHR148" s="20"/>
      <c r="VHS148" s="20"/>
      <c r="VHT148" s="20"/>
      <c r="VHU148" s="20"/>
      <c r="VHV148" s="20"/>
      <c r="VHW148" s="20"/>
      <c r="VHX148" s="16"/>
      <c r="VHY148" s="18"/>
      <c r="VHZ148" s="19"/>
      <c r="VIA148" s="20"/>
      <c r="VIB148" s="20"/>
      <c r="VIC148" s="20"/>
      <c r="VID148" s="20"/>
      <c r="VIE148" s="20"/>
      <c r="VIF148" s="20"/>
      <c r="VIG148" s="20"/>
      <c r="VIH148" s="20"/>
      <c r="VII148" s="20"/>
      <c r="VIJ148" s="20"/>
      <c r="VIK148" s="20"/>
      <c r="VIL148" s="20"/>
      <c r="VIM148" s="20"/>
      <c r="VIN148" s="16"/>
      <c r="VIO148" s="18"/>
      <c r="VIP148" s="19"/>
      <c r="VIQ148" s="20"/>
      <c r="VIR148" s="20"/>
      <c r="VIS148" s="20"/>
      <c r="VIT148" s="20"/>
      <c r="VIU148" s="20"/>
      <c r="VIV148" s="20"/>
      <c r="VIW148" s="20"/>
      <c r="VIX148" s="20"/>
      <c r="VIY148" s="20"/>
      <c r="VIZ148" s="20"/>
      <c r="VJA148" s="20"/>
      <c r="VJB148" s="20"/>
      <c r="VJC148" s="20"/>
      <c r="VJD148" s="16"/>
      <c r="VJE148" s="18"/>
      <c r="VJF148" s="19"/>
      <c r="VJG148" s="20"/>
      <c r="VJH148" s="20"/>
      <c r="VJI148" s="20"/>
      <c r="VJJ148" s="20"/>
      <c r="VJK148" s="20"/>
      <c r="VJL148" s="20"/>
      <c r="VJM148" s="20"/>
      <c r="VJN148" s="20"/>
      <c r="VJO148" s="20"/>
      <c r="VJP148" s="20"/>
      <c r="VJQ148" s="20"/>
      <c r="VJR148" s="20"/>
      <c r="VJS148" s="20"/>
      <c r="VJT148" s="16"/>
      <c r="VJU148" s="18"/>
      <c r="VJV148" s="19"/>
      <c r="VJW148" s="20"/>
      <c r="VJX148" s="20"/>
      <c r="VJY148" s="20"/>
      <c r="VJZ148" s="20"/>
      <c r="VKA148" s="20"/>
      <c r="VKB148" s="20"/>
      <c r="VKC148" s="20"/>
      <c r="VKD148" s="20"/>
      <c r="VKE148" s="20"/>
      <c r="VKF148" s="20"/>
      <c r="VKG148" s="20"/>
      <c r="VKH148" s="20"/>
      <c r="VKI148" s="20"/>
      <c r="VKJ148" s="16"/>
      <c r="VKK148" s="18"/>
      <c r="VKL148" s="19"/>
      <c r="VKM148" s="20"/>
      <c r="VKN148" s="20"/>
      <c r="VKO148" s="20"/>
      <c r="VKP148" s="20"/>
      <c r="VKQ148" s="20"/>
      <c r="VKR148" s="20"/>
      <c r="VKS148" s="20"/>
      <c r="VKT148" s="20"/>
      <c r="VKU148" s="20"/>
      <c r="VKV148" s="20"/>
      <c r="VKW148" s="20"/>
      <c r="VKX148" s="20"/>
      <c r="VKY148" s="20"/>
      <c r="VKZ148" s="16"/>
      <c r="VLA148" s="18"/>
      <c r="VLB148" s="19"/>
      <c r="VLC148" s="20"/>
      <c r="VLD148" s="20"/>
      <c r="VLE148" s="20"/>
      <c r="VLF148" s="20"/>
      <c r="VLG148" s="20"/>
      <c r="VLH148" s="20"/>
      <c r="VLI148" s="20"/>
      <c r="VLJ148" s="20"/>
      <c r="VLK148" s="20"/>
      <c r="VLL148" s="20"/>
      <c r="VLM148" s="20"/>
      <c r="VLN148" s="20"/>
      <c r="VLO148" s="20"/>
      <c r="VLP148" s="16"/>
      <c r="VLQ148" s="18"/>
      <c r="VLR148" s="19"/>
      <c r="VLS148" s="20"/>
      <c r="VLT148" s="20"/>
      <c r="VLU148" s="20"/>
      <c r="VLV148" s="20"/>
      <c r="VLW148" s="20"/>
      <c r="VLX148" s="20"/>
      <c r="VLY148" s="20"/>
      <c r="VLZ148" s="20"/>
      <c r="VMA148" s="20"/>
      <c r="VMB148" s="20"/>
      <c r="VMC148" s="20"/>
      <c r="VMD148" s="20"/>
      <c r="VME148" s="20"/>
      <c r="VMF148" s="16"/>
      <c r="VMG148" s="18"/>
      <c r="VMH148" s="19"/>
      <c r="VMI148" s="20"/>
      <c r="VMJ148" s="20"/>
      <c r="VMK148" s="20"/>
      <c r="VML148" s="20"/>
      <c r="VMM148" s="20"/>
      <c r="VMN148" s="20"/>
      <c r="VMO148" s="20"/>
      <c r="VMP148" s="20"/>
      <c r="VMQ148" s="20"/>
      <c r="VMR148" s="20"/>
      <c r="VMS148" s="20"/>
      <c r="VMT148" s="20"/>
      <c r="VMU148" s="20"/>
      <c r="VMV148" s="16"/>
      <c r="VMW148" s="18"/>
      <c r="VMX148" s="19"/>
      <c r="VMY148" s="20"/>
      <c r="VMZ148" s="20"/>
      <c r="VNA148" s="20"/>
      <c r="VNB148" s="20"/>
      <c r="VNC148" s="20"/>
      <c r="VND148" s="20"/>
      <c r="VNE148" s="20"/>
      <c r="VNF148" s="20"/>
      <c r="VNG148" s="20"/>
      <c r="VNH148" s="20"/>
      <c r="VNI148" s="20"/>
      <c r="VNJ148" s="20"/>
      <c r="VNK148" s="20"/>
      <c r="VNL148" s="16"/>
      <c r="VNM148" s="18"/>
      <c r="VNN148" s="19"/>
      <c r="VNO148" s="20"/>
      <c r="VNP148" s="20"/>
      <c r="VNQ148" s="20"/>
      <c r="VNR148" s="20"/>
      <c r="VNS148" s="20"/>
      <c r="VNT148" s="20"/>
      <c r="VNU148" s="20"/>
      <c r="VNV148" s="20"/>
      <c r="VNW148" s="20"/>
      <c r="VNX148" s="20"/>
      <c r="VNY148" s="20"/>
      <c r="VNZ148" s="20"/>
      <c r="VOA148" s="20"/>
      <c r="VOB148" s="16"/>
      <c r="VOC148" s="18"/>
      <c r="VOD148" s="19"/>
      <c r="VOE148" s="20"/>
      <c r="VOF148" s="20"/>
      <c r="VOG148" s="20"/>
      <c r="VOH148" s="20"/>
      <c r="VOI148" s="20"/>
      <c r="VOJ148" s="20"/>
      <c r="VOK148" s="20"/>
      <c r="VOL148" s="20"/>
      <c r="VOM148" s="20"/>
      <c r="VON148" s="20"/>
      <c r="VOO148" s="20"/>
      <c r="VOP148" s="20"/>
      <c r="VOQ148" s="20"/>
      <c r="VOR148" s="16"/>
      <c r="VOS148" s="18"/>
      <c r="VOT148" s="19"/>
      <c r="VOU148" s="20"/>
      <c r="VOV148" s="20"/>
      <c r="VOW148" s="20"/>
      <c r="VOX148" s="20"/>
      <c r="VOY148" s="20"/>
      <c r="VOZ148" s="20"/>
      <c r="VPA148" s="20"/>
      <c r="VPB148" s="20"/>
      <c r="VPC148" s="20"/>
      <c r="VPD148" s="20"/>
      <c r="VPE148" s="20"/>
      <c r="VPF148" s="20"/>
      <c r="VPG148" s="20"/>
      <c r="VPH148" s="16"/>
      <c r="VPI148" s="18"/>
      <c r="VPJ148" s="19"/>
      <c r="VPK148" s="20"/>
      <c r="VPL148" s="20"/>
      <c r="VPM148" s="20"/>
      <c r="VPN148" s="20"/>
      <c r="VPO148" s="20"/>
      <c r="VPP148" s="20"/>
      <c r="VPQ148" s="20"/>
      <c r="VPR148" s="20"/>
      <c r="VPS148" s="20"/>
      <c r="VPT148" s="20"/>
      <c r="VPU148" s="20"/>
      <c r="VPV148" s="20"/>
      <c r="VPW148" s="20"/>
      <c r="VPX148" s="16"/>
      <c r="VPY148" s="18"/>
      <c r="VPZ148" s="19"/>
      <c r="VQA148" s="20"/>
      <c r="VQB148" s="20"/>
      <c r="VQC148" s="20"/>
      <c r="VQD148" s="20"/>
      <c r="VQE148" s="20"/>
      <c r="VQF148" s="20"/>
      <c r="VQG148" s="20"/>
      <c r="VQH148" s="20"/>
      <c r="VQI148" s="20"/>
      <c r="VQJ148" s="20"/>
      <c r="VQK148" s="20"/>
      <c r="VQL148" s="20"/>
      <c r="VQM148" s="20"/>
      <c r="VQN148" s="16"/>
      <c r="VQO148" s="18"/>
      <c r="VQP148" s="19"/>
      <c r="VQQ148" s="20"/>
      <c r="VQR148" s="20"/>
      <c r="VQS148" s="20"/>
      <c r="VQT148" s="20"/>
      <c r="VQU148" s="20"/>
      <c r="VQV148" s="20"/>
      <c r="VQW148" s="20"/>
      <c r="VQX148" s="20"/>
      <c r="VQY148" s="20"/>
      <c r="VQZ148" s="20"/>
      <c r="VRA148" s="20"/>
      <c r="VRB148" s="20"/>
      <c r="VRC148" s="20"/>
      <c r="VRD148" s="16"/>
      <c r="VRE148" s="18"/>
      <c r="VRF148" s="19"/>
      <c r="VRG148" s="20"/>
      <c r="VRH148" s="20"/>
      <c r="VRI148" s="20"/>
      <c r="VRJ148" s="20"/>
      <c r="VRK148" s="20"/>
      <c r="VRL148" s="20"/>
      <c r="VRM148" s="20"/>
      <c r="VRN148" s="20"/>
      <c r="VRO148" s="20"/>
      <c r="VRP148" s="20"/>
      <c r="VRQ148" s="20"/>
      <c r="VRR148" s="20"/>
      <c r="VRS148" s="20"/>
      <c r="VRT148" s="16"/>
      <c r="VRU148" s="18"/>
      <c r="VRV148" s="19"/>
      <c r="VRW148" s="20"/>
      <c r="VRX148" s="20"/>
      <c r="VRY148" s="20"/>
      <c r="VRZ148" s="20"/>
      <c r="VSA148" s="20"/>
      <c r="VSB148" s="20"/>
      <c r="VSC148" s="20"/>
      <c r="VSD148" s="20"/>
      <c r="VSE148" s="20"/>
      <c r="VSF148" s="20"/>
      <c r="VSG148" s="20"/>
      <c r="VSH148" s="20"/>
      <c r="VSI148" s="20"/>
      <c r="VSJ148" s="16"/>
      <c r="VSK148" s="18"/>
      <c r="VSL148" s="19"/>
      <c r="VSM148" s="20"/>
      <c r="VSN148" s="20"/>
      <c r="VSO148" s="20"/>
      <c r="VSP148" s="20"/>
      <c r="VSQ148" s="20"/>
      <c r="VSR148" s="20"/>
      <c r="VSS148" s="20"/>
      <c r="VST148" s="20"/>
      <c r="VSU148" s="20"/>
      <c r="VSV148" s="20"/>
      <c r="VSW148" s="20"/>
      <c r="VSX148" s="20"/>
      <c r="VSY148" s="20"/>
      <c r="VSZ148" s="16"/>
      <c r="VTA148" s="18"/>
      <c r="VTB148" s="19"/>
      <c r="VTC148" s="20"/>
      <c r="VTD148" s="20"/>
      <c r="VTE148" s="20"/>
      <c r="VTF148" s="20"/>
      <c r="VTG148" s="20"/>
      <c r="VTH148" s="20"/>
      <c r="VTI148" s="20"/>
      <c r="VTJ148" s="20"/>
      <c r="VTK148" s="20"/>
      <c r="VTL148" s="20"/>
      <c r="VTM148" s="20"/>
      <c r="VTN148" s="20"/>
      <c r="VTO148" s="20"/>
      <c r="VTP148" s="16"/>
      <c r="VTQ148" s="18"/>
      <c r="VTR148" s="19"/>
      <c r="VTS148" s="20"/>
      <c r="VTT148" s="20"/>
      <c r="VTU148" s="20"/>
      <c r="VTV148" s="20"/>
      <c r="VTW148" s="20"/>
      <c r="VTX148" s="20"/>
      <c r="VTY148" s="20"/>
      <c r="VTZ148" s="20"/>
      <c r="VUA148" s="20"/>
      <c r="VUB148" s="20"/>
      <c r="VUC148" s="20"/>
      <c r="VUD148" s="20"/>
      <c r="VUE148" s="20"/>
      <c r="VUF148" s="16"/>
      <c r="VUG148" s="18"/>
      <c r="VUH148" s="19"/>
      <c r="VUI148" s="20"/>
      <c r="VUJ148" s="20"/>
      <c r="VUK148" s="20"/>
      <c r="VUL148" s="20"/>
      <c r="VUM148" s="20"/>
      <c r="VUN148" s="20"/>
      <c r="VUO148" s="20"/>
      <c r="VUP148" s="20"/>
      <c r="VUQ148" s="20"/>
      <c r="VUR148" s="20"/>
      <c r="VUS148" s="20"/>
      <c r="VUT148" s="20"/>
      <c r="VUU148" s="20"/>
      <c r="VUV148" s="16"/>
      <c r="VUW148" s="18"/>
      <c r="VUX148" s="19"/>
      <c r="VUY148" s="20"/>
      <c r="VUZ148" s="20"/>
      <c r="VVA148" s="20"/>
      <c r="VVB148" s="20"/>
      <c r="VVC148" s="20"/>
      <c r="VVD148" s="20"/>
      <c r="VVE148" s="20"/>
      <c r="VVF148" s="20"/>
      <c r="VVG148" s="20"/>
      <c r="VVH148" s="20"/>
      <c r="VVI148" s="20"/>
      <c r="VVJ148" s="20"/>
      <c r="VVK148" s="20"/>
      <c r="VVL148" s="16"/>
      <c r="VVM148" s="18"/>
      <c r="VVN148" s="19"/>
      <c r="VVO148" s="20"/>
      <c r="VVP148" s="20"/>
      <c r="VVQ148" s="20"/>
      <c r="VVR148" s="20"/>
      <c r="VVS148" s="20"/>
      <c r="VVT148" s="20"/>
      <c r="VVU148" s="20"/>
      <c r="VVV148" s="20"/>
      <c r="VVW148" s="20"/>
      <c r="VVX148" s="20"/>
      <c r="VVY148" s="20"/>
      <c r="VVZ148" s="20"/>
      <c r="VWA148" s="20"/>
      <c r="VWB148" s="16"/>
      <c r="VWC148" s="18"/>
      <c r="VWD148" s="19"/>
      <c r="VWE148" s="20"/>
      <c r="VWF148" s="20"/>
      <c r="VWG148" s="20"/>
      <c r="VWH148" s="20"/>
      <c r="VWI148" s="20"/>
      <c r="VWJ148" s="20"/>
      <c r="VWK148" s="20"/>
      <c r="VWL148" s="20"/>
      <c r="VWM148" s="20"/>
      <c r="VWN148" s="20"/>
      <c r="VWO148" s="20"/>
      <c r="VWP148" s="20"/>
      <c r="VWQ148" s="20"/>
      <c r="VWR148" s="16"/>
      <c r="VWS148" s="18"/>
      <c r="VWT148" s="19"/>
      <c r="VWU148" s="20"/>
      <c r="VWV148" s="20"/>
      <c r="VWW148" s="20"/>
      <c r="VWX148" s="20"/>
      <c r="VWY148" s="20"/>
      <c r="VWZ148" s="20"/>
      <c r="VXA148" s="20"/>
      <c r="VXB148" s="20"/>
      <c r="VXC148" s="20"/>
      <c r="VXD148" s="20"/>
      <c r="VXE148" s="20"/>
      <c r="VXF148" s="20"/>
      <c r="VXG148" s="20"/>
      <c r="VXH148" s="16"/>
      <c r="VXI148" s="18"/>
      <c r="VXJ148" s="19"/>
      <c r="VXK148" s="20"/>
      <c r="VXL148" s="20"/>
      <c r="VXM148" s="20"/>
      <c r="VXN148" s="20"/>
      <c r="VXO148" s="20"/>
      <c r="VXP148" s="20"/>
      <c r="VXQ148" s="20"/>
      <c r="VXR148" s="20"/>
      <c r="VXS148" s="20"/>
      <c r="VXT148" s="20"/>
      <c r="VXU148" s="20"/>
      <c r="VXV148" s="20"/>
      <c r="VXW148" s="20"/>
      <c r="VXX148" s="16"/>
      <c r="VXY148" s="18"/>
      <c r="VXZ148" s="19"/>
      <c r="VYA148" s="20"/>
      <c r="VYB148" s="20"/>
      <c r="VYC148" s="20"/>
      <c r="VYD148" s="20"/>
      <c r="VYE148" s="20"/>
      <c r="VYF148" s="20"/>
      <c r="VYG148" s="20"/>
      <c r="VYH148" s="20"/>
      <c r="VYI148" s="20"/>
      <c r="VYJ148" s="20"/>
      <c r="VYK148" s="20"/>
      <c r="VYL148" s="20"/>
      <c r="VYM148" s="20"/>
      <c r="VYN148" s="16"/>
      <c r="VYO148" s="18"/>
      <c r="VYP148" s="19"/>
      <c r="VYQ148" s="20"/>
      <c r="VYR148" s="20"/>
      <c r="VYS148" s="20"/>
      <c r="VYT148" s="20"/>
      <c r="VYU148" s="20"/>
      <c r="VYV148" s="20"/>
      <c r="VYW148" s="20"/>
      <c r="VYX148" s="20"/>
      <c r="VYY148" s="20"/>
      <c r="VYZ148" s="20"/>
      <c r="VZA148" s="20"/>
      <c r="VZB148" s="20"/>
      <c r="VZC148" s="20"/>
      <c r="VZD148" s="16"/>
      <c r="VZE148" s="18"/>
      <c r="VZF148" s="19"/>
      <c r="VZG148" s="20"/>
      <c r="VZH148" s="20"/>
      <c r="VZI148" s="20"/>
      <c r="VZJ148" s="20"/>
      <c r="VZK148" s="20"/>
      <c r="VZL148" s="20"/>
      <c r="VZM148" s="20"/>
      <c r="VZN148" s="20"/>
      <c r="VZO148" s="20"/>
      <c r="VZP148" s="20"/>
      <c r="VZQ148" s="20"/>
      <c r="VZR148" s="20"/>
      <c r="VZS148" s="20"/>
      <c r="VZT148" s="16"/>
      <c r="VZU148" s="18"/>
      <c r="VZV148" s="19"/>
      <c r="VZW148" s="20"/>
      <c r="VZX148" s="20"/>
      <c r="VZY148" s="20"/>
      <c r="VZZ148" s="20"/>
      <c r="WAA148" s="20"/>
      <c r="WAB148" s="20"/>
      <c r="WAC148" s="20"/>
      <c r="WAD148" s="20"/>
      <c r="WAE148" s="20"/>
      <c r="WAF148" s="20"/>
      <c r="WAG148" s="20"/>
      <c r="WAH148" s="20"/>
      <c r="WAI148" s="20"/>
      <c r="WAJ148" s="16"/>
      <c r="WAK148" s="18"/>
      <c r="WAL148" s="19"/>
      <c r="WAM148" s="20"/>
      <c r="WAN148" s="20"/>
      <c r="WAO148" s="20"/>
      <c r="WAP148" s="20"/>
      <c r="WAQ148" s="20"/>
      <c r="WAR148" s="20"/>
      <c r="WAS148" s="20"/>
      <c r="WAT148" s="20"/>
      <c r="WAU148" s="20"/>
      <c r="WAV148" s="20"/>
      <c r="WAW148" s="20"/>
      <c r="WAX148" s="20"/>
      <c r="WAY148" s="20"/>
      <c r="WAZ148" s="16"/>
      <c r="WBA148" s="18"/>
      <c r="WBB148" s="19"/>
      <c r="WBC148" s="20"/>
      <c r="WBD148" s="20"/>
      <c r="WBE148" s="20"/>
      <c r="WBF148" s="20"/>
      <c r="WBG148" s="20"/>
      <c r="WBH148" s="20"/>
      <c r="WBI148" s="20"/>
      <c r="WBJ148" s="20"/>
      <c r="WBK148" s="20"/>
      <c r="WBL148" s="20"/>
      <c r="WBM148" s="20"/>
      <c r="WBN148" s="20"/>
      <c r="WBO148" s="20"/>
      <c r="WBP148" s="16"/>
      <c r="WBQ148" s="18"/>
      <c r="WBR148" s="19"/>
      <c r="WBS148" s="20"/>
      <c r="WBT148" s="20"/>
      <c r="WBU148" s="20"/>
      <c r="WBV148" s="20"/>
      <c r="WBW148" s="20"/>
      <c r="WBX148" s="20"/>
      <c r="WBY148" s="20"/>
      <c r="WBZ148" s="20"/>
      <c r="WCA148" s="20"/>
      <c r="WCB148" s="20"/>
      <c r="WCC148" s="20"/>
      <c r="WCD148" s="20"/>
      <c r="WCE148" s="20"/>
      <c r="WCF148" s="16"/>
      <c r="WCG148" s="18"/>
      <c r="WCH148" s="19"/>
      <c r="WCI148" s="20"/>
      <c r="WCJ148" s="20"/>
      <c r="WCK148" s="20"/>
      <c r="WCL148" s="20"/>
      <c r="WCM148" s="20"/>
      <c r="WCN148" s="20"/>
      <c r="WCO148" s="20"/>
      <c r="WCP148" s="20"/>
      <c r="WCQ148" s="20"/>
      <c r="WCR148" s="20"/>
      <c r="WCS148" s="20"/>
      <c r="WCT148" s="20"/>
      <c r="WCU148" s="20"/>
      <c r="WCV148" s="16"/>
      <c r="WCW148" s="18"/>
      <c r="WCX148" s="19"/>
      <c r="WCY148" s="20"/>
      <c r="WCZ148" s="20"/>
      <c r="WDA148" s="20"/>
      <c r="WDB148" s="20"/>
      <c r="WDC148" s="20"/>
      <c r="WDD148" s="20"/>
      <c r="WDE148" s="20"/>
      <c r="WDF148" s="20"/>
      <c r="WDG148" s="20"/>
      <c r="WDH148" s="20"/>
      <c r="WDI148" s="20"/>
      <c r="WDJ148" s="20"/>
      <c r="WDK148" s="20"/>
      <c r="WDL148" s="16"/>
      <c r="WDM148" s="18"/>
      <c r="WDN148" s="19"/>
      <c r="WDO148" s="20"/>
      <c r="WDP148" s="20"/>
      <c r="WDQ148" s="20"/>
      <c r="WDR148" s="20"/>
      <c r="WDS148" s="20"/>
      <c r="WDT148" s="20"/>
      <c r="WDU148" s="20"/>
      <c r="WDV148" s="20"/>
      <c r="WDW148" s="20"/>
      <c r="WDX148" s="20"/>
      <c r="WDY148" s="20"/>
      <c r="WDZ148" s="20"/>
      <c r="WEA148" s="20"/>
      <c r="WEB148" s="16"/>
      <c r="WEC148" s="18"/>
      <c r="WED148" s="19"/>
      <c r="WEE148" s="20"/>
      <c r="WEF148" s="20"/>
      <c r="WEG148" s="20"/>
      <c r="WEH148" s="20"/>
      <c r="WEI148" s="20"/>
      <c r="WEJ148" s="20"/>
      <c r="WEK148" s="20"/>
      <c r="WEL148" s="20"/>
      <c r="WEM148" s="20"/>
      <c r="WEN148" s="20"/>
      <c r="WEO148" s="20"/>
      <c r="WEP148" s="20"/>
      <c r="WEQ148" s="20"/>
      <c r="WER148" s="16"/>
      <c r="WES148" s="18"/>
      <c r="WET148" s="19"/>
      <c r="WEU148" s="20"/>
      <c r="WEV148" s="20"/>
      <c r="WEW148" s="20"/>
      <c r="WEX148" s="20"/>
      <c r="WEY148" s="20"/>
      <c r="WEZ148" s="20"/>
      <c r="WFA148" s="20"/>
      <c r="WFB148" s="20"/>
      <c r="WFC148" s="20"/>
      <c r="WFD148" s="20"/>
      <c r="WFE148" s="20"/>
      <c r="WFF148" s="20"/>
      <c r="WFG148" s="20"/>
      <c r="WFH148" s="16"/>
      <c r="WFI148" s="18"/>
      <c r="WFJ148" s="19"/>
      <c r="WFK148" s="20"/>
      <c r="WFL148" s="20"/>
      <c r="WFM148" s="20"/>
      <c r="WFN148" s="20"/>
      <c r="WFO148" s="20"/>
      <c r="WFP148" s="20"/>
      <c r="WFQ148" s="20"/>
      <c r="WFR148" s="20"/>
      <c r="WFS148" s="20"/>
      <c r="WFT148" s="20"/>
      <c r="WFU148" s="20"/>
      <c r="WFV148" s="20"/>
      <c r="WFW148" s="20"/>
      <c r="WFX148" s="16"/>
      <c r="WFY148" s="18"/>
      <c r="WFZ148" s="19"/>
      <c r="WGA148" s="20"/>
      <c r="WGB148" s="20"/>
      <c r="WGC148" s="20"/>
      <c r="WGD148" s="20"/>
      <c r="WGE148" s="20"/>
      <c r="WGF148" s="20"/>
      <c r="WGG148" s="20"/>
      <c r="WGH148" s="20"/>
      <c r="WGI148" s="20"/>
      <c r="WGJ148" s="20"/>
      <c r="WGK148" s="20"/>
      <c r="WGL148" s="20"/>
      <c r="WGM148" s="20"/>
      <c r="WGN148" s="16"/>
      <c r="WGO148" s="18"/>
      <c r="WGP148" s="19"/>
      <c r="WGQ148" s="20"/>
      <c r="WGR148" s="20"/>
      <c r="WGS148" s="20"/>
      <c r="WGT148" s="20"/>
      <c r="WGU148" s="20"/>
      <c r="WGV148" s="20"/>
      <c r="WGW148" s="20"/>
      <c r="WGX148" s="20"/>
      <c r="WGY148" s="20"/>
      <c r="WGZ148" s="20"/>
      <c r="WHA148" s="20"/>
      <c r="WHB148" s="20"/>
      <c r="WHC148" s="20"/>
      <c r="WHD148" s="16"/>
      <c r="WHE148" s="18"/>
      <c r="WHF148" s="19"/>
      <c r="WHG148" s="20"/>
      <c r="WHH148" s="20"/>
      <c r="WHI148" s="20"/>
      <c r="WHJ148" s="20"/>
      <c r="WHK148" s="20"/>
      <c r="WHL148" s="20"/>
      <c r="WHM148" s="20"/>
      <c r="WHN148" s="20"/>
      <c r="WHO148" s="20"/>
      <c r="WHP148" s="20"/>
      <c r="WHQ148" s="20"/>
      <c r="WHR148" s="20"/>
      <c r="WHS148" s="20"/>
      <c r="WHT148" s="16"/>
      <c r="WHU148" s="18"/>
      <c r="WHV148" s="19"/>
      <c r="WHW148" s="20"/>
      <c r="WHX148" s="20"/>
      <c r="WHY148" s="20"/>
      <c r="WHZ148" s="20"/>
      <c r="WIA148" s="20"/>
      <c r="WIB148" s="20"/>
      <c r="WIC148" s="20"/>
      <c r="WID148" s="20"/>
      <c r="WIE148" s="20"/>
      <c r="WIF148" s="20"/>
      <c r="WIG148" s="20"/>
      <c r="WIH148" s="20"/>
      <c r="WII148" s="20"/>
      <c r="WIJ148" s="16"/>
      <c r="WIK148" s="18"/>
      <c r="WIL148" s="19"/>
      <c r="WIM148" s="20"/>
      <c r="WIN148" s="20"/>
      <c r="WIO148" s="20"/>
      <c r="WIP148" s="20"/>
      <c r="WIQ148" s="20"/>
      <c r="WIR148" s="20"/>
      <c r="WIS148" s="20"/>
      <c r="WIT148" s="20"/>
      <c r="WIU148" s="20"/>
      <c r="WIV148" s="20"/>
      <c r="WIW148" s="20"/>
      <c r="WIX148" s="20"/>
      <c r="WIY148" s="20"/>
      <c r="WIZ148" s="16"/>
      <c r="WJA148" s="18"/>
      <c r="WJB148" s="19"/>
      <c r="WJC148" s="20"/>
      <c r="WJD148" s="20"/>
      <c r="WJE148" s="20"/>
      <c r="WJF148" s="20"/>
      <c r="WJG148" s="20"/>
      <c r="WJH148" s="20"/>
      <c r="WJI148" s="20"/>
      <c r="WJJ148" s="20"/>
      <c r="WJK148" s="20"/>
      <c r="WJL148" s="20"/>
      <c r="WJM148" s="20"/>
      <c r="WJN148" s="20"/>
      <c r="WJO148" s="20"/>
      <c r="WJP148" s="16"/>
      <c r="WJQ148" s="18"/>
      <c r="WJR148" s="19"/>
      <c r="WJS148" s="20"/>
      <c r="WJT148" s="20"/>
      <c r="WJU148" s="20"/>
      <c r="WJV148" s="20"/>
      <c r="WJW148" s="20"/>
      <c r="WJX148" s="20"/>
      <c r="WJY148" s="20"/>
      <c r="WJZ148" s="20"/>
      <c r="WKA148" s="20"/>
      <c r="WKB148" s="20"/>
      <c r="WKC148" s="20"/>
      <c r="WKD148" s="20"/>
      <c r="WKE148" s="20"/>
      <c r="WKF148" s="16"/>
      <c r="WKG148" s="18"/>
      <c r="WKH148" s="19"/>
      <c r="WKI148" s="20"/>
      <c r="WKJ148" s="20"/>
      <c r="WKK148" s="20"/>
      <c r="WKL148" s="20"/>
      <c r="WKM148" s="20"/>
      <c r="WKN148" s="20"/>
      <c r="WKO148" s="20"/>
      <c r="WKP148" s="20"/>
      <c r="WKQ148" s="20"/>
      <c r="WKR148" s="20"/>
      <c r="WKS148" s="20"/>
      <c r="WKT148" s="20"/>
      <c r="WKU148" s="20"/>
      <c r="WKV148" s="16"/>
      <c r="WKW148" s="18"/>
      <c r="WKX148" s="19"/>
      <c r="WKY148" s="20"/>
      <c r="WKZ148" s="20"/>
      <c r="WLA148" s="20"/>
      <c r="WLB148" s="20"/>
      <c r="WLC148" s="20"/>
      <c r="WLD148" s="20"/>
      <c r="WLE148" s="20"/>
      <c r="WLF148" s="20"/>
      <c r="WLG148" s="20"/>
      <c r="WLH148" s="20"/>
      <c r="WLI148" s="20"/>
      <c r="WLJ148" s="20"/>
      <c r="WLK148" s="20"/>
      <c r="WLL148" s="16"/>
      <c r="WLM148" s="18"/>
      <c r="WLN148" s="19"/>
      <c r="WLO148" s="20"/>
      <c r="WLP148" s="20"/>
      <c r="WLQ148" s="20"/>
      <c r="WLR148" s="20"/>
      <c r="WLS148" s="20"/>
      <c r="WLT148" s="20"/>
      <c r="WLU148" s="20"/>
      <c r="WLV148" s="20"/>
      <c r="WLW148" s="20"/>
      <c r="WLX148" s="20"/>
      <c r="WLY148" s="20"/>
      <c r="WLZ148" s="20"/>
      <c r="WMA148" s="20"/>
      <c r="WMB148" s="16"/>
      <c r="WMC148" s="18"/>
      <c r="WMD148" s="19"/>
      <c r="WME148" s="20"/>
      <c r="WMF148" s="20"/>
      <c r="WMG148" s="20"/>
      <c r="WMH148" s="20"/>
      <c r="WMI148" s="20"/>
      <c r="WMJ148" s="20"/>
      <c r="WMK148" s="20"/>
      <c r="WML148" s="20"/>
      <c r="WMM148" s="20"/>
      <c r="WMN148" s="20"/>
      <c r="WMO148" s="20"/>
      <c r="WMP148" s="20"/>
      <c r="WMQ148" s="20"/>
      <c r="WMR148" s="16"/>
      <c r="WMS148" s="18"/>
      <c r="WMT148" s="19"/>
      <c r="WMU148" s="20"/>
      <c r="WMV148" s="20"/>
      <c r="WMW148" s="20"/>
      <c r="WMX148" s="20"/>
      <c r="WMY148" s="20"/>
      <c r="WMZ148" s="20"/>
      <c r="WNA148" s="20"/>
      <c r="WNB148" s="20"/>
      <c r="WNC148" s="20"/>
      <c r="WND148" s="20"/>
      <c r="WNE148" s="20"/>
      <c r="WNF148" s="20"/>
      <c r="WNG148" s="20"/>
      <c r="WNH148" s="16"/>
      <c r="WNI148" s="18"/>
      <c r="WNJ148" s="19"/>
      <c r="WNK148" s="20"/>
      <c r="WNL148" s="20"/>
      <c r="WNM148" s="20"/>
      <c r="WNN148" s="20"/>
      <c r="WNO148" s="20"/>
      <c r="WNP148" s="20"/>
      <c r="WNQ148" s="20"/>
      <c r="WNR148" s="20"/>
      <c r="WNS148" s="20"/>
      <c r="WNT148" s="20"/>
      <c r="WNU148" s="20"/>
      <c r="WNV148" s="20"/>
      <c r="WNW148" s="20"/>
      <c r="WNX148" s="16"/>
      <c r="WNY148" s="18"/>
      <c r="WNZ148" s="19"/>
      <c r="WOA148" s="20"/>
      <c r="WOB148" s="20"/>
      <c r="WOC148" s="20"/>
      <c r="WOD148" s="20"/>
      <c r="WOE148" s="20"/>
      <c r="WOF148" s="20"/>
      <c r="WOG148" s="20"/>
      <c r="WOH148" s="20"/>
      <c r="WOI148" s="20"/>
      <c r="WOJ148" s="20"/>
      <c r="WOK148" s="20"/>
      <c r="WOL148" s="20"/>
      <c r="WOM148" s="20"/>
      <c r="WON148" s="16"/>
      <c r="WOO148" s="18"/>
      <c r="WOP148" s="19"/>
      <c r="WOQ148" s="20"/>
      <c r="WOR148" s="20"/>
      <c r="WOS148" s="20"/>
      <c r="WOT148" s="20"/>
      <c r="WOU148" s="20"/>
      <c r="WOV148" s="20"/>
      <c r="WOW148" s="20"/>
      <c r="WOX148" s="20"/>
      <c r="WOY148" s="20"/>
      <c r="WOZ148" s="20"/>
      <c r="WPA148" s="20"/>
      <c r="WPB148" s="20"/>
      <c r="WPC148" s="20"/>
      <c r="WPD148" s="16"/>
      <c r="WPE148" s="18"/>
      <c r="WPF148" s="19"/>
      <c r="WPG148" s="20"/>
      <c r="WPH148" s="20"/>
      <c r="WPI148" s="20"/>
      <c r="WPJ148" s="20"/>
      <c r="WPK148" s="20"/>
      <c r="WPL148" s="20"/>
      <c r="WPM148" s="20"/>
      <c r="WPN148" s="20"/>
      <c r="WPO148" s="20"/>
      <c r="WPP148" s="20"/>
      <c r="WPQ148" s="20"/>
      <c r="WPR148" s="20"/>
      <c r="WPS148" s="20"/>
      <c r="WPT148" s="16"/>
      <c r="WPU148" s="18"/>
      <c r="WPV148" s="19"/>
      <c r="WPW148" s="20"/>
      <c r="WPX148" s="20"/>
      <c r="WPY148" s="20"/>
      <c r="WPZ148" s="20"/>
      <c r="WQA148" s="20"/>
      <c r="WQB148" s="20"/>
      <c r="WQC148" s="20"/>
      <c r="WQD148" s="20"/>
      <c r="WQE148" s="20"/>
      <c r="WQF148" s="20"/>
      <c r="WQG148" s="20"/>
      <c r="WQH148" s="20"/>
      <c r="WQI148" s="20"/>
      <c r="WQJ148" s="16"/>
      <c r="WQK148" s="18"/>
      <c r="WQL148" s="19"/>
      <c r="WQM148" s="20"/>
      <c r="WQN148" s="20"/>
      <c r="WQO148" s="20"/>
      <c r="WQP148" s="20"/>
      <c r="WQQ148" s="20"/>
      <c r="WQR148" s="20"/>
      <c r="WQS148" s="20"/>
      <c r="WQT148" s="20"/>
      <c r="WQU148" s="20"/>
      <c r="WQV148" s="20"/>
      <c r="WQW148" s="20"/>
      <c r="WQX148" s="20"/>
      <c r="WQY148" s="20"/>
      <c r="WQZ148" s="16"/>
      <c r="WRA148" s="18"/>
      <c r="WRB148" s="19"/>
      <c r="WRC148" s="20"/>
      <c r="WRD148" s="20"/>
      <c r="WRE148" s="20"/>
      <c r="WRF148" s="20"/>
      <c r="WRG148" s="20"/>
      <c r="WRH148" s="20"/>
      <c r="WRI148" s="20"/>
      <c r="WRJ148" s="20"/>
      <c r="WRK148" s="20"/>
      <c r="WRL148" s="20"/>
      <c r="WRM148" s="20"/>
      <c r="WRN148" s="20"/>
      <c r="WRO148" s="20"/>
      <c r="WRP148" s="16"/>
      <c r="WRQ148" s="18"/>
      <c r="WRR148" s="19"/>
      <c r="WRS148" s="20"/>
      <c r="WRT148" s="20"/>
      <c r="WRU148" s="20"/>
      <c r="WRV148" s="20"/>
      <c r="WRW148" s="20"/>
      <c r="WRX148" s="20"/>
      <c r="WRY148" s="20"/>
      <c r="WRZ148" s="20"/>
      <c r="WSA148" s="20"/>
      <c r="WSB148" s="20"/>
      <c r="WSC148" s="20"/>
      <c r="WSD148" s="20"/>
      <c r="WSE148" s="20"/>
      <c r="WSF148" s="16"/>
      <c r="WSG148" s="18"/>
      <c r="WSH148" s="19"/>
      <c r="WSI148" s="20"/>
      <c r="WSJ148" s="20"/>
      <c r="WSK148" s="20"/>
      <c r="WSL148" s="20"/>
      <c r="WSM148" s="20"/>
      <c r="WSN148" s="20"/>
      <c r="WSO148" s="20"/>
      <c r="WSP148" s="20"/>
      <c r="WSQ148" s="20"/>
      <c r="WSR148" s="20"/>
      <c r="WSS148" s="20"/>
      <c r="WST148" s="20"/>
      <c r="WSU148" s="20"/>
      <c r="WSV148" s="16"/>
      <c r="WSW148" s="18"/>
      <c r="WSX148" s="19"/>
      <c r="WSY148" s="20"/>
      <c r="WSZ148" s="20"/>
      <c r="WTA148" s="20"/>
      <c r="WTB148" s="20"/>
      <c r="WTC148" s="20"/>
      <c r="WTD148" s="20"/>
      <c r="WTE148" s="20"/>
      <c r="WTF148" s="20"/>
      <c r="WTG148" s="20"/>
      <c r="WTH148" s="20"/>
      <c r="WTI148" s="20"/>
      <c r="WTJ148" s="20"/>
      <c r="WTK148" s="20"/>
      <c r="WTL148" s="16"/>
      <c r="WTM148" s="18"/>
      <c r="WTN148" s="19"/>
      <c r="WTO148" s="20"/>
      <c r="WTP148" s="20"/>
      <c r="WTQ148" s="20"/>
      <c r="WTR148" s="20"/>
      <c r="WTS148" s="20"/>
      <c r="WTT148" s="20"/>
      <c r="WTU148" s="20"/>
      <c r="WTV148" s="20"/>
      <c r="WTW148" s="20"/>
      <c r="WTX148" s="20"/>
      <c r="WTY148" s="20"/>
      <c r="WTZ148" s="20"/>
      <c r="WUA148" s="20"/>
      <c r="WUB148" s="16"/>
      <c r="WUC148" s="18"/>
      <c r="WUD148" s="19"/>
      <c r="WUE148" s="20"/>
      <c r="WUF148" s="20"/>
      <c r="WUG148" s="20"/>
      <c r="WUH148" s="20"/>
      <c r="WUI148" s="20"/>
      <c r="WUJ148" s="20"/>
      <c r="WUK148" s="20"/>
      <c r="WUL148" s="20"/>
      <c r="WUM148" s="20"/>
      <c r="WUN148" s="20"/>
      <c r="WUO148" s="20"/>
      <c r="WUP148" s="20"/>
      <c r="WUQ148" s="20"/>
      <c r="WUR148" s="16"/>
      <c r="WUS148" s="18"/>
      <c r="WUT148" s="19"/>
      <c r="WUU148" s="20"/>
      <c r="WUV148" s="20"/>
      <c r="WUW148" s="20"/>
      <c r="WUX148" s="20"/>
      <c r="WUY148" s="20"/>
      <c r="WUZ148" s="20"/>
      <c r="WVA148" s="20"/>
      <c r="WVB148" s="20"/>
      <c r="WVC148" s="20"/>
      <c r="WVD148" s="20"/>
      <c r="WVE148" s="20"/>
      <c r="WVF148" s="20"/>
      <c r="WVG148" s="20"/>
      <c r="WVH148" s="16"/>
      <c r="WVI148" s="18"/>
      <c r="WVJ148" s="19"/>
      <c r="WVK148" s="20"/>
      <c r="WVL148" s="20"/>
      <c r="WVM148" s="20"/>
      <c r="WVN148" s="20"/>
      <c r="WVO148" s="20"/>
      <c r="WVP148" s="20"/>
      <c r="WVQ148" s="20"/>
      <c r="WVR148" s="20"/>
      <c r="WVS148" s="20"/>
      <c r="WVT148" s="20"/>
      <c r="WVU148" s="20"/>
      <c r="WVV148" s="20"/>
      <c r="WVW148" s="20"/>
      <c r="WVX148" s="16"/>
      <c r="WVY148" s="18"/>
      <c r="WVZ148" s="19"/>
      <c r="WWA148" s="20"/>
      <c r="WWB148" s="20"/>
      <c r="WWC148" s="20"/>
      <c r="WWD148" s="20"/>
      <c r="WWE148" s="20"/>
      <c r="WWF148" s="20"/>
      <c r="WWG148" s="20"/>
      <c r="WWH148" s="20"/>
      <c r="WWI148" s="20"/>
      <c r="WWJ148" s="20"/>
      <c r="WWK148" s="20"/>
      <c r="WWL148" s="20"/>
      <c r="WWM148" s="20"/>
      <c r="WWN148" s="16"/>
      <c r="WWO148" s="18"/>
      <c r="WWP148" s="19"/>
      <c r="WWQ148" s="20"/>
      <c r="WWR148" s="20"/>
      <c r="WWS148" s="20"/>
      <c r="WWT148" s="20"/>
      <c r="WWU148" s="20"/>
      <c r="WWV148" s="20"/>
      <c r="WWW148" s="20"/>
      <c r="WWX148" s="20"/>
      <c r="WWY148" s="20"/>
      <c r="WWZ148" s="20"/>
      <c r="WXA148" s="20"/>
      <c r="WXB148" s="20"/>
      <c r="WXC148" s="20"/>
      <c r="WXD148" s="16"/>
      <c r="WXE148" s="18"/>
      <c r="WXF148" s="19"/>
      <c r="WXG148" s="20"/>
      <c r="WXH148" s="20"/>
      <c r="WXI148" s="20"/>
      <c r="WXJ148" s="20"/>
      <c r="WXK148" s="20"/>
      <c r="WXL148" s="20"/>
      <c r="WXM148" s="20"/>
      <c r="WXN148" s="20"/>
      <c r="WXO148" s="20"/>
      <c r="WXP148" s="20"/>
      <c r="WXQ148" s="20"/>
      <c r="WXR148" s="20"/>
      <c r="WXS148" s="20"/>
      <c r="WXT148" s="16"/>
      <c r="WXU148" s="18"/>
      <c r="WXV148" s="19"/>
      <c r="WXW148" s="20"/>
      <c r="WXX148" s="20"/>
      <c r="WXY148" s="20"/>
      <c r="WXZ148" s="20"/>
      <c r="WYA148" s="20"/>
      <c r="WYB148" s="20"/>
      <c r="WYC148" s="20"/>
      <c r="WYD148" s="20"/>
      <c r="WYE148" s="20"/>
      <c r="WYF148" s="20"/>
      <c r="WYG148" s="20"/>
      <c r="WYH148" s="20"/>
      <c r="WYI148" s="20"/>
      <c r="WYJ148" s="16"/>
      <c r="WYK148" s="18"/>
      <c r="WYL148" s="19"/>
      <c r="WYM148" s="20"/>
      <c r="WYN148" s="20"/>
      <c r="WYO148" s="20"/>
      <c r="WYP148" s="20"/>
      <c r="WYQ148" s="20"/>
      <c r="WYR148" s="20"/>
      <c r="WYS148" s="20"/>
      <c r="WYT148" s="20"/>
      <c r="WYU148" s="20"/>
      <c r="WYV148" s="20"/>
      <c r="WYW148" s="20"/>
      <c r="WYX148" s="20"/>
      <c r="WYY148" s="20"/>
      <c r="WYZ148" s="16"/>
      <c r="WZA148" s="18"/>
      <c r="WZB148" s="19"/>
      <c r="WZC148" s="20"/>
      <c r="WZD148" s="20"/>
      <c r="WZE148" s="20"/>
      <c r="WZF148" s="20"/>
      <c r="WZG148" s="20"/>
      <c r="WZH148" s="20"/>
      <c r="WZI148" s="20"/>
      <c r="WZJ148" s="20"/>
      <c r="WZK148" s="20"/>
      <c r="WZL148" s="20"/>
      <c r="WZM148" s="20"/>
      <c r="WZN148" s="20"/>
      <c r="WZO148" s="20"/>
      <c r="WZP148" s="16"/>
      <c r="WZQ148" s="18"/>
      <c r="WZR148" s="19"/>
      <c r="WZS148" s="20"/>
      <c r="WZT148" s="20"/>
      <c r="WZU148" s="20"/>
      <c r="WZV148" s="20"/>
      <c r="WZW148" s="20"/>
      <c r="WZX148" s="20"/>
      <c r="WZY148" s="20"/>
      <c r="WZZ148" s="20"/>
      <c r="XAA148" s="20"/>
      <c r="XAB148" s="20"/>
      <c r="XAC148" s="20"/>
      <c r="XAD148" s="20"/>
      <c r="XAE148" s="20"/>
      <c r="XAF148" s="16"/>
      <c r="XAG148" s="18"/>
      <c r="XAH148" s="19"/>
      <c r="XAI148" s="20"/>
      <c r="XAJ148" s="20"/>
      <c r="XAK148" s="20"/>
      <c r="XAL148" s="20"/>
      <c r="XAM148" s="20"/>
      <c r="XAN148" s="20"/>
      <c r="XAO148" s="20"/>
      <c r="XAP148" s="20"/>
      <c r="XAQ148" s="20"/>
      <c r="XAR148" s="20"/>
      <c r="XAS148" s="20"/>
      <c r="XAT148" s="20"/>
      <c r="XAU148" s="20"/>
      <c r="XAV148" s="16"/>
      <c r="XAW148" s="18"/>
      <c r="XAX148" s="19"/>
      <c r="XAY148" s="20"/>
      <c r="XAZ148" s="20"/>
      <c r="XBA148" s="20"/>
      <c r="XBB148" s="20"/>
      <c r="XBC148" s="20"/>
      <c r="XBD148" s="20"/>
      <c r="XBE148" s="20"/>
      <c r="XBF148" s="20"/>
      <c r="XBG148" s="20"/>
      <c r="XBH148" s="20"/>
      <c r="XBI148" s="20"/>
      <c r="XBJ148" s="20"/>
      <c r="XBK148" s="20"/>
      <c r="XBL148" s="16"/>
      <c r="XBM148" s="18"/>
      <c r="XBN148" s="19"/>
      <c r="XBO148" s="20"/>
      <c r="XBP148" s="20"/>
      <c r="XBQ148" s="20"/>
      <c r="XBR148" s="20"/>
      <c r="XBS148" s="20"/>
      <c r="XBT148" s="20"/>
      <c r="XBU148" s="20"/>
      <c r="XBV148" s="20"/>
      <c r="XBW148" s="20"/>
      <c r="XBX148" s="20"/>
      <c r="XBY148" s="20"/>
      <c r="XBZ148" s="20"/>
      <c r="XCA148" s="20"/>
      <c r="XCB148" s="16"/>
      <c r="XCC148" s="18"/>
      <c r="XCD148" s="19"/>
      <c r="XCE148" s="20"/>
      <c r="XCF148" s="20"/>
      <c r="XCG148" s="20"/>
      <c r="XCH148" s="20"/>
      <c r="XCI148" s="20"/>
      <c r="XCJ148" s="20"/>
      <c r="XCK148" s="20"/>
      <c r="XCL148" s="20"/>
      <c r="XCM148" s="20"/>
      <c r="XCN148" s="20"/>
      <c r="XCO148" s="20"/>
      <c r="XCP148" s="20"/>
      <c r="XCQ148" s="20"/>
      <c r="XCR148" s="16"/>
      <c r="XCS148" s="18"/>
      <c r="XCT148" s="19"/>
      <c r="XCU148" s="20"/>
      <c r="XCV148" s="20"/>
      <c r="XCW148" s="20"/>
      <c r="XCX148" s="20"/>
      <c r="XCY148" s="20"/>
      <c r="XCZ148" s="20"/>
      <c r="XDA148" s="20"/>
      <c r="XDB148" s="20"/>
      <c r="XDC148" s="20"/>
      <c r="XDD148" s="20"/>
      <c r="XDE148" s="20"/>
      <c r="XDF148" s="20"/>
      <c r="XDG148" s="20"/>
      <c r="XDH148" s="16"/>
      <c r="XDI148" s="18"/>
      <c r="XDJ148" s="19"/>
      <c r="XDK148" s="20"/>
      <c r="XDL148" s="20"/>
      <c r="XDM148" s="20"/>
      <c r="XDN148" s="20"/>
      <c r="XDO148" s="20"/>
      <c r="XDP148" s="20"/>
      <c r="XDQ148" s="20"/>
      <c r="XDR148" s="20"/>
      <c r="XDS148" s="20"/>
      <c r="XDT148" s="20"/>
      <c r="XDU148" s="20"/>
      <c r="XDV148" s="20"/>
      <c r="XDW148" s="20"/>
      <c r="XDX148" s="16"/>
      <c r="XDY148" s="18"/>
      <c r="XDZ148" s="19"/>
      <c r="XEA148" s="20"/>
      <c r="XEB148" s="20"/>
      <c r="XEC148" s="20"/>
      <c r="XED148" s="20"/>
      <c r="XEE148" s="20"/>
      <c r="XEF148" s="20"/>
      <c r="XEG148" s="20"/>
      <c r="XEH148" s="20"/>
      <c r="XEI148" s="20"/>
      <c r="XEJ148" s="20"/>
      <c r="XEK148" s="20"/>
      <c r="XEL148" s="20"/>
      <c r="XEM148" s="20"/>
      <c r="XEN148" s="16"/>
      <c r="XEO148" s="18"/>
      <c r="XEP148" s="19"/>
      <c r="XEQ148" s="20"/>
      <c r="XER148" s="20"/>
      <c r="XES148" s="20"/>
      <c r="XET148" s="20"/>
      <c r="XEU148" s="20"/>
      <c r="XEV148" s="20"/>
      <c r="XEW148" s="20"/>
      <c r="XEX148" s="20"/>
      <c r="XEY148" s="20"/>
      <c r="XEZ148" s="20"/>
      <c r="XFA148" s="20"/>
      <c r="XFB148" s="20"/>
      <c r="XFC148" s="20"/>
      <c r="XFD148" s="16"/>
    </row>
    <row r="149" spans="1:16384" ht="17.100000000000001" customHeight="1">
      <c r="A149" s="22">
        <v>45924</v>
      </c>
      <c r="B149" s="15" t="s">
        <v>531</v>
      </c>
      <c r="C149" s="16" t="s">
        <v>2761</v>
      </c>
      <c r="D149" s="16" t="s">
        <v>2765</v>
      </c>
      <c r="E149" s="16" t="s">
        <v>2764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48</v>
      </c>
      <c r="N149" s="16">
        <v>27</v>
      </c>
      <c r="O149" s="16" t="s">
        <v>2336</v>
      </c>
      <c r="P149" s="16" t="s">
        <v>2760</v>
      </c>
      <c r="Q149" s="15" t="s">
        <v>2770</v>
      </c>
    </row>
    <row r="150" spans="1:16384" ht="17.100000000000001" customHeight="1">
      <c r="A150" s="22">
        <v>45924</v>
      </c>
      <c r="B150" s="15" t="s">
        <v>531</v>
      </c>
      <c r="C150" s="16" t="s">
        <v>2761</v>
      </c>
      <c r="D150" s="16" t="s">
        <v>2765</v>
      </c>
      <c r="E150" s="16" t="s">
        <v>2767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27</v>
      </c>
      <c r="O150" s="16" t="s">
        <v>2336</v>
      </c>
      <c r="P150" s="16" t="s">
        <v>2760</v>
      </c>
      <c r="Q150" s="15" t="s">
        <v>2770</v>
      </c>
    </row>
    <row r="151" spans="1:16384">
      <c r="A151" s="22">
        <v>45924</v>
      </c>
      <c r="B151" s="15" t="s">
        <v>531</v>
      </c>
      <c r="C151" s="16" t="s">
        <v>2761</v>
      </c>
      <c r="D151" s="16" t="s">
        <v>2768</v>
      </c>
      <c r="E151" s="16" t="s">
        <v>2769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54</v>
      </c>
      <c r="O151" s="16" t="s">
        <v>2336</v>
      </c>
      <c r="P151" s="16" t="s">
        <v>2760</v>
      </c>
      <c r="Q151" s="15" t="s">
        <v>2770</v>
      </c>
    </row>
    <row r="152" spans="1:16384">
      <c r="A152" s="22">
        <v>45924</v>
      </c>
      <c r="B152" s="15" t="s">
        <v>531</v>
      </c>
      <c r="C152" s="16" t="s">
        <v>2761</v>
      </c>
      <c r="D152" s="16" t="s">
        <v>2768</v>
      </c>
      <c r="E152" s="16" t="s">
        <v>2534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27</v>
      </c>
      <c r="O152" s="16" t="s">
        <v>2336</v>
      </c>
      <c r="P152" s="16" t="s">
        <v>2760</v>
      </c>
      <c r="Q152" s="15" t="s">
        <v>2770</v>
      </c>
    </row>
    <row r="153" spans="1:16384">
      <c r="A153" s="22">
        <v>45924</v>
      </c>
      <c r="B153" s="15" t="s">
        <v>531</v>
      </c>
      <c r="C153" s="16" t="s">
        <v>2761</v>
      </c>
      <c r="D153" s="16" t="s">
        <v>2747</v>
      </c>
      <c r="E153" s="16" t="s">
        <v>2785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v>27</v>
      </c>
      <c r="O153" s="16" t="s">
        <v>2336</v>
      </c>
      <c r="P153" s="16" t="s">
        <v>2760</v>
      </c>
      <c r="Q153" s="15" t="s">
        <v>2770</v>
      </c>
    </row>
    <row r="154" spans="1:16384">
      <c r="A154" s="22">
        <v>45924</v>
      </c>
      <c r="B154" s="15" t="s">
        <v>531</v>
      </c>
      <c r="C154" s="16" t="s">
        <v>2761</v>
      </c>
      <c r="D154" s="16" t="s">
        <v>2747</v>
      </c>
      <c r="E154" s="16" t="s">
        <v>2786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27</v>
      </c>
      <c r="O154" s="16" t="s">
        <v>2336</v>
      </c>
      <c r="P154" s="16" t="s">
        <v>2760</v>
      </c>
      <c r="Q154" s="15" t="s">
        <v>2770</v>
      </c>
    </row>
    <row r="155" spans="1:16384">
      <c r="A155" s="22">
        <v>45924</v>
      </c>
      <c r="B155" s="15" t="s">
        <v>531</v>
      </c>
      <c r="C155" s="16" t="s">
        <v>2761</v>
      </c>
      <c r="D155" s="16" t="s">
        <v>2747</v>
      </c>
      <c r="E155" s="16" t="s">
        <v>2785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27</v>
      </c>
      <c r="O155" s="16" t="s">
        <v>2336</v>
      </c>
      <c r="P155" s="16" t="s">
        <v>2760</v>
      </c>
      <c r="Q155" s="15" t="s">
        <v>2770</v>
      </c>
    </row>
    <row r="156" spans="1:16384">
      <c r="A156" s="22">
        <v>45924</v>
      </c>
      <c r="B156" s="15" t="s">
        <v>531</v>
      </c>
      <c r="C156" s="16" t="s">
        <v>2761</v>
      </c>
      <c r="D156" s="16" t="s">
        <v>2747</v>
      </c>
      <c r="E156" s="16" t="s">
        <v>2787</v>
      </c>
      <c r="F156" s="16" t="s">
        <v>48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27</v>
      </c>
      <c r="O156" s="16" t="s">
        <v>2336</v>
      </c>
      <c r="P156" s="16" t="s">
        <v>2760</v>
      </c>
      <c r="Q156" s="15" t="s">
        <v>2770</v>
      </c>
    </row>
    <row r="157" spans="1:16384">
      <c r="A157" s="22">
        <v>45924</v>
      </c>
      <c r="B157" s="15" t="s">
        <v>531</v>
      </c>
      <c r="C157" s="16" t="s">
        <v>2761</v>
      </c>
      <c r="D157" s="16" t="s">
        <v>2747</v>
      </c>
      <c r="E157" s="16" t="s">
        <v>2788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27</v>
      </c>
      <c r="O157" s="16" t="s">
        <v>2336</v>
      </c>
      <c r="P157" s="16" t="s">
        <v>2760</v>
      </c>
      <c r="Q157" s="15" t="s">
        <v>2770</v>
      </c>
    </row>
    <row r="158" spans="1:16384" ht="16.5" customHeight="1">
      <c r="A158" s="22">
        <v>45924</v>
      </c>
      <c r="B158" s="15" t="s">
        <v>531</v>
      </c>
      <c r="C158" s="16" t="s">
        <v>2761</v>
      </c>
      <c r="D158" s="16" t="s">
        <v>2747</v>
      </c>
      <c r="E158" s="16" t="s">
        <v>2787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27</v>
      </c>
      <c r="O158" s="16" t="s">
        <v>2336</v>
      </c>
      <c r="P158" s="16" t="s">
        <v>2760</v>
      </c>
      <c r="Q158" s="15" t="s">
        <v>2770</v>
      </c>
    </row>
    <row r="159" spans="1:16384" ht="17.100000000000001" customHeight="1">
      <c r="A159" s="22">
        <v>45924</v>
      </c>
      <c r="B159" s="15" t="s">
        <v>531</v>
      </c>
      <c r="C159" s="16" t="s">
        <v>2761</v>
      </c>
      <c r="D159" s="16" t="s">
        <v>2747</v>
      </c>
      <c r="E159" s="16" t="s">
        <v>2786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27</v>
      </c>
      <c r="O159" s="16" t="s">
        <v>2336</v>
      </c>
      <c r="P159" s="16" t="s">
        <v>2760</v>
      </c>
      <c r="Q159" s="15" t="s">
        <v>2770</v>
      </c>
    </row>
    <row r="160" spans="1:16384" ht="17.100000000000001" customHeight="1">
      <c r="A160" s="22">
        <v>45924</v>
      </c>
      <c r="B160" s="15" t="s">
        <v>531</v>
      </c>
      <c r="C160" s="16" t="s">
        <v>2761</v>
      </c>
      <c r="D160" s="16" t="s">
        <v>2747</v>
      </c>
      <c r="E160" s="16" t="s">
        <v>2767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14</v>
      </c>
      <c r="O160" s="16" t="s">
        <v>2336</v>
      </c>
      <c r="P160" s="16" t="s">
        <v>2760</v>
      </c>
      <c r="Q160" s="15" t="s">
        <v>2770</v>
      </c>
    </row>
    <row r="161" spans="1:17" ht="17.100000000000001" customHeight="1">
      <c r="A161" s="22">
        <v>45929</v>
      </c>
      <c r="B161" s="15" t="s">
        <v>41</v>
      </c>
      <c r="C161" s="16" t="s">
        <v>2789</v>
      </c>
      <c r="D161" s="16" t="s">
        <v>2790</v>
      </c>
      <c r="E161" s="16" t="s">
        <v>48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204</v>
      </c>
      <c r="O161" s="16" t="s">
        <v>2757</v>
      </c>
      <c r="P161" s="16" t="s">
        <v>2796</v>
      </c>
      <c r="Q161" s="15" t="s">
        <v>2795</v>
      </c>
    </row>
    <row r="162" spans="1:17" ht="17.100000000000001" customHeight="1">
      <c r="A162" s="22">
        <v>45929</v>
      </c>
      <c r="B162" s="15" t="s">
        <v>41</v>
      </c>
      <c r="C162" s="16" t="s">
        <v>2789</v>
      </c>
      <c r="D162" s="16" t="s">
        <v>2791</v>
      </c>
      <c r="E162" s="16" t="s">
        <v>48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v>36</v>
      </c>
      <c r="O162" s="16" t="s">
        <v>2757</v>
      </c>
      <c r="P162" s="16" t="s">
        <v>2796</v>
      </c>
      <c r="Q162" s="15" t="s">
        <v>2795</v>
      </c>
    </row>
    <row r="163" spans="1:17" ht="17.100000000000001" customHeight="1">
      <c r="A163" s="22">
        <v>45929</v>
      </c>
      <c r="B163" s="15" t="s">
        <v>29</v>
      </c>
      <c r="C163" s="16" t="s">
        <v>2789</v>
      </c>
      <c r="D163" s="16" t="s">
        <v>2792</v>
      </c>
      <c r="E163" s="16" t="s">
        <v>48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25</v>
      </c>
      <c r="O163" s="16" t="s">
        <v>2757</v>
      </c>
      <c r="P163" s="16" t="s">
        <v>2798</v>
      </c>
      <c r="Q163" s="15" t="s">
        <v>2797</v>
      </c>
    </row>
    <row r="164" spans="1:17" ht="17.100000000000001" customHeight="1">
      <c r="A164" s="22">
        <v>45929</v>
      </c>
      <c r="B164" s="15" t="s">
        <v>29</v>
      </c>
      <c r="C164" s="16" t="s">
        <v>2789</v>
      </c>
      <c r="D164" s="16" t="s">
        <v>2793</v>
      </c>
      <c r="E164" s="16" t="s">
        <v>48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100</v>
      </c>
      <c r="O164" s="16" t="s">
        <v>2757</v>
      </c>
      <c r="P164" s="16" t="s">
        <v>2798</v>
      </c>
      <c r="Q164" s="15" t="s">
        <v>2797</v>
      </c>
    </row>
    <row r="165" spans="1:17" ht="17.100000000000001" customHeight="1">
      <c r="A165" s="22">
        <v>45929</v>
      </c>
      <c r="B165" s="21" t="s">
        <v>28</v>
      </c>
      <c r="C165" s="16" t="s">
        <v>2789</v>
      </c>
      <c r="D165" s="16" t="s">
        <v>2768</v>
      </c>
      <c r="E165" s="16" t="s">
        <v>2794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40</v>
      </c>
      <c r="O165" s="16" t="s">
        <v>2757</v>
      </c>
      <c r="P165" s="16" t="s">
        <v>2800</v>
      </c>
      <c r="Q165" s="15" t="s">
        <v>2799</v>
      </c>
    </row>
    <row r="166" spans="1:17" ht="17.100000000000001" customHeight="1">
      <c r="A166" s="22">
        <v>45930</v>
      </c>
      <c r="B166" s="15" t="s">
        <v>140</v>
      </c>
      <c r="C166" s="16" t="s">
        <v>2802</v>
      </c>
      <c r="D166" s="16" t="s">
        <v>269</v>
      </c>
      <c r="E166" s="16" t="s">
        <v>48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5</v>
      </c>
      <c r="O166" s="16" t="s">
        <v>2336</v>
      </c>
      <c r="P166" s="16" t="s">
        <v>2801</v>
      </c>
      <c r="Q166" s="15" t="s">
        <v>2803</v>
      </c>
    </row>
    <row r="167" spans="1:17" ht="17.100000000000001" customHeight="1">
      <c r="A167" s="22">
        <v>45930</v>
      </c>
      <c r="B167" s="15" t="s">
        <v>1407</v>
      </c>
      <c r="C167" s="16" t="s">
        <v>2802</v>
      </c>
      <c r="D167" s="16" t="s">
        <v>48</v>
      </c>
      <c r="E167" s="16" t="s">
        <v>48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>
        <v>24724</v>
      </c>
      <c r="N167" s="16">
        <v>40</v>
      </c>
      <c r="O167" s="16" t="s">
        <v>2336</v>
      </c>
      <c r="P167" s="16" t="s">
        <v>2805</v>
      </c>
      <c r="Q167" s="15" t="s">
        <v>2804</v>
      </c>
    </row>
    <row r="168" spans="1:17" ht="17.100000000000001" customHeight="1">
      <c r="A168" s="22">
        <v>45930</v>
      </c>
      <c r="B168" s="15" t="s">
        <v>2806</v>
      </c>
      <c r="C168" s="16" t="s">
        <v>2802</v>
      </c>
      <c r="D168" s="16" t="s">
        <v>2793</v>
      </c>
      <c r="E168" s="16" t="s">
        <v>48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20</v>
      </c>
      <c r="O168" s="16" t="s">
        <v>2336</v>
      </c>
      <c r="P168" s="15" t="s">
        <v>2807</v>
      </c>
      <c r="Q168" s="15" t="s">
        <v>2808</v>
      </c>
    </row>
    <row r="169" spans="1:17" ht="17.100000000000001" customHeight="1">
      <c r="A169" s="22">
        <v>45930</v>
      </c>
      <c r="B169" s="15" t="s">
        <v>1317</v>
      </c>
      <c r="C169" s="16" t="s">
        <v>2802</v>
      </c>
      <c r="D169" s="16" t="s">
        <v>48</v>
      </c>
      <c r="E169" s="16" t="s">
        <v>48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2819</v>
      </c>
      <c r="N169" s="16">
        <v>40</v>
      </c>
      <c r="O169" s="16" t="s">
        <v>2336</v>
      </c>
      <c r="P169" s="16" t="s">
        <v>2810</v>
      </c>
      <c r="Q169" s="15" t="s">
        <v>2809</v>
      </c>
    </row>
    <row r="170" spans="1:17" ht="17.100000000000001" customHeight="1">
      <c r="A170" s="22">
        <v>45930</v>
      </c>
      <c r="B170" s="15" t="s">
        <v>2811</v>
      </c>
      <c r="C170" s="16" t="s">
        <v>2802</v>
      </c>
      <c r="D170" s="16" t="s">
        <v>2790</v>
      </c>
      <c r="E170" s="16" t="s">
        <v>48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30</v>
      </c>
      <c r="O170" s="16" t="s">
        <v>2336</v>
      </c>
      <c r="P170" s="16" t="s">
        <v>2813</v>
      </c>
      <c r="Q170" s="15" t="s">
        <v>2812</v>
      </c>
    </row>
    <row r="171" spans="1:17" ht="17.100000000000001" customHeight="1">
      <c r="A171" s="22">
        <v>45930</v>
      </c>
      <c r="B171" s="15" t="s">
        <v>1664</v>
      </c>
      <c r="C171" s="16" t="s">
        <v>2802</v>
      </c>
      <c r="D171" s="16" t="s">
        <v>48</v>
      </c>
      <c r="E171" s="16" t="s">
        <v>48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60</v>
      </c>
      <c r="O171" s="16" t="s">
        <v>2336</v>
      </c>
      <c r="P171" s="16" t="s">
        <v>2815</v>
      </c>
      <c r="Q171" s="15" t="s">
        <v>2814</v>
      </c>
    </row>
    <row r="172" spans="1:17" ht="17.100000000000001" customHeight="1">
      <c r="A172" s="22">
        <v>45930</v>
      </c>
      <c r="B172" s="15" t="s">
        <v>2004</v>
      </c>
      <c r="C172" s="16" t="s">
        <v>2802</v>
      </c>
      <c r="D172" s="16" t="s">
        <v>2818</v>
      </c>
      <c r="E172" s="16" t="s">
        <v>48</v>
      </c>
      <c r="F172" s="16" t="s">
        <v>48</v>
      </c>
      <c r="G172" s="16" t="s">
        <v>48</v>
      </c>
      <c r="H172" s="16" t="s">
        <v>48</v>
      </c>
      <c r="I172" s="16" t="s">
        <v>48</v>
      </c>
      <c r="J172" s="16" t="s">
        <v>48</v>
      </c>
      <c r="K172" s="16" t="s">
        <v>48</v>
      </c>
      <c r="L172" s="16" t="s">
        <v>48</v>
      </c>
      <c r="M172" s="16" t="s">
        <v>48</v>
      </c>
      <c r="N172" s="16">
        <v>20</v>
      </c>
      <c r="O172" s="16" t="s">
        <v>2336</v>
      </c>
      <c r="P172" s="16" t="s">
        <v>2816</v>
      </c>
      <c r="Q172" s="15" t="s">
        <v>2817</v>
      </c>
    </row>
    <row r="173" spans="1:17" ht="17.100000000000001" customHeight="1">
      <c r="A173" s="22">
        <v>45930</v>
      </c>
      <c r="B173" s="15" t="s">
        <v>136</v>
      </c>
      <c r="C173" s="16" t="s">
        <v>2802</v>
      </c>
      <c r="D173" s="16" t="s">
        <v>2820</v>
      </c>
      <c r="E173" s="16" t="s">
        <v>48</v>
      </c>
      <c r="F173" s="16" t="s">
        <v>48</v>
      </c>
      <c r="G173" s="16" t="s">
        <v>48</v>
      </c>
      <c r="H173" s="16" t="s">
        <v>48</v>
      </c>
      <c r="I173" s="16" t="s">
        <v>48</v>
      </c>
      <c r="J173" s="16" t="s">
        <v>48</v>
      </c>
      <c r="K173" s="16" t="s">
        <v>48</v>
      </c>
      <c r="L173" s="16" t="s">
        <v>48</v>
      </c>
      <c r="M173" s="16" t="s">
        <v>48</v>
      </c>
      <c r="N173" s="16">
        <v>24</v>
      </c>
      <c r="O173" s="16" t="s">
        <v>2336</v>
      </c>
      <c r="P173" s="16" t="s">
        <v>2807</v>
      </c>
      <c r="Q173" s="15" t="s">
        <v>2808</v>
      </c>
    </row>
    <row r="174" spans="1:17" ht="17.100000000000001" customHeight="1">
      <c r="A174" s="22"/>
      <c r="B174" s="15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5"/>
      <c r="Q174" s="15"/>
    </row>
    <row r="175" spans="1:17" ht="17.100000000000001" customHeight="1">
      <c r="A175" s="22"/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28"/>
      <c r="Q175" s="15"/>
    </row>
    <row r="176" spans="1:17" ht="17.100000000000001" customHeight="1">
      <c r="A176" s="17"/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5"/>
    </row>
    <row r="177" spans="1:17" ht="17.100000000000001" customHeight="1">
      <c r="A177" s="21"/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5"/>
    </row>
    <row r="178" spans="1:17" ht="17.100000000000001" customHeight="1">
      <c r="A178" s="17"/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5"/>
    </row>
    <row r="179" spans="1:17" ht="17.100000000000001" customHeight="1">
      <c r="A179" s="17"/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5"/>
    </row>
    <row r="180" spans="1:17" ht="17.100000000000001" customHeight="1">
      <c r="A180" s="17"/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5"/>
    </row>
    <row r="181" spans="1:17" ht="17.100000000000001" customHeight="1">
      <c r="A181" s="17"/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5"/>
    </row>
    <row r="182" spans="1:17" ht="17.100000000000001" customHeight="1">
      <c r="A182" s="17"/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5"/>
    </row>
    <row r="183" spans="1:17" ht="17.100000000000001" customHeight="1">
      <c r="A183" s="17"/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5"/>
    </row>
    <row r="184" spans="1:17" ht="17.100000000000001" customHeight="1">
      <c r="A184" s="17"/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31"/>
    </row>
    <row r="185" spans="1:17" ht="17.100000000000001" customHeight="1">
      <c r="A185" s="21"/>
      <c r="B185" s="15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31"/>
    </row>
    <row r="186" spans="1:17" ht="17.100000000000001" customHeight="1">
      <c r="A186" s="17"/>
      <c r="B186" s="15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31"/>
    </row>
    <row r="187" spans="1:17" ht="17.100000000000001" customHeight="1">
      <c r="A187" s="17"/>
      <c r="B187" s="15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31"/>
    </row>
    <row r="188" spans="1:17" ht="17.100000000000001" customHeight="1">
      <c r="A188" s="17"/>
      <c r="B188" s="15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31"/>
    </row>
    <row r="189" spans="1:17" ht="17.100000000000001" customHeight="1">
      <c r="A189" s="17"/>
      <c r="B189" s="15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31"/>
    </row>
    <row r="190" spans="1:17" ht="17.100000000000001" customHeight="1">
      <c r="A190" s="17"/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31"/>
    </row>
    <row r="191" spans="1:17" ht="17.100000000000001" customHeight="1">
      <c r="A191" s="17"/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31"/>
    </row>
    <row r="192" spans="1:17" ht="17.100000000000001" customHeight="1">
      <c r="A192" s="17"/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31"/>
    </row>
    <row r="193" spans="1:17" ht="17.100000000000001" customHeight="1">
      <c r="A193" s="17"/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31"/>
    </row>
    <row r="194" spans="1:17" ht="17.100000000000001" customHeight="1">
      <c r="A194" s="17"/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31"/>
    </row>
    <row r="195" spans="1:17" ht="17.100000000000001" customHeight="1">
      <c r="A195" s="17"/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31"/>
    </row>
    <row r="196" spans="1:17" ht="17.100000000000001" customHeight="1">
      <c r="A196" s="17"/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31"/>
    </row>
    <row r="197" spans="1:17" ht="17.100000000000001" customHeight="1">
      <c r="A197" s="17"/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31"/>
    </row>
    <row r="198" spans="1:17" ht="17.100000000000001" customHeight="1">
      <c r="A198" s="17"/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31"/>
    </row>
    <row r="199" spans="1:17" ht="17.100000000000001" customHeight="1">
      <c r="A199" s="17"/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31"/>
    </row>
    <row r="200" spans="1:17" ht="17.100000000000001" customHeight="1">
      <c r="A200" s="17"/>
      <c r="B200" s="15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31"/>
    </row>
    <row r="201" spans="1:17" ht="17.100000000000001" customHeight="1">
      <c r="A201" s="17"/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31"/>
    </row>
    <row r="202" spans="1:17" ht="17.100000000000001" customHeight="1">
      <c r="A202" s="17"/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31"/>
    </row>
    <row r="203" spans="1:17" ht="17.100000000000001" customHeight="1">
      <c r="A203" s="17"/>
      <c r="B203" s="15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31"/>
    </row>
    <row r="204" spans="1:17" ht="17.100000000000001" customHeight="1">
      <c r="A204" s="17"/>
      <c r="B204" s="15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31"/>
    </row>
    <row r="205" spans="1:17" ht="17.100000000000001" customHeight="1">
      <c r="A205" s="17"/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31"/>
    </row>
    <row r="206" spans="1:17" ht="17.100000000000001" customHeight="1">
      <c r="A206" s="17"/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31"/>
    </row>
    <row r="207" spans="1:17" ht="17.100000000000001" customHeight="1">
      <c r="A207" s="22"/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31"/>
    </row>
    <row r="208" spans="1:17" ht="17.100000000000001" customHeight="1">
      <c r="A208" s="17"/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31"/>
    </row>
    <row r="209" spans="1:17" ht="17.100000000000001" customHeight="1">
      <c r="A209" s="17"/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31"/>
    </row>
    <row r="210" spans="1:17" ht="17.100000000000001" customHeight="1">
      <c r="A210" s="17"/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31"/>
    </row>
    <row r="211" spans="1:17" ht="17.100000000000001" customHeight="1">
      <c r="A211" s="17"/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31"/>
    </row>
    <row r="212" spans="1:17" ht="17.100000000000001" customHeight="1">
      <c r="A212" s="17"/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31"/>
    </row>
    <row r="213" spans="1:17" ht="17.100000000000001" customHeight="1">
      <c r="A213" s="17"/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31"/>
    </row>
    <row r="214" spans="1:17" ht="17.100000000000001" customHeight="1">
      <c r="A214" s="17"/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31"/>
    </row>
    <row r="215" spans="1:17" ht="17.100000000000001" customHeight="1">
      <c r="A215" s="17"/>
      <c r="B215" s="15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31"/>
    </row>
    <row r="216" spans="1:17" ht="17.100000000000001" customHeight="1">
      <c r="A216" s="17"/>
      <c r="B216" s="15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31"/>
    </row>
    <row r="217" spans="1:17" ht="17.100000000000001" customHeight="1">
      <c r="A217" s="17"/>
      <c r="B217" s="15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31"/>
    </row>
    <row r="218" spans="1:17" ht="17.100000000000001" customHeight="1">
      <c r="A218" s="17"/>
      <c r="B218" s="15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31"/>
    </row>
    <row r="219" spans="1:17" ht="17.100000000000001" customHeight="1">
      <c r="A219" s="17"/>
      <c r="B219" s="15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31"/>
    </row>
    <row r="220" spans="1:17" ht="17.100000000000001" customHeight="1">
      <c r="A220" s="17"/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31"/>
    </row>
    <row r="221" spans="1:17" ht="17.100000000000001" customHeight="1">
      <c r="A221" s="17"/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31"/>
    </row>
    <row r="222" spans="1:17" ht="17.100000000000001" customHeight="1">
      <c r="A222" s="17"/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31"/>
    </row>
    <row r="223" spans="1:17" ht="17.100000000000001" customHeight="1">
      <c r="A223" s="17"/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31"/>
    </row>
    <row r="224" spans="1:17" ht="17.100000000000001" customHeight="1">
      <c r="A224" s="17"/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31"/>
    </row>
    <row r="225" spans="1:17" ht="17.100000000000001" customHeight="1">
      <c r="A225" s="17"/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31"/>
    </row>
    <row r="226" spans="1:17" ht="17.100000000000001" customHeight="1">
      <c r="A226" s="17"/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31"/>
    </row>
    <row r="227" spans="1:17" ht="17.100000000000001" customHeight="1">
      <c r="A227" s="17"/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31"/>
    </row>
    <row r="228" spans="1:17" ht="17.100000000000001" customHeight="1">
      <c r="A228" s="17"/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31"/>
    </row>
    <row r="229" spans="1:17" ht="17.100000000000001" customHeight="1">
      <c r="A229" s="17"/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31"/>
    </row>
    <row r="230" spans="1:17" ht="17.100000000000001" customHeight="1">
      <c r="A230" s="17"/>
      <c r="B230" s="15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31"/>
    </row>
    <row r="231" spans="1:17" ht="17.100000000000001" customHeight="1">
      <c r="A231" s="17"/>
      <c r="B231" s="15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31"/>
    </row>
    <row r="232" spans="1:17" ht="17.100000000000001" customHeight="1">
      <c r="A232" s="17"/>
      <c r="B232" s="15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31"/>
    </row>
    <row r="233" spans="1:17" ht="17.100000000000001" customHeight="1">
      <c r="A233" s="17"/>
      <c r="B233" s="15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31"/>
    </row>
    <row r="234" spans="1:17" ht="17.100000000000001" customHeight="1">
      <c r="A234" s="17"/>
      <c r="B234" s="15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31"/>
    </row>
    <row r="235" spans="1:17" ht="17.100000000000001" customHeight="1">
      <c r="A235" s="17"/>
      <c r="B235" s="15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31"/>
    </row>
    <row r="236" spans="1:17" ht="17.100000000000001" customHeight="1">
      <c r="A236" s="17"/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31"/>
    </row>
    <row r="237" spans="1:17" ht="17.100000000000001" customHeight="1">
      <c r="A237" s="17"/>
      <c r="B237" s="15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31"/>
    </row>
    <row r="238" spans="1:17" ht="17.100000000000001" customHeight="1">
      <c r="A238" s="17"/>
      <c r="B238" s="15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31"/>
    </row>
    <row r="239" spans="1:17" ht="17.100000000000001" customHeight="1">
      <c r="A239" s="17"/>
      <c r="B239" s="15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31"/>
    </row>
    <row r="240" spans="1:17" ht="17.100000000000001" customHeight="1">
      <c r="A240" s="17"/>
      <c r="B240" s="15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31"/>
    </row>
    <row r="241" spans="1:17" ht="17.100000000000001" customHeight="1">
      <c r="A241" s="17"/>
      <c r="B241" s="15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31"/>
    </row>
    <row r="242" spans="1:17" ht="17.100000000000001" customHeight="1">
      <c r="A242" s="17"/>
      <c r="B242" s="15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31"/>
    </row>
    <row r="243" spans="1:17" ht="17.100000000000001" customHeight="1">
      <c r="A243" s="17"/>
      <c r="B243" s="15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31"/>
    </row>
    <row r="244" spans="1:17" ht="17.100000000000001" customHeight="1">
      <c r="A244" s="17"/>
      <c r="B244" s="15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31"/>
    </row>
    <row r="245" spans="1:17" ht="17.100000000000001" customHeight="1">
      <c r="A245" s="17"/>
      <c r="B245" s="15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31"/>
    </row>
    <row r="246" spans="1:17" ht="17.100000000000001" customHeight="1">
      <c r="A246" s="17"/>
      <c r="B246" s="15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31"/>
    </row>
    <row r="247" spans="1:17">
      <c r="A247" s="17"/>
      <c r="B247" s="15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33"/>
    </row>
    <row r="248" spans="1:17">
      <c r="A248" s="17"/>
      <c r="B248" s="15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33"/>
    </row>
    <row r="249" spans="1:17">
      <c r="A249" s="17"/>
      <c r="B249" s="15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33"/>
    </row>
    <row r="250" spans="1:17">
      <c r="A250" s="17"/>
      <c r="B250" s="15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33"/>
    </row>
    <row r="251" spans="1:17">
      <c r="A251" s="17"/>
      <c r="B251" s="15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33"/>
    </row>
    <row r="252" spans="1:17">
      <c r="A252" s="17"/>
      <c r="B252" s="1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33"/>
    </row>
    <row r="253" spans="1:17">
      <c r="A253" s="17"/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33"/>
    </row>
    <row r="254" spans="1:17">
      <c r="A254" s="17"/>
      <c r="B254" s="1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33"/>
    </row>
    <row r="255" spans="1:17" ht="15" thickBot="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16"/>
      <c r="Q255" s="33"/>
    </row>
    <row r="256" spans="1:17">
      <c r="A256" s="25" t="s">
        <v>352</v>
      </c>
      <c r="B256" s="13"/>
      <c r="C256" s="13"/>
      <c r="D256" s="12"/>
      <c r="E256" s="13"/>
      <c r="H256" s="13"/>
      <c r="I256" s="13"/>
      <c r="J256" s="12"/>
      <c r="K256" s="13"/>
      <c r="L256" s="12" t="s">
        <v>18</v>
      </c>
      <c r="M256" s="12"/>
      <c r="N256" s="14"/>
    </row>
    <row r="257" spans="13:13">
      <c r="M257" s="2" t="s">
        <v>19</v>
      </c>
    </row>
    <row r="258" spans="13:13">
      <c r="M258" s="2" t="s">
        <v>20</v>
      </c>
    </row>
    <row r="259" spans="13:13">
      <c r="M259" s="2" t="s">
        <v>21</v>
      </c>
    </row>
    <row r="260" spans="13:13">
      <c r="M260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396"/>
  <sheetViews>
    <sheetView view="pageBreakPreview" topLeftCell="A238" zoomScaleNormal="100" zoomScaleSheetLayoutView="100" workbookViewId="0">
      <selection activeCell="J273" sqref="J273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39" style="2" customWidth="1"/>
    <col min="16" max="16" width="20.71093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/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22">
        <v>45931</v>
      </c>
      <c r="B9" s="15" t="s">
        <v>62</v>
      </c>
      <c r="C9" s="16" t="s">
        <v>2835</v>
      </c>
      <c r="D9" s="16" t="s">
        <v>2836</v>
      </c>
      <c r="E9" s="16" t="s">
        <v>48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120</v>
      </c>
      <c r="O9" s="16" t="s">
        <v>2336</v>
      </c>
      <c r="P9" s="15" t="s">
        <v>2822</v>
      </c>
      <c r="Q9" s="33" t="s">
        <v>2821</v>
      </c>
    </row>
    <row r="10" spans="1:17" ht="17.100000000000001" customHeight="1">
      <c r="A10" s="22">
        <v>45931</v>
      </c>
      <c r="B10" s="15" t="s">
        <v>1477</v>
      </c>
      <c r="C10" s="16" t="s">
        <v>2835</v>
      </c>
      <c r="D10" s="16" t="s">
        <v>48</v>
      </c>
      <c r="E10" s="16" t="s">
        <v>48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100</v>
      </c>
      <c r="O10" s="16" t="s">
        <v>2336</v>
      </c>
      <c r="P10" s="15" t="s">
        <v>2825</v>
      </c>
      <c r="Q10" s="33" t="s">
        <v>2823</v>
      </c>
    </row>
    <row r="11" spans="1:17" ht="17.100000000000001" customHeight="1">
      <c r="A11" s="22">
        <v>45931</v>
      </c>
      <c r="B11" s="15" t="s">
        <v>28</v>
      </c>
      <c r="C11" s="16" t="s">
        <v>2835</v>
      </c>
      <c r="D11" s="16" t="s">
        <v>2768</v>
      </c>
      <c r="E11" s="16" t="s">
        <v>2820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40</v>
      </c>
      <c r="O11" s="16" t="s">
        <v>2336</v>
      </c>
      <c r="P11" s="15" t="s">
        <v>2824</v>
      </c>
      <c r="Q11" s="33" t="s">
        <v>2826</v>
      </c>
    </row>
    <row r="12" spans="1:17" ht="17.100000000000001" customHeight="1">
      <c r="A12" s="22">
        <v>45931</v>
      </c>
      <c r="B12" s="15" t="s">
        <v>72</v>
      </c>
      <c r="C12" s="16" t="s">
        <v>2835</v>
      </c>
      <c r="D12" s="16" t="s">
        <v>48</v>
      </c>
      <c r="E12" s="16" t="s">
        <v>48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20</v>
      </c>
      <c r="O12" s="16" t="s">
        <v>2336</v>
      </c>
      <c r="P12" s="15" t="s">
        <v>2828</v>
      </c>
      <c r="Q12" s="33" t="s">
        <v>2827</v>
      </c>
    </row>
    <row r="13" spans="1:17" ht="17.100000000000001" customHeight="1">
      <c r="A13" s="22">
        <v>45931</v>
      </c>
      <c r="B13" s="15" t="s">
        <v>31</v>
      </c>
      <c r="C13" s="16" t="s">
        <v>2835</v>
      </c>
      <c r="D13" s="16" t="s">
        <v>48</v>
      </c>
      <c r="E13" s="16" t="s">
        <v>48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200</v>
      </c>
      <c r="O13" s="16" t="s">
        <v>2336</v>
      </c>
      <c r="P13" s="15" t="s">
        <v>2829</v>
      </c>
      <c r="Q13" s="33" t="s">
        <v>2830</v>
      </c>
    </row>
    <row r="14" spans="1:17" ht="17.100000000000001" customHeight="1">
      <c r="A14" s="22">
        <v>45931</v>
      </c>
      <c r="B14" s="15" t="s">
        <v>101</v>
      </c>
      <c r="C14" s="16" t="s">
        <v>2835</v>
      </c>
      <c r="D14" s="16" t="s">
        <v>48</v>
      </c>
      <c r="E14" s="16" t="s">
        <v>48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50</v>
      </c>
      <c r="O14" s="16" t="s">
        <v>2336</v>
      </c>
      <c r="P14" s="15" t="s">
        <v>2834</v>
      </c>
      <c r="Q14" s="33" t="s">
        <v>2832</v>
      </c>
    </row>
    <row r="15" spans="1:17" ht="17.100000000000001" customHeight="1">
      <c r="A15" s="22">
        <v>45931</v>
      </c>
      <c r="B15" s="15" t="s">
        <v>531</v>
      </c>
      <c r="C15" s="16" t="s">
        <v>2835</v>
      </c>
      <c r="D15" s="16" t="s">
        <v>2791</v>
      </c>
      <c r="E15" s="16" t="s">
        <v>2535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27</v>
      </c>
      <c r="O15" s="16" t="s">
        <v>2336</v>
      </c>
      <c r="P15" s="15" t="s">
        <v>2831</v>
      </c>
      <c r="Q15" s="33" t="s">
        <v>2833</v>
      </c>
    </row>
    <row r="16" spans="1:17" ht="17.100000000000001" customHeight="1">
      <c r="A16" s="22">
        <v>45931</v>
      </c>
      <c r="B16" s="15" t="s">
        <v>531</v>
      </c>
      <c r="C16" s="16" t="s">
        <v>2835</v>
      </c>
      <c r="D16" s="16" t="s">
        <v>2791</v>
      </c>
      <c r="E16" s="16" t="s">
        <v>2837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27</v>
      </c>
      <c r="O16" s="16" t="s">
        <v>2336</v>
      </c>
      <c r="P16" s="15" t="s">
        <v>2831</v>
      </c>
      <c r="Q16" s="33" t="s">
        <v>2833</v>
      </c>
    </row>
    <row r="17" spans="1:17" ht="17.100000000000001" customHeight="1">
      <c r="A17" s="22">
        <v>45931</v>
      </c>
      <c r="B17" s="15" t="s">
        <v>531</v>
      </c>
      <c r="C17" s="16" t="s">
        <v>2835</v>
      </c>
      <c r="D17" s="16" t="s">
        <v>2791</v>
      </c>
      <c r="E17" s="16" t="s">
        <v>2838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27</v>
      </c>
      <c r="O17" s="16" t="s">
        <v>2336</v>
      </c>
      <c r="P17" s="15" t="s">
        <v>2831</v>
      </c>
      <c r="Q17" s="33" t="s">
        <v>2833</v>
      </c>
    </row>
    <row r="18" spans="1:17" ht="17.100000000000001" customHeight="1">
      <c r="A18" s="22">
        <v>45931</v>
      </c>
      <c r="B18" s="15" t="s">
        <v>531</v>
      </c>
      <c r="C18" s="16" t="s">
        <v>2835</v>
      </c>
      <c r="D18" s="16" t="s">
        <v>2791</v>
      </c>
      <c r="E18" s="16" t="s">
        <v>2839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27</v>
      </c>
      <c r="O18" s="16" t="s">
        <v>2336</v>
      </c>
      <c r="P18" s="15" t="s">
        <v>2831</v>
      </c>
      <c r="Q18" s="33" t="s">
        <v>2833</v>
      </c>
    </row>
    <row r="19" spans="1:17" ht="17.100000000000001" customHeight="1">
      <c r="A19" s="22">
        <v>45931</v>
      </c>
      <c r="B19" s="15" t="s">
        <v>531</v>
      </c>
      <c r="C19" s="16" t="s">
        <v>2835</v>
      </c>
      <c r="D19" s="16" t="s">
        <v>2793</v>
      </c>
      <c r="E19" s="16" t="s">
        <v>2837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27</v>
      </c>
      <c r="O19" s="16" t="s">
        <v>2336</v>
      </c>
      <c r="P19" s="15" t="s">
        <v>2831</v>
      </c>
      <c r="Q19" s="33" t="s">
        <v>2833</v>
      </c>
    </row>
    <row r="20" spans="1:17" ht="17.100000000000001" customHeight="1">
      <c r="A20" s="22">
        <v>45931</v>
      </c>
      <c r="B20" s="15" t="s">
        <v>531</v>
      </c>
      <c r="C20" s="16" t="s">
        <v>2835</v>
      </c>
      <c r="D20" s="16" t="s">
        <v>2793</v>
      </c>
      <c r="E20" s="16" t="s">
        <v>2840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27</v>
      </c>
      <c r="O20" s="16" t="s">
        <v>2336</v>
      </c>
      <c r="P20" s="15" t="s">
        <v>2831</v>
      </c>
      <c r="Q20" s="33" t="s">
        <v>2833</v>
      </c>
    </row>
    <row r="21" spans="1:17" ht="17.100000000000001" customHeight="1">
      <c r="A21" s="22">
        <v>45931</v>
      </c>
      <c r="B21" s="15" t="s">
        <v>531</v>
      </c>
      <c r="C21" s="16" t="s">
        <v>2835</v>
      </c>
      <c r="D21" s="16" t="s">
        <v>2793</v>
      </c>
      <c r="E21" s="16" t="s">
        <v>2838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13</v>
      </c>
      <c r="O21" s="16" t="s">
        <v>2336</v>
      </c>
      <c r="P21" s="15" t="s">
        <v>2831</v>
      </c>
      <c r="Q21" s="33" t="s">
        <v>2833</v>
      </c>
    </row>
    <row r="22" spans="1:17" ht="17.100000000000001" customHeight="1">
      <c r="A22" s="22">
        <v>45932</v>
      </c>
      <c r="B22" s="15" t="s">
        <v>531</v>
      </c>
      <c r="C22" s="16" t="s">
        <v>2841</v>
      </c>
      <c r="D22" s="16" t="s">
        <v>2793</v>
      </c>
      <c r="E22" s="16" t="s">
        <v>2838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14</v>
      </c>
      <c r="O22" s="16" t="s">
        <v>2336</v>
      </c>
      <c r="P22" s="15" t="s">
        <v>2831</v>
      </c>
      <c r="Q22" s="33" t="s">
        <v>2833</v>
      </c>
    </row>
    <row r="23" spans="1:17" ht="17.100000000000001" customHeight="1">
      <c r="A23" s="22">
        <v>45932</v>
      </c>
      <c r="B23" s="15" t="s">
        <v>531</v>
      </c>
      <c r="C23" s="16" t="s">
        <v>2841</v>
      </c>
      <c r="D23" s="16" t="s">
        <v>2793</v>
      </c>
      <c r="E23" s="16" t="s">
        <v>2840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27</v>
      </c>
      <c r="O23" s="16" t="s">
        <v>2336</v>
      </c>
      <c r="P23" s="15" t="s">
        <v>2831</v>
      </c>
      <c r="Q23" s="33" t="s">
        <v>2833</v>
      </c>
    </row>
    <row r="24" spans="1:17" ht="17.100000000000001" customHeight="1">
      <c r="A24" s="22">
        <v>45932</v>
      </c>
      <c r="B24" s="15" t="s">
        <v>531</v>
      </c>
      <c r="C24" s="16" t="s">
        <v>2841</v>
      </c>
      <c r="D24" s="16" t="s">
        <v>2793</v>
      </c>
      <c r="E24" s="16" t="s">
        <v>2842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54</v>
      </c>
      <c r="O24" s="16" t="s">
        <v>2336</v>
      </c>
      <c r="P24" s="15" t="s">
        <v>2831</v>
      </c>
      <c r="Q24" s="33" t="s">
        <v>2833</v>
      </c>
    </row>
    <row r="25" spans="1:17" ht="17.100000000000001" customHeight="1">
      <c r="A25" s="22">
        <v>45932</v>
      </c>
      <c r="B25" s="15" t="s">
        <v>531</v>
      </c>
      <c r="C25" s="16" t="s">
        <v>2841</v>
      </c>
      <c r="D25" s="16" t="s">
        <v>2793</v>
      </c>
      <c r="E25" s="16" t="s">
        <v>2843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54</v>
      </c>
      <c r="O25" s="16" t="s">
        <v>2336</v>
      </c>
      <c r="P25" s="15" t="s">
        <v>2831</v>
      </c>
      <c r="Q25" s="33" t="s">
        <v>2833</v>
      </c>
    </row>
    <row r="26" spans="1:17" ht="17.100000000000001" customHeight="1">
      <c r="A26" s="22">
        <v>45932</v>
      </c>
      <c r="B26" s="15" t="s">
        <v>531</v>
      </c>
      <c r="C26" s="16" t="s">
        <v>2841</v>
      </c>
      <c r="D26" s="16" t="s">
        <v>2793</v>
      </c>
      <c r="E26" s="16" t="s">
        <v>2844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27</v>
      </c>
      <c r="O26" s="16" t="s">
        <v>2336</v>
      </c>
      <c r="P26" s="15" t="s">
        <v>2831</v>
      </c>
      <c r="Q26" s="33" t="s">
        <v>2833</v>
      </c>
    </row>
    <row r="27" spans="1:17" ht="17.100000000000001" customHeight="1">
      <c r="A27" s="22">
        <v>45932</v>
      </c>
      <c r="B27" s="15" t="s">
        <v>531</v>
      </c>
      <c r="C27" s="16" t="s">
        <v>2841</v>
      </c>
      <c r="D27" s="16" t="s">
        <v>2793</v>
      </c>
      <c r="E27" s="16" t="s">
        <v>2844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27</v>
      </c>
      <c r="O27" s="16" t="s">
        <v>2336</v>
      </c>
      <c r="P27" s="15" t="s">
        <v>2831</v>
      </c>
      <c r="Q27" s="33" t="s">
        <v>2833</v>
      </c>
    </row>
    <row r="28" spans="1:17" ht="17.100000000000001" customHeight="1">
      <c r="A28" s="22">
        <v>45932</v>
      </c>
      <c r="B28" s="15" t="s">
        <v>531</v>
      </c>
      <c r="C28" s="16" t="s">
        <v>2841</v>
      </c>
      <c r="D28" s="16" t="s">
        <v>2793</v>
      </c>
      <c r="E28" s="16" t="s">
        <v>2845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54</v>
      </c>
      <c r="O28" s="16" t="s">
        <v>2336</v>
      </c>
      <c r="P28" s="15" t="s">
        <v>2831</v>
      </c>
      <c r="Q28" s="33" t="s">
        <v>2833</v>
      </c>
    </row>
    <row r="29" spans="1:17" ht="17.100000000000001" customHeight="1">
      <c r="A29" s="22">
        <v>45932</v>
      </c>
      <c r="B29" s="15" t="s">
        <v>531</v>
      </c>
      <c r="C29" s="16" t="s">
        <v>2841</v>
      </c>
      <c r="D29" s="16" t="s">
        <v>2793</v>
      </c>
      <c r="E29" s="16" t="s">
        <v>2847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v>27</v>
      </c>
      <c r="O29" s="16" t="s">
        <v>2336</v>
      </c>
      <c r="P29" s="15" t="s">
        <v>2831</v>
      </c>
      <c r="Q29" s="33" t="s">
        <v>2833</v>
      </c>
    </row>
    <row r="30" spans="1:17" ht="17.100000000000001" customHeight="1">
      <c r="A30" s="22">
        <v>45932</v>
      </c>
      <c r="B30" s="15" t="s">
        <v>531</v>
      </c>
      <c r="C30" s="16" t="s">
        <v>2841</v>
      </c>
      <c r="D30" s="16" t="s">
        <v>2793</v>
      </c>
      <c r="E30" s="16" t="s">
        <v>2846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27</v>
      </c>
      <c r="O30" s="16" t="s">
        <v>2336</v>
      </c>
      <c r="P30" s="15" t="s">
        <v>2831</v>
      </c>
      <c r="Q30" s="33" t="s">
        <v>2833</v>
      </c>
    </row>
    <row r="31" spans="1:17" ht="17.100000000000001" customHeight="1">
      <c r="A31" s="22">
        <v>45932</v>
      </c>
      <c r="B31" s="15" t="s">
        <v>531</v>
      </c>
      <c r="C31" s="16" t="s">
        <v>2841</v>
      </c>
      <c r="D31" s="16" t="s">
        <v>2793</v>
      </c>
      <c r="E31" s="16"/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14</v>
      </c>
      <c r="O31" s="16" t="s">
        <v>2336</v>
      </c>
      <c r="P31" s="15" t="s">
        <v>2831</v>
      </c>
      <c r="Q31" s="33" t="s">
        <v>2833</v>
      </c>
    </row>
    <row r="32" spans="1:17" ht="17.100000000000001" customHeight="1">
      <c r="A32" s="22">
        <v>45933</v>
      </c>
      <c r="B32" s="15" t="s">
        <v>29</v>
      </c>
      <c r="C32" s="15" t="s">
        <v>2848</v>
      </c>
      <c r="D32" s="16" t="s">
        <v>2836</v>
      </c>
      <c r="E32" s="16" t="s">
        <v>48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300</v>
      </c>
      <c r="O32" s="16" t="s">
        <v>2336</v>
      </c>
      <c r="P32" s="15" t="s">
        <v>2850</v>
      </c>
      <c r="Q32" s="33" t="s">
        <v>2849</v>
      </c>
    </row>
    <row r="33" spans="1:17" ht="17.100000000000001" customHeight="1">
      <c r="A33" s="22">
        <v>45933</v>
      </c>
      <c r="B33" s="15" t="s">
        <v>29</v>
      </c>
      <c r="C33" s="15" t="s">
        <v>2848</v>
      </c>
      <c r="D33" s="16" t="s">
        <v>2853</v>
      </c>
      <c r="E33" s="16" t="s">
        <v>48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200</v>
      </c>
      <c r="O33" s="16" t="s">
        <v>2336</v>
      </c>
      <c r="P33" s="15" t="s">
        <v>2850</v>
      </c>
      <c r="Q33" s="33" t="s">
        <v>2849</v>
      </c>
    </row>
    <row r="34" spans="1:17" ht="17.100000000000001" customHeight="1">
      <c r="A34" s="22">
        <v>45933</v>
      </c>
      <c r="B34" s="15" t="s">
        <v>2851</v>
      </c>
      <c r="C34" s="15" t="s">
        <v>2848</v>
      </c>
      <c r="D34" s="16" t="s">
        <v>48</v>
      </c>
      <c r="E34" s="16" t="s">
        <v>48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1000</v>
      </c>
      <c r="O34" s="16" t="s">
        <v>2491</v>
      </c>
      <c r="P34" s="16" t="s">
        <v>2852</v>
      </c>
      <c r="Q34" s="33" t="s">
        <v>2862</v>
      </c>
    </row>
    <row r="35" spans="1:17" ht="17.100000000000001" customHeight="1">
      <c r="A35" s="22">
        <v>45933</v>
      </c>
      <c r="B35" s="15" t="s">
        <v>214</v>
      </c>
      <c r="C35" s="15" t="s">
        <v>2848</v>
      </c>
      <c r="D35" s="16" t="s">
        <v>48</v>
      </c>
      <c r="E35" s="16" t="s">
        <v>48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300</v>
      </c>
      <c r="O35" s="16" t="s">
        <v>2491</v>
      </c>
      <c r="P35" s="16" t="s">
        <v>2858</v>
      </c>
      <c r="Q35" s="33" t="s">
        <v>2863</v>
      </c>
    </row>
    <row r="36" spans="1:17" ht="17.100000000000001" customHeight="1">
      <c r="A36" s="22">
        <v>45933</v>
      </c>
      <c r="B36" s="15" t="s">
        <v>2854</v>
      </c>
      <c r="C36" s="15" t="s">
        <v>2848</v>
      </c>
      <c r="D36" s="16" t="s">
        <v>48</v>
      </c>
      <c r="E36" s="16" t="s">
        <v>48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2855</v>
      </c>
      <c r="N36" s="16">
        <v>5</v>
      </c>
      <c r="O36" s="16" t="s">
        <v>55</v>
      </c>
      <c r="P36" s="16" t="s">
        <v>2859</v>
      </c>
      <c r="Q36" s="33" t="s">
        <v>2864</v>
      </c>
    </row>
    <row r="37" spans="1:17" ht="17.100000000000001" customHeight="1">
      <c r="A37" s="22">
        <v>45933</v>
      </c>
      <c r="B37" s="15" t="s">
        <v>2856</v>
      </c>
      <c r="C37" s="15" t="s">
        <v>2848</v>
      </c>
      <c r="D37" s="16" t="s">
        <v>48</v>
      </c>
      <c r="E37" s="16" t="s">
        <v>48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5</v>
      </c>
      <c r="O37" s="16" t="s">
        <v>55</v>
      </c>
      <c r="P37" s="16" t="s">
        <v>2860</v>
      </c>
      <c r="Q37" s="33" t="s">
        <v>2865</v>
      </c>
    </row>
    <row r="38" spans="1:17" ht="17.100000000000001" customHeight="1">
      <c r="A38" s="22">
        <v>45933</v>
      </c>
      <c r="B38" s="15" t="s">
        <v>2857</v>
      </c>
      <c r="C38" s="15" t="s">
        <v>2848</v>
      </c>
      <c r="D38" s="16" t="s">
        <v>48</v>
      </c>
      <c r="E38" s="16" t="s">
        <v>48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5</v>
      </c>
      <c r="O38" s="16" t="s">
        <v>55</v>
      </c>
      <c r="P38" s="16" t="s">
        <v>2861</v>
      </c>
      <c r="Q38" s="33" t="s">
        <v>2866</v>
      </c>
    </row>
    <row r="39" spans="1:17" ht="17.100000000000001" customHeight="1">
      <c r="A39" s="22">
        <v>45936</v>
      </c>
      <c r="B39" s="15" t="s">
        <v>1167</v>
      </c>
      <c r="C39" s="16" t="s">
        <v>2867</v>
      </c>
      <c r="D39" s="16" t="s">
        <v>2868</v>
      </c>
      <c r="E39" s="16" t="s">
        <v>48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400</v>
      </c>
      <c r="O39" s="16" t="s">
        <v>2336</v>
      </c>
      <c r="P39" s="16" t="s">
        <v>2869</v>
      </c>
      <c r="Q39" s="33" t="s">
        <v>2870</v>
      </c>
    </row>
    <row r="40" spans="1:17" ht="17.100000000000001" customHeight="1">
      <c r="A40" s="22">
        <v>45936</v>
      </c>
      <c r="B40" s="15" t="s">
        <v>108</v>
      </c>
      <c r="C40" s="16" t="s">
        <v>2867</v>
      </c>
      <c r="D40" s="16" t="s">
        <v>48</v>
      </c>
      <c r="E40" s="16" t="s">
        <v>48</v>
      </c>
      <c r="F40" s="16" t="s">
        <v>2880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40</v>
      </c>
      <c r="O40" s="16" t="s">
        <v>2881</v>
      </c>
      <c r="P40" s="16" t="s">
        <v>2872</v>
      </c>
      <c r="Q40" s="33" t="s">
        <v>2871</v>
      </c>
    </row>
    <row r="41" spans="1:17" ht="17.100000000000001" customHeight="1">
      <c r="A41" s="22">
        <v>45936</v>
      </c>
      <c r="B41" s="15" t="s">
        <v>37</v>
      </c>
      <c r="C41" s="16" t="s">
        <v>2867</v>
      </c>
      <c r="D41" s="16" t="s">
        <v>48</v>
      </c>
      <c r="E41" s="16" t="s">
        <v>48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40</v>
      </c>
      <c r="O41" s="16" t="s">
        <v>2881</v>
      </c>
      <c r="P41" s="16" t="s">
        <v>2873</v>
      </c>
      <c r="Q41" s="33" t="s">
        <v>2832</v>
      </c>
    </row>
    <row r="42" spans="1:17" ht="17.100000000000001" customHeight="1">
      <c r="A42" s="22">
        <v>45936</v>
      </c>
      <c r="B42" s="15" t="s">
        <v>1317</v>
      </c>
      <c r="C42" s="16" t="s">
        <v>2867</v>
      </c>
      <c r="D42" s="16" t="s">
        <v>48</v>
      </c>
      <c r="E42" s="16" t="s">
        <v>48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40</v>
      </c>
      <c r="O42" s="16" t="s">
        <v>2881</v>
      </c>
      <c r="P42" s="16" t="s">
        <v>2875</v>
      </c>
      <c r="Q42" s="33" t="s">
        <v>2874</v>
      </c>
    </row>
    <row r="43" spans="1:17" ht="17.100000000000001" customHeight="1">
      <c r="A43" s="22">
        <v>45936</v>
      </c>
      <c r="B43" s="15" t="s">
        <v>38</v>
      </c>
      <c r="C43" s="16" t="s">
        <v>2867</v>
      </c>
      <c r="D43" s="16" t="s">
        <v>48</v>
      </c>
      <c r="E43" s="16" t="s">
        <v>48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>
        <v>25521</v>
      </c>
      <c r="N43" s="16">
        <v>200</v>
      </c>
      <c r="O43" s="16" t="s">
        <v>2491</v>
      </c>
      <c r="P43" s="16" t="s">
        <v>2876</v>
      </c>
      <c r="Q43" s="33" t="s">
        <v>2877</v>
      </c>
    </row>
    <row r="44" spans="1:17" ht="17.100000000000001" customHeight="1">
      <c r="A44" s="22">
        <v>45936</v>
      </c>
      <c r="B44" s="15" t="s">
        <v>79</v>
      </c>
      <c r="C44" s="16" t="s">
        <v>2867</v>
      </c>
      <c r="D44" s="16" t="s">
        <v>2887</v>
      </c>
      <c r="E44" s="16" t="s">
        <v>2883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25</v>
      </c>
      <c r="O44" s="16" t="s">
        <v>2882</v>
      </c>
      <c r="P44" s="16" t="s">
        <v>2879</v>
      </c>
      <c r="Q44" s="33" t="s">
        <v>2878</v>
      </c>
    </row>
    <row r="45" spans="1:17" ht="17.100000000000001" customHeight="1">
      <c r="A45" s="22">
        <v>45937</v>
      </c>
      <c r="B45" s="15" t="s">
        <v>79</v>
      </c>
      <c r="C45" s="16" t="s">
        <v>2886</v>
      </c>
      <c r="D45" s="16" t="s">
        <v>2887</v>
      </c>
      <c r="E45" s="16" t="s">
        <v>2883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2</v>
      </c>
      <c r="O45" s="16" t="s">
        <v>2882</v>
      </c>
      <c r="P45" s="16" t="s">
        <v>2879</v>
      </c>
      <c r="Q45" s="33" t="s">
        <v>2878</v>
      </c>
    </row>
    <row r="46" spans="1:17" ht="17.100000000000001" customHeight="1">
      <c r="A46" s="22">
        <v>45937</v>
      </c>
      <c r="B46" s="15" t="s">
        <v>79</v>
      </c>
      <c r="C46" s="16" t="s">
        <v>2886</v>
      </c>
      <c r="D46" s="16" t="s">
        <v>2887</v>
      </c>
      <c r="E46" s="16" t="s">
        <v>2884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54</v>
      </c>
      <c r="O46" s="16" t="s">
        <v>2882</v>
      </c>
      <c r="P46" s="16" t="s">
        <v>2879</v>
      </c>
      <c r="Q46" s="33" t="s">
        <v>2878</v>
      </c>
    </row>
    <row r="47" spans="1:17" ht="17.100000000000001" customHeight="1">
      <c r="A47" s="22">
        <v>45937</v>
      </c>
      <c r="B47" s="15" t="s">
        <v>79</v>
      </c>
      <c r="C47" s="16" t="s">
        <v>2886</v>
      </c>
      <c r="D47" s="16" t="s">
        <v>2887</v>
      </c>
      <c r="E47" s="16" t="s">
        <v>2885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>
        <v>20251001</v>
      </c>
      <c r="N47" s="16">
        <v>54</v>
      </c>
      <c r="O47" s="16" t="s">
        <v>2882</v>
      </c>
      <c r="P47" s="16" t="s">
        <v>2879</v>
      </c>
      <c r="Q47" s="33" t="s">
        <v>2878</v>
      </c>
    </row>
    <row r="48" spans="1:17" ht="17.100000000000001" customHeight="1">
      <c r="A48" s="22">
        <v>45937</v>
      </c>
      <c r="B48" s="15" t="s">
        <v>79</v>
      </c>
      <c r="C48" s="16" t="s">
        <v>2886</v>
      </c>
      <c r="D48" s="16" t="s">
        <v>2887</v>
      </c>
      <c r="E48" s="16" t="s">
        <v>2888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54</v>
      </c>
      <c r="O48" s="16" t="s">
        <v>2882</v>
      </c>
      <c r="P48" s="16" t="s">
        <v>2879</v>
      </c>
      <c r="Q48" s="33" t="s">
        <v>2878</v>
      </c>
    </row>
    <row r="49" spans="1:17" ht="17.100000000000001" customHeight="1">
      <c r="A49" s="22">
        <v>45937</v>
      </c>
      <c r="B49" s="15" t="s">
        <v>79</v>
      </c>
      <c r="C49" s="16" t="s">
        <v>2886</v>
      </c>
      <c r="D49" s="16" t="s">
        <v>2887</v>
      </c>
      <c r="E49" s="16" t="s">
        <v>2889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54</v>
      </c>
      <c r="O49" s="16" t="s">
        <v>2882</v>
      </c>
      <c r="P49" s="16" t="s">
        <v>2879</v>
      </c>
      <c r="Q49" s="33" t="s">
        <v>2878</v>
      </c>
    </row>
    <row r="50" spans="1:17" ht="17.100000000000001" customHeight="1">
      <c r="A50" s="22">
        <v>45937</v>
      </c>
      <c r="B50" s="15" t="s">
        <v>79</v>
      </c>
      <c r="C50" s="16" t="s">
        <v>2886</v>
      </c>
      <c r="D50" s="16" t="s">
        <v>2887</v>
      </c>
      <c r="E50" s="16" t="s">
        <v>2890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f>38/2</f>
        <v>19</v>
      </c>
      <c r="O50" s="16" t="s">
        <v>2882</v>
      </c>
      <c r="P50" s="16" t="s">
        <v>2879</v>
      </c>
      <c r="Q50" s="33" t="s">
        <v>2878</v>
      </c>
    </row>
    <row r="51" spans="1:17" ht="17.100000000000001" customHeight="1">
      <c r="A51" s="22">
        <v>45937</v>
      </c>
      <c r="B51" s="15" t="s">
        <v>79</v>
      </c>
      <c r="C51" s="16" t="s">
        <v>2886</v>
      </c>
      <c r="D51" s="16" t="s">
        <v>2887</v>
      </c>
      <c r="E51" s="16" t="s">
        <v>2891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27</v>
      </c>
      <c r="O51" s="16" t="s">
        <v>2882</v>
      </c>
      <c r="P51" s="16" t="s">
        <v>2879</v>
      </c>
      <c r="Q51" s="33" t="s">
        <v>2878</v>
      </c>
    </row>
    <row r="52" spans="1:17" ht="17.100000000000001" customHeight="1">
      <c r="A52" s="22">
        <v>45937</v>
      </c>
      <c r="B52" s="15" t="s">
        <v>79</v>
      </c>
      <c r="C52" s="16" t="s">
        <v>2886</v>
      </c>
      <c r="D52" s="16" t="s">
        <v>2887</v>
      </c>
      <c r="E52" s="16" t="s">
        <v>2892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11</v>
      </c>
      <c r="O52" s="16" t="s">
        <v>2882</v>
      </c>
      <c r="P52" s="16" t="s">
        <v>2879</v>
      </c>
      <c r="Q52" s="33" t="s">
        <v>2878</v>
      </c>
    </row>
    <row r="53" spans="1:17" ht="17.100000000000001" customHeight="1">
      <c r="A53" s="22">
        <v>45937</v>
      </c>
      <c r="B53" s="15" t="s">
        <v>471</v>
      </c>
      <c r="C53" s="16" t="s">
        <v>2886</v>
      </c>
      <c r="D53" s="16" t="s">
        <v>2896</v>
      </c>
      <c r="E53" s="16" t="s">
        <v>2898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160</v>
      </c>
      <c r="O53" s="16" t="s">
        <v>2901</v>
      </c>
      <c r="P53" s="16" t="s">
        <v>2895</v>
      </c>
      <c r="Q53" s="33" t="s">
        <v>2894</v>
      </c>
    </row>
    <row r="54" spans="1:17" ht="17.100000000000001" customHeight="1">
      <c r="A54" s="22">
        <v>45938</v>
      </c>
      <c r="B54" s="15" t="s">
        <v>471</v>
      </c>
      <c r="C54" s="16" t="s">
        <v>2897</v>
      </c>
      <c r="D54" s="16" t="s">
        <v>2896</v>
      </c>
      <c r="E54" s="16" t="s">
        <v>2899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160</v>
      </c>
      <c r="O54" s="16" t="s">
        <v>2901</v>
      </c>
      <c r="P54" s="16" t="s">
        <v>2895</v>
      </c>
      <c r="Q54" s="33" t="s">
        <v>2894</v>
      </c>
    </row>
    <row r="55" spans="1:17" ht="17.100000000000001" customHeight="1">
      <c r="A55" s="22">
        <v>45938</v>
      </c>
      <c r="B55" s="15" t="s">
        <v>471</v>
      </c>
      <c r="C55" s="16" t="s">
        <v>2897</v>
      </c>
      <c r="D55" s="16" t="s">
        <v>2896</v>
      </c>
      <c r="E55" s="16" t="s">
        <v>2900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80</v>
      </c>
      <c r="O55" s="16" t="s">
        <v>2901</v>
      </c>
      <c r="P55" s="16" t="s">
        <v>2895</v>
      </c>
      <c r="Q55" s="33" t="s">
        <v>2894</v>
      </c>
    </row>
    <row r="56" spans="1:17" ht="17.100000000000001" customHeight="1">
      <c r="A56" s="22">
        <v>45939</v>
      </c>
      <c r="B56" s="15" t="s">
        <v>471</v>
      </c>
      <c r="C56" s="16" t="s">
        <v>2897</v>
      </c>
      <c r="D56" s="16" t="s">
        <v>2896</v>
      </c>
      <c r="E56" s="16" t="s">
        <v>2893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100</v>
      </c>
      <c r="O56" s="16" t="s">
        <v>2901</v>
      </c>
      <c r="P56" s="16" t="s">
        <v>2895</v>
      </c>
      <c r="Q56" s="33" t="s">
        <v>2894</v>
      </c>
    </row>
    <row r="57" spans="1:17" ht="17.100000000000001" customHeight="1">
      <c r="A57" s="22">
        <v>45939</v>
      </c>
      <c r="B57" s="15" t="s">
        <v>1633</v>
      </c>
      <c r="C57" s="16" t="s">
        <v>2903</v>
      </c>
      <c r="D57" s="16" t="s">
        <v>48</v>
      </c>
      <c r="E57" s="16" t="s">
        <v>48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20</v>
      </c>
      <c r="O57" s="16" t="s">
        <v>55</v>
      </c>
      <c r="P57" s="16" t="s">
        <v>2904</v>
      </c>
      <c r="Q57" s="33" t="s">
        <v>2902</v>
      </c>
    </row>
    <row r="58" spans="1:17" ht="17.100000000000001" customHeight="1">
      <c r="A58" s="22">
        <v>45939</v>
      </c>
      <c r="B58" s="15" t="s">
        <v>41</v>
      </c>
      <c r="C58" s="16" t="s">
        <v>2903</v>
      </c>
      <c r="D58" s="16" t="s">
        <v>2913</v>
      </c>
      <c r="E58" s="16" t="s">
        <v>2909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f>272/2</f>
        <v>136</v>
      </c>
      <c r="O58" s="16" t="s">
        <v>2463</v>
      </c>
      <c r="P58" s="16" t="s">
        <v>2905</v>
      </c>
      <c r="Q58" s="33" t="s">
        <v>2907</v>
      </c>
    </row>
    <row r="59" spans="1:17" ht="17.100000000000001" customHeight="1">
      <c r="A59" s="22">
        <v>45939</v>
      </c>
      <c r="B59" s="15" t="s">
        <v>41</v>
      </c>
      <c r="C59" s="16" t="s">
        <v>2903</v>
      </c>
      <c r="D59" s="16" t="s">
        <v>2914</v>
      </c>
      <c r="E59" s="16" t="s">
        <v>2910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104</v>
      </c>
      <c r="O59" s="16" t="s">
        <v>2463</v>
      </c>
      <c r="P59" s="16" t="s">
        <v>2905</v>
      </c>
      <c r="Q59" s="33" t="s">
        <v>2907</v>
      </c>
    </row>
    <row r="60" spans="1:17" ht="17.100000000000001" customHeight="1">
      <c r="A60" s="22">
        <v>45939</v>
      </c>
      <c r="B60" s="15" t="s">
        <v>1154</v>
      </c>
      <c r="C60" s="16" t="s">
        <v>2903</v>
      </c>
      <c r="D60" s="16" t="s">
        <v>2915</v>
      </c>
      <c r="E60" s="16" t="s">
        <v>2910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84</v>
      </c>
      <c r="O60" s="16" t="s">
        <v>2912</v>
      </c>
      <c r="P60" s="16" t="s">
        <v>2906</v>
      </c>
      <c r="Q60" s="33" t="s">
        <v>2908</v>
      </c>
    </row>
    <row r="61" spans="1:17" ht="17.100000000000001" customHeight="1">
      <c r="A61" s="22">
        <v>45940</v>
      </c>
      <c r="B61" s="15" t="s">
        <v>1154</v>
      </c>
      <c r="C61" s="16" t="s">
        <v>2917</v>
      </c>
      <c r="D61" s="16" t="s">
        <v>2916</v>
      </c>
      <c r="E61" s="16" t="s">
        <v>2911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156</v>
      </c>
      <c r="O61" s="16" t="s">
        <v>2912</v>
      </c>
      <c r="P61" s="16" t="s">
        <v>2906</v>
      </c>
      <c r="Q61" s="33" t="s">
        <v>2908</v>
      </c>
    </row>
    <row r="62" spans="1:17" ht="17.100000000000001" customHeight="1">
      <c r="A62" s="22">
        <v>45940</v>
      </c>
      <c r="B62" s="15" t="s">
        <v>59</v>
      </c>
      <c r="C62" s="16" t="s">
        <v>2917</v>
      </c>
      <c r="D62" s="16" t="s">
        <v>2916</v>
      </c>
      <c r="E62" s="16" t="s">
        <v>48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134</v>
      </c>
      <c r="O62" s="16" t="s">
        <v>2463</v>
      </c>
      <c r="P62" s="16" t="s">
        <v>2919</v>
      </c>
      <c r="Q62" s="33" t="s">
        <v>2918</v>
      </c>
    </row>
    <row r="63" spans="1:17" ht="17.100000000000001" customHeight="1">
      <c r="A63" s="22">
        <v>45940</v>
      </c>
      <c r="B63" s="15" t="s">
        <v>59</v>
      </c>
      <c r="C63" s="16" t="s">
        <v>2917</v>
      </c>
      <c r="D63" s="16" t="s">
        <v>2915</v>
      </c>
      <c r="E63" s="16" t="s">
        <v>48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33</v>
      </c>
      <c r="O63" s="16" t="s">
        <v>2463</v>
      </c>
      <c r="P63" s="16" t="s">
        <v>2919</v>
      </c>
      <c r="Q63" s="33" t="s">
        <v>2918</v>
      </c>
    </row>
    <row r="64" spans="1:17" ht="17.100000000000001" customHeight="1">
      <c r="A64" s="22">
        <v>45940</v>
      </c>
      <c r="B64" s="15" t="s">
        <v>59</v>
      </c>
      <c r="C64" s="16" t="s">
        <v>2917</v>
      </c>
      <c r="D64" s="16" t="s">
        <v>2924</v>
      </c>
      <c r="E64" s="16" t="s">
        <v>48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f>240-167</f>
        <v>73</v>
      </c>
      <c r="O64" s="16" t="s">
        <v>2463</v>
      </c>
      <c r="P64" s="16" t="s">
        <v>2919</v>
      </c>
      <c r="Q64" s="33" t="s">
        <v>2918</v>
      </c>
    </row>
    <row r="65" spans="1:17" ht="17.100000000000001" customHeight="1">
      <c r="A65" s="22">
        <v>45940</v>
      </c>
      <c r="B65" s="15" t="s">
        <v>321</v>
      </c>
      <c r="C65" s="16" t="s">
        <v>2917</v>
      </c>
      <c r="D65" s="16" t="s">
        <v>48</v>
      </c>
      <c r="E65" s="16" t="s">
        <v>48</v>
      </c>
      <c r="F65" s="16" t="s">
        <v>2925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25</v>
      </c>
      <c r="O65" s="16" t="s">
        <v>2463</v>
      </c>
      <c r="P65" s="16" t="s">
        <v>2921</v>
      </c>
      <c r="Q65" s="33" t="s">
        <v>2920</v>
      </c>
    </row>
    <row r="66" spans="1:17" ht="17.100000000000001" customHeight="1">
      <c r="A66" s="22">
        <v>45940</v>
      </c>
      <c r="B66" s="15" t="s">
        <v>575</v>
      </c>
      <c r="C66" s="16" t="s">
        <v>2917</v>
      </c>
      <c r="D66" s="16"/>
      <c r="E66" s="16"/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100</v>
      </c>
      <c r="O66" s="16"/>
      <c r="P66" s="16" t="s">
        <v>2923</v>
      </c>
      <c r="Q66" s="33" t="s">
        <v>2922</v>
      </c>
    </row>
    <row r="67" spans="1:17" ht="17.100000000000001" customHeight="1">
      <c r="A67" s="22">
        <v>45940</v>
      </c>
      <c r="B67" s="15" t="s">
        <v>419</v>
      </c>
      <c r="C67" s="16" t="s">
        <v>2917</v>
      </c>
      <c r="D67" s="16" t="s">
        <v>48</v>
      </c>
      <c r="E67" s="16" t="s">
        <v>48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20</v>
      </c>
      <c r="O67" s="16" t="s">
        <v>2491</v>
      </c>
      <c r="P67" s="16" t="s">
        <v>2926</v>
      </c>
      <c r="Q67" s="33"/>
    </row>
    <row r="68" spans="1:17" ht="17.100000000000001" customHeight="1">
      <c r="A68" s="22">
        <v>45940</v>
      </c>
      <c r="B68" s="15" t="s">
        <v>71</v>
      </c>
      <c r="C68" s="16" t="s">
        <v>2917</v>
      </c>
      <c r="D68" s="16" t="s">
        <v>48</v>
      </c>
      <c r="E68" s="16" t="s">
        <v>48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150</v>
      </c>
      <c r="O68" s="16" t="s">
        <v>2491</v>
      </c>
      <c r="P68" s="16" t="s">
        <v>2927</v>
      </c>
      <c r="Q68" s="33"/>
    </row>
    <row r="69" spans="1:17" ht="17.100000000000001" customHeight="1">
      <c r="A69" s="22">
        <v>45943</v>
      </c>
      <c r="B69" s="15" t="s">
        <v>71</v>
      </c>
      <c r="C69" s="16" t="s">
        <v>2928</v>
      </c>
      <c r="D69" s="16" t="s">
        <v>48</v>
      </c>
      <c r="E69" s="16" t="s">
        <v>48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150</v>
      </c>
      <c r="O69" s="16" t="s">
        <v>2491</v>
      </c>
      <c r="P69" s="16" t="s">
        <v>2927</v>
      </c>
      <c r="Q69" s="33"/>
    </row>
    <row r="70" spans="1:17" ht="17.100000000000001" customHeight="1">
      <c r="A70" s="22">
        <v>45943</v>
      </c>
      <c r="B70" s="15" t="s">
        <v>575</v>
      </c>
      <c r="C70" s="16" t="s">
        <v>2928</v>
      </c>
      <c r="D70" s="16" t="s">
        <v>2951</v>
      </c>
      <c r="E70" s="16" t="s">
        <v>2949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27</v>
      </c>
      <c r="O70" s="16" t="s">
        <v>2336</v>
      </c>
      <c r="P70" s="16" t="s">
        <v>2923</v>
      </c>
      <c r="Q70" s="33" t="s">
        <v>2922</v>
      </c>
    </row>
    <row r="71" spans="1:17" ht="17.100000000000001" customHeight="1">
      <c r="A71" s="22">
        <v>45943</v>
      </c>
      <c r="B71" s="15" t="s">
        <v>575</v>
      </c>
      <c r="C71" s="16" t="s">
        <v>2928</v>
      </c>
      <c r="D71" s="16" t="s">
        <v>2951</v>
      </c>
      <c r="E71" s="16" t="s">
        <v>2950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27</v>
      </c>
      <c r="O71" s="16" t="s">
        <v>2336</v>
      </c>
      <c r="P71" s="16" t="s">
        <v>2923</v>
      </c>
      <c r="Q71" s="33" t="s">
        <v>2922</v>
      </c>
    </row>
    <row r="72" spans="1:17" ht="17.100000000000001" customHeight="1">
      <c r="A72" s="22">
        <v>45943</v>
      </c>
      <c r="B72" s="15" t="s">
        <v>575</v>
      </c>
      <c r="C72" s="16" t="s">
        <v>2928</v>
      </c>
      <c r="D72" s="16" t="s">
        <v>2952</v>
      </c>
      <c r="E72" s="16" t="s">
        <v>2950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27</v>
      </c>
      <c r="O72" s="16" t="s">
        <v>2336</v>
      </c>
      <c r="P72" s="16" t="s">
        <v>2923</v>
      </c>
      <c r="Q72" s="33" t="s">
        <v>2922</v>
      </c>
    </row>
    <row r="73" spans="1:17" ht="17.100000000000001" customHeight="1">
      <c r="A73" s="22">
        <v>45943</v>
      </c>
      <c r="B73" s="15" t="s">
        <v>575</v>
      </c>
      <c r="C73" s="16" t="s">
        <v>2928</v>
      </c>
      <c r="D73" s="16" t="s">
        <v>2952</v>
      </c>
      <c r="E73" s="16" t="s">
        <v>2949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27</v>
      </c>
      <c r="O73" s="16" t="s">
        <v>2336</v>
      </c>
      <c r="P73" s="16" t="s">
        <v>2923</v>
      </c>
      <c r="Q73" s="33" t="s">
        <v>2922</v>
      </c>
    </row>
    <row r="74" spans="1:17" ht="17.100000000000001" customHeight="1">
      <c r="A74" s="22">
        <v>45943</v>
      </c>
      <c r="B74" s="15" t="s">
        <v>575</v>
      </c>
      <c r="C74" s="16" t="s">
        <v>2928</v>
      </c>
      <c r="D74" s="16" t="s">
        <v>2951</v>
      </c>
      <c r="E74" s="16" t="s">
        <v>2953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54</v>
      </c>
      <c r="O74" s="16" t="s">
        <v>2336</v>
      </c>
      <c r="P74" s="16" t="s">
        <v>2923</v>
      </c>
      <c r="Q74" s="33" t="s">
        <v>2922</v>
      </c>
    </row>
    <row r="75" spans="1:17" ht="17.100000000000001" customHeight="1">
      <c r="A75" s="22">
        <v>45943</v>
      </c>
      <c r="B75" s="15" t="s">
        <v>575</v>
      </c>
      <c r="C75" s="16" t="s">
        <v>2928</v>
      </c>
      <c r="D75" s="16" t="s">
        <v>2951</v>
      </c>
      <c r="E75" s="16" t="s">
        <v>2954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54</v>
      </c>
      <c r="O75" s="16" t="s">
        <v>2336</v>
      </c>
      <c r="P75" s="16" t="s">
        <v>2923</v>
      </c>
      <c r="Q75" s="33" t="s">
        <v>2922</v>
      </c>
    </row>
    <row r="76" spans="1:17" ht="17.100000000000001" customHeight="1">
      <c r="A76" s="22">
        <v>45943</v>
      </c>
      <c r="B76" s="15" t="s">
        <v>575</v>
      </c>
      <c r="C76" s="16" t="s">
        <v>2928</v>
      </c>
      <c r="D76" s="16" t="s">
        <v>2952</v>
      </c>
      <c r="E76" s="16" t="s">
        <v>2956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27</v>
      </c>
      <c r="O76" s="16" t="s">
        <v>2336</v>
      </c>
      <c r="P76" s="16" t="s">
        <v>2923</v>
      </c>
      <c r="Q76" s="33" t="s">
        <v>2922</v>
      </c>
    </row>
    <row r="77" spans="1:17" ht="17.100000000000001" customHeight="1">
      <c r="A77" s="22">
        <v>45943</v>
      </c>
      <c r="B77" s="15" t="s">
        <v>575</v>
      </c>
      <c r="C77" s="16" t="s">
        <v>2928</v>
      </c>
      <c r="D77" s="16" t="s">
        <v>2952</v>
      </c>
      <c r="E77" s="16" t="s">
        <v>2955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54</v>
      </c>
      <c r="O77" s="16" t="s">
        <v>2336</v>
      </c>
      <c r="P77" s="16" t="s">
        <v>2923</v>
      </c>
      <c r="Q77" s="33" t="s">
        <v>2922</v>
      </c>
    </row>
    <row r="78" spans="1:17" ht="17.100000000000001" customHeight="1">
      <c r="A78" s="22">
        <v>45943</v>
      </c>
      <c r="B78" s="15" t="s">
        <v>575</v>
      </c>
      <c r="C78" s="16" t="s">
        <v>2928</v>
      </c>
      <c r="D78" s="16" t="s">
        <v>2960</v>
      </c>
      <c r="E78" s="16" t="s">
        <v>2957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27</v>
      </c>
      <c r="O78" s="16" t="s">
        <v>2336</v>
      </c>
      <c r="P78" s="16" t="s">
        <v>2923</v>
      </c>
      <c r="Q78" s="33" t="s">
        <v>2922</v>
      </c>
    </row>
    <row r="79" spans="1:17" ht="17.100000000000001" customHeight="1">
      <c r="A79" s="22">
        <v>45943</v>
      </c>
      <c r="B79" s="15" t="s">
        <v>575</v>
      </c>
      <c r="C79" s="16" t="s">
        <v>2928</v>
      </c>
      <c r="D79" s="16" t="s">
        <v>2960</v>
      </c>
      <c r="E79" s="16" t="s">
        <v>2958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27</v>
      </c>
      <c r="O79" s="16" t="s">
        <v>2336</v>
      </c>
      <c r="P79" s="16" t="s">
        <v>2923</v>
      </c>
      <c r="Q79" s="33" t="s">
        <v>2922</v>
      </c>
    </row>
    <row r="80" spans="1:17" ht="17.100000000000001" customHeight="1">
      <c r="A80" s="22">
        <v>45943</v>
      </c>
      <c r="B80" s="15" t="s">
        <v>575</v>
      </c>
      <c r="C80" s="16" t="s">
        <v>2928</v>
      </c>
      <c r="D80" s="16" t="s">
        <v>2960</v>
      </c>
      <c r="E80" s="16" t="s">
        <v>2959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54</v>
      </c>
      <c r="O80" s="16" t="s">
        <v>2336</v>
      </c>
      <c r="P80" s="16" t="s">
        <v>2923</v>
      </c>
      <c r="Q80" s="33" t="s">
        <v>2922</v>
      </c>
    </row>
    <row r="81" spans="1:17" ht="17.100000000000001" customHeight="1">
      <c r="A81" s="22">
        <v>45943</v>
      </c>
      <c r="B81" s="15" t="s">
        <v>575</v>
      </c>
      <c r="C81" s="16" t="s">
        <v>2928</v>
      </c>
      <c r="D81" s="16" t="s">
        <v>2960</v>
      </c>
      <c r="E81" s="16" t="s">
        <v>2946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20</v>
      </c>
      <c r="O81" s="16" t="s">
        <v>2336</v>
      </c>
      <c r="P81" s="16" t="s">
        <v>2923</v>
      </c>
      <c r="Q81" s="33" t="s">
        <v>2922</v>
      </c>
    </row>
    <row r="82" spans="1:17" ht="17.100000000000001" customHeight="1">
      <c r="A82" s="22">
        <v>45944</v>
      </c>
      <c r="B82" s="15" t="s">
        <v>174</v>
      </c>
      <c r="C82" s="16" t="s">
        <v>2941</v>
      </c>
      <c r="D82" s="16" t="s">
        <v>2929</v>
      </c>
      <c r="E82" s="16" t="s">
        <v>2930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54</v>
      </c>
      <c r="O82" s="16" t="s">
        <v>2942</v>
      </c>
      <c r="P82" s="16" t="s">
        <v>2944</v>
      </c>
      <c r="Q82" s="33" t="s">
        <v>2943</v>
      </c>
    </row>
    <row r="83" spans="1:17" ht="17.100000000000001" customHeight="1">
      <c r="A83" s="22">
        <v>45944</v>
      </c>
      <c r="B83" s="15" t="s">
        <v>174</v>
      </c>
      <c r="C83" s="16" t="s">
        <v>2941</v>
      </c>
      <c r="D83" s="16" t="s">
        <v>2929</v>
      </c>
      <c r="E83" s="16" t="s">
        <v>2931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54</v>
      </c>
      <c r="O83" s="16" t="s">
        <v>2942</v>
      </c>
      <c r="P83" s="16" t="s">
        <v>2944</v>
      </c>
      <c r="Q83" s="33" t="s">
        <v>2943</v>
      </c>
    </row>
    <row r="84" spans="1:17" ht="17.100000000000001" customHeight="1">
      <c r="A84" s="22">
        <v>45944</v>
      </c>
      <c r="B84" s="15" t="s">
        <v>174</v>
      </c>
      <c r="C84" s="16" t="s">
        <v>2941</v>
      </c>
      <c r="D84" s="16" t="s">
        <v>2929</v>
      </c>
      <c r="E84" s="16" t="s">
        <v>2932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54</v>
      </c>
      <c r="O84" s="16" t="s">
        <v>2942</v>
      </c>
      <c r="P84" s="16" t="s">
        <v>2944</v>
      </c>
      <c r="Q84" s="33" t="s">
        <v>2943</v>
      </c>
    </row>
    <row r="85" spans="1:17" ht="17.100000000000001" customHeight="1">
      <c r="A85" s="22">
        <v>45944</v>
      </c>
      <c r="B85" s="15" t="s">
        <v>174</v>
      </c>
      <c r="C85" s="16" t="s">
        <v>2941</v>
      </c>
      <c r="D85" s="16" t="s">
        <v>2929</v>
      </c>
      <c r="E85" s="16" t="s">
        <v>2933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54</v>
      </c>
      <c r="O85" s="16" t="s">
        <v>2942</v>
      </c>
      <c r="P85" s="16" t="s">
        <v>2944</v>
      </c>
      <c r="Q85" s="33" t="s">
        <v>2943</v>
      </c>
    </row>
    <row r="86" spans="1:17" ht="17.100000000000001" customHeight="1">
      <c r="A86" s="22">
        <v>45944</v>
      </c>
      <c r="B86" s="15" t="s">
        <v>174</v>
      </c>
      <c r="C86" s="16" t="s">
        <v>2941</v>
      </c>
      <c r="D86" s="16" t="s">
        <v>2929</v>
      </c>
      <c r="E86" s="16" t="s">
        <v>2934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54</v>
      </c>
      <c r="O86" s="16" t="s">
        <v>2942</v>
      </c>
      <c r="P86" s="16" t="s">
        <v>2944</v>
      </c>
      <c r="Q86" s="33" t="s">
        <v>2943</v>
      </c>
    </row>
    <row r="87" spans="1:17" ht="17.100000000000001" customHeight="1">
      <c r="A87" s="22">
        <v>45944</v>
      </c>
      <c r="B87" s="15" t="s">
        <v>174</v>
      </c>
      <c r="C87" s="16" t="s">
        <v>2941</v>
      </c>
      <c r="D87" s="16" t="s">
        <v>2929</v>
      </c>
      <c r="E87" s="16" t="s">
        <v>2935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v>54</v>
      </c>
      <c r="O87" s="16" t="s">
        <v>2942</v>
      </c>
      <c r="P87" s="16" t="s">
        <v>2944</v>
      </c>
      <c r="Q87" s="33" t="s">
        <v>2943</v>
      </c>
    </row>
    <row r="88" spans="1:17" ht="17.100000000000001" customHeight="1">
      <c r="A88" s="22">
        <v>45944</v>
      </c>
      <c r="B88" s="15" t="s">
        <v>174</v>
      </c>
      <c r="C88" s="16" t="s">
        <v>2941</v>
      </c>
      <c r="D88" s="16" t="s">
        <v>2929</v>
      </c>
      <c r="E88" s="16" t="s">
        <v>2936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54</v>
      </c>
      <c r="O88" s="16" t="s">
        <v>2942</v>
      </c>
      <c r="P88" s="16" t="s">
        <v>2944</v>
      </c>
      <c r="Q88" s="33" t="s">
        <v>2943</v>
      </c>
    </row>
    <row r="89" spans="1:17" ht="17.100000000000001" customHeight="1">
      <c r="A89" s="22">
        <v>45944</v>
      </c>
      <c r="B89" s="15" t="s">
        <v>174</v>
      </c>
      <c r="C89" s="16" t="s">
        <v>2941</v>
      </c>
      <c r="D89" s="16" t="s">
        <v>2929</v>
      </c>
      <c r="E89" s="16" t="s">
        <v>2930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30</v>
      </c>
      <c r="O89" s="16" t="s">
        <v>2942</v>
      </c>
      <c r="P89" s="16" t="s">
        <v>2944</v>
      </c>
      <c r="Q89" s="33" t="s">
        <v>2943</v>
      </c>
    </row>
    <row r="90" spans="1:17" ht="17.100000000000001" customHeight="1">
      <c r="A90" s="22">
        <v>45944</v>
      </c>
      <c r="B90" s="15" t="s">
        <v>174</v>
      </c>
      <c r="C90" s="16" t="s">
        <v>2941</v>
      </c>
      <c r="D90" s="16" t="s">
        <v>2929</v>
      </c>
      <c r="E90" s="16" t="s">
        <v>2937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27</v>
      </c>
      <c r="O90" s="16" t="s">
        <v>2942</v>
      </c>
      <c r="P90" s="16" t="s">
        <v>2944</v>
      </c>
      <c r="Q90" s="33" t="s">
        <v>2943</v>
      </c>
    </row>
    <row r="91" spans="1:17" ht="17.100000000000001" customHeight="1">
      <c r="A91" s="22">
        <v>45944</v>
      </c>
      <c r="B91" s="15" t="s">
        <v>174</v>
      </c>
      <c r="C91" s="16" t="s">
        <v>2941</v>
      </c>
      <c r="D91" s="16" t="s">
        <v>2929</v>
      </c>
      <c r="E91" s="16" t="s">
        <v>2938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27</v>
      </c>
      <c r="O91" s="16" t="s">
        <v>2942</v>
      </c>
      <c r="P91" s="16" t="s">
        <v>2944</v>
      </c>
      <c r="Q91" s="33" t="s">
        <v>2943</v>
      </c>
    </row>
    <row r="92" spans="1:17" ht="17.100000000000001" customHeight="1">
      <c r="A92" s="22">
        <v>45944</v>
      </c>
      <c r="B92" s="15" t="s">
        <v>174</v>
      </c>
      <c r="C92" s="16" t="s">
        <v>2941</v>
      </c>
      <c r="D92" s="16" t="s">
        <v>2929</v>
      </c>
      <c r="E92" s="16" t="s">
        <v>2939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11</v>
      </c>
      <c r="O92" s="16" t="s">
        <v>2942</v>
      </c>
      <c r="P92" s="16" t="s">
        <v>2944</v>
      </c>
      <c r="Q92" s="33" t="s">
        <v>2943</v>
      </c>
    </row>
    <row r="93" spans="1:17" ht="17.100000000000001" customHeight="1">
      <c r="A93" s="22">
        <v>45944</v>
      </c>
      <c r="B93" s="15" t="s">
        <v>174</v>
      </c>
      <c r="C93" s="16" t="s">
        <v>2941</v>
      </c>
      <c r="D93" s="16" t="s">
        <v>2929</v>
      </c>
      <c r="E93" s="16" t="s">
        <v>2940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27</v>
      </c>
      <c r="O93" s="16" t="s">
        <v>2942</v>
      </c>
      <c r="P93" s="16" t="s">
        <v>2944</v>
      </c>
      <c r="Q93" s="33" t="s">
        <v>2943</v>
      </c>
    </row>
    <row r="94" spans="1:17" ht="17.100000000000001" customHeight="1">
      <c r="A94" s="22">
        <v>45944</v>
      </c>
      <c r="B94" s="15" t="s">
        <v>575</v>
      </c>
      <c r="C94" s="16" t="s">
        <v>2941</v>
      </c>
      <c r="D94" s="16" t="s">
        <v>2945</v>
      </c>
      <c r="E94" s="16" t="s">
        <v>2930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27</v>
      </c>
      <c r="O94" s="16" t="s">
        <v>2942</v>
      </c>
      <c r="P94" s="16"/>
      <c r="Q94" s="33"/>
    </row>
    <row r="95" spans="1:17" ht="17.100000000000001" customHeight="1">
      <c r="A95" s="22">
        <v>45944</v>
      </c>
      <c r="B95" s="15" t="s">
        <v>575</v>
      </c>
      <c r="C95" s="16" t="s">
        <v>2941</v>
      </c>
      <c r="D95" s="16" t="s">
        <v>2945</v>
      </c>
      <c r="E95" s="16" t="s">
        <v>2946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27</v>
      </c>
      <c r="O95" s="16" t="s">
        <v>2942</v>
      </c>
      <c r="P95" s="16"/>
      <c r="Q95" s="33"/>
    </row>
    <row r="96" spans="1:17" ht="17.100000000000001" customHeight="1">
      <c r="A96" s="22">
        <v>45944</v>
      </c>
      <c r="B96" s="15" t="s">
        <v>29</v>
      </c>
      <c r="C96" s="16" t="s">
        <v>2941</v>
      </c>
      <c r="D96" s="16" t="s">
        <v>2947</v>
      </c>
      <c r="E96" s="16" t="s">
        <v>48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100</v>
      </c>
      <c r="O96" s="16" t="s">
        <v>2942</v>
      </c>
      <c r="P96" s="16"/>
      <c r="Q96" s="33"/>
    </row>
    <row r="97" spans="1:17" ht="17.100000000000001" customHeight="1">
      <c r="A97" s="22">
        <v>45944</v>
      </c>
      <c r="B97" s="15" t="s">
        <v>29</v>
      </c>
      <c r="C97" s="16" t="s">
        <v>2941</v>
      </c>
      <c r="D97" s="16" t="s">
        <v>2836</v>
      </c>
      <c r="E97" s="16" t="s">
        <v>48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25</v>
      </c>
      <c r="O97" s="16" t="s">
        <v>2942</v>
      </c>
      <c r="P97" s="16"/>
      <c r="Q97" s="33"/>
    </row>
    <row r="98" spans="1:17" ht="17.100000000000001" customHeight="1">
      <c r="A98" s="22">
        <v>45944</v>
      </c>
      <c r="B98" s="15" t="s">
        <v>338</v>
      </c>
      <c r="C98" s="16" t="s">
        <v>2941</v>
      </c>
      <c r="D98" s="16" t="s">
        <v>48</v>
      </c>
      <c r="E98" s="16" t="s">
        <v>48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1000</v>
      </c>
      <c r="O98" s="16" t="s">
        <v>2491</v>
      </c>
      <c r="P98" s="16" t="s">
        <v>2948</v>
      </c>
      <c r="Q98" s="33"/>
    </row>
    <row r="99" spans="1:17" ht="17.100000000000001" customHeight="1">
      <c r="A99" s="22">
        <v>45945</v>
      </c>
      <c r="B99" s="15" t="s">
        <v>214</v>
      </c>
      <c r="C99" s="16" t="s">
        <v>2962</v>
      </c>
      <c r="D99" s="16" t="s">
        <v>2836</v>
      </c>
      <c r="E99" s="16" t="s">
        <v>48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1400</v>
      </c>
      <c r="O99" s="16" t="s">
        <v>2961</v>
      </c>
      <c r="P99" s="16"/>
      <c r="Q99" s="31"/>
    </row>
    <row r="100" spans="1:17" ht="17.100000000000001" customHeight="1">
      <c r="A100" s="22">
        <v>45945</v>
      </c>
      <c r="B100" s="15" t="s">
        <v>261</v>
      </c>
      <c r="C100" s="16" t="s">
        <v>2962</v>
      </c>
      <c r="D100" s="16" t="s">
        <v>2836</v>
      </c>
      <c r="E100" s="16" t="s">
        <v>48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75</v>
      </c>
      <c r="O100" s="16" t="s">
        <v>2968</v>
      </c>
      <c r="P100" s="16" t="s">
        <v>2972</v>
      </c>
      <c r="Q100" s="32" t="s">
        <v>2971</v>
      </c>
    </row>
    <row r="101" spans="1:17" ht="17.100000000000001" customHeight="1">
      <c r="A101" s="22">
        <v>45945</v>
      </c>
      <c r="B101" s="15" t="s">
        <v>261</v>
      </c>
      <c r="C101" s="16" t="s">
        <v>2962</v>
      </c>
      <c r="D101" s="16" t="s">
        <v>2963</v>
      </c>
      <c r="E101" s="16" t="s">
        <v>48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200</v>
      </c>
      <c r="O101" s="16" t="s">
        <v>2968</v>
      </c>
      <c r="P101" s="16" t="s">
        <v>2972</v>
      </c>
      <c r="Q101" s="32" t="s">
        <v>2971</v>
      </c>
    </row>
    <row r="102" spans="1:17" ht="17.100000000000001" customHeight="1">
      <c r="A102" s="22">
        <v>45945</v>
      </c>
      <c r="B102" s="15" t="s">
        <v>261</v>
      </c>
      <c r="C102" s="16" t="s">
        <v>2962</v>
      </c>
      <c r="D102" s="16" t="s">
        <v>2794</v>
      </c>
      <c r="E102" s="16" t="s">
        <v>48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100</v>
      </c>
      <c r="O102" s="16" t="s">
        <v>2968</v>
      </c>
      <c r="P102" s="16" t="s">
        <v>2972</v>
      </c>
      <c r="Q102" s="32" t="s">
        <v>2971</v>
      </c>
    </row>
    <row r="103" spans="1:17" ht="17.100000000000001" customHeight="1">
      <c r="A103" s="22">
        <v>45945</v>
      </c>
      <c r="B103" s="15" t="s">
        <v>261</v>
      </c>
      <c r="C103" s="16" t="s">
        <v>2962</v>
      </c>
      <c r="D103" s="16" t="s">
        <v>2793</v>
      </c>
      <c r="E103" s="16" t="s">
        <v>48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20</v>
      </c>
      <c r="O103" s="16" t="s">
        <v>2968</v>
      </c>
      <c r="P103" s="16" t="s">
        <v>2972</v>
      </c>
      <c r="Q103" s="32" t="s">
        <v>2971</v>
      </c>
    </row>
    <row r="104" spans="1:17" ht="17.100000000000001" customHeight="1">
      <c r="A104" s="22">
        <v>45945</v>
      </c>
      <c r="B104" s="15" t="s">
        <v>261</v>
      </c>
      <c r="C104" s="16" t="s">
        <v>2962</v>
      </c>
      <c r="D104" s="16" t="s">
        <v>2836</v>
      </c>
      <c r="E104" s="16" t="s">
        <v>48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5</v>
      </c>
      <c r="O104" s="16" t="s">
        <v>2968</v>
      </c>
      <c r="P104" s="16" t="s">
        <v>2972</v>
      </c>
      <c r="Q104" s="32" t="s">
        <v>2971</v>
      </c>
    </row>
    <row r="105" spans="1:17" ht="17.100000000000001" customHeight="1">
      <c r="A105" s="22">
        <v>45945</v>
      </c>
      <c r="B105" s="15" t="s">
        <v>261</v>
      </c>
      <c r="C105" s="16" t="s">
        <v>2962</v>
      </c>
      <c r="D105" s="16" t="s">
        <v>2964</v>
      </c>
      <c r="E105" s="16" t="s">
        <v>48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100</v>
      </c>
      <c r="O105" s="16" t="s">
        <v>2968</v>
      </c>
      <c r="P105" s="16" t="s">
        <v>2972</v>
      </c>
      <c r="Q105" s="32" t="s">
        <v>2971</v>
      </c>
    </row>
    <row r="106" spans="1:17" ht="17.100000000000001" customHeight="1">
      <c r="A106" s="22">
        <v>45945</v>
      </c>
      <c r="B106" s="15" t="s">
        <v>1307</v>
      </c>
      <c r="C106" s="16" t="s">
        <v>2962</v>
      </c>
      <c r="D106" s="16" t="s">
        <v>48</v>
      </c>
      <c r="E106" s="16" t="s">
        <v>48</v>
      </c>
      <c r="F106" s="16" t="s">
        <v>2966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28</v>
      </c>
      <c r="O106" s="16" t="s">
        <v>2968</v>
      </c>
      <c r="P106" s="16" t="s">
        <v>2970</v>
      </c>
      <c r="Q106" s="33" t="s">
        <v>2969</v>
      </c>
    </row>
    <row r="107" spans="1:17" ht="17.100000000000001" customHeight="1">
      <c r="A107" s="22">
        <v>45945</v>
      </c>
      <c r="B107" s="15" t="s">
        <v>1307</v>
      </c>
      <c r="C107" s="16" t="s">
        <v>2962</v>
      </c>
      <c r="D107" s="16" t="s">
        <v>48</v>
      </c>
      <c r="E107" s="16" t="s">
        <v>48</v>
      </c>
      <c r="F107" s="16" t="s">
        <v>2965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114</v>
      </c>
      <c r="O107" s="16" t="s">
        <v>2968</v>
      </c>
      <c r="P107" s="16" t="s">
        <v>2970</v>
      </c>
      <c r="Q107" s="33" t="s">
        <v>2969</v>
      </c>
    </row>
    <row r="108" spans="1:17" ht="17.100000000000001" customHeight="1">
      <c r="A108" s="22">
        <v>45945</v>
      </c>
      <c r="B108" s="15" t="s">
        <v>1307</v>
      </c>
      <c r="C108" s="16" t="s">
        <v>2962</v>
      </c>
      <c r="D108" s="16" t="s">
        <v>48</v>
      </c>
      <c r="E108" s="16" t="s">
        <v>48</v>
      </c>
      <c r="F108" s="16" t="s">
        <v>2967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108</v>
      </c>
      <c r="O108" s="16" t="s">
        <v>2968</v>
      </c>
      <c r="P108" s="16" t="s">
        <v>2970</v>
      </c>
      <c r="Q108" s="33" t="s">
        <v>2969</v>
      </c>
    </row>
    <row r="109" spans="1:17" ht="17.100000000000001" customHeight="1">
      <c r="A109" s="22">
        <v>45946</v>
      </c>
      <c r="B109" s="15" t="s">
        <v>952</v>
      </c>
      <c r="C109" s="16" t="s">
        <v>2975</v>
      </c>
      <c r="D109" s="16" t="s">
        <v>48</v>
      </c>
      <c r="E109" s="16" t="s">
        <v>48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2980</v>
      </c>
      <c r="N109" s="16">
        <v>100</v>
      </c>
      <c r="O109" s="16" t="s">
        <v>2976</v>
      </c>
      <c r="P109" s="16" t="s">
        <v>2974</v>
      </c>
      <c r="Q109" s="33" t="s">
        <v>2973</v>
      </c>
    </row>
    <row r="110" spans="1:17" ht="17.100000000000001" customHeight="1">
      <c r="A110" s="22">
        <v>45946</v>
      </c>
      <c r="B110" s="15" t="s">
        <v>104</v>
      </c>
      <c r="C110" s="16" t="s">
        <v>2975</v>
      </c>
      <c r="D110" s="16" t="s">
        <v>48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1000</v>
      </c>
      <c r="O110" s="16" t="s">
        <v>2979</v>
      </c>
      <c r="P110" s="16" t="s">
        <v>2978</v>
      </c>
      <c r="Q110" s="33" t="s">
        <v>2977</v>
      </c>
    </row>
    <row r="111" spans="1:17" ht="17.100000000000001" customHeight="1">
      <c r="A111" s="22">
        <v>45946</v>
      </c>
      <c r="B111" s="15" t="s">
        <v>193</v>
      </c>
      <c r="C111" s="16" t="s">
        <v>2975</v>
      </c>
      <c r="D111" s="16" t="s">
        <v>2916</v>
      </c>
      <c r="E111" s="16" t="s">
        <v>2984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12</v>
      </c>
      <c r="O111" s="16" t="s">
        <v>2983</v>
      </c>
      <c r="P111" s="16" t="s">
        <v>2982</v>
      </c>
      <c r="Q111" s="33" t="s">
        <v>2981</v>
      </c>
    </row>
    <row r="112" spans="1:17" ht="17.100000000000001" customHeight="1">
      <c r="A112" s="22">
        <v>45946</v>
      </c>
      <c r="B112" s="15" t="s">
        <v>193</v>
      </c>
      <c r="C112" s="16" t="s">
        <v>2975</v>
      </c>
      <c r="D112" s="16" t="s">
        <v>2987</v>
      </c>
      <c r="E112" s="16" t="s">
        <v>2985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48</v>
      </c>
      <c r="N112" s="16">
        <v>54</v>
      </c>
      <c r="O112" s="16" t="s">
        <v>2983</v>
      </c>
      <c r="P112" s="16" t="s">
        <v>2982</v>
      </c>
      <c r="Q112" s="33" t="s">
        <v>2981</v>
      </c>
    </row>
    <row r="113" spans="1:17" ht="17.100000000000001" customHeight="1">
      <c r="A113" s="22">
        <v>45946</v>
      </c>
      <c r="B113" s="15" t="s">
        <v>193</v>
      </c>
      <c r="C113" s="16" t="s">
        <v>2975</v>
      </c>
      <c r="D113" s="16" t="s">
        <v>2987</v>
      </c>
      <c r="E113" s="16" t="s">
        <v>2986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27</v>
      </c>
      <c r="O113" s="16" t="s">
        <v>2983</v>
      </c>
      <c r="P113" s="16" t="s">
        <v>2982</v>
      </c>
      <c r="Q113" s="33" t="s">
        <v>2981</v>
      </c>
    </row>
    <row r="114" spans="1:17" ht="17.100000000000001" customHeight="1">
      <c r="A114" s="22">
        <v>45946</v>
      </c>
      <c r="B114" s="15" t="s">
        <v>193</v>
      </c>
      <c r="C114" s="16" t="s">
        <v>2975</v>
      </c>
      <c r="D114" s="16" t="s">
        <v>2916</v>
      </c>
      <c r="E114" s="16" t="s">
        <v>2988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54</v>
      </c>
      <c r="O114" s="16" t="s">
        <v>2983</v>
      </c>
      <c r="P114" s="16" t="s">
        <v>2982</v>
      </c>
      <c r="Q114" s="33" t="s">
        <v>2981</v>
      </c>
    </row>
    <row r="115" spans="1:17" ht="17.100000000000001" customHeight="1">
      <c r="A115" s="22">
        <v>45946</v>
      </c>
      <c r="B115" s="15" t="s">
        <v>193</v>
      </c>
      <c r="C115" s="16" t="s">
        <v>2975</v>
      </c>
      <c r="D115" s="16" t="s">
        <v>2916</v>
      </c>
      <c r="E115" s="16" t="s">
        <v>2989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54</v>
      </c>
      <c r="O115" s="16" t="s">
        <v>2983</v>
      </c>
      <c r="P115" s="16" t="s">
        <v>2982</v>
      </c>
      <c r="Q115" s="33" t="s">
        <v>2981</v>
      </c>
    </row>
    <row r="116" spans="1:17" ht="17.100000000000001" customHeight="1">
      <c r="A116" s="22">
        <v>45946</v>
      </c>
      <c r="B116" s="15" t="s">
        <v>193</v>
      </c>
      <c r="C116" s="16" t="s">
        <v>2975</v>
      </c>
      <c r="D116" s="16" t="s">
        <v>2916</v>
      </c>
      <c r="E116" s="16" t="s">
        <v>2990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v>54</v>
      </c>
      <c r="O116" s="16" t="s">
        <v>2983</v>
      </c>
      <c r="P116" s="16" t="s">
        <v>2982</v>
      </c>
      <c r="Q116" s="33" t="s">
        <v>2981</v>
      </c>
    </row>
    <row r="117" spans="1:17" ht="17.100000000000001" customHeight="1">
      <c r="A117" s="22">
        <v>45946</v>
      </c>
      <c r="B117" s="15" t="s">
        <v>193</v>
      </c>
      <c r="C117" s="16" t="s">
        <v>2975</v>
      </c>
      <c r="D117" s="16" t="s">
        <v>2916</v>
      </c>
      <c r="E117" s="16" t="s">
        <v>2991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v>27</v>
      </c>
      <c r="O117" s="16" t="s">
        <v>2983</v>
      </c>
      <c r="P117" s="16" t="s">
        <v>2982</v>
      </c>
      <c r="Q117" s="33" t="s">
        <v>2981</v>
      </c>
    </row>
    <row r="118" spans="1:17" ht="17.100000000000001" customHeight="1">
      <c r="A118" s="22">
        <v>45946</v>
      </c>
      <c r="B118" s="15" t="s">
        <v>193</v>
      </c>
      <c r="C118" s="16" t="s">
        <v>2975</v>
      </c>
      <c r="D118" s="16" t="s">
        <v>2916</v>
      </c>
      <c r="E118" s="16" t="s">
        <v>2991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27</v>
      </c>
      <c r="O118" s="16" t="s">
        <v>2983</v>
      </c>
      <c r="P118" s="16" t="s">
        <v>2982</v>
      </c>
      <c r="Q118" s="33" t="s">
        <v>2981</v>
      </c>
    </row>
    <row r="119" spans="1:17" ht="17.100000000000001" customHeight="1">
      <c r="A119" s="22">
        <v>45946</v>
      </c>
      <c r="B119" s="15" t="s">
        <v>193</v>
      </c>
      <c r="C119" s="16" t="s">
        <v>2975</v>
      </c>
      <c r="D119" s="16" t="s">
        <v>2916</v>
      </c>
      <c r="E119" s="16" t="s">
        <v>2992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54</v>
      </c>
      <c r="O119" s="16" t="s">
        <v>2983</v>
      </c>
      <c r="P119" s="16" t="s">
        <v>2982</v>
      </c>
      <c r="Q119" s="33" t="s">
        <v>2981</v>
      </c>
    </row>
    <row r="120" spans="1:17" ht="17.100000000000001" customHeight="1">
      <c r="A120" s="22">
        <v>45946</v>
      </c>
      <c r="B120" s="15" t="s">
        <v>193</v>
      </c>
      <c r="C120" s="16" t="s">
        <v>2975</v>
      </c>
      <c r="D120" s="16" t="s">
        <v>2916</v>
      </c>
      <c r="E120" s="16" t="s">
        <v>2938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v>27</v>
      </c>
      <c r="O120" s="16" t="s">
        <v>2983</v>
      </c>
      <c r="P120" s="16" t="s">
        <v>2982</v>
      </c>
      <c r="Q120" s="33" t="s">
        <v>2981</v>
      </c>
    </row>
    <row r="121" spans="1:17" ht="17.100000000000001" customHeight="1">
      <c r="A121" s="22">
        <v>45946</v>
      </c>
      <c r="B121" s="15" t="s">
        <v>193</v>
      </c>
      <c r="C121" s="16" t="s">
        <v>2975</v>
      </c>
      <c r="D121" s="16" t="s">
        <v>2916</v>
      </c>
      <c r="E121" s="16" t="s">
        <v>2993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54</v>
      </c>
      <c r="O121" s="16" t="s">
        <v>2983</v>
      </c>
      <c r="P121" s="16" t="s">
        <v>2982</v>
      </c>
      <c r="Q121" s="33" t="s">
        <v>2981</v>
      </c>
    </row>
    <row r="122" spans="1:17" ht="17.100000000000001" customHeight="1">
      <c r="A122" s="22">
        <v>45946</v>
      </c>
      <c r="B122" s="15" t="s">
        <v>193</v>
      </c>
      <c r="C122" s="16" t="s">
        <v>2975</v>
      </c>
      <c r="D122" s="16" t="s">
        <v>2916</v>
      </c>
      <c r="E122" s="16" t="s">
        <v>2994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v>54</v>
      </c>
      <c r="O122" s="16" t="s">
        <v>2983</v>
      </c>
      <c r="P122" s="16" t="s">
        <v>2982</v>
      </c>
      <c r="Q122" s="33" t="s">
        <v>2981</v>
      </c>
    </row>
    <row r="123" spans="1:17" ht="17.100000000000001" customHeight="1">
      <c r="A123" s="22">
        <v>45946</v>
      </c>
      <c r="B123" s="15" t="s">
        <v>193</v>
      </c>
      <c r="C123" s="16" t="s">
        <v>2975</v>
      </c>
      <c r="D123" s="16" t="s">
        <v>2916</v>
      </c>
      <c r="E123" s="16"/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14</v>
      </c>
      <c r="O123" s="16" t="s">
        <v>2983</v>
      </c>
      <c r="P123" s="16" t="s">
        <v>2982</v>
      </c>
      <c r="Q123" s="33" t="s">
        <v>2981</v>
      </c>
    </row>
    <row r="124" spans="1:17" ht="17.100000000000001" customHeight="1">
      <c r="A124" s="22">
        <v>45946</v>
      </c>
      <c r="B124" s="15" t="s">
        <v>235</v>
      </c>
      <c r="C124" s="16" t="s">
        <v>2975</v>
      </c>
      <c r="D124" s="16" t="s">
        <v>48</v>
      </c>
      <c r="E124" s="16" t="s">
        <v>48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2995</v>
      </c>
      <c r="N124" s="16">
        <v>50</v>
      </c>
      <c r="O124" s="16" t="s">
        <v>2697</v>
      </c>
      <c r="P124" s="16" t="s">
        <v>2997</v>
      </c>
      <c r="Q124" s="32" t="s">
        <v>2996</v>
      </c>
    </row>
    <row r="125" spans="1:17" ht="17.100000000000001" customHeight="1">
      <c r="A125" s="22">
        <v>45946</v>
      </c>
      <c r="B125" s="15" t="s">
        <v>1220</v>
      </c>
      <c r="C125" s="16" t="s">
        <v>2975</v>
      </c>
      <c r="D125" s="16" t="s">
        <v>48</v>
      </c>
      <c r="E125" s="16" t="s">
        <v>48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2995</v>
      </c>
      <c r="N125" s="16">
        <v>500</v>
      </c>
      <c r="O125" s="16" t="s">
        <v>3002</v>
      </c>
      <c r="P125" s="16" t="s">
        <v>2999</v>
      </c>
      <c r="Q125" s="32" t="s">
        <v>2998</v>
      </c>
    </row>
    <row r="126" spans="1:17" ht="17.100000000000001" customHeight="1">
      <c r="A126" s="22">
        <v>45946</v>
      </c>
      <c r="B126" s="15" t="s">
        <v>419</v>
      </c>
      <c r="C126" s="16" t="s">
        <v>2975</v>
      </c>
      <c r="D126" s="16" t="s">
        <v>48</v>
      </c>
      <c r="E126" s="16" t="s">
        <v>48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2995</v>
      </c>
      <c r="N126" s="16">
        <v>20</v>
      </c>
      <c r="O126" s="16" t="s">
        <v>2621</v>
      </c>
      <c r="P126" s="16" t="s">
        <v>3001</v>
      </c>
      <c r="Q126" s="32" t="s">
        <v>3000</v>
      </c>
    </row>
    <row r="127" spans="1:17" ht="17.100000000000001" customHeight="1">
      <c r="A127" s="22">
        <v>45947</v>
      </c>
      <c r="B127" s="15" t="s">
        <v>3003</v>
      </c>
      <c r="C127" s="16" t="s">
        <v>3004</v>
      </c>
      <c r="D127" s="16" t="s">
        <v>3005</v>
      </c>
      <c r="E127" s="16" t="s">
        <v>3006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54</v>
      </c>
      <c r="O127" s="16" t="s">
        <v>2983</v>
      </c>
      <c r="P127" s="16" t="s">
        <v>3019</v>
      </c>
      <c r="Q127" s="32" t="s">
        <v>3018</v>
      </c>
    </row>
    <row r="128" spans="1:17" ht="17.100000000000001" customHeight="1">
      <c r="A128" s="22">
        <v>45947</v>
      </c>
      <c r="B128" s="15" t="s">
        <v>3003</v>
      </c>
      <c r="C128" s="16" t="s">
        <v>3004</v>
      </c>
      <c r="D128" s="16" t="s">
        <v>3005</v>
      </c>
      <c r="E128" s="16" t="s">
        <v>3007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54</v>
      </c>
      <c r="O128" s="16" t="s">
        <v>2983</v>
      </c>
      <c r="P128" s="16"/>
      <c r="Q128" s="32"/>
    </row>
    <row r="129" spans="1:17" ht="17.100000000000001" customHeight="1">
      <c r="A129" s="22">
        <v>45947</v>
      </c>
      <c r="B129" s="15" t="s">
        <v>3003</v>
      </c>
      <c r="C129" s="16" t="s">
        <v>3004</v>
      </c>
      <c r="D129" s="16" t="s">
        <v>3005</v>
      </c>
      <c r="E129" s="16" t="s">
        <v>3008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54</v>
      </c>
      <c r="O129" s="16" t="s">
        <v>2983</v>
      </c>
      <c r="P129" s="16"/>
      <c r="Q129" s="32"/>
    </row>
    <row r="130" spans="1:17" ht="17.100000000000001" customHeight="1">
      <c r="A130" s="22">
        <v>45947</v>
      </c>
      <c r="B130" s="15" t="s">
        <v>3003</v>
      </c>
      <c r="C130" s="16" t="s">
        <v>3004</v>
      </c>
      <c r="D130" s="16" t="s">
        <v>3005</v>
      </c>
      <c r="E130" s="16" t="s">
        <v>3009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54</v>
      </c>
      <c r="O130" s="16" t="s">
        <v>2983</v>
      </c>
      <c r="P130" s="16"/>
      <c r="Q130" s="32"/>
    </row>
    <row r="131" spans="1:17" ht="17.100000000000001" customHeight="1">
      <c r="A131" s="22">
        <v>45947</v>
      </c>
      <c r="B131" s="15" t="s">
        <v>3003</v>
      </c>
      <c r="C131" s="16" t="s">
        <v>3004</v>
      </c>
      <c r="D131" s="16" t="s">
        <v>3005</v>
      </c>
      <c r="E131" s="16" t="s">
        <v>3010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54</v>
      </c>
      <c r="O131" s="16" t="s">
        <v>2983</v>
      </c>
      <c r="P131" s="16"/>
      <c r="Q131" s="32"/>
    </row>
    <row r="132" spans="1:17" ht="17.100000000000001" customHeight="1">
      <c r="A132" s="22">
        <v>45947</v>
      </c>
      <c r="B132" s="15" t="s">
        <v>3003</v>
      </c>
      <c r="C132" s="16" t="s">
        <v>3004</v>
      </c>
      <c r="D132" s="16" t="s">
        <v>3005</v>
      </c>
      <c r="E132" s="16" t="s">
        <v>3011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54</v>
      </c>
      <c r="O132" s="16" t="s">
        <v>2983</v>
      </c>
      <c r="P132" s="16"/>
      <c r="Q132" s="32"/>
    </row>
    <row r="133" spans="1:17" ht="17.100000000000001" customHeight="1">
      <c r="A133" s="22">
        <v>45947</v>
      </c>
      <c r="B133" s="15" t="s">
        <v>3003</v>
      </c>
      <c r="C133" s="16" t="s">
        <v>3004</v>
      </c>
      <c r="D133" s="16" t="s">
        <v>3005</v>
      </c>
      <c r="E133" s="16" t="s">
        <v>3012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52</v>
      </c>
      <c r="O133" s="16" t="s">
        <v>2983</v>
      </c>
      <c r="P133" s="16"/>
      <c r="Q133" s="32"/>
    </row>
    <row r="134" spans="1:17" ht="17.100000000000001" customHeight="1">
      <c r="A134" s="22">
        <v>45947</v>
      </c>
      <c r="B134" s="15" t="s">
        <v>3003</v>
      </c>
      <c r="C134" s="16" t="s">
        <v>3004</v>
      </c>
      <c r="D134" s="16" t="s">
        <v>3005</v>
      </c>
      <c r="E134" s="16" t="s">
        <v>3013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25</v>
      </c>
      <c r="O134" s="16" t="s">
        <v>2983</v>
      </c>
      <c r="P134" s="16"/>
      <c r="Q134" s="32"/>
    </row>
    <row r="135" spans="1:17" ht="17.100000000000001" customHeight="1">
      <c r="A135" s="22">
        <v>45947</v>
      </c>
      <c r="B135" s="15" t="s">
        <v>3003</v>
      </c>
      <c r="C135" s="16" t="s">
        <v>3004</v>
      </c>
      <c r="D135" s="16" t="s">
        <v>3005</v>
      </c>
      <c r="E135" s="16" t="s">
        <v>3014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27</v>
      </c>
      <c r="O135" s="16" t="s">
        <v>2983</v>
      </c>
      <c r="P135" s="16"/>
      <c r="Q135" s="32"/>
    </row>
    <row r="136" spans="1:17" ht="17.100000000000001" customHeight="1">
      <c r="A136" s="22">
        <v>45947</v>
      </c>
      <c r="B136" s="15" t="s">
        <v>3003</v>
      </c>
      <c r="C136" s="16" t="s">
        <v>3004</v>
      </c>
      <c r="D136" s="16" t="s">
        <v>3005</v>
      </c>
      <c r="E136" s="16" t="s">
        <v>3015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8</v>
      </c>
      <c r="O136" s="16" t="s">
        <v>2983</v>
      </c>
      <c r="P136" s="16"/>
      <c r="Q136" s="32"/>
    </row>
    <row r="137" spans="1:17">
      <c r="A137" s="22">
        <v>45947</v>
      </c>
      <c r="B137" s="15" t="s">
        <v>3003</v>
      </c>
      <c r="C137" s="16" t="s">
        <v>3004</v>
      </c>
      <c r="D137" s="16" t="s">
        <v>3005</v>
      </c>
      <c r="E137" s="16" t="s">
        <v>2984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v>27</v>
      </c>
      <c r="O137" s="16" t="s">
        <v>2983</v>
      </c>
      <c r="P137" s="16"/>
      <c r="Q137" s="32"/>
    </row>
    <row r="138" spans="1:17">
      <c r="A138" s="22">
        <v>45947</v>
      </c>
      <c r="B138" s="15" t="s">
        <v>3003</v>
      </c>
      <c r="C138" s="16" t="s">
        <v>3004</v>
      </c>
      <c r="D138" s="16" t="s">
        <v>3005</v>
      </c>
      <c r="E138" s="16" t="s">
        <v>2940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27</v>
      </c>
      <c r="O138" s="16" t="s">
        <v>2983</v>
      </c>
      <c r="P138" s="16"/>
      <c r="Q138" s="32"/>
    </row>
    <row r="139" spans="1:17">
      <c r="A139" s="22">
        <v>45947</v>
      </c>
      <c r="B139" s="15" t="s">
        <v>3003</v>
      </c>
      <c r="C139" s="16" t="s">
        <v>3004</v>
      </c>
      <c r="D139" s="16" t="s">
        <v>3005</v>
      </c>
      <c r="E139" s="16" t="s">
        <v>3017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8</v>
      </c>
      <c r="O139" s="16" t="s">
        <v>2983</v>
      </c>
      <c r="P139" s="16"/>
      <c r="Q139" s="32"/>
    </row>
    <row r="140" spans="1:17">
      <c r="A140" s="22">
        <v>45947</v>
      </c>
      <c r="B140" s="15" t="s">
        <v>3003</v>
      </c>
      <c r="C140" s="16" t="s">
        <v>3004</v>
      </c>
      <c r="D140" s="16" t="s">
        <v>3016</v>
      </c>
      <c r="E140" s="16" t="s">
        <v>3017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2</v>
      </c>
      <c r="O140" s="16" t="s">
        <v>2983</v>
      </c>
      <c r="P140" s="16"/>
      <c r="Q140" s="32"/>
    </row>
    <row r="141" spans="1:17">
      <c r="A141" s="22">
        <v>45947</v>
      </c>
      <c r="B141" s="15" t="s">
        <v>1484</v>
      </c>
      <c r="C141" s="16" t="s">
        <v>3004</v>
      </c>
      <c r="D141" s="16" t="s">
        <v>48</v>
      </c>
      <c r="E141" s="16" t="s">
        <v>48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2</v>
      </c>
      <c r="O141" s="16" t="s">
        <v>55</v>
      </c>
      <c r="P141" s="16" t="s">
        <v>3021</v>
      </c>
      <c r="Q141" s="32" t="s">
        <v>3020</v>
      </c>
    </row>
    <row r="142" spans="1:17">
      <c r="A142" s="22">
        <v>45947</v>
      </c>
      <c r="B142" s="15" t="s">
        <v>2037</v>
      </c>
      <c r="C142" s="16" t="s">
        <v>3004</v>
      </c>
      <c r="D142" s="16" t="s">
        <v>48</v>
      </c>
      <c r="E142" s="16" t="s">
        <v>48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1</v>
      </c>
      <c r="O142" s="16" t="s">
        <v>55</v>
      </c>
      <c r="P142" s="16" t="s">
        <v>3023</v>
      </c>
      <c r="Q142" s="32" t="s">
        <v>3022</v>
      </c>
    </row>
    <row r="143" spans="1:17">
      <c r="A143" s="22">
        <v>45947</v>
      </c>
      <c r="B143" s="15" t="s">
        <v>1673</v>
      </c>
      <c r="C143" s="16" t="s">
        <v>3004</v>
      </c>
      <c r="D143" s="16" t="s">
        <v>48</v>
      </c>
      <c r="E143" s="16" t="s">
        <v>48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2</v>
      </c>
      <c r="O143" s="16" t="s">
        <v>2697</v>
      </c>
      <c r="P143" s="16" t="s">
        <v>3025</v>
      </c>
      <c r="Q143" s="32" t="s">
        <v>3027</v>
      </c>
    </row>
    <row r="144" spans="1:17">
      <c r="A144" s="22">
        <v>45947</v>
      </c>
      <c r="B144" s="15" t="s">
        <v>222</v>
      </c>
      <c r="C144" s="16" t="s">
        <v>3004</v>
      </c>
      <c r="D144" s="16" t="s">
        <v>48</v>
      </c>
      <c r="E144" s="16" t="s">
        <v>48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3040</v>
      </c>
      <c r="N144" s="16">
        <v>88</v>
      </c>
      <c r="O144" s="16" t="s">
        <v>2697</v>
      </c>
      <c r="P144" s="16" t="s">
        <v>3026</v>
      </c>
      <c r="Q144" s="32" t="s">
        <v>3024</v>
      </c>
    </row>
    <row r="145" spans="1:17">
      <c r="A145" s="22">
        <v>45947</v>
      </c>
      <c r="B145" s="15" t="s">
        <v>1213</v>
      </c>
      <c r="C145" s="16" t="s">
        <v>3004</v>
      </c>
      <c r="D145" s="16" t="s">
        <v>48</v>
      </c>
      <c r="E145" s="16" t="s">
        <v>48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16">
        <v>30</v>
      </c>
      <c r="O145" s="16" t="s">
        <v>3043</v>
      </c>
      <c r="P145" s="16" t="s">
        <v>3029</v>
      </c>
      <c r="Q145" s="33" t="s">
        <v>3028</v>
      </c>
    </row>
    <row r="146" spans="1:17">
      <c r="A146" s="22">
        <v>45947</v>
      </c>
      <c r="B146" s="15" t="s">
        <v>154</v>
      </c>
      <c r="C146" s="16" t="s">
        <v>3004</v>
      </c>
      <c r="D146" s="16" t="s">
        <v>48</v>
      </c>
      <c r="E146" s="16" t="s">
        <v>48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50</v>
      </c>
      <c r="O146" s="16" t="s">
        <v>3043</v>
      </c>
      <c r="P146" s="16" t="s">
        <v>3031</v>
      </c>
      <c r="Q146" s="33" t="s">
        <v>3030</v>
      </c>
    </row>
    <row r="147" spans="1:17">
      <c r="A147" s="22">
        <v>45947</v>
      </c>
      <c r="B147" s="15" t="s">
        <v>114</v>
      </c>
      <c r="C147" s="16" t="s">
        <v>3004</v>
      </c>
      <c r="D147" s="16" t="s">
        <v>48</v>
      </c>
      <c r="E147" s="16" t="s">
        <v>48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12</v>
      </c>
      <c r="O147" s="16" t="s">
        <v>55</v>
      </c>
      <c r="P147" s="16" t="s">
        <v>3032</v>
      </c>
      <c r="Q147" s="33" t="s">
        <v>3033</v>
      </c>
    </row>
    <row r="148" spans="1:17">
      <c r="A148" s="22">
        <v>45947</v>
      </c>
      <c r="B148" s="15" t="s">
        <v>214</v>
      </c>
      <c r="C148" s="16" t="s">
        <v>3004</v>
      </c>
      <c r="D148" s="16" t="s">
        <v>48</v>
      </c>
      <c r="E148" s="16" t="s">
        <v>48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100</v>
      </c>
      <c r="O148" s="16" t="s">
        <v>3043</v>
      </c>
      <c r="P148" s="16" t="s">
        <v>3035</v>
      </c>
      <c r="Q148" s="33" t="s">
        <v>3034</v>
      </c>
    </row>
    <row r="149" spans="1:17">
      <c r="A149" s="22">
        <v>45947</v>
      </c>
      <c r="B149" s="15" t="s">
        <v>222</v>
      </c>
      <c r="C149" s="16" t="s">
        <v>3004</v>
      </c>
      <c r="D149" s="16" t="s">
        <v>48</v>
      </c>
      <c r="E149" s="16" t="s">
        <v>48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/>
      <c r="N149" s="16">
        <v>61</v>
      </c>
      <c r="O149" s="16" t="s">
        <v>2697</v>
      </c>
      <c r="P149" s="16" t="s">
        <v>3037</v>
      </c>
      <c r="Q149" s="33" t="s">
        <v>3036</v>
      </c>
    </row>
    <row r="150" spans="1:17">
      <c r="A150" s="22">
        <v>45947</v>
      </c>
      <c r="B150" s="21" t="s">
        <v>2609</v>
      </c>
      <c r="C150" s="16" t="s">
        <v>3004</v>
      </c>
      <c r="D150" s="16" t="s">
        <v>48</v>
      </c>
      <c r="E150" s="16" t="s">
        <v>48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30</v>
      </c>
      <c r="O150" s="16" t="s">
        <v>3043</v>
      </c>
      <c r="P150" s="16" t="s">
        <v>3038</v>
      </c>
      <c r="Q150" s="33" t="s">
        <v>3039</v>
      </c>
    </row>
    <row r="151" spans="1:17">
      <c r="A151" s="22">
        <v>45947</v>
      </c>
      <c r="B151" s="15" t="s">
        <v>29</v>
      </c>
      <c r="C151" s="16" t="s">
        <v>3004</v>
      </c>
      <c r="D151" s="16" t="s">
        <v>3016</v>
      </c>
      <c r="E151" s="16" t="s">
        <v>48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25</v>
      </c>
      <c r="O151" s="16" t="s">
        <v>3044</v>
      </c>
      <c r="P151" s="16" t="s">
        <v>2974</v>
      </c>
      <c r="Q151" s="33" t="s">
        <v>3041</v>
      </c>
    </row>
    <row r="152" spans="1:17">
      <c r="A152" s="22">
        <v>45947</v>
      </c>
      <c r="B152" s="15" t="s">
        <v>29</v>
      </c>
      <c r="C152" s="16" t="s">
        <v>3004</v>
      </c>
      <c r="D152" s="16" t="s">
        <v>3042</v>
      </c>
      <c r="E152" s="16" t="s">
        <v>48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100</v>
      </c>
      <c r="O152" s="16" t="s">
        <v>3044</v>
      </c>
      <c r="P152" s="16" t="s">
        <v>2974</v>
      </c>
      <c r="Q152" s="33" t="s">
        <v>3041</v>
      </c>
    </row>
    <row r="153" spans="1:17">
      <c r="A153" s="22">
        <v>45947</v>
      </c>
      <c r="B153" s="15" t="s">
        <v>28</v>
      </c>
      <c r="C153" s="16" t="s">
        <v>3004</v>
      </c>
      <c r="D153" s="16" t="s">
        <v>3051</v>
      </c>
      <c r="E153" s="16" t="s">
        <v>3049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v>32</v>
      </c>
      <c r="O153" s="16" t="s">
        <v>3044</v>
      </c>
      <c r="P153" s="16" t="s">
        <v>3046</v>
      </c>
      <c r="Q153" s="33" t="s">
        <v>3045</v>
      </c>
    </row>
    <row r="154" spans="1:17">
      <c r="A154" s="22">
        <v>45947</v>
      </c>
      <c r="B154" s="15" t="s">
        <v>28</v>
      </c>
      <c r="C154" s="16" t="s">
        <v>3004</v>
      </c>
      <c r="D154" s="16" t="s">
        <v>3051</v>
      </c>
      <c r="E154" s="16" t="s">
        <v>3050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8</v>
      </c>
      <c r="O154" s="16" t="s">
        <v>3044</v>
      </c>
      <c r="P154" s="16" t="s">
        <v>3046</v>
      </c>
      <c r="Q154" s="33" t="s">
        <v>3045</v>
      </c>
    </row>
    <row r="155" spans="1:17">
      <c r="A155" s="22">
        <v>45947</v>
      </c>
      <c r="B155" s="15" t="s">
        <v>68</v>
      </c>
      <c r="C155" s="16" t="s">
        <v>3004</v>
      </c>
      <c r="D155" s="16" t="s">
        <v>48</v>
      </c>
      <c r="E155" s="16" t="s">
        <v>48</v>
      </c>
      <c r="F155" s="16" t="s">
        <v>3052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108</v>
      </c>
      <c r="O155" s="16" t="s">
        <v>2983</v>
      </c>
      <c r="P155" s="16" t="s">
        <v>3048</v>
      </c>
      <c r="Q155" s="33" t="s">
        <v>3047</v>
      </c>
    </row>
    <row r="156" spans="1:17">
      <c r="A156" s="22">
        <v>45947</v>
      </c>
      <c r="B156" s="15" t="s">
        <v>68</v>
      </c>
      <c r="C156" s="16" t="s">
        <v>3004</v>
      </c>
      <c r="D156" s="16" t="s">
        <v>48</v>
      </c>
      <c r="E156" s="16" t="s">
        <v>48</v>
      </c>
      <c r="F156" s="16" t="s">
        <v>3053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17</v>
      </c>
      <c r="O156" s="16" t="s">
        <v>2983</v>
      </c>
      <c r="P156" s="16" t="s">
        <v>3048</v>
      </c>
      <c r="Q156" s="33" t="s">
        <v>3047</v>
      </c>
    </row>
    <row r="157" spans="1:17">
      <c r="A157" s="22">
        <v>45947</v>
      </c>
      <c r="B157" s="15" t="s">
        <v>1167</v>
      </c>
      <c r="C157" s="16" t="s">
        <v>3004</v>
      </c>
      <c r="D157" s="16" t="s">
        <v>3105</v>
      </c>
      <c r="E157" s="16" t="s">
        <v>48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80</v>
      </c>
      <c r="O157" s="16" t="s">
        <v>2983</v>
      </c>
      <c r="P157" s="15" t="s">
        <v>3066</v>
      </c>
      <c r="Q157" s="33"/>
    </row>
    <row r="158" spans="1:17">
      <c r="A158" s="22">
        <v>45950</v>
      </c>
      <c r="B158" s="15" t="s">
        <v>1167</v>
      </c>
      <c r="C158" s="16" t="s">
        <v>3055</v>
      </c>
      <c r="D158" s="16" t="s">
        <v>3105</v>
      </c>
      <c r="E158" s="16" t="s">
        <v>48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320</v>
      </c>
      <c r="O158" s="16" t="s">
        <v>3054</v>
      </c>
      <c r="P158" s="15" t="s">
        <v>3066</v>
      </c>
      <c r="Q158" s="33"/>
    </row>
    <row r="159" spans="1:17">
      <c r="A159" s="22">
        <v>45950</v>
      </c>
      <c r="B159" s="15" t="s">
        <v>62</v>
      </c>
      <c r="C159" s="16" t="s">
        <v>3055</v>
      </c>
      <c r="D159" s="16" t="s">
        <v>3106</v>
      </c>
      <c r="E159" s="16" t="s">
        <v>48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60</v>
      </c>
      <c r="O159" s="16" t="s">
        <v>3054</v>
      </c>
      <c r="P159" s="15" t="s">
        <v>3111</v>
      </c>
      <c r="Q159" s="33" t="s">
        <v>3110</v>
      </c>
    </row>
    <row r="160" spans="1:17">
      <c r="A160" s="22">
        <v>45950</v>
      </c>
      <c r="B160" s="15" t="s">
        <v>904</v>
      </c>
      <c r="C160" s="16" t="s">
        <v>3055</v>
      </c>
      <c r="D160" s="16" t="s">
        <v>3107</v>
      </c>
      <c r="E160" s="16" t="s">
        <v>48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4</v>
      </c>
      <c r="O160" s="16" t="s">
        <v>3054</v>
      </c>
      <c r="P160" s="15" t="s">
        <v>3109</v>
      </c>
      <c r="Q160" s="33" t="s">
        <v>3108</v>
      </c>
    </row>
    <row r="161" spans="1:17">
      <c r="A161" s="22">
        <v>45950</v>
      </c>
      <c r="B161" s="15" t="s">
        <v>531</v>
      </c>
      <c r="C161" s="16" t="s">
        <v>3055</v>
      </c>
      <c r="D161" s="16" t="s">
        <v>3060</v>
      </c>
      <c r="E161" s="16" t="s">
        <v>3056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27</v>
      </c>
      <c r="O161" s="16" t="s">
        <v>3054</v>
      </c>
      <c r="P161" s="15" t="s">
        <v>3065</v>
      </c>
      <c r="Q161" s="33" t="s">
        <v>3112</v>
      </c>
    </row>
    <row r="162" spans="1:17">
      <c r="A162" s="22">
        <v>45950</v>
      </c>
      <c r="B162" s="15" t="s">
        <v>531</v>
      </c>
      <c r="C162" s="16" t="s">
        <v>3055</v>
      </c>
      <c r="D162" s="16" t="s">
        <v>3060</v>
      </c>
      <c r="E162" s="16" t="s">
        <v>3057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v>27</v>
      </c>
      <c r="O162" s="16" t="s">
        <v>3054</v>
      </c>
      <c r="P162" s="15" t="s">
        <v>3065</v>
      </c>
      <c r="Q162" s="33" t="s">
        <v>3112</v>
      </c>
    </row>
    <row r="163" spans="1:17">
      <c r="A163" s="22">
        <v>45950</v>
      </c>
      <c r="B163" s="15" t="s">
        <v>531</v>
      </c>
      <c r="C163" s="16" t="s">
        <v>3055</v>
      </c>
      <c r="D163" s="16" t="s">
        <v>3060</v>
      </c>
      <c r="E163" s="16" t="s">
        <v>3058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27</v>
      </c>
      <c r="O163" s="16" t="s">
        <v>3054</v>
      </c>
      <c r="P163" s="15" t="s">
        <v>3065</v>
      </c>
      <c r="Q163" s="33" t="s">
        <v>3112</v>
      </c>
    </row>
    <row r="164" spans="1:17">
      <c r="A164" s="22">
        <v>45950</v>
      </c>
      <c r="B164" s="15" t="s">
        <v>531</v>
      </c>
      <c r="C164" s="16" t="s">
        <v>3055</v>
      </c>
      <c r="D164" s="16" t="s">
        <v>3060</v>
      </c>
      <c r="E164" s="16" t="s">
        <v>3059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27</v>
      </c>
      <c r="O164" s="16" t="s">
        <v>3054</v>
      </c>
      <c r="P164" s="15" t="s">
        <v>3065</v>
      </c>
      <c r="Q164" s="33" t="s">
        <v>3112</v>
      </c>
    </row>
    <row r="165" spans="1:17">
      <c r="A165" s="22">
        <v>45950</v>
      </c>
      <c r="B165" s="15" t="s">
        <v>531</v>
      </c>
      <c r="C165" s="16" t="s">
        <v>3055</v>
      </c>
      <c r="D165" s="16" t="s">
        <v>3060</v>
      </c>
      <c r="E165" s="16" t="s">
        <v>3059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27</v>
      </c>
      <c r="O165" s="16" t="s">
        <v>3054</v>
      </c>
      <c r="P165" s="15" t="s">
        <v>3065</v>
      </c>
      <c r="Q165" s="33" t="s">
        <v>3112</v>
      </c>
    </row>
    <row r="166" spans="1:17">
      <c r="A166" s="22">
        <v>45950</v>
      </c>
      <c r="B166" s="15" t="s">
        <v>531</v>
      </c>
      <c r="C166" s="16" t="s">
        <v>3055</v>
      </c>
      <c r="D166" s="16" t="s">
        <v>3060</v>
      </c>
      <c r="E166" s="16" t="s">
        <v>3057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27</v>
      </c>
      <c r="O166" s="16" t="s">
        <v>3054</v>
      </c>
      <c r="P166" s="15" t="s">
        <v>3065</v>
      </c>
      <c r="Q166" s="33" t="s">
        <v>3112</v>
      </c>
    </row>
    <row r="167" spans="1:17">
      <c r="A167" s="22">
        <v>45950</v>
      </c>
      <c r="B167" s="15" t="s">
        <v>531</v>
      </c>
      <c r="C167" s="16" t="s">
        <v>3055</v>
      </c>
      <c r="D167" s="16" t="s">
        <v>3060</v>
      </c>
      <c r="E167" s="16" t="s">
        <v>3061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27</v>
      </c>
      <c r="O167" s="16" t="s">
        <v>3054</v>
      </c>
      <c r="P167" s="15" t="s">
        <v>3065</v>
      </c>
      <c r="Q167" s="33" t="s">
        <v>3112</v>
      </c>
    </row>
    <row r="168" spans="1:17">
      <c r="A168" s="22">
        <v>45950</v>
      </c>
      <c r="B168" s="15" t="s">
        <v>531</v>
      </c>
      <c r="C168" s="16" t="s">
        <v>3055</v>
      </c>
      <c r="D168" s="16" t="s">
        <v>3064</v>
      </c>
      <c r="E168" s="16" t="s">
        <v>3061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27</v>
      </c>
      <c r="O168" s="16" t="s">
        <v>3054</v>
      </c>
      <c r="P168" s="15" t="s">
        <v>3065</v>
      </c>
      <c r="Q168" s="33" t="s">
        <v>3112</v>
      </c>
    </row>
    <row r="169" spans="1:17">
      <c r="A169" s="22">
        <v>45950</v>
      </c>
      <c r="B169" s="15" t="s">
        <v>531</v>
      </c>
      <c r="C169" s="16" t="s">
        <v>3055</v>
      </c>
      <c r="D169" s="16" t="s">
        <v>3064</v>
      </c>
      <c r="E169" s="16" t="s">
        <v>3062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27</v>
      </c>
      <c r="O169" s="16" t="s">
        <v>3054</v>
      </c>
      <c r="P169" s="15" t="s">
        <v>3065</v>
      </c>
      <c r="Q169" s="33" t="s">
        <v>3112</v>
      </c>
    </row>
    <row r="170" spans="1:17">
      <c r="A170" s="22">
        <v>45950</v>
      </c>
      <c r="B170" s="15" t="s">
        <v>531</v>
      </c>
      <c r="C170" s="16" t="s">
        <v>3055</v>
      </c>
      <c r="D170" s="16" t="s">
        <v>3064</v>
      </c>
      <c r="E170" s="16" t="s">
        <v>3063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27</v>
      </c>
      <c r="O170" s="16" t="s">
        <v>3054</v>
      </c>
      <c r="P170" s="15" t="s">
        <v>3065</v>
      </c>
      <c r="Q170" s="33" t="s">
        <v>3112</v>
      </c>
    </row>
    <row r="171" spans="1:17">
      <c r="A171" s="22">
        <v>45950</v>
      </c>
      <c r="B171" s="15" t="s">
        <v>531</v>
      </c>
      <c r="C171" s="16" t="s">
        <v>3055</v>
      </c>
      <c r="D171" s="16" t="s">
        <v>3064</v>
      </c>
      <c r="E171" s="16" t="s">
        <v>3059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27</v>
      </c>
      <c r="O171" s="16" t="s">
        <v>3054</v>
      </c>
      <c r="P171" s="15" t="s">
        <v>3065</v>
      </c>
      <c r="Q171" s="33" t="s">
        <v>3112</v>
      </c>
    </row>
    <row r="172" spans="1:17">
      <c r="A172" s="22">
        <v>45950</v>
      </c>
      <c r="B172" s="15" t="s">
        <v>531</v>
      </c>
      <c r="C172" s="16" t="s">
        <v>3055</v>
      </c>
      <c r="D172" s="16" t="s">
        <v>3051</v>
      </c>
      <c r="E172" s="16" t="s">
        <v>3057</v>
      </c>
      <c r="F172" s="16" t="s">
        <v>48</v>
      </c>
      <c r="G172" s="16" t="s">
        <v>48</v>
      </c>
      <c r="H172" s="16" t="s">
        <v>48</v>
      </c>
      <c r="I172" s="16" t="s">
        <v>48</v>
      </c>
      <c r="J172" s="16" t="s">
        <v>48</v>
      </c>
      <c r="K172" s="16" t="s">
        <v>48</v>
      </c>
      <c r="L172" s="16" t="s">
        <v>48</v>
      </c>
      <c r="M172" s="16" t="s">
        <v>48</v>
      </c>
      <c r="N172" s="16">
        <v>27</v>
      </c>
      <c r="O172" s="16" t="s">
        <v>3054</v>
      </c>
      <c r="P172" s="15" t="s">
        <v>3065</v>
      </c>
      <c r="Q172" s="33" t="s">
        <v>3112</v>
      </c>
    </row>
    <row r="173" spans="1:17">
      <c r="A173" s="22">
        <v>45950</v>
      </c>
      <c r="B173" s="15" t="s">
        <v>531</v>
      </c>
      <c r="C173" s="16" t="s">
        <v>3055</v>
      </c>
      <c r="D173" s="16" t="s">
        <v>3051</v>
      </c>
      <c r="E173" s="16" t="s">
        <v>3067</v>
      </c>
      <c r="F173" s="16" t="s">
        <v>48</v>
      </c>
      <c r="G173" s="16" t="s">
        <v>48</v>
      </c>
      <c r="H173" s="16" t="s">
        <v>48</v>
      </c>
      <c r="I173" s="16" t="s">
        <v>48</v>
      </c>
      <c r="J173" s="16" t="s">
        <v>48</v>
      </c>
      <c r="K173" s="16" t="s">
        <v>48</v>
      </c>
      <c r="L173" s="16" t="s">
        <v>48</v>
      </c>
      <c r="M173" s="16" t="s">
        <v>48</v>
      </c>
      <c r="N173" s="16">
        <v>27</v>
      </c>
      <c r="O173" s="16" t="s">
        <v>3054</v>
      </c>
      <c r="P173" s="15" t="s">
        <v>3065</v>
      </c>
      <c r="Q173" s="33" t="s">
        <v>3112</v>
      </c>
    </row>
    <row r="174" spans="1:17">
      <c r="A174" s="22">
        <v>45950</v>
      </c>
      <c r="B174" s="15" t="s">
        <v>531</v>
      </c>
      <c r="C174" s="16" t="s">
        <v>3055</v>
      </c>
      <c r="D174" s="16" t="s">
        <v>3051</v>
      </c>
      <c r="E174" s="16" t="s">
        <v>3068</v>
      </c>
      <c r="F174" s="16" t="s">
        <v>48</v>
      </c>
      <c r="G174" s="16" t="s">
        <v>48</v>
      </c>
      <c r="H174" s="16" t="s">
        <v>48</v>
      </c>
      <c r="I174" s="16" t="s">
        <v>48</v>
      </c>
      <c r="J174" s="16" t="s">
        <v>48</v>
      </c>
      <c r="K174" s="16" t="s">
        <v>48</v>
      </c>
      <c r="L174" s="16" t="s">
        <v>48</v>
      </c>
      <c r="M174" s="16" t="s">
        <v>48</v>
      </c>
      <c r="N174" s="16">
        <v>54</v>
      </c>
      <c r="O174" s="16" t="s">
        <v>3054</v>
      </c>
      <c r="P174" s="15" t="s">
        <v>3065</v>
      </c>
      <c r="Q174" s="33" t="s">
        <v>3112</v>
      </c>
    </row>
    <row r="175" spans="1:17">
      <c r="A175" s="22">
        <v>45950</v>
      </c>
      <c r="B175" s="15" t="s">
        <v>531</v>
      </c>
      <c r="C175" s="16" t="s">
        <v>3055</v>
      </c>
      <c r="D175" s="16" t="s">
        <v>3051</v>
      </c>
      <c r="E175" s="16" t="s">
        <v>3069</v>
      </c>
      <c r="F175" s="16" t="s">
        <v>48</v>
      </c>
      <c r="G175" s="16" t="s">
        <v>48</v>
      </c>
      <c r="H175" s="16" t="s">
        <v>48</v>
      </c>
      <c r="I175" s="16" t="s">
        <v>48</v>
      </c>
      <c r="J175" s="16" t="s">
        <v>48</v>
      </c>
      <c r="K175" s="16" t="s">
        <v>48</v>
      </c>
      <c r="L175" s="16" t="s">
        <v>48</v>
      </c>
      <c r="M175" s="16" t="s">
        <v>48</v>
      </c>
      <c r="N175" s="16">
        <v>27</v>
      </c>
      <c r="O175" s="16" t="s">
        <v>3054</v>
      </c>
      <c r="P175" s="15" t="s">
        <v>3065</v>
      </c>
      <c r="Q175" s="33" t="s">
        <v>3112</v>
      </c>
    </row>
    <row r="176" spans="1:17">
      <c r="A176" s="22">
        <v>45950</v>
      </c>
      <c r="B176" s="15" t="s">
        <v>531</v>
      </c>
      <c r="C176" s="16" t="s">
        <v>3055</v>
      </c>
      <c r="D176" s="16" t="s">
        <v>3051</v>
      </c>
      <c r="E176" s="16" t="s">
        <v>3070</v>
      </c>
      <c r="F176" s="16" t="s">
        <v>48</v>
      </c>
      <c r="G176" s="16" t="s">
        <v>48</v>
      </c>
      <c r="H176" s="16" t="s">
        <v>48</v>
      </c>
      <c r="I176" s="16" t="s">
        <v>48</v>
      </c>
      <c r="J176" s="16" t="s">
        <v>48</v>
      </c>
      <c r="K176" s="16" t="s">
        <v>48</v>
      </c>
      <c r="L176" s="16" t="s">
        <v>48</v>
      </c>
      <c r="M176" s="16" t="s">
        <v>48</v>
      </c>
      <c r="N176" s="16">
        <v>18</v>
      </c>
      <c r="O176" s="16" t="s">
        <v>3054</v>
      </c>
      <c r="P176" s="15" t="s">
        <v>3065</v>
      </c>
      <c r="Q176" s="33" t="s">
        <v>3112</v>
      </c>
    </row>
    <row r="177" spans="1:17">
      <c r="A177" s="22">
        <v>45951</v>
      </c>
      <c r="B177" s="15" t="s">
        <v>531</v>
      </c>
      <c r="C177" s="16" t="s">
        <v>3071</v>
      </c>
      <c r="D177" s="16" t="s">
        <v>3042</v>
      </c>
      <c r="E177" s="16" t="s">
        <v>3070</v>
      </c>
      <c r="F177" s="16" t="s">
        <v>48</v>
      </c>
      <c r="G177" s="16" t="s">
        <v>48</v>
      </c>
      <c r="H177" s="16" t="s">
        <v>48</v>
      </c>
      <c r="I177" s="16" t="s">
        <v>48</v>
      </c>
      <c r="J177" s="16" t="s">
        <v>48</v>
      </c>
      <c r="K177" s="16" t="s">
        <v>48</v>
      </c>
      <c r="L177" s="16" t="s">
        <v>48</v>
      </c>
      <c r="M177" s="16" t="s">
        <v>48</v>
      </c>
      <c r="N177" s="16">
        <f>27+9</f>
        <v>36</v>
      </c>
      <c r="O177" s="16" t="s">
        <v>3054</v>
      </c>
      <c r="P177" s="15" t="s">
        <v>3065</v>
      </c>
      <c r="Q177" s="33" t="s">
        <v>3112</v>
      </c>
    </row>
    <row r="178" spans="1:17">
      <c r="A178" s="22">
        <v>45951</v>
      </c>
      <c r="B178" s="15" t="s">
        <v>531</v>
      </c>
      <c r="C178" s="16" t="s">
        <v>3071</v>
      </c>
      <c r="D178" s="16" t="s">
        <v>3042</v>
      </c>
      <c r="E178" s="16" t="s">
        <v>3072</v>
      </c>
      <c r="F178" s="16" t="s">
        <v>48</v>
      </c>
      <c r="G178" s="16" t="s">
        <v>48</v>
      </c>
      <c r="H178" s="16" t="s">
        <v>48</v>
      </c>
      <c r="I178" s="16" t="s">
        <v>48</v>
      </c>
      <c r="J178" s="16" t="s">
        <v>48</v>
      </c>
      <c r="K178" s="16" t="s">
        <v>48</v>
      </c>
      <c r="L178" s="16" t="s">
        <v>48</v>
      </c>
      <c r="M178" s="16" t="s">
        <v>48</v>
      </c>
      <c r="N178" s="16">
        <v>54</v>
      </c>
      <c r="O178" s="16" t="s">
        <v>3054</v>
      </c>
      <c r="P178" s="15" t="s">
        <v>3065</v>
      </c>
      <c r="Q178" s="33" t="s">
        <v>3112</v>
      </c>
    </row>
    <row r="179" spans="1:17">
      <c r="A179" s="22">
        <v>45951</v>
      </c>
      <c r="B179" s="15" t="s">
        <v>531</v>
      </c>
      <c r="C179" s="16" t="s">
        <v>3071</v>
      </c>
      <c r="D179" s="16" t="s">
        <v>3042</v>
      </c>
      <c r="E179" s="16" t="s">
        <v>3073</v>
      </c>
      <c r="F179" s="16" t="s">
        <v>48</v>
      </c>
      <c r="G179" s="16" t="s">
        <v>48</v>
      </c>
      <c r="H179" s="16" t="s">
        <v>48</v>
      </c>
      <c r="I179" s="16" t="s">
        <v>48</v>
      </c>
      <c r="J179" s="16" t="s">
        <v>48</v>
      </c>
      <c r="K179" s="16" t="s">
        <v>48</v>
      </c>
      <c r="L179" s="16" t="s">
        <v>48</v>
      </c>
      <c r="M179" s="16" t="s">
        <v>48</v>
      </c>
      <c r="N179" s="16">
        <v>27</v>
      </c>
      <c r="O179" s="16" t="s">
        <v>3054</v>
      </c>
      <c r="P179" s="15" t="s">
        <v>3065</v>
      </c>
      <c r="Q179" s="33" t="s">
        <v>3112</v>
      </c>
    </row>
    <row r="180" spans="1:17">
      <c r="A180" s="22">
        <v>45951</v>
      </c>
      <c r="B180" s="15" t="s">
        <v>531</v>
      </c>
      <c r="C180" s="16" t="s">
        <v>3071</v>
      </c>
      <c r="D180" s="16" t="s">
        <v>3075</v>
      </c>
      <c r="E180" s="16" t="s">
        <v>3074</v>
      </c>
      <c r="F180" s="16" t="s">
        <v>48</v>
      </c>
      <c r="G180" s="16" t="s">
        <v>48</v>
      </c>
      <c r="H180" s="16" t="s">
        <v>48</v>
      </c>
      <c r="I180" s="16" t="s">
        <v>48</v>
      </c>
      <c r="J180" s="16" t="s">
        <v>48</v>
      </c>
      <c r="K180" s="16" t="s">
        <v>48</v>
      </c>
      <c r="L180" s="16" t="s">
        <v>48</v>
      </c>
      <c r="M180" s="16" t="s">
        <v>48</v>
      </c>
      <c r="N180" s="16">
        <v>27</v>
      </c>
      <c r="O180" s="16" t="s">
        <v>3054</v>
      </c>
      <c r="P180" s="15" t="s">
        <v>3065</v>
      </c>
      <c r="Q180" s="33" t="s">
        <v>3112</v>
      </c>
    </row>
    <row r="181" spans="1:17">
      <c r="A181" s="22">
        <v>45951</v>
      </c>
      <c r="B181" s="15" t="s">
        <v>531</v>
      </c>
      <c r="C181" s="16" t="s">
        <v>3071</v>
      </c>
      <c r="D181" s="16" t="s">
        <v>3075</v>
      </c>
      <c r="E181" s="16" t="s">
        <v>3058</v>
      </c>
      <c r="F181" s="16" t="s">
        <v>48</v>
      </c>
      <c r="G181" s="16" t="s">
        <v>48</v>
      </c>
      <c r="H181" s="16" t="s">
        <v>48</v>
      </c>
      <c r="I181" s="16" t="s">
        <v>48</v>
      </c>
      <c r="J181" s="16" t="s">
        <v>48</v>
      </c>
      <c r="K181" s="16" t="s">
        <v>48</v>
      </c>
      <c r="L181" s="16" t="s">
        <v>48</v>
      </c>
      <c r="M181" s="16" t="s">
        <v>48</v>
      </c>
      <c r="N181" s="16">
        <v>27</v>
      </c>
      <c r="O181" s="16" t="s">
        <v>3054</v>
      </c>
      <c r="P181" s="15" t="s">
        <v>3065</v>
      </c>
      <c r="Q181" s="33" t="s">
        <v>3112</v>
      </c>
    </row>
    <row r="182" spans="1:17">
      <c r="A182" s="22">
        <v>45951</v>
      </c>
      <c r="B182" s="15" t="s">
        <v>531</v>
      </c>
      <c r="C182" s="16" t="s">
        <v>3071</v>
      </c>
      <c r="D182" s="16" t="s">
        <v>3075</v>
      </c>
      <c r="E182" s="16" t="s">
        <v>3063</v>
      </c>
      <c r="F182" s="16" t="s">
        <v>48</v>
      </c>
      <c r="G182" s="16" t="s">
        <v>48</v>
      </c>
      <c r="H182" s="16" t="s">
        <v>48</v>
      </c>
      <c r="I182" s="16" t="s">
        <v>48</v>
      </c>
      <c r="J182" s="16" t="s">
        <v>48</v>
      </c>
      <c r="K182" s="16" t="s">
        <v>48</v>
      </c>
      <c r="L182" s="16" t="s">
        <v>48</v>
      </c>
      <c r="M182" s="16" t="s">
        <v>48</v>
      </c>
      <c r="N182" s="16">
        <v>27</v>
      </c>
      <c r="O182" s="16" t="s">
        <v>3054</v>
      </c>
      <c r="P182" s="15" t="s">
        <v>3065</v>
      </c>
      <c r="Q182" s="33" t="s">
        <v>3112</v>
      </c>
    </row>
    <row r="183" spans="1:17">
      <c r="A183" s="22">
        <v>45951</v>
      </c>
      <c r="B183" s="15" t="s">
        <v>531</v>
      </c>
      <c r="C183" s="16" t="s">
        <v>3071</v>
      </c>
      <c r="D183" s="16" t="s">
        <v>3075</v>
      </c>
      <c r="E183" s="16" t="s">
        <v>3073</v>
      </c>
      <c r="F183" s="16" t="s">
        <v>48</v>
      </c>
      <c r="G183" s="16" t="s">
        <v>48</v>
      </c>
      <c r="H183" s="16" t="s">
        <v>48</v>
      </c>
      <c r="I183" s="16" t="s">
        <v>48</v>
      </c>
      <c r="J183" s="16" t="s">
        <v>48</v>
      </c>
      <c r="K183" s="16" t="s">
        <v>48</v>
      </c>
      <c r="L183" s="16" t="s">
        <v>48</v>
      </c>
      <c r="M183" s="16" t="s">
        <v>48</v>
      </c>
      <c r="N183" s="16">
        <v>27</v>
      </c>
      <c r="O183" s="16" t="s">
        <v>3054</v>
      </c>
      <c r="P183" s="15" t="s">
        <v>3065</v>
      </c>
      <c r="Q183" s="33" t="s">
        <v>3112</v>
      </c>
    </row>
    <row r="184" spans="1:17">
      <c r="A184" s="22">
        <v>45951</v>
      </c>
      <c r="B184" s="15" t="s">
        <v>531</v>
      </c>
      <c r="C184" s="16" t="s">
        <v>3071</v>
      </c>
      <c r="D184" s="16" t="s">
        <v>3075</v>
      </c>
      <c r="E184" s="16" t="s">
        <v>3076</v>
      </c>
      <c r="F184" s="16" t="s">
        <v>48</v>
      </c>
      <c r="G184" s="16" t="s">
        <v>48</v>
      </c>
      <c r="H184" s="16" t="s">
        <v>48</v>
      </c>
      <c r="I184" s="16" t="s">
        <v>48</v>
      </c>
      <c r="J184" s="16" t="s">
        <v>48</v>
      </c>
      <c r="K184" s="16" t="s">
        <v>48</v>
      </c>
      <c r="L184" s="16" t="s">
        <v>48</v>
      </c>
      <c r="M184" s="16" t="s">
        <v>48</v>
      </c>
      <c r="N184" s="16">
        <v>54</v>
      </c>
      <c r="O184" s="16" t="s">
        <v>3054</v>
      </c>
      <c r="P184" s="15" t="s">
        <v>3065</v>
      </c>
      <c r="Q184" s="33" t="s">
        <v>3112</v>
      </c>
    </row>
    <row r="185" spans="1:17">
      <c r="A185" s="22">
        <v>45951</v>
      </c>
      <c r="B185" s="15" t="s">
        <v>531</v>
      </c>
      <c r="C185" s="16" t="s">
        <v>3071</v>
      </c>
      <c r="D185" s="16" t="s">
        <v>3075</v>
      </c>
      <c r="E185" s="16" t="s">
        <v>3077</v>
      </c>
      <c r="F185" s="16" t="s">
        <v>48</v>
      </c>
      <c r="G185" s="16" t="s">
        <v>48</v>
      </c>
      <c r="H185" s="16" t="s">
        <v>48</v>
      </c>
      <c r="I185" s="16" t="s">
        <v>48</v>
      </c>
      <c r="J185" s="16" t="s">
        <v>48</v>
      </c>
      <c r="K185" s="16" t="s">
        <v>48</v>
      </c>
      <c r="L185" s="16" t="s">
        <v>48</v>
      </c>
      <c r="M185" s="16" t="s">
        <v>48</v>
      </c>
      <c r="N185" s="16">
        <v>54</v>
      </c>
      <c r="O185" s="16" t="s">
        <v>3054</v>
      </c>
      <c r="P185" s="15" t="s">
        <v>3065</v>
      </c>
      <c r="Q185" s="33" t="s">
        <v>3112</v>
      </c>
    </row>
    <row r="186" spans="1:17">
      <c r="A186" s="22">
        <v>45951</v>
      </c>
      <c r="B186" s="15" t="s">
        <v>531</v>
      </c>
      <c r="C186" s="16" t="s">
        <v>3071</v>
      </c>
      <c r="D186" s="16" t="s">
        <v>3075</v>
      </c>
      <c r="E186" s="16" t="s">
        <v>3078</v>
      </c>
      <c r="F186" s="16" t="s">
        <v>48</v>
      </c>
      <c r="G186" s="16" t="s">
        <v>48</v>
      </c>
      <c r="H186" s="16" t="s">
        <v>48</v>
      </c>
      <c r="I186" s="16" t="s">
        <v>48</v>
      </c>
      <c r="J186" s="16" t="s">
        <v>48</v>
      </c>
      <c r="K186" s="16" t="s">
        <v>48</v>
      </c>
      <c r="L186" s="16" t="s">
        <v>48</v>
      </c>
      <c r="M186" s="16" t="s">
        <v>48</v>
      </c>
      <c r="N186" s="16">
        <v>54</v>
      </c>
      <c r="O186" s="16" t="s">
        <v>3054</v>
      </c>
      <c r="P186" s="15" t="s">
        <v>3065</v>
      </c>
      <c r="Q186" s="33" t="s">
        <v>3112</v>
      </c>
    </row>
    <row r="187" spans="1:17">
      <c r="A187" s="22">
        <v>45951</v>
      </c>
      <c r="B187" s="15" t="s">
        <v>531</v>
      </c>
      <c r="C187" s="16" t="s">
        <v>3071</v>
      </c>
      <c r="D187" s="16" t="s">
        <v>3075</v>
      </c>
      <c r="E187" s="16" t="s">
        <v>3079</v>
      </c>
      <c r="F187" s="16" t="s">
        <v>48</v>
      </c>
      <c r="G187" s="16" t="s">
        <v>48</v>
      </c>
      <c r="H187" s="16" t="s">
        <v>48</v>
      </c>
      <c r="I187" s="16" t="s">
        <v>48</v>
      </c>
      <c r="J187" s="16" t="s">
        <v>48</v>
      </c>
      <c r="K187" s="16" t="s">
        <v>48</v>
      </c>
      <c r="L187" s="16" t="s">
        <v>48</v>
      </c>
      <c r="M187" s="16" t="s">
        <v>48</v>
      </c>
      <c r="N187" s="16">
        <v>27</v>
      </c>
      <c r="O187" s="16" t="s">
        <v>3054</v>
      </c>
      <c r="P187" s="15" t="s">
        <v>3065</v>
      </c>
      <c r="Q187" s="33" t="s">
        <v>3112</v>
      </c>
    </row>
    <row r="188" spans="1:17">
      <c r="A188" s="22">
        <v>45951</v>
      </c>
      <c r="B188" s="15" t="s">
        <v>531</v>
      </c>
      <c r="C188" s="16" t="s">
        <v>3071</v>
      </c>
      <c r="D188" s="16" t="s">
        <v>3060</v>
      </c>
      <c r="E188" s="16" t="s">
        <v>3080</v>
      </c>
      <c r="F188" s="16" t="s">
        <v>48</v>
      </c>
      <c r="G188" s="16" t="s">
        <v>48</v>
      </c>
      <c r="H188" s="16" t="s">
        <v>48</v>
      </c>
      <c r="I188" s="16" t="s">
        <v>48</v>
      </c>
      <c r="J188" s="16" t="s">
        <v>48</v>
      </c>
      <c r="K188" s="16" t="s">
        <v>48</v>
      </c>
      <c r="L188" s="16" t="s">
        <v>48</v>
      </c>
      <c r="M188" s="16" t="s">
        <v>48</v>
      </c>
      <c r="N188" s="16">
        <v>54</v>
      </c>
      <c r="O188" s="16" t="s">
        <v>3054</v>
      </c>
      <c r="P188" s="15" t="s">
        <v>3065</v>
      </c>
      <c r="Q188" s="33" t="s">
        <v>3112</v>
      </c>
    </row>
    <row r="189" spans="1:17">
      <c r="A189" s="22">
        <v>45951</v>
      </c>
      <c r="B189" s="15" t="s">
        <v>531</v>
      </c>
      <c r="C189" s="16" t="s">
        <v>3071</v>
      </c>
      <c r="D189" s="16" t="s">
        <v>3060</v>
      </c>
      <c r="E189" s="16" t="s">
        <v>3081</v>
      </c>
      <c r="F189" s="16" t="s">
        <v>48</v>
      </c>
      <c r="G189" s="16" t="s">
        <v>48</v>
      </c>
      <c r="H189" s="16" t="s">
        <v>48</v>
      </c>
      <c r="I189" s="16" t="s">
        <v>48</v>
      </c>
      <c r="J189" s="16" t="s">
        <v>48</v>
      </c>
      <c r="K189" s="16" t="s">
        <v>48</v>
      </c>
      <c r="L189" s="16" t="s">
        <v>48</v>
      </c>
      <c r="M189" s="16" t="s">
        <v>48</v>
      </c>
      <c r="N189" s="16">
        <v>54</v>
      </c>
      <c r="O189" s="16" t="s">
        <v>3087</v>
      </c>
      <c r="P189" s="15" t="s">
        <v>3065</v>
      </c>
      <c r="Q189" s="33" t="s">
        <v>3112</v>
      </c>
    </row>
    <row r="190" spans="1:17">
      <c r="A190" s="22">
        <v>45951</v>
      </c>
      <c r="B190" s="15" t="s">
        <v>531</v>
      </c>
      <c r="C190" s="16" t="s">
        <v>3071</v>
      </c>
      <c r="D190" s="16" t="s">
        <v>3085</v>
      </c>
      <c r="E190" s="16" t="s">
        <v>3082</v>
      </c>
      <c r="F190" s="16" t="s">
        <v>48</v>
      </c>
      <c r="G190" s="16" t="s">
        <v>48</v>
      </c>
      <c r="H190" s="16" t="s">
        <v>48</v>
      </c>
      <c r="I190" s="16" t="s">
        <v>48</v>
      </c>
      <c r="J190" s="16" t="s">
        <v>48</v>
      </c>
      <c r="K190" s="16" t="s">
        <v>48</v>
      </c>
      <c r="L190" s="16" t="s">
        <v>48</v>
      </c>
      <c r="M190" s="16" t="s">
        <v>48</v>
      </c>
      <c r="N190" s="16">
        <v>27</v>
      </c>
      <c r="O190" s="16" t="s">
        <v>3087</v>
      </c>
      <c r="P190" s="15" t="s">
        <v>3065</v>
      </c>
      <c r="Q190" s="33" t="s">
        <v>3112</v>
      </c>
    </row>
    <row r="191" spans="1:17">
      <c r="A191" s="22">
        <v>45951</v>
      </c>
      <c r="B191" s="15" t="s">
        <v>531</v>
      </c>
      <c r="C191" s="16" t="s">
        <v>3071</v>
      </c>
      <c r="D191" s="16" t="s">
        <v>3085</v>
      </c>
      <c r="E191" s="16" t="s">
        <v>2986</v>
      </c>
      <c r="F191" s="16" t="s">
        <v>48</v>
      </c>
      <c r="G191" s="16" t="s">
        <v>48</v>
      </c>
      <c r="H191" s="16" t="s">
        <v>48</v>
      </c>
      <c r="I191" s="16" t="s">
        <v>48</v>
      </c>
      <c r="J191" s="16" t="s">
        <v>48</v>
      </c>
      <c r="K191" s="16" t="s">
        <v>48</v>
      </c>
      <c r="L191" s="16" t="s">
        <v>48</v>
      </c>
      <c r="M191" s="16" t="s">
        <v>48</v>
      </c>
      <c r="N191" s="16">
        <v>54</v>
      </c>
      <c r="O191" s="16" t="s">
        <v>3087</v>
      </c>
      <c r="P191" s="15" t="s">
        <v>3065</v>
      </c>
      <c r="Q191" s="33" t="s">
        <v>3112</v>
      </c>
    </row>
    <row r="192" spans="1:17">
      <c r="A192" s="22">
        <v>45951</v>
      </c>
      <c r="B192" s="15" t="s">
        <v>531</v>
      </c>
      <c r="C192" s="16" t="s">
        <v>3071</v>
      </c>
      <c r="D192" s="16" t="s">
        <v>3085</v>
      </c>
      <c r="E192" s="16" t="s">
        <v>3083</v>
      </c>
      <c r="F192" s="16" t="s">
        <v>48</v>
      </c>
      <c r="G192" s="16" t="s">
        <v>48</v>
      </c>
      <c r="H192" s="16" t="s">
        <v>48</v>
      </c>
      <c r="I192" s="16" t="s">
        <v>48</v>
      </c>
      <c r="J192" s="16" t="s">
        <v>48</v>
      </c>
      <c r="K192" s="16" t="s">
        <v>48</v>
      </c>
      <c r="L192" s="16" t="s">
        <v>48</v>
      </c>
      <c r="M192" s="16" t="s">
        <v>48</v>
      </c>
      <c r="N192" s="16">
        <v>27</v>
      </c>
      <c r="O192" s="16" t="s">
        <v>3087</v>
      </c>
      <c r="P192" s="15" t="s">
        <v>3065</v>
      </c>
      <c r="Q192" s="33" t="s">
        <v>3112</v>
      </c>
    </row>
    <row r="193" spans="1:17">
      <c r="A193" s="22">
        <v>45951</v>
      </c>
      <c r="B193" s="15" t="s">
        <v>531</v>
      </c>
      <c r="C193" s="16" t="s">
        <v>3071</v>
      </c>
      <c r="D193" s="16" t="s">
        <v>3085</v>
      </c>
      <c r="E193" s="16" t="s">
        <v>3084</v>
      </c>
      <c r="F193" s="16" t="s">
        <v>48</v>
      </c>
      <c r="G193" s="16" t="s">
        <v>48</v>
      </c>
      <c r="H193" s="16" t="s">
        <v>48</v>
      </c>
      <c r="I193" s="16" t="s">
        <v>48</v>
      </c>
      <c r="J193" s="16" t="s">
        <v>48</v>
      </c>
      <c r="K193" s="16" t="s">
        <v>48</v>
      </c>
      <c r="L193" s="16" t="s">
        <v>48</v>
      </c>
      <c r="M193" s="16" t="s">
        <v>48</v>
      </c>
      <c r="N193" s="16">
        <v>54</v>
      </c>
      <c r="O193" s="16" t="s">
        <v>3087</v>
      </c>
      <c r="P193" s="15" t="s">
        <v>3065</v>
      </c>
      <c r="Q193" s="33" t="s">
        <v>3112</v>
      </c>
    </row>
    <row r="194" spans="1:17">
      <c r="A194" s="22">
        <v>45951</v>
      </c>
      <c r="B194" s="15" t="s">
        <v>531</v>
      </c>
      <c r="C194" s="16" t="s">
        <v>3071</v>
      </c>
      <c r="D194" s="16" t="s">
        <v>3085</v>
      </c>
      <c r="E194" s="16" t="s">
        <v>3086</v>
      </c>
      <c r="F194" s="16" t="s">
        <v>48</v>
      </c>
      <c r="G194" s="16" t="s">
        <v>48</v>
      </c>
      <c r="H194" s="16" t="s">
        <v>48</v>
      </c>
      <c r="I194" s="16" t="s">
        <v>48</v>
      </c>
      <c r="J194" s="16" t="s">
        <v>48</v>
      </c>
      <c r="K194" s="16" t="s">
        <v>48</v>
      </c>
      <c r="L194" s="16" t="s">
        <v>48</v>
      </c>
      <c r="M194" s="16" t="s">
        <v>48</v>
      </c>
      <c r="N194" s="16">
        <v>41</v>
      </c>
      <c r="O194" s="16" t="s">
        <v>3087</v>
      </c>
      <c r="P194" s="15" t="s">
        <v>3065</v>
      </c>
      <c r="Q194" s="33" t="s">
        <v>3112</v>
      </c>
    </row>
    <row r="195" spans="1:17">
      <c r="A195" s="22">
        <v>45951</v>
      </c>
      <c r="B195" s="15" t="s">
        <v>531</v>
      </c>
      <c r="C195" s="16" t="s">
        <v>3071</v>
      </c>
      <c r="D195" s="16" t="s">
        <v>3085</v>
      </c>
      <c r="E195" s="16" t="s">
        <v>3086</v>
      </c>
      <c r="F195" s="16" t="s">
        <v>48</v>
      </c>
      <c r="G195" s="16" t="s">
        <v>48</v>
      </c>
      <c r="H195" s="16" t="s">
        <v>48</v>
      </c>
      <c r="I195" s="16" t="s">
        <v>48</v>
      </c>
      <c r="J195" s="16" t="s">
        <v>48</v>
      </c>
      <c r="K195" s="16" t="s">
        <v>48</v>
      </c>
      <c r="L195" s="16" t="s">
        <v>48</v>
      </c>
      <c r="M195" s="16" t="s">
        <v>48</v>
      </c>
      <c r="N195" s="16">
        <v>13</v>
      </c>
      <c r="O195" s="16" t="s">
        <v>3087</v>
      </c>
      <c r="P195" s="15" t="s">
        <v>3065</v>
      </c>
      <c r="Q195" s="33" t="s">
        <v>3112</v>
      </c>
    </row>
    <row r="196" spans="1:17">
      <c r="A196" s="22">
        <v>45952</v>
      </c>
      <c r="B196" s="15" t="s">
        <v>531</v>
      </c>
      <c r="C196" s="16" t="s">
        <v>3088</v>
      </c>
      <c r="D196" s="16" t="s">
        <v>3085</v>
      </c>
      <c r="E196" s="16" t="s">
        <v>3089</v>
      </c>
      <c r="F196" s="16" t="s">
        <v>48</v>
      </c>
      <c r="G196" s="16" t="s">
        <v>48</v>
      </c>
      <c r="H196" s="16" t="s">
        <v>48</v>
      </c>
      <c r="I196" s="16" t="s">
        <v>48</v>
      </c>
      <c r="J196" s="16" t="s">
        <v>48</v>
      </c>
      <c r="K196" s="16" t="s">
        <v>48</v>
      </c>
      <c r="L196" s="16" t="s">
        <v>48</v>
      </c>
      <c r="M196" s="16" t="s">
        <v>48</v>
      </c>
      <c r="N196" s="16">
        <v>54</v>
      </c>
      <c r="O196" s="16" t="s">
        <v>3100</v>
      </c>
      <c r="P196" s="15" t="s">
        <v>3065</v>
      </c>
      <c r="Q196" s="33" t="s">
        <v>3112</v>
      </c>
    </row>
    <row r="197" spans="1:17">
      <c r="A197" s="22">
        <v>45952</v>
      </c>
      <c r="B197" s="15" t="s">
        <v>531</v>
      </c>
      <c r="C197" s="16" t="s">
        <v>3088</v>
      </c>
      <c r="D197" s="16" t="s">
        <v>3085</v>
      </c>
      <c r="E197" s="16" t="s">
        <v>3090</v>
      </c>
      <c r="F197" s="16" t="s">
        <v>48</v>
      </c>
      <c r="G197" s="16" t="s">
        <v>48</v>
      </c>
      <c r="H197" s="16" t="s">
        <v>48</v>
      </c>
      <c r="I197" s="16" t="s">
        <v>48</v>
      </c>
      <c r="J197" s="16" t="s">
        <v>48</v>
      </c>
      <c r="K197" s="16" t="s">
        <v>48</v>
      </c>
      <c r="L197" s="16" t="s">
        <v>48</v>
      </c>
      <c r="M197" s="16" t="s">
        <v>48</v>
      </c>
      <c r="N197" s="16">
        <v>54</v>
      </c>
      <c r="O197" s="16" t="s">
        <v>3100</v>
      </c>
      <c r="P197" s="15" t="s">
        <v>3065</v>
      </c>
      <c r="Q197" s="33" t="s">
        <v>3112</v>
      </c>
    </row>
    <row r="198" spans="1:17">
      <c r="A198" s="22">
        <v>45952</v>
      </c>
      <c r="B198" s="15" t="s">
        <v>531</v>
      </c>
      <c r="C198" s="16" t="s">
        <v>3088</v>
      </c>
      <c r="D198" s="16" t="s">
        <v>3085</v>
      </c>
      <c r="E198" s="16" t="s">
        <v>3082</v>
      </c>
      <c r="F198" s="16" t="s">
        <v>48</v>
      </c>
      <c r="G198" s="16" t="s">
        <v>48</v>
      </c>
      <c r="H198" s="16" t="s">
        <v>48</v>
      </c>
      <c r="I198" s="16" t="s">
        <v>48</v>
      </c>
      <c r="J198" s="16" t="s">
        <v>48</v>
      </c>
      <c r="K198" s="16" t="s">
        <v>48</v>
      </c>
      <c r="L198" s="16" t="s">
        <v>48</v>
      </c>
      <c r="M198" s="16" t="s">
        <v>48</v>
      </c>
      <c r="N198" s="16">
        <v>27</v>
      </c>
      <c r="O198" s="16" t="s">
        <v>3100</v>
      </c>
      <c r="P198" s="15" t="s">
        <v>3065</v>
      </c>
      <c r="Q198" s="33" t="s">
        <v>3112</v>
      </c>
    </row>
    <row r="199" spans="1:17">
      <c r="A199" s="22">
        <v>45952</v>
      </c>
      <c r="B199" s="15" t="s">
        <v>531</v>
      </c>
      <c r="C199" s="16" t="s">
        <v>3088</v>
      </c>
      <c r="D199" s="16" t="s">
        <v>3085</v>
      </c>
      <c r="E199" s="16" t="s">
        <v>3091</v>
      </c>
      <c r="F199" s="16" t="s">
        <v>48</v>
      </c>
      <c r="G199" s="16" t="s">
        <v>48</v>
      </c>
      <c r="H199" s="16" t="s">
        <v>48</v>
      </c>
      <c r="I199" s="16" t="s">
        <v>48</v>
      </c>
      <c r="J199" s="16" t="s">
        <v>48</v>
      </c>
      <c r="K199" s="16" t="s">
        <v>48</v>
      </c>
      <c r="L199" s="16" t="s">
        <v>48</v>
      </c>
      <c r="M199" s="16" t="s">
        <v>48</v>
      </c>
      <c r="N199" s="16">
        <v>27</v>
      </c>
      <c r="O199" s="16" t="s">
        <v>3100</v>
      </c>
      <c r="P199" s="15" t="s">
        <v>3065</v>
      </c>
      <c r="Q199" s="33" t="s">
        <v>3112</v>
      </c>
    </row>
    <row r="200" spans="1:17">
      <c r="A200" s="22">
        <v>45952</v>
      </c>
      <c r="B200" s="15" t="s">
        <v>531</v>
      </c>
      <c r="C200" s="16" t="s">
        <v>3088</v>
      </c>
      <c r="D200" s="16" t="s">
        <v>3085</v>
      </c>
      <c r="E200" s="16" t="s">
        <v>3091</v>
      </c>
      <c r="F200" s="16" t="s">
        <v>48</v>
      </c>
      <c r="G200" s="16" t="s">
        <v>48</v>
      </c>
      <c r="H200" s="16" t="s">
        <v>48</v>
      </c>
      <c r="I200" s="16" t="s">
        <v>48</v>
      </c>
      <c r="J200" s="16" t="s">
        <v>48</v>
      </c>
      <c r="K200" s="16" t="s">
        <v>48</v>
      </c>
      <c r="L200" s="16" t="s">
        <v>48</v>
      </c>
      <c r="M200" s="16" t="s">
        <v>48</v>
      </c>
      <c r="N200" s="16">
        <v>54</v>
      </c>
      <c r="O200" s="16" t="s">
        <v>3100</v>
      </c>
      <c r="P200" s="15" t="s">
        <v>3065</v>
      </c>
      <c r="Q200" s="33" t="s">
        <v>3112</v>
      </c>
    </row>
    <row r="201" spans="1:17">
      <c r="A201" s="22">
        <v>45952</v>
      </c>
      <c r="B201" s="15" t="s">
        <v>531</v>
      </c>
      <c r="C201" s="16" t="s">
        <v>3088</v>
      </c>
      <c r="D201" s="16" t="s">
        <v>3060</v>
      </c>
      <c r="E201" s="16" t="s">
        <v>3092</v>
      </c>
      <c r="F201" s="16" t="s">
        <v>48</v>
      </c>
      <c r="G201" s="16" t="s">
        <v>48</v>
      </c>
      <c r="H201" s="16" t="s">
        <v>48</v>
      </c>
      <c r="I201" s="16" t="s">
        <v>48</v>
      </c>
      <c r="J201" s="16" t="s">
        <v>48</v>
      </c>
      <c r="K201" s="16" t="s">
        <v>48</v>
      </c>
      <c r="L201" s="16" t="s">
        <v>48</v>
      </c>
      <c r="M201" s="16" t="s">
        <v>48</v>
      </c>
      <c r="N201" s="16">
        <v>54</v>
      </c>
      <c r="O201" s="16" t="s">
        <v>3100</v>
      </c>
      <c r="P201" s="15" t="s">
        <v>3065</v>
      </c>
      <c r="Q201" s="33" t="s">
        <v>3112</v>
      </c>
    </row>
    <row r="202" spans="1:17">
      <c r="A202" s="22">
        <v>45952</v>
      </c>
      <c r="B202" s="15" t="s">
        <v>531</v>
      </c>
      <c r="C202" s="16" t="s">
        <v>3088</v>
      </c>
      <c r="D202" s="16" t="s">
        <v>3060</v>
      </c>
      <c r="E202" s="16" t="s">
        <v>3093</v>
      </c>
      <c r="F202" s="16" t="s">
        <v>48</v>
      </c>
      <c r="G202" s="16" t="s">
        <v>48</v>
      </c>
      <c r="H202" s="16" t="s">
        <v>48</v>
      </c>
      <c r="I202" s="16" t="s">
        <v>48</v>
      </c>
      <c r="J202" s="16" t="s">
        <v>48</v>
      </c>
      <c r="K202" s="16" t="s">
        <v>48</v>
      </c>
      <c r="L202" s="16" t="s">
        <v>48</v>
      </c>
      <c r="M202" s="16" t="s">
        <v>48</v>
      </c>
      <c r="N202" s="16">
        <v>27</v>
      </c>
      <c r="O202" s="16" t="s">
        <v>3100</v>
      </c>
      <c r="P202" s="15" t="s">
        <v>3065</v>
      </c>
      <c r="Q202" s="33" t="s">
        <v>3112</v>
      </c>
    </row>
    <row r="203" spans="1:17">
      <c r="A203" s="22">
        <v>45952</v>
      </c>
      <c r="B203" s="15" t="s">
        <v>531</v>
      </c>
      <c r="C203" s="16" t="s">
        <v>3088</v>
      </c>
      <c r="D203" s="16" t="s">
        <v>3042</v>
      </c>
      <c r="E203" s="16" t="s">
        <v>3094</v>
      </c>
      <c r="F203" s="16" t="s">
        <v>48</v>
      </c>
      <c r="G203" s="16" t="s">
        <v>48</v>
      </c>
      <c r="H203" s="16" t="s">
        <v>48</v>
      </c>
      <c r="I203" s="16" t="s">
        <v>48</v>
      </c>
      <c r="J203" s="16" t="s">
        <v>48</v>
      </c>
      <c r="K203" s="16" t="s">
        <v>48</v>
      </c>
      <c r="L203" s="16" t="s">
        <v>48</v>
      </c>
      <c r="M203" s="16" t="s">
        <v>48</v>
      </c>
      <c r="N203" s="16">
        <v>54</v>
      </c>
      <c r="O203" s="16" t="s">
        <v>3101</v>
      </c>
      <c r="P203" s="15" t="s">
        <v>3065</v>
      </c>
      <c r="Q203" s="33" t="s">
        <v>3112</v>
      </c>
    </row>
    <row r="204" spans="1:17">
      <c r="A204" s="22">
        <v>45952</v>
      </c>
      <c r="B204" s="15" t="s">
        <v>531</v>
      </c>
      <c r="C204" s="16" t="s">
        <v>3088</v>
      </c>
      <c r="D204" s="16" t="s">
        <v>3042</v>
      </c>
      <c r="E204" s="16" t="s">
        <v>3095</v>
      </c>
      <c r="F204" s="16" t="s">
        <v>48</v>
      </c>
      <c r="G204" s="16" t="s">
        <v>48</v>
      </c>
      <c r="H204" s="16" t="s">
        <v>48</v>
      </c>
      <c r="I204" s="16" t="s">
        <v>48</v>
      </c>
      <c r="J204" s="16" t="s">
        <v>48</v>
      </c>
      <c r="K204" s="16" t="s">
        <v>48</v>
      </c>
      <c r="L204" s="16" t="s">
        <v>48</v>
      </c>
      <c r="M204" s="16" t="s">
        <v>48</v>
      </c>
      <c r="N204" s="16">
        <v>54</v>
      </c>
      <c r="O204" s="16" t="s">
        <v>3101</v>
      </c>
      <c r="P204" s="15" t="s">
        <v>3065</v>
      </c>
      <c r="Q204" s="33" t="s">
        <v>3112</v>
      </c>
    </row>
    <row r="205" spans="1:17">
      <c r="A205" s="22">
        <v>45952</v>
      </c>
      <c r="B205" s="15" t="s">
        <v>531</v>
      </c>
      <c r="C205" s="16" t="s">
        <v>3088</v>
      </c>
      <c r="D205" s="16" t="s">
        <v>3042</v>
      </c>
      <c r="E205" s="16" t="s">
        <v>3096</v>
      </c>
      <c r="F205" s="16" t="s">
        <v>48</v>
      </c>
      <c r="G205" s="16" t="s">
        <v>48</v>
      </c>
      <c r="H205" s="16" t="s">
        <v>48</v>
      </c>
      <c r="I205" s="16" t="s">
        <v>48</v>
      </c>
      <c r="J205" s="16" t="s">
        <v>48</v>
      </c>
      <c r="K205" s="16" t="s">
        <v>48</v>
      </c>
      <c r="L205" s="16" t="s">
        <v>48</v>
      </c>
      <c r="M205" s="16" t="s">
        <v>48</v>
      </c>
      <c r="N205" s="16">
        <v>54</v>
      </c>
      <c r="O205" s="16" t="s">
        <v>3101</v>
      </c>
      <c r="P205" s="15" t="s">
        <v>3065</v>
      </c>
      <c r="Q205" s="33" t="s">
        <v>3112</v>
      </c>
    </row>
    <row r="206" spans="1:17">
      <c r="A206" s="22">
        <v>45952</v>
      </c>
      <c r="B206" s="15" t="s">
        <v>531</v>
      </c>
      <c r="C206" s="16" t="s">
        <v>3088</v>
      </c>
      <c r="D206" s="16" t="s">
        <v>3042</v>
      </c>
      <c r="E206" s="16" t="s">
        <v>3097</v>
      </c>
      <c r="F206" s="16" t="s">
        <v>48</v>
      </c>
      <c r="G206" s="16" t="s">
        <v>48</v>
      </c>
      <c r="H206" s="16" t="s">
        <v>48</v>
      </c>
      <c r="I206" s="16" t="s">
        <v>48</v>
      </c>
      <c r="J206" s="16" t="s">
        <v>48</v>
      </c>
      <c r="K206" s="16" t="s">
        <v>48</v>
      </c>
      <c r="L206" s="16" t="s">
        <v>48</v>
      </c>
      <c r="M206" s="16" t="s">
        <v>48</v>
      </c>
      <c r="N206" s="16">
        <v>27</v>
      </c>
      <c r="O206" s="16" t="s">
        <v>3101</v>
      </c>
      <c r="P206" s="15" t="s">
        <v>3065</v>
      </c>
      <c r="Q206" s="33" t="s">
        <v>3112</v>
      </c>
    </row>
    <row r="207" spans="1:17">
      <c r="A207" s="22">
        <v>45952</v>
      </c>
      <c r="B207" s="15" t="s">
        <v>531</v>
      </c>
      <c r="C207" s="16" t="s">
        <v>3088</v>
      </c>
      <c r="D207" s="16" t="s">
        <v>3042</v>
      </c>
      <c r="E207" s="16" t="s">
        <v>3098</v>
      </c>
      <c r="F207" s="16" t="s">
        <v>48</v>
      </c>
      <c r="G207" s="16" t="s">
        <v>48</v>
      </c>
      <c r="H207" s="16" t="s">
        <v>48</v>
      </c>
      <c r="I207" s="16" t="s">
        <v>48</v>
      </c>
      <c r="J207" s="16" t="s">
        <v>48</v>
      </c>
      <c r="K207" s="16" t="s">
        <v>48</v>
      </c>
      <c r="L207" s="16" t="s">
        <v>48</v>
      </c>
      <c r="M207" s="16" t="s">
        <v>48</v>
      </c>
      <c r="N207" s="16">
        <v>54</v>
      </c>
      <c r="O207" s="16" t="s">
        <v>3101</v>
      </c>
      <c r="P207" s="15" t="s">
        <v>3065</v>
      </c>
      <c r="Q207" s="33" t="s">
        <v>3112</v>
      </c>
    </row>
    <row r="208" spans="1:17">
      <c r="A208" s="22">
        <v>45952</v>
      </c>
      <c r="B208" s="15" t="s">
        <v>531</v>
      </c>
      <c r="C208" s="16" t="s">
        <v>3088</v>
      </c>
      <c r="D208" s="16" t="s">
        <v>3042</v>
      </c>
      <c r="E208" s="16" t="s">
        <v>3099</v>
      </c>
      <c r="F208" s="16" t="s">
        <v>48</v>
      </c>
      <c r="G208" s="16" t="s">
        <v>48</v>
      </c>
      <c r="H208" s="16" t="s">
        <v>48</v>
      </c>
      <c r="I208" s="16" t="s">
        <v>48</v>
      </c>
      <c r="J208" s="16" t="s">
        <v>48</v>
      </c>
      <c r="K208" s="16" t="s">
        <v>48</v>
      </c>
      <c r="L208" s="16" t="s">
        <v>48</v>
      </c>
      <c r="M208" s="16" t="s">
        <v>48</v>
      </c>
      <c r="N208" s="16">
        <v>27</v>
      </c>
      <c r="O208" s="16" t="s">
        <v>3101</v>
      </c>
      <c r="P208" s="15" t="s">
        <v>3065</v>
      </c>
      <c r="Q208" s="33" t="s">
        <v>3112</v>
      </c>
    </row>
    <row r="209" spans="1:17">
      <c r="A209" s="22">
        <v>45952</v>
      </c>
      <c r="B209" s="15" t="s">
        <v>531</v>
      </c>
      <c r="C209" s="16" t="s">
        <v>3088</v>
      </c>
      <c r="D209" s="16" t="s">
        <v>3042</v>
      </c>
      <c r="E209" s="16" t="s">
        <v>3099</v>
      </c>
      <c r="F209" s="16" t="s">
        <v>48</v>
      </c>
      <c r="G209" s="16" t="s">
        <v>48</v>
      </c>
      <c r="H209" s="16" t="s">
        <v>48</v>
      </c>
      <c r="I209" s="16" t="s">
        <v>48</v>
      </c>
      <c r="J209" s="16" t="s">
        <v>48</v>
      </c>
      <c r="K209" s="16" t="s">
        <v>48</v>
      </c>
      <c r="L209" s="16" t="s">
        <v>48</v>
      </c>
      <c r="M209" s="16" t="s">
        <v>48</v>
      </c>
      <c r="N209" s="16">
        <v>54</v>
      </c>
      <c r="O209" s="16" t="s">
        <v>3101</v>
      </c>
      <c r="P209" s="15" t="s">
        <v>3065</v>
      </c>
      <c r="Q209" s="33" t="s">
        <v>3112</v>
      </c>
    </row>
    <row r="210" spans="1:17">
      <c r="A210" s="22">
        <v>45952</v>
      </c>
      <c r="B210" s="15" t="s">
        <v>531</v>
      </c>
      <c r="C210" s="16" t="s">
        <v>3088</v>
      </c>
      <c r="D210" s="16" t="s">
        <v>3042</v>
      </c>
      <c r="E210" s="16" t="s">
        <v>3102</v>
      </c>
      <c r="F210" s="16" t="s">
        <v>48</v>
      </c>
      <c r="G210" s="16" t="s">
        <v>48</v>
      </c>
      <c r="H210" s="16" t="s">
        <v>48</v>
      </c>
      <c r="I210" s="16" t="s">
        <v>48</v>
      </c>
      <c r="J210" s="16" t="s">
        <v>48</v>
      </c>
      <c r="K210" s="16" t="s">
        <v>48</v>
      </c>
      <c r="L210" s="16" t="s">
        <v>48</v>
      </c>
      <c r="M210" s="16" t="s">
        <v>48</v>
      </c>
      <c r="N210" s="16">
        <v>48</v>
      </c>
      <c r="O210" s="16" t="s">
        <v>3101</v>
      </c>
      <c r="P210" s="15" t="s">
        <v>3065</v>
      </c>
      <c r="Q210" s="33" t="s">
        <v>3112</v>
      </c>
    </row>
    <row r="211" spans="1:17">
      <c r="A211" s="22">
        <v>45952</v>
      </c>
      <c r="B211" s="15" t="s">
        <v>531</v>
      </c>
      <c r="C211" s="16" t="s">
        <v>3088</v>
      </c>
      <c r="D211" s="16" t="s">
        <v>3042</v>
      </c>
      <c r="E211" s="16" t="s">
        <v>3103</v>
      </c>
      <c r="F211" s="16" t="s">
        <v>48</v>
      </c>
      <c r="G211" s="16" t="s">
        <v>48</v>
      </c>
      <c r="H211" s="16" t="s">
        <v>48</v>
      </c>
      <c r="I211" s="16" t="s">
        <v>48</v>
      </c>
      <c r="J211" s="16" t="s">
        <v>48</v>
      </c>
      <c r="K211" s="16" t="s">
        <v>48</v>
      </c>
      <c r="L211" s="16" t="s">
        <v>48</v>
      </c>
      <c r="M211" s="16" t="s">
        <v>48</v>
      </c>
      <c r="N211" s="16">
        <v>54</v>
      </c>
      <c r="O211" s="16" t="s">
        <v>3101</v>
      </c>
      <c r="P211" s="15" t="s">
        <v>3065</v>
      </c>
      <c r="Q211" s="33" t="s">
        <v>3112</v>
      </c>
    </row>
    <row r="212" spans="1:17">
      <c r="A212" s="22">
        <v>45952</v>
      </c>
      <c r="B212" s="15" t="s">
        <v>531</v>
      </c>
      <c r="C212" s="16" t="s">
        <v>3088</v>
      </c>
      <c r="D212" s="16" t="s">
        <v>3042</v>
      </c>
      <c r="E212" s="16" t="s">
        <v>3104</v>
      </c>
      <c r="F212" s="16" t="s">
        <v>48</v>
      </c>
      <c r="G212" s="16" t="s">
        <v>48</v>
      </c>
      <c r="H212" s="16" t="s">
        <v>48</v>
      </c>
      <c r="I212" s="16" t="s">
        <v>48</v>
      </c>
      <c r="J212" s="16" t="s">
        <v>48</v>
      </c>
      <c r="K212" s="16" t="s">
        <v>48</v>
      </c>
      <c r="L212" s="16" t="s">
        <v>48</v>
      </c>
      <c r="M212" s="16" t="s">
        <v>48</v>
      </c>
      <c r="N212" s="16">
        <v>2</v>
      </c>
      <c r="O212" s="16" t="s">
        <v>3101</v>
      </c>
      <c r="P212" s="15" t="s">
        <v>3065</v>
      </c>
      <c r="Q212" s="33" t="s">
        <v>3112</v>
      </c>
    </row>
    <row r="213" spans="1:17">
      <c r="A213" s="22">
        <v>45953</v>
      </c>
      <c r="B213" s="15" t="s">
        <v>531</v>
      </c>
      <c r="C213" s="16" t="s">
        <v>3113</v>
      </c>
      <c r="D213" s="16" t="s">
        <v>3042</v>
      </c>
      <c r="E213" s="16" t="s">
        <v>3104</v>
      </c>
      <c r="F213" s="16" t="s">
        <v>48</v>
      </c>
      <c r="G213" s="16" t="s">
        <v>48</v>
      </c>
      <c r="H213" s="16" t="s">
        <v>48</v>
      </c>
      <c r="I213" s="16" t="s">
        <v>48</v>
      </c>
      <c r="J213" s="16" t="s">
        <v>48</v>
      </c>
      <c r="K213" s="16" t="s">
        <v>48</v>
      </c>
      <c r="L213" s="16" t="s">
        <v>48</v>
      </c>
      <c r="M213" s="16" t="s">
        <v>48</v>
      </c>
      <c r="N213" s="16">
        <v>52</v>
      </c>
      <c r="O213" s="16" t="s">
        <v>3114</v>
      </c>
      <c r="P213" s="15" t="s">
        <v>3065</v>
      </c>
      <c r="Q213" s="33" t="s">
        <v>3112</v>
      </c>
    </row>
    <row r="214" spans="1:17">
      <c r="A214" s="22">
        <v>45953</v>
      </c>
      <c r="B214" s="15" t="s">
        <v>531</v>
      </c>
      <c r="C214" s="16" t="s">
        <v>3113</v>
      </c>
      <c r="D214" s="16" t="s">
        <v>3042</v>
      </c>
      <c r="E214" s="16" t="s">
        <v>3115</v>
      </c>
      <c r="F214" s="16" t="s">
        <v>48</v>
      </c>
      <c r="G214" s="16" t="s">
        <v>48</v>
      </c>
      <c r="H214" s="16" t="s">
        <v>48</v>
      </c>
      <c r="I214" s="16" t="s">
        <v>48</v>
      </c>
      <c r="J214" s="16" t="s">
        <v>48</v>
      </c>
      <c r="K214" s="16" t="s">
        <v>48</v>
      </c>
      <c r="L214" s="16" t="s">
        <v>48</v>
      </c>
      <c r="M214" s="16" t="s">
        <v>48</v>
      </c>
      <c r="N214" s="16">
        <v>27</v>
      </c>
      <c r="O214" s="16" t="s">
        <v>3118</v>
      </c>
      <c r="P214" s="15" t="s">
        <v>3065</v>
      </c>
      <c r="Q214" s="33" t="s">
        <v>3112</v>
      </c>
    </row>
    <row r="215" spans="1:17">
      <c r="A215" s="22">
        <v>45953</v>
      </c>
      <c r="B215" s="15" t="s">
        <v>531</v>
      </c>
      <c r="C215" s="16" t="s">
        <v>3113</v>
      </c>
      <c r="D215" s="16" t="s">
        <v>3042</v>
      </c>
      <c r="E215" s="16" t="s">
        <v>3116</v>
      </c>
      <c r="F215" s="16" t="s">
        <v>48</v>
      </c>
      <c r="G215" s="16" t="s">
        <v>48</v>
      </c>
      <c r="H215" s="16" t="s">
        <v>48</v>
      </c>
      <c r="I215" s="16" t="s">
        <v>48</v>
      </c>
      <c r="J215" s="16" t="s">
        <v>48</v>
      </c>
      <c r="K215" s="16" t="s">
        <v>48</v>
      </c>
      <c r="L215" s="16" t="s">
        <v>48</v>
      </c>
      <c r="M215" s="16" t="s">
        <v>48</v>
      </c>
      <c r="N215" s="16">
        <v>21</v>
      </c>
      <c r="O215" s="16" t="s">
        <v>3118</v>
      </c>
      <c r="P215" s="15" t="s">
        <v>3065</v>
      </c>
      <c r="Q215" s="33" t="s">
        <v>3112</v>
      </c>
    </row>
    <row r="216" spans="1:17">
      <c r="A216" s="22">
        <v>45953</v>
      </c>
      <c r="B216" s="15" t="s">
        <v>41</v>
      </c>
      <c r="C216" s="16" t="s">
        <v>3113</v>
      </c>
      <c r="D216" s="16" t="s">
        <v>3106</v>
      </c>
      <c r="E216" s="16" t="s">
        <v>3117</v>
      </c>
      <c r="F216" s="16" t="s">
        <v>48</v>
      </c>
      <c r="G216" s="16" t="s">
        <v>48</v>
      </c>
      <c r="H216" s="16" t="s">
        <v>48</v>
      </c>
      <c r="I216" s="16" t="s">
        <v>48</v>
      </c>
      <c r="J216" s="16" t="s">
        <v>48</v>
      </c>
      <c r="K216" s="16" t="s">
        <v>48</v>
      </c>
      <c r="L216" s="16" t="s">
        <v>48</v>
      </c>
      <c r="M216" s="16" t="s">
        <v>48</v>
      </c>
      <c r="N216" s="16">
        <v>186</v>
      </c>
      <c r="O216" s="16" t="s">
        <v>3119</v>
      </c>
      <c r="P216" s="16" t="s">
        <v>3150</v>
      </c>
      <c r="Q216" s="33" t="s">
        <v>3149</v>
      </c>
    </row>
    <row r="217" spans="1:17">
      <c r="A217" s="22">
        <v>45953</v>
      </c>
      <c r="B217" s="15" t="s">
        <v>41</v>
      </c>
      <c r="C217" s="16" t="s">
        <v>3113</v>
      </c>
      <c r="D217" s="16" t="s">
        <v>3051</v>
      </c>
      <c r="E217" s="16" t="s">
        <v>3117</v>
      </c>
      <c r="F217" s="16" t="s">
        <v>48</v>
      </c>
      <c r="G217" s="16" t="s">
        <v>48</v>
      </c>
      <c r="H217" s="16" t="s">
        <v>48</v>
      </c>
      <c r="I217" s="16" t="s">
        <v>48</v>
      </c>
      <c r="J217" s="16" t="s">
        <v>48</v>
      </c>
      <c r="K217" s="16" t="s">
        <v>48</v>
      </c>
      <c r="L217" s="16" t="s">
        <v>48</v>
      </c>
      <c r="M217" s="16" t="s">
        <v>48</v>
      </c>
      <c r="N217" s="16">
        <v>54</v>
      </c>
      <c r="O217" s="16" t="s">
        <v>3119</v>
      </c>
      <c r="P217" s="16" t="s">
        <v>3150</v>
      </c>
      <c r="Q217" s="33" t="s">
        <v>3149</v>
      </c>
    </row>
    <row r="218" spans="1:17">
      <c r="A218" s="22">
        <v>45953</v>
      </c>
      <c r="B218" s="15" t="s">
        <v>3137</v>
      </c>
      <c r="C218" s="16" t="s">
        <v>3113</v>
      </c>
      <c r="D218" s="16" t="s">
        <v>3125</v>
      </c>
      <c r="E218" s="16" t="s">
        <v>3123</v>
      </c>
      <c r="F218" s="16" t="s">
        <v>48</v>
      </c>
      <c r="G218" s="16" t="s">
        <v>48</v>
      </c>
      <c r="H218" s="16" t="s">
        <v>48</v>
      </c>
      <c r="I218" s="16" t="s">
        <v>48</v>
      </c>
      <c r="J218" s="16" t="s">
        <v>48</v>
      </c>
      <c r="K218" s="16" t="s">
        <v>48</v>
      </c>
      <c r="L218" s="16" t="s">
        <v>48</v>
      </c>
      <c r="M218" s="16" t="s">
        <v>48</v>
      </c>
      <c r="N218" s="16">
        <v>54</v>
      </c>
      <c r="O218" s="16" t="s">
        <v>3119</v>
      </c>
      <c r="P218" s="16" t="s">
        <v>3147</v>
      </c>
      <c r="Q218" s="33" t="s">
        <v>3148</v>
      </c>
    </row>
    <row r="219" spans="1:17">
      <c r="A219" s="22">
        <v>45953</v>
      </c>
      <c r="B219" s="15" t="s">
        <v>3137</v>
      </c>
      <c r="C219" s="16" t="s">
        <v>3113</v>
      </c>
      <c r="D219" s="16" t="s">
        <v>3125</v>
      </c>
      <c r="E219" s="16" t="s">
        <v>3124</v>
      </c>
      <c r="F219" s="16" t="s">
        <v>48</v>
      </c>
      <c r="G219" s="16" t="s">
        <v>48</v>
      </c>
      <c r="H219" s="16" t="s">
        <v>48</v>
      </c>
      <c r="I219" s="16" t="s">
        <v>48</v>
      </c>
      <c r="J219" s="16" t="s">
        <v>48</v>
      </c>
      <c r="K219" s="16" t="s">
        <v>48</v>
      </c>
      <c r="L219" s="16" t="s">
        <v>48</v>
      </c>
      <c r="M219" s="16" t="s">
        <v>48</v>
      </c>
      <c r="N219" s="16">
        <v>54</v>
      </c>
      <c r="O219" s="16" t="s">
        <v>3119</v>
      </c>
      <c r="P219" s="16" t="s">
        <v>3147</v>
      </c>
      <c r="Q219" s="33" t="s">
        <v>3148</v>
      </c>
    </row>
    <row r="220" spans="1:17">
      <c r="A220" s="22">
        <v>45953</v>
      </c>
      <c r="B220" s="15" t="s">
        <v>3137</v>
      </c>
      <c r="C220" s="16" t="s">
        <v>3113</v>
      </c>
      <c r="D220" s="16" t="s">
        <v>3125</v>
      </c>
      <c r="E220" s="16" t="s">
        <v>3126</v>
      </c>
      <c r="F220" s="16" t="s">
        <v>48</v>
      </c>
      <c r="G220" s="16" t="s">
        <v>48</v>
      </c>
      <c r="H220" s="16" t="s">
        <v>48</v>
      </c>
      <c r="I220" s="16" t="s">
        <v>48</v>
      </c>
      <c r="J220" s="16" t="s">
        <v>48</v>
      </c>
      <c r="K220" s="16" t="s">
        <v>48</v>
      </c>
      <c r="L220" s="16" t="s">
        <v>48</v>
      </c>
      <c r="M220" s="16" t="s">
        <v>48</v>
      </c>
      <c r="N220" s="16">
        <v>54</v>
      </c>
      <c r="O220" s="16" t="s">
        <v>3119</v>
      </c>
      <c r="P220" s="16" t="s">
        <v>3147</v>
      </c>
      <c r="Q220" s="33" t="s">
        <v>3148</v>
      </c>
    </row>
    <row r="221" spans="1:17">
      <c r="A221" s="22">
        <v>45953</v>
      </c>
      <c r="B221" s="15" t="s">
        <v>3137</v>
      </c>
      <c r="C221" s="16" t="s">
        <v>3113</v>
      </c>
      <c r="D221" s="16" t="s">
        <v>3125</v>
      </c>
      <c r="E221" s="16" t="s">
        <v>3127</v>
      </c>
      <c r="F221" s="16" t="s">
        <v>48</v>
      </c>
      <c r="G221" s="16" t="s">
        <v>48</v>
      </c>
      <c r="H221" s="16" t="s">
        <v>48</v>
      </c>
      <c r="I221" s="16" t="s">
        <v>48</v>
      </c>
      <c r="J221" s="16" t="s">
        <v>48</v>
      </c>
      <c r="K221" s="16" t="s">
        <v>48</v>
      </c>
      <c r="L221" s="16" t="s">
        <v>48</v>
      </c>
      <c r="M221" s="16" t="s">
        <v>48</v>
      </c>
      <c r="N221" s="16">
        <v>54</v>
      </c>
      <c r="O221" s="16" t="s">
        <v>3119</v>
      </c>
      <c r="P221" s="16" t="s">
        <v>3147</v>
      </c>
      <c r="Q221" s="33" t="s">
        <v>3148</v>
      </c>
    </row>
    <row r="222" spans="1:17">
      <c r="A222" s="22">
        <v>45953</v>
      </c>
      <c r="B222" s="15" t="s">
        <v>3137</v>
      </c>
      <c r="C222" s="16" t="s">
        <v>3113</v>
      </c>
      <c r="D222" s="16" t="s">
        <v>3125</v>
      </c>
      <c r="E222" s="16" t="s">
        <v>3116</v>
      </c>
      <c r="F222" s="16" t="s">
        <v>48</v>
      </c>
      <c r="G222" s="16" t="s">
        <v>48</v>
      </c>
      <c r="H222" s="16" t="s">
        <v>48</v>
      </c>
      <c r="I222" s="16" t="s">
        <v>48</v>
      </c>
      <c r="J222" s="16" t="s">
        <v>48</v>
      </c>
      <c r="K222" s="16" t="s">
        <v>48</v>
      </c>
      <c r="L222" s="16" t="s">
        <v>48</v>
      </c>
      <c r="M222" s="16" t="s">
        <v>48</v>
      </c>
      <c r="N222" s="16">
        <v>6</v>
      </c>
      <c r="O222" s="16" t="s">
        <v>3119</v>
      </c>
      <c r="P222" s="16" t="s">
        <v>3147</v>
      </c>
      <c r="Q222" s="33" t="s">
        <v>3148</v>
      </c>
    </row>
    <row r="223" spans="1:17">
      <c r="A223" s="22">
        <v>45953</v>
      </c>
      <c r="B223" s="15" t="s">
        <v>3137</v>
      </c>
      <c r="C223" s="16" t="s">
        <v>3113</v>
      </c>
      <c r="D223" s="16" t="s">
        <v>3125</v>
      </c>
      <c r="E223" s="16" t="s">
        <v>3115</v>
      </c>
      <c r="F223" s="16" t="s">
        <v>48</v>
      </c>
      <c r="G223" s="16" t="s">
        <v>48</v>
      </c>
      <c r="H223" s="16" t="s">
        <v>48</v>
      </c>
      <c r="I223" s="16" t="s">
        <v>48</v>
      </c>
      <c r="J223" s="16" t="s">
        <v>48</v>
      </c>
      <c r="K223" s="16" t="s">
        <v>48</v>
      </c>
      <c r="L223" s="16" t="s">
        <v>48</v>
      </c>
      <c r="M223" s="16" t="s">
        <v>48</v>
      </c>
      <c r="N223" s="16">
        <v>45</v>
      </c>
      <c r="O223" s="16" t="s">
        <v>3119</v>
      </c>
      <c r="P223" s="16" t="s">
        <v>3147</v>
      </c>
      <c r="Q223" s="33" t="s">
        <v>3148</v>
      </c>
    </row>
    <row r="224" spans="1:17">
      <c r="A224" s="22">
        <v>45953</v>
      </c>
      <c r="B224" s="15" t="s">
        <v>3137</v>
      </c>
      <c r="C224" s="16" t="s">
        <v>3113</v>
      </c>
      <c r="D224" s="16" t="s">
        <v>3125</v>
      </c>
      <c r="E224" s="16" t="s">
        <v>3091</v>
      </c>
      <c r="F224" s="16" t="s">
        <v>48</v>
      </c>
      <c r="G224" s="16" t="s">
        <v>48</v>
      </c>
      <c r="H224" s="16" t="s">
        <v>48</v>
      </c>
      <c r="I224" s="16" t="s">
        <v>48</v>
      </c>
      <c r="J224" s="16" t="s">
        <v>48</v>
      </c>
      <c r="K224" s="16" t="s">
        <v>48</v>
      </c>
      <c r="L224" s="16" t="s">
        <v>48</v>
      </c>
      <c r="M224" s="16" t="s">
        <v>48</v>
      </c>
      <c r="N224" s="16">
        <v>54</v>
      </c>
      <c r="O224" s="16" t="s">
        <v>3119</v>
      </c>
      <c r="P224" s="16" t="s">
        <v>3147</v>
      </c>
      <c r="Q224" s="33" t="s">
        <v>3148</v>
      </c>
    </row>
    <row r="225" spans="1:17">
      <c r="A225" s="22">
        <v>45953</v>
      </c>
      <c r="B225" s="15" t="s">
        <v>3137</v>
      </c>
      <c r="C225" s="16" t="s">
        <v>3113</v>
      </c>
      <c r="D225" s="16" t="s">
        <v>3125</v>
      </c>
      <c r="E225" s="16" t="s">
        <v>3128</v>
      </c>
      <c r="F225" s="16" t="s">
        <v>48</v>
      </c>
      <c r="G225" s="16" t="s">
        <v>48</v>
      </c>
      <c r="H225" s="16" t="s">
        <v>48</v>
      </c>
      <c r="I225" s="16" t="s">
        <v>48</v>
      </c>
      <c r="J225" s="16" t="s">
        <v>48</v>
      </c>
      <c r="K225" s="16" t="s">
        <v>48</v>
      </c>
      <c r="L225" s="16" t="s">
        <v>48</v>
      </c>
      <c r="M225" s="16" t="s">
        <v>48</v>
      </c>
      <c r="N225" s="16">
        <v>29</v>
      </c>
      <c r="O225" s="16" t="s">
        <v>3119</v>
      </c>
      <c r="P225" s="16" t="s">
        <v>3147</v>
      </c>
      <c r="Q225" s="33" t="s">
        <v>3148</v>
      </c>
    </row>
    <row r="226" spans="1:17">
      <c r="A226" s="22">
        <v>45953</v>
      </c>
      <c r="B226" s="15" t="s">
        <v>214</v>
      </c>
      <c r="C226" s="16" t="s">
        <v>3113</v>
      </c>
      <c r="D226" s="16" t="s">
        <v>3051</v>
      </c>
      <c r="E226" s="16" t="s">
        <v>3117</v>
      </c>
      <c r="F226" s="16" t="s">
        <v>48</v>
      </c>
      <c r="G226" s="16" t="s">
        <v>48</v>
      </c>
      <c r="H226" s="16" t="s">
        <v>48</v>
      </c>
      <c r="I226" s="16" t="s">
        <v>48</v>
      </c>
      <c r="J226" s="16" t="s">
        <v>48</v>
      </c>
      <c r="K226" s="16" t="s">
        <v>48</v>
      </c>
      <c r="L226" s="16" t="s">
        <v>48</v>
      </c>
      <c r="M226" s="16" t="s">
        <v>48</v>
      </c>
      <c r="N226" s="16">
        <v>200</v>
      </c>
      <c r="O226" s="16" t="s">
        <v>2491</v>
      </c>
      <c r="P226" s="16" t="s">
        <v>3120</v>
      </c>
      <c r="Q226" s="33"/>
    </row>
    <row r="227" spans="1:17">
      <c r="A227" s="22">
        <v>45953</v>
      </c>
      <c r="B227" s="15" t="s">
        <v>1455</v>
      </c>
      <c r="C227" s="16" t="s">
        <v>3113</v>
      </c>
      <c r="D227" s="16" t="s">
        <v>3051</v>
      </c>
      <c r="E227" s="16" t="s">
        <v>3117</v>
      </c>
      <c r="F227" s="16" t="s">
        <v>48</v>
      </c>
      <c r="G227" s="16" t="s">
        <v>48</v>
      </c>
      <c r="H227" s="16" t="s">
        <v>48</v>
      </c>
      <c r="I227" s="16" t="s">
        <v>48</v>
      </c>
      <c r="J227" s="16" t="s">
        <v>48</v>
      </c>
      <c r="K227" s="16" t="s">
        <v>48</v>
      </c>
      <c r="L227" s="16" t="s">
        <v>48</v>
      </c>
      <c r="M227" s="16" t="s">
        <v>48</v>
      </c>
      <c r="N227" s="16">
        <v>300</v>
      </c>
      <c r="O227" s="16" t="s">
        <v>3121</v>
      </c>
      <c r="P227" s="16" t="s">
        <v>3122</v>
      </c>
      <c r="Q227" s="33"/>
    </row>
    <row r="228" spans="1:17">
      <c r="A228" s="22">
        <v>45954</v>
      </c>
      <c r="B228" s="15" t="s">
        <v>3137</v>
      </c>
      <c r="C228" s="16" t="s">
        <v>3129</v>
      </c>
      <c r="D228" s="16" t="s">
        <v>3125</v>
      </c>
      <c r="E228" s="16" t="s">
        <v>3128</v>
      </c>
      <c r="F228" s="16" t="s">
        <v>48</v>
      </c>
      <c r="G228" s="16" t="s">
        <v>48</v>
      </c>
      <c r="H228" s="16" t="s">
        <v>48</v>
      </c>
      <c r="I228" s="16" t="s">
        <v>48</v>
      </c>
      <c r="J228" s="16" t="s">
        <v>48</v>
      </c>
      <c r="K228" s="16" t="s">
        <v>48</v>
      </c>
      <c r="L228" s="16" t="s">
        <v>48</v>
      </c>
      <c r="M228" s="16" t="s">
        <v>48</v>
      </c>
      <c r="N228" s="16">
        <v>7</v>
      </c>
      <c r="O228" s="16" t="s">
        <v>3134</v>
      </c>
      <c r="P228" s="16" t="s">
        <v>3147</v>
      </c>
      <c r="Q228" s="33" t="s">
        <v>3148</v>
      </c>
    </row>
    <row r="229" spans="1:17">
      <c r="A229" s="22">
        <v>45954</v>
      </c>
      <c r="B229" s="15" t="s">
        <v>3137</v>
      </c>
      <c r="C229" s="16" t="s">
        <v>3129</v>
      </c>
      <c r="D229" s="16" t="s">
        <v>3125</v>
      </c>
      <c r="E229" s="16" t="s">
        <v>3130</v>
      </c>
      <c r="F229" s="16" t="s">
        <v>48</v>
      </c>
      <c r="G229" s="16" t="s">
        <v>48</v>
      </c>
      <c r="H229" s="16" t="s">
        <v>48</v>
      </c>
      <c r="I229" s="16" t="s">
        <v>48</v>
      </c>
      <c r="J229" s="16" t="s">
        <v>48</v>
      </c>
      <c r="K229" s="16" t="s">
        <v>48</v>
      </c>
      <c r="L229" s="16" t="s">
        <v>48</v>
      </c>
      <c r="M229" s="16" t="s">
        <v>48</v>
      </c>
      <c r="N229" s="16">
        <v>27</v>
      </c>
      <c r="O229" s="16" t="s">
        <v>3134</v>
      </c>
      <c r="P229" s="16" t="s">
        <v>3147</v>
      </c>
      <c r="Q229" s="33" t="s">
        <v>3148</v>
      </c>
    </row>
    <row r="230" spans="1:17">
      <c r="A230" s="22">
        <v>45954</v>
      </c>
      <c r="B230" s="15" t="s">
        <v>3137</v>
      </c>
      <c r="C230" s="16" t="s">
        <v>3129</v>
      </c>
      <c r="D230" s="16" t="s">
        <v>3125</v>
      </c>
      <c r="E230" s="16" t="s">
        <v>3131</v>
      </c>
      <c r="F230" s="16" t="s">
        <v>48</v>
      </c>
      <c r="G230" s="16" t="s">
        <v>48</v>
      </c>
      <c r="H230" s="16" t="s">
        <v>48</v>
      </c>
      <c r="I230" s="16" t="s">
        <v>48</v>
      </c>
      <c r="J230" s="16" t="s">
        <v>48</v>
      </c>
      <c r="K230" s="16" t="s">
        <v>48</v>
      </c>
      <c r="L230" s="16" t="s">
        <v>48</v>
      </c>
      <c r="M230" s="16" t="s">
        <v>48</v>
      </c>
      <c r="N230" s="16">
        <v>27</v>
      </c>
      <c r="O230" s="16" t="s">
        <v>3134</v>
      </c>
      <c r="P230" s="16" t="s">
        <v>3147</v>
      </c>
      <c r="Q230" s="33" t="s">
        <v>3148</v>
      </c>
    </row>
    <row r="231" spans="1:17">
      <c r="A231" s="22">
        <v>45954</v>
      </c>
      <c r="B231" s="15" t="s">
        <v>3137</v>
      </c>
      <c r="C231" s="16" t="s">
        <v>3129</v>
      </c>
      <c r="D231" s="16" t="s">
        <v>3135</v>
      </c>
      <c r="E231" s="16" t="s">
        <v>3132</v>
      </c>
      <c r="F231" s="16" t="s">
        <v>48</v>
      </c>
      <c r="G231" s="16" t="s">
        <v>48</v>
      </c>
      <c r="H231" s="16" t="s">
        <v>48</v>
      </c>
      <c r="I231" s="16" t="s">
        <v>48</v>
      </c>
      <c r="J231" s="16" t="s">
        <v>48</v>
      </c>
      <c r="K231" s="16" t="s">
        <v>48</v>
      </c>
      <c r="L231" s="16" t="s">
        <v>48</v>
      </c>
      <c r="M231" s="16" t="s">
        <v>48</v>
      </c>
      <c r="N231" s="16">
        <v>53</v>
      </c>
      <c r="O231" s="16" t="s">
        <v>3136</v>
      </c>
      <c r="P231" s="16" t="s">
        <v>3147</v>
      </c>
      <c r="Q231" s="33" t="s">
        <v>3148</v>
      </c>
    </row>
    <row r="232" spans="1:17">
      <c r="A232" s="22">
        <v>45954</v>
      </c>
      <c r="B232" s="15" t="s">
        <v>3137</v>
      </c>
      <c r="C232" s="16" t="s">
        <v>3129</v>
      </c>
      <c r="D232" s="16" t="s">
        <v>3135</v>
      </c>
      <c r="E232" s="16" t="s">
        <v>3133</v>
      </c>
      <c r="F232" s="16" t="s">
        <v>48</v>
      </c>
      <c r="G232" s="16" t="s">
        <v>48</v>
      </c>
      <c r="H232" s="16" t="s">
        <v>48</v>
      </c>
      <c r="I232" s="16" t="s">
        <v>48</v>
      </c>
      <c r="J232" s="16" t="s">
        <v>48</v>
      </c>
      <c r="K232" s="16" t="s">
        <v>48</v>
      </c>
      <c r="L232" s="16" t="s">
        <v>48</v>
      </c>
      <c r="M232" s="16" t="s">
        <v>48</v>
      </c>
      <c r="N232" s="16">
        <v>45</v>
      </c>
      <c r="O232" s="16" t="s">
        <v>3136</v>
      </c>
      <c r="P232" s="16" t="s">
        <v>3147</v>
      </c>
      <c r="Q232" s="33" t="s">
        <v>3148</v>
      </c>
    </row>
    <row r="233" spans="1:17">
      <c r="A233" s="22">
        <v>45954</v>
      </c>
      <c r="B233" s="15" t="s">
        <v>3137</v>
      </c>
      <c r="C233" s="16" t="s">
        <v>3129</v>
      </c>
      <c r="D233" s="16" t="s">
        <v>2754</v>
      </c>
      <c r="E233" s="16" t="s">
        <v>3133</v>
      </c>
      <c r="F233" s="16" t="s">
        <v>48</v>
      </c>
      <c r="G233" s="16" t="s">
        <v>48</v>
      </c>
      <c r="H233" s="16" t="s">
        <v>48</v>
      </c>
      <c r="I233" s="16" t="s">
        <v>48</v>
      </c>
      <c r="J233" s="16" t="s">
        <v>48</v>
      </c>
      <c r="K233" s="16" t="s">
        <v>48</v>
      </c>
      <c r="L233" s="16" t="s">
        <v>48</v>
      </c>
      <c r="M233" s="16" t="s">
        <v>48</v>
      </c>
      <c r="N233" s="16">
        <v>5</v>
      </c>
      <c r="O233" s="16" t="s">
        <v>3136</v>
      </c>
      <c r="P233" s="16" t="s">
        <v>3147</v>
      </c>
      <c r="Q233" s="33" t="s">
        <v>3148</v>
      </c>
    </row>
    <row r="234" spans="1:17">
      <c r="A234" s="22">
        <v>45954</v>
      </c>
      <c r="B234" s="15" t="s">
        <v>3137</v>
      </c>
      <c r="C234" s="16" t="s">
        <v>3129</v>
      </c>
      <c r="D234" s="16" t="s">
        <v>2754</v>
      </c>
      <c r="E234" s="16" t="s">
        <v>3138</v>
      </c>
      <c r="F234" s="16" t="s">
        <v>48</v>
      </c>
      <c r="G234" s="16" t="s">
        <v>48</v>
      </c>
      <c r="H234" s="16" t="s">
        <v>48</v>
      </c>
      <c r="I234" s="16" t="s">
        <v>48</v>
      </c>
      <c r="J234" s="16" t="s">
        <v>48</v>
      </c>
      <c r="K234" s="16" t="s">
        <v>48</v>
      </c>
      <c r="L234" s="16" t="s">
        <v>48</v>
      </c>
      <c r="M234" s="16" t="s">
        <v>48</v>
      </c>
      <c r="N234" s="16">
        <v>54</v>
      </c>
      <c r="O234" s="16" t="s">
        <v>3136</v>
      </c>
      <c r="P234" s="16" t="s">
        <v>3147</v>
      </c>
      <c r="Q234" s="33" t="s">
        <v>3148</v>
      </c>
    </row>
    <row r="235" spans="1:17">
      <c r="A235" s="22">
        <v>45954</v>
      </c>
      <c r="B235" s="15" t="s">
        <v>3137</v>
      </c>
      <c r="C235" s="16" t="s">
        <v>3129</v>
      </c>
      <c r="D235" s="16" t="s">
        <v>3135</v>
      </c>
      <c r="E235" s="16" t="s">
        <v>3139</v>
      </c>
      <c r="F235" s="16" t="s">
        <v>48</v>
      </c>
      <c r="G235" s="16" t="s">
        <v>48</v>
      </c>
      <c r="H235" s="16" t="s">
        <v>48</v>
      </c>
      <c r="I235" s="16" t="s">
        <v>48</v>
      </c>
      <c r="J235" s="16" t="s">
        <v>48</v>
      </c>
      <c r="K235" s="16" t="s">
        <v>48</v>
      </c>
      <c r="L235" s="16" t="s">
        <v>48</v>
      </c>
      <c r="M235" s="16" t="s">
        <v>48</v>
      </c>
      <c r="N235" s="16">
        <v>54</v>
      </c>
      <c r="O235" s="16" t="s">
        <v>3136</v>
      </c>
      <c r="P235" s="16" t="s">
        <v>3147</v>
      </c>
      <c r="Q235" s="33" t="s">
        <v>3148</v>
      </c>
    </row>
    <row r="236" spans="1:17">
      <c r="A236" s="22">
        <v>45954</v>
      </c>
      <c r="B236" s="15" t="s">
        <v>3137</v>
      </c>
      <c r="C236" s="16" t="s">
        <v>3129</v>
      </c>
      <c r="D236" s="16" t="s">
        <v>3135</v>
      </c>
      <c r="E236" s="16" t="s">
        <v>3130</v>
      </c>
      <c r="F236" s="16" t="s">
        <v>48</v>
      </c>
      <c r="G236" s="16" t="s">
        <v>48</v>
      </c>
      <c r="H236" s="16" t="s">
        <v>48</v>
      </c>
      <c r="I236" s="16" t="s">
        <v>48</v>
      </c>
      <c r="J236" s="16" t="s">
        <v>48</v>
      </c>
      <c r="K236" s="16" t="s">
        <v>48</v>
      </c>
      <c r="L236" s="16" t="s">
        <v>48</v>
      </c>
      <c r="M236" s="16" t="s">
        <v>48</v>
      </c>
      <c r="N236" s="16">
        <v>27</v>
      </c>
      <c r="O236" s="16" t="s">
        <v>3136</v>
      </c>
      <c r="P236" s="16" t="s">
        <v>3147</v>
      </c>
      <c r="Q236" s="33" t="s">
        <v>3148</v>
      </c>
    </row>
    <row r="237" spans="1:17">
      <c r="A237" s="22">
        <v>45954</v>
      </c>
      <c r="B237" s="15" t="s">
        <v>3137</v>
      </c>
      <c r="C237" s="16" t="s">
        <v>3129</v>
      </c>
      <c r="D237" s="16" t="s">
        <v>3135</v>
      </c>
      <c r="E237" s="16" t="s">
        <v>3140</v>
      </c>
      <c r="F237" s="16" t="s">
        <v>48</v>
      </c>
      <c r="G237" s="16" t="s">
        <v>48</v>
      </c>
      <c r="H237" s="16" t="s">
        <v>48</v>
      </c>
      <c r="I237" s="16" t="s">
        <v>48</v>
      </c>
      <c r="J237" s="16" t="s">
        <v>48</v>
      </c>
      <c r="K237" s="16" t="s">
        <v>48</v>
      </c>
      <c r="L237" s="16" t="s">
        <v>48</v>
      </c>
      <c r="M237" s="16" t="s">
        <v>48</v>
      </c>
      <c r="N237" s="16">
        <v>27</v>
      </c>
      <c r="O237" s="16" t="s">
        <v>3136</v>
      </c>
      <c r="P237" s="16" t="s">
        <v>3147</v>
      </c>
      <c r="Q237" s="33" t="s">
        <v>3148</v>
      </c>
    </row>
    <row r="238" spans="1:17">
      <c r="A238" s="22">
        <v>45954</v>
      </c>
      <c r="B238" s="15" t="s">
        <v>3137</v>
      </c>
      <c r="C238" s="16" t="s">
        <v>3129</v>
      </c>
      <c r="D238" s="16" t="s">
        <v>2754</v>
      </c>
      <c r="E238" s="16" t="s">
        <v>3141</v>
      </c>
      <c r="F238" s="16" t="s">
        <v>48</v>
      </c>
      <c r="G238" s="16" t="s">
        <v>48</v>
      </c>
      <c r="H238" s="16" t="s">
        <v>48</v>
      </c>
      <c r="I238" s="16" t="s">
        <v>48</v>
      </c>
      <c r="J238" s="16" t="s">
        <v>48</v>
      </c>
      <c r="K238" s="16" t="s">
        <v>48</v>
      </c>
      <c r="L238" s="16" t="s">
        <v>48</v>
      </c>
      <c r="M238" s="16" t="s">
        <v>48</v>
      </c>
      <c r="N238" s="16">
        <v>54</v>
      </c>
      <c r="O238" s="16" t="s">
        <v>3136</v>
      </c>
      <c r="P238" s="16" t="s">
        <v>3147</v>
      </c>
      <c r="Q238" s="33" t="s">
        <v>3148</v>
      </c>
    </row>
    <row r="239" spans="1:17">
      <c r="A239" s="22">
        <v>45954</v>
      </c>
      <c r="B239" s="15" t="s">
        <v>3137</v>
      </c>
      <c r="C239" s="16" t="s">
        <v>3129</v>
      </c>
      <c r="D239" s="16" t="s">
        <v>2754</v>
      </c>
      <c r="E239" s="16" t="s">
        <v>3142</v>
      </c>
      <c r="F239" s="16" t="s">
        <v>48</v>
      </c>
      <c r="G239" s="16" t="s">
        <v>48</v>
      </c>
      <c r="H239" s="16" t="s">
        <v>48</v>
      </c>
      <c r="I239" s="16" t="s">
        <v>48</v>
      </c>
      <c r="J239" s="16" t="s">
        <v>48</v>
      </c>
      <c r="K239" s="16" t="s">
        <v>48</v>
      </c>
      <c r="L239" s="16" t="s">
        <v>48</v>
      </c>
      <c r="M239" s="16" t="s">
        <v>48</v>
      </c>
      <c r="N239" s="16">
        <v>54</v>
      </c>
      <c r="O239" s="16" t="s">
        <v>3136</v>
      </c>
      <c r="P239" s="16" t="s">
        <v>3147</v>
      </c>
      <c r="Q239" s="33" t="s">
        <v>3148</v>
      </c>
    </row>
    <row r="240" spans="1:17">
      <c r="A240" s="22">
        <v>45954</v>
      </c>
      <c r="B240" s="15" t="s">
        <v>3137</v>
      </c>
      <c r="C240" s="16" t="s">
        <v>3129</v>
      </c>
      <c r="D240" s="16" t="s">
        <v>2754</v>
      </c>
      <c r="E240" s="16" t="s">
        <v>3143</v>
      </c>
      <c r="F240" s="16" t="s">
        <v>48</v>
      </c>
      <c r="G240" s="16" t="s">
        <v>48</v>
      </c>
      <c r="H240" s="16" t="s">
        <v>48</v>
      </c>
      <c r="I240" s="16" t="s">
        <v>48</v>
      </c>
      <c r="J240" s="16" t="s">
        <v>48</v>
      </c>
      <c r="K240" s="16" t="s">
        <v>48</v>
      </c>
      <c r="L240" s="16" t="s">
        <v>48</v>
      </c>
      <c r="M240" s="16" t="s">
        <v>48</v>
      </c>
      <c r="N240" s="16">
        <v>54</v>
      </c>
      <c r="O240" s="16" t="s">
        <v>3119</v>
      </c>
      <c r="P240" s="16" t="s">
        <v>3147</v>
      </c>
      <c r="Q240" s="33" t="s">
        <v>3148</v>
      </c>
    </row>
    <row r="241" spans="1:17">
      <c r="A241" s="22">
        <v>45954</v>
      </c>
      <c r="B241" s="15" t="s">
        <v>3137</v>
      </c>
      <c r="C241" s="16" t="s">
        <v>3129</v>
      </c>
      <c r="D241" s="16" t="s">
        <v>2754</v>
      </c>
      <c r="E241" s="16" t="s">
        <v>3144</v>
      </c>
      <c r="F241" s="16" t="s">
        <v>48</v>
      </c>
      <c r="G241" s="16" t="s">
        <v>48</v>
      </c>
      <c r="H241" s="16" t="s">
        <v>48</v>
      </c>
      <c r="I241" s="16" t="s">
        <v>48</v>
      </c>
      <c r="J241" s="16" t="s">
        <v>48</v>
      </c>
      <c r="K241" s="16" t="s">
        <v>48</v>
      </c>
      <c r="L241" s="16" t="s">
        <v>48</v>
      </c>
      <c r="M241" s="16" t="s">
        <v>48</v>
      </c>
      <c r="N241" s="16">
        <v>54</v>
      </c>
      <c r="O241" s="16" t="s">
        <v>3119</v>
      </c>
      <c r="P241" s="16" t="s">
        <v>3147</v>
      </c>
      <c r="Q241" s="33" t="s">
        <v>3148</v>
      </c>
    </row>
    <row r="242" spans="1:17">
      <c r="A242" s="22">
        <v>45954</v>
      </c>
      <c r="B242" s="15" t="s">
        <v>3137</v>
      </c>
      <c r="C242" s="16" t="s">
        <v>3129</v>
      </c>
      <c r="D242" s="16" t="s">
        <v>2754</v>
      </c>
      <c r="E242" s="16" t="s">
        <v>3145</v>
      </c>
      <c r="F242" s="16" t="s">
        <v>48</v>
      </c>
      <c r="G242" s="16" t="s">
        <v>48</v>
      </c>
      <c r="H242" s="16" t="s">
        <v>48</v>
      </c>
      <c r="I242" s="16" t="s">
        <v>48</v>
      </c>
      <c r="J242" s="16" t="s">
        <v>48</v>
      </c>
      <c r="K242" s="16" t="s">
        <v>48</v>
      </c>
      <c r="L242" s="16" t="s">
        <v>48</v>
      </c>
      <c r="M242" s="16" t="s">
        <v>48</v>
      </c>
      <c r="N242" s="16">
        <v>54</v>
      </c>
      <c r="O242" s="16" t="s">
        <v>3119</v>
      </c>
      <c r="P242" s="16" t="s">
        <v>3147</v>
      </c>
      <c r="Q242" s="33" t="s">
        <v>3148</v>
      </c>
    </row>
    <row r="243" spans="1:17">
      <c r="A243" s="22">
        <v>45954</v>
      </c>
      <c r="B243" s="15" t="s">
        <v>3137</v>
      </c>
      <c r="C243" s="16" t="s">
        <v>3129</v>
      </c>
      <c r="D243" s="16" t="s">
        <v>2754</v>
      </c>
      <c r="E243" s="16" t="s">
        <v>3146</v>
      </c>
      <c r="F243" s="16" t="s">
        <v>48</v>
      </c>
      <c r="G243" s="16" t="s">
        <v>48</v>
      </c>
      <c r="H243" s="16" t="s">
        <v>48</v>
      </c>
      <c r="I243" s="16" t="s">
        <v>48</v>
      </c>
      <c r="J243" s="16" t="s">
        <v>48</v>
      </c>
      <c r="K243" s="16" t="s">
        <v>48</v>
      </c>
      <c r="L243" s="16" t="s">
        <v>48</v>
      </c>
      <c r="M243" s="16" t="s">
        <v>48</v>
      </c>
      <c r="N243" s="16">
        <v>45</v>
      </c>
      <c r="O243" s="16" t="s">
        <v>3119</v>
      </c>
      <c r="P243" s="16" t="s">
        <v>3147</v>
      </c>
      <c r="Q243" s="33" t="s">
        <v>3148</v>
      </c>
    </row>
    <row r="244" spans="1:17">
      <c r="A244" s="22">
        <v>45954</v>
      </c>
      <c r="B244" s="15" t="s">
        <v>3137</v>
      </c>
      <c r="C244" s="16" t="s">
        <v>3129</v>
      </c>
      <c r="D244" s="16" t="s">
        <v>2754</v>
      </c>
      <c r="E244" s="16" t="s">
        <v>3159</v>
      </c>
      <c r="F244" s="16" t="s">
        <v>48</v>
      </c>
      <c r="G244" s="16" t="s">
        <v>48</v>
      </c>
      <c r="H244" s="16" t="s">
        <v>48</v>
      </c>
      <c r="I244" s="16" t="s">
        <v>48</v>
      </c>
      <c r="J244" s="16" t="s">
        <v>48</v>
      </c>
      <c r="K244" s="16" t="s">
        <v>48</v>
      </c>
      <c r="L244" s="16" t="s">
        <v>48</v>
      </c>
      <c r="M244" s="16" t="s">
        <v>48</v>
      </c>
      <c r="N244" s="16">
        <v>9</v>
      </c>
      <c r="O244" s="16" t="s">
        <v>3119</v>
      </c>
      <c r="P244" s="16" t="s">
        <v>3147</v>
      </c>
      <c r="Q244" s="33" t="s">
        <v>3148</v>
      </c>
    </row>
    <row r="245" spans="1:17">
      <c r="A245" s="22">
        <v>45954</v>
      </c>
      <c r="B245" s="15" t="s">
        <v>338</v>
      </c>
      <c r="C245" s="16" t="s">
        <v>3129</v>
      </c>
      <c r="D245" s="16" t="s">
        <v>48</v>
      </c>
      <c r="E245" s="16" t="s">
        <v>48</v>
      </c>
      <c r="F245" s="16" t="s">
        <v>48</v>
      </c>
      <c r="G245" s="16" t="s">
        <v>48</v>
      </c>
      <c r="H245" s="16" t="s">
        <v>48</v>
      </c>
      <c r="I245" s="16" t="s">
        <v>48</v>
      </c>
      <c r="J245" s="16" t="s">
        <v>48</v>
      </c>
      <c r="K245" s="16" t="s">
        <v>48</v>
      </c>
      <c r="L245" s="16" t="s">
        <v>48</v>
      </c>
      <c r="M245" s="16" t="s">
        <v>48</v>
      </c>
      <c r="N245" s="16">
        <v>1000</v>
      </c>
      <c r="O245" s="16" t="s">
        <v>3153</v>
      </c>
      <c r="P245" s="16" t="s">
        <v>3152</v>
      </c>
      <c r="Q245" s="33" t="s">
        <v>3151</v>
      </c>
    </row>
    <row r="246" spans="1:17">
      <c r="A246" s="22">
        <v>45954</v>
      </c>
      <c r="B246" s="15" t="s">
        <v>1258</v>
      </c>
      <c r="C246" s="16" t="s">
        <v>3129</v>
      </c>
      <c r="D246" s="16" t="s">
        <v>48</v>
      </c>
      <c r="E246" s="16" t="s">
        <v>48</v>
      </c>
      <c r="F246" s="16" t="s">
        <v>48</v>
      </c>
      <c r="G246" s="16" t="s">
        <v>48</v>
      </c>
      <c r="H246" s="16" t="s">
        <v>48</v>
      </c>
      <c r="I246" s="16" t="s">
        <v>48</v>
      </c>
      <c r="J246" s="16" t="s">
        <v>48</v>
      </c>
      <c r="K246" s="16" t="s">
        <v>48</v>
      </c>
      <c r="L246" s="16" t="s">
        <v>48</v>
      </c>
      <c r="M246" s="16" t="s">
        <v>48</v>
      </c>
      <c r="N246" s="16">
        <v>1000</v>
      </c>
      <c r="O246" s="16" t="s">
        <v>3154</v>
      </c>
      <c r="P246" s="16" t="s">
        <v>3156</v>
      </c>
      <c r="Q246" s="33" t="s">
        <v>3155</v>
      </c>
    </row>
    <row r="247" spans="1:17">
      <c r="A247" s="22">
        <v>45954</v>
      </c>
      <c r="B247" s="15" t="s">
        <v>31</v>
      </c>
      <c r="C247" s="16" t="s">
        <v>3129</v>
      </c>
      <c r="D247" s="16" t="s">
        <v>48</v>
      </c>
      <c r="E247" s="16" t="s">
        <v>48</v>
      </c>
      <c r="F247" s="16" t="s">
        <v>48</v>
      </c>
      <c r="G247" s="16" t="s">
        <v>48</v>
      </c>
      <c r="H247" s="16" t="s">
        <v>48</v>
      </c>
      <c r="I247" s="16" t="s">
        <v>48</v>
      </c>
      <c r="J247" s="16" t="s">
        <v>48</v>
      </c>
      <c r="K247" s="16" t="s">
        <v>48</v>
      </c>
      <c r="L247" s="16" t="s">
        <v>48</v>
      </c>
      <c r="M247" s="16" t="s">
        <v>48</v>
      </c>
      <c r="N247" s="16">
        <v>200</v>
      </c>
      <c r="O247" s="16" t="s">
        <v>55</v>
      </c>
      <c r="P247" s="16" t="s">
        <v>3157</v>
      </c>
      <c r="Q247" s="33" t="s">
        <v>3158</v>
      </c>
    </row>
    <row r="248" spans="1:17">
      <c r="A248" s="22">
        <v>45957</v>
      </c>
      <c r="B248" s="15" t="s">
        <v>29</v>
      </c>
      <c r="C248" s="16" t="s">
        <v>3160</v>
      </c>
      <c r="D248" s="16" t="s">
        <v>2792</v>
      </c>
      <c r="E248" s="16" t="s">
        <v>48</v>
      </c>
      <c r="F248" s="16" t="s">
        <v>48</v>
      </c>
      <c r="G248" s="16" t="s">
        <v>48</v>
      </c>
      <c r="H248" s="16" t="s">
        <v>48</v>
      </c>
      <c r="I248" s="16" t="s">
        <v>48</v>
      </c>
      <c r="J248" s="16" t="s">
        <v>48</v>
      </c>
      <c r="K248" s="16" t="s">
        <v>48</v>
      </c>
      <c r="L248" s="16" t="s">
        <v>48</v>
      </c>
      <c r="M248" s="16" t="s">
        <v>48</v>
      </c>
      <c r="N248" s="16">
        <v>300</v>
      </c>
      <c r="O248" s="16" t="s">
        <v>3161</v>
      </c>
      <c r="P248" s="16" t="s">
        <v>3162</v>
      </c>
      <c r="Q248" s="33" t="s">
        <v>3184</v>
      </c>
    </row>
    <row r="249" spans="1:17">
      <c r="A249" s="22">
        <v>45957</v>
      </c>
      <c r="B249" s="15" t="s">
        <v>29</v>
      </c>
      <c r="C249" s="16" t="s">
        <v>3160</v>
      </c>
      <c r="D249" s="16" t="s">
        <v>2747</v>
      </c>
      <c r="E249" s="16" t="s">
        <v>48</v>
      </c>
      <c r="F249" s="16" t="s">
        <v>48</v>
      </c>
      <c r="G249" s="16" t="s">
        <v>48</v>
      </c>
      <c r="H249" s="16" t="s">
        <v>48</v>
      </c>
      <c r="I249" s="16" t="s">
        <v>48</v>
      </c>
      <c r="J249" s="16" t="s">
        <v>48</v>
      </c>
      <c r="K249" s="16" t="s">
        <v>48</v>
      </c>
      <c r="L249" s="16" t="s">
        <v>48</v>
      </c>
      <c r="M249" s="16" t="s">
        <v>48</v>
      </c>
      <c r="N249" s="16">
        <v>100</v>
      </c>
      <c r="O249" s="16" t="s">
        <v>3161</v>
      </c>
      <c r="P249" s="16" t="s">
        <v>3162</v>
      </c>
      <c r="Q249" s="33" t="s">
        <v>3184</v>
      </c>
    </row>
    <row r="250" spans="1:17">
      <c r="A250" s="22">
        <v>45957</v>
      </c>
      <c r="B250" s="15" t="s">
        <v>29</v>
      </c>
      <c r="C250" s="16" t="s">
        <v>3160</v>
      </c>
      <c r="D250" s="16" t="s">
        <v>2768</v>
      </c>
      <c r="E250" s="16" t="s">
        <v>48</v>
      </c>
      <c r="F250" s="16" t="s">
        <v>48</v>
      </c>
      <c r="G250" s="16" t="s">
        <v>48</v>
      </c>
      <c r="H250" s="16" t="s">
        <v>48</v>
      </c>
      <c r="I250" s="16" t="s">
        <v>48</v>
      </c>
      <c r="J250" s="16" t="s">
        <v>48</v>
      </c>
      <c r="K250" s="16" t="s">
        <v>48</v>
      </c>
      <c r="L250" s="16" t="s">
        <v>48</v>
      </c>
      <c r="M250" s="16" t="s">
        <v>48</v>
      </c>
      <c r="N250" s="16">
        <v>100</v>
      </c>
      <c r="O250" s="16" t="s">
        <v>3161</v>
      </c>
      <c r="P250" s="16" t="s">
        <v>3162</v>
      </c>
      <c r="Q250" s="33" t="s">
        <v>3184</v>
      </c>
    </row>
    <row r="251" spans="1:17">
      <c r="A251" s="22">
        <v>45957</v>
      </c>
      <c r="B251" s="15" t="s">
        <v>79</v>
      </c>
      <c r="C251" s="16" t="s">
        <v>3160</v>
      </c>
      <c r="D251" s="16" t="s">
        <v>3169</v>
      </c>
      <c r="E251" s="16" t="s">
        <v>3164</v>
      </c>
      <c r="F251" s="16" t="s">
        <v>48</v>
      </c>
      <c r="G251" s="16" t="s">
        <v>48</v>
      </c>
      <c r="H251" s="16" t="s">
        <v>48</v>
      </c>
      <c r="I251" s="16" t="s">
        <v>48</v>
      </c>
      <c r="J251" s="16" t="s">
        <v>48</v>
      </c>
      <c r="K251" s="16" t="s">
        <v>48</v>
      </c>
      <c r="L251" s="16" t="s">
        <v>48</v>
      </c>
      <c r="M251" s="16" t="s">
        <v>48</v>
      </c>
      <c r="N251" s="16">
        <v>54</v>
      </c>
      <c r="O251" s="16" t="s">
        <v>3177</v>
      </c>
      <c r="P251" s="16" t="s">
        <v>3163</v>
      </c>
      <c r="Q251" s="33" t="s">
        <v>3183</v>
      </c>
    </row>
    <row r="252" spans="1:17">
      <c r="A252" s="22">
        <v>45957</v>
      </c>
      <c r="B252" s="15" t="s">
        <v>79</v>
      </c>
      <c r="C252" s="16" t="s">
        <v>3160</v>
      </c>
      <c r="D252" s="16" t="s">
        <v>3169</v>
      </c>
      <c r="E252" s="16" t="s">
        <v>3165</v>
      </c>
      <c r="F252" s="16" t="s">
        <v>48</v>
      </c>
      <c r="G252" s="16" t="s">
        <v>48</v>
      </c>
      <c r="H252" s="16" t="s">
        <v>48</v>
      </c>
      <c r="I252" s="16" t="s">
        <v>48</v>
      </c>
      <c r="J252" s="16" t="s">
        <v>48</v>
      </c>
      <c r="K252" s="16" t="s">
        <v>48</v>
      </c>
      <c r="L252" s="16" t="s">
        <v>48</v>
      </c>
      <c r="M252" s="16" t="s">
        <v>48</v>
      </c>
      <c r="N252" s="16">
        <v>54</v>
      </c>
      <c r="O252" s="16" t="s">
        <v>3177</v>
      </c>
      <c r="P252" s="16" t="s">
        <v>3163</v>
      </c>
      <c r="Q252" s="33" t="s">
        <v>3183</v>
      </c>
    </row>
    <row r="253" spans="1:17">
      <c r="A253" s="22">
        <v>45957</v>
      </c>
      <c r="B253" s="15" t="s">
        <v>79</v>
      </c>
      <c r="C253" s="16" t="s">
        <v>3160</v>
      </c>
      <c r="D253" s="16" t="s">
        <v>3169</v>
      </c>
      <c r="E253" s="16" t="s">
        <v>3166</v>
      </c>
      <c r="F253" s="16" t="s">
        <v>48</v>
      </c>
      <c r="G253" s="16" t="s">
        <v>48</v>
      </c>
      <c r="H253" s="16" t="s">
        <v>48</v>
      </c>
      <c r="I253" s="16" t="s">
        <v>48</v>
      </c>
      <c r="J253" s="16" t="s">
        <v>48</v>
      </c>
      <c r="K253" s="16" t="s">
        <v>48</v>
      </c>
      <c r="L253" s="16" t="s">
        <v>48</v>
      </c>
      <c r="M253" s="16" t="s">
        <v>48</v>
      </c>
      <c r="N253" s="16">
        <v>42</v>
      </c>
      <c r="O253" s="16" t="s">
        <v>3177</v>
      </c>
      <c r="P253" s="16" t="s">
        <v>3163</v>
      </c>
      <c r="Q253" s="33" t="s">
        <v>3183</v>
      </c>
    </row>
    <row r="254" spans="1:17">
      <c r="A254" s="22">
        <v>45957</v>
      </c>
      <c r="B254" s="15" t="s">
        <v>79</v>
      </c>
      <c r="C254" s="16" t="s">
        <v>3160</v>
      </c>
      <c r="D254" s="16" t="s">
        <v>2794</v>
      </c>
      <c r="E254" s="16" t="s">
        <v>3166</v>
      </c>
      <c r="F254" s="16" t="s">
        <v>48</v>
      </c>
      <c r="G254" s="16" t="s">
        <v>48</v>
      </c>
      <c r="H254" s="16" t="s">
        <v>48</v>
      </c>
      <c r="I254" s="16" t="s">
        <v>48</v>
      </c>
      <c r="J254" s="16" t="s">
        <v>48</v>
      </c>
      <c r="K254" s="16" t="s">
        <v>48</v>
      </c>
      <c r="L254" s="16" t="s">
        <v>48</v>
      </c>
      <c r="M254" s="16" t="s">
        <v>48</v>
      </c>
      <c r="N254" s="16">
        <v>12</v>
      </c>
      <c r="O254" s="16" t="s">
        <v>3177</v>
      </c>
      <c r="P254" s="16" t="s">
        <v>3163</v>
      </c>
      <c r="Q254" s="33" t="s">
        <v>3183</v>
      </c>
    </row>
    <row r="255" spans="1:17">
      <c r="A255" s="22">
        <v>45957</v>
      </c>
      <c r="B255" s="15" t="s">
        <v>79</v>
      </c>
      <c r="C255" s="16" t="s">
        <v>3160</v>
      </c>
      <c r="D255" s="16" t="s">
        <v>2794</v>
      </c>
      <c r="E255" s="16" t="s">
        <v>3167</v>
      </c>
      <c r="F255" s="16" t="s">
        <v>48</v>
      </c>
      <c r="G255" s="16" t="s">
        <v>48</v>
      </c>
      <c r="H255" s="16" t="s">
        <v>48</v>
      </c>
      <c r="I255" s="16" t="s">
        <v>48</v>
      </c>
      <c r="J255" s="16" t="s">
        <v>48</v>
      </c>
      <c r="K255" s="16" t="s">
        <v>48</v>
      </c>
      <c r="L255" s="16" t="s">
        <v>48</v>
      </c>
      <c r="M255" s="16" t="s">
        <v>48</v>
      </c>
      <c r="N255" s="16">
        <v>54</v>
      </c>
      <c r="O255" s="16" t="s">
        <v>3177</v>
      </c>
      <c r="P255" s="16" t="s">
        <v>3163</v>
      </c>
      <c r="Q255" s="33" t="s">
        <v>3183</v>
      </c>
    </row>
    <row r="256" spans="1:17">
      <c r="A256" s="22">
        <v>45957</v>
      </c>
      <c r="B256" s="15" t="s">
        <v>79</v>
      </c>
      <c r="C256" s="16" t="s">
        <v>3160</v>
      </c>
      <c r="D256" s="16" t="s">
        <v>2794</v>
      </c>
      <c r="E256" s="16" t="s">
        <v>3168</v>
      </c>
      <c r="F256" s="16" t="s">
        <v>48</v>
      </c>
      <c r="G256" s="16" t="s">
        <v>48</v>
      </c>
      <c r="H256" s="16" t="s">
        <v>48</v>
      </c>
      <c r="I256" s="16" t="s">
        <v>48</v>
      </c>
      <c r="J256" s="16" t="s">
        <v>48</v>
      </c>
      <c r="K256" s="16" t="s">
        <v>48</v>
      </c>
      <c r="L256" s="16" t="s">
        <v>48</v>
      </c>
      <c r="M256" s="16" t="s">
        <v>48</v>
      </c>
      <c r="N256" s="16">
        <v>54</v>
      </c>
      <c r="O256" s="16" t="s">
        <v>3177</v>
      </c>
      <c r="P256" s="16" t="s">
        <v>3163</v>
      </c>
      <c r="Q256" s="33" t="s">
        <v>3183</v>
      </c>
    </row>
    <row r="257" spans="1:17">
      <c r="A257" s="22">
        <v>45957</v>
      </c>
      <c r="B257" s="15" t="s">
        <v>79</v>
      </c>
      <c r="C257" s="16" t="s">
        <v>3160</v>
      </c>
      <c r="D257" s="16" t="s">
        <v>2794</v>
      </c>
      <c r="E257" s="16" t="s">
        <v>3170</v>
      </c>
      <c r="F257" s="16" t="s">
        <v>48</v>
      </c>
      <c r="G257" s="16" t="s">
        <v>48</v>
      </c>
      <c r="H257" s="16" t="s">
        <v>48</v>
      </c>
      <c r="I257" s="16" t="s">
        <v>48</v>
      </c>
      <c r="J257" s="16" t="s">
        <v>48</v>
      </c>
      <c r="K257" s="16" t="s">
        <v>48</v>
      </c>
      <c r="L257" s="16" t="s">
        <v>48</v>
      </c>
      <c r="M257" s="16" t="s">
        <v>48</v>
      </c>
      <c r="N257" s="16">
        <v>54</v>
      </c>
      <c r="O257" s="16" t="s">
        <v>3177</v>
      </c>
      <c r="P257" s="16" t="s">
        <v>3163</v>
      </c>
      <c r="Q257" s="33" t="s">
        <v>3183</v>
      </c>
    </row>
    <row r="258" spans="1:17">
      <c r="A258" s="22">
        <v>45957</v>
      </c>
      <c r="B258" s="15" t="s">
        <v>79</v>
      </c>
      <c r="C258" s="16" t="s">
        <v>3160</v>
      </c>
      <c r="D258" s="16" t="s">
        <v>2794</v>
      </c>
      <c r="E258" s="16" t="s">
        <v>3172</v>
      </c>
      <c r="F258" s="16" t="s">
        <v>48</v>
      </c>
      <c r="G258" s="16" t="s">
        <v>48</v>
      </c>
      <c r="H258" s="16" t="s">
        <v>48</v>
      </c>
      <c r="I258" s="16" t="s">
        <v>48</v>
      </c>
      <c r="J258" s="16" t="s">
        <v>48</v>
      </c>
      <c r="K258" s="16" t="s">
        <v>48</v>
      </c>
      <c r="L258" s="16" t="s">
        <v>48</v>
      </c>
      <c r="M258" s="16" t="s">
        <v>48</v>
      </c>
      <c r="N258" s="16">
        <f>40-14</f>
        <v>26</v>
      </c>
      <c r="O258" s="16" t="s">
        <v>3177</v>
      </c>
      <c r="P258" s="16" t="s">
        <v>3163</v>
      </c>
      <c r="Q258" s="33" t="s">
        <v>3183</v>
      </c>
    </row>
    <row r="259" spans="1:17">
      <c r="A259" s="22">
        <v>45957</v>
      </c>
      <c r="B259" s="15" t="s">
        <v>79</v>
      </c>
      <c r="C259" s="16" t="s">
        <v>3160</v>
      </c>
      <c r="D259" s="16" t="s">
        <v>3175</v>
      </c>
      <c r="E259" s="16" t="s">
        <v>3172</v>
      </c>
      <c r="F259" s="16" t="s">
        <v>48</v>
      </c>
      <c r="G259" s="16" t="s">
        <v>48</v>
      </c>
      <c r="H259" s="16" t="s">
        <v>48</v>
      </c>
      <c r="I259" s="16" t="s">
        <v>48</v>
      </c>
      <c r="J259" s="16" t="s">
        <v>48</v>
      </c>
      <c r="K259" s="16" t="s">
        <v>48</v>
      </c>
      <c r="L259" s="16" t="s">
        <v>48</v>
      </c>
      <c r="M259" s="16" t="s">
        <v>48</v>
      </c>
      <c r="N259" s="16">
        <v>14</v>
      </c>
      <c r="O259" s="16" t="s">
        <v>3177</v>
      </c>
      <c r="P259" s="16" t="s">
        <v>3163</v>
      </c>
      <c r="Q259" s="33" t="s">
        <v>3183</v>
      </c>
    </row>
    <row r="260" spans="1:17">
      <c r="A260" s="22">
        <v>45957</v>
      </c>
      <c r="B260" s="15" t="s">
        <v>79</v>
      </c>
      <c r="C260" s="16" t="s">
        <v>3160</v>
      </c>
      <c r="D260" s="16" t="s">
        <v>3175</v>
      </c>
      <c r="E260" s="16" t="s">
        <v>3171</v>
      </c>
      <c r="F260" s="16" t="s">
        <v>48</v>
      </c>
      <c r="G260" s="16" t="s">
        <v>48</v>
      </c>
      <c r="H260" s="16" t="s">
        <v>48</v>
      </c>
      <c r="I260" s="16" t="s">
        <v>48</v>
      </c>
      <c r="J260" s="16" t="s">
        <v>48</v>
      </c>
      <c r="K260" s="16" t="s">
        <v>48</v>
      </c>
      <c r="L260" s="16" t="s">
        <v>48</v>
      </c>
      <c r="M260" s="16" t="s">
        <v>48</v>
      </c>
      <c r="N260" s="16">
        <v>54</v>
      </c>
      <c r="O260" s="16" t="s">
        <v>3177</v>
      </c>
      <c r="P260" s="16" t="s">
        <v>3163</v>
      </c>
      <c r="Q260" s="33" t="s">
        <v>3183</v>
      </c>
    </row>
    <row r="261" spans="1:17">
      <c r="A261" s="22">
        <v>45957</v>
      </c>
      <c r="B261" s="15" t="s">
        <v>79</v>
      </c>
      <c r="C261" s="16" t="s">
        <v>3160</v>
      </c>
      <c r="D261" s="16" t="s">
        <v>3175</v>
      </c>
      <c r="E261" s="16" t="s">
        <v>3173</v>
      </c>
      <c r="F261" s="16" t="s">
        <v>48</v>
      </c>
      <c r="G261" s="16" t="s">
        <v>48</v>
      </c>
      <c r="H261" s="16" t="s">
        <v>48</v>
      </c>
      <c r="I261" s="16" t="s">
        <v>48</v>
      </c>
      <c r="J261" s="16" t="s">
        <v>48</v>
      </c>
      <c r="K261" s="16" t="s">
        <v>48</v>
      </c>
      <c r="L261" s="16" t="s">
        <v>48</v>
      </c>
      <c r="M261" s="16" t="s">
        <v>48</v>
      </c>
      <c r="N261" s="16">
        <v>24</v>
      </c>
      <c r="O261" s="16" t="s">
        <v>3177</v>
      </c>
      <c r="P261" s="16" t="s">
        <v>3163</v>
      </c>
      <c r="Q261" s="33" t="s">
        <v>3183</v>
      </c>
    </row>
    <row r="262" spans="1:17">
      <c r="A262" s="22">
        <v>45957</v>
      </c>
      <c r="B262" s="15" t="s">
        <v>79</v>
      </c>
      <c r="C262" s="16" t="s">
        <v>3160</v>
      </c>
      <c r="D262" s="16" t="s">
        <v>3175</v>
      </c>
      <c r="E262" s="16" t="s">
        <v>3174</v>
      </c>
      <c r="F262" s="16" t="s">
        <v>48</v>
      </c>
      <c r="G262" s="16" t="s">
        <v>48</v>
      </c>
      <c r="H262" s="16" t="s">
        <v>48</v>
      </c>
      <c r="I262" s="16" t="s">
        <v>48</v>
      </c>
      <c r="J262" s="16" t="s">
        <v>48</v>
      </c>
      <c r="K262" s="16" t="s">
        <v>48</v>
      </c>
      <c r="L262" s="16" t="s">
        <v>48</v>
      </c>
      <c r="M262" s="16" t="s">
        <v>48</v>
      </c>
      <c r="N262" s="16">
        <v>8</v>
      </c>
      <c r="O262" s="16" t="s">
        <v>3177</v>
      </c>
      <c r="P262" s="16" t="s">
        <v>3163</v>
      </c>
      <c r="Q262" s="33" t="s">
        <v>3183</v>
      </c>
    </row>
    <row r="263" spans="1:17">
      <c r="A263" s="22">
        <v>45958</v>
      </c>
      <c r="B263" s="15" t="s">
        <v>79</v>
      </c>
      <c r="C263" s="16" t="s">
        <v>3176</v>
      </c>
      <c r="D263" s="16" t="s">
        <v>2747</v>
      </c>
      <c r="E263" s="16" t="s">
        <v>3174</v>
      </c>
      <c r="F263" s="16" t="s">
        <v>48</v>
      </c>
      <c r="G263" s="16" t="s">
        <v>48</v>
      </c>
      <c r="H263" s="16" t="s">
        <v>48</v>
      </c>
      <c r="I263" s="16" t="s">
        <v>48</v>
      </c>
      <c r="J263" s="16" t="s">
        <v>48</v>
      </c>
      <c r="K263" s="16" t="s">
        <v>48</v>
      </c>
      <c r="L263" s="16" t="s">
        <v>48</v>
      </c>
      <c r="M263" s="16" t="s">
        <v>48</v>
      </c>
      <c r="N263" s="16">
        <f>54-8</f>
        <v>46</v>
      </c>
      <c r="O263" s="16" t="s">
        <v>3177</v>
      </c>
      <c r="P263" s="16" t="s">
        <v>3163</v>
      </c>
      <c r="Q263" s="33" t="s">
        <v>3183</v>
      </c>
    </row>
    <row r="264" spans="1:17">
      <c r="A264" s="22">
        <v>45958</v>
      </c>
      <c r="B264" s="15" t="s">
        <v>79</v>
      </c>
      <c r="C264" s="16" t="s">
        <v>3176</v>
      </c>
      <c r="D264" s="16" t="s">
        <v>2747</v>
      </c>
      <c r="E264" s="16"/>
      <c r="F264" s="16" t="s">
        <v>48</v>
      </c>
      <c r="G264" s="16" t="s">
        <v>48</v>
      </c>
      <c r="H264" s="16" t="s">
        <v>48</v>
      </c>
      <c r="I264" s="16" t="s">
        <v>48</v>
      </c>
      <c r="J264" s="16" t="s">
        <v>48</v>
      </c>
      <c r="K264" s="16" t="s">
        <v>48</v>
      </c>
      <c r="L264" s="16" t="s">
        <v>48</v>
      </c>
      <c r="M264" s="16" t="s">
        <v>48</v>
      </c>
      <c r="N264" s="16">
        <v>4</v>
      </c>
      <c r="O264" s="16" t="s">
        <v>3177</v>
      </c>
      <c r="P264" s="16" t="s">
        <v>3163</v>
      </c>
      <c r="Q264" s="33" t="s">
        <v>3183</v>
      </c>
    </row>
    <row r="265" spans="1:17">
      <c r="A265" s="22">
        <v>45958</v>
      </c>
      <c r="B265" s="15" t="s">
        <v>3178</v>
      </c>
      <c r="C265" s="16" t="s">
        <v>3176</v>
      </c>
      <c r="D265" s="16" t="s">
        <v>3185</v>
      </c>
      <c r="E265" s="16" t="s">
        <v>3179</v>
      </c>
      <c r="F265" s="16" t="s">
        <v>48</v>
      </c>
      <c r="G265" s="16" t="s">
        <v>48</v>
      </c>
      <c r="H265" s="16" t="s">
        <v>48</v>
      </c>
      <c r="I265" s="16" t="s">
        <v>48</v>
      </c>
      <c r="J265" s="16" t="s">
        <v>48</v>
      </c>
      <c r="K265" s="16" t="s">
        <v>48</v>
      </c>
      <c r="L265" s="16" t="s">
        <v>48</v>
      </c>
      <c r="M265" s="16" t="s">
        <v>48</v>
      </c>
      <c r="N265" s="16">
        <v>375</v>
      </c>
      <c r="O265" s="16" t="s">
        <v>3180</v>
      </c>
      <c r="P265" s="15" t="s">
        <v>3182</v>
      </c>
      <c r="Q265" s="33" t="s">
        <v>3181</v>
      </c>
    </row>
    <row r="266" spans="1:17">
      <c r="A266" s="22">
        <v>45959</v>
      </c>
      <c r="B266" s="15" t="s">
        <v>28</v>
      </c>
      <c r="C266" s="16" t="s">
        <v>3176</v>
      </c>
      <c r="D266" s="16" t="s">
        <v>3188</v>
      </c>
      <c r="E266" s="16" t="s">
        <v>3049</v>
      </c>
      <c r="F266" s="16" t="s">
        <v>48</v>
      </c>
      <c r="G266" s="16" t="s">
        <v>48</v>
      </c>
      <c r="H266" s="16" t="s">
        <v>48</v>
      </c>
      <c r="I266" s="16" t="s">
        <v>48</v>
      </c>
      <c r="J266" s="16" t="s">
        <v>48</v>
      </c>
      <c r="K266" s="16" t="s">
        <v>48</v>
      </c>
      <c r="L266" s="16" t="s">
        <v>48</v>
      </c>
      <c r="M266" s="16" t="s">
        <v>48</v>
      </c>
      <c r="N266" s="16">
        <v>40</v>
      </c>
      <c r="O266" s="16" t="s">
        <v>3180</v>
      </c>
      <c r="P266" s="15" t="s">
        <v>3191</v>
      </c>
      <c r="Q266" s="33"/>
    </row>
    <row r="267" spans="1:17">
      <c r="A267" s="22">
        <v>45959</v>
      </c>
      <c r="B267" s="15" t="s">
        <v>3189</v>
      </c>
      <c r="C267" s="16" t="s">
        <v>3176</v>
      </c>
      <c r="D267" s="16" t="s">
        <v>48</v>
      </c>
      <c r="E267" s="16" t="s">
        <v>48</v>
      </c>
      <c r="F267" s="16" t="s">
        <v>3192</v>
      </c>
      <c r="G267" s="16" t="s">
        <v>48</v>
      </c>
      <c r="H267" s="16" t="s">
        <v>48</v>
      </c>
      <c r="I267" s="16" t="s">
        <v>48</v>
      </c>
      <c r="J267" s="16" t="s">
        <v>48</v>
      </c>
      <c r="K267" s="16" t="s">
        <v>48</v>
      </c>
      <c r="L267" s="16" t="s">
        <v>48</v>
      </c>
      <c r="M267" s="16" t="s">
        <v>48</v>
      </c>
      <c r="N267" s="16">
        <v>11</v>
      </c>
      <c r="O267" s="16" t="s">
        <v>3180</v>
      </c>
      <c r="P267" s="15" t="s">
        <v>3190</v>
      </c>
      <c r="Q267" s="33"/>
    </row>
    <row r="268" spans="1:17">
      <c r="A268" s="22">
        <v>45959</v>
      </c>
      <c r="B268" s="15" t="s">
        <v>3178</v>
      </c>
      <c r="C268" s="16" t="s">
        <v>3186</v>
      </c>
      <c r="D268" s="16" t="s">
        <v>3187</v>
      </c>
      <c r="E268" s="16" t="s">
        <v>3179</v>
      </c>
      <c r="F268" s="16" t="s">
        <v>48</v>
      </c>
      <c r="G268" s="16" t="s">
        <v>48</v>
      </c>
      <c r="H268" s="16" t="s">
        <v>48</v>
      </c>
      <c r="I268" s="16" t="s">
        <v>48</v>
      </c>
      <c r="J268" s="16" t="s">
        <v>48</v>
      </c>
      <c r="K268" s="16" t="s">
        <v>48</v>
      </c>
      <c r="L268" s="16" t="s">
        <v>48</v>
      </c>
      <c r="M268" s="16" t="s">
        <v>48</v>
      </c>
      <c r="N268" s="16">
        <v>125</v>
      </c>
      <c r="O268" s="16" t="s">
        <v>3180</v>
      </c>
      <c r="P268" s="15" t="s">
        <v>3182</v>
      </c>
      <c r="Q268" s="33" t="s">
        <v>3181</v>
      </c>
    </row>
    <row r="269" spans="1:17">
      <c r="A269" s="17"/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5"/>
      <c r="Q269" s="33"/>
    </row>
    <row r="270" spans="1:17">
      <c r="A270" s="17"/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5"/>
      <c r="Q270" s="33"/>
    </row>
    <row r="271" spans="1:17">
      <c r="A271" s="22"/>
      <c r="B271" s="15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5"/>
      <c r="Q271" s="33"/>
    </row>
    <row r="272" spans="1:17">
      <c r="A272" s="21"/>
      <c r="B272" s="15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5"/>
      <c r="Q272" s="33"/>
    </row>
    <row r="273" spans="1:17">
      <c r="A273" s="17"/>
      <c r="B273" s="15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5"/>
      <c r="Q273" s="33"/>
    </row>
    <row r="274" spans="1:17">
      <c r="A274" s="17"/>
      <c r="B274" s="15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5"/>
      <c r="Q274" s="33"/>
    </row>
    <row r="275" spans="1:17">
      <c r="A275" s="17"/>
      <c r="B275" s="15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5"/>
      <c r="Q275" s="33"/>
    </row>
    <row r="276" spans="1:17">
      <c r="A276" s="17"/>
      <c r="B276" s="15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5"/>
      <c r="Q276" s="33"/>
    </row>
    <row r="277" spans="1:17">
      <c r="A277" s="17"/>
      <c r="B277" s="15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5"/>
      <c r="Q277" s="33"/>
    </row>
    <row r="278" spans="1:17">
      <c r="A278" s="17"/>
      <c r="B278" s="15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5"/>
      <c r="Q278" s="33"/>
    </row>
    <row r="279" spans="1:17">
      <c r="A279" s="17"/>
      <c r="B279" s="15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5"/>
      <c r="Q279" s="26"/>
    </row>
    <row r="280" spans="1:17">
      <c r="A280" s="17"/>
      <c r="B280" s="15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28"/>
      <c r="Q280" s="29"/>
    </row>
    <row r="281" spans="1:17">
      <c r="A281" s="17"/>
      <c r="B281" s="15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30"/>
    </row>
    <row r="282" spans="1:17">
      <c r="A282" s="21"/>
      <c r="B282" s="15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31"/>
    </row>
    <row r="283" spans="1:17">
      <c r="A283" s="17"/>
      <c r="B283" s="15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31"/>
    </row>
    <row r="284" spans="1:17">
      <c r="A284" s="17"/>
      <c r="B284" s="15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31"/>
    </row>
    <row r="285" spans="1:17">
      <c r="A285" s="17"/>
      <c r="B285" s="15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31"/>
    </row>
    <row r="286" spans="1:17">
      <c r="A286" s="17"/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31"/>
    </row>
    <row r="287" spans="1:17">
      <c r="A287" s="17"/>
      <c r="B287" s="15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31"/>
    </row>
    <row r="288" spans="1:17">
      <c r="A288" s="17"/>
      <c r="B288" s="15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31"/>
    </row>
    <row r="289" spans="1:17">
      <c r="A289" s="17"/>
      <c r="B289" s="15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31"/>
    </row>
    <row r="290" spans="1:17">
      <c r="A290" s="21"/>
      <c r="B290" s="15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31"/>
    </row>
    <row r="291" spans="1:17">
      <c r="A291" s="17"/>
      <c r="B291" s="15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31"/>
    </row>
    <row r="292" spans="1:17">
      <c r="A292" s="17"/>
      <c r="B292" s="15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31"/>
    </row>
    <row r="293" spans="1:17">
      <c r="A293" s="17"/>
      <c r="B293" s="15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31"/>
    </row>
    <row r="294" spans="1:17">
      <c r="A294" s="17"/>
      <c r="B294" s="15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31"/>
    </row>
    <row r="295" spans="1:17">
      <c r="A295" s="17"/>
      <c r="B295" s="15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31"/>
    </row>
    <row r="296" spans="1:17">
      <c r="A296" s="17"/>
      <c r="B296" s="15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31"/>
    </row>
    <row r="297" spans="1:17">
      <c r="A297" s="17"/>
      <c r="B297" s="15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31"/>
    </row>
    <row r="298" spans="1:17">
      <c r="A298" s="17"/>
      <c r="B298" s="15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31"/>
    </row>
    <row r="299" spans="1:17">
      <c r="A299" s="17"/>
      <c r="B299" s="15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31"/>
    </row>
    <row r="300" spans="1:17">
      <c r="A300" s="17"/>
      <c r="B300" s="15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31"/>
    </row>
    <row r="301" spans="1:17">
      <c r="A301" s="17"/>
      <c r="B301" s="15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31"/>
    </row>
    <row r="302" spans="1:17">
      <c r="A302" s="17"/>
      <c r="B302" s="15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31"/>
    </row>
    <row r="303" spans="1:17">
      <c r="A303" s="17"/>
      <c r="B303" s="15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31"/>
    </row>
    <row r="304" spans="1:17">
      <c r="A304" s="17"/>
      <c r="B304" s="15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31"/>
    </row>
    <row r="305" spans="1:17">
      <c r="A305" s="17"/>
      <c r="B305" s="15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31"/>
    </row>
    <row r="306" spans="1:17">
      <c r="A306" s="17"/>
      <c r="B306" s="15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31"/>
    </row>
    <row r="307" spans="1:17">
      <c r="A307" s="17"/>
      <c r="B307" s="15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31"/>
    </row>
    <row r="308" spans="1:17">
      <c r="A308" s="17"/>
      <c r="B308" s="15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31"/>
    </row>
    <row r="309" spans="1:17">
      <c r="A309" s="17"/>
      <c r="B309" s="15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31"/>
    </row>
    <row r="310" spans="1:17">
      <c r="A310" s="17"/>
      <c r="B310" s="15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31"/>
    </row>
    <row r="311" spans="1:17">
      <c r="A311" s="17"/>
      <c r="B311" s="15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31"/>
    </row>
    <row r="312" spans="1:17">
      <c r="A312" s="22"/>
      <c r="B312" s="15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31"/>
    </row>
    <row r="313" spans="1:17">
      <c r="A313" s="17"/>
      <c r="B313" s="15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31"/>
    </row>
    <row r="314" spans="1:17">
      <c r="A314" s="17"/>
      <c r="B314" s="15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31"/>
    </row>
    <row r="315" spans="1:17">
      <c r="A315" s="17"/>
      <c r="B315" s="15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31"/>
    </row>
    <row r="316" spans="1:17">
      <c r="A316" s="17"/>
      <c r="B316" s="15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31"/>
    </row>
    <row r="317" spans="1:17">
      <c r="A317" s="17"/>
      <c r="B317" s="15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31"/>
    </row>
    <row r="318" spans="1:17">
      <c r="A318" s="17"/>
      <c r="B318" s="15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31"/>
    </row>
    <row r="319" spans="1:17">
      <c r="A319" s="17"/>
      <c r="B319" s="15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31"/>
    </row>
    <row r="320" spans="1:17">
      <c r="A320" s="17"/>
      <c r="B320" s="15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31"/>
    </row>
    <row r="321" spans="1:17">
      <c r="A321" s="17"/>
      <c r="B321" s="15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31"/>
    </row>
    <row r="322" spans="1:17">
      <c r="A322" s="17"/>
      <c r="B322" s="15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31"/>
    </row>
    <row r="323" spans="1:17">
      <c r="A323" s="17"/>
      <c r="B323" s="15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31"/>
    </row>
    <row r="324" spans="1:17">
      <c r="A324" s="17"/>
      <c r="B324" s="15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31"/>
    </row>
    <row r="325" spans="1:17">
      <c r="A325" s="17"/>
      <c r="B325" s="15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31"/>
    </row>
    <row r="326" spans="1:17">
      <c r="A326" s="17"/>
      <c r="B326" s="15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31"/>
    </row>
    <row r="327" spans="1:17">
      <c r="A327" s="17"/>
      <c r="B327" s="15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31"/>
    </row>
    <row r="328" spans="1:17">
      <c r="A328" s="17"/>
      <c r="B328" s="15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31"/>
    </row>
    <row r="329" spans="1:17">
      <c r="A329" s="17"/>
      <c r="B329" s="15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31"/>
    </row>
    <row r="330" spans="1:17">
      <c r="A330" s="17"/>
      <c r="B330" s="15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31"/>
    </row>
    <row r="331" spans="1:17">
      <c r="A331" s="17"/>
      <c r="B331" s="15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31"/>
    </row>
    <row r="332" spans="1:17">
      <c r="A332" s="17"/>
      <c r="B332" s="15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31"/>
    </row>
    <row r="333" spans="1:17">
      <c r="A333" s="17"/>
      <c r="B333" s="15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31"/>
    </row>
    <row r="334" spans="1:17">
      <c r="A334" s="17"/>
      <c r="B334" s="15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31"/>
    </row>
    <row r="335" spans="1:17">
      <c r="A335" s="17"/>
      <c r="B335" s="15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31"/>
    </row>
    <row r="336" spans="1:17">
      <c r="A336" s="17"/>
      <c r="B336" s="15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31"/>
    </row>
    <row r="337" spans="1:17">
      <c r="A337" s="17"/>
      <c r="B337" s="15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31"/>
    </row>
    <row r="338" spans="1:17">
      <c r="A338" s="17"/>
      <c r="B338" s="15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31"/>
    </row>
    <row r="339" spans="1:17">
      <c r="A339" s="17"/>
      <c r="B339" s="15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31"/>
    </row>
    <row r="340" spans="1:17">
      <c r="A340" s="17"/>
      <c r="B340" s="15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31"/>
    </row>
    <row r="341" spans="1:17">
      <c r="A341" s="17"/>
      <c r="B341" s="15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31"/>
    </row>
    <row r="342" spans="1:17">
      <c r="A342" s="17"/>
      <c r="B342" s="15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31"/>
    </row>
    <row r="343" spans="1:17">
      <c r="A343" s="17"/>
      <c r="B343" s="15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31"/>
    </row>
    <row r="344" spans="1:17">
      <c r="A344" s="17"/>
      <c r="B344" s="15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31"/>
    </row>
    <row r="345" spans="1:17">
      <c r="A345" s="17"/>
      <c r="B345" s="15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31"/>
    </row>
    <row r="346" spans="1:17">
      <c r="A346" s="17"/>
      <c r="B346" s="15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31"/>
    </row>
    <row r="347" spans="1:17">
      <c r="A347" s="17"/>
      <c r="B347" s="15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31"/>
    </row>
    <row r="348" spans="1:17">
      <c r="A348" s="17"/>
      <c r="B348" s="15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31"/>
    </row>
    <row r="349" spans="1:17">
      <c r="A349" s="17"/>
      <c r="B349" s="15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31"/>
    </row>
    <row r="350" spans="1:17">
      <c r="A350" s="17"/>
      <c r="B350" s="15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31"/>
    </row>
    <row r="351" spans="1:17">
      <c r="A351" s="17"/>
      <c r="B351" s="15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31"/>
    </row>
    <row r="352" spans="1:17">
      <c r="A352" s="17"/>
      <c r="B352" s="15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31"/>
    </row>
    <row r="353" spans="1:17">
      <c r="A353" s="17"/>
      <c r="B353" s="15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31"/>
    </row>
    <row r="354" spans="1:17">
      <c r="A354" s="17"/>
      <c r="B354" s="15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31"/>
    </row>
    <row r="355" spans="1:17">
      <c r="A355" s="17"/>
      <c r="B355" s="15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31"/>
    </row>
    <row r="356" spans="1:17">
      <c r="A356" s="17"/>
      <c r="B356" s="15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31"/>
    </row>
    <row r="357" spans="1:17">
      <c r="A357" s="17"/>
      <c r="B357" s="15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31"/>
    </row>
    <row r="358" spans="1:17">
      <c r="A358" s="17"/>
      <c r="B358" s="15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31"/>
    </row>
    <row r="359" spans="1:17">
      <c r="A359" s="17"/>
      <c r="B359" s="15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31"/>
    </row>
    <row r="360" spans="1:17">
      <c r="A360" s="17"/>
      <c r="B360" s="15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31"/>
    </row>
    <row r="361" spans="1:17">
      <c r="A361" s="17"/>
      <c r="B361" s="15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31"/>
    </row>
    <row r="362" spans="1:17">
      <c r="A362" s="17"/>
      <c r="B362" s="15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31"/>
    </row>
    <row r="363" spans="1:17">
      <c r="A363" s="17"/>
      <c r="B363" s="15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31"/>
    </row>
    <row r="364" spans="1:17">
      <c r="A364" s="17"/>
      <c r="B364" s="15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31"/>
    </row>
    <row r="365" spans="1:17">
      <c r="A365" s="17"/>
      <c r="B365" s="15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31"/>
    </row>
    <row r="366" spans="1:17">
      <c r="A366" s="17"/>
      <c r="B366" s="15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31"/>
    </row>
    <row r="367" spans="1:17">
      <c r="A367" s="17"/>
      <c r="B367" s="15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31"/>
    </row>
    <row r="368" spans="1:17">
      <c r="A368" s="17"/>
      <c r="B368" s="15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31"/>
    </row>
    <row r="369" spans="1:17">
      <c r="A369" s="17"/>
      <c r="B369" s="15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31"/>
    </row>
    <row r="370" spans="1:17">
      <c r="A370" s="17"/>
      <c r="B370" s="15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31"/>
    </row>
    <row r="371" spans="1:17">
      <c r="A371" s="17"/>
      <c r="B371" s="15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31"/>
    </row>
    <row r="372" spans="1:17">
      <c r="A372" s="17"/>
      <c r="B372" s="15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31"/>
    </row>
    <row r="373" spans="1:17">
      <c r="A373" s="17"/>
      <c r="B373" s="15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31"/>
    </row>
    <row r="374" spans="1:17">
      <c r="A374" s="17"/>
      <c r="B374" s="15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31"/>
    </row>
    <row r="375" spans="1:17">
      <c r="A375" s="17"/>
      <c r="B375" s="15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31"/>
    </row>
    <row r="376" spans="1:17">
      <c r="A376" s="17"/>
      <c r="B376" s="15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31"/>
    </row>
    <row r="377" spans="1:17" ht="15" thickBot="1">
      <c r="A377" s="18"/>
      <c r="B377" s="19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20"/>
      <c r="O377" s="16"/>
      <c r="P377" s="16"/>
      <c r="Q377" s="31"/>
    </row>
    <row r="378" spans="1:17" ht="15" thickBot="1">
      <c r="A378" s="17"/>
      <c r="B378" s="15"/>
      <c r="C378" s="16"/>
      <c r="D378" s="20"/>
      <c r="E378" s="16"/>
      <c r="F378" s="16"/>
      <c r="G378" s="16"/>
      <c r="H378" s="16"/>
      <c r="I378" s="16"/>
      <c r="J378" s="16"/>
      <c r="K378" s="16"/>
      <c r="L378" s="16"/>
      <c r="M378" s="16"/>
      <c r="N378" s="20"/>
      <c r="O378" s="16"/>
      <c r="P378" s="16"/>
      <c r="Q378" s="31"/>
    </row>
    <row r="379" spans="1:17">
      <c r="A379" s="17"/>
      <c r="B379" s="15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31"/>
    </row>
    <row r="380" spans="1:17">
      <c r="A380" s="17"/>
      <c r="B380" s="15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31"/>
    </row>
    <row r="381" spans="1:17">
      <c r="A381" s="17"/>
      <c r="B381" s="15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31"/>
    </row>
    <row r="382" spans="1:17">
      <c r="A382" s="17"/>
      <c r="B382" s="15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31"/>
    </row>
    <row r="383" spans="1:17">
      <c r="A383" s="17"/>
      <c r="B383" s="15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31"/>
    </row>
    <row r="384" spans="1:17">
      <c r="A384" s="17"/>
      <c r="B384" s="15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31"/>
    </row>
    <row r="385" spans="1:17" ht="15" thickBot="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16"/>
      <c r="Q385" s="31"/>
    </row>
    <row r="386" spans="1:17">
      <c r="A386" s="17"/>
      <c r="B386" s="15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31"/>
    </row>
    <row r="387" spans="1:17">
      <c r="A387" s="17"/>
      <c r="B387" s="15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31"/>
    </row>
    <row r="388" spans="1:17">
      <c r="A388" s="17"/>
      <c r="B388" s="15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31"/>
    </row>
    <row r="389" spans="1:17">
      <c r="A389" s="17"/>
      <c r="B389" s="15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31"/>
    </row>
    <row r="390" spans="1:17">
      <c r="A390" s="17"/>
      <c r="B390" s="15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31"/>
    </row>
    <row r="391" spans="1:17" ht="15" thickBot="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16"/>
      <c r="Q391" s="31"/>
    </row>
    <row r="392" spans="1:17">
      <c r="A392" s="25" t="s">
        <v>352</v>
      </c>
      <c r="B392" s="13"/>
      <c r="C392" s="13"/>
      <c r="D392" s="12"/>
      <c r="E392" s="13"/>
      <c r="H392" s="13"/>
      <c r="I392" s="13"/>
      <c r="J392" s="12"/>
      <c r="K392" s="13"/>
      <c r="L392" s="12" t="s">
        <v>18</v>
      </c>
      <c r="M392" s="12"/>
      <c r="N392" s="14"/>
    </row>
    <row r="393" spans="1:17">
      <c r="M393" s="2" t="s">
        <v>19</v>
      </c>
    </row>
    <row r="394" spans="1:17">
      <c r="M394" s="2" t="s">
        <v>20</v>
      </c>
    </row>
    <row r="395" spans="1:17">
      <c r="M395" s="2" t="s">
        <v>21</v>
      </c>
    </row>
    <row r="396" spans="1:17">
      <c r="M396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Q225"/>
  <sheetViews>
    <sheetView view="pageBreakPreview" topLeftCell="A154" zoomScaleNormal="100" zoomScaleSheetLayoutView="100" workbookViewId="0">
      <selection activeCell="A179" sqref="A179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2" width="12.7109375" style="2" customWidth="1"/>
    <col min="13" max="13" width="19.140625" style="2" customWidth="1"/>
    <col min="14" max="14" width="10.7109375" style="2" customWidth="1"/>
    <col min="15" max="15" width="34" style="2" customWidth="1"/>
    <col min="16" max="16" width="22.14062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/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22">
        <v>45964</v>
      </c>
      <c r="B9" s="15" t="s">
        <v>143</v>
      </c>
      <c r="C9" s="16" t="s">
        <v>3193</v>
      </c>
      <c r="D9" s="16" t="s">
        <v>2666</v>
      </c>
      <c r="E9" s="16" t="s">
        <v>48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50</v>
      </c>
      <c r="O9" s="16" t="s">
        <v>3195</v>
      </c>
      <c r="P9" s="15" t="s">
        <v>3203</v>
      </c>
      <c r="Q9" s="33" t="s">
        <v>3202</v>
      </c>
    </row>
    <row r="10" spans="1:17" ht="17.100000000000001" customHeight="1">
      <c r="A10" s="22">
        <v>45964</v>
      </c>
      <c r="B10" s="15" t="s">
        <v>143</v>
      </c>
      <c r="C10" s="16" t="s">
        <v>3193</v>
      </c>
      <c r="D10" s="16" t="s">
        <v>3194</v>
      </c>
      <c r="E10" s="16" t="s">
        <v>48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10</v>
      </c>
      <c r="O10" s="16" t="s">
        <v>3195</v>
      </c>
      <c r="P10" s="15" t="s">
        <v>3203</v>
      </c>
      <c r="Q10" s="33" t="s">
        <v>3202</v>
      </c>
    </row>
    <row r="11" spans="1:17" ht="17.100000000000001" customHeight="1">
      <c r="A11" s="22">
        <v>45964</v>
      </c>
      <c r="B11" s="15" t="s">
        <v>41</v>
      </c>
      <c r="C11" s="16" t="s">
        <v>3193</v>
      </c>
      <c r="D11" s="16" t="s">
        <v>3196</v>
      </c>
      <c r="E11" s="16" t="s">
        <v>3211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40</v>
      </c>
      <c r="O11" s="16" t="s">
        <v>3195</v>
      </c>
      <c r="P11" s="15" t="s">
        <v>3209</v>
      </c>
      <c r="Q11" s="33" t="s">
        <v>3208</v>
      </c>
    </row>
    <row r="12" spans="1:17" ht="17.100000000000001" customHeight="1">
      <c r="A12" s="22">
        <v>45964</v>
      </c>
      <c r="B12" s="15" t="s">
        <v>41</v>
      </c>
      <c r="C12" s="16" t="s">
        <v>3193</v>
      </c>
      <c r="D12" s="16" t="s">
        <v>3085</v>
      </c>
      <c r="E12" s="16" t="s">
        <v>3211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68</v>
      </c>
      <c r="O12" s="16" t="s">
        <v>3195</v>
      </c>
      <c r="P12" s="15" t="s">
        <v>3209</v>
      </c>
      <c r="Q12" s="33" t="s">
        <v>3208</v>
      </c>
    </row>
    <row r="13" spans="1:17" ht="17.100000000000001" customHeight="1">
      <c r="A13" s="22">
        <v>45964</v>
      </c>
      <c r="B13" s="15" t="s">
        <v>28</v>
      </c>
      <c r="C13" s="16" t="s">
        <v>3193</v>
      </c>
      <c r="D13" s="16" t="s">
        <v>3197</v>
      </c>
      <c r="E13" s="16" t="s">
        <v>3198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40</v>
      </c>
      <c r="O13" s="16" t="s">
        <v>3195</v>
      </c>
      <c r="P13" s="15" t="s">
        <v>3205</v>
      </c>
      <c r="Q13" s="33" t="s">
        <v>3204</v>
      </c>
    </row>
    <row r="14" spans="1:17" ht="17.100000000000001" customHeight="1">
      <c r="A14" s="22">
        <v>45964</v>
      </c>
      <c r="B14" s="15" t="s">
        <v>110</v>
      </c>
      <c r="C14" s="16" t="s">
        <v>3193</v>
      </c>
      <c r="D14" s="16" t="s">
        <v>48</v>
      </c>
      <c r="E14" s="16" t="s">
        <v>48</v>
      </c>
      <c r="F14" s="16" t="s">
        <v>48</v>
      </c>
      <c r="G14" s="16" t="s">
        <v>3199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10</v>
      </c>
      <c r="O14" s="16" t="s">
        <v>55</v>
      </c>
      <c r="P14" s="15" t="s">
        <v>3207</v>
      </c>
      <c r="Q14" s="33" t="s">
        <v>3206</v>
      </c>
    </row>
    <row r="15" spans="1:17" ht="17.100000000000001" customHeight="1">
      <c r="A15" s="22">
        <v>45964</v>
      </c>
      <c r="B15" s="15" t="s">
        <v>104</v>
      </c>
      <c r="C15" s="16" t="s">
        <v>3193</v>
      </c>
      <c r="D15" s="16" t="s">
        <v>48</v>
      </c>
      <c r="E15" s="16" t="s">
        <v>48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>
        <v>250919</v>
      </c>
      <c r="N15" s="16">
        <v>1000</v>
      </c>
      <c r="O15" s="16" t="s">
        <v>3195</v>
      </c>
      <c r="P15" s="15" t="s">
        <v>3200</v>
      </c>
      <c r="Q15" s="33" t="s">
        <v>3201</v>
      </c>
    </row>
    <row r="16" spans="1:17" ht="17.100000000000001" customHeight="1">
      <c r="A16" s="22">
        <v>45965</v>
      </c>
      <c r="B16" s="15" t="s">
        <v>41</v>
      </c>
      <c r="C16" s="16" t="s">
        <v>3212</v>
      </c>
      <c r="D16" s="16" t="s">
        <v>3196</v>
      </c>
      <c r="E16" s="16" t="s">
        <v>3211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f>240-108</f>
        <v>132</v>
      </c>
      <c r="O16" s="16" t="s">
        <v>3210</v>
      </c>
      <c r="P16" s="15" t="s">
        <v>3209</v>
      </c>
      <c r="Q16" s="33" t="s">
        <v>3208</v>
      </c>
    </row>
    <row r="17" spans="1:17" ht="17.100000000000001" customHeight="1">
      <c r="A17" s="22">
        <v>45965</v>
      </c>
      <c r="B17" s="15" t="s">
        <v>1167</v>
      </c>
      <c r="C17" s="16" t="s">
        <v>3212</v>
      </c>
      <c r="D17" s="16" t="s">
        <v>3213</v>
      </c>
      <c r="E17" s="16" t="s">
        <v>48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f>80+175</f>
        <v>255</v>
      </c>
      <c r="O17" s="16" t="s">
        <v>3210</v>
      </c>
      <c r="P17" s="15" t="s">
        <v>3209</v>
      </c>
      <c r="Q17" s="33" t="s">
        <v>3208</v>
      </c>
    </row>
    <row r="18" spans="1:17" ht="17.100000000000001" customHeight="1">
      <c r="A18" s="22">
        <v>45965</v>
      </c>
      <c r="B18" s="15" t="s">
        <v>1167</v>
      </c>
      <c r="C18" s="16" t="s">
        <v>3212</v>
      </c>
      <c r="D18" s="16" t="s">
        <v>3214</v>
      </c>
      <c r="E18" s="16" t="s">
        <v>48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25</v>
      </c>
      <c r="O18" s="16" t="s">
        <v>3210</v>
      </c>
      <c r="P18" s="15" t="s">
        <v>3229</v>
      </c>
      <c r="Q18" s="33" t="s">
        <v>3228</v>
      </c>
    </row>
    <row r="19" spans="1:17" ht="17.100000000000001" customHeight="1">
      <c r="A19" s="22">
        <v>45966</v>
      </c>
      <c r="B19" s="15" t="s">
        <v>1167</v>
      </c>
      <c r="C19" s="16" t="s">
        <v>3227</v>
      </c>
      <c r="D19" s="16" t="s">
        <v>3213</v>
      </c>
      <c r="E19" s="16" t="s">
        <v>48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120</v>
      </c>
      <c r="O19" s="16" t="s">
        <v>3235</v>
      </c>
      <c r="P19" s="15" t="s">
        <v>3229</v>
      </c>
      <c r="Q19" s="33" t="s">
        <v>3228</v>
      </c>
    </row>
    <row r="20" spans="1:17" ht="17.100000000000001" customHeight="1">
      <c r="A20" s="22">
        <v>45966</v>
      </c>
      <c r="B20" s="15" t="s">
        <v>37</v>
      </c>
      <c r="C20" s="16" t="s">
        <v>3227</v>
      </c>
      <c r="D20" s="16" t="s">
        <v>48</v>
      </c>
      <c r="E20" s="16" t="s">
        <v>48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3230</v>
      </c>
      <c r="N20" s="16">
        <v>280</v>
      </c>
      <c r="O20" s="16" t="s">
        <v>3236</v>
      </c>
      <c r="P20" s="15" t="s">
        <v>3216</v>
      </c>
      <c r="Q20" s="33" t="s">
        <v>3215</v>
      </c>
    </row>
    <row r="21" spans="1:17" ht="17.100000000000001" customHeight="1">
      <c r="A21" s="22">
        <v>45966</v>
      </c>
      <c r="B21" s="15" t="s">
        <v>326</v>
      </c>
      <c r="C21" s="16" t="s">
        <v>3227</v>
      </c>
      <c r="D21" s="16" t="s">
        <v>48</v>
      </c>
      <c r="E21" s="16" t="s">
        <v>48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3231</v>
      </c>
      <c r="N21" s="16">
        <v>30</v>
      </c>
      <c r="O21" s="16" t="s">
        <v>2220</v>
      </c>
      <c r="P21" s="15" t="s">
        <v>3218</v>
      </c>
      <c r="Q21" s="33" t="s">
        <v>3217</v>
      </c>
    </row>
    <row r="22" spans="1:17" ht="17.100000000000001" customHeight="1">
      <c r="A22" s="22">
        <v>45966</v>
      </c>
      <c r="B22" s="15" t="s">
        <v>214</v>
      </c>
      <c r="C22" s="16" t="s">
        <v>3227</v>
      </c>
      <c r="D22" s="16" t="s">
        <v>48</v>
      </c>
      <c r="E22" s="16" t="s">
        <v>48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>
        <v>250524</v>
      </c>
      <c r="N22" s="16">
        <v>300</v>
      </c>
      <c r="O22" s="16" t="s">
        <v>2220</v>
      </c>
      <c r="P22" s="15" t="s">
        <v>3220</v>
      </c>
      <c r="Q22" s="33" t="s">
        <v>3219</v>
      </c>
    </row>
    <row r="23" spans="1:17" ht="17.100000000000001" customHeight="1">
      <c r="A23" s="22">
        <v>45966</v>
      </c>
      <c r="B23" s="15" t="s">
        <v>222</v>
      </c>
      <c r="C23" s="16" t="s">
        <v>3227</v>
      </c>
      <c r="D23" s="16" t="s">
        <v>48</v>
      </c>
      <c r="E23" s="16" t="s">
        <v>48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3232</v>
      </c>
      <c r="N23" s="16">
        <v>21</v>
      </c>
      <c r="O23" s="16" t="s">
        <v>55</v>
      </c>
      <c r="P23" s="15" t="s">
        <v>3222</v>
      </c>
      <c r="Q23" s="33" t="s">
        <v>3221</v>
      </c>
    </row>
    <row r="24" spans="1:17" ht="17.100000000000001" customHeight="1">
      <c r="A24" s="22">
        <v>45966</v>
      </c>
      <c r="B24" s="15" t="s">
        <v>2256</v>
      </c>
      <c r="C24" s="16" t="s">
        <v>3227</v>
      </c>
      <c r="D24" s="16" t="s">
        <v>48</v>
      </c>
      <c r="E24" s="16" t="s">
        <v>48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3233</v>
      </c>
      <c r="N24" s="16">
        <v>30</v>
      </c>
      <c r="O24" s="16" t="s">
        <v>2220</v>
      </c>
      <c r="P24" s="15" t="s">
        <v>3224</v>
      </c>
      <c r="Q24" s="33" t="s">
        <v>3223</v>
      </c>
    </row>
    <row r="25" spans="1:17" ht="17.100000000000001" customHeight="1">
      <c r="A25" s="22">
        <v>45966</v>
      </c>
      <c r="B25" s="15" t="s">
        <v>1326</v>
      </c>
      <c r="C25" s="16" t="s">
        <v>3227</v>
      </c>
      <c r="D25" s="16" t="s">
        <v>48</v>
      </c>
      <c r="E25" s="16" t="s">
        <v>48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53" t="s">
        <v>3234</v>
      </c>
      <c r="N25" s="16">
        <v>400</v>
      </c>
      <c r="O25" s="16" t="s">
        <v>2220</v>
      </c>
      <c r="P25" s="15" t="s">
        <v>3226</v>
      </c>
      <c r="Q25" s="33" t="s">
        <v>3225</v>
      </c>
    </row>
    <row r="26" spans="1:17" ht="17.100000000000001" customHeight="1">
      <c r="A26" s="22">
        <v>45967</v>
      </c>
      <c r="B26" s="15" t="s">
        <v>41</v>
      </c>
      <c r="C26" s="16" t="s">
        <v>3248</v>
      </c>
      <c r="D26" s="16" t="s">
        <v>3196</v>
      </c>
      <c r="E26" s="16" t="s">
        <v>3232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30</v>
      </c>
      <c r="O26" s="16" t="s">
        <v>3250</v>
      </c>
      <c r="P26" s="28" t="s">
        <v>3237</v>
      </c>
      <c r="Q26" s="33" t="s">
        <v>3237</v>
      </c>
    </row>
    <row r="27" spans="1:17" ht="17.100000000000001" customHeight="1">
      <c r="A27" s="22">
        <v>45967</v>
      </c>
      <c r="B27" s="15" t="s">
        <v>41</v>
      </c>
      <c r="C27" s="16" t="s">
        <v>3248</v>
      </c>
      <c r="D27" s="16" t="s">
        <v>3196</v>
      </c>
      <c r="E27" s="16" t="s">
        <v>3249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48</v>
      </c>
      <c r="N27" s="16">
        <v>210</v>
      </c>
      <c r="O27" s="16" t="s">
        <v>3250</v>
      </c>
      <c r="P27" s="28" t="s">
        <v>3237</v>
      </c>
      <c r="Q27" s="33" t="s">
        <v>3237</v>
      </c>
    </row>
    <row r="28" spans="1:17" ht="17.100000000000001" customHeight="1">
      <c r="A28" s="22">
        <v>45967</v>
      </c>
      <c r="B28" s="15" t="s">
        <v>654</v>
      </c>
      <c r="C28" s="16" t="s">
        <v>3248</v>
      </c>
      <c r="D28" s="16" t="s">
        <v>3255</v>
      </c>
      <c r="E28" s="16" t="s">
        <v>3232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>
        <v>10</v>
      </c>
      <c r="O28" s="16" t="s">
        <v>3252</v>
      </c>
      <c r="P28" s="16" t="s">
        <v>3239</v>
      </c>
      <c r="Q28" s="33" t="s">
        <v>3238</v>
      </c>
    </row>
    <row r="29" spans="1:17" ht="17.100000000000001" customHeight="1">
      <c r="A29" s="22">
        <v>45967</v>
      </c>
      <c r="B29" s="15" t="s">
        <v>24</v>
      </c>
      <c r="C29" s="16" t="s">
        <v>3248</v>
      </c>
      <c r="D29" s="16" t="s">
        <v>48</v>
      </c>
      <c r="E29" s="16" t="s">
        <v>48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/>
      <c r="N29" s="16">
        <v>100</v>
      </c>
      <c r="O29" s="16" t="s">
        <v>3251</v>
      </c>
      <c r="P29" s="16" t="s">
        <v>3241</v>
      </c>
      <c r="Q29" s="33" t="s">
        <v>3240</v>
      </c>
    </row>
    <row r="30" spans="1:17" ht="17.100000000000001" customHeight="1">
      <c r="A30" s="22">
        <v>45967</v>
      </c>
      <c r="B30" s="15" t="s">
        <v>162</v>
      </c>
      <c r="C30" s="16" t="s">
        <v>3248</v>
      </c>
      <c r="D30" s="16" t="s">
        <v>3253</v>
      </c>
      <c r="E30" s="16" t="s">
        <v>3254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40</v>
      </c>
      <c r="O30" s="16" t="s">
        <v>3252</v>
      </c>
      <c r="P30" s="16" t="s">
        <v>3243</v>
      </c>
      <c r="Q30" s="33" t="s">
        <v>3242</v>
      </c>
    </row>
    <row r="31" spans="1:17" ht="17.100000000000001" customHeight="1">
      <c r="A31" s="22">
        <v>45967</v>
      </c>
      <c r="B31" s="15" t="s">
        <v>2104</v>
      </c>
      <c r="C31" s="16" t="s">
        <v>3248</v>
      </c>
      <c r="D31" s="16" t="s">
        <v>48</v>
      </c>
      <c r="E31" s="16" t="s">
        <v>48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/>
      <c r="N31" s="16">
        <v>40</v>
      </c>
      <c r="O31" s="16" t="s">
        <v>55</v>
      </c>
      <c r="P31" s="16" t="s">
        <v>3245</v>
      </c>
      <c r="Q31" s="33" t="s">
        <v>3244</v>
      </c>
    </row>
    <row r="32" spans="1:17" ht="17.100000000000001" customHeight="1">
      <c r="A32" s="22">
        <v>45967</v>
      </c>
      <c r="B32" s="15" t="s">
        <v>261</v>
      </c>
      <c r="C32" s="16" t="s">
        <v>3248</v>
      </c>
      <c r="D32" s="16" t="s">
        <v>3281</v>
      </c>
      <c r="E32" s="16" t="s">
        <v>48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200</v>
      </c>
      <c r="O32" s="16" t="s">
        <v>3284</v>
      </c>
      <c r="P32" s="16" t="s">
        <v>3247</v>
      </c>
      <c r="Q32" s="33" t="s">
        <v>3246</v>
      </c>
    </row>
    <row r="33" spans="1:17" ht="17.100000000000001" customHeight="1">
      <c r="A33" s="22">
        <v>45967</v>
      </c>
      <c r="B33" s="15" t="s">
        <v>261</v>
      </c>
      <c r="C33" s="16" t="s">
        <v>3248</v>
      </c>
      <c r="D33" s="16" t="s">
        <v>3282</v>
      </c>
      <c r="E33" s="16" t="s">
        <v>48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50</v>
      </c>
      <c r="O33" s="16" t="s">
        <v>3284</v>
      </c>
      <c r="P33" s="16" t="s">
        <v>3247</v>
      </c>
      <c r="Q33" s="33" t="s">
        <v>3246</v>
      </c>
    </row>
    <row r="34" spans="1:17" ht="17.100000000000001" customHeight="1">
      <c r="A34" s="22">
        <v>45968</v>
      </c>
      <c r="B34" s="15" t="s">
        <v>261</v>
      </c>
      <c r="C34" s="16" t="s">
        <v>3285</v>
      </c>
      <c r="D34" s="16" t="s">
        <v>3282</v>
      </c>
      <c r="E34" s="16" t="s">
        <v>48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150</v>
      </c>
      <c r="O34" s="16" t="s">
        <v>3284</v>
      </c>
      <c r="P34" s="16" t="s">
        <v>3247</v>
      </c>
      <c r="Q34" s="33" t="s">
        <v>3246</v>
      </c>
    </row>
    <row r="35" spans="1:17" ht="17.100000000000001" customHeight="1">
      <c r="A35" s="22">
        <v>45968</v>
      </c>
      <c r="B35" s="15" t="s">
        <v>261</v>
      </c>
      <c r="C35" s="16" t="s">
        <v>3285</v>
      </c>
      <c r="D35" s="16" t="s">
        <v>3283</v>
      </c>
      <c r="E35" s="16" t="s">
        <v>48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100</v>
      </c>
      <c r="O35" s="16" t="s">
        <v>3284</v>
      </c>
      <c r="P35" s="16" t="s">
        <v>3247</v>
      </c>
      <c r="Q35" s="33" t="s">
        <v>3246</v>
      </c>
    </row>
    <row r="36" spans="1:17" ht="17.100000000000001" customHeight="1">
      <c r="A36" s="22">
        <v>45967</v>
      </c>
      <c r="B36" s="15" t="s">
        <v>214</v>
      </c>
      <c r="C36" s="16" t="s">
        <v>3248</v>
      </c>
      <c r="D36" s="16" t="s">
        <v>48</v>
      </c>
      <c r="E36" s="16" t="s">
        <v>48</v>
      </c>
      <c r="F36" s="16" t="s">
        <v>3286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700</v>
      </c>
      <c r="O36" s="16" t="s">
        <v>3280</v>
      </c>
      <c r="P36" s="16" t="s">
        <v>3279</v>
      </c>
      <c r="Q36" s="33" t="s">
        <v>3278</v>
      </c>
    </row>
    <row r="37" spans="1:17" ht="17.100000000000001" customHeight="1">
      <c r="A37" s="22">
        <v>45968</v>
      </c>
      <c r="B37" s="15" t="s">
        <v>1307</v>
      </c>
      <c r="C37" s="16" t="s">
        <v>3285</v>
      </c>
      <c r="D37" s="16" t="s">
        <v>48</v>
      </c>
      <c r="E37" s="16" t="s">
        <v>48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125</v>
      </c>
      <c r="O37" s="16" t="s">
        <v>3287</v>
      </c>
      <c r="P37" s="16" t="s">
        <v>3257</v>
      </c>
      <c r="Q37" s="33" t="s">
        <v>3256</v>
      </c>
    </row>
    <row r="38" spans="1:17" ht="17.100000000000001" customHeight="1">
      <c r="A38" s="22">
        <v>45967</v>
      </c>
      <c r="B38" s="15" t="s">
        <v>72</v>
      </c>
      <c r="C38" s="16" t="s">
        <v>3248</v>
      </c>
      <c r="D38" s="16" t="s">
        <v>48</v>
      </c>
      <c r="E38" s="16" t="s">
        <v>48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60</v>
      </c>
      <c r="O38" s="16" t="s">
        <v>3288</v>
      </c>
      <c r="P38" s="16" t="s">
        <v>3259</v>
      </c>
      <c r="Q38" s="33" t="s">
        <v>3258</v>
      </c>
    </row>
    <row r="39" spans="1:17" ht="17.100000000000001" customHeight="1">
      <c r="A39" s="22">
        <v>45967</v>
      </c>
      <c r="B39" s="15" t="s">
        <v>1314</v>
      </c>
      <c r="C39" s="16" t="s">
        <v>3248</v>
      </c>
      <c r="D39" s="16" t="s">
        <v>48</v>
      </c>
      <c r="E39" s="16" t="s">
        <v>48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150</v>
      </c>
      <c r="O39" s="16" t="s">
        <v>3288</v>
      </c>
      <c r="P39" s="16" t="s">
        <v>3260</v>
      </c>
      <c r="Q39" s="33" t="s">
        <v>3261</v>
      </c>
    </row>
    <row r="40" spans="1:17" ht="17.100000000000001" customHeight="1">
      <c r="A40" s="22">
        <v>45968</v>
      </c>
      <c r="B40" s="15" t="s">
        <v>235</v>
      </c>
      <c r="C40" s="16" t="s">
        <v>3285</v>
      </c>
      <c r="D40" s="16" t="s">
        <v>48</v>
      </c>
      <c r="E40" s="16" t="s">
        <v>48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3289</v>
      </c>
      <c r="N40" s="16">
        <v>40</v>
      </c>
      <c r="O40" s="16" t="s">
        <v>2220</v>
      </c>
      <c r="P40" s="16" t="s">
        <v>3262</v>
      </c>
      <c r="Q40" s="33" t="s">
        <v>3264</v>
      </c>
    </row>
    <row r="41" spans="1:17" ht="17.100000000000001" customHeight="1">
      <c r="A41" s="22">
        <v>45968</v>
      </c>
      <c r="B41" s="15" t="s">
        <v>31</v>
      </c>
      <c r="C41" s="16" t="s">
        <v>3285</v>
      </c>
      <c r="D41" s="16" t="s">
        <v>48</v>
      </c>
      <c r="E41" s="16" t="s">
        <v>48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200</v>
      </c>
      <c r="O41" s="16" t="s">
        <v>55</v>
      </c>
      <c r="P41" s="16" t="s">
        <v>3263</v>
      </c>
      <c r="Q41" s="33" t="s">
        <v>3265</v>
      </c>
    </row>
    <row r="42" spans="1:17" ht="17.100000000000001" customHeight="1">
      <c r="A42" s="22">
        <v>45968</v>
      </c>
      <c r="B42" s="15" t="s">
        <v>108</v>
      </c>
      <c r="C42" s="16" t="s">
        <v>3285</v>
      </c>
      <c r="D42" s="16" t="s">
        <v>48</v>
      </c>
      <c r="E42" s="16" t="s">
        <v>48</v>
      </c>
      <c r="F42" s="16" t="s">
        <v>3291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40</v>
      </c>
      <c r="O42" s="16" t="s">
        <v>3284</v>
      </c>
      <c r="P42" s="16" t="s">
        <v>3266</v>
      </c>
      <c r="Q42" s="33" t="s">
        <v>3268</v>
      </c>
    </row>
    <row r="43" spans="1:17" ht="17.100000000000001" customHeight="1">
      <c r="A43" s="22">
        <v>45968</v>
      </c>
      <c r="B43" s="15" t="s">
        <v>37</v>
      </c>
      <c r="C43" s="16" t="s">
        <v>3285</v>
      </c>
      <c r="D43" s="16" t="s">
        <v>48</v>
      </c>
      <c r="E43" s="16" t="s">
        <v>48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3290</v>
      </c>
      <c r="N43" s="16">
        <v>40</v>
      </c>
      <c r="O43" s="16" t="s">
        <v>3284</v>
      </c>
      <c r="P43" s="16" t="s">
        <v>3267</v>
      </c>
      <c r="Q43" s="33" t="s">
        <v>3269</v>
      </c>
    </row>
    <row r="44" spans="1:17" ht="17.100000000000001" customHeight="1">
      <c r="A44" s="22">
        <v>45968</v>
      </c>
      <c r="B44" s="15" t="s">
        <v>1407</v>
      </c>
      <c r="C44" s="16" t="s">
        <v>3285</v>
      </c>
      <c r="D44" s="16" t="s">
        <v>48</v>
      </c>
      <c r="E44" s="16" t="s">
        <v>48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40</v>
      </c>
      <c r="O44" s="16" t="s">
        <v>3284</v>
      </c>
      <c r="P44" s="16" t="s">
        <v>3270</v>
      </c>
      <c r="Q44" s="33" t="s">
        <v>3271</v>
      </c>
    </row>
    <row r="45" spans="1:17" ht="17.100000000000001" customHeight="1">
      <c r="A45" s="22">
        <v>45971</v>
      </c>
      <c r="B45" s="15" t="s">
        <v>239</v>
      </c>
      <c r="C45" s="16" t="s">
        <v>3285</v>
      </c>
      <c r="D45" s="16" t="s">
        <v>48</v>
      </c>
      <c r="E45" s="16" t="s">
        <v>48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3294</v>
      </c>
      <c r="N45" s="16">
        <v>10</v>
      </c>
      <c r="O45" s="16" t="s">
        <v>2697</v>
      </c>
      <c r="P45" s="16" t="s">
        <v>3272</v>
      </c>
      <c r="Q45" s="33" t="s">
        <v>3273</v>
      </c>
    </row>
    <row r="46" spans="1:17" ht="17.100000000000001" customHeight="1">
      <c r="A46" s="22">
        <v>45968</v>
      </c>
      <c r="B46" s="15" t="s">
        <v>38</v>
      </c>
      <c r="C46" s="16" t="s">
        <v>3285</v>
      </c>
      <c r="D46" s="16" t="s">
        <v>48</v>
      </c>
      <c r="E46" s="16" t="s">
        <v>48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200</v>
      </c>
      <c r="O46" s="16" t="s">
        <v>2220</v>
      </c>
      <c r="P46" s="16" t="s">
        <v>3276</v>
      </c>
      <c r="Q46" s="33" t="s">
        <v>3277</v>
      </c>
    </row>
    <row r="47" spans="1:17" ht="17.100000000000001" customHeight="1">
      <c r="A47" s="22">
        <v>45968</v>
      </c>
      <c r="B47" s="15" t="s">
        <v>1326</v>
      </c>
      <c r="C47" s="16" t="s">
        <v>3285</v>
      </c>
      <c r="D47" s="16" t="s">
        <v>48</v>
      </c>
      <c r="E47" s="16" t="s">
        <v>48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400</v>
      </c>
      <c r="O47" s="16" t="s">
        <v>2220</v>
      </c>
      <c r="P47" s="16" t="s">
        <v>3275</v>
      </c>
      <c r="Q47" s="33" t="s">
        <v>3274</v>
      </c>
    </row>
    <row r="48" spans="1:17" ht="17.100000000000001" customHeight="1">
      <c r="A48" s="22">
        <v>45971</v>
      </c>
      <c r="B48" s="15" t="s">
        <v>440</v>
      </c>
      <c r="C48" s="16" t="s">
        <v>3292</v>
      </c>
      <c r="D48" s="16" t="s">
        <v>3293</v>
      </c>
      <c r="E48" s="16" t="s">
        <v>3249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f>230/2</f>
        <v>115</v>
      </c>
      <c r="O48" s="16" t="s">
        <v>3296</v>
      </c>
      <c r="P48" s="16" t="s">
        <v>3272</v>
      </c>
      <c r="Q48" s="33" t="s">
        <v>3273</v>
      </c>
    </row>
    <row r="49" spans="1:17" ht="17.100000000000001" customHeight="1">
      <c r="A49" s="22">
        <v>45971</v>
      </c>
      <c r="B49" s="15" t="s">
        <v>440</v>
      </c>
      <c r="C49" s="16" t="s">
        <v>3292</v>
      </c>
      <c r="D49" s="16" t="s">
        <v>3293</v>
      </c>
      <c r="E49" s="16" t="s">
        <v>3294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f>450/2</f>
        <v>225</v>
      </c>
      <c r="O49" s="16" t="s">
        <v>3296</v>
      </c>
      <c r="P49" s="16" t="s">
        <v>3272</v>
      </c>
      <c r="Q49" s="33" t="s">
        <v>3273</v>
      </c>
    </row>
    <row r="50" spans="1:17" ht="17.100000000000001" customHeight="1">
      <c r="A50" s="22">
        <v>45971</v>
      </c>
      <c r="B50" s="15" t="s">
        <v>440</v>
      </c>
      <c r="C50" s="16" t="s">
        <v>3292</v>
      </c>
      <c r="D50" s="16" t="s">
        <v>3293</v>
      </c>
      <c r="E50" s="16" t="s">
        <v>3295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f>320/2</f>
        <v>160</v>
      </c>
      <c r="O50" s="16" t="s">
        <v>3296</v>
      </c>
      <c r="P50" s="16" t="s">
        <v>3272</v>
      </c>
      <c r="Q50" s="33" t="s">
        <v>3273</v>
      </c>
    </row>
    <row r="51" spans="1:17" ht="17.100000000000001" customHeight="1">
      <c r="A51" s="22">
        <v>45971</v>
      </c>
      <c r="B51" s="15" t="s">
        <v>3297</v>
      </c>
      <c r="C51" s="16" t="s">
        <v>3292</v>
      </c>
      <c r="D51" s="16" t="s">
        <v>3298</v>
      </c>
      <c r="E51" s="16" t="s">
        <v>3299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25</v>
      </c>
      <c r="O51" s="16" t="s">
        <v>3300</v>
      </c>
      <c r="P51" s="16" t="s">
        <v>3302</v>
      </c>
      <c r="Q51" s="33" t="s">
        <v>3301</v>
      </c>
    </row>
    <row r="52" spans="1:17" ht="17.100000000000001" customHeight="1">
      <c r="A52" s="22">
        <v>45972</v>
      </c>
      <c r="B52" s="15" t="s">
        <v>174</v>
      </c>
      <c r="C52" s="16" t="s">
        <v>3303</v>
      </c>
      <c r="D52" s="16" t="s">
        <v>3306</v>
      </c>
      <c r="E52" s="16" t="s">
        <v>3304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54</v>
      </c>
      <c r="O52" s="16" t="s">
        <v>3318</v>
      </c>
      <c r="P52" s="16" t="s">
        <v>3339</v>
      </c>
      <c r="Q52" s="33" t="s">
        <v>3366</v>
      </c>
    </row>
    <row r="53" spans="1:17" ht="17.100000000000001" customHeight="1">
      <c r="A53" s="22">
        <v>45972</v>
      </c>
      <c r="B53" s="15" t="s">
        <v>174</v>
      </c>
      <c r="C53" s="16" t="s">
        <v>3303</v>
      </c>
      <c r="D53" s="16" t="s">
        <v>3306</v>
      </c>
      <c r="E53" s="16" t="s">
        <v>3305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54</v>
      </c>
      <c r="O53" s="16" t="s">
        <v>3318</v>
      </c>
      <c r="P53" s="16" t="s">
        <v>3339</v>
      </c>
      <c r="Q53" s="33" t="s">
        <v>3366</v>
      </c>
    </row>
    <row r="54" spans="1:17" ht="17.100000000000001" customHeight="1">
      <c r="A54" s="22">
        <v>45972</v>
      </c>
      <c r="B54" s="15" t="s">
        <v>174</v>
      </c>
      <c r="C54" s="16" t="s">
        <v>3303</v>
      </c>
      <c r="D54" s="16" t="s">
        <v>3309</v>
      </c>
      <c r="E54" s="16" t="s">
        <v>3307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54</v>
      </c>
      <c r="O54" s="16" t="s">
        <v>3318</v>
      </c>
      <c r="P54" s="16" t="s">
        <v>3339</v>
      </c>
      <c r="Q54" s="33" t="s">
        <v>3366</v>
      </c>
    </row>
    <row r="55" spans="1:17" ht="17.100000000000001" customHeight="1">
      <c r="A55" s="22">
        <v>45972</v>
      </c>
      <c r="B55" s="15" t="s">
        <v>174</v>
      </c>
      <c r="C55" s="16" t="s">
        <v>3303</v>
      </c>
      <c r="D55" s="16" t="s">
        <v>3309</v>
      </c>
      <c r="E55" s="16" t="s">
        <v>3308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54</v>
      </c>
      <c r="O55" s="16" t="s">
        <v>3318</v>
      </c>
      <c r="P55" s="16" t="s">
        <v>3339</v>
      </c>
      <c r="Q55" s="33" t="s">
        <v>3366</v>
      </c>
    </row>
    <row r="56" spans="1:17" ht="17.100000000000001" customHeight="1">
      <c r="A56" s="22">
        <v>45972</v>
      </c>
      <c r="B56" s="15" t="s">
        <v>174</v>
      </c>
      <c r="C56" s="16" t="s">
        <v>3303</v>
      </c>
      <c r="D56" s="16" t="s">
        <v>3309</v>
      </c>
      <c r="E56" s="16" t="s">
        <v>3310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f>9+22</f>
        <v>31</v>
      </c>
      <c r="O56" s="16" t="s">
        <v>3318</v>
      </c>
      <c r="P56" s="16" t="s">
        <v>3339</v>
      </c>
      <c r="Q56" s="33" t="s">
        <v>3366</v>
      </c>
    </row>
    <row r="57" spans="1:17" ht="17.100000000000001" customHeight="1">
      <c r="A57" s="22">
        <v>45972</v>
      </c>
      <c r="B57" s="15" t="s">
        <v>174</v>
      </c>
      <c r="C57" s="16" t="s">
        <v>3303</v>
      </c>
      <c r="D57" s="16" t="s">
        <v>3309</v>
      </c>
      <c r="E57" s="16" t="s">
        <v>3311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54</v>
      </c>
      <c r="O57" s="16" t="s">
        <v>3318</v>
      </c>
      <c r="P57" s="16" t="s">
        <v>3339</v>
      </c>
      <c r="Q57" s="33" t="s">
        <v>3366</v>
      </c>
    </row>
    <row r="58" spans="1:17" ht="17.100000000000001" customHeight="1">
      <c r="A58" s="22">
        <v>45972</v>
      </c>
      <c r="B58" s="15" t="s">
        <v>174</v>
      </c>
      <c r="C58" s="16" t="s">
        <v>3303</v>
      </c>
      <c r="D58" s="16" t="s">
        <v>3306</v>
      </c>
      <c r="E58" s="16" t="s">
        <v>3312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54</v>
      </c>
      <c r="O58" s="16" t="s">
        <v>3318</v>
      </c>
      <c r="P58" s="16" t="s">
        <v>3339</v>
      </c>
      <c r="Q58" s="33" t="s">
        <v>3366</v>
      </c>
    </row>
    <row r="59" spans="1:17" ht="17.100000000000001" customHeight="1">
      <c r="A59" s="22">
        <v>45972</v>
      </c>
      <c r="B59" s="15" t="s">
        <v>174</v>
      </c>
      <c r="C59" s="16" t="s">
        <v>3303</v>
      </c>
      <c r="D59" s="16" t="s">
        <v>3306</v>
      </c>
      <c r="E59" s="16" t="s">
        <v>3313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54</v>
      </c>
      <c r="O59" s="16" t="s">
        <v>3318</v>
      </c>
      <c r="P59" s="16" t="s">
        <v>3339</v>
      </c>
      <c r="Q59" s="33" t="s">
        <v>3366</v>
      </c>
    </row>
    <row r="60" spans="1:17" ht="17.100000000000001" customHeight="1">
      <c r="A60" s="22">
        <v>45972</v>
      </c>
      <c r="B60" s="15" t="s">
        <v>174</v>
      </c>
      <c r="C60" s="16" t="s">
        <v>3303</v>
      </c>
      <c r="D60" s="16" t="s">
        <v>3306</v>
      </c>
      <c r="E60" s="16" t="s">
        <v>3314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54</v>
      </c>
      <c r="O60" s="16" t="s">
        <v>3318</v>
      </c>
      <c r="P60" s="16" t="s">
        <v>3339</v>
      </c>
      <c r="Q60" s="33" t="s">
        <v>3366</v>
      </c>
    </row>
    <row r="61" spans="1:17" ht="17.100000000000001" customHeight="1">
      <c r="A61" s="22">
        <v>45972</v>
      </c>
      <c r="B61" s="15" t="s">
        <v>174</v>
      </c>
      <c r="C61" s="16" t="s">
        <v>3303</v>
      </c>
      <c r="D61" s="16" t="s">
        <v>3255</v>
      </c>
      <c r="E61" s="16" t="s">
        <v>3315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54</v>
      </c>
      <c r="O61" s="16" t="s">
        <v>3318</v>
      </c>
      <c r="P61" s="16" t="s">
        <v>3339</v>
      </c>
      <c r="Q61" s="33" t="s">
        <v>3366</v>
      </c>
    </row>
    <row r="62" spans="1:17" ht="17.100000000000001" customHeight="1">
      <c r="A62" s="22">
        <v>45972</v>
      </c>
      <c r="B62" s="15" t="s">
        <v>174</v>
      </c>
      <c r="C62" s="16" t="s">
        <v>3303</v>
      </c>
      <c r="D62" s="16" t="s">
        <v>3255</v>
      </c>
      <c r="E62" s="16" t="s">
        <v>3316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54</v>
      </c>
      <c r="O62" s="16" t="s">
        <v>3318</v>
      </c>
      <c r="P62" s="16" t="s">
        <v>3339</v>
      </c>
      <c r="Q62" s="33" t="s">
        <v>3366</v>
      </c>
    </row>
    <row r="63" spans="1:17" ht="17.100000000000001" customHeight="1">
      <c r="A63" s="22">
        <v>45972</v>
      </c>
      <c r="B63" s="15" t="s">
        <v>174</v>
      </c>
      <c r="C63" s="16" t="s">
        <v>3303</v>
      </c>
      <c r="D63" s="16" t="s">
        <v>3255</v>
      </c>
      <c r="E63" s="16" t="s">
        <v>3317</v>
      </c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54</v>
      </c>
      <c r="O63" s="16" t="s">
        <v>3318</v>
      </c>
      <c r="P63" s="16" t="s">
        <v>3339</v>
      </c>
      <c r="Q63" s="33" t="s">
        <v>3366</v>
      </c>
    </row>
    <row r="64" spans="1:17" ht="17.100000000000001" customHeight="1">
      <c r="A64" s="22">
        <v>45973</v>
      </c>
      <c r="B64" s="15" t="s">
        <v>174</v>
      </c>
      <c r="C64" s="16" t="s">
        <v>3319</v>
      </c>
      <c r="D64" s="16" t="s">
        <v>3323</v>
      </c>
      <c r="E64" s="16" t="s">
        <v>3320</v>
      </c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54</v>
      </c>
      <c r="O64" s="16" t="s">
        <v>3322</v>
      </c>
      <c r="P64" s="16" t="s">
        <v>3339</v>
      </c>
      <c r="Q64" s="33" t="s">
        <v>3366</v>
      </c>
    </row>
    <row r="65" spans="1:17" ht="17.100000000000001" customHeight="1">
      <c r="A65" s="22">
        <v>45973</v>
      </c>
      <c r="B65" s="15" t="s">
        <v>174</v>
      </c>
      <c r="C65" s="16" t="s">
        <v>3319</v>
      </c>
      <c r="D65" s="16" t="s">
        <v>3323</v>
      </c>
      <c r="E65" s="16" t="s">
        <v>3321</v>
      </c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v>54</v>
      </c>
      <c r="O65" s="16" t="s">
        <v>3322</v>
      </c>
      <c r="P65" s="16" t="s">
        <v>3339</v>
      </c>
      <c r="Q65" s="33" t="s">
        <v>3366</v>
      </c>
    </row>
    <row r="66" spans="1:17" ht="17.100000000000001" customHeight="1">
      <c r="A66" s="22">
        <v>45973</v>
      </c>
      <c r="B66" s="15" t="s">
        <v>174</v>
      </c>
      <c r="C66" s="16" t="s">
        <v>3319</v>
      </c>
      <c r="D66" s="16" t="s">
        <v>3323</v>
      </c>
      <c r="E66" s="16" t="s">
        <v>3324</v>
      </c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54</v>
      </c>
      <c r="O66" s="16" t="s">
        <v>3322</v>
      </c>
      <c r="P66" s="16" t="s">
        <v>3339</v>
      </c>
      <c r="Q66" s="33" t="s">
        <v>3366</v>
      </c>
    </row>
    <row r="67" spans="1:17" ht="17.100000000000001" customHeight="1">
      <c r="A67" s="22">
        <v>45973</v>
      </c>
      <c r="B67" s="15" t="s">
        <v>174</v>
      </c>
      <c r="C67" s="16" t="s">
        <v>3319</v>
      </c>
      <c r="D67" s="16" t="s">
        <v>3255</v>
      </c>
      <c r="E67" s="16" t="s">
        <v>3325</v>
      </c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54</v>
      </c>
      <c r="O67" s="16" t="s">
        <v>3322</v>
      </c>
      <c r="P67" s="16" t="s">
        <v>3339</v>
      </c>
      <c r="Q67" s="33" t="s">
        <v>3366</v>
      </c>
    </row>
    <row r="68" spans="1:17" ht="17.100000000000001" customHeight="1">
      <c r="A68" s="22">
        <v>45973</v>
      </c>
      <c r="B68" s="15" t="s">
        <v>174</v>
      </c>
      <c r="C68" s="16" t="s">
        <v>3319</v>
      </c>
      <c r="D68" s="16" t="s">
        <v>3255</v>
      </c>
      <c r="E68" s="16" t="s">
        <v>3326</v>
      </c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8</v>
      </c>
      <c r="O68" s="16" t="s">
        <v>3322</v>
      </c>
      <c r="P68" s="16" t="s">
        <v>3339</v>
      </c>
      <c r="Q68" s="33" t="s">
        <v>3366</v>
      </c>
    </row>
    <row r="69" spans="1:17" ht="17.100000000000001" customHeight="1">
      <c r="A69" s="22">
        <v>45973</v>
      </c>
      <c r="B69" s="15" t="s">
        <v>174</v>
      </c>
      <c r="C69" s="16" t="s">
        <v>3319</v>
      </c>
      <c r="D69" s="16" t="s">
        <v>3255</v>
      </c>
      <c r="E69" s="16" t="s">
        <v>3327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54</v>
      </c>
      <c r="O69" s="16" t="s">
        <v>3322</v>
      </c>
      <c r="P69" s="16" t="s">
        <v>3339</v>
      </c>
      <c r="Q69" s="33" t="s">
        <v>3366</v>
      </c>
    </row>
    <row r="70" spans="1:17" ht="17.100000000000001" customHeight="1">
      <c r="A70" s="22">
        <v>45973</v>
      </c>
      <c r="B70" s="15" t="s">
        <v>174</v>
      </c>
      <c r="C70" s="16" t="s">
        <v>3319</v>
      </c>
      <c r="D70" s="16" t="s">
        <v>3255</v>
      </c>
      <c r="E70" s="16" t="s">
        <v>3327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37</v>
      </c>
      <c r="O70" s="16" t="s">
        <v>3322</v>
      </c>
      <c r="P70" s="16" t="s">
        <v>3339</v>
      </c>
      <c r="Q70" s="33" t="s">
        <v>3366</v>
      </c>
    </row>
    <row r="71" spans="1:17" ht="17.100000000000001" customHeight="1">
      <c r="A71" s="22">
        <v>45973</v>
      </c>
      <c r="B71" s="15" t="s">
        <v>174</v>
      </c>
      <c r="C71" s="16" t="s">
        <v>3319</v>
      </c>
      <c r="D71" s="16" t="s">
        <v>3255</v>
      </c>
      <c r="E71" s="16" t="s">
        <v>3325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27</v>
      </c>
      <c r="O71" s="16" t="s">
        <v>3322</v>
      </c>
      <c r="P71" s="16" t="s">
        <v>3339</v>
      </c>
      <c r="Q71" s="33" t="s">
        <v>3366</v>
      </c>
    </row>
    <row r="72" spans="1:17" ht="17.100000000000001" customHeight="1">
      <c r="A72" s="22">
        <v>45973</v>
      </c>
      <c r="B72" s="15" t="s">
        <v>174</v>
      </c>
      <c r="C72" s="16" t="s">
        <v>3319</v>
      </c>
      <c r="D72" s="16" t="s">
        <v>3255</v>
      </c>
      <c r="E72" s="16" t="s">
        <v>3328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f>27+6</f>
        <v>33</v>
      </c>
      <c r="O72" s="16" t="s">
        <v>3322</v>
      </c>
      <c r="P72" s="16" t="s">
        <v>3339</v>
      </c>
      <c r="Q72" s="33" t="s">
        <v>3366</v>
      </c>
    </row>
    <row r="73" spans="1:17" ht="17.100000000000001" customHeight="1">
      <c r="A73" s="22">
        <v>45973</v>
      </c>
      <c r="B73" s="15" t="s">
        <v>174</v>
      </c>
      <c r="C73" s="16" t="s">
        <v>3319</v>
      </c>
      <c r="D73" s="16" t="s">
        <v>3254</v>
      </c>
      <c r="E73" s="16" t="s">
        <v>3328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22</v>
      </c>
      <c r="O73" s="16" t="s">
        <v>3322</v>
      </c>
      <c r="P73" s="16" t="s">
        <v>3340</v>
      </c>
      <c r="Q73" s="33" t="s">
        <v>3367</v>
      </c>
    </row>
    <row r="74" spans="1:17" ht="17.100000000000001" customHeight="1">
      <c r="A74" s="22">
        <v>45973</v>
      </c>
      <c r="B74" s="15" t="s">
        <v>174</v>
      </c>
      <c r="C74" s="16" t="s">
        <v>3319</v>
      </c>
      <c r="D74" s="16" t="s">
        <v>3254</v>
      </c>
      <c r="E74" s="16" t="s">
        <v>3329</v>
      </c>
      <c r="F74" s="16" t="s">
        <v>48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27</v>
      </c>
      <c r="O74" s="16" t="s">
        <v>3322</v>
      </c>
      <c r="P74" s="16" t="s">
        <v>3340</v>
      </c>
      <c r="Q74" s="33" t="s">
        <v>3367</v>
      </c>
    </row>
    <row r="75" spans="1:17" ht="17.100000000000001" customHeight="1">
      <c r="A75" s="22">
        <v>45973</v>
      </c>
      <c r="B75" s="15" t="s">
        <v>174</v>
      </c>
      <c r="C75" s="16" t="s">
        <v>3319</v>
      </c>
      <c r="D75" s="16" t="s">
        <v>3254</v>
      </c>
      <c r="E75" s="16" t="s">
        <v>3326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27</v>
      </c>
      <c r="O75" s="16" t="s">
        <v>3322</v>
      </c>
      <c r="P75" s="16" t="s">
        <v>3340</v>
      </c>
      <c r="Q75" s="33" t="s">
        <v>3367</v>
      </c>
    </row>
    <row r="76" spans="1:17" ht="17.100000000000001" customHeight="1">
      <c r="A76" s="22">
        <v>45973</v>
      </c>
      <c r="B76" s="15" t="s">
        <v>174</v>
      </c>
      <c r="C76" s="16" t="s">
        <v>3319</v>
      </c>
      <c r="D76" s="16" t="s">
        <v>3254</v>
      </c>
      <c r="E76" s="16" t="s">
        <v>3330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27</v>
      </c>
      <c r="O76" s="16" t="s">
        <v>3322</v>
      </c>
      <c r="P76" s="16" t="s">
        <v>3340</v>
      </c>
      <c r="Q76" s="33" t="s">
        <v>3367</v>
      </c>
    </row>
    <row r="77" spans="1:17" ht="17.100000000000001" customHeight="1">
      <c r="A77" s="22">
        <v>45973</v>
      </c>
      <c r="B77" s="15" t="s">
        <v>174</v>
      </c>
      <c r="C77" s="16" t="s">
        <v>3319</v>
      </c>
      <c r="D77" s="16" t="s">
        <v>3255</v>
      </c>
      <c r="E77" s="16" t="s">
        <v>3329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27</v>
      </c>
      <c r="O77" s="16" t="s">
        <v>3322</v>
      </c>
      <c r="P77" s="16" t="s">
        <v>3340</v>
      </c>
      <c r="Q77" s="33" t="s">
        <v>3367</v>
      </c>
    </row>
    <row r="78" spans="1:17" ht="17.100000000000001" customHeight="1">
      <c r="A78" s="22">
        <v>45973</v>
      </c>
      <c r="B78" s="15" t="s">
        <v>174</v>
      </c>
      <c r="C78" s="16" t="s">
        <v>3319</v>
      </c>
      <c r="D78" s="16" t="s">
        <v>3255</v>
      </c>
      <c r="E78" s="16" t="s">
        <v>3331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54</v>
      </c>
      <c r="O78" s="16" t="s">
        <v>3322</v>
      </c>
      <c r="P78" s="16" t="s">
        <v>3340</v>
      </c>
      <c r="Q78" s="33" t="s">
        <v>3367</v>
      </c>
    </row>
    <row r="79" spans="1:17" ht="17.100000000000001" customHeight="1">
      <c r="A79" s="22">
        <v>45973</v>
      </c>
      <c r="B79" s="15" t="s">
        <v>174</v>
      </c>
      <c r="C79" s="16" t="s">
        <v>3319</v>
      </c>
      <c r="D79" s="16" t="s">
        <v>3255</v>
      </c>
      <c r="E79" s="16" t="s">
        <v>3330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27</v>
      </c>
      <c r="O79" s="16" t="s">
        <v>3322</v>
      </c>
      <c r="P79" s="16" t="s">
        <v>3340</v>
      </c>
      <c r="Q79" s="33" t="s">
        <v>3367</v>
      </c>
    </row>
    <row r="80" spans="1:17" ht="17.100000000000001" customHeight="1">
      <c r="A80" s="22">
        <v>45973</v>
      </c>
      <c r="B80" s="15" t="s">
        <v>174</v>
      </c>
      <c r="C80" s="16" t="s">
        <v>3319</v>
      </c>
      <c r="D80" s="16" t="s">
        <v>3334</v>
      </c>
      <c r="E80" s="16" t="s">
        <v>3332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54</v>
      </c>
      <c r="O80" s="16" t="s">
        <v>3322</v>
      </c>
      <c r="P80" s="16" t="s">
        <v>3340</v>
      </c>
      <c r="Q80" s="33" t="s">
        <v>3367</v>
      </c>
    </row>
    <row r="81" spans="1:17" ht="17.100000000000001" customHeight="1">
      <c r="A81" s="22">
        <v>45973</v>
      </c>
      <c r="B81" s="15" t="s">
        <v>174</v>
      </c>
      <c r="C81" s="16" t="s">
        <v>3319</v>
      </c>
      <c r="D81" s="16" t="s">
        <v>3334</v>
      </c>
      <c r="E81" s="16" t="s">
        <v>3333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54</v>
      </c>
      <c r="O81" s="16" t="s">
        <v>3322</v>
      </c>
      <c r="P81" s="16" t="s">
        <v>3340</v>
      </c>
      <c r="Q81" s="33" t="s">
        <v>3367</v>
      </c>
    </row>
    <row r="82" spans="1:17" ht="17.100000000000001" customHeight="1">
      <c r="A82" s="22">
        <v>45973</v>
      </c>
      <c r="B82" s="15" t="s">
        <v>174</v>
      </c>
      <c r="C82" s="16" t="s">
        <v>3319</v>
      </c>
      <c r="D82" s="16" t="s">
        <v>3334</v>
      </c>
      <c r="E82" s="16" t="s">
        <v>3335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27</v>
      </c>
      <c r="O82" s="16" t="s">
        <v>3322</v>
      </c>
      <c r="P82" s="16" t="s">
        <v>3340</v>
      </c>
      <c r="Q82" s="33" t="s">
        <v>3367</v>
      </c>
    </row>
    <row r="83" spans="1:17" ht="17.100000000000001" customHeight="1">
      <c r="A83" s="22">
        <v>45973</v>
      </c>
      <c r="B83" s="15" t="s">
        <v>174</v>
      </c>
      <c r="C83" s="16" t="s">
        <v>3319</v>
      </c>
      <c r="D83" s="16" t="s">
        <v>3334</v>
      </c>
      <c r="E83" s="16" t="s">
        <v>3336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54</v>
      </c>
      <c r="O83" s="16" t="s">
        <v>3322</v>
      </c>
      <c r="P83" s="16" t="s">
        <v>3340</v>
      </c>
      <c r="Q83" s="33" t="s">
        <v>3367</v>
      </c>
    </row>
    <row r="84" spans="1:17" ht="17.100000000000001" customHeight="1">
      <c r="A84" s="22">
        <v>45973</v>
      </c>
      <c r="B84" s="15" t="s">
        <v>174</v>
      </c>
      <c r="C84" s="16" t="s">
        <v>3319</v>
      </c>
      <c r="D84" s="16" t="s">
        <v>3334</v>
      </c>
      <c r="E84" s="16" t="s">
        <v>3335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v>27</v>
      </c>
      <c r="O84" s="16" t="s">
        <v>3322</v>
      </c>
      <c r="P84" s="16" t="s">
        <v>3340</v>
      </c>
      <c r="Q84" s="33" t="s">
        <v>3367</v>
      </c>
    </row>
    <row r="85" spans="1:17" ht="17.100000000000001" customHeight="1">
      <c r="A85" s="22">
        <v>45973</v>
      </c>
      <c r="B85" s="15" t="s">
        <v>174</v>
      </c>
      <c r="C85" s="16" t="s">
        <v>3319</v>
      </c>
      <c r="D85" s="16" t="s">
        <v>3334</v>
      </c>
      <c r="E85" s="16" t="s">
        <v>3337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f>94/2</f>
        <v>47</v>
      </c>
      <c r="O85" s="16" t="s">
        <v>3322</v>
      </c>
      <c r="P85" s="16" t="s">
        <v>3340</v>
      </c>
      <c r="Q85" s="33" t="s">
        <v>3367</v>
      </c>
    </row>
    <row r="86" spans="1:17" ht="17.100000000000001" customHeight="1">
      <c r="A86" s="22">
        <v>45973</v>
      </c>
      <c r="B86" s="15" t="s">
        <v>174</v>
      </c>
      <c r="C86" s="16" t="s">
        <v>3319</v>
      </c>
      <c r="D86" s="16" t="s">
        <v>3334</v>
      </c>
      <c r="E86" s="16" t="s">
        <v>3338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26</v>
      </c>
      <c r="O86" s="16" t="s">
        <v>3322</v>
      </c>
      <c r="P86" s="16" t="s">
        <v>3340</v>
      </c>
      <c r="Q86" s="33" t="s">
        <v>3367</v>
      </c>
    </row>
    <row r="87" spans="1:17" ht="17.100000000000001" customHeight="1">
      <c r="A87" s="22">
        <v>45974</v>
      </c>
      <c r="B87" s="15" t="s">
        <v>174</v>
      </c>
      <c r="C87" s="16" t="s">
        <v>3341</v>
      </c>
      <c r="D87" s="16" t="s">
        <v>3334</v>
      </c>
      <c r="E87" s="16" t="s">
        <v>3337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f>27+14</f>
        <v>41</v>
      </c>
      <c r="O87" s="16" t="s">
        <v>3342</v>
      </c>
      <c r="P87" s="16" t="s">
        <v>3340</v>
      </c>
      <c r="Q87" s="33" t="s">
        <v>3367</v>
      </c>
    </row>
    <row r="88" spans="1:17" ht="17.100000000000001" customHeight="1">
      <c r="A88" s="22">
        <v>45974</v>
      </c>
      <c r="B88" s="15" t="s">
        <v>174</v>
      </c>
      <c r="C88" s="16" t="s">
        <v>3341</v>
      </c>
      <c r="D88" s="16" t="s">
        <v>3334</v>
      </c>
      <c r="E88" s="16" t="s">
        <v>3343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27</v>
      </c>
      <c r="O88" s="16" t="s">
        <v>3342</v>
      </c>
      <c r="P88" s="16" t="s">
        <v>3340</v>
      </c>
      <c r="Q88" s="33" t="s">
        <v>3367</v>
      </c>
    </row>
    <row r="89" spans="1:17" ht="17.100000000000001" customHeight="1">
      <c r="A89" s="22">
        <v>45974</v>
      </c>
      <c r="B89" s="15" t="s">
        <v>174</v>
      </c>
      <c r="C89" s="16" t="s">
        <v>3341</v>
      </c>
      <c r="D89" s="16" t="s">
        <v>3346</v>
      </c>
      <c r="E89" s="16" t="s">
        <v>3344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54</v>
      </c>
      <c r="O89" s="16" t="s">
        <v>3342</v>
      </c>
      <c r="P89" s="16" t="s">
        <v>3340</v>
      </c>
      <c r="Q89" s="33" t="s">
        <v>3367</v>
      </c>
    </row>
    <row r="90" spans="1:17" ht="17.100000000000001" customHeight="1">
      <c r="A90" s="22">
        <v>45974</v>
      </c>
      <c r="B90" s="15" t="s">
        <v>174</v>
      </c>
      <c r="C90" s="16" t="s">
        <v>3341</v>
      </c>
      <c r="D90" s="16" t="s">
        <v>3346</v>
      </c>
      <c r="E90" s="16" t="s">
        <v>3345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v>54</v>
      </c>
      <c r="O90" s="16" t="s">
        <v>3342</v>
      </c>
      <c r="P90" s="16" t="s">
        <v>3340</v>
      </c>
      <c r="Q90" s="33" t="s">
        <v>3367</v>
      </c>
    </row>
    <row r="91" spans="1:17" ht="17.100000000000001" customHeight="1">
      <c r="A91" s="22">
        <v>45974</v>
      </c>
      <c r="B91" s="15" t="s">
        <v>174</v>
      </c>
      <c r="C91" s="16" t="s">
        <v>3341</v>
      </c>
      <c r="D91" s="16" t="s">
        <v>3346</v>
      </c>
      <c r="E91" s="16" t="s">
        <v>3347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54</v>
      </c>
      <c r="O91" s="16" t="s">
        <v>3342</v>
      </c>
      <c r="P91" s="16" t="s">
        <v>3340</v>
      </c>
      <c r="Q91" s="33" t="s">
        <v>3367</v>
      </c>
    </row>
    <row r="92" spans="1:17" ht="17.100000000000001" customHeight="1">
      <c r="A92" s="22">
        <v>45974</v>
      </c>
      <c r="B92" s="15" t="s">
        <v>174</v>
      </c>
      <c r="C92" s="16" t="s">
        <v>3341</v>
      </c>
      <c r="D92" s="16" t="s">
        <v>3346</v>
      </c>
      <c r="E92" s="16" t="s">
        <v>3348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54</v>
      </c>
      <c r="O92" s="16" t="s">
        <v>3342</v>
      </c>
      <c r="P92" s="16" t="s">
        <v>3340</v>
      </c>
      <c r="Q92" s="33" t="s">
        <v>3367</v>
      </c>
    </row>
    <row r="93" spans="1:17" ht="17.100000000000001" customHeight="1">
      <c r="A93" s="22">
        <v>45974</v>
      </c>
      <c r="B93" s="15" t="s">
        <v>174</v>
      </c>
      <c r="C93" s="16" t="s">
        <v>3341</v>
      </c>
      <c r="D93" s="16" t="s">
        <v>3346</v>
      </c>
      <c r="E93" s="16" t="s">
        <v>3349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54</v>
      </c>
      <c r="O93" s="16" t="s">
        <v>3342</v>
      </c>
      <c r="P93" s="16" t="s">
        <v>3340</v>
      </c>
      <c r="Q93" s="33" t="s">
        <v>3367</v>
      </c>
    </row>
    <row r="94" spans="1:17" ht="17.100000000000001" customHeight="1">
      <c r="A94" s="22">
        <v>45974</v>
      </c>
      <c r="B94" s="15" t="s">
        <v>174</v>
      </c>
      <c r="C94" s="16" t="s">
        <v>3341</v>
      </c>
      <c r="D94" s="16" t="s">
        <v>3346</v>
      </c>
      <c r="E94" s="16" t="s">
        <v>3350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54</v>
      </c>
      <c r="O94" s="16" t="s">
        <v>3342</v>
      </c>
      <c r="P94" s="16" t="s">
        <v>3340</v>
      </c>
      <c r="Q94" s="33" t="s">
        <v>3367</v>
      </c>
    </row>
    <row r="95" spans="1:17" ht="17.100000000000001" customHeight="1">
      <c r="A95" s="22">
        <v>45974</v>
      </c>
      <c r="B95" s="15" t="s">
        <v>174</v>
      </c>
      <c r="C95" s="16" t="s">
        <v>3341</v>
      </c>
      <c r="D95" s="16" t="s">
        <v>3346</v>
      </c>
      <c r="E95" s="16" t="s">
        <v>3351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54</v>
      </c>
      <c r="O95" s="16" t="s">
        <v>3342</v>
      </c>
      <c r="P95" s="16" t="s">
        <v>3340</v>
      </c>
      <c r="Q95" s="33" t="s">
        <v>3367</v>
      </c>
    </row>
    <row r="96" spans="1:17" ht="17.100000000000001" customHeight="1">
      <c r="A96" s="22">
        <v>45974</v>
      </c>
      <c r="B96" s="15" t="s">
        <v>174</v>
      </c>
      <c r="C96" s="16" t="s">
        <v>3341</v>
      </c>
      <c r="D96" s="16" t="s">
        <v>3346</v>
      </c>
      <c r="E96" s="16" t="s">
        <v>3352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54</v>
      </c>
      <c r="O96" s="16" t="s">
        <v>3342</v>
      </c>
      <c r="P96" s="16" t="s">
        <v>3340</v>
      </c>
      <c r="Q96" s="33" t="s">
        <v>3367</v>
      </c>
    </row>
    <row r="97" spans="1:17" ht="17.100000000000001" customHeight="1">
      <c r="A97" s="22">
        <v>45973</v>
      </c>
      <c r="B97" s="15" t="s">
        <v>953</v>
      </c>
      <c r="C97" s="16" t="s">
        <v>3319</v>
      </c>
      <c r="D97" s="16" t="s">
        <v>48</v>
      </c>
      <c r="E97" s="16" t="s">
        <v>48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100</v>
      </c>
      <c r="O97" s="16" t="s">
        <v>2220</v>
      </c>
      <c r="P97" s="16" t="s">
        <v>3354</v>
      </c>
      <c r="Q97" s="33" t="s">
        <v>3364</v>
      </c>
    </row>
    <row r="98" spans="1:17" ht="17.100000000000001" customHeight="1">
      <c r="A98" s="22">
        <v>45973</v>
      </c>
      <c r="B98" s="15" t="s">
        <v>952</v>
      </c>
      <c r="C98" s="16" t="s">
        <v>3319</v>
      </c>
      <c r="D98" s="16" t="s">
        <v>48</v>
      </c>
      <c r="E98" s="16" t="s">
        <v>48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100</v>
      </c>
      <c r="O98" s="16" t="s">
        <v>2220</v>
      </c>
      <c r="P98" s="16" t="s">
        <v>3355</v>
      </c>
      <c r="Q98" s="33" t="s">
        <v>3365</v>
      </c>
    </row>
    <row r="99" spans="1:17" ht="17.100000000000001" customHeight="1">
      <c r="A99" s="22">
        <v>45974</v>
      </c>
      <c r="B99" s="15" t="s">
        <v>112</v>
      </c>
      <c r="C99" s="16" t="s">
        <v>3341</v>
      </c>
      <c r="D99" s="16" t="s">
        <v>48</v>
      </c>
      <c r="E99" s="16" t="s">
        <v>48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10</v>
      </c>
      <c r="O99" s="16" t="s">
        <v>2220</v>
      </c>
      <c r="P99" s="16" t="s">
        <v>3358</v>
      </c>
      <c r="Q99" s="33" t="s">
        <v>3361</v>
      </c>
    </row>
    <row r="100" spans="1:17" ht="17.100000000000001" customHeight="1">
      <c r="A100" s="22">
        <v>45974</v>
      </c>
      <c r="B100" s="15" t="s">
        <v>1326</v>
      </c>
      <c r="C100" s="16" t="s">
        <v>3341</v>
      </c>
      <c r="D100" s="16" t="s">
        <v>48</v>
      </c>
      <c r="E100" s="16" t="s">
        <v>48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400</v>
      </c>
      <c r="O100" s="16" t="s">
        <v>3356</v>
      </c>
      <c r="P100" s="16" t="s">
        <v>3359</v>
      </c>
      <c r="Q100" s="33" t="s">
        <v>3362</v>
      </c>
    </row>
    <row r="101" spans="1:17" ht="17.100000000000001" customHeight="1">
      <c r="A101" s="22">
        <v>45974</v>
      </c>
      <c r="B101" s="15" t="s">
        <v>421</v>
      </c>
      <c r="C101" s="16" t="s">
        <v>3341</v>
      </c>
      <c r="D101" s="16" t="s">
        <v>48</v>
      </c>
      <c r="E101" s="16" t="s">
        <v>48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100</v>
      </c>
      <c r="O101" s="16" t="s">
        <v>3357</v>
      </c>
      <c r="P101" s="16" t="s">
        <v>3360</v>
      </c>
      <c r="Q101" s="33" t="s">
        <v>3363</v>
      </c>
    </row>
    <row r="102" spans="1:17" ht="17.100000000000001" customHeight="1">
      <c r="A102" s="22">
        <v>45975</v>
      </c>
      <c r="B102" s="15" t="s">
        <v>174</v>
      </c>
      <c r="C102" s="16" t="s">
        <v>3353</v>
      </c>
      <c r="D102" s="16" t="s">
        <v>3372</v>
      </c>
      <c r="E102" s="16" t="s">
        <v>3370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v>38</v>
      </c>
      <c r="O102" s="16" t="s">
        <v>3342</v>
      </c>
      <c r="P102" s="16" t="s">
        <v>3369</v>
      </c>
      <c r="Q102" s="33" t="s">
        <v>3368</v>
      </c>
    </row>
    <row r="103" spans="1:17" ht="17.100000000000001" customHeight="1">
      <c r="A103" s="22">
        <v>45975</v>
      </c>
      <c r="B103" s="15" t="s">
        <v>174</v>
      </c>
      <c r="C103" s="16" t="s">
        <v>3353</v>
      </c>
      <c r="D103" s="16" t="s">
        <v>3372</v>
      </c>
      <c r="E103" s="16" t="s">
        <v>3370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27</v>
      </c>
      <c r="O103" s="16" t="s">
        <v>3342</v>
      </c>
      <c r="P103" s="16" t="s">
        <v>3369</v>
      </c>
      <c r="Q103" s="33" t="s">
        <v>3368</v>
      </c>
    </row>
    <row r="104" spans="1:17" ht="17.100000000000001" customHeight="1">
      <c r="A104" s="22">
        <v>45975</v>
      </c>
      <c r="B104" s="15" t="s">
        <v>174</v>
      </c>
      <c r="C104" s="16" t="s">
        <v>3353</v>
      </c>
      <c r="D104" s="16" t="s">
        <v>3372</v>
      </c>
      <c r="E104" s="16" t="s">
        <v>3371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54</v>
      </c>
      <c r="O104" s="16" t="s">
        <v>3342</v>
      </c>
      <c r="P104" s="16" t="s">
        <v>3369</v>
      </c>
      <c r="Q104" s="33" t="s">
        <v>3368</v>
      </c>
    </row>
    <row r="105" spans="1:17" ht="17.100000000000001" customHeight="1">
      <c r="A105" s="22">
        <v>45975</v>
      </c>
      <c r="B105" s="15" t="s">
        <v>174</v>
      </c>
      <c r="C105" s="16" t="s">
        <v>3353</v>
      </c>
      <c r="D105" s="16" t="s">
        <v>3372</v>
      </c>
      <c r="E105" s="16" t="s">
        <v>3373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54</v>
      </c>
      <c r="O105" s="16" t="s">
        <v>3342</v>
      </c>
      <c r="P105" s="16" t="s">
        <v>3369</v>
      </c>
      <c r="Q105" s="33" t="s">
        <v>3368</v>
      </c>
    </row>
    <row r="106" spans="1:17" ht="17.100000000000001" customHeight="1">
      <c r="A106" s="22">
        <v>45975</v>
      </c>
      <c r="B106" s="15" t="s">
        <v>174</v>
      </c>
      <c r="C106" s="16" t="s">
        <v>3353</v>
      </c>
      <c r="D106" s="16" t="s">
        <v>3372</v>
      </c>
      <c r="E106" s="16" t="s">
        <v>3374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54</v>
      </c>
      <c r="O106" s="16" t="s">
        <v>3342</v>
      </c>
      <c r="P106" s="16" t="s">
        <v>3369</v>
      </c>
      <c r="Q106" s="33" t="s">
        <v>3368</v>
      </c>
    </row>
    <row r="107" spans="1:17" ht="17.100000000000001" customHeight="1">
      <c r="A107" s="22">
        <v>45975</v>
      </c>
      <c r="B107" s="15" t="s">
        <v>174</v>
      </c>
      <c r="C107" s="16" t="s">
        <v>3353</v>
      </c>
      <c r="D107" s="16" t="s">
        <v>3372</v>
      </c>
      <c r="E107" s="16" t="s">
        <v>3375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27</v>
      </c>
      <c r="O107" s="16" t="s">
        <v>3342</v>
      </c>
      <c r="P107" s="16" t="s">
        <v>3369</v>
      </c>
      <c r="Q107" s="33" t="s">
        <v>3368</v>
      </c>
    </row>
    <row r="108" spans="1:17" ht="17.100000000000001" customHeight="1">
      <c r="A108" s="22">
        <v>45975</v>
      </c>
      <c r="B108" s="15" t="s">
        <v>174</v>
      </c>
      <c r="C108" s="16" t="s">
        <v>3353</v>
      </c>
      <c r="D108" s="16" t="s">
        <v>3372</v>
      </c>
      <c r="E108" s="16" t="s">
        <v>3376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27</v>
      </c>
      <c r="O108" s="16" t="s">
        <v>3342</v>
      </c>
      <c r="P108" s="16" t="s">
        <v>3369</v>
      </c>
      <c r="Q108" s="33" t="s">
        <v>3368</v>
      </c>
    </row>
    <row r="109" spans="1:17" ht="17.100000000000001" customHeight="1">
      <c r="A109" s="22">
        <v>45975</v>
      </c>
      <c r="B109" s="15" t="s">
        <v>174</v>
      </c>
      <c r="C109" s="16" t="s">
        <v>3353</v>
      </c>
      <c r="D109" s="16" t="s">
        <v>3372</v>
      </c>
      <c r="E109" s="16" t="s">
        <v>3377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54</v>
      </c>
      <c r="O109" s="16" t="s">
        <v>3342</v>
      </c>
      <c r="P109" s="16" t="s">
        <v>3369</v>
      </c>
      <c r="Q109" s="33" t="s">
        <v>3368</v>
      </c>
    </row>
    <row r="110" spans="1:17" ht="17.100000000000001" customHeight="1">
      <c r="A110" s="22">
        <v>45975</v>
      </c>
      <c r="B110" s="15" t="s">
        <v>174</v>
      </c>
      <c r="C110" s="16" t="s">
        <v>3353</v>
      </c>
      <c r="D110" s="16" t="s">
        <v>3372</v>
      </c>
      <c r="E110" s="16" t="s">
        <v>3378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54</v>
      </c>
      <c r="O110" s="16" t="s">
        <v>3342</v>
      </c>
      <c r="P110" s="16" t="s">
        <v>3369</v>
      </c>
      <c r="Q110" s="33" t="s">
        <v>3368</v>
      </c>
    </row>
    <row r="111" spans="1:17" ht="17.100000000000001" customHeight="1">
      <c r="A111" s="22">
        <v>45975</v>
      </c>
      <c r="B111" s="15" t="s">
        <v>174</v>
      </c>
      <c r="C111" s="16" t="s">
        <v>3353</v>
      </c>
      <c r="D111" s="16" t="s">
        <v>3372</v>
      </c>
      <c r="E111" s="16" t="s">
        <v>3379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54</v>
      </c>
      <c r="O111" s="16" t="s">
        <v>3342</v>
      </c>
      <c r="P111" s="16" t="s">
        <v>3369</v>
      </c>
      <c r="Q111" s="33" t="s">
        <v>3368</v>
      </c>
    </row>
    <row r="112" spans="1:17" ht="17.100000000000001" customHeight="1">
      <c r="A112" s="22">
        <v>45975</v>
      </c>
      <c r="B112" s="15" t="s">
        <v>174</v>
      </c>
      <c r="C112" s="16" t="s">
        <v>3353</v>
      </c>
      <c r="D112" s="16" t="s">
        <v>3372</v>
      </c>
      <c r="E112" s="16" t="s">
        <v>3380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48</v>
      </c>
      <c r="N112" s="16">
        <v>57</v>
      </c>
      <c r="O112" s="16" t="s">
        <v>3342</v>
      </c>
      <c r="P112" s="16" t="s">
        <v>3369</v>
      </c>
      <c r="Q112" s="33" t="s">
        <v>3368</v>
      </c>
    </row>
    <row r="113" spans="1:17" ht="17.100000000000001" customHeight="1">
      <c r="A113" s="22">
        <v>45980</v>
      </c>
      <c r="B113" s="15" t="s">
        <v>3381</v>
      </c>
      <c r="C113" s="16" t="s">
        <v>3382</v>
      </c>
      <c r="D113" s="16" t="s">
        <v>48</v>
      </c>
      <c r="E113" s="16" t="s">
        <v>48</v>
      </c>
      <c r="F113" s="16" t="s">
        <v>48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100</v>
      </c>
      <c r="O113" s="16" t="s">
        <v>2491</v>
      </c>
      <c r="P113" s="16" t="s">
        <v>3383</v>
      </c>
      <c r="Q113" s="33"/>
    </row>
    <row r="114" spans="1:17" ht="17.100000000000001" customHeight="1">
      <c r="A114" s="22">
        <v>45980</v>
      </c>
      <c r="B114" s="58" t="s">
        <v>3384</v>
      </c>
      <c r="C114" s="16" t="s">
        <v>3382</v>
      </c>
      <c r="D114" s="16" t="s">
        <v>48</v>
      </c>
      <c r="E114" s="16" t="s">
        <v>48</v>
      </c>
      <c r="F114" s="16" t="s">
        <v>48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100</v>
      </c>
      <c r="O114" s="16" t="s">
        <v>2491</v>
      </c>
      <c r="P114" s="16" t="s">
        <v>3385</v>
      </c>
      <c r="Q114" s="33"/>
    </row>
    <row r="115" spans="1:17" ht="17.100000000000001" customHeight="1">
      <c r="A115" s="22">
        <v>45980</v>
      </c>
      <c r="B115" s="59" t="s">
        <v>214</v>
      </c>
      <c r="C115" s="16" t="s">
        <v>3382</v>
      </c>
      <c r="D115" s="16" t="s">
        <v>48</v>
      </c>
      <c r="E115" s="16" t="s">
        <v>48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48</v>
      </c>
      <c r="N115" s="16">
        <v>100</v>
      </c>
      <c r="O115" s="16" t="s">
        <v>2491</v>
      </c>
      <c r="P115" s="16" t="s">
        <v>3386</v>
      </c>
      <c r="Q115" s="33"/>
    </row>
    <row r="116" spans="1:17" ht="17.100000000000001" customHeight="1">
      <c r="A116" s="22">
        <v>45980</v>
      </c>
      <c r="B116" s="59" t="s">
        <v>1326</v>
      </c>
      <c r="C116" s="16" t="s">
        <v>3382</v>
      </c>
      <c r="D116" s="16" t="s">
        <v>48</v>
      </c>
      <c r="E116" s="16" t="s">
        <v>48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v>150</v>
      </c>
      <c r="O116" s="16" t="s">
        <v>2491</v>
      </c>
      <c r="P116" s="16" t="s">
        <v>3387</v>
      </c>
      <c r="Q116" s="33"/>
    </row>
    <row r="117" spans="1:17" ht="17.100000000000001" customHeight="1">
      <c r="A117" s="22">
        <v>45979</v>
      </c>
      <c r="B117" s="15" t="s">
        <v>440</v>
      </c>
      <c r="C117" s="16" t="s">
        <v>3388</v>
      </c>
      <c r="D117" s="16" t="s">
        <v>3393</v>
      </c>
      <c r="E117" s="16" t="s">
        <v>3391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48</v>
      </c>
      <c r="N117" s="16">
        <f>630/2</f>
        <v>315</v>
      </c>
      <c r="O117" s="16" t="s">
        <v>3389</v>
      </c>
      <c r="P117" s="16"/>
      <c r="Q117" s="33"/>
    </row>
    <row r="118" spans="1:17" ht="17.100000000000001" customHeight="1">
      <c r="A118" s="22">
        <v>45980</v>
      </c>
      <c r="B118" s="15" t="s">
        <v>440</v>
      </c>
      <c r="C118" s="16" t="s">
        <v>3388</v>
      </c>
      <c r="D118" s="16" t="s">
        <v>3394</v>
      </c>
      <c r="E118" s="16" t="s">
        <v>3392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f>500-315</f>
        <v>185</v>
      </c>
      <c r="O118" s="16" t="s">
        <v>3390</v>
      </c>
      <c r="P118" s="16"/>
      <c r="Q118" s="33"/>
    </row>
    <row r="119" spans="1:17" ht="17.100000000000001" customHeight="1">
      <c r="A119" s="22">
        <v>45981</v>
      </c>
      <c r="B119" s="15" t="s">
        <v>143</v>
      </c>
      <c r="C119" s="16" t="s">
        <v>3395</v>
      </c>
      <c r="D119" s="16" t="s">
        <v>2880</v>
      </c>
      <c r="E119" s="16" t="s">
        <v>48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48</v>
      </c>
      <c r="N119" s="16">
        <v>18</v>
      </c>
      <c r="O119" s="16" t="s">
        <v>3398</v>
      </c>
      <c r="P119" s="16" t="s">
        <v>3409</v>
      </c>
      <c r="Q119" s="33" t="s">
        <v>3410</v>
      </c>
    </row>
    <row r="120" spans="1:17" ht="17.100000000000001" customHeight="1">
      <c r="A120" s="22">
        <v>45981</v>
      </c>
      <c r="B120" s="15" t="s">
        <v>143</v>
      </c>
      <c r="C120" s="16" t="s">
        <v>3395</v>
      </c>
      <c r="D120" s="16" t="s">
        <v>3396</v>
      </c>
      <c r="E120" s="16" t="s">
        <v>48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48</v>
      </c>
      <c r="N120" s="16">
        <f>76/2</f>
        <v>38</v>
      </c>
      <c r="O120" s="16" t="s">
        <v>3398</v>
      </c>
      <c r="P120" s="16" t="s">
        <v>3409</v>
      </c>
      <c r="Q120" s="33" t="s">
        <v>3410</v>
      </c>
    </row>
    <row r="121" spans="1:17" ht="17.100000000000001" customHeight="1">
      <c r="A121" s="22">
        <v>45981</v>
      </c>
      <c r="B121" s="15" t="s">
        <v>143</v>
      </c>
      <c r="C121" s="16" t="s">
        <v>3395</v>
      </c>
      <c r="D121" s="16" t="s">
        <v>3397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48</v>
      </c>
      <c r="N121" s="16">
        <v>4</v>
      </c>
      <c r="O121" s="16" t="s">
        <v>3398</v>
      </c>
      <c r="P121" s="16" t="s">
        <v>3409</v>
      </c>
      <c r="Q121" s="33" t="s">
        <v>3410</v>
      </c>
    </row>
    <row r="122" spans="1:17" ht="17.100000000000001" customHeight="1">
      <c r="A122" s="22">
        <v>45981</v>
      </c>
      <c r="B122" s="15" t="s">
        <v>125</v>
      </c>
      <c r="C122" s="16" t="s">
        <v>3395</v>
      </c>
      <c r="D122" s="16" t="s">
        <v>2880</v>
      </c>
      <c r="E122" s="16">
        <v>2507141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48</v>
      </c>
      <c r="N122" s="16">
        <f>54/2</f>
        <v>27</v>
      </c>
      <c r="O122" s="16" t="s">
        <v>3398</v>
      </c>
      <c r="P122" s="16" t="s">
        <v>3408</v>
      </c>
      <c r="Q122" s="33" t="s">
        <v>3407</v>
      </c>
    </row>
    <row r="123" spans="1:17" ht="17.100000000000001" customHeight="1">
      <c r="A123" s="22">
        <v>45981</v>
      </c>
      <c r="B123" s="15" t="s">
        <v>125</v>
      </c>
      <c r="C123" s="16" t="s">
        <v>3395</v>
      </c>
      <c r="D123" s="16" t="s">
        <v>3399</v>
      </c>
      <c r="E123" s="16">
        <v>2507141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f>64/2</f>
        <v>32</v>
      </c>
      <c r="O123" s="16" t="s">
        <v>3398</v>
      </c>
      <c r="P123" s="16" t="s">
        <v>3408</v>
      </c>
      <c r="Q123" s="33" t="s">
        <v>3407</v>
      </c>
    </row>
    <row r="124" spans="1:17" ht="17.100000000000001" customHeight="1">
      <c r="A124" s="22">
        <v>45981</v>
      </c>
      <c r="B124" s="15" t="s">
        <v>125</v>
      </c>
      <c r="C124" s="16" t="s">
        <v>3395</v>
      </c>
      <c r="D124" s="16" t="s">
        <v>3397</v>
      </c>
      <c r="E124" s="16">
        <v>2507141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>
        <v>13</v>
      </c>
      <c r="O124" s="16" t="s">
        <v>3398</v>
      </c>
      <c r="P124" s="16" t="s">
        <v>3408</v>
      </c>
      <c r="Q124" s="33" t="s">
        <v>3407</v>
      </c>
    </row>
    <row r="125" spans="1:17" ht="17.100000000000001" customHeight="1">
      <c r="A125" s="22">
        <v>45981</v>
      </c>
      <c r="B125" s="15" t="s">
        <v>125</v>
      </c>
      <c r="C125" s="16" t="s">
        <v>3395</v>
      </c>
      <c r="D125" s="16" t="s">
        <v>3400</v>
      </c>
      <c r="E125" s="16">
        <v>2507141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50</v>
      </c>
      <c r="O125" s="16" t="s">
        <v>3398</v>
      </c>
      <c r="P125" s="16" t="s">
        <v>3408</v>
      </c>
      <c r="Q125" s="33" t="s">
        <v>3407</v>
      </c>
    </row>
    <row r="126" spans="1:17" ht="17.100000000000001" customHeight="1">
      <c r="A126" s="22">
        <v>45981</v>
      </c>
      <c r="B126" s="15" t="s">
        <v>125</v>
      </c>
      <c r="C126" s="16" t="s">
        <v>3395</v>
      </c>
      <c r="D126" s="16" t="s">
        <v>3401</v>
      </c>
      <c r="E126" s="16">
        <v>2507141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24</v>
      </c>
      <c r="O126" s="16" t="s">
        <v>3398</v>
      </c>
      <c r="P126" s="16" t="s">
        <v>3408</v>
      </c>
      <c r="Q126" s="33" t="s">
        <v>3407</v>
      </c>
    </row>
    <row r="127" spans="1:17" ht="17.100000000000001" customHeight="1">
      <c r="A127" s="22">
        <v>45981</v>
      </c>
      <c r="B127" s="15" t="s">
        <v>125</v>
      </c>
      <c r="C127" s="16" t="s">
        <v>3395</v>
      </c>
      <c r="D127" s="16" t="s">
        <v>3401</v>
      </c>
      <c r="E127" s="16">
        <v>2507141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34</v>
      </c>
      <c r="O127" s="16" t="s">
        <v>3398</v>
      </c>
      <c r="P127" s="16" t="s">
        <v>3408</v>
      </c>
      <c r="Q127" s="33" t="s">
        <v>3407</v>
      </c>
    </row>
    <row r="128" spans="1:17" ht="17.100000000000001" customHeight="1">
      <c r="A128" s="22">
        <v>45981</v>
      </c>
      <c r="B128" s="15" t="s">
        <v>28</v>
      </c>
      <c r="C128" s="16" t="s">
        <v>3395</v>
      </c>
      <c r="D128" s="16" t="s">
        <v>3402</v>
      </c>
      <c r="E128" s="16" t="s">
        <v>3403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40</v>
      </c>
      <c r="O128" s="16" t="s">
        <v>3404</v>
      </c>
      <c r="P128" s="16" t="s">
        <v>3412</v>
      </c>
      <c r="Q128" s="33" t="s">
        <v>3411</v>
      </c>
    </row>
    <row r="129" spans="1:17" ht="17.100000000000001" customHeight="1">
      <c r="A129" s="22">
        <v>45982</v>
      </c>
      <c r="B129" s="15" t="s">
        <v>125</v>
      </c>
      <c r="C129" s="16" t="s">
        <v>3405</v>
      </c>
      <c r="D129" s="16" t="s">
        <v>3401</v>
      </c>
      <c r="E129" s="16">
        <v>2507141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60</v>
      </c>
      <c r="O129" s="16" t="s">
        <v>3406</v>
      </c>
      <c r="P129" s="16" t="s">
        <v>3408</v>
      </c>
      <c r="Q129" s="33" t="s">
        <v>3407</v>
      </c>
    </row>
    <row r="130" spans="1:17" ht="17.100000000000001" customHeight="1">
      <c r="A130" s="22">
        <v>45982</v>
      </c>
      <c r="B130" s="15" t="s">
        <v>531</v>
      </c>
      <c r="C130" s="16" t="s">
        <v>3405</v>
      </c>
      <c r="D130" s="16" t="s">
        <v>3418</v>
      </c>
      <c r="E130" s="16" t="s">
        <v>3414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27</v>
      </c>
      <c r="O130" s="16" t="s">
        <v>3428</v>
      </c>
      <c r="P130" s="16" t="s">
        <v>3505</v>
      </c>
      <c r="Q130" s="33" t="s">
        <v>3504</v>
      </c>
    </row>
    <row r="131" spans="1:17" ht="17.100000000000001" customHeight="1">
      <c r="A131" s="22">
        <v>45982</v>
      </c>
      <c r="B131" s="15" t="s">
        <v>531</v>
      </c>
      <c r="C131" s="16" t="s">
        <v>3405</v>
      </c>
      <c r="D131" s="16" t="s">
        <v>3418</v>
      </c>
      <c r="E131" s="16" t="s">
        <v>3415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27</v>
      </c>
      <c r="O131" s="16" t="s">
        <v>3428</v>
      </c>
      <c r="P131" s="16" t="s">
        <v>3505</v>
      </c>
      <c r="Q131" s="33" t="s">
        <v>3504</v>
      </c>
    </row>
    <row r="132" spans="1:17" ht="17.100000000000001" customHeight="1">
      <c r="A132" s="22">
        <v>45982</v>
      </c>
      <c r="B132" s="15" t="s">
        <v>531</v>
      </c>
      <c r="C132" s="16" t="s">
        <v>3405</v>
      </c>
      <c r="D132" s="16" t="s">
        <v>3418</v>
      </c>
      <c r="E132" s="16" t="s">
        <v>3416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48</v>
      </c>
      <c r="N132" s="16">
        <v>54</v>
      </c>
      <c r="O132" s="16" t="s">
        <v>3428</v>
      </c>
      <c r="P132" s="16" t="s">
        <v>3505</v>
      </c>
      <c r="Q132" s="33" t="s">
        <v>3504</v>
      </c>
    </row>
    <row r="133" spans="1:17" ht="17.100000000000001" customHeight="1">
      <c r="A133" s="22">
        <v>45982</v>
      </c>
      <c r="B133" s="15" t="s">
        <v>531</v>
      </c>
      <c r="C133" s="16" t="s">
        <v>3405</v>
      </c>
      <c r="D133" s="16" t="s">
        <v>3418</v>
      </c>
      <c r="E133" s="16" t="s">
        <v>3417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48</v>
      </c>
      <c r="N133" s="16">
        <v>54</v>
      </c>
      <c r="O133" s="16" t="s">
        <v>3428</v>
      </c>
      <c r="P133" s="16" t="s">
        <v>3505</v>
      </c>
      <c r="Q133" s="33" t="s">
        <v>3504</v>
      </c>
    </row>
    <row r="134" spans="1:17" ht="17.100000000000001" customHeight="1">
      <c r="A134" s="22">
        <v>45982</v>
      </c>
      <c r="B134" s="15" t="s">
        <v>531</v>
      </c>
      <c r="C134" s="16" t="s">
        <v>3405</v>
      </c>
      <c r="D134" s="16" t="s">
        <v>3418</v>
      </c>
      <c r="E134" s="16" t="s">
        <v>3419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48</v>
      </c>
      <c r="N134" s="16">
        <v>27</v>
      </c>
      <c r="O134" s="16" t="s">
        <v>3428</v>
      </c>
      <c r="P134" s="16" t="s">
        <v>3505</v>
      </c>
      <c r="Q134" s="33" t="s">
        <v>3504</v>
      </c>
    </row>
    <row r="135" spans="1:17" ht="17.100000000000001" customHeight="1">
      <c r="A135" s="22">
        <v>45982</v>
      </c>
      <c r="B135" s="15" t="s">
        <v>531</v>
      </c>
      <c r="C135" s="16" t="s">
        <v>3405</v>
      </c>
      <c r="D135" s="16" t="s">
        <v>3418</v>
      </c>
      <c r="E135" s="16" t="s">
        <v>3420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48</v>
      </c>
      <c r="N135" s="16">
        <v>54</v>
      </c>
      <c r="O135" s="16" t="s">
        <v>3428</v>
      </c>
      <c r="P135" s="16" t="s">
        <v>3505</v>
      </c>
      <c r="Q135" s="33" t="s">
        <v>3504</v>
      </c>
    </row>
    <row r="136" spans="1:17" ht="17.100000000000001" customHeight="1">
      <c r="A136" s="22">
        <v>45982</v>
      </c>
      <c r="B136" s="15" t="s">
        <v>531</v>
      </c>
      <c r="C136" s="16" t="s">
        <v>3405</v>
      </c>
      <c r="D136" s="16" t="s">
        <v>3414</v>
      </c>
      <c r="E136" s="16" t="s">
        <v>3421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48</v>
      </c>
      <c r="N136" s="16">
        <v>54</v>
      </c>
      <c r="O136" s="16" t="s">
        <v>3428</v>
      </c>
      <c r="P136" s="16" t="s">
        <v>3505</v>
      </c>
      <c r="Q136" s="33" t="s">
        <v>3504</v>
      </c>
    </row>
    <row r="137" spans="1:17">
      <c r="A137" s="22">
        <v>45982</v>
      </c>
      <c r="B137" s="15" t="s">
        <v>531</v>
      </c>
      <c r="C137" s="16" t="s">
        <v>3405</v>
      </c>
      <c r="D137" s="16" t="s">
        <v>3414</v>
      </c>
      <c r="E137" s="16" t="s">
        <v>3422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48</v>
      </c>
      <c r="N137" s="16">
        <v>27</v>
      </c>
      <c r="O137" s="16" t="s">
        <v>3428</v>
      </c>
      <c r="P137" s="16" t="s">
        <v>3505</v>
      </c>
      <c r="Q137" s="33" t="s">
        <v>3504</v>
      </c>
    </row>
    <row r="138" spans="1:17">
      <c r="A138" s="22">
        <v>45982</v>
      </c>
      <c r="B138" s="15" t="s">
        <v>531</v>
      </c>
      <c r="C138" s="16" t="s">
        <v>3405</v>
      </c>
      <c r="D138" s="16" t="s">
        <v>3414</v>
      </c>
      <c r="E138" s="16" t="s">
        <v>3423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48</v>
      </c>
      <c r="N138" s="16">
        <v>27</v>
      </c>
      <c r="O138" s="16" t="s">
        <v>3428</v>
      </c>
      <c r="P138" s="16" t="s">
        <v>3505</v>
      </c>
      <c r="Q138" s="33" t="s">
        <v>3504</v>
      </c>
    </row>
    <row r="139" spans="1:17">
      <c r="A139" s="22">
        <v>45982</v>
      </c>
      <c r="B139" s="15" t="s">
        <v>531</v>
      </c>
      <c r="C139" s="16" t="s">
        <v>3405</v>
      </c>
      <c r="D139" s="16" t="s">
        <v>3414</v>
      </c>
      <c r="E139" s="16" t="s">
        <v>3424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48</v>
      </c>
      <c r="N139" s="16">
        <v>27</v>
      </c>
      <c r="O139" s="16" t="s">
        <v>3428</v>
      </c>
      <c r="P139" s="16" t="s">
        <v>3505</v>
      </c>
      <c r="Q139" s="33" t="s">
        <v>3504</v>
      </c>
    </row>
    <row r="140" spans="1:17">
      <c r="A140" s="22">
        <v>45982</v>
      </c>
      <c r="B140" s="15" t="s">
        <v>531</v>
      </c>
      <c r="C140" s="16" t="s">
        <v>3405</v>
      </c>
      <c r="D140" s="16" t="s">
        <v>3414</v>
      </c>
      <c r="E140" s="16" t="s">
        <v>3425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54</v>
      </c>
      <c r="O140" s="16" t="s">
        <v>3428</v>
      </c>
      <c r="P140" s="16" t="s">
        <v>3505</v>
      </c>
      <c r="Q140" s="33" t="s">
        <v>3504</v>
      </c>
    </row>
    <row r="141" spans="1:17">
      <c r="A141" s="22">
        <v>45982</v>
      </c>
      <c r="B141" s="15" t="s">
        <v>531</v>
      </c>
      <c r="C141" s="16" t="s">
        <v>3405</v>
      </c>
      <c r="D141" s="16" t="s">
        <v>3414</v>
      </c>
      <c r="E141" s="16" t="s">
        <v>3426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54</v>
      </c>
      <c r="O141" s="16" t="s">
        <v>3428</v>
      </c>
      <c r="P141" s="16" t="s">
        <v>3505</v>
      </c>
      <c r="Q141" s="33" t="s">
        <v>3504</v>
      </c>
    </row>
    <row r="142" spans="1:17">
      <c r="A142" s="22">
        <v>45982</v>
      </c>
      <c r="B142" s="15" t="s">
        <v>531</v>
      </c>
      <c r="C142" s="16" t="s">
        <v>3405</v>
      </c>
      <c r="D142" s="16" t="s">
        <v>3414</v>
      </c>
      <c r="E142" s="16" t="s">
        <v>3427</v>
      </c>
      <c r="F142" s="16" t="s">
        <v>48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14</v>
      </c>
      <c r="O142" s="16" t="s">
        <v>3428</v>
      </c>
      <c r="P142" s="16" t="s">
        <v>3505</v>
      </c>
      <c r="Q142" s="33" t="s">
        <v>3504</v>
      </c>
    </row>
    <row r="143" spans="1:17">
      <c r="A143" s="22">
        <v>45985</v>
      </c>
      <c r="B143" s="15" t="s">
        <v>471</v>
      </c>
      <c r="C143" s="16" t="s">
        <v>3429</v>
      </c>
      <c r="D143" s="16" t="s">
        <v>3438</v>
      </c>
      <c r="E143" s="16" t="s">
        <v>3430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3391</v>
      </c>
      <c r="N143" s="16">
        <v>20</v>
      </c>
      <c r="O143" s="16" t="s">
        <v>3437</v>
      </c>
      <c r="P143" s="16" t="s">
        <v>3507</v>
      </c>
      <c r="Q143" s="33" t="s">
        <v>3506</v>
      </c>
    </row>
    <row r="144" spans="1:17">
      <c r="A144" s="22">
        <v>45985</v>
      </c>
      <c r="B144" s="15" t="s">
        <v>471</v>
      </c>
      <c r="C144" s="16" t="s">
        <v>3429</v>
      </c>
      <c r="D144" s="16" t="s">
        <v>3438</v>
      </c>
      <c r="E144" s="16" t="s">
        <v>3431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3391</v>
      </c>
      <c r="N144" s="16">
        <v>20</v>
      </c>
      <c r="O144" s="16" t="s">
        <v>3437</v>
      </c>
      <c r="P144" s="16" t="s">
        <v>3507</v>
      </c>
      <c r="Q144" s="33" t="s">
        <v>3506</v>
      </c>
    </row>
    <row r="145" spans="1:17">
      <c r="A145" s="22">
        <v>45985</v>
      </c>
      <c r="B145" s="15" t="s">
        <v>471</v>
      </c>
      <c r="C145" s="16" t="s">
        <v>3429</v>
      </c>
      <c r="D145" s="16" t="s">
        <v>3438</v>
      </c>
      <c r="E145" s="16" t="s">
        <v>3432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3391</v>
      </c>
      <c r="N145" s="16">
        <v>80</v>
      </c>
      <c r="O145" s="16" t="s">
        <v>3437</v>
      </c>
      <c r="P145" s="16" t="s">
        <v>3507</v>
      </c>
      <c r="Q145" s="33" t="s">
        <v>3506</v>
      </c>
    </row>
    <row r="146" spans="1:17">
      <c r="A146" s="22">
        <v>45985</v>
      </c>
      <c r="B146" s="15" t="s">
        <v>471</v>
      </c>
      <c r="C146" s="16" t="s">
        <v>3429</v>
      </c>
      <c r="D146" s="16" t="s">
        <v>3438</v>
      </c>
      <c r="E146" s="16" t="s">
        <v>3299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3391</v>
      </c>
      <c r="N146" s="16">
        <v>80</v>
      </c>
      <c r="O146" s="16" t="s">
        <v>3437</v>
      </c>
      <c r="P146" s="16" t="s">
        <v>3507</v>
      </c>
      <c r="Q146" s="33" t="s">
        <v>3506</v>
      </c>
    </row>
    <row r="147" spans="1:17">
      <c r="A147" s="22">
        <v>45985</v>
      </c>
      <c r="B147" s="15" t="s">
        <v>471</v>
      </c>
      <c r="C147" s="16" t="s">
        <v>3429</v>
      </c>
      <c r="D147" s="16" t="s">
        <v>3438</v>
      </c>
      <c r="E147" s="16" t="s">
        <v>3433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3391</v>
      </c>
      <c r="N147" s="16">
        <v>140</v>
      </c>
      <c r="O147" s="16" t="s">
        <v>3437</v>
      </c>
      <c r="P147" s="16" t="s">
        <v>3507</v>
      </c>
      <c r="Q147" s="33" t="s">
        <v>3506</v>
      </c>
    </row>
    <row r="148" spans="1:17">
      <c r="A148" s="22">
        <v>45985</v>
      </c>
      <c r="B148" s="15" t="s">
        <v>471</v>
      </c>
      <c r="C148" s="16" t="s">
        <v>3429</v>
      </c>
      <c r="D148" s="16" t="s">
        <v>3438</v>
      </c>
      <c r="E148" s="16" t="s">
        <v>3434</v>
      </c>
      <c r="F148" s="16" t="s">
        <v>48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3391</v>
      </c>
      <c r="N148" s="16">
        <v>39</v>
      </c>
      <c r="O148" s="16" t="s">
        <v>3437</v>
      </c>
      <c r="P148" s="16" t="s">
        <v>3507</v>
      </c>
      <c r="Q148" s="33" t="s">
        <v>3506</v>
      </c>
    </row>
    <row r="149" spans="1:17">
      <c r="A149" s="22">
        <v>45985</v>
      </c>
      <c r="B149" s="15" t="s">
        <v>471</v>
      </c>
      <c r="C149" s="16" t="s">
        <v>3429</v>
      </c>
      <c r="D149" s="16" t="s">
        <v>3438</v>
      </c>
      <c r="E149" s="16" t="s">
        <v>3435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3391</v>
      </c>
      <c r="N149" s="16">
        <v>40</v>
      </c>
      <c r="O149" s="16" t="s">
        <v>3437</v>
      </c>
      <c r="P149" s="16" t="s">
        <v>3507</v>
      </c>
      <c r="Q149" s="33" t="s">
        <v>3506</v>
      </c>
    </row>
    <row r="150" spans="1:17">
      <c r="A150" s="22">
        <v>45985</v>
      </c>
      <c r="B150" s="15" t="s">
        <v>471</v>
      </c>
      <c r="C150" s="16" t="s">
        <v>3429</v>
      </c>
      <c r="D150" s="16" t="s">
        <v>3438</v>
      </c>
      <c r="E150" s="16" t="s">
        <v>3436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3391</v>
      </c>
      <c r="N150" s="16">
        <v>81</v>
      </c>
      <c r="O150" s="16" t="s">
        <v>3437</v>
      </c>
      <c r="P150" s="16" t="s">
        <v>3507</v>
      </c>
      <c r="Q150" s="33" t="s">
        <v>3506</v>
      </c>
    </row>
    <row r="151" spans="1:17">
      <c r="A151" s="22">
        <v>45985</v>
      </c>
      <c r="B151" s="15" t="s">
        <v>952</v>
      </c>
      <c r="C151" s="16" t="s">
        <v>3429</v>
      </c>
      <c r="D151" s="16" t="s">
        <v>48</v>
      </c>
      <c r="E151" s="16" t="s">
        <v>48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100</v>
      </c>
      <c r="O151" s="16" t="s">
        <v>2491</v>
      </c>
      <c r="P151" s="16" t="s">
        <v>3385</v>
      </c>
      <c r="Q151" s="33" t="s">
        <v>3508</v>
      </c>
    </row>
    <row r="152" spans="1:17">
      <c r="A152" s="22">
        <v>45985</v>
      </c>
      <c r="B152" s="15" t="s">
        <v>72</v>
      </c>
      <c r="C152" s="16" t="s">
        <v>3439</v>
      </c>
      <c r="D152" s="16" t="s">
        <v>48</v>
      </c>
      <c r="E152" s="16" t="s">
        <v>48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70</v>
      </c>
      <c r="O152" s="16" t="s">
        <v>2491</v>
      </c>
      <c r="P152" s="16" t="s">
        <v>3440</v>
      </c>
      <c r="Q152" s="33"/>
    </row>
    <row r="153" spans="1:17">
      <c r="A153" s="22">
        <v>45986</v>
      </c>
      <c r="B153" s="15" t="s">
        <v>59</v>
      </c>
      <c r="C153" s="16" t="s">
        <v>3439</v>
      </c>
      <c r="D153" s="16" t="s">
        <v>3441</v>
      </c>
      <c r="E153" s="16" t="s">
        <v>48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v>360</v>
      </c>
      <c r="O153" s="16" t="s">
        <v>3444</v>
      </c>
      <c r="P153" s="16" t="s">
        <v>3499</v>
      </c>
      <c r="Q153" s="33" t="s">
        <v>3498</v>
      </c>
    </row>
    <row r="154" spans="1:17">
      <c r="A154" s="22">
        <v>45986</v>
      </c>
      <c r="B154" s="15" t="s">
        <v>41</v>
      </c>
      <c r="C154" s="16" t="s">
        <v>3439</v>
      </c>
      <c r="D154" s="16" t="s">
        <v>3441</v>
      </c>
      <c r="E154" s="16" t="s">
        <v>3443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190</v>
      </c>
      <c r="O154" s="16" t="s">
        <v>3445</v>
      </c>
      <c r="P154" s="16" t="s">
        <v>3501</v>
      </c>
      <c r="Q154" s="33" t="s">
        <v>3500</v>
      </c>
    </row>
    <row r="155" spans="1:17">
      <c r="A155" s="22">
        <v>45986</v>
      </c>
      <c r="B155" s="15" t="s">
        <v>41</v>
      </c>
      <c r="C155" s="16" t="s">
        <v>3439</v>
      </c>
      <c r="D155" s="16" t="s">
        <v>3442</v>
      </c>
      <c r="E155" s="16" t="s">
        <v>3443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50</v>
      </c>
      <c r="O155" s="16" t="s">
        <v>3445</v>
      </c>
      <c r="P155" s="16" t="s">
        <v>3501</v>
      </c>
      <c r="Q155" s="33" t="s">
        <v>3500</v>
      </c>
    </row>
    <row r="156" spans="1:17">
      <c r="A156" s="22">
        <v>45986</v>
      </c>
      <c r="B156" s="15" t="s">
        <v>2123</v>
      </c>
      <c r="C156" s="16" t="s">
        <v>3439</v>
      </c>
      <c r="D156" s="16" t="s">
        <v>48</v>
      </c>
      <c r="E156" s="16" t="s">
        <v>48</v>
      </c>
      <c r="F156" s="16" t="s">
        <v>3446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56</v>
      </c>
      <c r="O156" s="16" t="s">
        <v>3448</v>
      </c>
      <c r="P156" s="16" t="s">
        <v>3503</v>
      </c>
      <c r="Q156" s="33" t="s">
        <v>3502</v>
      </c>
    </row>
    <row r="157" spans="1:17">
      <c r="A157" s="22">
        <v>45986</v>
      </c>
      <c r="B157" s="15" t="s">
        <v>2123</v>
      </c>
      <c r="C157" s="16" t="s">
        <v>3439</v>
      </c>
      <c r="D157" s="16" t="s">
        <v>48</v>
      </c>
      <c r="E157" s="16" t="s">
        <v>48</v>
      </c>
      <c r="F157" s="16" t="s">
        <v>3447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44</v>
      </c>
      <c r="O157" s="16" t="s">
        <v>3448</v>
      </c>
      <c r="P157" s="16" t="s">
        <v>3503</v>
      </c>
      <c r="Q157" s="33" t="s">
        <v>3502</v>
      </c>
    </row>
    <row r="158" spans="1:17">
      <c r="A158" s="22">
        <v>45988</v>
      </c>
      <c r="B158" s="15" t="s">
        <v>143</v>
      </c>
      <c r="C158" s="16" t="s">
        <v>3449</v>
      </c>
      <c r="D158" s="16" t="s">
        <v>3443</v>
      </c>
      <c r="E158" s="16" t="s">
        <v>48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v>100</v>
      </c>
      <c r="O158" s="16" t="s">
        <v>3450</v>
      </c>
      <c r="P158" s="16" t="s">
        <v>3463</v>
      </c>
      <c r="Q158" s="33" t="s">
        <v>3461</v>
      </c>
    </row>
    <row r="159" spans="1:17">
      <c r="A159" s="22">
        <v>45988</v>
      </c>
      <c r="B159" s="15" t="s">
        <v>143</v>
      </c>
      <c r="C159" s="16" t="s">
        <v>3449</v>
      </c>
      <c r="D159" s="16" t="s">
        <v>3447</v>
      </c>
      <c r="E159" s="16" t="s">
        <v>48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20</v>
      </c>
      <c r="O159" s="16" t="s">
        <v>3450</v>
      </c>
      <c r="P159" s="16" t="s">
        <v>3463</v>
      </c>
      <c r="Q159" s="33" t="s">
        <v>3461</v>
      </c>
    </row>
    <row r="160" spans="1:17">
      <c r="A160" s="22">
        <v>45988</v>
      </c>
      <c r="B160" s="15" t="s">
        <v>68</v>
      </c>
      <c r="C160" s="16" t="s">
        <v>3449</v>
      </c>
      <c r="D160" s="16" t="s">
        <v>48</v>
      </c>
      <c r="E160" s="16" t="s">
        <v>48</v>
      </c>
      <c r="F160" s="16" t="s">
        <v>3443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108</v>
      </c>
      <c r="O160" s="16" t="s">
        <v>3450</v>
      </c>
      <c r="P160" s="16" t="s">
        <v>3464</v>
      </c>
      <c r="Q160" s="33" t="s">
        <v>3462</v>
      </c>
    </row>
    <row r="161" spans="1:17">
      <c r="A161" s="22">
        <v>45988</v>
      </c>
      <c r="B161" s="15" t="s">
        <v>68</v>
      </c>
      <c r="C161" s="16" t="s">
        <v>3449</v>
      </c>
      <c r="D161" s="16" t="s">
        <v>48</v>
      </c>
      <c r="E161" s="16" t="s">
        <v>48</v>
      </c>
      <c r="F161" s="16" t="s">
        <v>3451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17</v>
      </c>
      <c r="O161" s="16" t="s">
        <v>3450</v>
      </c>
      <c r="P161" s="16" t="s">
        <v>3464</v>
      </c>
      <c r="Q161" s="33" t="s">
        <v>3462</v>
      </c>
    </row>
    <row r="162" spans="1:17">
      <c r="A162" s="22">
        <v>45988</v>
      </c>
      <c r="B162" s="15" t="s">
        <v>663</v>
      </c>
      <c r="C162" s="16" t="s">
        <v>3449</v>
      </c>
      <c r="D162" s="16" t="s">
        <v>48</v>
      </c>
      <c r="E162" s="16" t="s">
        <v>3452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48</v>
      </c>
      <c r="N162" s="16">
        <v>3</v>
      </c>
      <c r="O162" s="16" t="s">
        <v>2697</v>
      </c>
      <c r="P162" s="16" t="s">
        <v>3466</v>
      </c>
      <c r="Q162" s="33" t="s">
        <v>3465</v>
      </c>
    </row>
    <row r="163" spans="1:17">
      <c r="A163" s="22">
        <v>45988</v>
      </c>
      <c r="B163" s="15" t="s">
        <v>2004</v>
      </c>
      <c r="C163" s="16" t="s">
        <v>3449</v>
      </c>
      <c r="D163" s="16" t="s">
        <v>3453</v>
      </c>
      <c r="E163" s="16" t="s">
        <v>48</v>
      </c>
      <c r="F163" s="16" t="s">
        <v>48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100</v>
      </c>
      <c r="O163" s="16" t="s">
        <v>3454</v>
      </c>
      <c r="P163" s="16" t="s">
        <v>3468</v>
      </c>
      <c r="Q163" s="33" t="s">
        <v>3467</v>
      </c>
    </row>
    <row r="164" spans="1:17">
      <c r="A164" s="22">
        <v>45988</v>
      </c>
      <c r="B164" s="15" t="s">
        <v>3455</v>
      </c>
      <c r="C164" s="16" t="s">
        <v>3449</v>
      </c>
      <c r="D164" s="16" t="s">
        <v>48</v>
      </c>
      <c r="E164" s="16" t="s">
        <v>48</v>
      </c>
      <c r="F164" s="16" t="s">
        <v>48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3457</v>
      </c>
      <c r="N164" s="16">
        <v>50</v>
      </c>
      <c r="O164" s="16"/>
      <c r="P164" s="16" t="s">
        <v>3456</v>
      </c>
      <c r="Q164" s="33" t="s">
        <v>3459</v>
      </c>
    </row>
    <row r="165" spans="1:17">
      <c r="A165" s="22">
        <v>45988</v>
      </c>
      <c r="B165" s="15" t="s">
        <v>1326</v>
      </c>
      <c r="C165" s="16" t="s">
        <v>3449</v>
      </c>
      <c r="D165" s="16" t="s">
        <v>48</v>
      </c>
      <c r="E165" s="16" t="s">
        <v>48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400</v>
      </c>
      <c r="O165" s="16" t="s">
        <v>3357</v>
      </c>
      <c r="P165" s="16" t="s">
        <v>3460</v>
      </c>
      <c r="Q165" s="33" t="s">
        <v>3458</v>
      </c>
    </row>
    <row r="166" spans="1:17">
      <c r="A166" s="22">
        <v>45988</v>
      </c>
      <c r="B166" s="15" t="s">
        <v>261</v>
      </c>
      <c r="C166" s="16" t="s">
        <v>3449</v>
      </c>
      <c r="D166" s="16" t="s">
        <v>3472</v>
      </c>
      <c r="E166" s="16" t="s">
        <v>48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400</v>
      </c>
      <c r="O166" s="16" t="s">
        <v>3474</v>
      </c>
      <c r="P166" s="16" t="s">
        <v>3496</v>
      </c>
      <c r="Q166" s="33" t="s">
        <v>3495</v>
      </c>
    </row>
    <row r="167" spans="1:17">
      <c r="A167" s="22">
        <v>45988</v>
      </c>
      <c r="B167" s="15" t="s">
        <v>261</v>
      </c>
      <c r="C167" s="16" t="s">
        <v>3449</v>
      </c>
      <c r="D167" s="16" t="s">
        <v>3473</v>
      </c>
      <c r="E167" s="16" t="s">
        <v>48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100</v>
      </c>
      <c r="O167" s="16" t="s">
        <v>3474</v>
      </c>
      <c r="P167" s="16" t="s">
        <v>3496</v>
      </c>
      <c r="Q167" s="33" t="s">
        <v>3495</v>
      </c>
    </row>
    <row r="168" spans="1:17">
      <c r="A168" s="22">
        <v>45988</v>
      </c>
      <c r="B168" s="15" t="s">
        <v>3469</v>
      </c>
      <c r="C168" s="16" t="s">
        <v>3449</v>
      </c>
      <c r="D168" s="16" t="s">
        <v>48</v>
      </c>
      <c r="E168" s="16" t="s">
        <v>48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180</v>
      </c>
      <c r="O168" s="16" t="s">
        <v>3470</v>
      </c>
      <c r="P168" s="16" t="s">
        <v>3471</v>
      </c>
      <c r="Q168" s="33" t="s">
        <v>3497</v>
      </c>
    </row>
    <row r="169" spans="1:17">
      <c r="A169" s="22">
        <v>45989</v>
      </c>
      <c r="B169" s="15" t="s">
        <v>74</v>
      </c>
      <c r="C169" s="16" t="s">
        <v>3449</v>
      </c>
      <c r="D169" s="16" t="s">
        <v>48</v>
      </c>
      <c r="E169" s="16" t="s">
        <v>48</v>
      </c>
      <c r="F169" s="16" t="s">
        <v>3447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10</v>
      </c>
      <c r="O169" s="16" t="s">
        <v>2697</v>
      </c>
      <c r="P169" s="16" t="s">
        <v>3494</v>
      </c>
      <c r="Q169" s="33" t="s">
        <v>3493</v>
      </c>
    </row>
    <row r="170" spans="1:17">
      <c r="A170" s="22">
        <v>45989</v>
      </c>
      <c r="B170" s="15" t="s">
        <v>79</v>
      </c>
      <c r="C170" s="16" t="s">
        <v>3475</v>
      </c>
      <c r="D170" s="16" t="s">
        <v>3479</v>
      </c>
      <c r="E170" s="16" t="s">
        <v>3476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54</v>
      </c>
      <c r="O170" s="16" t="s">
        <v>3486</v>
      </c>
      <c r="P170" s="16" t="s">
        <v>3490</v>
      </c>
      <c r="Q170" s="33" t="s">
        <v>3489</v>
      </c>
    </row>
    <row r="171" spans="1:17">
      <c r="A171" s="22">
        <v>45989</v>
      </c>
      <c r="B171" s="15" t="s">
        <v>79</v>
      </c>
      <c r="C171" s="16" t="s">
        <v>3475</v>
      </c>
      <c r="D171" s="16" t="s">
        <v>3479</v>
      </c>
      <c r="E171" s="16" t="s">
        <v>3477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27</v>
      </c>
      <c r="O171" s="16" t="s">
        <v>3486</v>
      </c>
      <c r="P171" s="16" t="s">
        <v>3490</v>
      </c>
      <c r="Q171" s="33" t="s">
        <v>3489</v>
      </c>
    </row>
    <row r="172" spans="1:17">
      <c r="A172" s="22">
        <v>45989</v>
      </c>
      <c r="B172" s="15" t="s">
        <v>79</v>
      </c>
      <c r="C172" s="16" t="s">
        <v>3475</v>
      </c>
      <c r="D172" s="16" t="s">
        <v>3479</v>
      </c>
      <c r="E172" s="16" t="s">
        <v>3478</v>
      </c>
      <c r="F172" s="16" t="s">
        <v>48</v>
      </c>
      <c r="G172" s="16" t="s">
        <v>48</v>
      </c>
      <c r="H172" s="16" t="s">
        <v>48</v>
      </c>
      <c r="I172" s="16" t="s">
        <v>48</v>
      </c>
      <c r="J172" s="16" t="s">
        <v>48</v>
      </c>
      <c r="K172" s="16" t="s">
        <v>48</v>
      </c>
      <c r="L172" s="16" t="s">
        <v>48</v>
      </c>
      <c r="M172" s="16" t="s">
        <v>48</v>
      </c>
      <c r="N172" s="16">
        <v>27</v>
      </c>
      <c r="O172" s="16" t="s">
        <v>3486</v>
      </c>
      <c r="P172" s="16" t="s">
        <v>3490</v>
      </c>
      <c r="Q172" s="33" t="s">
        <v>3489</v>
      </c>
    </row>
    <row r="173" spans="1:17">
      <c r="A173" s="22">
        <v>45989</v>
      </c>
      <c r="B173" s="15" t="s">
        <v>79</v>
      </c>
      <c r="C173" s="16" t="s">
        <v>3475</v>
      </c>
      <c r="D173" s="16" t="s">
        <v>3482</v>
      </c>
      <c r="E173" s="16" t="s">
        <v>3480</v>
      </c>
      <c r="F173" s="16" t="s">
        <v>48</v>
      </c>
      <c r="G173" s="16" t="s">
        <v>48</v>
      </c>
      <c r="H173" s="16" t="s">
        <v>48</v>
      </c>
      <c r="I173" s="16" t="s">
        <v>48</v>
      </c>
      <c r="J173" s="16" t="s">
        <v>48</v>
      </c>
      <c r="K173" s="16" t="s">
        <v>48</v>
      </c>
      <c r="L173" s="16" t="s">
        <v>48</v>
      </c>
      <c r="M173" s="16" t="s">
        <v>48</v>
      </c>
      <c r="N173" s="16">
        <v>54</v>
      </c>
      <c r="O173" s="16" t="s">
        <v>3486</v>
      </c>
      <c r="P173" s="16" t="s">
        <v>3490</v>
      </c>
      <c r="Q173" s="33" t="s">
        <v>3489</v>
      </c>
    </row>
    <row r="174" spans="1:17">
      <c r="A174" s="22">
        <v>45989</v>
      </c>
      <c r="B174" s="15" t="s">
        <v>79</v>
      </c>
      <c r="C174" s="16" t="s">
        <v>3475</v>
      </c>
      <c r="D174" s="16" t="s">
        <v>3482</v>
      </c>
      <c r="E174" s="16" t="s">
        <v>3481</v>
      </c>
      <c r="F174" s="16" t="s">
        <v>48</v>
      </c>
      <c r="G174" s="16" t="s">
        <v>48</v>
      </c>
      <c r="H174" s="16" t="s">
        <v>48</v>
      </c>
      <c r="I174" s="16" t="s">
        <v>48</v>
      </c>
      <c r="J174" s="16" t="s">
        <v>48</v>
      </c>
      <c r="K174" s="16" t="s">
        <v>48</v>
      </c>
      <c r="L174" s="16" t="s">
        <v>48</v>
      </c>
      <c r="M174" s="16" t="s">
        <v>48</v>
      </c>
      <c r="N174" s="16">
        <v>54</v>
      </c>
      <c r="O174" s="16" t="s">
        <v>3486</v>
      </c>
      <c r="P174" s="16" t="s">
        <v>3490</v>
      </c>
      <c r="Q174" s="33" t="s">
        <v>3489</v>
      </c>
    </row>
    <row r="175" spans="1:17">
      <c r="A175" s="22">
        <v>45989</v>
      </c>
      <c r="B175" s="15" t="s">
        <v>79</v>
      </c>
      <c r="C175" s="16" t="s">
        <v>3475</v>
      </c>
      <c r="D175" s="16" t="s">
        <v>3472</v>
      </c>
      <c r="E175" s="16" t="s">
        <v>3483</v>
      </c>
      <c r="F175" s="16" t="s">
        <v>48</v>
      </c>
      <c r="G175" s="16" t="s">
        <v>48</v>
      </c>
      <c r="H175" s="16" t="s">
        <v>48</v>
      </c>
      <c r="I175" s="16" t="s">
        <v>48</v>
      </c>
      <c r="J175" s="16" t="s">
        <v>48</v>
      </c>
      <c r="K175" s="16" t="s">
        <v>48</v>
      </c>
      <c r="L175" s="16" t="s">
        <v>48</v>
      </c>
      <c r="M175" s="16" t="s">
        <v>48</v>
      </c>
      <c r="N175" s="16">
        <v>54</v>
      </c>
      <c r="O175" s="16" t="s">
        <v>3486</v>
      </c>
      <c r="P175" s="16" t="s">
        <v>3490</v>
      </c>
      <c r="Q175" s="33" t="s">
        <v>3489</v>
      </c>
    </row>
    <row r="176" spans="1:17">
      <c r="A176" s="22">
        <v>45989</v>
      </c>
      <c r="B176" s="15" t="s">
        <v>79</v>
      </c>
      <c r="C176" s="16" t="s">
        <v>3475</v>
      </c>
      <c r="D176" s="16" t="s">
        <v>3472</v>
      </c>
      <c r="E176" s="16" t="s">
        <v>3484</v>
      </c>
      <c r="F176" s="16" t="s">
        <v>48</v>
      </c>
      <c r="G176" s="16" t="s">
        <v>48</v>
      </c>
      <c r="H176" s="16" t="s">
        <v>48</v>
      </c>
      <c r="I176" s="16" t="s">
        <v>48</v>
      </c>
      <c r="J176" s="16" t="s">
        <v>48</v>
      </c>
      <c r="K176" s="16" t="s">
        <v>48</v>
      </c>
      <c r="L176" s="16" t="s">
        <v>48</v>
      </c>
      <c r="M176" s="16" t="s">
        <v>48</v>
      </c>
      <c r="N176" s="16">
        <v>27</v>
      </c>
      <c r="O176" s="16" t="s">
        <v>3486</v>
      </c>
      <c r="P176" s="16" t="s">
        <v>3490</v>
      </c>
      <c r="Q176" s="33" t="s">
        <v>3489</v>
      </c>
    </row>
    <row r="177" spans="1:17">
      <c r="A177" s="22">
        <v>45989</v>
      </c>
      <c r="B177" s="15" t="s">
        <v>79</v>
      </c>
      <c r="C177" s="16" t="s">
        <v>3475</v>
      </c>
      <c r="D177" s="16" t="s">
        <v>3472</v>
      </c>
      <c r="E177" s="16" t="s">
        <v>3485</v>
      </c>
      <c r="F177" s="16" t="s">
        <v>48</v>
      </c>
      <c r="G177" s="16" t="s">
        <v>48</v>
      </c>
      <c r="H177" s="16" t="s">
        <v>48</v>
      </c>
      <c r="I177" s="16" t="s">
        <v>48</v>
      </c>
      <c r="J177" s="16" t="s">
        <v>48</v>
      </c>
      <c r="K177" s="16" t="s">
        <v>48</v>
      </c>
      <c r="L177" s="16" t="s">
        <v>48</v>
      </c>
      <c r="M177" s="16" t="s">
        <v>48</v>
      </c>
      <c r="N177" s="16">
        <v>2</v>
      </c>
      <c r="O177" s="16" t="s">
        <v>3486</v>
      </c>
      <c r="P177" s="16" t="s">
        <v>3490</v>
      </c>
      <c r="Q177" s="33" t="s">
        <v>3489</v>
      </c>
    </row>
    <row r="178" spans="1:17">
      <c r="A178" s="22">
        <v>45989</v>
      </c>
      <c r="B178" s="15" t="s">
        <v>1167</v>
      </c>
      <c r="C178" s="16" t="s">
        <v>3475</v>
      </c>
      <c r="D178" s="16" t="s">
        <v>3487</v>
      </c>
      <c r="E178" s="16" t="s">
        <v>48</v>
      </c>
      <c r="F178" s="16" t="s">
        <v>48</v>
      </c>
      <c r="G178" s="16" t="s">
        <v>48</v>
      </c>
      <c r="H178" s="16" t="s">
        <v>48</v>
      </c>
      <c r="I178" s="16" t="s">
        <v>48</v>
      </c>
      <c r="J178" s="16" t="s">
        <v>48</v>
      </c>
      <c r="K178" s="16" t="s">
        <v>48</v>
      </c>
      <c r="L178" s="16" t="s">
        <v>48</v>
      </c>
      <c r="M178" s="16" t="s">
        <v>48</v>
      </c>
      <c r="N178" s="16">
        <v>400</v>
      </c>
      <c r="O178" s="16" t="s">
        <v>3488</v>
      </c>
      <c r="P178" s="16" t="s">
        <v>3492</v>
      </c>
      <c r="Q178" s="33" t="s">
        <v>3491</v>
      </c>
    </row>
    <row r="179" spans="1:17">
      <c r="A179" s="17"/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33"/>
    </row>
    <row r="180" spans="1:17">
      <c r="A180" s="17"/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33"/>
    </row>
    <row r="181" spans="1:17">
      <c r="A181" s="17"/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33"/>
    </row>
    <row r="182" spans="1:17">
      <c r="A182" s="17"/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33"/>
    </row>
    <row r="183" spans="1:17">
      <c r="A183" s="17"/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33"/>
    </row>
    <row r="184" spans="1:17">
      <c r="A184" s="17"/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33"/>
    </row>
    <row r="185" spans="1:17">
      <c r="A185" s="17"/>
      <c r="B185" s="15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33"/>
    </row>
    <row r="186" spans="1:17">
      <c r="A186" s="17"/>
      <c r="B186" s="15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33"/>
    </row>
    <row r="187" spans="1:17">
      <c r="A187" s="17"/>
      <c r="B187" s="15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33"/>
    </row>
    <row r="188" spans="1:17">
      <c r="A188" s="17"/>
      <c r="B188" s="15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33"/>
    </row>
    <row r="189" spans="1:17">
      <c r="A189" s="17"/>
      <c r="B189" s="15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33"/>
    </row>
    <row r="190" spans="1:17">
      <c r="A190" s="17"/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33"/>
    </row>
    <row r="191" spans="1:17">
      <c r="A191" s="17"/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33"/>
    </row>
    <row r="192" spans="1:17">
      <c r="A192" s="17"/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33"/>
    </row>
    <row r="193" spans="1:17">
      <c r="A193" s="17"/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33"/>
    </row>
    <row r="194" spans="1:17">
      <c r="A194" s="17"/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33"/>
    </row>
    <row r="195" spans="1:17">
      <c r="A195" s="17"/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33"/>
    </row>
    <row r="196" spans="1:17">
      <c r="A196" s="17"/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33"/>
    </row>
    <row r="197" spans="1:17">
      <c r="A197" s="17"/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33"/>
    </row>
    <row r="198" spans="1:17">
      <c r="A198" s="17"/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33"/>
    </row>
    <row r="199" spans="1:17">
      <c r="A199" s="17"/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33"/>
    </row>
    <row r="200" spans="1:17">
      <c r="A200" s="17"/>
      <c r="B200" s="15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33"/>
    </row>
    <row r="201" spans="1:17">
      <c r="A201" s="17"/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33"/>
    </row>
    <row r="202" spans="1:17">
      <c r="A202" s="17"/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33"/>
    </row>
    <row r="203" spans="1:17">
      <c r="A203" s="17"/>
      <c r="B203" s="15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33"/>
    </row>
    <row r="204" spans="1:17">
      <c r="A204" s="17"/>
      <c r="B204" s="15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33"/>
    </row>
    <row r="205" spans="1:17">
      <c r="A205" s="17"/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33"/>
    </row>
    <row r="206" spans="1:17">
      <c r="A206" s="17"/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33"/>
    </row>
    <row r="207" spans="1:17">
      <c r="A207" s="17"/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33"/>
    </row>
    <row r="208" spans="1:17">
      <c r="A208" s="17"/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33"/>
    </row>
    <row r="209" spans="1:17">
      <c r="A209" s="17"/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33"/>
    </row>
    <row r="210" spans="1:17">
      <c r="A210" s="17"/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33"/>
    </row>
    <row r="211" spans="1:17">
      <c r="A211" s="17"/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33"/>
    </row>
    <row r="212" spans="1:17">
      <c r="A212" s="17"/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33"/>
    </row>
    <row r="213" spans="1:17">
      <c r="A213" s="17"/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33"/>
    </row>
    <row r="214" spans="1:17">
      <c r="A214" s="17"/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33"/>
    </row>
    <row r="215" spans="1:17">
      <c r="A215" s="17"/>
      <c r="B215" s="15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33"/>
    </row>
    <row r="216" spans="1:17">
      <c r="A216" s="17"/>
      <c r="B216" s="15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33"/>
    </row>
    <row r="217" spans="1:17">
      <c r="A217" s="17"/>
      <c r="B217" s="15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33"/>
    </row>
    <row r="218" spans="1:17">
      <c r="A218" s="17"/>
      <c r="B218" s="15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33"/>
    </row>
    <row r="219" spans="1:17">
      <c r="A219" s="22">
        <v>45985</v>
      </c>
      <c r="B219" s="15" t="s">
        <v>154</v>
      </c>
      <c r="C219" s="16" t="s">
        <v>3405</v>
      </c>
      <c r="D219" s="16" t="s">
        <v>48</v>
      </c>
      <c r="E219" s="16" t="s">
        <v>48</v>
      </c>
      <c r="F219" s="16" t="s">
        <v>48</v>
      </c>
      <c r="G219" s="16" t="s">
        <v>48</v>
      </c>
      <c r="H219" s="16" t="s">
        <v>48</v>
      </c>
      <c r="I219" s="16" t="s">
        <v>48</v>
      </c>
      <c r="J219" s="16" t="s">
        <v>48</v>
      </c>
      <c r="K219" s="16" t="s">
        <v>48</v>
      </c>
      <c r="L219" s="16" t="s">
        <v>48</v>
      </c>
      <c r="M219" s="16" t="s">
        <v>48</v>
      </c>
      <c r="N219" s="16">
        <v>50</v>
      </c>
      <c r="O219" s="16" t="s">
        <v>2491</v>
      </c>
      <c r="P219" s="16" t="s">
        <v>3413</v>
      </c>
      <c r="Q219" s="33"/>
    </row>
    <row r="220" spans="1:17" ht="15" thickBot="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16"/>
      <c r="Q220" s="33"/>
    </row>
    <row r="221" spans="1:17">
      <c r="A221" s="25" t="s">
        <v>352</v>
      </c>
      <c r="B221" s="13"/>
      <c r="C221" s="13"/>
      <c r="D221" s="12"/>
      <c r="E221" s="13"/>
      <c r="H221" s="13"/>
      <c r="I221" s="13"/>
      <c r="J221" s="12"/>
      <c r="K221" s="13"/>
      <c r="L221" s="12" t="s">
        <v>18</v>
      </c>
      <c r="M221" s="12"/>
      <c r="N221" s="14"/>
      <c r="Q221" s="33"/>
    </row>
    <row r="222" spans="1:17">
      <c r="M222" s="2" t="s">
        <v>19</v>
      </c>
      <c r="Q222" s="33"/>
    </row>
    <row r="223" spans="1:17">
      <c r="M223" s="2" t="s">
        <v>20</v>
      </c>
      <c r="Q223" s="33"/>
    </row>
    <row r="224" spans="1:17">
      <c r="M224" s="2" t="s">
        <v>21</v>
      </c>
      <c r="Q224" s="33"/>
    </row>
    <row r="225" spans="13:17">
      <c r="M225" s="2" t="s">
        <v>22</v>
      </c>
      <c r="Q225" s="33"/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conditionalFormatting sqref="B114">
    <cfRule type="expression" dxfId="9" priority="10">
      <formula>$AF115="PARTIAL"</formula>
    </cfRule>
  </conditionalFormatting>
  <conditionalFormatting sqref="B114">
    <cfRule type="expression" dxfId="8" priority="9">
      <formula>$AF115="LACKING"</formula>
    </cfRule>
  </conditionalFormatting>
  <conditionalFormatting sqref="B114">
    <cfRule type="expression" dxfId="7" priority="8">
      <formula>#REF!="OK"</formula>
    </cfRule>
  </conditionalFormatting>
  <conditionalFormatting sqref="B114">
    <cfRule type="expression" dxfId="6" priority="7">
      <formula>$AF114="FOR POSTING"</formula>
    </cfRule>
  </conditionalFormatting>
  <conditionalFormatting sqref="B114">
    <cfRule type="expression" dxfId="5" priority="4">
      <formula>$AF114="LACKING"</formula>
    </cfRule>
    <cfRule type="expression" dxfId="4" priority="5">
      <formula>$AF114="PARTIAL"</formula>
    </cfRule>
    <cfRule type="expression" dxfId="3" priority="6">
      <formula>$AF114="OK"</formula>
    </cfRule>
  </conditionalFormatting>
  <conditionalFormatting sqref="B114">
    <cfRule type="expression" dxfId="2" priority="3">
      <formula>#REF!="OK"</formula>
    </cfRule>
  </conditionalFormatting>
  <conditionalFormatting sqref="B114">
    <cfRule type="expression" dxfId="1" priority="2">
      <formula>#REF!="OK"</formula>
    </cfRule>
  </conditionalFormatting>
  <conditionalFormatting sqref="B114">
    <cfRule type="expression" dxfId="0" priority="1">
      <formula>$AF114="OK"</formula>
    </cfRule>
  </conditionalFormatting>
  <printOptions horizontalCentered="1" verticalCentered="1"/>
  <pageMargins left="0.01" right="0.01" top="0.25" bottom="0.25" header="0.25" footer="0.25"/>
  <pageSetup paperSize="9" scale="1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Q305"/>
  <sheetViews>
    <sheetView tabSelected="1" view="pageBreakPreview" topLeftCell="A151" zoomScaleNormal="100" zoomScaleSheetLayoutView="100" workbookViewId="0">
      <selection activeCell="O176" sqref="O176"/>
    </sheetView>
  </sheetViews>
  <sheetFormatPr defaultColWidth="10.28515625" defaultRowHeight="14.25"/>
  <cols>
    <col min="1" max="1" width="14.7109375" style="2" customWidth="1"/>
    <col min="2" max="2" width="12.42578125" style="2" customWidth="1"/>
    <col min="3" max="3" width="10.85546875" style="2" customWidth="1"/>
    <col min="4" max="4" width="11.85546875" style="2" customWidth="1"/>
    <col min="5" max="6" width="11.28515625" style="2" customWidth="1"/>
    <col min="7" max="7" width="12.140625" style="2" customWidth="1"/>
    <col min="8" max="13" width="12.7109375" style="2" customWidth="1"/>
    <col min="14" max="14" width="10.7109375" style="2" customWidth="1"/>
    <col min="15" max="15" width="37" style="2" customWidth="1"/>
    <col min="16" max="16" width="13.85546875" style="2" customWidth="1"/>
    <col min="17" max="17" width="14.7109375" style="2" customWidth="1"/>
    <col min="18" max="16384" width="10.28515625" style="2"/>
  </cols>
  <sheetData>
    <row r="1" spans="1:17" s="1" customFormat="1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7" ht="8.1" customHeight="1"/>
    <row r="3" spans="1:17" ht="17.100000000000001" customHeight="1">
      <c r="A3" s="23" t="s">
        <v>1</v>
      </c>
      <c r="B3" s="3"/>
      <c r="C3" s="3"/>
      <c r="D3" s="4"/>
      <c r="E3" s="4"/>
      <c r="F3" s="4"/>
      <c r="G3" s="4"/>
      <c r="H3" s="4"/>
      <c r="I3" s="4"/>
      <c r="J3" s="4"/>
      <c r="K3" s="5"/>
      <c r="L3" s="6"/>
      <c r="M3" s="5"/>
      <c r="N3" s="6"/>
    </row>
    <row r="4" spans="1:17" ht="17.100000000000001" customHeight="1">
      <c r="A4" s="24" t="s">
        <v>355</v>
      </c>
      <c r="B4" s="27"/>
      <c r="C4" s="7"/>
      <c r="D4" s="4"/>
      <c r="E4" s="4"/>
      <c r="F4" s="4"/>
      <c r="G4" s="4"/>
      <c r="H4" s="4"/>
      <c r="I4" s="4"/>
      <c r="J4" s="4"/>
      <c r="K4" s="5"/>
      <c r="L4" s="5"/>
    </row>
    <row r="5" spans="1:17" ht="8.1" customHeight="1">
      <c r="A5" s="8"/>
      <c r="B5" s="8"/>
    </row>
    <row r="6" spans="1:17" ht="8.1" customHeight="1" thickBot="1"/>
    <row r="7" spans="1:17" ht="17.100000000000001" customHeight="1">
      <c r="A7" s="63" t="s">
        <v>2</v>
      </c>
      <c r="B7" s="65" t="s">
        <v>3</v>
      </c>
      <c r="C7" s="67" t="s">
        <v>4</v>
      </c>
      <c r="D7" s="69" t="s">
        <v>5</v>
      </c>
      <c r="E7" s="70"/>
      <c r="F7" s="70"/>
      <c r="G7" s="70"/>
      <c r="H7" s="70"/>
      <c r="I7" s="70"/>
      <c r="J7" s="70"/>
      <c r="K7" s="70"/>
      <c r="L7" s="70"/>
      <c r="M7" s="71"/>
      <c r="N7" s="72" t="s">
        <v>6</v>
      </c>
      <c r="O7" s="74" t="s">
        <v>7</v>
      </c>
      <c r="P7" s="72" t="s">
        <v>353</v>
      </c>
      <c r="Q7" s="60" t="s">
        <v>354</v>
      </c>
    </row>
    <row r="8" spans="1:17" ht="25.5" customHeight="1">
      <c r="A8" s="64"/>
      <c r="B8" s="66"/>
      <c r="C8" s="68"/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73"/>
      <c r="O8" s="75"/>
      <c r="P8" s="73"/>
      <c r="Q8" s="61"/>
    </row>
    <row r="9" spans="1:17" ht="16.5" customHeight="1">
      <c r="A9" s="22">
        <v>45992</v>
      </c>
      <c r="B9" s="15" t="s">
        <v>174</v>
      </c>
      <c r="C9" s="16" t="s">
        <v>3523</v>
      </c>
      <c r="D9" s="16" t="s">
        <v>3509</v>
      </c>
      <c r="E9" s="16" t="s">
        <v>3510</v>
      </c>
      <c r="F9" s="16" t="s">
        <v>48</v>
      </c>
      <c r="G9" s="16" t="s">
        <v>48</v>
      </c>
      <c r="H9" s="16" t="s">
        <v>48</v>
      </c>
      <c r="I9" s="16" t="s">
        <v>48</v>
      </c>
      <c r="J9" s="16" t="s">
        <v>48</v>
      </c>
      <c r="K9" s="16" t="s">
        <v>48</v>
      </c>
      <c r="L9" s="16" t="s">
        <v>48</v>
      </c>
      <c r="M9" s="16" t="s">
        <v>48</v>
      </c>
      <c r="N9" s="16">
        <v>54</v>
      </c>
      <c r="O9" s="16" t="s">
        <v>3528</v>
      </c>
      <c r="P9" s="15" t="s">
        <v>3532</v>
      </c>
      <c r="Q9" s="33" t="s">
        <v>3530</v>
      </c>
    </row>
    <row r="10" spans="1:17" ht="17.100000000000001" customHeight="1">
      <c r="A10" s="22">
        <v>45992</v>
      </c>
      <c r="B10" s="15" t="s">
        <v>174</v>
      </c>
      <c r="C10" s="16" t="s">
        <v>3523</v>
      </c>
      <c r="D10" s="16" t="s">
        <v>3509</v>
      </c>
      <c r="E10" s="16" t="s">
        <v>3511</v>
      </c>
      <c r="F10" s="16" t="s">
        <v>48</v>
      </c>
      <c r="G10" s="16" t="s">
        <v>48</v>
      </c>
      <c r="H10" s="16" t="s">
        <v>48</v>
      </c>
      <c r="I10" s="16" t="s">
        <v>48</v>
      </c>
      <c r="J10" s="16" t="s">
        <v>48</v>
      </c>
      <c r="K10" s="16" t="s">
        <v>48</v>
      </c>
      <c r="L10" s="16" t="s">
        <v>48</v>
      </c>
      <c r="M10" s="16" t="s">
        <v>48</v>
      </c>
      <c r="N10" s="16">
        <v>54</v>
      </c>
      <c r="O10" s="16" t="s">
        <v>3528</v>
      </c>
      <c r="P10" s="15" t="s">
        <v>3532</v>
      </c>
      <c r="Q10" s="33" t="s">
        <v>3530</v>
      </c>
    </row>
    <row r="11" spans="1:17" ht="17.100000000000001" customHeight="1">
      <c r="A11" s="22">
        <v>45992</v>
      </c>
      <c r="B11" s="15" t="s">
        <v>174</v>
      </c>
      <c r="C11" s="16" t="s">
        <v>3523</v>
      </c>
      <c r="D11" s="16" t="s">
        <v>3509</v>
      </c>
      <c r="E11" s="16" t="s">
        <v>3485</v>
      </c>
      <c r="F11" s="16" t="s">
        <v>48</v>
      </c>
      <c r="G11" s="16" t="s">
        <v>48</v>
      </c>
      <c r="H11" s="16" t="s">
        <v>48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>
        <v>27</v>
      </c>
      <c r="O11" s="16" t="s">
        <v>3528</v>
      </c>
      <c r="P11" s="15" t="s">
        <v>3532</v>
      </c>
      <c r="Q11" s="33" t="s">
        <v>3530</v>
      </c>
    </row>
    <row r="12" spans="1:17" ht="17.100000000000001" customHeight="1">
      <c r="A12" s="22">
        <v>45992</v>
      </c>
      <c r="B12" s="15" t="s">
        <v>174</v>
      </c>
      <c r="C12" s="16" t="s">
        <v>3523</v>
      </c>
      <c r="D12" s="16" t="s">
        <v>3509</v>
      </c>
      <c r="E12" s="16" t="s">
        <v>3512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>
        <v>54</v>
      </c>
      <c r="O12" s="16" t="s">
        <v>3528</v>
      </c>
      <c r="P12" s="15" t="s">
        <v>3532</v>
      </c>
      <c r="Q12" s="33" t="s">
        <v>3530</v>
      </c>
    </row>
    <row r="13" spans="1:17" ht="17.100000000000001" customHeight="1">
      <c r="A13" s="22">
        <v>45992</v>
      </c>
      <c r="B13" s="15" t="s">
        <v>174</v>
      </c>
      <c r="C13" s="16" t="s">
        <v>3523</v>
      </c>
      <c r="D13" s="16" t="s">
        <v>3509</v>
      </c>
      <c r="E13" s="16" t="s">
        <v>3513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>
        <v>27</v>
      </c>
      <c r="O13" s="16" t="s">
        <v>3528</v>
      </c>
      <c r="P13" s="15" t="s">
        <v>3532</v>
      </c>
      <c r="Q13" s="33" t="s">
        <v>3530</v>
      </c>
    </row>
    <row r="14" spans="1:17" ht="17.100000000000001" customHeight="1">
      <c r="A14" s="22">
        <v>45992</v>
      </c>
      <c r="B14" s="15" t="s">
        <v>174</v>
      </c>
      <c r="C14" s="16" t="s">
        <v>3523</v>
      </c>
      <c r="D14" s="16" t="s">
        <v>3479</v>
      </c>
      <c r="E14" s="16" t="s">
        <v>3514</v>
      </c>
      <c r="F14" s="16" t="s">
        <v>48</v>
      </c>
      <c r="G14" s="16" t="s">
        <v>48</v>
      </c>
      <c r="H14" s="16" t="s">
        <v>48</v>
      </c>
      <c r="I14" s="16" t="s">
        <v>48</v>
      </c>
      <c r="J14" s="16" t="s">
        <v>48</v>
      </c>
      <c r="K14" s="16" t="s">
        <v>48</v>
      </c>
      <c r="L14" s="16" t="s">
        <v>48</v>
      </c>
      <c r="M14" s="16" t="s">
        <v>48</v>
      </c>
      <c r="N14" s="16">
        <v>21</v>
      </c>
      <c r="O14" s="16" t="s">
        <v>3528</v>
      </c>
      <c r="P14" s="15" t="s">
        <v>3532</v>
      </c>
      <c r="Q14" s="33" t="s">
        <v>3530</v>
      </c>
    </row>
    <row r="15" spans="1:17" ht="17.100000000000001" customHeight="1">
      <c r="A15" s="22">
        <v>45992</v>
      </c>
      <c r="B15" s="15" t="s">
        <v>174</v>
      </c>
      <c r="C15" s="16" t="s">
        <v>3523</v>
      </c>
      <c r="D15" s="16" t="s">
        <v>3479</v>
      </c>
      <c r="E15" s="16" t="s">
        <v>3515</v>
      </c>
      <c r="F15" s="16" t="s">
        <v>48</v>
      </c>
      <c r="G15" s="16" t="s">
        <v>48</v>
      </c>
      <c r="H15" s="16" t="s">
        <v>48</v>
      </c>
      <c r="I15" s="16" t="s">
        <v>48</v>
      </c>
      <c r="J15" s="16" t="s">
        <v>48</v>
      </c>
      <c r="K15" s="16" t="s">
        <v>48</v>
      </c>
      <c r="L15" s="16" t="s">
        <v>48</v>
      </c>
      <c r="M15" s="16" t="s">
        <v>48</v>
      </c>
      <c r="N15" s="16">
        <v>27</v>
      </c>
      <c r="O15" s="16" t="s">
        <v>3528</v>
      </c>
      <c r="P15" s="15" t="s">
        <v>3532</v>
      </c>
      <c r="Q15" s="33" t="s">
        <v>3530</v>
      </c>
    </row>
    <row r="16" spans="1:17" ht="17.100000000000001" customHeight="1">
      <c r="A16" s="22">
        <v>45992</v>
      </c>
      <c r="B16" s="15" t="s">
        <v>174</v>
      </c>
      <c r="C16" s="16" t="s">
        <v>3523</v>
      </c>
      <c r="D16" s="16" t="s">
        <v>3479</v>
      </c>
      <c r="E16" s="16" t="s">
        <v>3516</v>
      </c>
      <c r="F16" s="16" t="s">
        <v>48</v>
      </c>
      <c r="G16" s="16" t="s">
        <v>48</v>
      </c>
      <c r="H16" s="16" t="s">
        <v>48</v>
      </c>
      <c r="I16" s="16" t="s">
        <v>48</v>
      </c>
      <c r="J16" s="16" t="s">
        <v>48</v>
      </c>
      <c r="K16" s="16" t="s">
        <v>48</v>
      </c>
      <c r="L16" s="16" t="s">
        <v>48</v>
      </c>
      <c r="M16" s="16" t="s">
        <v>48</v>
      </c>
      <c r="N16" s="16">
        <v>27</v>
      </c>
      <c r="O16" s="16" t="s">
        <v>3528</v>
      </c>
      <c r="P16" s="15" t="s">
        <v>3532</v>
      </c>
      <c r="Q16" s="33" t="s">
        <v>3530</v>
      </c>
    </row>
    <row r="17" spans="1:17" ht="17.100000000000001" customHeight="1">
      <c r="A17" s="22">
        <v>45992</v>
      </c>
      <c r="B17" s="15" t="s">
        <v>174</v>
      </c>
      <c r="C17" s="16" t="s">
        <v>3523</v>
      </c>
      <c r="D17" s="16" t="s">
        <v>3479</v>
      </c>
      <c r="E17" s="16" t="s">
        <v>3517</v>
      </c>
      <c r="F17" s="16" t="s">
        <v>48</v>
      </c>
      <c r="G17" s="16" t="s">
        <v>48</v>
      </c>
      <c r="H17" s="16" t="s">
        <v>48</v>
      </c>
      <c r="I17" s="16" t="s">
        <v>48</v>
      </c>
      <c r="J17" s="16" t="s">
        <v>48</v>
      </c>
      <c r="K17" s="16" t="s">
        <v>48</v>
      </c>
      <c r="L17" s="16" t="s">
        <v>48</v>
      </c>
      <c r="M17" s="16" t="s">
        <v>48</v>
      </c>
      <c r="N17" s="16">
        <v>54</v>
      </c>
      <c r="O17" s="16" t="s">
        <v>3528</v>
      </c>
      <c r="P17" s="15" t="s">
        <v>3532</v>
      </c>
      <c r="Q17" s="33" t="s">
        <v>3530</v>
      </c>
    </row>
    <row r="18" spans="1:17" ht="17.100000000000001" customHeight="1">
      <c r="A18" s="22">
        <v>45992</v>
      </c>
      <c r="B18" s="15" t="s">
        <v>174</v>
      </c>
      <c r="C18" s="16" t="s">
        <v>3523</v>
      </c>
      <c r="D18" s="16" t="s">
        <v>3518</v>
      </c>
      <c r="E18" s="16" t="s">
        <v>3519</v>
      </c>
      <c r="F18" s="16" t="s">
        <v>48</v>
      </c>
      <c r="G18" s="16" t="s">
        <v>48</v>
      </c>
      <c r="H18" s="16" t="s">
        <v>48</v>
      </c>
      <c r="I18" s="16" t="s">
        <v>48</v>
      </c>
      <c r="J18" s="16" t="s">
        <v>48</v>
      </c>
      <c r="K18" s="16" t="s">
        <v>48</v>
      </c>
      <c r="L18" s="16" t="s">
        <v>48</v>
      </c>
      <c r="M18" s="16" t="s">
        <v>48</v>
      </c>
      <c r="N18" s="16">
        <v>54</v>
      </c>
      <c r="O18" s="16" t="s">
        <v>3528</v>
      </c>
      <c r="P18" s="15" t="s">
        <v>3532</v>
      </c>
      <c r="Q18" s="33" t="s">
        <v>3530</v>
      </c>
    </row>
    <row r="19" spans="1:17" ht="17.100000000000001" customHeight="1">
      <c r="A19" s="22">
        <v>45992</v>
      </c>
      <c r="B19" s="15" t="s">
        <v>174</v>
      </c>
      <c r="C19" s="16" t="s">
        <v>3523</v>
      </c>
      <c r="D19" s="16" t="s">
        <v>3518</v>
      </c>
      <c r="E19" s="16" t="s">
        <v>3520</v>
      </c>
      <c r="F19" s="16" t="s">
        <v>48</v>
      </c>
      <c r="G19" s="16" t="s">
        <v>48</v>
      </c>
      <c r="H19" s="16" t="s">
        <v>48</v>
      </c>
      <c r="I19" s="16" t="s">
        <v>48</v>
      </c>
      <c r="J19" s="16" t="s">
        <v>48</v>
      </c>
      <c r="K19" s="16" t="s">
        <v>48</v>
      </c>
      <c r="L19" s="16" t="s">
        <v>48</v>
      </c>
      <c r="M19" s="16" t="s">
        <v>48</v>
      </c>
      <c r="N19" s="16">
        <v>27</v>
      </c>
      <c r="O19" s="16" t="s">
        <v>3528</v>
      </c>
      <c r="P19" s="15" t="s">
        <v>3532</v>
      </c>
      <c r="Q19" s="33" t="s">
        <v>3530</v>
      </c>
    </row>
    <row r="20" spans="1:17" ht="17.100000000000001" customHeight="1">
      <c r="A20" s="22">
        <v>45992</v>
      </c>
      <c r="B20" s="15" t="s">
        <v>174</v>
      </c>
      <c r="C20" s="16" t="s">
        <v>3523</v>
      </c>
      <c r="D20" s="16" t="s">
        <v>3518</v>
      </c>
      <c r="E20" s="16" t="s">
        <v>3521</v>
      </c>
      <c r="F20" s="16" t="s">
        <v>48</v>
      </c>
      <c r="G20" s="16" t="s">
        <v>48</v>
      </c>
      <c r="H20" s="16" t="s">
        <v>48</v>
      </c>
      <c r="I20" s="16" t="s">
        <v>48</v>
      </c>
      <c r="J20" s="16" t="s">
        <v>48</v>
      </c>
      <c r="K20" s="16" t="s">
        <v>48</v>
      </c>
      <c r="L20" s="16" t="s">
        <v>48</v>
      </c>
      <c r="M20" s="16" t="s">
        <v>48</v>
      </c>
      <c r="N20" s="16">
        <v>27</v>
      </c>
      <c r="O20" s="16" t="s">
        <v>3528</v>
      </c>
      <c r="P20" s="15" t="s">
        <v>3532</v>
      </c>
      <c r="Q20" s="33" t="s">
        <v>3530</v>
      </c>
    </row>
    <row r="21" spans="1:17" ht="17.100000000000001" customHeight="1">
      <c r="A21" s="22">
        <v>45992</v>
      </c>
      <c r="B21" s="15" t="s">
        <v>174</v>
      </c>
      <c r="C21" s="16" t="s">
        <v>3523</v>
      </c>
      <c r="D21" s="16" t="s">
        <v>3518</v>
      </c>
      <c r="E21" s="16" t="s">
        <v>3522</v>
      </c>
      <c r="F21" s="16" t="s">
        <v>48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>
        <v>47</v>
      </c>
      <c r="O21" s="16" t="s">
        <v>3528</v>
      </c>
      <c r="P21" s="15" t="s">
        <v>3532</v>
      </c>
      <c r="Q21" s="33" t="s">
        <v>3530</v>
      </c>
    </row>
    <row r="22" spans="1:17" ht="17.100000000000001" customHeight="1">
      <c r="A22" s="22">
        <v>45992</v>
      </c>
      <c r="B22" s="15" t="s">
        <v>174</v>
      </c>
      <c r="C22" s="16" t="s">
        <v>3523</v>
      </c>
      <c r="D22" s="16" t="s">
        <v>3518</v>
      </c>
      <c r="E22" s="16" t="s">
        <v>3522</v>
      </c>
      <c r="F22" s="16" t="s">
        <v>48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>
        <v>7</v>
      </c>
      <c r="O22" s="16" t="s">
        <v>3528</v>
      </c>
      <c r="P22" s="15" t="s">
        <v>3533</v>
      </c>
      <c r="Q22" s="33" t="s">
        <v>3531</v>
      </c>
    </row>
    <row r="23" spans="1:17" ht="17.100000000000001" customHeight="1">
      <c r="A23" s="22">
        <v>45992</v>
      </c>
      <c r="B23" s="15" t="s">
        <v>531</v>
      </c>
      <c r="C23" s="16" t="s">
        <v>3523</v>
      </c>
      <c r="D23" s="16" t="s">
        <v>3529</v>
      </c>
      <c r="E23" s="16" t="s">
        <v>3524</v>
      </c>
      <c r="F23" s="16" t="s">
        <v>48</v>
      </c>
      <c r="G23" s="16" t="s">
        <v>48</v>
      </c>
      <c r="H23" s="16" t="s">
        <v>48</v>
      </c>
      <c r="I23" s="16" t="s">
        <v>48</v>
      </c>
      <c r="J23" s="16" t="s">
        <v>48</v>
      </c>
      <c r="K23" s="16" t="s">
        <v>48</v>
      </c>
      <c r="L23" s="16" t="s">
        <v>48</v>
      </c>
      <c r="M23" s="16" t="s">
        <v>48</v>
      </c>
      <c r="N23" s="16">
        <v>27</v>
      </c>
      <c r="O23" s="16" t="s">
        <v>3528</v>
      </c>
      <c r="P23" s="15" t="s">
        <v>3533</v>
      </c>
      <c r="Q23" s="33" t="s">
        <v>3531</v>
      </c>
    </row>
    <row r="24" spans="1:17" ht="17.100000000000001" customHeight="1">
      <c r="A24" s="22">
        <v>45992</v>
      </c>
      <c r="B24" s="15" t="s">
        <v>531</v>
      </c>
      <c r="C24" s="16" t="s">
        <v>3523</v>
      </c>
      <c r="D24" s="16" t="s">
        <v>3529</v>
      </c>
      <c r="E24" s="16" t="s">
        <v>3525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>
        <v>54</v>
      </c>
      <c r="O24" s="16" t="s">
        <v>3528</v>
      </c>
      <c r="P24" s="15" t="s">
        <v>3533</v>
      </c>
      <c r="Q24" s="33" t="s">
        <v>3531</v>
      </c>
    </row>
    <row r="25" spans="1:17" ht="17.100000000000001" customHeight="1">
      <c r="A25" s="22">
        <v>45992</v>
      </c>
      <c r="B25" s="15" t="s">
        <v>531</v>
      </c>
      <c r="C25" s="16" t="s">
        <v>3523</v>
      </c>
      <c r="D25" s="16" t="s">
        <v>3529</v>
      </c>
      <c r="E25" s="16" t="s">
        <v>3526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>
        <v>54</v>
      </c>
      <c r="O25" s="16" t="s">
        <v>3528</v>
      </c>
      <c r="P25" s="15" t="s">
        <v>3533</v>
      </c>
      <c r="Q25" s="33" t="s">
        <v>3531</v>
      </c>
    </row>
    <row r="26" spans="1:17" ht="17.100000000000001" customHeight="1">
      <c r="A26" s="22">
        <v>45992</v>
      </c>
      <c r="B26" s="15" t="s">
        <v>531</v>
      </c>
      <c r="C26" s="16" t="s">
        <v>3523</v>
      </c>
      <c r="D26" s="16" t="s">
        <v>3482</v>
      </c>
      <c r="E26" s="16" t="s">
        <v>3527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>
        <v>8</v>
      </c>
      <c r="O26" s="16" t="s">
        <v>3528</v>
      </c>
      <c r="P26" s="15" t="s">
        <v>3533</v>
      </c>
      <c r="Q26" s="33" t="s">
        <v>3531</v>
      </c>
    </row>
    <row r="27" spans="1:17" ht="17.100000000000001" customHeight="1">
      <c r="A27" s="22">
        <v>45992</v>
      </c>
      <c r="B27" s="15" t="s">
        <v>420</v>
      </c>
      <c r="C27" s="16" t="s">
        <v>3523</v>
      </c>
      <c r="D27" s="16" t="s">
        <v>48</v>
      </c>
      <c r="E27" s="16" t="s">
        <v>48</v>
      </c>
      <c r="F27" s="16" t="s">
        <v>48</v>
      </c>
      <c r="G27" s="16" t="s">
        <v>48</v>
      </c>
      <c r="H27" s="16" t="s">
        <v>48</v>
      </c>
      <c r="I27" s="16" t="s">
        <v>48</v>
      </c>
      <c r="J27" s="16" t="s">
        <v>48</v>
      </c>
      <c r="K27" s="16" t="s">
        <v>48</v>
      </c>
      <c r="L27" s="16" t="s">
        <v>48</v>
      </c>
      <c r="M27" s="16" t="s">
        <v>3534</v>
      </c>
      <c r="N27" s="16">
        <v>40</v>
      </c>
      <c r="O27" s="16" t="s">
        <v>2697</v>
      </c>
      <c r="P27" s="15" t="s">
        <v>3536</v>
      </c>
      <c r="Q27" s="33" t="s">
        <v>3535</v>
      </c>
    </row>
    <row r="28" spans="1:17" ht="17.100000000000001" customHeight="1">
      <c r="A28" s="22">
        <v>45992</v>
      </c>
      <c r="B28" s="15" t="s">
        <v>220</v>
      </c>
      <c r="C28" s="16" t="s">
        <v>3523</v>
      </c>
      <c r="D28" s="16" t="s">
        <v>3539</v>
      </c>
      <c r="E28" s="16" t="s">
        <v>3539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3443</v>
      </c>
      <c r="N28" s="16">
        <v>50</v>
      </c>
      <c r="O28" s="16" t="s">
        <v>3236</v>
      </c>
      <c r="P28" s="15" t="s">
        <v>3538</v>
      </c>
      <c r="Q28" s="33" t="s">
        <v>3537</v>
      </c>
    </row>
    <row r="29" spans="1:17" ht="17.100000000000001" customHeight="1">
      <c r="A29" s="22">
        <v>45993</v>
      </c>
      <c r="B29" s="15" t="s">
        <v>531</v>
      </c>
      <c r="C29" s="16" t="s">
        <v>3541</v>
      </c>
      <c r="D29" s="16" t="s">
        <v>3482</v>
      </c>
      <c r="E29" s="16" t="s">
        <v>3527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>
        <f>19+27</f>
        <v>46</v>
      </c>
      <c r="O29" s="16" t="s">
        <v>3549</v>
      </c>
      <c r="P29" s="15" t="s">
        <v>3533</v>
      </c>
      <c r="Q29" s="33" t="s">
        <v>3531</v>
      </c>
    </row>
    <row r="30" spans="1:17" ht="17.100000000000001" customHeight="1">
      <c r="A30" s="22">
        <v>45993</v>
      </c>
      <c r="B30" s="15" t="s">
        <v>531</v>
      </c>
      <c r="C30" s="16" t="s">
        <v>3541</v>
      </c>
      <c r="D30" s="16" t="s">
        <v>3482</v>
      </c>
      <c r="E30" s="16" t="s">
        <v>3540</v>
      </c>
      <c r="F30" s="16" t="s">
        <v>48</v>
      </c>
      <c r="G30" s="16" t="s">
        <v>48</v>
      </c>
      <c r="H30" s="16" t="s">
        <v>48</v>
      </c>
      <c r="I30" s="16" t="s">
        <v>48</v>
      </c>
      <c r="J30" s="16" t="s">
        <v>48</v>
      </c>
      <c r="K30" s="16" t="s">
        <v>48</v>
      </c>
      <c r="L30" s="16" t="s">
        <v>48</v>
      </c>
      <c r="M30" s="16" t="s">
        <v>48</v>
      </c>
      <c r="N30" s="16">
        <v>27</v>
      </c>
      <c r="O30" s="16" t="s">
        <v>3549</v>
      </c>
      <c r="P30" s="15" t="s">
        <v>3533</v>
      </c>
      <c r="Q30" s="33" t="s">
        <v>3531</v>
      </c>
    </row>
    <row r="31" spans="1:17" ht="17.100000000000001" customHeight="1">
      <c r="A31" s="22">
        <v>45993</v>
      </c>
      <c r="B31" s="15" t="s">
        <v>531</v>
      </c>
      <c r="C31" s="16" t="s">
        <v>3541</v>
      </c>
      <c r="D31" s="16" t="s">
        <v>3482</v>
      </c>
      <c r="E31" s="16" t="s">
        <v>3542</v>
      </c>
      <c r="F31" s="16" t="s">
        <v>48</v>
      </c>
      <c r="G31" s="16" t="s">
        <v>48</v>
      </c>
      <c r="H31" s="16" t="s">
        <v>48</v>
      </c>
      <c r="I31" s="16" t="s">
        <v>48</v>
      </c>
      <c r="J31" s="16" t="s">
        <v>48</v>
      </c>
      <c r="K31" s="16" t="s">
        <v>48</v>
      </c>
      <c r="L31" s="16" t="s">
        <v>48</v>
      </c>
      <c r="M31" s="16" t="s">
        <v>48</v>
      </c>
      <c r="N31" s="16">
        <v>27</v>
      </c>
      <c r="O31" s="16" t="s">
        <v>3549</v>
      </c>
      <c r="P31" s="15" t="s">
        <v>3533</v>
      </c>
      <c r="Q31" s="33" t="s">
        <v>3531</v>
      </c>
    </row>
    <row r="32" spans="1:17" ht="17.100000000000001" customHeight="1">
      <c r="A32" s="22">
        <v>45993</v>
      </c>
      <c r="B32" s="15" t="s">
        <v>531</v>
      </c>
      <c r="C32" s="16" t="s">
        <v>3541</v>
      </c>
      <c r="D32" s="16" t="s">
        <v>3482</v>
      </c>
      <c r="E32" s="16" t="s">
        <v>3524</v>
      </c>
      <c r="F32" s="16" t="s">
        <v>48</v>
      </c>
      <c r="G32" s="16" t="s">
        <v>48</v>
      </c>
      <c r="H32" s="16" t="s">
        <v>48</v>
      </c>
      <c r="I32" s="16" t="s">
        <v>48</v>
      </c>
      <c r="J32" s="16" t="s">
        <v>48</v>
      </c>
      <c r="K32" s="16" t="s">
        <v>48</v>
      </c>
      <c r="L32" s="16" t="s">
        <v>48</v>
      </c>
      <c r="M32" s="16" t="s">
        <v>48</v>
      </c>
      <c r="N32" s="16">
        <v>27</v>
      </c>
      <c r="O32" s="16" t="s">
        <v>3549</v>
      </c>
      <c r="P32" s="15" t="s">
        <v>3533</v>
      </c>
      <c r="Q32" s="33" t="s">
        <v>3531</v>
      </c>
    </row>
    <row r="33" spans="1:17" ht="17.100000000000001" customHeight="1">
      <c r="A33" s="22">
        <v>45993</v>
      </c>
      <c r="B33" s="15" t="s">
        <v>531</v>
      </c>
      <c r="C33" s="16" t="s">
        <v>3541</v>
      </c>
      <c r="D33" s="16" t="s">
        <v>3482</v>
      </c>
      <c r="E33" s="16" t="s">
        <v>3543</v>
      </c>
      <c r="F33" s="16" t="s">
        <v>48</v>
      </c>
      <c r="G33" s="16" t="s">
        <v>48</v>
      </c>
      <c r="H33" s="16" t="s">
        <v>48</v>
      </c>
      <c r="I33" s="16" t="s">
        <v>48</v>
      </c>
      <c r="J33" s="16" t="s">
        <v>48</v>
      </c>
      <c r="K33" s="16" t="s">
        <v>48</v>
      </c>
      <c r="L33" s="16" t="s">
        <v>48</v>
      </c>
      <c r="M33" s="16" t="s">
        <v>48</v>
      </c>
      <c r="N33" s="16">
        <v>54</v>
      </c>
      <c r="O33" s="16" t="s">
        <v>3549</v>
      </c>
      <c r="P33" s="15" t="s">
        <v>3533</v>
      </c>
      <c r="Q33" s="33" t="s">
        <v>3531</v>
      </c>
    </row>
    <row r="34" spans="1:17" ht="17.100000000000001" customHeight="1">
      <c r="A34" s="22">
        <v>45993</v>
      </c>
      <c r="B34" s="15" t="s">
        <v>531</v>
      </c>
      <c r="C34" s="16" t="s">
        <v>3541</v>
      </c>
      <c r="D34" s="16" t="s">
        <v>3482</v>
      </c>
      <c r="E34" s="16" t="s">
        <v>3544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>
        <v>54</v>
      </c>
      <c r="O34" s="16" t="s">
        <v>3549</v>
      </c>
      <c r="P34" s="15" t="s">
        <v>3533</v>
      </c>
      <c r="Q34" s="33" t="s">
        <v>3531</v>
      </c>
    </row>
    <row r="35" spans="1:17" ht="17.100000000000001" customHeight="1">
      <c r="A35" s="22">
        <v>45993</v>
      </c>
      <c r="B35" s="15" t="s">
        <v>531</v>
      </c>
      <c r="C35" s="16" t="s">
        <v>3541</v>
      </c>
      <c r="D35" s="16" t="s">
        <v>3482</v>
      </c>
      <c r="E35" s="16" t="s">
        <v>3545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>
        <v>27</v>
      </c>
      <c r="O35" s="16" t="s">
        <v>3549</v>
      </c>
      <c r="P35" s="15" t="s">
        <v>3533</v>
      </c>
      <c r="Q35" s="33" t="s">
        <v>3531</v>
      </c>
    </row>
    <row r="36" spans="1:17" ht="17.100000000000001" customHeight="1">
      <c r="A36" s="22">
        <v>45993</v>
      </c>
      <c r="B36" s="15" t="s">
        <v>531</v>
      </c>
      <c r="C36" s="16" t="s">
        <v>3541</v>
      </c>
      <c r="D36" s="16" t="s">
        <v>3482</v>
      </c>
      <c r="E36" s="16" t="s">
        <v>3546</v>
      </c>
      <c r="F36" s="16" t="s">
        <v>48</v>
      </c>
      <c r="G36" s="16" t="s">
        <v>48</v>
      </c>
      <c r="H36" s="16" t="s">
        <v>48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>
        <v>27</v>
      </c>
      <c r="O36" s="16" t="s">
        <v>3549</v>
      </c>
      <c r="P36" s="15" t="s">
        <v>3533</v>
      </c>
      <c r="Q36" s="33" t="s">
        <v>3531</v>
      </c>
    </row>
    <row r="37" spans="1:17" ht="17.100000000000001" customHeight="1">
      <c r="A37" s="22">
        <v>45993</v>
      </c>
      <c r="B37" s="15" t="s">
        <v>531</v>
      </c>
      <c r="C37" s="16" t="s">
        <v>3541</v>
      </c>
      <c r="D37" s="16" t="s">
        <v>3482</v>
      </c>
      <c r="E37" s="16" t="s">
        <v>3547</v>
      </c>
      <c r="F37" s="16" t="s">
        <v>48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>
        <v>27</v>
      </c>
      <c r="O37" s="16" t="s">
        <v>3549</v>
      </c>
      <c r="P37" s="15" t="s">
        <v>3533</v>
      </c>
      <c r="Q37" s="33" t="s">
        <v>3531</v>
      </c>
    </row>
    <row r="38" spans="1:17" ht="17.100000000000001" customHeight="1">
      <c r="A38" s="22">
        <v>45993</v>
      </c>
      <c r="B38" s="15" t="s">
        <v>531</v>
      </c>
      <c r="C38" s="16" t="s">
        <v>3541</v>
      </c>
      <c r="D38" s="16" t="s">
        <v>3482</v>
      </c>
      <c r="E38" s="16" t="s">
        <v>3548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>
        <v>27</v>
      </c>
      <c r="O38" s="16" t="s">
        <v>3549</v>
      </c>
      <c r="P38" s="15" t="s">
        <v>3533</v>
      </c>
      <c r="Q38" s="33" t="s">
        <v>3531</v>
      </c>
    </row>
    <row r="39" spans="1:17" ht="17.100000000000001" customHeight="1">
      <c r="A39" s="22">
        <v>45993</v>
      </c>
      <c r="B39" s="15" t="s">
        <v>531</v>
      </c>
      <c r="C39" s="16" t="s">
        <v>3541</v>
      </c>
      <c r="D39" s="16" t="s">
        <v>3482</v>
      </c>
      <c r="E39" s="16" t="s">
        <v>3546</v>
      </c>
      <c r="F39" s="16" t="s">
        <v>48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>
        <v>7</v>
      </c>
      <c r="O39" s="16" t="s">
        <v>3549</v>
      </c>
      <c r="P39" s="15" t="s">
        <v>3533</v>
      </c>
      <c r="Q39" s="33" t="s">
        <v>3531</v>
      </c>
    </row>
    <row r="40" spans="1:17" ht="17.100000000000001" customHeight="1">
      <c r="A40" s="22">
        <v>45993</v>
      </c>
      <c r="B40" s="15" t="s">
        <v>531</v>
      </c>
      <c r="C40" s="16" t="s">
        <v>3541</v>
      </c>
      <c r="D40" s="16" t="s">
        <v>3472</v>
      </c>
      <c r="E40" s="16" t="s">
        <v>3546</v>
      </c>
      <c r="F40" s="16" t="s">
        <v>48</v>
      </c>
      <c r="G40" s="16" t="s">
        <v>48</v>
      </c>
      <c r="H40" s="16" t="s">
        <v>48</v>
      </c>
      <c r="I40" s="16" t="s">
        <v>48</v>
      </c>
      <c r="J40" s="16" t="s">
        <v>48</v>
      </c>
      <c r="K40" s="16" t="s">
        <v>48</v>
      </c>
      <c r="L40" s="16" t="s">
        <v>48</v>
      </c>
      <c r="M40" s="16" t="s">
        <v>48</v>
      </c>
      <c r="N40" s="16">
        <v>20</v>
      </c>
      <c r="O40" s="16" t="s">
        <v>3549</v>
      </c>
      <c r="P40" s="15" t="s">
        <v>3533</v>
      </c>
      <c r="Q40" s="33" t="s">
        <v>3531</v>
      </c>
    </row>
    <row r="41" spans="1:17" ht="17.100000000000001" customHeight="1">
      <c r="A41" s="22">
        <v>45993</v>
      </c>
      <c r="B41" s="15" t="s">
        <v>531</v>
      </c>
      <c r="C41" s="16" t="s">
        <v>3541</v>
      </c>
      <c r="D41" s="16" t="s">
        <v>3472</v>
      </c>
      <c r="E41" s="16" t="s">
        <v>3547</v>
      </c>
      <c r="F41" s="16" t="s">
        <v>48</v>
      </c>
      <c r="G41" s="16" t="s">
        <v>48</v>
      </c>
      <c r="H41" s="16" t="s">
        <v>48</v>
      </c>
      <c r="I41" s="16" t="s">
        <v>48</v>
      </c>
      <c r="J41" s="16" t="s">
        <v>48</v>
      </c>
      <c r="K41" s="16" t="s">
        <v>48</v>
      </c>
      <c r="L41" s="16" t="s">
        <v>48</v>
      </c>
      <c r="M41" s="16" t="s">
        <v>48</v>
      </c>
      <c r="N41" s="16">
        <v>27</v>
      </c>
      <c r="O41" s="16" t="s">
        <v>3549</v>
      </c>
      <c r="P41" s="15" t="s">
        <v>3533</v>
      </c>
      <c r="Q41" s="33" t="s">
        <v>3531</v>
      </c>
    </row>
    <row r="42" spans="1:17" ht="17.100000000000001" customHeight="1">
      <c r="A42" s="22">
        <v>45993</v>
      </c>
      <c r="B42" s="15" t="s">
        <v>531</v>
      </c>
      <c r="C42" s="16" t="s">
        <v>3541</v>
      </c>
      <c r="D42" s="16" t="s">
        <v>3472</v>
      </c>
      <c r="E42" s="16" t="s">
        <v>3550</v>
      </c>
      <c r="F42" s="16" t="s">
        <v>48</v>
      </c>
      <c r="G42" s="16" t="s">
        <v>48</v>
      </c>
      <c r="H42" s="16" t="s">
        <v>48</v>
      </c>
      <c r="I42" s="16" t="s">
        <v>48</v>
      </c>
      <c r="J42" s="16" t="s">
        <v>48</v>
      </c>
      <c r="K42" s="16" t="s">
        <v>48</v>
      </c>
      <c r="L42" s="16" t="s">
        <v>48</v>
      </c>
      <c r="M42" s="16" t="s">
        <v>48</v>
      </c>
      <c r="N42" s="16">
        <v>54</v>
      </c>
      <c r="O42" s="16" t="s">
        <v>3549</v>
      </c>
      <c r="P42" s="15" t="s">
        <v>3533</v>
      </c>
      <c r="Q42" s="33" t="s">
        <v>3531</v>
      </c>
    </row>
    <row r="43" spans="1:17" ht="17.100000000000001" customHeight="1">
      <c r="A43" s="22">
        <v>45993</v>
      </c>
      <c r="B43" s="15" t="s">
        <v>531</v>
      </c>
      <c r="C43" s="16" t="s">
        <v>3541</v>
      </c>
      <c r="D43" s="16" t="s">
        <v>3479</v>
      </c>
      <c r="E43" s="16" t="s">
        <v>3545</v>
      </c>
      <c r="F43" s="16" t="s">
        <v>48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>
        <v>27</v>
      </c>
      <c r="O43" s="16" t="s">
        <v>3549</v>
      </c>
      <c r="P43" s="15" t="s">
        <v>3533</v>
      </c>
      <c r="Q43" s="33" t="s">
        <v>3531</v>
      </c>
    </row>
    <row r="44" spans="1:17" ht="17.100000000000001" customHeight="1">
      <c r="A44" s="22">
        <v>45993</v>
      </c>
      <c r="B44" s="15" t="s">
        <v>531</v>
      </c>
      <c r="C44" s="16" t="s">
        <v>3541</v>
      </c>
      <c r="D44" s="16" t="s">
        <v>3479</v>
      </c>
      <c r="E44" s="16" t="s">
        <v>3548</v>
      </c>
      <c r="F44" s="16" t="s">
        <v>48</v>
      </c>
      <c r="G44" s="16" t="s">
        <v>48</v>
      </c>
      <c r="H44" s="16" t="s">
        <v>48</v>
      </c>
      <c r="I44" s="16" t="s">
        <v>48</v>
      </c>
      <c r="J44" s="16" t="s">
        <v>48</v>
      </c>
      <c r="K44" s="16" t="s">
        <v>48</v>
      </c>
      <c r="L44" s="16" t="s">
        <v>48</v>
      </c>
      <c r="M44" s="16" t="s">
        <v>48</v>
      </c>
      <c r="N44" s="16">
        <v>27</v>
      </c>
      <c r="O44" s="16" t="s">
        <v>3549</v>
      </c>
      <c r="P44" s="15" t="s">
        <v>3533</v>
      </c>
      <c r="Q44" s="33" t="s">
        <v>3531</v>
      </c>
    </row>
    <row r="45" spans="1:17" ht="17.100000000000001" customHeight="1">
      <c r="A45" s="22">
        <v>45993</v>
      </c>
      <c r="B45" s="15" t="s">
        <v>531</v>
      </c>
      <c r="C45" s="16" t="s">
        <v>3541</v>
      </c>
      <c r="D45" s="16" t="s">
        <v>3479</v>
      </c>
      <c r="E45" s="16" t="s">
        <v>3551</v>
      </c>
      <c r="F45" s="16" t="s">
        <v>48</v>
      </c>
      <c r="G45" s="16" t="s">
        <v>48</v>
      </c>
      <c r="H45" s="16" t="s">
        <v>48</v>
      </c>
      <c r="I45" s="16" t="s">
        <v>48</v>
      </c>
      <c r="J45" s="16" t="s">
        <v>48</v>
      </c>
      <c r="K45" s="16" t="s">
        <v>48</v>
      </c>
      <c r="L45" s="16" t="s">
        <v>48</v>
      </c>
      <c r="M45" s="16" t="s">
        <v>48</v>
      </c>
      <c r="N45" s="16">
        <v>54</v>
      </c>
      <c r="O45" s="16" t="s">
        <v>3549</v>
      </c>
      <c r="P45" s="15" t="s">
        <v>3533</v>
      </c>
      <c r="Q45" s="33" t="s">
        <v>3531</v>
      </c>
    </row>
    <row r="46" spans="1:17" ht="17.100000000000001" customHeight="1">
      <c r="A46" s="22">
        <v>45993</v>
      </c>
      <c r="B46" s="15" t="s">
        <v>531</v>
      </c>
      <c r="C46" s="16" t="s">
        <v>3541</v>
      </c>
      <c r="D46" s="16" t="s">
        <v>3479</v>
      </c>
      <c r="E46" s="16" t="s">
        <v>3520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>
        <v>27</v>
      </c>
      <c r="O46" s="16" t="s">
        <v>3549</v>
      </c>
      <c r="P46" s="15" t="s">
        <v>3533</v>
      </c>
      <c r="Q46" s="33" t="s">
        <v>3531</v>
      </c>
    </row>
    <row r="47" spans="1:17" ht="17.100000000000001" customHeight="1">
      <c r="A47" s="22">
        <v>45993</v>
      </c>
      <c r="B47" s="15" t="s">
        <v>531</v>
      </c>
      <c r="C47" s="16" t="s">
        <v>3541</v>
      </c>
      <c r="D47" s="16" t="s">
        <v>3479</v>
      </c>
      <c r="E47" s="16" t="s">
        <v>3552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>
        <v>27</v>
      </c>
      <c r="O47" s="16" t="s">
        <v>3549</v>
      </c>
      <c r="P47" s="15" t="s">
        <v>3533</v>
      </c>
      <c r="Q47" s="33" t="s">
        <v>3531</v>
      </c>
    </row>
    <row r="48" spans="1:17" ht="17.100000000000001" customHeight="1">
      <c r="A48" s="22">
        <v>45993</v>
      </c>
      <c r="B48" s="15" t="s">
        <v>531</v>
      </c>
      <c r="C48" s="16" t="s">
        <v>3541</v>
      </c>
      <c r="D48" s="16" t="s">
        <v>3479</v>
      </c>
      <c r="E48" s="16" t="s">
        <v>3553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>
        <v>37</v>
      </c>
      <c r="O48" s="16" t="s">
        <v>3549</v>
      </c>
      <c r="P48" s="15" t="s">
        <v>3533</v>
      </c>
      <c r="Q48" s="33" t="s">
        <v>3531</v>
      </c>
    </row>
    <row r="49" spans="1:17" ht="17.100000000000001" customHeight="1">
      <c r="A49" s="22">
        <v>45994</v>
      </c>
      <c r="B49" s="15" t="s">
        <v>531</v>
      </c>
      <c r="C49" s="16" t="s">
        <v>3554</v>
      </c>
      <c r="D49" s="16" t="s">
        <v>3479</v>
      </c>
      <c r="E49" s="16" t="s">
        <v>3553</v>
      </c>
      <c r="F49" s="16" t="s">
        <v>48</v>
      </c>
      <c r="G49" s="16" t="s">
        <v>48</v>
      </c>
      <c r="H49" s="16" t="s">
        <v>48</v>
      </c>
      <c r="I49" s="16" t="s">
        <v>48</v>
      </c>
      <c r="J49" s="16" t="s">
        <v>48</v>
      </c>
      <c r="K49" s="16" t="s">
        <v>48</v>
      </c>
      <c r="L49" s="16" t="s">
        <v>48</v>
      </c>
      <c r="M49" s="16" t="s">
        <v>48</v>
      </c>
      <c r="N49" s="16">
        <v>11</v>
      </c>
      <c r="O49" s="16" t="s">
        <v>3559</v>
      </c>
      <c r="P49" s="15" t="s">
        <v>3533</v>
      </c>
      <c r="Q49" s="33" t="s">
        <v>3531</v>
      </c>
    </row>
    <row r="50" spans="1:17" ht="17.100000000000001" customHeight="1">
      <c r="A50" s="22">
        <v>45994</v>
      </c>
      <c r="B50" s="15" t="s">
        <v>531</v>
      </c>
      <c r="C50" s="16" t="s">
        <v>3554</v>
      </c>
      <c r="D50" s="16" t="s">
        <v>3482</v>
      </c>
      <c r="E50" s="16" t="s">
        <v>3555</v>
      </c>
      <c r="F50" s="16" t="s">
        <v>48</v>
      </c>
      <c r="G50" s="16" t="s">
        <v>48</v>
      </c>
      <c r="H50" s="16" t="s">
        <v>48</v>
      </c>
      <c r="I50" s="16" t="s">
        <v>48</v>
      </c>
      <c r="J50" s="16" t="s">
        <v>48</v>
      </c>
      <c r="K50" s="16" t="s">
        <v>48</v>
      </c>
      <c r="L50" s="16" t="s">
        <v>48</v>
      </c>
      <c r="M50" s="16" t="s">
        <v>48</v>
      </c>
      <c r="N50" s="16">
        <v>54</v>
      </c>
      <c r="O50" s="16" t="s">
        <v>3559</v>
      </c>
      <c r="P50" s="15" t="s">
        <v>3533</v>
      </c>
      <c r="Q50" s="33" t="s">
        <v>3531</v>
      </c>
    </row>
    <row r="51" spans="1:17" ht="17.100000000000001" customHeight="1">
      <c r="A51" s="22">
        <v>45994</v>
      </c>
      <c r="B51" s="15" t="s">
        <v>531</v>
      </c>
      <c r="C51" s="16" t="s">
        <v>3554</v>
      </c>
      <c r="D51" s="16" t="s">
        <v>3482</v>
      </c>
      <c r="E51" s="16" t="s">
        <v>3556</v>
      </c>
      <c r="F51" s="16" t="s">
        <v>48</v>
      </c>
      <c r="G51" s="16" t="s">
        <v>48</v>
      </c>
      <c r="H51" s="16" t="s">
        <v>48</v>
      </c>
      <c r="I51" s="16" t="s">
        <v>48</v>
      </c>
      <c r="J51" s="16" t="s">
        <v>48</v>
      </c>
      <c r="K51" s="16" t="s">
        <v>48</v>
      </c>
      <c r="L51" s="16" t="s">
        <v>48</v>
      </c>
      <c r="M51" s="16" t="s">
        <v>48</v>
      </c>
      <c r="N51" s="16">
        <v>54</v>
      </c>
      <c r="O51" s="16" t="s">
        <v>3559</v>
      </c>
      <c r="P51" s="15" t="s">
        <v>3533</v>
      </c>
      <c r="Q51" s="33" t="s">
        <v>3531</v>
      </c>
    </row>
    <row r="52" spans="1:17" ht="17.100000000000001" customHeight="1">
      <c r="A52" s="22">
        <v>45994</v>
      </c>
      <c r="B52" s="15" t="s">
        <v>531</v>
      </c>
      <c r="C52" s="16" t="s">
        <v>3554</v>
      </c>
      <c r="D52" s="16" t="s">
        <v>3482</v>
      </c>
      <c r="E52" s="16" t="s">
        <v>3557</v>
      </c>
      <c r="F52" s="16" t="s">
        <v>48</v>
      </c>
      <c r="G52" s="16" t="s">
        <v>48</v>
      </c>
      <c r="H52" s="16" t="s">
        <v>48</v>
      </c>
      <c r="I52" s="16" t="s">
        <v>48</v>
      </c>
      <c r="J52" s="16" t="s">
        <v>48</v>
      </c>
      <c r="K52" s="16" t="s">
        <v>48</v>
      </c>
      <c r="L52" s="16" t="s">
        <v>48</v>
      </c>
      <c r="M52" s="16" t="s">
        <v>48</v>
      </c>
      <c r="N52" s="16">
        <v>54</v>
      </c>
      <c r="O52" s="16" t="s">
        <v>3559</v>
      </c>
      <c r="P52" s="15" t="s">
        <v>3533</v>
      </c>
      <c r="Q52" s="33" t="s">
        <v>3531</v>
      </c>
    </row>
    <row r="53" spans="1:17" ht="17.100000000000001" customHeight="1">
      <c r="A53" s="22">
        <v>45994</v>
      </c>
      <c r="B53" s="15" t="s">
        <v>531</v>
      </c>
      <c r="C53" s="16" t="s">
        <v>3554</v>
      </c>
      <c r="D53" s="16" t="s">
        <v>3482</v>
      </c>
      <c r="E53" s="16" t="s">
        <v>3558</v>
      </c>
      <c r="F53" s="16" t="s">
        <v>48</v>
      </c>
      <c r="G53" s="16" t="s">
        <v>48</v>
      </c>
      <c r="H53" s="16" t="s">
        <v>48</v>
      </c>
      <c r="I53" s="16" t="s">
        <v>48</v>
      </c>
      <c r="J53" s="16" t="s">
        <v>48</v>
      </c>
      <c r="K53" s="16" t="s">
        <v>48</v>
      </c>
      <c r="L53" s="16" t="s">
        <v>48</v>
      </c>
      <c r="M53" s="16" t="s">
        <v>48</v>
      </c>
      <c r="N53" s="16">
        <v>27</v>
      </c>
      <c r="O53" s="16" t="s">
        <v>3559</v>
      </c>
      <c r="P53" s="15" t="s">
        <v>3533</v>
      </c>
      <c r="Q53" s="33" t="s">
        <v>3531</v>
      </c>
    </row>
    <row r="54" spans="1:17" ht="17.100000000000001" customHeight="1">
      <c r="A54" s="22">
        <v>45994</v>
      </c>
      <c r="B54" s="15" t="s">
        <v>29</v>
      </c>
      <c r="C54" s="16" t="s">
        <v>3554</v>
      </c>
      <c r="D54" s="16" t="s">
        <v>3562</v>
      </c>
      <c r="E54" s="16" t="s">
        <v>48</v>
      </c>
      <c r="F54" s="16" t="s">
        <v>48</v>
      </c>
      <c r="G54" s="16" t="s">
        <v>48</v>
      </c>
      <c r="H54" s="16" t="s">
        <v>48</v>
      </c>
      <c r="I54" s="16" t="s">
        <v>48</v>
      </c>
      <c r="J54" s="16" t="s">
        <v>48</v>
      </c>
      <c r="K54" s="16" t="s">
        <v>48</v>
      </c>
      <c r="L54" s="16" t="s">
        <v>48</v>
      </c>
      <c r="M54" s="16" t="s">
        <v>48</v>
      </c>
      <c r="N54" s="16">
        <v>300</v>
      </c>
      <c r="O54" s="16" t="s">
        <v>3567</v>
      </c>
      <c r="P54" s="15" t="s">
        <v>3561</v>
      </c>
      <c r="Q54" s="33" t="s">
        <v>3560</v>
      </c>
    </row>
    <row r="55" spans="1:17" ht="17.100000000000001" customHeight="1">
      <c r="A55" s="22">
        <v>45994</v>
      </c>
      <c r="B55" s="15" t="s">
        <v>29</v>
      </c>
      <c r="C55" s="16" t="s">
        <v>3554</v>
      </c>
      <c r="D55" s="16" t="s">
        <v>3563</v>
      </c>
      <c r="E55" s="16" t="s">
        <v>48</v>
      </c>
      <c r="F55" s="16" t="s">
        <v>48</v>
      </c>
      <c r="G55" s="16" t="s">
        <v>48</v>
      </c>
      <c r="H55" s="16" t="s">
        <v>48</v>
      </c>
      <c r="I55" s="16" t="s">
        <v>48</v>
      </c>
      <c r="J55" s="16" t="s">
        <v>48</v>
      </c>
      <c r="K55" s="16" t="s">
        <v>48</v>
      </c>
      <c r="L55" s="16" t="s">
        <v>48</v>
      </c>
      <c r="M55" s="16" t="s">
        <v>48</v>
      </c>
      <c r="N55" s="16">
        <v>300</v>
      </c>
      <c r="O55" s="16" t="s">
        <v>3568</v>
      </c>
      <c r="P55" s="15" t="s">
        <v>3561</v>
      </c>
      <c r="Q55" s="33" t="s">
        <v>3560</v>
      </c>
    </row>
    <row r="56" spans="1:17" ht="17.100000000000001" customHeight="1">
      <c r="A56" s="22">
        <v>45994</v>
      </c>
      <c r="B56" s="15" t="s">
        <v>29</v>
      </c>
      <c r="C56" s="16" t="s">
        <v>3554</v>
      </c>
      <c r="D56" s="16" t="s">
        <v>3564</v>
      </c>
      <c r="E56" s="16" t="s">
        <v>48</v>
      </c>
      <c r="F56" s="16" t="s">
        <v>48</v>
      </c>
      <c r="G56" s="16" t="s">
        <v>48</v>
      </c>
      <c r="H56" s="16" t="s">
        <v>48</v>
      </c>
      <c r="I56" s="16" t="s">
        <v>48</v>
      </c>
      <c r="J56" s="16" t="s">
        <v>48</v>
      </c>
      <c r="K56" s="16" t="s">
        <v>48</v>
      </c>
      <c r="L56" s="16" t="s">
        <v>48</v>
      </c>
      <c r="M56" s="16" t="s">
        <v>48</v>
      </c>
      <c r="N56" s="16">
        <v>100</v>
      </c>
      <c r="O56" s="16" t="s">
        <v>3567</v>
      </c>
      <c r="P56" s="15" t="s">
        <v>3561</v>
      </c>
      <c r="Q56" s="33" t="s">
        <v>3560</v>
      </c>
    </row>
    <row r="57" spans="1:17" ht="17.100000000000001" customHeight="1">
      <c r="A57" s="22">
        <v>45994</v>
      </c>
      <c r="B57" s="15" t="s">
        <v>29</v>
      </c>
      <c r="C57" s="16" t="s">
        <v>3554</v>
      </c>
      <c r="D57" s="16" t="s">
        <v>3566</v>
      </c>
      <c r="E57" s="16" t="s">
        <v>48</v>
      </c>
      <c r="F57" s="16" t="s">
        <v>48</v>
      </c>
      <c r="G57" s="16" t="s">
        <v>48</v>
      </c>
      <c r="H57" s="16" t="s">
        <v>48</v>
      </c>
      <c r="I57" s="16" t="s">
        <v>48</v>
      </c>
      <c r="J57" s="16" t="s">
        <v>48</v>
      </c>
      <c r="K57" s="16" t="s">
        <v>48</v>
      </c>
      <c r="L57" s="16" t="s">
        <v>48</v>
      </c>
      <c r="M57" s="16" t="s">
        <v>48</v>
      </c>
      <c r="N57" s="16">
        <v>50</v>
      </c>
      <c r="O57" s="16" t="s">
        <v>3567</v>
      </c>
      <c r="P57" s="15" t="s">
        <v>3561</v>
      </c>
      <c r="Q57" s="33" t="s">
        <v>3560</v>
      </c>
    </row>
    <row r="58" spans="1:17" ht="17.100000000000001" customHeight="1">
      <c r="A58" s="22">
        <v>45995</v>
      </c>
      <c r="B58" s="15" t="s">
        <v>29</v>
      </c>
      <c r="C58" s="16" t="s">
        <v>3565</v>
      </c>
      <c r="D58" s="16" t="s">
        <v>3566</v>
      </c>
      <c r="E58" s="16" t="s">
        <v>48</v>
      </c>
      <c r="F58" s="16" t="s">
        <v>48</v>
      </c>
      <c r="G58" s="16" t="s">
        <v>48</v>
      </c>
      <c r="H58" s="16" t="s">
        <v>48</v>
      </c>
      <c r="I58" s="16" t="s">
        <v>48</v>
      </c>
      <c r="J58" s="16" t="s">
        <v>48</v>
      </c>
      <c r="K58" s="16" t="s">
        <v>48</v>
      </c>
      <c r="L58" s="16" t="s">
        <v>48</v>
      </c>
      <c r="M58" s="16" t="s">
        <v>48</v>
      </c>
      <c r="N58" s="16">
        <v>50</v>
      </c>
      <c r="O58" s="16" t="s">
        <v>3567</v>
      </c>
      <c r="P58" s="15" t="s">
        <v>3561</v>
      </c>
      <c r="Q58" s="33" t="s">
        <v>3560</v>
      </c>
    </row>
    <row r="59" spans="1:17" ht="17.100000000000001" customHeight="1">
      <c r="A59" s="22">
        <v>45995</v>
      </c>
      <c r="B59" s="15" t="s">
        <v>29</v>
      </c>
      <c r="C59" s="16" t="s">
        <v>3565</v>
      </c>
      <c r="D59" s="16" t="s">
        <v>3569</v>
      </c>
      <c r="E59" s="16" t="s">
        <v>48</v>
      </c>
      <c r="F59" s="16" t="s">
        <v>48</v>
      </c>
      <c r="G59" s="16" t="s">
        <v>48</v>
      </c>
      <c r="H59" s="16" t="s">
        <v>48</v>
      </c>
      <c r="I59" s="16" t="s">
        <v>48</v>
      </c>
      <c r="J59" s="16" t="s">
        <v>48</v>
      </c>
      <c r="K59" s="16" t="s">
        <v>48</v>
      </c>
      <c r="L59" s="16" t="s">
        <v>48</v>
      </c>
      <c r="M59" s="16" t="s">
        <v>48</v>
      </c>
      <c r="N59" s="16">
        <v>200</v>
      </c>
      <c r="O59" s="16" t="s">
        <v>3567</v>
      </c>
      <c r="P59" s="15" t="s">
        <v>3561</v>
      </c>
      <c r="Q59" s="33" t="s">
        <v>3560</v>
      </c>
    </row>
    <row r="60" spans="1:17" ht="17.100000000000001" customHeight="1">
      <c r="A60" s="22">
        <v>45995</v>
      </c>
      <c r="B60" s="15" t="s">
        <v>29</v>
      </c>
      <c r="C60" s="16" t="s">
        <v>3565</v>
      </c>
      <c r="D60" s="16" t="s">
        <v>3564</v>
      </c>
      <c r="E60" s="16" t="s">
        <v>48</v>
      </c>
      <c r="F60" s="16" t="s">
        <v>48</v>
      </c>
      <c r="G60" s="16" t="s">
        <v>48</v>
      </c>
      <c r="H60" s="16" t="s">
        <v>48</v>
      </c>
      <c r="I60" s="16" t="s">
        <v>48</v>
      </c>
      <c r="J60" s="16" t="s">
        <v>48</v>
      </c>
      <c r="K60" s="16" t="s">
        <v>48</v>
      </c>
      <c r="L60" s="16" t="s">
        <v>48</v>
      </c>
      <c r="M60" s="16" t="s">
        <v>48</v>
      </c>
      <c r="N60" s="16">
        <v>100</v>
      </c>
      <c r="O60" s="16" t="s">
        <v>3567</v>
      </c>
      <c r="P60" s="15" t="s">
        <v>3561</v>
      </c>
      <c r="Q60" s="33" t="s">
        <v>3560</v>
      </c>
    </row>
    <row r="61" spans="1:17" ht="17.100000000000001" customHeight="1">
      <c r="A61" s="22">
        <v>45995</v>
      </c>
      <c r="B61" s="15" t="s">
        <v>29</v>
      </c>
      <c r="C61" s="16" t="s">
        <v>3565</v>
      </c>
      <c r="D61" s="16" t="s">
        <v>3570</v>
      </c>
      <c r="E61" s="16" t="s">
        <v>48</v>
      </c>
      <c r="F61" s="16" t="s">
        <v>48</v>
      </c>
      <c r="G61" s="16" t="s">
        <v>48</v>
      </c>
      <c r="H61" s="16" t="s">
        <v>48</v>
      </c>
      <c r="I61" s="16" t="s">
        <v>48</v>
      </c>
      <c r="J61" s="16" t="s">
        <v>48</v>
      </c>
      <c r="K61" s="16" t="s">
        <v>48</v>
      </c>
      <c r="L61" s="16" t="s">
        <v>48</v>
      </c>
      <c r="M61" s="16" t="s">
        <v>48</v>
      </c>
      <c r="N61" s="16">
        <v>300</v>
      </c>
      <c r="O61" s="16" t="s">
        <v>3571</v>
      </c>
      <c r="P61" s="15" t="s">
        <v>3561</v>
      </c>
      <c r="Q61" s="33" t="s">
        <v>3560</v>
      </c>
    </row>
    <row r="62" spans="1:17" ht="17.100000000000001" customHeight="1">
      <c r="A62" s="22">
        <v>45995</v>
      </c>
      <c r="B62" s="15" t="s">
        <v>29</v>
      </c>
      <c r="C62" s="16" t="s">
        <v>3565</v>
      </c>
      <c r="D62" s="16" t="s">
        <v>3566</v>
      </c>
      <c r="E62" s="16" t="s">
        <v>48</v>
      </c>
      <c r="F62" s="16" t="s">
        <v>48</v>
      </c>
      <c r="G62" s="16" t="s">
        <v>48</v>
      </c>
      <c r="H62" s="16" t="s">
        <v>48</v>
      </c>
      <c r="I62" s="16" t="s">
        <v>48</v>
      </c>
      <c r="J62" s="16" t="s">
        <v>48</v>
      </c>
      <c r="K62" s="16" t="s">
        <v>48</v>
      </c>
      <c r="L62" s="16" t="s">
        <v>48</v>
      </c>
      <c r="M62" s="16" t="s">
        <v>48</v>
      </c>
      <c r="N62" s="16">
        <v>100</v>
      </c>
      <c r="O62" s="16" t="s">
        <v>3571</v>
      </c>
      <c r="P62" s="15" t="s">
        <v>3561</v>
      </c>
      <c r="Q62" s="33" t="s">
        <v>3560</v>
      </c>
    </row>
    <row r="63" spans="1:17" ht="17.100000000000001" customHeight="1">
      <c r="A63" s="22">
        <v>45995</v>
      </c>
      <c r="B63" s="15" t="s">
        <v>119</v>
      </c>
      <c r="C63" s="16" t="s">
        <v>3565</v>
      </c>
      <c r="D63" s="16" t="s">
        <v>3443</v>
      </c>
      <c r="E63" s="16"/>
      <c r="F63" s="16" t="s">
        <v>48</v>
      </c>
      <c r="G63" s="16" t="s">
        <v>48</v>
      </c>
      <c r="H63" s="16" t="s">
        <v>48</v>
      </c>
      <c r="I63" s="16" t="s">
        <v>48</v>
      </c>
      <c r="J63" s="16" t="s">
        <v>48</v>
      </c>
      <c r="K63" s="16" t="s">
        <v>48</v>
      </c>
      <c r="L63" s="16" t="s">
        <v>48</v>
      </c>
      <c r="M63" s="16" t="s">
        <v>48</v>
      </c>
      <c r="N63" s="16">
        <v>48</v>
      </c>
      <c r="O63" s="16" t="s">
        <v>3572</v>
      </c>
      <c r="P63" s="15" t="s">
        <v>3575</v>
      </c>
      <c r="Q63" s="33" t="s">
        <v>3574</v>
      </c>
    </row>
    <row r="64" spans="1:17" ht="17.100000000000001" customHeight="1">
      <c r="A64" s="22">
        <v>45995</v>
      </c>
      <c r="B64" s="15" t="s">
        <v>119</v>
      </c>
      <c r="C64" s="16" t="s">
        <v>3565</v>
      </c>
      <c r="D64" s="16" t="s">
        <v>3451</v>
      </c>
      <c r="E64" s="16"/>
      <c r="F64" s="16" t="s">
        <v>48</v>
      </c>
      <c r="G64" s="16" t="s">
        <v>48</v>
      </c>
      <c r="H64" s="16" t="s">
        <v>48</v>
      </c>
      <c r="I64" s="16" t="s">
        <v>48</v>
      </c>
      <c r="J64" s="16" t="s">
        <v>48</v>
      </c>
      <c r="K64" s="16" t="s">
        <v>48</v>
      </c>
      <c r="L64" s="16" t="s">
        <v>48</v>
      </c>
      <c r="M64" s="16" t="s">
        <v>48</v>
      </c>
      <c r="N64" s="16">
        <v>32</v>
      </c>
      <c r="O64" s="16" t="s">
        <v>3572</v>
      </c>
      <c r="P64" s="15" t="s">
        <v>3575</v>
      </c>
      <c r="Q64" s="33" t="s">
        <v>3574</v>
      </c>
    </row>
    <row r="65" spans="1:17" ht="17.100000000000001" customHeight="1">
      <c r="A65" s="22">
        <v>45996</v>
      </c>
      <c r="B65" s="15" t="s">
        <v>119</v>
      </c>
      <c r="C65" s="16" t="s">
        <v>3576</v>
      </c>
      <c r="D65" s="16" t="s">
        <v>3451</v>
      </c>
      <c r="E65" s="16"/>
      <c r="F65" s="16" t="s">
        <v>48</v>
      </c>
      <c r="G65" s="16" t="s">
        <v>48</v>
      </c>
      <c r="H65" s="16" t="s">
        <v>48</v>
      </c>
      <c r="I65" s="16" t="s">
        <v>48</v>
      </c>
      <c r="J65" s="16" t="s">
        <v>48</v>
      </c>
      <c r="K65" s="16" t="s">
        <v>48</v>
      </c>
      <c r="L65" s="16" t="s">
        <v>48</v>
      </c>
      <c r="M65" s="16" t="s">
        <v>48</v>
      </c>
      <c r="N65" s="16">
        <f>74-32</f>
        <v>42</v>
      </c>
      <c r="O65" s="16" t="s">
        <v>3567</v>
      </c>
      <c r="P65" s="15" t="s">
        <v>3575</v>
      </c>
      <c r="Q65" s="33" t="s">
        <v>3574</v>
      </c>
    </row>
    <row r="66" spans="1:17" ht="17.100000000000001" customHeight="1">
      <c r="A66" s="22">
        <v>45996</v>
      </c>
      <c r="B66" s="15" t="s">
        <v>119</v>
      </c>
      <c r="C66" s="16" t="s">
        <v>3576</v>
      </c>
      <c r="D66" s="16" t="s">
        <v>3577</v>
      </c>
      <c r="E66" s="16"/>
      <c r="F66" s="16" t="s">
        <v>48</v>
      </c>
      <c r="G66" s="16" t="s">
        <v>48</v>
      </c>
      <c r="H66" s="16" t="s">
        <v>48</v>
      </c>
      <c r="I66" s="16" t="s">
        <v>48</v>
      </c>
      <c r="J66" s="16" t="s">
        <v>48</v>
      </c>
      <c r="K66" s="16" t="s">
        <v>48</v>
      </c>
      <c r="L66" s="16" t="s">
        <v>48</v>
      </c>
      <c r="M66" s="16" t="s">
        <v>48</v>
      </c>
      <c r="N66" s="16">
        <v>65</v>
      </c>
      <c r="O66" s="16" t="s">
        <v>3567</v>
      </c>
      <c r="P66" s="15" t="s">
        <v>3575</v>
      </c>
      <c r="Q66" s="33" t="s">
        <v>3574</v>
      </c>
    </row>
    <row r="67" spans="1:17" ht="17.100000000000001" customHeight="1">
      <c r="A67" s="22">
        <v>45996</v>
      </c>
      <c r="B67" s="15" t="s">
        <v>119</v>
      </c>
      <c r="C67" s="16" t="s">
        <v>3576</v>
      </c>
      <c r="D67" s="16" t="s">
        <v>3573</v>
      </c>
      <c r="E67" s="16"/>
      <c r="F67" s="16" t="s">
        <v>48</v>
      </c>
      <c r="G67" s="16" t="s">
        <v>48</v>
      </c>
      <c r="H67" s="16" t="s">
        <v>48</v>
      </c>
      <c r="I67" s="16" t="s">
        <v>48</v>
      </c>
      <c r="J67" s="16" t="s">
        <v>48</v>
      </c>
      <c r="K67" s="16" t="s">
        <v>48</v>
      </c>
      <c r="L67" s="16" t="s">
        <v>48</v>
      </c>
      <c r="M67" s="16" t="s">
        <v>48</v>
      </c>
      <c r="N67" s="16">
        <v>35</v>
      </c>
      <c r="O67" s="16" t="s">
        <v>3567</v>
      </c>
      <c r="P67" s="15" t="s">
        <v>3575</v>
      </c>
      <c r="Q67" s="33" t="s">
        <v>3574</v>
      </c>
    </row>
    <row r="68" spans="1:17" ht="17.100000000000001" customHeight="1">
      <c r="A68" s="22">
        <v>45996</v>
      </c>
      <c r="B68" s="15" t="s">
        <v>119</v>
      </c>
      <c r="C68" s="16" t="s">
        <v>3576</v>
      </c>
      <c r="D68" s="16" t="s">
        <v>3578</v>
      </c>
      <c r="E68" s="16"/>
      <c r="F68" s="16" t="s">
        <v>48</v>
      </c>
      <c r="G68" s="16" t="s">
        <v>48</v>
      </c>
      <c r="H68" s="16" t="s">
        <v>48</v>
      </c>
      <c r="I68" s="16" t="s">
        <v>48</v>
      </c>
      <c r="J68" s="16" t="s">
        <v>48</v>
      </c>
      <c r="K68" s="16" t="s">
        <v>48</v>
      </c>
      <c r="L68" s="16" t="s">
        <v>48</v>
      </c>
      <c r="M68" s="16" t="s">
        <v>48</v>
      </c>
      <c r="N68" s="16">
        <v>18</v>
      </c>
      <c r="O68" s="16" t="s">
        <v>3567</v>
      </c>
      <c r="P68" s="15" t="s">
        <v>3575</v>
      </c>
      <c r="Q68" s="33" t="s">
        <v>3574</v>
      </c>
    </row>
    <row r="69" spans="1:17" ht="17.100000000000001" customHeight="1">
      <c r="A69" s="22">
        <v>45996</v>
      </c>
      <c r="B69" s="15" t="s">
        <v>59</v>
      </c>
      <c r="C69" s="16" t="s">
        <v>3576</v>
      </c>
      <c r="D69" s="16" t="s">
        <v>3579</v>
      </c>
      <c r="E69" s="16" t="s">
        <v>48</v>
      </c>
      <c r="F69" s="16" t="s">
        <v>48</v>
      </c>
      <c r="G69" s="16" t="s">
        <v>48</v>
      </c>
      <c r="H69" s="16" t="s">
        <v>48</v>
      </c>
      <c r="I69" s="16" t="s">
        <v>48</v>
      </c>
      <c r="J69" s="16" t="s">
        <v>48</v>
      </c>
      <c r="K69" s="16" t="s">
        <v>48</v>
      </c>
      <c r="L69" s="16" t="s">
        <v>48</v>
      </c>
      <c r="M69" s="16" t="s">
        <v>48</v>
      </c>
      <c r="N69" s="16">
        <v>120</v>
      </c>
      <c r="O69" s="16" t="s">
        <v>3590</v>
      </c>
      <c r="P69" s="15" t="s">
        <v>3581</v>
      </c>
      <c r="Q69" s="33" t="s">
        <v>3580</v>
      </c>
    </row>
    <row r="70" spans="1:17" ht="17.100000000000001" customHeight="1">
      <c r="A70" s="22">
        <v>45996</v>
      </c>
      <c r="B70" s="15" t="s">
        <v>2308</v>
      </c>
      <c r="C70" s="16" t="s">
        <v>3576</v>
      </c>
      <c r="D70" s="16" t="s">
        <v>3579</v>
      </c>
      <c r="E70" s="16" t="s">
        <v>48</v>
      </c>
      <c r="F70" s="16" t="s">
        <v>48</v>
      </c>
      <c r="G70" s="16" t="s">
        <v>48</v>
      </c>
      <c r="H70" s="16" t="s">
        <v>48</v>
      </c>
      <c r="I70" s="16" t="s">
        <v>48</v>
      </c>
      <c r="J70" s="16" t="s">
        <v>48</v>
      </c>
      <c r="K70" s="16" t="s">
        <v>48</v>
      </c>
      <c r="L70" s="16" t="s">
        <v>48</v>
      </c>
      <c r="M70" s="16" t="s">
        <v>48</v>
      </c>
      <c r="N70" s="16">
        <v>70</v>
      </c>
      <c r="O70" s="16" t="s">
        <v>3590</v>
      </c>
      <c r="P70" s="15" t="s">
        <v>3583</v>
      </c>
      <c r="Q70" s="33" t="s">
        <v>3582</v>
      </c>
    </row>
    <row r="71" spans="1:17" ht="17.100000000000001" customHeight="1">
      <c r="A71" s="22">
        <v>45996</v>
      </c>
      <c r="B71" s="15" t="s">
        <v>1648</v>
      </c>
      <c r="C71" s="16" t="s">
        <v>3576</v>
      </c>
      <c r="D71" s="16" t="s">
        <v>3579</v>
      </c>
      <c r="E71" s="16" t="s">
        <v>48</v>
      </c>
      <c r="F71" s="16" t="s">
        <v>48</v>
      </c>
      <c r="G71" s="16" t="s">
        <v>48</v>
      </c>
      <c r="H71" s="16" t="s">
        <v>48</v>
      </c>
      <c r="I71" s="16" t="s">
        <v>48</v>
      </c>
      <c r="J71" s="16" t="s">
        <v>48</v>
      </c>
      <c r="K71" s="16" t="s">
        <v>48</v>
      </c>
      <c r="L71" s="16" t="s">
        <v>48</v>
      </c>
      <c r="M71" s="16" t="s">
        <v>48</v>
      </c>
      <c r="N71" s="16">
        <v>60</v>
      </c>
      <c r="O71" s="16" t="s">
        <v>3588</v>
      </c>
      <c r="P71" s="15" t="s">
        <v>3585</v>
      </c>
      <c r="Q71" s="33" t="s">
        <v>3584</v>
      </c>
    </row>
    <row r="72" spans="1:17" ht="17.100000000000001" customHeight="1">
      <c r="A72" s="22">
        <v>45996</v>
      </c>
      <c r="B72" s="15" t="s">
        <v>28</v>
      </c>
      <c r="C72" s="16" t="s">
        <v>3576</v>
      </c>
      <c r="D72" s="16" t="s">
        <v>3586</v>
      </c>
      <c r="E72" s="16" t="s">
        <v>3587</v>
      </c>
      <c r="F72" s="16" t="s">
        <v>48</v>
      </c>
      <c r="G72" s="16" t="s">
        <v>48</v>
      </c>
      <c r="H72" s="16" t="s">
        <v>48</v>
      </c>
      <c r="I72" s="16" t="s">
        <v>48</v>
      </c>
      <c r="J72" s="16" t="s">
        <v>48</v>
      </c>
      <c r="K72" s="16" t="s">
        <v>48</v>
      </c>
      <c r="L72" s="16" t="s">
        <v>48</v>
      </c>
      <c r="M72" s="16" t="s">
        <v>48</v>
      </c>
      <c r="N72" s="16">
        <v>80</v>
      </c>
      <c r="O72" s="16" t="s">
        <v>3589</v>
      </c>
      <c r="P72" s="15" t="s">
        <v>3604</v>
      </c>
      <c r="Q72" s="33" t="s">
        <v>3603</v>
      </c>
    </row>
    <row r="73" spans="1:17" ht="17.100000000000001" customHeight="1">
      <c r="A73" s="22">
        <v>46000</v>
      </c>
      <c r="B73" s="15" t="s">
        <v>162</v>
      </c>
      <c r="C73" s="16" t="s">
        <v>3591</v>
      </c>
      <c r="D73" s="16" t="s">
        <v>3586</v>
      </c>
      <c r="E73" s="16" t="s">
        <v>3587</v>
      </c>
      <c r="F73" s="16" t="s">
        <v>48</v>
      </c>
      <c r="G73" s="16" t="s">
        <v>48</v>
      </c>
      <c r="H73" s="16" t="s">
        <v>48</v>
      </c>
      <c r="I73" s="16" t="s">
        <v>48</v>
      </c>
      <c r="J73" s="16" t="s">
        <v>48</v>
      </c>
      <c r="K73" s="16" t="s">
        <v>48</v>
      </c>
      <c r="L73" s="16" t="s">
        <v>48</v>
      </c>
      <c r="M73" s="16" t="s">
        <v>48</v>
      </c>
      <c r="N73" s="16">
        <v>40</v>
      </c>
      <c r="O73" s="16" t="s">
        <v>3589</v>
      </c>
      <c r="P73" s="15" t="s">
        <v>3592</v>
      </c>
      <c r="Q73" s="33" t="s">
        <v>3602</v>
      </c>
    </row>
    <row r="74" spans="1:17" ht="17.100000000000001" customHeight="1">
      <c r="A74" s="22">
        <v>46000</v>
      </c>
      <c r="B74" s="15" t="s">
        <v>3593</v>
      </c>
      <c r="C74" s="16" t="s">
        <v>3591</v>
      </c>
      <c r="D74" s="16" t="s">
        <v>48</v>
      </c>
      <c r="E74" s="16" t="s">
        <v>48</v>
      </c>
      <c r="F74" s="16" t="s">
        <v>3447</v>
      </c>
      <c r="G74" s="16" t="s">
        <v>48</v>
      </c>
      <c r="H74" s="16" t="s">
        <v>48</v>
      </c>
      <c r="I74" s="16" t="s">
        <v>48</v>
      </c>
      <c r="J74" s="16" t="s">
        <v>48</v>
      </c>
      <c r="K74" s="16" t="s">
        <v>48</v>
      </c>
      <c r="L74" s="16" t="s">
        <v>48</v>
      </c>
      <c r="M74" s="16" t="s">
        <v>48</v>
      </c>
      <c r="N74" s="16">
        <v>40</v>
      </c>
      <c r="O74" s="16" t="s">
        <v>3589</v>
      </c>
      <c r="P74" s="15" t="s">
        <v>3594</v>
      </c>
      <c r="Q74" s="33" t="s">
        <v>3601</v>
      </c>
    </row>
    <row r="75" spans="1:17" ht="17.100000000000001" customHeight="1">
      <c r="A75" s="22">
        <v>46000</v>
      </c>
      <c r="B75" s="15" t="s">
        <v>143</v>
      </c>
      <c r="C75" s="16" t="s">
        <v>3591</v>
      </c>
      <c r="D75" s="16" t="s">
        <v>3595</v>
      </c>
      <c r="E75" s="16" t="s">
        <v>48</v>
      </c>
      <c r="F75" s="16" t="s">
        <v>48</v>
      </c>
      <c r="G75" s="16" t="s">
        <v>48</v>
      </c>
      <c r="H75" s="16" t="s">
        <v>48</v>
      </c>
      <c r="I75" s="16" t="s">
        <v>48</v>
      </c>
      <c r="J75" s="16" t="s">
        <v>48</v>
      </c>
      <c r="K75" s="16" t="s">
        <v>48</v>
      </c>
      <c r="L75" s="16" t="s">
        <v>48</v>
      </c>
      <c r="M75" s="16" t="s">
        <v>48</v>
      </c>
      <c r="N75" s="16">
        <v>62</v>
      </c>
      <c r="O75" s="16" t="s">
        <v>3597</v>
      </c>
      <c r="P75" s="15" t="s">
        <v>3598</v>
      </c>
      <c r="Q75" s="33" t="s">
        <v>3600</v>
      </c>
    </row>
    <row r="76" spans="1:17" ht="17.100000000000001" customHeight="1">
      <c r="A76" s="22">
        <v>46000</v>
      </c>
      <c r="B76" s="15" t="s">
        <v>143</v>
      </c>
      <c r="C76" s="16" t="s">
        <v>3591</v>
      </c>
      <c r="D76" s="16" t="s">
        <v>3596</v>
      </c>
      <c r="E76" s="16" t="s">
        <v>48</v>
      </c>
      <c r="F76" s="16" t="s">
        <v>48</v>
      </c>
      <c r="G76" s="16" t="s">
        <v>48</v>
      </c>
      <c r="H76" s="16" t="s">
        <v>48</v>
      </c>
      <c r="I76" s="16" t="s">
        <v>48</v>
      </c>
      <c r="J76" s="16" t="s">
        <v>48</v>
      </c>
      <c r="K76" s="16" t="s">
        <v>48</v>
      </c>
      <c r="L76" s="16" t="s">
        <v>48</v>
      </c>
      <c r="M76" s="16" t="s">
        <v>48</v>
      </c>
      <c r="N76" s="16">
        <v>40</v>
      </c>
      <c r="O76" s="16" t="s">
        <v>3597</v>
      </c>
      <c r="P76" s="15" t="s">
        <v>3598</v>
      </c>
      <c r="Q76" s="33" t="s">
        <v>3600</v>
      </c>
    </row>
    <row r="77" spans="1:17" ht="17.100000000000001" customHeight="1">
      <c r="A77" s="22">
        <v>46000</v>
      </c>
      <c r="B77" s="15" t="s">
        <v>143</v>
      </c>
      <c r="C77" s="16" t="s">
        <v>3591</v>
      </c>
      <c r="D77" s="16" t="s">
        <v>3578</v>
      </c>
      <c r="E77" s="16" t="s">
        <v>48</v>
      </c>
      <c r="F77" s="16" t="s">
        <v>48</v>
      </c>
      <c r="G77" s="16" t="s">
        <v>48</v>
      </c>
      <c r="H77" s="16" t="s">
        <v>48</v>
      </c>
      <c r="I77" s="16" t="s">
        <v>48</v>
      </c>
      <c r="J77" s="16" t="s">
        <v>48</v>
      </c>
      <c r="K77" s="16" t="s">
        <v>48</v>
      </c>
      <c r="L77" s="16" t="s">
        <v>48</v>
      </c>
      <c r="M77" s="16" t="s">
        <v>48</v>
      </c>
      <c r="N77" s="16">
        <v>10</v>
      </c>
      <c r="O77" s="16" t="s">
        <v>3597</v>
      </c>
      <c r="P77" s="15" t="s">
        <v>3598</v>
      </c>
      <c r="Q77" s="33" t="s">
        <v>3600</v>
      </c>
    </row>
    <row r="78" spans="1:17" ht="17.100000000000001" customHeight="1">
      <c r="A78" s="22">
        <v>46000</v>
      </c>
      <c r="B78" s="15" t="s">
        <v>143</v>
      </c>
      <c r="C78" s="16" t="s">
        <v>3591</v>
      </c>
      <c r="D78" s="16" t="s">
        <v>3599</v>
      </c>
      <c r="E78" s="16" t="s">
        <v>48</v>
      </c>
      <c r="F78" s="16" t="s">
        <v>48</v>
      </c>
      <c r="G78" s="16" t="s">
        <v>48</v>
      </c>
      <c r="H78" s="16" t="s">
        <v>48</v>
      </c>
      <c r="I78" s="16" t="s">
        <v>48</v>
      </c>
      <c r="J78" s="16" t="s">
        <v>48</v>
      </c>
      <c r="K78" s="16" t="s">
        <v>48</v>
      </c>
      <c r="L78" s="16" t="s">
        <v>48</v>
      </c>
      <c r="M78" s="16" t="s">
        <v>48</v>
      </c>
      <c r="N78" s="16">
        <v>8</v>
      </c>
      <c r="O78" s="16" t="s">
        <v>3597</v>
      </c>
      <c r="P78" s="15" t="s">
        <v>3598</v>
      </c>
      <c r="Q78" s="33" t="s">
        <v>3600</v>
      </c>
    </row>
    <row r="79" spans="1:17" ht="17.100000000000001" customHeight="1">
      <c r="A79" s="22">
        <v>46000</v>
      </c>
      <c r="B79" s="15" t="s">
        <v>174</v>
      </c>
      <c r="C79" s="16" t="s">
        <v>3591</v>
      </c>
      <c r="D79" s="16" t="s">
        <v>3564</v>
      </c>
      <c r="E79" s="16" t="s">
        <v>3607</v>
      </c>
      <c r="F79" s="16" t="s">
        <v>48</v>
      </c>
      <c r="G79" s="16" t="s">
        <v>48</v>
      </c>
      <c r="H79" s="16" t="s">
        <v>48</v>
      </c>
      <c r="I79" s="16" t="s">
        <v>48</v>
      </c>
      <c r="J79" s="16" t="s">
        <v>48</v>
      </c>
      <c r="K79" s="16" t="s">
        <v>48</v>
      </c>
      <c r="L79" s="16" t="s">
        <v>48</v>
      </c>
      <c r="M79" s="16" t="s">
        <v>48</v>
      </c>
      <c r="N79" s="16">
        <v>27</v>
      </c>
      <c r="O79" s="16" t="s">
        <v>3610</v>
      </c>
      <c r="P79" s="15" t="s">
        <v>3606</v>
      </c>
      <c r="Q79" s="33" t="s">
        <v>3605</v>
      </c>
    </row>
    <row r="80" spans="1:17" ht="17.100000000000001" customHeight="1">
      <c r="A80" s="22">
        <v>46000</v>
      </c>
      <c r="B80" s="15" t="s">
        <v>174</v>
      </c>
      <c r="C80" s="16" t="s">
        <v>3591</v>
      </c>
      <c r="D80" s="16" t="s">
        <v>3564</v>
      </c>
      <c r="E80" s="16" t="s">
        <v>3608</v>
      </c>
      <c r="F80" s="16" t="s">
        <v>48</v>
      </c>
      <c r="G80" s="16" t="s">
        <v>48</v>
      </c>
      <c r="H80" s="16" t="s">
        <v>48</v>
      </c>
      <c r="I80" s="16" t="s">
        <v>48</v>
      </c>
      <c r="J80" s="16" t="s">
        <v>48</v>
      </c>
      <c r="K80" s="16" t="s">
        <v>48</v>
      </c>
      <c r="L80" s="16" t="s">
        <v>48</v>
      </c>
      <c r="M80" s="16" t="s">
        <v>48</v>
      </c>
      <c r="N80" s="16">
        <v>54</v>
      </c>
      <c r="O80" s="16" t="s">
        <v>3610</v>
      </c>
      <c r="P80" s="15" t="s">
        <v>3606</v>
      </c>
      <c r="Q80" s="33" t="s">
        <v>3605</v>
      </c>
    </row>
    <row r="81" spans="1:17" ht="17.100000000000001" customHeight="1">
      <c r="A81" s="22">
        <v>46000</v>
      </c>
      <c r="B81" s="15" t="s">
        <v>174</v>
      </c>
      <c r="C81" s="16" t="s">
        <v>3591</v>
      </c>
      <c r="D81" s="16" t="s">
        <v>3564</v>
      </c>
      <c r="E81" s="16" t="s">
        <v>3609</v>
      </c>
      <c r="F81" s="16" t="s">
        <v>48</v>
      </c>
      <c r="G81" s="16" t="s">
        <v>48</v>
      </c>
      <c r="H81" s="16" t="s">
        <v>48</v>
      </c>
      <c r="I81" s="16" t="s">
        <v>48</v>
      </c>
      <c r="J81" s="16" t="s">
        <v>48</v>
      </c>
      <c r="K81" s="16" t="s">
        <v>48</v>
      </c>
      <c r="L81" s="16" t="s">
        <v>48</v>
      </c>
      <c r="M81" s="16" t="s">
        <v>48</v>
      </c>
      <c r="N81" s="16">
        <v>19</v>
      </c>
      <c r="O81" s="16" t="s">
        <v>3610</v>
      </c>
      <c r="P81" s="15" t="s">
        <v>3606</v>
      </c>
      <c r="Q81" s="33" t="s">
        <v>3605</v>
      </c>
    </row>
    <row r="82" spans="1:17" ht="17.100000000000001" customHeight="1">
      <c r="A82" s="22">
        <v>46000</v>
      </c>
      <c r="B82" s="15" t="s">
        <v>174</v>
      </c>
      <c r="C82" s="16" t="s">
        <v>3591</v>
      </c>
      <c r="D82" s="16" t="s">
        <v>3570</v>
      </c>
      <c r="E82" s="16" t="s">
        <v>3609</v>
      </c>
      <c r="F82" s="16" t="s">
        <v>48</v>
      </c>
      <c r="G82" s="16" t="s">
        <v>48</v>
      </c>
      <c r="H82" s="16" t="s">
        <v>48</v>
      </c>
      <c r="I82" s="16" t="s">
        <v>48</v>
      </c>
      <c r="J82" s="16" t="s">
        <v>48</v>
      </c>
      <c r="K82" s="16" t="s">
        <v>48</v>
      </c>
      <c r="L82" s="16" t="s">
        <v>48</v>
      </c>
      <c r="M82" s="16" t="s">
        <v>48</v>
      </c>
      <c r="N82" s="16">
        <v>8</v>
      </c>
      <c r="O82" s="16" t="s">
        <v>3610</v>
      </c>
      <c r="P82" s="15" t="s">
        <v>3606</v>
      </c>
      <c r="Q82" s="33" t="s">
        <v>3605</v>
      </c>
    </row>
    <row r="83" spans="1:17" ht="17.100000000000001" customHeight="1">
      <c r="A83" s="22">
        <v>46000</v>
      </c>
      <c r="B83" s="15" t="s">
        <v>174</v>
      </c>
      <c r="C83" s="16" t="s">
        <v>3591</v>
      </c>
      <c r="D83" s="16" t="s">
        <v>3570</v>
      </c>
      <c r="E83" s="16" t="s">
        <v>3611</v>
      </c>
      <c r="F83" s="16" t="s">
        <v>48</v>
      </c>
      <c r="G83" s="16" t="s">
        <v>48</v>
      </c>
      <c r="H83" s="16" t="s">
        <v>48</v>
      </c>
      <c r="I83" s="16" t="s">
        <v>48</v>
      </c>
      <c r="J83" s="16" t="s">
        <v>48</v>
      </c>
      <c r="K83" s="16" t="s">
        <v>48</v>
      </c>
      <c r="L83" s="16" t="s">
        <v>48</v>
      </c>
      <c r="M83" s="16" t="s">
        <v>48</v>
      </c>
      <c r="N83" s="16">
        <v>54</v>
      </c>
      <c r="O83" s="16" t="s">
        <v>3610</v>
      </c>
      <c r="P83" s="15" t="s">
        <v>3606</v>
      </c>
      <c r="Q83" s="33" t="s">
        <v>3605</v>
      </c>
    </row>
    <row r="84" spans="1:17" ht="17.100000000000001" customHeight="1">
      <c r="A84" s="22">
        <v>46000</v>
      </c>
      <c r="B84" s="15" t="s">
        <v>174</v>
      </c>
      <c r="C84" s="16" t="s">
        <v>3591</v>
      </c>
      <c r="D84" s="16" t="s">
        <v>3570</v>
      </c>
      <c r="E84" s="16" t="s">
        <v>3612</v>
      </c>
      <c r="F84" s="16" t="s">
        <v>48</v>
      </c>
      <c r="G84" s="16" t="s">
        <v>48</v>
      </c>
      <c r="H84" s="16" t="s">
        <v>48</v>
      </c>
      <c r="I84" s="16" t="s">
        <v>48</v>
      </c>
      <c r="J84" s="16" t="s">
        <v>48</v>
      </c>
      <c r="K84" s="16" t="s">
        <v>48</v>
      </c>
      <c r="L84" s="16" t="s">
        <v>48</v>
      </c>
      <c r="M84" s="16" t="s">
        <v>48</v>
      </c>
      <c r="N84" s="16">
        <f>54-16</f>
        <v>38</v>
      </c>
      <c r="O84" s="16" t="s">
        <v>3610</v>
      </c>
      <c r="P84" s="15" t="s">
        <v>3606</v>
      </c>
      <c r="Q84" s="33" t="s">
        <v>3605</v>
      </c>
    </row>
    <row r="85" spans="1:17" ht="17.100000000000001" customHeight="1">
      <c r="A85" s="22">
        <v>46000</v>
      </c>
      <c r="B85" s="15" t="s">
        <v>174</v>
      </c>
      <c r="C85" s="16" t="s">
        <v>3591</v>
      </c>
      <c r="D85" s="16" t="s">
        <v>3564</v>
      </c>
      <c r="E85" s="16" t="s">
        <v>3612</v>
      </c>
      <c r="F85" s="16" t="s">
        <v>48</v>
      </c>
      <c r="G85" s="16" t="s">
        <v>48</v>
      </c>
      <c r="H85" s="16" t="s">
        <v>48</v>
      </c>
      <c r="I85" s="16" t="s">
        <v>48</v>
      </c>
      <c r="J85" s="16" t="s">
        <v>48</v>
      </c>
      <c r="K85" s="16" t="s">
        <v>48</v>
      </c>
      <c r="L85" s="16" t="s">
        <v>48</v>
      </c>
      <c r="M85" s="16" t="s">
        <v>48</v>
      </c>
      <c r="N85" s="16">
        <v>16</v>
      </c>
      <c r="O85" s="16" t="s">
        <v>3610</v>
      </c>
      <c r="P85" s="15" t="s">
        <v>3606</v>
      </c>
      <c r="Q85" s="33" t="s">
        <v>3605</v>
      </c>
    </row>
    <row r="86" spans="1:17" ht="17.100000000000001" customHeight="1">
      <c r="A86" s="22">
        <v>46000</v>
      </c>
      <c r="B86" s="15" t="s">
        <v>174</v>
      </c>
      <c r="C86" s="16" t="s">
        <v>3591</v>
      </c>
      <c r="D86" s="16" t="s">
        <v>3566</v>
      </c>
      <c r="E86" s="16" t="s">
        <v>3613</v>
      </c>
      <c r="F86" s="16" t="s">
        <v>48</v>
      </c>
      <c r="G86" s="16" t="s">
        <v>48</v>
      </c>
      <c r="H86" s="16" t="s">
        <v>48</v>
      </c>
      <c r="I86" s="16" t="s">
        <v>48</v>
      </c>
      <c r="J86" s="16" t="s">
        <v>48</v>
      </c>
      <c r="K86" s="16" t="s">
        <v>48</v>
      </c>
      <c r="L86" s="16" t="s">
        <v>48</v>
      </c>
      <c r="M86" s="16" t="s">
        <v>48</v>
      </c>
      <c r="N86" s="16">
        <v>54</v>
      </c>
      <c r="O86" s="16" t="s">
        <v>3610</v>
      </c>
      <c r="P86" s="15" t="s">
        <v>3606</v>
      </c>
      <c r="Q86" s="33" t="s">
        <v>3605</v>
      </c>
    </row>
    <row r="87" spans="1:17" ht="17.100000000000001" customHeight="1">
      <c r="A87" s="22">
        <v>46000</v>
      </c>
      <c r="B87" s="15" t="s">
        <v>174</v>
      </c>
      <c r="C87" s="16" t="s">
        <v>3591</v>
      </c>
      <c r="D87" s="16" t="s">
        <v>3566</v>
      </c>
      <c r="E87" s="16" t="s">
        <v>3614</v>
      </c>
      <c r="F87" s="16" t="s">
        <v>48</v>
      </c>
      <c r="G87" s="16" t="s">
        <v>48</v>
      </c>
      <c r="H87" s="16" t="s">
        <v>48</v>
      </c>
      <c r="I87" s="16" t="s">
        <v>48</v>
      </c>
      <c r="J87" s="16" t="s">
        <v>48</v>
      </c>
      <c r="K87" s="16" t="s">
        <v>48</v>
      </c>
      <c r="L87" s="16" t="s">
        <v>48</v>
      </c>
      <c r="M87" s="16" t="s">
        <v>48</v>
      </c>
      <c r="N87" s="16">
        <f>48/2</f>
        <v>24</v>
      </c>
      <c r="O87" s="16" t="s">
        <v>3610</v>
      </c>
      <c r="P87" s="15" t="s">
        <v>3606</v>
      </c>
      <c r="Q87" s="33" t="s">
        <v>3605</v>
      </c>
    </row>
    <row r="88" spans="1:17" ht="17.100000000000001" customHeight="1">
      <c r="A88" s="22">
        <v>46000</v>
      </c>
      <c r="B88" s="15" t="s">
        <v>174</v>
      </c>
      <c r="C88" s="16" t="s">
        <v>3591</v>
      </c>
      <c r="D88" s="16" t="s">
        <v>3566</v>
      </c>
      <c r="E88" s="16" t="s">
        <v>3615</v>
      </c>
      <c r="F88" s="16" t="s">
        <v>48</v>
      </c>
      <c r="G88" s="16" t="s">
        <v>48</v>
      </c>
      <c r="H88" s="16" t="s">
        <v>48</v>
      </c>
      <c r="I88" s="16" t="s">
        <v>48</v>
      </c>
      <c r="J88" s="16" t="s">
        <v>48</v>
      </c>
      <c r="K88" s="16" t="s">
        <v>48</v>
      </c>
      <c r="L88" s="16" t="s">
        <v>48</v>
      </c>
      <c r="M88" s="16" t="s">
        <v>48</v>
      </c>
      <c r="N88" s="16">
        <v>54</v>
      </c>
      <c r="O88" s="16" t="s">
        <v>3610</v>
      </c>
      <c r="P88" s="15" t="s">
        <v>3606</v>
      </c>
      <c r="Q88" s="33" t="s">
        <v>3605</v>
      </c>
    </row>
    <row r="89" spans="1:17" ht="17.100000000000001" customHeight="1">
      <c r="A89" s="22">
        <v>46000</v>
      </c>
      <c r="B89" s="15" t="s">
        <v>174</v>
      </c>
      <c r="C89" s="16" t="s">
        <v>3591</v>
      </c>
      <c r="D89" s="16" t="s">
        <v>3579</v>
      </c>
      <c r="E89" s="16" t="s">
        <v>3616</v>
      </c>
      <c r="F89" s="16" t="s">
        <v>48</v>
      </c>
      <c r="G89" s="16" t="s">
        <v>48</v>
      </c>
      <c r="H89" s="16" t="s">
        <v>48</v>
      </c>
      <c r="I89" s="16" t="s">
        <v>48</v>
      </c>
      <c r="J89" s="16" t="s">
        <v>48</v>
      </c>
      <c r="K89" s="16" t="s">
        <v>48</v>
      </c>
      <c r="L89" s="16" t="s">
        <v>48</v>
      </c>
      <c r="M89" s="16" t="s">
        <v>48</v>
      </c>
      <c r="N89" s="16">
        <v>54</v>
      </c>
      <c r="O89" s="16" t="s">
        <v>3610</v>
      </c>
      <c r="P89" s="15" t="s">
        <v>3606</v>
      </c>
      <c r="Q89" s="33" t="s">
        <v>3605</v>
      </c>
    </row>
    <row r="90" spans="1:17" ht="17.100000000000001" customHeight="1">
      <c r="A90" s="22">
        <v>46000</v>
      </c>
      <c r="B90" s="15" t="s">
        <v>174</v>
      </c>
      <c r="C90" s="16" t="s">
        <v>3591</v>
      </c>
      <c r="D90" s="16" t="s">
        <v>3579</v>
      </c>
      <c r="E90" s="16" t="s">
        <v>3617</v>
      </c>
      <c r="F90" s="16" t="s">
        <v>48</v>
      </c>
      <c r="G90" s="16" t="s">
        <v>48</v>
      </c>
      <c r="H90" s="16" t="s">
        <v>48</v>
      </c>
      <c r="I90" s="16" t="s">
        <v>48</v>
      </c>
      <c r="J90" s="16" t="s">
        <v>48</v>
      </c>
      <c r="K90" s="16" t="s">
        <v>48</v>
      </c>
      <c r="L90" s="16" t="s">
        <v>48</v>
      </c>
      <c r="M90" s="16" t="s">
        <v>48</v>
      </c>
      <c r="N90" s="16">
        <f>42/2</f>
        <v>21</v>
      </c>
      <c r="O90" s="16" t="s">
        <v>3610</v>
      </c>
      <c r="P90" s="15" t="s">
        <v>3606</v>
      </c>
      <c r="Q90" s="33" t="s">
        <v>3605</v>
      </c>
    </row>
    <row r="91" spans="1:17" ht="17.100000000000001" customHeight="1">
      <c r="A91" s="22">
        <v>46000</v>
      </c>
      <c r="B91" s="15" t="s">
        <v>174</v>
      </c>
      <c r="C91" s="16" t="s">
        <v>3591</v>
      </c>
      <c r="D91" s="16" t="s">
        <v>3579</v>
      </c>
      <c r="E91" s="16" t="s">
        <v>3618</v>
      </c>
      <c r="F91" s="16" t="s">
        <v>48</v>
      </c>
      <c r="G91" s="16" t="s">
        <v>48</v>
      </c>
      <c r="H91" s="16" t="s">
        <v>48</v>
      </c>
      <c r="I91" s="16" t="s">
        <v>48</v>
      </c>
      <c r="J91" s="16" t="s">
        <v>48</v>
      </c>
      <c r="K91" s="16" t="s">
        <v>48</v>
      </c>
      <c r="L91" s="16" t="s">
        <v>48</v>
      </c>
      <c r="M91" s="16" t="s">
        <v>48</v>
      </c>
      <c r="N91" s="16">
        <v>27</v>
      </c>
      <c r="O91" s="16" t="s">
        <v>3610</v>
      </c>
      <c r="P91" s="15" t="s">
        <v>3606</v>
      </c>
      <c r="Q91" s="33" t="s">
        <v>3605</v>
      </c>
    </row>
    <row r="92" spans="1:17" ht="17.100000000000001" customHeight="1">
      <c r="A92" s="22">
        <v>46000</v>
      </c>
      <c r="B92" s="15" t="s">
        <v>174</v>
      </c>
      <c r="C92" s="16" t="s">
        <v>3591</v>
      </c>
      <c r="D92" s="16" t="s">
        <v>3570</v>
      </c>
      <c r="E92" s="16" t="s">
        <v>3618</v>
      </c>
      <c r="F92" s="16" t="s">
        <v>48</v>
      </c>
      <c r="G92" s="16" t="s">
        <v>48</v>
      </c>
      <c r="H92" s="16" t="s">
        <v>48</v>
      </c>
      <c r="I92" s="16" t="s">
        <v>48</v>
      </c>
      <c r="J92" s="16" t="s">
        <v>48</v>
      </c>
      <c r="K92" s="16" t="s">
        <v>48</v>
      </c>
      <c r="L92" s="16" t="s">
        <v>48</v>
      </c>
      <c r="M92" s="16" t="s">
        <v>48</v>
      </c>
      <c r="N92" s="16">
        <v>27</v>
      </c>
      <c r="O92" s="16" t="s">
        <v>3610</v>
      </c>
      <c r="P92" s="15" t="s">
        <v>3606</v>
      </c>
      <c r="Q92" s="33" t="s">
        <v>3605</v>
      </c>
    </row>
    <row r="93" spans="1:17" ht="17.100000000000001" customHeight="1">
      <c r="A93" s="22">
        <v>46000</v>
      </c>
      <c r="B93" s="15" t="s">
        <v>174</v>
      </c>
      <c r="C93" s="16" t="s">
        <v>3591</v>
      </c>
      <c r="D93" s="16" t="s">
        <v>3570</v>
      </c>
      <c r="E93" s="16" t="s">
        <v>3619</v>
      </c>
      <c r="F93" s="16" t="s">
        <v>48</v>
      </c>
      <c r="G93" s="16" t="s">
        <v>48</v>
      </c>
      <c r="H93" s="16" t="s">
        <v>48</v>
      </c>
      <c r="I93" s="16" t="s">
        <v>48</v>
      </c>
      <c r="J93" s="16" t="s">
        <v>48</v>
      </c>
      <c r="K93" s="16" t="s">
        <v>48</v>
      </c>
      <c r="L93" s="16" t="s">
        <v>48</v>
      </c>
      <c r="M93" s="16" t="s">
        <v>48</v>
      </c>
      <c r="N93" s="16">
        <v>54</v>
      </c>
      <c r="O93" s="16" t="s">
        <v>3610</v>
      </c>
      <c r="P93" s="15" t="s">
        <v>3606</v>
      </c>
      <c r="Q93" s="33" t="s">
        <v>3605</v>
      </c>
    </row>
    <row r="94" spans="1:17" ht="17.100000000000001" customHeight="1">
      <c r="A94" s="22">
        <v>46000</v>
      </c>
      <c r="B94" s="15" t="s">
        <v>174</v>
      </c>
      <c r="C94" s="16" t="s">
        <v>3591</v>
      </c>
      <c r="D94" s="16" t="s">
        <v>3570</v>
      </c>
      <c r="E94" s="16" t="s">
        <v>3620</v>
      </c>
      <c r="F94" s="16" t="s">
        <v>48</v>
      </c>
      <c r="G94" s="16" t="s">
        <v>48</v>
      </c>
      <c r="H94" s="16" t="s">
        <v>48</v>
      </c>
      <c r="I94" s="16" t="s">
        <v>48</v>
      </c>
      <c r="J94" s="16" t="s">
        <v>48</v>
      </c>
      <c r="K94" s="16" t="s">
        <v>48</v>
      </c>
      <c r="L94" s="16" t="s">
        <v>48</v>
      </c>
      <c r="M94" s="16" t="s">
        <v>48</v>
      </c>
      <c r="N94" s="16">
        <v>54</v>
      </c>
      <c r="O94" s="16" t="s">
        <v>3610</v>
      </c>
      <c r="P94" s="15" t="s">
        <v>3606</v>
      </c>
      <c r="Q94" s="33" t="s">
        <v>3605</v>
      </c>
    </row>
    <row r="95" spans="1:17" ht="17.100000000000001" customHeight="1">
      <c r="A95" s="22">
        <v>45993</v>
      </c>
      <c r="B95" s="15" t="s">
        <v>174</v>
      </c>
      <c r="C95" s="16" t="s">
        <v>3591</v>
      </c>
      <c r="D95" s="16" t="s">
        <v>3621</v>
      </c>
      <c r="E95" s="16" t="s">
        <v>3622</v>
      </c>
      <c r="F95" s="16" t="s">
        <v>48</v>
      </c>
      <c r="G95" s="16" t="s">
        <v>48</v>
      </c>
      <c r="H95" s="16" t="s">
        <v>48</v>
      </c>
      <c r="I95" s="16" t="s">
        <v>48</v>
      </c>
      <c r="J95" s="16" t="s">
        <v>48</v>
      </c>
      <c r="K95" s="16" t="s">
        <v>48</v>
      </c>
      <c r="L95" s="16" t="s">
        <v>48</v>
      </c>
      <c r="M95" s="16" t="s">
        <v>48</v>
      </c>
      <c r="N95" s="16">
        <v>40</v>
      </c>
      <c r="O95" s="16" t="s">
        <v>3610</v>
      </c>
      <c r="P95" s="15" t="s">
        <v>3606</v>
      </c>
      <c r="Q95" s="33" t="s">
        <v>3605</v>
      </c>
    </row>
    <row r="96" spans="1:17" ht="17.100000000000001" customHeight="1">
      <c r="A96" s="22">
        <v>46001</v>
      </c>
      <c r="B96" s="15" t="s">
        <v>174</v>
      </c>
      <c r="C96" s="16" t="s">
        <v>3591</v>
      </c>
      <c r="D96" s="16" t="s">
        <v>3623</v>
      </c>
      <c r="E96" s="16" t="s">
        <v>3622</v>
      </c>
      <c r="F96" s="16" t="s">
        <v>48</v>
      </c>
      <c r="G96" s="16" t="s">
        <v>48</v>
      </c>
      <c r="H96" s="16" t="s">
        <v>48</v>
      </c>
      <c r="I96" s="16" t="s">
        <v>48</v>
      </c>
      <c r="J96" s="16" t="s">
        <v>48</v>
      </c>
      <c r="K96" s="16" t="s">
        <v>48</v>
      </c>
      <c r="L96" s="16" t="s">
        <v>48</v>
      </c>
      <c r="M96" s="16" t="s">
        <v>48</v>
      </c>
      <c r="N96" s="16">
        <v>14</v>
      </c>
      <c r="O96" s="16" t="s">
        <v>3610</v>
      </c>
      <c r="P96" s="15" t="s">
        <v>3606</v>
      </c>
      <c r="Q96" s="33" t="s">
        <v>3605</v>
      </c>
    </row>
    <row r="97" spans="1:17" ht="17.100000000000001" customHeight="1">
      <c r="A97" s="22">
        <v>46001</v>
      </c>
      <c r="B97" s="15" t="s">
        <v>174</v>
      </c>
      <c r="C97" s="16" t="s">
        <v>3591</v>
      </c>
      <c r="D97" s="16" t="s">
        <v>3623</v>
      </c>
      <c r="E97" s="16" t="s">
        <v>3624</v>
      </c>
      <c r="F97" s="16" t="s">
        <v>48</v>
      </c>
      <c r="G97" s="16" t="s">
        <v>48</v>
      </c>
      <c r="H97" s="16" t="s">
        <v>48</v>
      </c>
      <c r="I97" s="16" t="s">
        <v>48</v>
      </c>
      <c r="J97" s="16" t="s">
        <v>48</v>
      </c>
      <c r="K97" s="16" t="s">
        <v>48</v>
      </c>
      <c r="L97" s="16" t="s">
        <v>48</v>
      </c>
      <c r="M97" s="16" t="s">
        <v>48</v>
      </c>
      <c r="N97" s="16">
        <v>27</v>
      </c>
      <c r="O97" s="16" t="s">
        <v>3610</v>
      </c>
      <c r="P97" s="15" t="s">
        <v>3606</v>
      </c>
      <c r="Q97" s="33" t="s">
        <v>3605</v>
      </c>
    </row>
    <row r="98" spans="1:17" ht="17.100000000000001" customHeight="1">
      <c r="A98" s="22">
        <v>46001</v>
      </c>
      <c r="B98" s="15" t="s">
        <v>161</v>
      </c>
      <c r="C98" s="16" t="s">
        <v>3625</v>
      </c>
      <c r="D98" s="16" t="s">
        <v>48</v>
      </c>
      <c r="E98" s="16" t="s">
        <v>48</v>
      </c>
      <c r="F98" s="16" t="s">
        <v>48</v>
      </c>
      <c r="G98" s="16" t="s">
        <v>48</v>
      </c>
      <c r="H98" s="16" t="s">
        <v>48</v>
      </c>
      <c r="I98" s="16" t="s">
        <v>48</v>
      </c>
      <c r="J98" s="16" t="s">
        <v>48</v>
      </c>
      <c r="K98" s="16" t="s">
        <v>48</v>
      </c>
      <c r="L98" s="16" t="s">
        <v>48</v>
      </c>
      <c r="M98" s="16" t="s">
        <v>48</v>
      </c>
      <c r="N98" s="16">
        <v>50</v>
      </c>
      <c r="O98" s="16" t="s">
        <v>2491</v>
      </c>
      <c r="P98" s="16" t="s">
        <v>3626</v>
      </c>
      <c r="Q98" s="33"/>
    </row>
    <row r="99" spans="1:17" ht="17.100000000000001" customHeight="1">
      <c r="A99" s="22">
        <v>46001</v>
      </c>
      <c r="B99" s="15" t="s">
        <v>2609</v>
      </c>
      <c r="C99" s="16" t="s">
        <v>3625</v>
      </c>
      <c r="D99" s="16" t="s">
        <v>48</v>
      </c>
      <c r="E99" s="16" t="s">
        <v>48</v>
      </c>
      <c r="F99" s="16" t="s">
        <v>48</v>
      </c>
      <c r="G99" s="16" t="s">
        <v>48</v>
      </c>
      <c r="H99" s="16" t="s">
        <v>48</v>
      </c>
      <c r="I99" s="16" t="s">
        <v>48</v>
      </c>
      <c r="J99" s="16" t="s">
        <v>48</v>
      </c>
      <c r="K99" s="16" t="s">
        <v>48</v>
      </c>
      <c r="L99" s="16" t="s">
        <v>48</v>
      </c>
      <c r="M99" s="16" t="s">
        <v>48</v>
      </c>
      <c r="N99" s="16">
        <v>10</v>
      </c>
      <c r="O99" s="16" t="s">
        <v>2491</v>
      </c>
      <c r="P99" s="16" t="s">
        <v>3627</v>
      </c>
      <c r="Q99" s="33"/>
    </row>
    <row r="100" spans="1:17" ht="17.100000000000001" customHeight="1">
      <c r="A100" s="22">
        <v>46001</v>
      </c>
      <c r="B100" s="15" t="s">
        <v>3469</v>
      </c>
      <c r="C100" s="16" t="s">
        <v>3625</v>
      </c>
      <c r="D100" s="16" t="s">
        <v>48</v>
      </c>
      <c r="E100" s="16" t="s">
        <v>48</v>
      </c>
      <c r="F100" s="16" t="s">
        <v>48</v>
      </c>
      <c r="G100" s="16" t="s">
        <v>48</v>
      </c>
      <c r="H100" s="16" t="s">
        <v>48</v>
      </c>
      <c r="I100" s="16" t="s">
        <v>48</v>
      </c>
      <c r="J100" s="16" t="s">
        <v>48</v>
      </c>
      <c r="K100" s="16" t="s">
        <v>48</v>
      </c>
      <c r="L100" s="16" t="s">
        <v>48</v>
      </c>
      <c r="M100" s="16" t="s">
        <v>48</v>
      </c>
      <c r="N100" s="16">
        <v>20</v>
      </c>
      <c r="O100" s="16" t="s">
        <v>2491</v>
      </c>
      <c r="P100" s="16" t="s">
        <v>3628</v>
      </c>
      <c r="Q100" s="33"/>
    </row>
    <row r="101" spans="1:17" ht="17.100000000000001" customHeight="1">
      <c r="A101" s="22">
        <v>46001</v>
      </c>
      <c r="B101" s="15" t="s">
        <v>174</v>
      </c>
      <c r="C101" s="16" t="s">
        <v>3625</v>
      </c>
      <c r="D101" s="16" t="s">
        <v>3623</v>
      </c>
      <c r="E101" s="16" t="s">
        <v>3624</v>
      </c>
      <c r="F101" s="16" t="s">
        <v>48</v>
      </c>
      <c r="G101" s="16" t="s">
        <v>48</v>
      </c>
      <c r="H101" s="16" t="s">
        <v>48</v>
      </c>
      <c r="I101" s="16" t="s">
        <v>48</v>
      </c>
      <c r="J101" s="16" t="s">
        <v>48</v>
      </c>
      <c r="K101" s="16" t="s">
        <v>48</v>
      </c>
      <c r="L101" s="16" t="s">
        <v>48</v>
      </c>
      <c r="M101" s="16" t="s">
        <v>48</v>
      </c>
      <c r="N101" s="16">
        <v>27</v>
      </c>
      <c r="O101" s="16" t="s">
        <v>3610</v>
      </c>
      <c r="P101" s="15" t="s">
        <v>3606</v>
      </c>
      <c r="Q101" s="33" t="s">
        <v>3605</v>
      </c>
    </row>
    <row r="102" spans="1:17" ht="17.100000000000001" customHeight="1">
      <c r="A102" s="22">
        <v>46001</v>
      </c>
      <c r="B102" s="15" t="s">
        <v>174</v>
      </c>
      <c r="C102" s="16" t="s">
        <v>3625</v>
      </c>
      <c r="D102" s="16" t="s">
        <v>3623</v>
      </c>
      <c r="E102" s="16" t="s">
        <v>3629</v>
      </c>
      <c r="F102" s="16" t="s">
        <v>48</v>
      </c>
      <c r="G102" s="16" t="s">
        <v>48</v>
      </c>
      <c r="H102" s="16" t="s">
        <v>48</v>
      </c>
      <c r="I102" s="16" t="s">
        <v>48</v>
      </c>
      <c r="J102" s="16" t="s">
        <v>48</v>
      </c>
      <c r="K102" s="16" t="s">
        <v>48</v>
      </c>
      <c r="L102" s="16" t="s">
        <v>48</v>
      </c>
      <c r="M102" s="16" t="s">
        <v>48</v>
      </c>
      <c r="N102" s="16">
        <f>48/2</f>
        <v>24</v>
      </c>
      <c r="O102" s="16" t="s">
        <v>3636</v>
      </c>
      <c r="P102" s="15" t="s">
        <v>3606</v>
      </c>
      <c r="Q102" s="33" t="s">
        <v>3605</v>
      </c>
    </row>
    <row r="103" spans="1:17" ht="17.100000000000001" customHeight="1">
      <c r="A103" s="22">
        <v>46001</v>
      </c>
      <c r="B103" s="15" t="s">
        <v>174</v>
      </c>
      <c r="C103" s="16" t="s">
        <v>3625</v>
      </c>
      <c r="D103" s="16" t="s">
        <v>3623</v>
      </c>
      <c r="E103" s="16" t="s">
        <v>3630</v>
      </c>
      <c r="F103" s="16" t="s">
        <v>48</v>
      </c>
      <c r="G103" s="16" t="s">
        <v>48</v>
      </c>
      <c r="H103" s="16" t="s">
        <v>48</v>
      </c>
      <c r="I103" s="16" t="s">
        <v>48</v>
      </c>
      <c r="J103" s="16" t="s">
        <v>48</v>
      </c>
      <c r="K103" s="16" t="s">
        <v>48</v>
      </c>
      <c r="L103" s="16" t="s">
        <v>48</v>
      </c>
      <c r="M103" s="16" t="s">
        <v>48</v>
      </c>
      <c r="N103" s="16">
        <v>54</v>
      </c>
      <c r="O103" s="16" t="s">
        <v>3636</v>
      </c>
      <c r="P103" s="15" t="s">
        <v>3606</v>
      </c>
      <c r="Q103" s="33" t="s">
        <v>3605</v>
      </c>
    </row>
    <row r="104" spans="1:17" ht="17.100000000000001" customHeight="1">
      <c r="A104" s="22">
        <v>46001</v>
      </c>
      <c r="B104" s="15" t="s">
        <v>174</v>
      </c>
      <c r="C104" s="16" t="s">
        <v>3625</v>
      </c>
      <c r="D104" s="16" t="s">
        <v>3623</v>
      </c>
      <c r="E104" s="16" t="s">
        <v>3631</v>
      </c>
      <c r="F104" s="16" t="s">
        <v>48</v>
      </c>
      <c r="G104" s="16" t="s">
        <v>48</v>
      </c>
      <c r="H104" s="16" t="s">
        <v>48</v>
      </c>
      <c r="I104" s="16" t="s">
        <v>48</v>
      </c>
      <c r="J104" s="16" t="s">
        <v>48</v>
      </c>
      <c r="K104" s="16" t="s">
        <v>48</v>
      </c>
      <c r="L104" s="16" t="s">
        <v>48</v>
      </c>
      <c r="M104" s="16" t="s">
        <v>48</v>
      </c>
      <c r="N104" s="16">
        <v>54</v>
      </c>
      <c r="O104" s="16" t="s">
        <v>3636</v>
      </c>
      <c r="P104" s="15" t="s">
        <v>3606</v>
      </c>
      <c r="Q104" s="33" t="s">
        <v>3605</v>
      </c>
    </row>
    <row r="105" spans="1:17" ht="17.100000000000001" customHeight="1">
      <c r="A105" s="22">
        <v>46001</v>
      </c>
      <c r="B105" s="15" t="s">
        <v>174</v>
      </c>
      <c r="C105" s="16" t="s">
        <v>3625</v>
      </c>
      <c r="D105" s="16" t="s">
        <v>3623</v>
      </c>
      <c r="E105" s="16" t="s">
        <v>3632</v>
      </c>
      <c r="F105" s="16" t="s">
        <v>48</v>
      </c>
      <c r="G105" s="16" t="s">
        <v>48</v>
      </c>
      <c r="H105" s="16" t="s">
        <v>48</v>
      </c>
      <c r="I105" s="16" t="s">
        <v>48</v>
      </c>
      <c r="J105" s="16" t="s">
        <v>48</v>
      </c>
      <c r="K105" s="16" t="s">
        <v>48</v>
      </c>
      <c r="L105" s="16" t="s">
        <v>48</v>
      </c>
      <c r="M105" s="16" t="s">
        <v>48</v>
      </c>
      <c r="N105" s="16">
        <v>54</v>
      </c>
      <c r="O105" s="16" t="s">
        <v>3636</v>
      </c>
      <c r="P105" s="15" t="s">
        <v>3606</v>
      </c>
      <c r="Q105" s="33" t="s">
        <v>3605</v>
      </c>
    </row>
    <row r="106" spans="1:17" ht="17.100000000000001" customHeight="1">
      <c r="A106" s="22">
        <v>46001</v>
      </c>
      <c r="B106" s="15" t="s">
        <v>174</v>
      </c>
      <c r="C106" s="16" t="s">
        <v>3625</v>
      </c>
      <c r="D106" s="16" t="s">
        <v>3621</v>
      </c>
      <c r="E106" s="16" t="s">
        <v>3630</v>
      </c>
      <c r="F106" s="16" t="s">
        <v>48</v>
      </c>
      <c r="G106" s="16" t="s">
        <v>48</v>
      </c>
      <c r="H106" s="16" t="s">
        <v>48</v>
      </c>
      <c r="I106" s="16" t="s">
        <v>48</v>
      </c>
      <c r="J106" s="16" t="s">
        <v>48</v>
      </c>
      <c r="K106" s="16" t="s">
        <v>48</v>
      </c>
      <c r="L106" s="16" t="s">
        <v>48</v>
      </c>
      <c r="M106" s="16" t="s">
        <v>48</v>
      </c>
      <c r="N106" s="16">
        <v>27</v>
      </c>
      <c r="O106" s="16" t="s">
        <v>3636</v>
      </c>
      <c r="P106" s="15" t="s">
        <v>3606</v>
      </c>
      <c r="Q106" s="33" t="s">
        <v>3605</v>
      </c>
    </row>
    <row r="107" spans="1:17" ht="17.100000000000001" customHeight="1">
      <c r="A107" s="22">
        <v>46001</v>
      </c>
      <c r="B107" s="15" t="s">
        <v>174</v>
      </c>
      <c r="C107" s="16" t="s">
        <v>3625</v>
      </c>
      <c r="D107" s="16" t="s">
        <v>3621</v>
      </c>
      <c r="E107" s="16" t="s">
        <v>3633</v>
      </c>
      <c r="F107" s="16" t="s">
        <v>48</v>
      </c>
      <c r="G107" s="16" t="s">
        <v>48</v>
      </c>
      <c r="H107" s="16" t="s">
        <v>48</v>
      </c>
      <c r="I107" s="16" t="s">
        <v>48</v>
      </c>
      <c r="J107" s="16" t="s">
        <v>48</v>
      </c>
      <c r="K107" s="16" t="s">
        <v>48</v>
      </c>
      <c r="L107" s="16" t="s">
        <v>48</v>
      </c>
      <c r="M107" s="16" t="s">
        <v>48</v>
      </c>
      <c r="N107" s="16">
        <v>54</v>
      </c>
      <c r="O107" s="16" t="s">
        <v>3636</v>
      </c>
      <c r="P107" s="15" t="s">
        <v>3606</v>
      </c>
      <c r="Q107" s="33" t="s">
        <v>3605</v>
      </c>
    </row>
    <row r="108" spans="1:17" ht="17.100000000000001" customHeight="1">
      <c r="A108" s="22">
        <v>46001</v>
      </c>
      <c r="B108" s="15" t="s">
        <v>174</v>
      </c>
      <c r="C108" s="16" t="s">
        <v>3625</v>
      </c>
      <c r="D108" s="16" t="s">
        <v>3621</v>
      </c>
      <c r="E108" s="16" t="s">
        <v>3634</v>
      </c>
      <c r="F108" s="16" t="s">
        <v>48</v>
      </c>
      <c r="G108" s="16" t="s">
        <v>48</v>
      </c>
      <c r="H108" s="16" t="s">
        <v>48</v>
      </c>
      <c r="I108" s="16" t="s">
        <v>48</v>
      </c>
      <c r="J108" s="16" t="s">
        <v>48</v>
      </c>
      <c r="K108" s="16" t="s">
        <v>48</v>
      </c>
      <c r="L108" s="16" t="s">
        <v>48</v>
      </c>
      <c r="M108" s="16" t="s">
        <v>48</v>
      </c>
      <c r="N108" s="16">
        <v>54</v>
      </c>
      <c r="O108" s="16" t="s">
        <v>3636</v>
      </c>
      <c r="P108" s="15" t="s">
        <v>3606</v>
      </c>
      <c r="Q108" s="33" t="s">
        <v>3605</v>
      </c>
    </row>
    <row r="109" spans="1:17" ht="17.100000000000001" customHeight="1">
      <c r="A109" s="22">
        <v>46001</v>
      </c>
      <c r="B109" s="15" t="s">
        <v>174</v>
      </c>
      <c r="C109" s="16" t="s">
        <v>3625</v>
      </c>
      <c r="D109" s="16" t="s">
        <v>3621</v>
      </c>
      <c r="E109" s="16" t="s">
        <v>3635</v>
      </c>
      <c r="F109" s="16" t="s">
        <v>48</v>
      </c>
      <c r="G109" s="16" t="s">
        <v>48</v>
      </c>
      <c r="H109" s="16" t="s">
        <v>48</v>
      </c>
      <c r="I109" s="16" t="s">
        <v>48</v>
      </c>
      <c r="J109" s="16" t="s">
        <v>48</v>
      </c>
      <c r="K109" s="16" t="s">
        <v>48</v>
      </c>
      <c r="L109" s="16" t="s">
        <v>48</v>
      </c>
      <c r="M109" s="16" t="s">
        <v>48</v>
      </c>
      <c r="N109" s="16">
        <v>27</v>
      </c>
      <c r="O109" s="16" t="s">
        <v>3636</v>
      </c>
      <c r="P109" s="15" t="s">
        <v>3606</v>
      </c>
      <c r="Q109" s="33" t="s">
        <v>3605</v>
      </c>
    </row>
    <row r="110" spans="1:17" ht="17.100000000000001" customHeight="1">
      <c r="A110" s="22">
        <v>46001</v>
      </c>
      <c r="B110" s="15" t="s">
        <v>143</v>
      </c>
      <c r="C110" s="16" t="s">
        <v>3625</v>
      </c>
      <c r="D110" s="16" t="s">
        <v>3637</v>
      </c>
      <c r="E110" s="16" t="s">
        <v>48</v>
      </c>
      <c r="F110" s="16" t="s">
        <v>48</v>
      </c>
      <c r="G110" s="16" t="s">
        <v>48</v>
      </c>
      <c r="H110" s="16" t="s">
        <v>48</v>
      </c>
      <c r="I110" s="16" t="s">
        <v>48</v>
      </c>
      <c r="J110" s="16" t="s">
        <v>48</v>
      </c>
      <c r="K110" s="16" t="s">
        <v>48</v>
      </c>
      <c r="L110" s="16" t="s">
        <v>48</v>
      </c>
      <c r="M110" s="16" t="s">
        <v>48</v>
      </c>
      <c r="N110" s="16">
        <v>44</v>
      </c>
      <c r="O110" s="16" t="s">
        <v>3640</v>
      </c>
      <c r="P110" s="16"/>
      <c r="Q110" s="33" t="s">
        <v>3645</v>
      </c>
    </row>
    <row r="111" spans="1:17" ht="17.100000000000001" customHeight="1">
      <c r="A111" s="22">
        <v>46001</v>
      </c>
      <c r="B111" s="15" t="s">
        <v>143</v>
      </c>
      <c r="C111" s="16" t="s">
        <v>3625</v>
      </c>
      <c r="D111" s="16" t="s">
        <v>3638</v>
      </c>
      <c r="E111" s="16" t="s">
        <v>48</v>
      </c>
      <c r="F111" s="16" t="s">
        <v>48</v>
      </c>
      <c r="G111" s="16" t="s">
        <v>48</v>
      </c>
      <c r="H111" s="16" t="s">
        <v>48</v>
      </c>
      <c r="I111" s="16" t="s">
        <v>48</v>
      </c>
      <c r="J111" s="16" t="s">
        <v>48</v>
      </c>
      <c r="K111" s="16" t="s">
        <v>48</v>
      </c>
      <c r="L111" s="16" t="s">
        <v>48</v>
      </c>
      <c r="M111" s="16" t="s">
        <v>48</v>
      </c>
      <c r="N111" s="16">
        <v>16</v>
      </c>
      <c r="O111" s="16" t="s">
        <v>3640</v>
      </c>
      <c r="P111" s="16"/>
      <c r="Q111" s="33"/>
    </row>
    <row r="112" spans="1:17" ht="17.100000000000001" customHeight="1">
      <c r="A112" s="22">
        <v>46001</v>
      </c>
      <c r="B112" s="15" t="s">
        <v>222</v>
      </c>
      <c r="C112" s="16" t="s">
        <v>3625</v>
      </c>
      <c r="D112" s="16" t="s">
        <v>48</v>
      </c>
      <c r="E112" s="16" t="s">
        <v>48</v>
      </c>
      <c r="F112" s="16" t="s">
        <v>48</v>
      </c>
      <c r="G112" s="16" t="s">
        <v>48</v>
      </c>
      <c r="H112" s="16" t="s">
        <v>48</v>
      </c>
      <c r="I112" s="16" t="s">
        <v>48</v>
      </c>
      <c r="J112" s="16" t="s">
        <v>48</v>
      </c>
      <c r="K112" s="16" t="s">
        <v>48</v>
      </c>
      <c r="L112" s="16" t="s">
        <v>48</v>
      </c>
      <c r="M112" s="16" t="s">
        <v>3639</v>
      </c>
      <c r="N112" s="16">
        <v>20</v>
      </c>
      <c r="O112" s="16" t="s">
        <v>2697</v>
      </c>
      <c r="P112" s="16"/>
      <c r="Q112" s="33"/>
    </row>
    <row r="113" spans="1:17" ht="17.100000000000001" customHeight="1">
      <c r="A113" s="22">
        <v>46001</v>
      </c>
      <c r="B113" s="15" t="s">
        <v>1307</v>
      </c>
      <c r="C113" s="16" t="s">
        <v>3625</v>
      </c>
      <c r="D113" s="16" t="s">
        <v>48</v>
      </c>
      <c r="E113" s="16" t="s">
        <v>48</v>
      </c>
      <c r="F113" s="16" t="s">
        <v>3643</v>
      </c>
      <c r="G113" s="16" t="s">
        <v>48</v>
      </c>
      <c r="H113" s="16" t="s">
        <v>48</v>
      </c>
      <c r="I113" s="16" t="s">
        <v>48</v>
      </c>
      <c r="J113" s="16" t="s">
        <v>48</v>
      </c>
      <c r="K113" s="16" t="s">
        <v>48</v>
      </c>
      <c r="L113" s="16" t="s">
        <v>48</v>
      </c>
      <c r="M113" s="16" t="s">
        <v>48</v>
      </c>
      <c r="N113" s="16">
        <v>108</v>
      </c>
      <c r="O113" s="16" t="s">
        <v>3610</v>
      </c>
      <c r="P113" s="16"/>
      <c r="Q113" s="33"/>
    </row>
    <row r="114" spans="1:17" ht="17.100000000000001" customHeight="1">
      <c r="A114" s="22">
        <v>46001</v>
      </c>
      <c r="B114" s="15" t="s">
        <v>1307</v>
      </c>
      <c r="C114" s="16" t="s">
        <v>3625</v>
      </c>
      <c r="D114" s="16" t="s">
        <v>48</v>
      </c>
      <c r="E114" s="16" t="s">
        <v>48</v>
      </c>
      <c r="F114" s="16" t="s">
        <v>3644</v>
      </c>
      <c r="G114" s="16" t="s">
        <v>48</v>
      </c>
      <c r="H114" s="16" t="s">
        <v>48</v>
      </c>
      <c r="I114" s="16" t="s">
        <v>48</v>
      </c>
      <c r="J114" s="16" t="s">
        <v>48</v>
      </c>
      <c r="K114" s="16" t="s">
        <v>48</v>
      </c>
      <c r="L114" s="16" t="s">
        <v>48</v>
      </c>
      <c r="M114" s="16" t="s">
        <v>48</v>
      </c>
      <c r="N114" s="16">
        <v>17</v>
      </c>
      <c r="O114" s="16" t="s">
        <v>3610</v>
      </c>
      <c r="P114" s="16"/>
      <c r="Q114" s="33"/>
    </row>
    <row r="115" spans="1:17" ht="17.100000000000001" customHeight="1">
      <c r="A115" s="22">
        <v>46001</v>
      </c>
      <c r="B115" s="15" t="s">
        <v>1407</v>
      </c>
      <c r="C115" s="16" t="s">
        <v>3625</v>
      </c>
      <c r="D115" s="16" t="s">
        <v>48</v>
      </c>
      <c r="E115" s="16" t="s">
        <v>48</v>
      </c>
      <c r="F115" s="16" t="s">
        <v>48</v>
      </c>
      <c r="G115" s="16" t="s">
        <v>48</v>
      </c>
      <c r="H115" s="16" t="s">
        <v>48</v>
      </c>
      <c r="I115" s="16" t="s">
        <v>48</v>
      </c>
      <c r="J115" s="16" t="s">
        <v>48</v>
      </c>
      <c r="K115" s="16" t="s">
        <v>48</v>
      </c>
      <c r="L115" s="16" t="s">
        <v>48</v>
      </c>
      <c r="M115" s="16" t="s">
        <v>3642</v>
      </c>
      <c r="N115" s="16">
        <v>40</v>
      </c>
      <c r="O115" s="16" t="s">
        <v>3641</v>
      </c>
      <c r="P115" s="16"/>
      <c r="Q115" s="33" t="s">
        <v>3649</v>
      </c>
    </row>
    <row r="116" spans="1:17" ht="17.100000000000001" customHeight="1">
      <c r="A116" s="22">
        <v>46001</v>
      </c>
      <c r="B116" s="15" t="s">
        <v>1317</v>
      </c>
      <c r="C116" s="16" t="s">
        <v>3625</v>
      </c>
      <c r="D116" s="16" t="s">
        <v>48</v>
      </c>
      <c r="E116" s="16" t="s">
        <v>48</v>
      </c>
      <c r="F116" s="16" t="s">
        <v>48</v>
      </c>
      <c r="G116" s="16" t="s">
        <v>48</v>
      </c>
      <c r="H116" s="16" t="s">
        <v>48</v>
      </c>
      <c r="I116" s="16" t="s">
        <v>48</v>
      </c>
      <c r="J116" s="16" t="s">
        <v>48</v>
      </c>
      <c r="K116" s="16" t="s">
        <v>48</v>
      </c>
      <c r="L116" s="16" t="s">
        <v>48</v>
      </c>
      <c r="M116" s="16" t="s">
        <v>48</v>
      </c>
      <c r="N116" s="16">
        <v>40</v>
      </c>
      <c r="O116" s="16" t="s">
        <v>3610</v>
      </c>
      <c r="P116" s="16"/>
      <c r="Q116" s="33" t="s">
        <v>3650</v>
      </c>
    </row>
    <row r="117" spans="1:17" ht="17.100000000000001" customHeight="1">
      <c r="A117" s="22">
        <v>46001</v>
      </c>
      <c r="B117" s="15" t="s">
        <v>239</v>
      </c>
      <c r="C117" s="16" t="s">
        <v>3625</v>
      </c>
      <c r="D117" s="16" t="s">
        <v>48</v>
      </c>
      <c r="E117" s="16" t="s">
        <v>48</v>
      </c>
      <c r="F117" s="16" t="s">
        <v>48</v>
      </c>
      <c r="G117" s="16" t="s">
        <v>48</v>
      </c>
      <c r="H117" s="16" t="s">
        <v>48</v>
      </c>
      <c r="I117" s="16" t="s">
        <v>48</v>
      </c>
      <c r="J117" s="16" t="s">
        <v>48</v>
      </c>
      <c r="K117" s="16" t="s">
        <v>48</v>
      </c>
      <c r="L117" s="16" t="s">
        <v>48</v>
      </c>
      <c r="M117" s="16" t="s">
        <v>3646</v>
      </c>
      <c r="N117" s="16">
        <v>10</v>
      </c>
      <c r="O117" s="16" t="s">
        <v>2697</v>
      </c>
      <c r="P117" s="15" t="s">
        <v>3648</v>
      </c>
      <c r="Q117" s="33" t="s">
        <v>3647</v>
      </c>
    </row>
    <row r="118" spans="1:17" ht="17.100000000000001" customHeight="1">
      <c r="A118" s="22">
        <v>46002</v>
      </c>
      <c r="B118" s="15" t="s">
        <v>843</v>
      </c>
      <c r="C118" s="16" t="s">
        <v>3651</v>
      </c>
      <c r="D118" s="16" t="s">
        <v>48</v>
      </c>
      <c r="E118" s="16" t="s">
        <v>48</v>
      </c>
      <c r="F118" s="16" t="s">
        <v>48</v>
      </c>
      <c r="G118" s="16" t="s">
        <v>48</v>
      </c>
      <c r="H118" s="16" t="s">
        <v>48</v>
      </c>
      <c r="I118" s="16" t="s">
        <v>48</v>
      </c>
      <c r="J118" s="16" t="s">
        <v>48</v>
      </c>
      <c r="K118" s="16" t="s">
        <v>48</v>
      </c>
      <c r="L118" s="16" t="s">
        <v>48</v>
      </c>
      <c r="M118" s="16" t="s">
        <v>48</v>
      </c>
      <c r="N118" s="16">
        <v>1750</v>
      </c>
      <c r="O118" s="16" t="s">
        <v>3661</v>
      </c>
      <c r="P118" s="16"/>
      <c r="Q118" s="33"/>
    </row>
    <row r="119" spans="1:17" ht="17.100000000000001" customHeight="1">
      <c r="A119" s="22">
        <v>46003</v>
      </c>
      <c r="B119" s="15" t="s">
        <v>235</v>
      </c>
      <c r="C119" s="16" t="s">
        <v>3651</v>
      </c>
      <c r="D119" s="16" t="s">
        <v>48</v>
      </c>
      <c r="E119" s="16" t="s">
        <v>48</v>
      </c>
      <c r="F119" s="16" t="s">
        <v>48</v>
      </c>
      <c r="G119" s="16" t="s">
        <v>48</v>
      </c>
      <c r="H119" s="16" t="s">
        <v>48</v>
      </c>
      <c r="I119" s="16" t="s">
        <v>48</v>
      </c>
      <c r="J119" s="16" t="s">
        <v>48</v>
      </c>
      <c r="K119" s="16" t="s">
        <v>48</v>
      </c>
      <c r="L119" s="16" t="s">
        <v>48</v>
      </c>
      <c r="M119" s="16" t="s">
        <v>3638</v>
      </c>
      <c r="N119" s="16">
        <v>250</v>
      </c>
      <c r="O119" s="16" t="s">
        <v>2697</v>
      </c>
      <c r="P119" s="16" t="s">
        <v>3652</v>
      </c>
      <c r="Q119" s="33" t="s">
        <v>3653</v>
      </c>
    </row>
    <row r="120" spans="1:17" ht="17.100000000000001" customHeight="1">
      <c r="A120" s="22">
        <v>46003</v>
      </c>
      <c r="B120" s="15" t="s">
        <v>29</v>
      </c>
      <c r="C120" s="16" t="s">
        <v>3651</v>
      </c>
      <c r="D120" s="16" t="s">
        <v>3655</v>
      </c>
      <c r="E120" s="16" t="s">
        <v>48</v>
      </c>
      <c r="F120" s="16" t="s">
        <v>48</v>
      </c>
      <c r="G120" s="16" t="s">
        <v>48</v>
      </c>
      <c r="H120" s="16" t="s">
        <v>48</v>
      </c>
      <c r="I120" s="16" t="s">
        <v>48</v>
      </c>
      <c r="J120" s="16" t="s">
        <v>48</v>
      </c>
      <c r="K120" s="16" t="s">
        <v>48</v>
      </c>
      <c r="L120" s="16" t="s">
        <v>48</v>
      </c>
      <c r="M120" s="16" t="s">
        <v>3638</v>
      </c>
      <c r="N120" s="16">
        <v>115</v>
      </c>
      <c r="O120" s="16" t="s">
        <v>3658</v>
      </c>
      <c r="P120" s="16"/>
      <c r="Q120" s="33" t="s">
        <v>3654</v>
      </c>
    </row>
    <row r="121" spans="1:17" ht="17.100000000000001" customHeight="1">
      <c r="A121" s="22">
        <v>46003</v>
      </c>
      <c r="B121" s="15" t="s">
        <v>29</v>
      </c>
      <c r="C121" s="16" t="s">
        <v>3651</v>
      </c>
      <c r="D121" s="16" t="s">
        <v>3656</v>
      </c>
      <c r="E121" s="16" t="s">
        <v>48</v>
      </c>
      <c r="F121" s="16" t="s">
        <v>48</v>
      </c>
      <c r="G121" s="16" t="s">
        <v>48</v>
      </c>
      <c r="H121" s="16" t="s">
        <v>48</v>
      </c>
      <c r="I121" s="16" t="s">
        <v>48</v>
      </c>
      <c r="J121" s="16" t="s">
        <v>48</v>
      </c>
      <c r="K121" s="16" t="s">
        <v>48</v>
      </c>
      <c r="L121" s="16" t="s">
        <v>48</v>
      </c>
      <c r="M121" s="16" t="s">
        <v>3638</v>
      </c>
      <c r="N121" s="16">
        <v>400</v>
      </c>
      <c r="O121" s="16" t="s">
        <v>3659</v>
      </c>
      <c r="P121" s="16"/>
      <c r="Q121" s="33"/>
    </row>
    <row r="122" spans="1:17" ht="17.100000000000001" customHeight="1">
      <c r="A122" s="22">
        <v>46003</v>
      </c>
      <c r="B122" s="15" t="s">
        <v>29</v>
      </c>
      <c r="C122" s="16" t="s">
        <v>3651</v>
      </c>
      <c r="D122" s="16" t="s">
        <v>3657</v>
      </c>
      <c r="E122" s="16" t="s">
        <v>48</v>
      </c>
      <c r="F122" s="16" t="s">
        <v>48</v>
      </c>
      <c r="G122" s="16" t="s">
        <v>48</v>
      </c>
      <c r="H122" s="16" t="s">
        <v>48</v>
      </c>
      <c r="I122" s="16" t="s">
        <v>48</v>
      </c>
      <c r="J122" s="16" t="s">
        <v>48</v>
      </c>
      <c r="K122" s="16" t="s">
        <v>48</v>
      </c>
      <c r="L122" s="16" t="s">
        <v>48</v>
      </c>
      <c r="M122" s="16" t="s">
        <v>3638</v>
      </c>
      <c r="N122" s="16">
        <v>360</v>
      </c>
      <c r="O122" s="16" t="s">
        <v>3659</v>
      </c>
      <c r="P122" s="16"/>
      <c r="Q122" s="33"/>
    </row>
    <row r="123" spans="1:17" ht="17.100000000000001" customHeight="1">
      <c r="A123" s="22">
        <v>46003</v>
      </c>
      <c r="B123" s="15" t="s">
        <v>843</v>
      </c>
      <c r="C123" s="16" t="s">
        <v>3651</v>
      </c>
      <c r="D123" s="16" t="s">
        <v>48</v>
      </c>
      <c r="E123" s="16" t="s">
        <v>48</v>
      </c>
      <c r="F123" s="16" t="s">
        <v>48</v>
      </c>
      <c r="G123" s="16" t="s">
        <v>48</v>
      </c>
      <c r="H123" s="16" t="s">
        <v>48</v>
      </c>
      <c r="I123" s="16" t="s">
        <v>48</v>
      </c>
      <c r="J123" s="16" t="s">
        <v>48</v>
      </c>
      <c r="K123" s="16" t="s">
        <v>48</v>
      </c>
      <c r="L123" s="16" t="s">
        <v>48</v>
      </c>
      <c r="M123" s="16" t="s">
        <v>48</v>
      </c>
      <c r="N123" s="16">
        <v>1400</v>
      </c>
      <c r="O123" s="16" t="s">
        <v>3660</v>
      </c>
      <c r="P123" s="16"/>
      <c r="Q123" s="33"/>
    </row>
    <row r="124" spans="1:17" ht="17.100000000000001" customHeight="1">
      <c r="A124" s="22">
        <v>46004</v>
      </c>
      <c r="B124" s="15" t="s">
        <v>654</v>
      </c>
      <c r="C124" s="16" t="s">
        <v>3662</v>
      </c>
      <c r="D124" s="16" t="s">
        <v>3663</v>
      </c>
      <c r="E124" s="16" t="s">
        <v>3664</v>
      </c>
      <c r="F124" s="16" t="s">
        <v>48</v>
      </c>
      <c r="G124" s="16" t="s">
        <v>48</v>
      </c>
      <c r="H124" s="16" t="s">
        <v>48</v>
      </c>
      <c r="I124" s="16" t="s">
        <v>48</v>
      </c>
      <c r="J124" s="16" t="s">
        <v>48</v>
      </c>
      <c r="K124" s="16" t="s">
        <v>48</v>
      </c>
      <c r="L124" s="16" t="s">
        <v>48</v>
      </c>
      <c r="M124" s="16" t="s">
        <v>48</v>
      </c>
      <c r="N124" s="16"/>
      <c r="O124" s="16" t="s">
        <v>3665</v>
      </c>
      <c r="P124" s="16"/>
      <c r="Q124" s="33"/>
    </row>
    <row r="125" spans="1:17" ht="17.100000000000001" customHeight="1">
      <c r="A125" s="22">
        <v>46004</v>
      </c>
      <c r="B125" s="15" t="s">
        <v>29</v>
      </c>
      <c r="C125" s="16" t="s">
        <v>3662</v>
      </c>
      <c r="D125" s="16" t="s">
        <v>3667</v>
      </c>
      <c r="E125" s="16" t="s">
        <v>48</v>
      </c>
      <c r="F125" s="16" t="s">
        <v>48</v>
      </c>
      <c r="G125" s="16" t="s">
        <v>48</v>
      </c>
      <c r="H125" s="16" t="s">
        <v>48</v>
      </c>
      <c r="I125" s="16" t="s">
        <v>48</v>
      </c>
      <c r="J125" s="16" t="s">
        <v>48</v>
      </c>
      <c r="K125" s="16" t="s">
        <v>48</v>
      </c>
      <c r="L125" s="16" t="s">
        <v>48</v>
      </c>
      <c r="M125" s="16" t="s">
        <v>48</v>
      </c>
      <c r="N125" s="16">
        <v>400</v>
      </c>
      <c r="O125" s="16" t="s">
        <v>3666</v>
      </c>
      <c r="P125" s="16"/>
      <c r="Q125" s="33"/>
    </row>
    <row r="126" spans="1:17" ht="17.100000000000001" customHeight="1">
      <c r="A126" s="22">
        <v>46004</v>
      </c>
      <c r="B126" s="15" t="s">
        <v>29</v>
      </c>
      <c r="C126" s="16" t="s">
        <v>3662</v>
      </c>
      <c r="D126" s="16" t="s">
        <v>3657</v>
      </c>
      <c r="E126" s="16" t="s">
        <v>48</v>
      </c>
      <c r="F126" s="16" t="s">
        <v>48</v>
      </c>
      <c r="G126" s="16" t="s">
        <v>48</v>
      </c>
      <c r="H126" s="16" t="s">
        <v>48</v>
      </c>
      <c r="I126" s="16" t="s">
        <v>48</v>
      </c>
      <c r="J126" s="16" t="s">
        <v>48</v>
      </c>
      <c r="K126" s="16" t="s">
        <v>48</v>
      </c>
      <c r="L126" s="16" t="s">
        <v>48</v>
      </c>
      <c r="M126" s="16" t="s">
        <v>48</v>
      </c>
      <c r="N126" s="16">
        <v>40</v>
      </c>
      <c r="O126" s="16" t="s">
        <v>3666</v>
      </c>
      <c r="P126" s="16"/>
      <c r="Q126" s="33"/>
    </row>
    <row r="127" spans="1:17" ht="17.100000000000001" customHeight="1">
      <c r="A127" s="22">
        <v>46004</v>
      </c>
      <c r="B127" s="15" t="s">
        <v>29</v>
      </c>
      <c r="C127" s="16" t="s">
        <v>3662</v>
      </c>
      <c r="D127" s="16" t="s">
        <v>3655</v>
      </c>
      <c r="E127" s="16" t="s">
        <v>48</v>
      </c>
      <c r="F127" s="16" t="s">
        <v>48</v>
      </c>
      <c r="G127" s="16" t="s">
        <v>48</v>
      </c>
      <c r="H127" s="16" t="s">
        <v>48</v>
      </c>
      <c r="I127" s="16" t="s">
        <v>48</v>
      </c>
      <c r="J127" s="16" t="s">
        <v>48</v>
      </c>
      <c r="K127" s="16" t="s">
        <v>48</v>
      </c>
      <c r="L127" s="16" t="s">
        <v>48</v>
      </c>
      <c r="M127" s="16" t="s">
        <v>48</v>
      </c>
      <c r="N127" s="16">
        <v>364</v>
      </c>
      <c r="O127" s="16" t="s">
        <v>3666</v>
      </c>
      <c r="P127" s="16"/>
      <c r="Q127" s="33"/>
    </row>
    <row r="128" spans="1:17" ht="17.100000000000001" customHeight="1">
      <c r="A128" s="22">
        <v>46004</v>
      </c>
      <c r="B128" s="15" t="s">
        <v>29</v>
      </c>
      <c r="C128" s="16" t="s">
        <v>3662</v>
      </c>
      <c r="D128" s="16" t="s">
        <v>3668</v>
      </c>
      <c r="E128" s="16" t="s">
        <v>48</v>
      </c>
      <c r="F128" s="16" t="s">
        <v>48</v>
      </c>
      <c r="G128" s="16" t="s">
        <v>48</v>
      </c>
      <c r="H128" s="16" t="s">
        <v>48</v>
      </c>
      <c r="I128" s="16" t="s">
        <v>48</v>
      </c>
      <c r="J128" s="16" t="s">
        <v>48</v>
      </c>
      <c r="K128" s="16" t="s">
        <v>48</v>
      </c>
      <c r="L128" s="16" t="s">
        <v>48</v>
      </c>
      <c r="M128" s="16" t="s">
        <v>48</v>
      </c>
      <c r="N128" s="16">
        <v>100</v>
      </c>
      <c r="O128" s="16" t="s">
        <v>3666</v>
      </c>
      <c r="P128" s="16"/>
      <c r="Q128" s="33"/>
    </row>
    <row r="129" spans="1:17" ht="17.100000000000001" customHeight="1">
      <c r="A129" s="22">
        <v>46004</v>
      </c>
      <c r="B129" s="15" t="s">
        <v>29</v>
      </c>
      <c r="C129" s="16" t="s">
        <v>3662</v>
      </c>
      <c r="D129" s="16" t="s">
        <v>3663</v>
      </c>
      <c r="E129" s="16" t="s">
        <v>48</v>
      </c>
      <c r="F129" s="16" t="s">
        <v>48</v>
      </c>
      <c r="G129" s="16" t="s">
        <v>48</v>
      </c>
      <c r="H129" s="16" t="s">
        <v>48</v>
      </c>
      <c r="I129" s="16" t="s">
        <v>48</v>
      </c>
      <c r="J129" s="16" t="s">
        <v>48</v>
      </c>
      <c r="K129" s="16" t="s">
        <v>48</v>
      </c>
      <c r="L129" s="16" t="s">
        <v>48</v>
      </c>
      <c r="M129" s="16" t="s">
        <v>48</v>
      </c>
      <c r="N129" s="16">
        <v>96</v>
      </c>
      <c r="O129" s="16" t="s">
        <v>3666</v>
      </c>
      <c r="P129" s="16"/>
      <c r="Q129" s="33"/>
    </row>
    <row r="130" spans="1:17" ht="17.100000000000001" customHeight="1">
      <c r="A130" s="22">
        <v>46006</v>
      </c>
      <c r="B130" s="15" t="s">
        <v>29</v>
      </c>
      <c r="C130" s="16" t="s">
        <v>3669</v>
      </c>
      <c r="D130" s="16" t="s">
        <v>3663</v>
      </c>
      <c r="E130" s="16" t="s">
        <v>48</v>
      </c>
      <c r="F130" s="16" t="s">
        <v>48</v>
      </c>
      <c r="G130" s="16" t="s">
        <v>48</v>
      </c>
      <c r="H130" s="16" t="s">
        <v>48</v>
      </c>
      <c r="I130" s="16" t="s">
        <v>48</v>
      </c>
      <c r="J130" s="16" t="s">
        <v>48</v>
      </c>
      <c r="K130" s="16" t="s">
        <v>48</v>
      </c>
      <c r="L130" s="16" t="s">
        <v>48</v>
      </c>
      <c r="M130" s="16" t="s">
        <v>48</v>
      </c>
      <c r="N130" s="16">
        <v>200</v>
      </c>
      <c r="O130" s="16" t="s">
        <v>3671</v>
      </c>
      <c r="P130" s="16"/>
      <c r="Q130" s="33"/>
    </row>
    <row r="131" spans="1:17" ht="17.100000000000001" customHeight="1">
      <c r="A131" s="22">
        <v>46006</v>
      </c>
      <c r="B131" s="15" t="s">
        <v>29</v>
      </c>
      <c r="C131" s="16" t="s">
        <v>3669</v>
      </c>
      <c r="D131" s="16" t="s">
        <v>3670</v>
      </c>
      <c r="E131" s="16" t="s">
        <v>48</v>
      </c>
      <c r="F131" s="16" t="s">
        <v>48</v>
      </c>
      <c r="G131" s="16" t="s">
        <v>48</v>
      </c>
      <c r="H131" s="16" t="s">
        <v>48</v>
      </c>
      <c r="I131" s="16" t="s">
        <v>48</v>
      </c>
      <c r="J131" s="16" t="s">
        <v>48</v>
      </c>
      <c r="K131" s="16" t="s">
        <v>48</v>
      </c>
      <c r="L131" s="16" t="s">
        <v>48</v>
      </c>
      <c r="M131" s="16" t="s">
        <v>48</v>
      </c>
      <c r="N131" s="16">
        <v>300</v>
      </c>
      <c r="O131" s="16" t="s">
        <v>3671</v>
      </c>
      <c r="P131" s="16"/>
      <c r="Q131" s="33"/>
    </row>
    <row r="132" spans="1:17" ht="17.100000000000001" customHeight="1">
      <c r="A132" s="22">
        <v>46006</v>
      </c>
      <c r="B132" s="15" t="s">
        <v>222</v>
      </c>
      <c r="C132" s="16" t="s">
        <v>3669</v>
      </c>
      <c r="D132" s="16" t="s">
        <v>48</v>
      </c>
      <c r="E132" s="16" t="s">
        <v>48</v>
      </c>
      <c r="F132" s="16" t="s">
        <v>48</v>
      </c>
      <c r="G132" s="16" t="s">
        <v>48</v>
      </c>
      <c r="H132" s="16" t="s">
        <v>48</v>
      </c>
      <c r="I132" s="16" t="s">
        <v>48</v>
      </c>
      <c r="J132" s="16" t="s">
        <v>48</v>
      </c>
      <c r="K132" s="16" t="s">
        <v>48</v>
      </c>
      <c r="L132" s="16" t="s">
        <v>48</v>
      </c>
      <c r="M132" s="16" t="s">
        <v>3672</v>
      </c>
      <c r="N132" s="16">
        <v>69</v>
      </c>
      <c r="O132" s="16" t="s">
        <v>3674</v>
      </c>
      <c r="P132" s="16"/>
      <c r="Q132" s="33"/>
    </row>
    <row r="133" spans="1:17" ht="17.100000000000001" customHeight="1">
      <c r="A133" s="22">
        <v>46006</v>
      </c>
      <c r="B133" s="15" t="s">
        <v>222</v>
      </c>
      <c r="C133" s="16" t="s">
        <v>3669</v>
      </c>
      <c r="D133" s="16" t="s">
        <v>48</v>
      </c>
      <c r="E133" s="16" t="s">
        <v>48</v>
      </c>
      <c r="F133" s="16" t="s">
        <v>48</v>
      </c>
      <c r="G133" s="16" t="s">
        <v>48</v>
      </c>
      <c r="H133" s="16" t="s">
        <v>48</v>
      </c>
      <c r="I133" s="16" t="s">
        <v>48</v>
      </c>
      <c r="J133" s="16" t="s">
        <v>48</v>
      </c>
      <c r="K133" s="16" t="s">
        <v>48</v>
      </c>
      <c r="L133" s="16" t="s">
        <v>48</v>
      </c>
      <c r="M133" s="16" t="s">
        <v>3673</v>
      </c>
      <c r="N133" s="16">
        <f>150-69</f>
        <v>81</v>
      </c>
      <c r="O133" s="16" t="s">
        <v>3674</v>
      </c>
      <c r="P133" s="16"/>
      <c r="Q133" s="33"/>
    </row>
    <row r="134" spans="1:17" ht="17.100000000000001" customHeight="1">
      <c r="A134" s="22">
        <v>46007</v>
      </c>
      <c r="B134" s="15" t="s">
        <v>3682</v>
      </c>
      <c r="C134" s="16" t="s">
        <v>3675</v>
      </c>
      <c r="D134" s="16" t="s">
        <v>48</v>
      </c>
      <c r="E134" s="16" t="s">
        <v>48</v>
      </c>
      <c r="F134" s="16" t="s">
        <v>48</v>
      </c>
      <c r="G134" s="16" t="s">
        <v>48</v>
      </c>
      <c r="H134" s="16" t="s">
        <v>48</v>
      </c>
      <c r="I134" s="16" t="s">
        <v>48</v>
      </c>
      <c r="J134" s="16" t="s">
        <v>48</v>
      </c>
      <c r="K134" s="16" t="s">
        <v>48</v>
      </c>
      <c r="L134" s="16" t="s">
        <v>48</v>
      </c>
      <c r="M134" s="16" t="s">
        <v>3676</v>
      </c>
      <c r="N134" s="16">
        <v>50</v>
      </c>
      <c r="O134" s="16"/>
      <c r="P134" s="16"/>
      <c r="Q134" s="33"/>
    </row>
    <row r="135" spans="1:17" ht="17.100000000000001" customHeight="1">
      <c r="A135" s="22">
        <v>46007</v>
      </c>
      <c r="B135" s="15" t="s">
        <v>222</v>
      </c>
      <c r="C135" s="16" t="s">
        <v>3675</v>
      </c>
      <c r="D135" s="16" t="s">
        <v>48</v>
      </c>
      <c r="E135" s="16" t="s">
        <v>48</v>
      </c>
      <c r="F135" s="16" t="s">
        <v>48</v>
      </c>
      <c r="G135" s="16" t="s">
        <v>48</v>
      </c>
      <c r="H135" s="16" t="s">
        <v>48</v>
      </c>
      <c r="I135" s="16" t="s">
        <v>48</v>
      </c>
      <c r="J135" s="16" t="s">
        <v>48</v>
      </c>
      <c r="K135" s="16" t="s">
        <v>48</v>
      </c>
      <c r="L135" s="16" t="s">
        <v>48</v>
      </c>
      <c r="M135" s="16" t="s">
        <v>3673</v>
      </c>
      <c r="N135" s="16">
        <v>53</v>
      </c>
      <c r="O135" s="16" t="s">
        <v>55</v>
      </c>
      <c r="P135" s="16"/>
      <c r="Q135" s="33"/>
    </row>
    <row r="136" spans="1:17" ht="17.100000000000001" customHeight="1">
      <c r="A136" s="22">
        <v>46007</v>
      </c>
      <c r="B136" s="15" t="s">
        <v>222</v>
      </c>
      <c r="C136" s="16" t="s">
        <v>3675</v>
      </c>
      <c r="D136" s="16" t="s">
        <v>48</v>
      </c>
      <c r="E136" s="16" t="s">
        <v>48</v>
      </c>
      <c r="F136" s="16" t="s">
        <v>48</v>
      </c>
      <c r="G136" s="16" t="s">
        <v>48</v>
      </c>
      <c r="H136" s="16" t="s">
        <v>48</v>
      </c>
      <c r="I136" s="16" t="s">
        <v>48</v>
      </c>
      <c r="J136" s="16" t="s">
        <v>48</v>
      </c>
      <c r="K136" s="16" t="s">
        <v>48</v>
      </c>
      <c r="L136" s="16" t="s">
        <v>48</v>
      </c>
      <c r="M136" s="16" t="s">
        <v>3673</v>
      </c>
      <c r="N136" s="16">
        <v>103</v>
      </c>
      <c r="O136" s="16" t="s">
        <v>55</v>
      </c>
      <c r="P136" s="16"/>
      <c r="Q136" s="33"/>
    </row>
    <row r="137" spans="1:17">
      <c r="A137" s="22">
        <v>46007</v>
      </c>
      <c r="B137" s="15" t="s">
        <v>222</v>
      </c>
      <c r="C137" s="16" t="s">
        <v>3675</v>
      </c>
      <c r="D137" s="16" t="s">
        <v>48</v>
      </c>
      <c r="E137" s="16" t="s">
        <v>48</v>
      </c>
      <c r="F137" s="16" t="s">
        <v>48</v>
      </c>
      <c r="G137" s="16" t="s">
        <v>48</v>
      </c>
      <c r="H137" s="16" t="s">
        <v>48</v>
      </c>
      <c r="I137" s="16" t="s">
        <v>48</v>
      </c>
      <c r="J137" s="16" t="s">
        <v>48</v>
      </c>
      <c r="K137" s="16" t="s">
        <v>48</v>
      </c>
      <c r="L137" s="16" t="s">
        <v>48</v>
      </c>
      <c r="M137" s="16" t="s">
        <v>3677</v>
      </c>
      <c r="N137" s="16">
        <f>195-156</f>
        <v>39</v>
      </c>
      <c r="O137" s="16" t="s">
        <v>55</v>
      </c>
      <c r="P137" s="16"/>
      <c r="Q137" s="33"/>
    </row>
    <row r="138" spans="1:17">
      <c r="A138" s="22">
        <v>46007</v>
      </c>
      <c r="B138" s="15" t="s">
        <v>3683</v>
      </c>
      <c r="C138" s="16" t="s">
        <v>3675</v>
      </c>
      <c r="D138" s="16" t="s">
        <v>48</v>
      </c>
      <c r="E138" s="16" t="s">
        <v>48</v>
      </c>
      <c r="F138" s="16" t="s">
        <v>48</v>
      </c>
      <c r="G138" s="16" t="s">
        <v>48</v>
      </c>
      <c r="H138" s="16" t="s">
        <v>48</v>
      </c>
      <c r="I138" s="16" t="s">
        <v>48</v>
      </c>
      <c r="J138" s="16" t="s">
        <v>48</v>
      </c>
      <c r="K138" s="16" t="s">
        <v>48</v>
      </c>
      <c r="L138" s="16" t="s">
        <v>48</v>
      </c>
      <c r="M138" s="16" t="s">
        <v>3676</v>
      </c>
      <c r="N138" s="16">
        <v>40</v>
      </c>
      <c r="O138" s="16" t="s">
        <v>55</v>
      </c>
      <c r="P138" s="16"/>
      <c r="Q138" s="33"/>
    </row>
    <row r="139" spans="1:17">
      <c r="A139" s="22">
        <v>46007</v>
      </c>
      <c r="B139" s="15" t="s">
        <v>3683</v>
      </c>
      <c r="C139" s="16" t="s">
        <v>3675</v>
      </c>
      <c r="D139" s="16" t="s">
        <v>48</v>
      </c>
      <c r="E139" s="16" t="s">
        <v>48</v>
      </c>
      <c r="F139" s="16" t="s">
        <v>48</v>
      </c>
      <c r="G139" s="16" t="s">
        <v>48</v>
      </c>
      <c r="H139" s="16" t="s">
        <v>48</v>
      </c>
      <c r="I139" s="16" t="s">
        <v>48</v>
      </c>
      <c r="J139" s="16" t="s">
        <v>48</v>
      </c>
      <c r="K139" s="16" t="s">
        <v>48</v>
      </c>
      <c r="L139" s="16" t="s">
        <v>48</v>
      </c>
      <c r="M139" s="16" t="s">
        <v>3664</v>
      </c>
      <c r="N139" s="16">
        <v>10</v>
      </c>
      <c r="O139" s="16" t="s">
        <v>55</v>
      </c>
      <c r="P139" s="16"/>
      <c r="Q139" s="33"/>
    </row>
    <row r="140" spans="1:17">
      <c r="A140" s="22">
        <v>46007</v>
      </c>
      <c r="B140" s="15" t="s">
        <v>261</v>
      </c>
      <c r="C140" s="16" t="s">
        <v>3675</v>
      </c>
      <c r="D140" s="16" t="s">
        <v>3678</v>
      </c>
      <c r="E140" s="16" t="s">
        <v>48</v>
      </c>
      <c r="F140" s="16" t="s">
        <v>48</v>
      </c>
      <c r="G140" s="16" t="s">
        <v>48</v>
      </c>
      <c r="H140" s="16" t="s">
        <v>48</v>
      </c>
      <c r="I140" s="16" t="s">
        <v>48</v>
      </c>
      <c r="J140" s="16" t="s">
        <v>48</v>
      </c>
      <c r="K140" s="16" t="s">
        <v>48</v>
      </c>
      <c r="L140" s="16" t="s">
        <v>48</v>
      </c>
      <c r="M140" s="16" t="s">
        <v>48</v>
      </c>
      <c r="N140" s="16">
        <v>300</v>
      </c>
      <c r="O140" s="16" t="s">
        <v>3680</v>
      </c>
      <c r="P140" s="16"/>
      <c r="Q140" s="33"/>
    </row>
    <row r="141" spans="1:17">
      <c r="A141" s="22">
        <v>46007</v>
      </c>
      <c r="B141" s="15" t="s">
        <v>261</v>
      </c>
      <c r="C141" s="16" t="s">
        <v>3675</v>
      </c>
      <c r="D141" s="16" t="s">
        <v>3679</v>
      </c>
      <c r="E141" s="16" t="s">
        <v>48</v>
      </c>
      <c r="F141" s="16" t="s">
        <v>48</v>
      </c>
      <c r="G141" s="16" t="s">
        <v>48</v>
      </c>
      <c r="H141" s="16" t="s">
        <v>48</v>
      </c>
      <c r="I141" s="16" t="s">
        <v>48</v>
      </c>
      <c r="J141" s="16" t="s">
        <v>48</v>
      </c>
      <c r="K141" s="16" t="s">
        <v>48</v>
      </c>
      <c r="L141" s="16" t="s">
        <v>48</v>
      </c>
      <c r="M141" s="16" t="s">
        <v>48</v>
      </c>
      <c r="N141" s="16">
        <v>200</v>
      </c>
      <c r="O141" s="16" t="s">
        <v>3680</v>
      </c>
      <c r="P141" s="16"/>
      <c r="Q141" s="33"/>
    </row>
    <row r="142" spans="1:17">
      <c r="A142" s="22">
        <v>46007</v>
      </c>
      <c r="B142" s="15" t="s">
        <v>74</v>
      </c>
      <c r="C142" s="16" t="s">
        <v>3675</v>
      </c>
      <c r="D142" s="16" t="s">
        <v>48</v>
      </c>
      <c r="E142" s="16" t="s">
        <v>48</v>
      </c>
      <c r="F142" s="16" t="s">
        <v>3681</v>
      </c>
      <c r="G142" s="16" t="s">
        <v>48</v>
      </c>
      <c r="H142" s="16" t="s">
        <v>48</v>
      </c>
      <c r="I142" s="16" t="s">
        <v>48</v>
      </c>
      <c r="J142" s="16" t="s">
        <v>48</v>
      </c>
      <c r="K142" s="16" t="s">
        <v>48</v>
      </c>
      <c r="L142" s="16" t="s">
        <v>48</v>
      </c>
      <c r="M142" s="16" t="s">
        <v>48</v>
      </c>
      <c r="N142" s="16">
        <v>10</v>
      </c>
      <c r="O142" s="16" t="s">
        <v>55</v>
      </c>
      <c r="P142" s="16"/>
      <c r="Q142" s="33"/>
    </row>
    <row r="143" spans="1:17">
      <c r="A143" s="22">
        <v>46008</v>
      </c>
      <c r="B143" s="15" t="s">
        <v>2317</v>
      </c>
      <c r="C143" s="16" t="s">
        <v>3684</v>
      </c>
      <c r="D143" s="16" t="s">
        <v>3685</v>
      </c>
      <c r="E143" s="16" t="s">
        <v>3686</v>
      </c>
      <c r="F143" s="16" t="s">
        <v>48</v>
      </c>
      <c r="G143" s="16" t="s">
        <v>48</v>
      </c>
      <c r="H143" s="16" t="s">
        <v>48</v>
      </c>
      <c r="I143" s="16" t="s">
        <v>48</v>
      </c>
      <c r="J143" s="16" t="s">
        <v>48</v>
      </c>
      <c r="K143" s="16" t="s">
        <v>48</v>
      </c>
      <c r="L143" s="16" t="s">
        <v>48</v>
      </c>
      <c r="M143" s="16" t="s">
        <v>48</v>
      </c>
      <c r="N143" s="16">
        <v>39</v>
      </c>
      <c r="O143" s="16" t="s">
        <v>3688</v>
      </c>
      <c r="P143" s="16"/>
      <c r="Q143" s="33"/>
    </row>
    <row r="144" spans="1:17">
      <c r="A144" s="22">
        <v>46008</v>
      </c>
      <c r="B144" s="15" t="s">
        <v>2317</v>
      </c>
      <c r="C144" s="16" t="s">
        <v>3684</v>
      </c>
      <c r="D144" s="16" t="s">
        <v>3687</v>
      </c>
      <c r="E144" s="16" t="s">
        <v>3687</v>
      </c>
      <c r="F144" s="16" t="s">
        <v>48</v>
      </c>
      <c r="G144" s="16" t="s">
        <v>48</v>
      </c>
      <c r="H144" s="16" t="s">
        <v>48</v>
      </c>
      <c r="I144" s="16" t="s">
        <v>48</v>
      </c>
      <c r="J144" s="16" t="s">
        <v>48</v>
      </c>
      <c r="K144" s="16" t="s">
        <v>48</v>
      </c>
      <c r="L144" s="16" t="s">
        <v>48</v>
      </c>
      <c r="M144" s="16" t="s">
        <v>48</v>
      </c>
      <c r="N144" s="16">
        <f>99+50</f>
        <v>149</v>
      </c>
      <c r="O144" s="16" t="s">
        <v>3688</v>
      </c>
      <c r="P144" s="16"/>
      <c r="Q144" s="33"/>
    </row>
    <row r="145" spans="1:17">
      <c r="A145" s="22">
        <v>46008</v>
      </c>
      <c r="B145" s="15" t="s">
        <v>2317</v>
      </c>
      <c r="C145" s="16" t="s">
        <v>3684</v>
      </c>
      <c r="D145" s="16" t="s">
        <v>3686</v>
      </c>
      <c r="E145" s="16" t="s">
        <v>3687</v>
      </c>
      <c r="F145" s="16" t="s">
        <v>48</v>
      </c>
      <c r="G145" s="16" t="s">
        <v>48</v>
      </c>
      <c r="H145" s="16" t="s">
        <v>48</v>
      </c>
      <c r="I145" s="16" t="s">
        <v>48</v>
      </c>
      <c r="J145" s="16" t="s">
        <v>48</v>
      </c>
      <c r="K145" s="16" t="s">
        <v>48</v>
      </c>
      <c r="L145" s="16" t="s">
        <v>48</v>
      </c>
      <c r="M145" s="16" t="s">
        <v>48</v>
      </c>
      <c r="N145" s="16">
        <f>240-188</f>
        <v>52</v>
      </c>
      <c r="O145" s="16"/>
      <c r="P145" s="16"/>
      <c r="Q145" s="33"/>
    </row>
    <row r="146" spans="1:17">
      <c r="A146" s="22">
        <v>46008</v>
      </c>
      <c r="B146" s="15" t="s">
        <v>2308</v>
      </c>
      <c r="C146" s="16" t="s">
        <v>3684</v>
      </c>
      <c r="D146" s="16" t="s">
        <v>3689</v>
      </c>
      <c r="E146" s="16" t="s">
        <v>48</v>
      </c>
      <c r="F146" s="16" t="s">
        <v>48</v>
      </c>
      <c r="G146" s="16" t="s">
        <v>48</v>
      </c>
      <c r="H146" s="16" t="s">
        <v>48</v>
      </c>
      <c r="I146" s="16" t="s">
        <v>48</v>
      </c>
      <c r="J146" s="16" t="s">
        <v>48</v>
      </c>
      <c r="K146" s="16" t="s">
        <v>48</v>
      </c>
      <c r="L146" s="16" t="s">
        <v>48</v>
      </c>
      <c r="M146" s="16" t="s">
        <v>48</v>
      </c>
      <c r="N146" s="16">
        <v>60</v>
      </c>
      <c r="O146" s="16" t="s">
        <v>3688</v>
      </c>
      <c r="P146" s="16"/>
      <c r="Q146" s="33"/>
    </row>
    <row r="147" spans="1:17">
      <c r="A147" s="22">
        <v>46008</v>
      </c>
      <c r="B147" s="15" t="s">
        <v>1154</v>
      </c>
      <c r="C147" s="16" t="s">
        <v>3684</v>
      </c>
      <c r="D147" s="16" t="s">
        <v>3689</v>
      </c>
      <c r="E147" s="16" t="s">
        <v>3686</v>
      </c>
      <c r="F147" s="16" t="s">
        <v>48</v>
      </c>
      <c r="G147" s="16" t="s">
        <v>48</v>
      </c>
      <c r="H147" s="16" t="s">
        <v>48</v>
      </c>
      <c r="I147" s="16" t="s">
        <v>48</v>
      </c>
      <c r="J147" s="16" t="s">
        <v>48</v>
      </c>
      <c r="K147" s="16" t="s">
        <v>48</v>
      </c>
      <c r="L147" s="16" t="s">
        <v>48</v>
      </c>
      <c r="M147" s="16" t="s">
        <v>48</v>
      </c>
      <c r="N147" s="16">
        <v>240</v>
      </c>
      <c r="O147" s="16" t="s">
        <v>3688</v>
      </c>
      <c r="P147" s="16"/>
      <c r="Q147" s="33"/>
    </row>
    <row r="148" spans="1:17">
      <c r="A148" s="22">
        <v>46009</v>
      </c>
      <c r="B148" s="15" t="s">
        <v>3690</v>
      </c>
      <c r="C148" s="16" t="s">
        <v>3691</v>
      </c>
      <c r="D148" s="16" t="s">
        <v>48</v>
      </c>
      <c r="E148" s="16" t="s">
        <v>48</v>
      </c>
      <c r="F148" s="16" t="s">
        <v>3676</v>
      </c>
      <c r="G148" s="16" t="s">
        <v>48</v>
      </c>
      <c r="H148" s="16" t="s">
        <v>48</v>
      </c>
      <c r="I148" s="16" t="s">
        <v>48</v>
      </c>
      <c r="J148" s="16" t="s">
        <v>48</v>
      </c>
      <c r="K148" s="16" t="s">
        <v>48</v>
      </c>
      <c r="L148" s="16" t="s">
        <v>48</v>
      </c>
      <c r="M148" s="16" t="s">
        <v>48</v>
      </c>
      <c r="N148" s="16">
        <v>29</v>
      </c>
      <c r="O148" s="16" t="s">
        <v>3701</v>
      </c>
      <c r="P148" s="16" t="s">
        <v>3702</v>
      </c>
      <c r="Q148" s="33"/>
    </row>
    <row r="149" spans="1:17">
      <c r="A149" s="22">
        <v>46009</v>
      </c>
      <c r="B149" s="15" t="s">
        <v>29</v>
      </c>
      <c r="C149" s="16" t="s">
        <v>3691</v>
      </c>
      <c r="D149" s="16" t="s">
        <v>3692</v>
      </c>
      <c r="E149" s="16" t="s">
        <v>48</v>
      </c>
      <c r="F149" s="16" t="s">
        <v>48</v>
      </c>
      <c r="G149" s="16" t="s">
        <v>48</v>
      </c>
      <c r="H149" s="16" t="s">
        <v>48</v>
      </c>
      <c r="I149" s="16" t="s">
        <v>48</v>
      </c>
      <c r="J149" s="16" t="s">
        <v>48</v>
      </c>
      <c r="K149" s="16" t="s">
        <v>48</v>
      </c>
      <c r="L149" s="16" t="s">
        <v>48</v>
      </c>
      <c r="M149" s="16" t="s">
        <v>48</v>
      </c>
      <c r="N149" s="16">
        <v>100</v>
      </c>
      <c r="O149" s="16" t="s">
        <v>3693</v>
      </c>
      <c r="P149" s="16" t="s">
        <v>3703</v>
      </c>
      <c r="Q149" s="33"/>
    </row>
    <row r="150" spans="1:17">
      <c r="A150" s="22">
        <v>46009</v>
      </c>
      <c r="B150" s="15" t="s">
        <v>29</v>
      </c>
      <c r="C150" s="16" t="s">
        <v>3691</v>
      </c>
      <c r="D150" s="16" t="s">
        <v>3679</v>
      </c>
      <c r="E150" s="16" t="s">
        <v>48</v>
      </c>
      <c r="F150" s="16" t="s">
        <v>48</v>
      </c>
      <c r="G150" s="16" t="s">
        <v>48</v>
      </c>
      <c r="H150" s="16" t="s">
        <v>48</v>
      </c>
      <c r="I150" s="16" t="s">
        <v>48</v>
      </c>
      <c r="J150" s="16" t="s">
        <v>48</v>
      </c>
      <c r="K150" s="16" t="s">
        <v>48</v>
      </c>
      <c r="L150" s="16" t="s">
        <v>48</v>
      </c>
      <c r="M150" s="16" t="s">
        <v>48</v>
      </c>
      <c r="N150" s="16">
        <v>150</v>
      </c>
      <c r="O150" s="16" t="s">
        <v>3694</v>
      </c>
      <c r="P150" s="16" t="s">
        <v>3703</v>
      </c>
      <c r="Q150" s="33"/>
    </row>
    <row r="151" spans="1:17">
      <c r="A151" s="22">
        <v>46009</v>
      </c>
      <c r="B151" s="15" t="s">
        <v>374</v>
      </c>
      <c r="C151" s="16" t="s">
        <v>3691</v>
      </c>
      <c r="D151" s="16" t="s">
        <v>3689</v>
      </c>
      <c r="E151" s="16" t="s">
        <v>48</v>
      </c>
      <c r="F151" s="16" t="s">
        <v>48</v>
      </c>
      <c r="G151" s="16" t="s">
        <v>48</v>
      </c>
      <c r="H151" s="16" t="s">
        <v>48</v>
      </c>
      <c r="I151" s="16" t="s">
        <v>48</v>
      </c>
      <c r="J151" s="16" t="s">
        <v>48</v>
      </c>
      <c r="K151" s="16" t="s">
        <v>48</v>
      </c>
      <c r="L151" s="16" t="s">
        <v>48</v>
      </c>
      <c r="M151" s="16" t="s">
        <v>48</v>
      </c>
      <c r="N151" s="16">
        <v>125</v>
      </c>
      <c r="O151" s="16" t="s">
        <v>3694</v>
      </c>
      <c r="P151" s="16" t="s">
        <v>3704</v>
      </c>
      <c r="Q151" s="33"/>
    </row>
    <row r="152" spans="1:17">
      <c r="A152" s="22">
        <v>46009</v>
      </c>
      <c r="B152" s="15" t="s">
        <v>28</v>
      </c>
      <c r="C152" s="16" t="s">
        <v>3691</v>
      </c>
      <c r="D152" s="16" t="s">
        <v>3689</v>
      </c>
      <c r="E152" s="16" t="s">
        <v>3696</v>
      </c>
      <c r="F152" s="16" t="s">
        <v>48</v>
      </c>
      <c r="G152" s="16" t="s">
        <v>48</v>
      </c>
      <c r="H152" s="16" t="s">
        <v>48</v>
      </c>
      <c r="I152" s="16" t="s">
        <v>48</v>
      </c>
      <c r="J152" s="16" t="s">
        <v>48</v>
      </c>
      <c r="K152" s="16" t="s">
        <v>48</v>
      </c>
      <c r="L152" s="16" t="s">
        <v>48</v>
      </c>
      <c r="M152" s="16" t="s">
        <v>48</v>
      </c>
      <c r="N152" s="16">
        <v>80</v>
      </c>
      <c r="O152" s="16" t="s">
        <v>3695</v>
      </c>
      <c r="P152" s="16" t="s">
        <v>3706</v>
      </c>
      <c r="Q152" s="33"/>
    </row>
    <row r="153" spans="1:17">
      <c r="A153" s="22">
        <v>46009</v>
      </c>
      <c r="B153" s="15" t="s">
        <v>162</v>
      </c>
      <c r="C153" s="16" t="s">
        <v>3691</v>
      </c>
      <c r="D153" s="16" t="s">
        <v>3689</v>
      </c>
      <c r="E153" s="16" t="s">
        <v>3696</v>
      </c>
      <c r="F153" s="16" t="s">
        <v>48</v>
      </c>
      <c r="G153" s="16" t="s">
        <v>48</v>
      </c>
      <c r="H153" s="16" t="s">
        <v>48</v>
      </c>
      <c r="I153" s="16" t="s">
        <v>48</v>
      </c>
      <c r="J153" s="16" t="s">
        <v>48</v>
      </c>
      <c r="K153" s="16" t="s">
        <v>48</v>
      </c>
      <c r="L153" s="16" t="s">
        <v>48</v>
      </c>
      <c r="M153" s="16" t="s">
        <v>48</v>
      </c>
      <c r="N153" s="16">
        <v>40</v>
      </c>
      <c r="O153" s="16" t="s">
        <v>3695</v>
      </c>
      <c r="P153" s="16" t="s">
        <v>3705</v>
      </c>
      <c r="Q153" s="33"/>
    </row>
    <row r="154" spans="1:17">
      <c r="A154" s="22">
        <v>46009</v>
      </c>
      <c r="B154" s="15" t="s">
        <v>220</v>
      </c>
      <c r="C154" s="16" t="s">
        <v>3691</v>
      </c>
      <c r="D154" s="16" t="s">
        <v>3697</v>
      </c>
      <c r="E154" s="16" t="s">
        <v>3664</v>
      </c>
      <c r="F154" s="16" t="s">
        <v>48</v>
      </c>
      <c r="G154" s="16" t="s">
        <v>48</v>
      </c>
      <c r="H154" s="16" t="s">
        <v>48</v>
      </c>
      <c r="I154" s="16" t="s">
        <v>48</v>
      </c>
      <c r="J154" s="16" t="s">
        <v>48</v>
      </c>
      <c r="K154" s="16" t="s">
        <v>48</v>
      </c>
      <c r="L154" s="16" t="s">
        <v>48</v>
      </c>
      <c r="M154" s="16" t="s">
        <v>48</v>
      </c>
      <c r="N154" s="16">
        <v>60</v>
      </c>
      <c r="O154" s="16" t="s">
        <v>3698</v>
      </c>
      <c r="P154" s="16" t="s">
        <v>3707</v>
      </c>
      <c r="Q154" s="33"/>
    </row>
    <row r="155" spans="1:17">
      <c r="A155" s="22">
        <v>46009</v>
      </c>
      <c r="B155" s="15" t="s">
        <v>59</v>
      </c>
      <c r="C155" s="16" t="s">
        <v>3691</v>
      </c>
      <c r="D155" s="16" t="s">
        <v>3699</v>
      </c>
      <c r="E155" s="16" t="s">
        <v>48</v>
      </c>
      <c r="F155" s="16" t="s">
        <v>48</v>
      </c>
      <c r="G155" s="16" t="s">
        <v>48</v>
      </c>
      <c r="H155" s="16" t="s">
        <v>48</v>
      </c>
      <c r="I155" s="16" t="s">
        <v>48</v>
      </c>
      <c r="J155" s="16" t="s">
        <v>48</v>
      </c>
      <c r="K155" s="16" t="s">
        <v>48</v>
      </c>
      <c r="L155" s="16" t="s">
        <v>48</v>
      </c>
      <c r="M155" s="16" t="s">
        <v>48</v>
      </c>
      <c r="N155" s="16">
        <v>180</v>
      </c>
      <c r="O155" s="16" t="s">
        <v>3695</v>
      </c>
      <c r="P155" s="16" t="s">
        <v>3708</v>
      </c>
      <c r="Q155" s="33"/>
    </row>
    <row r="156" spans="1:17">
      <c r="A156" s="22">
        <v>46010</v>
      </c>
      <c r="B156" s="15" t="s">
        <v>59</v>
      </c>
      <c r="C156" s="16" t="s">
        <v>3700</v>
      </c>
      <c r="D156" s="16" t="s">
        <v>3699</v>
      </c>
      <c r="E156" s="16" t="s">
        <v>48</v>
      </c>
      <c r="F156" s="16" t="s">
        <v>48</v>
      </c>
      <c r="G156" s="16" t="s">
        <v>48</v>
      </c>
      <c r="H156" s="16" t="s">
        <v>48</v>
      </c>
      <c r="I156" s="16" t="s">
        <v>48</v>
      </c>
      <c r="J156" s="16" t="s">
        <v>48</v>
      </c>
      <c r="K156" s="16" t="s">
        <v>48</v>
      </c>
      <c r="L156" s="16" t="s">
        <v>48</v>
      </c>
      <c r="M156" s="16" t="s">
        <v>48</v>
      </c>
      <c r="N156" s="16">
        <v>60</v>
      </c>
      <c r="O156" s="16" t="s">
        <v>3695</v>
      </c>
      <c r="P156" s="16"/>
      <c r="Q156" s="33"/>
    </row>
    <row r="157" spans="1:17">
      <c r="A157" s="22">
        <v>46010</v>
      </c>
      <c r="B157" s="15" t="s">
        <v>29</v>
      </c>
      <c r="C157" s="16" t="s">
        <v>3700</v>
      </c>
      <c r="D157" s="16" t="s">
        <v>3709</v>
      </c>
      <c r="E157" s="16" t="s">
        <v>48</v>
      </c>
      <c r="F157" s="16" t="s">
        <v>48</v>
      </c>
      <c r="G157" s="16" t="s">
        <v>48</v>
      </c>
      <c r="H157" s="16" t="s">
        <v>48</v>
      </c>
      <c r="I157" s="16" t="s">
        <v>48</v>
      </c>
      <c r="J157" s="16" t="s">
        <v>48</v>
      </c>
      <c r="K157" s="16" t="s">
        <v>48</v>
      </c>
      <c r="L157" s="16" t="s">
        <v>48</v>
      </c>
      <c r="M157" s="16" t="s">
        <v>48</v>
      </c>
      <c r="N157" s="16">
        <v>167</v>
      </c>
      <c r="O157" s="16" t="s">
        <v>3710</v>
      </c>
      <c r="P157" s="16"/>
      <c r="Q157" s="33"/>
    </row>
    <row r="158" spans="1:17">
      <c r="A158" s="22">
        <v>46010</v>
      </c>
      <c r="B158" s="15" t="s">
        <v>29</v>
      </c>
      <c r="C158" s="16" t="s">
        <v>3700</v>
      </c>
      <c r="D158" s="16" t="s">
        <v>3711</v>
      </c>
      <c r="E158" s="16" t="s">
        <v>48</v>
      </c>
      <c r="F158" s="16" t="s">
        <v>48</v>
      </c>
      <c r="G158" s="16" t="s">
        <v>48</v>
      </c>
      <c r="H158" s="16" t="s">
        <v>48</v>
      </c>
      <c r="I158" s="16" t="s">
        <v>48</v>
      </c>
      <c r="J158" s="16" t="s">
        <v>48</v>
      </c>
      <c r="K158" s="16" t="s">
        <v>48</v>
      </c>
      <c r="L158" s="16" t="s">
        <v>48</v>
      </c>
      <c r="M158" s="16" t="s">
        <v>48</v>
      </c>
      <c r="N158" s="16">
        <f>250-167</f>
        <v>83</v>
      </c>
      <c r="O158" s="16" t="s">
        <v>3710</v>
      </c>
      <c r="P158" s="16"/>
      <c r="Q158" s="33"/>
    </row>
    <row r="159" spans="1:17">
      <c r="A159" s="22">
        <v>46010</v>
      </c>
      <c r="B159" s="15" t="s">
        <v>952</v>
      </c>
      <c r="C159" s="16" t="s">
        <v>3700</v>
      </c>
      <c r="D159" s="16" t="s">
        <v>48</v>
      </c>
      <c r="E159" s="16" t="s">
        <v>48</v>
      </c>
      <c r="F159" s="16" t="s">
        <v>48</v>
      </c>
      <c r="G159" s="16" t="s">
        <v>48</v>
      </c>
      <c r="H159" s="16" t="s">
        <v>48</v>
      </c>
      <c r="I159" s="16" t="s">
        <v>48</v>
      </c>
      <c r="J159" s="16" t="s">
        <v>48</v>
      </c>
      <c r="K159" s="16" t="s">
        <v>48</v>
      </c>
      <c r="L159" s="16" t="s">
        <v>48</v>
      </c>
      <c r="M159" s="16" t="s">
        <v>48</v>
      </c>
      <c r="N159" s="16">
        <v>100</v>
      </c>
      <c r="O159" s="16" t="s">
        <v>3714</v>
      </c>
      <c r="P159" s="16"/>
      <c r="Q159" s="33"/>
    </row>
    <row r="160" spans="1:17">
      <c r="A160" s="22">
        <v>46010</v>
      </c>
      <c r="B160" s="15" t="s">
        <v>3712</v>
      </c>
      <c r="C160" s="16" t="s">
        <v>3700</v>
      </c>
      <c r="D160" s="16" t="s">
        <v>48</v>
      </c>
      <c r="E160" s="16" t="s">
        <v>48</v>
      </c>
      <c r="F160" s="16" t="s">
        <v>48</v>
      </c>
      <c r="G160" s="16" t="s">
        <v>48</v>
      </c>
      <c r="H160" s="16" t="s">
        <v>48</v>
      </c>
      <c r="I160" s="16" t="s">
        <v>48</v>
      </c>
      <c r="J160" s="16" t="s">
        <v>48</v>
      </c>
      <c r="K160" s="16" t="s">
        <v>48</v>
      </c>
      <c r="L160" s="16" t="s">
        <v>48</v>
      </c>
      <c r="M160" s="16" t="s">
        <v>48</v>
      </c>
      <c r="N160" s="16">
        <v>2</v>
      </c>
      <c r="O160" s="16"/>
      <c r="P160" s="16"/>
      <c r="Q160" s="33"/>
    </row>
    <row r="161" spans="1:17">
      <c r="A161" s="22">
        <v>46010</v>
      </c>
      <c r="B161" s="15" t="s">
        <v>3713</v>
      </c>
      <c r="C161" s="16" t="s">
        <v>3700</v>
      </c>
      <c r="D161" s="16" t="s">
        <v>48</v>
      </c>
      <c r="E161" s="16" t="s">
        <v>48</v>
      </c>
      <c r="F161" s="16" t="s">
        <v>48</v>
      </c>
      <c r="G161" s="16" t="s">
        <v>48</v>
      </c>
      <c r="H161" s="16" t="s">
        <v>48</v>
      </c>
      <c r="I161" s="16" t="s">
        <v>48</v>
      </c>
      <c r="J161" s="16" t="s">
        <v>48</v>
      </c>
      <c r="K161" s="16" t="s">
        <v>48</v>
      </c>
      <c r="L161" s="16" t="s">
        <v>48</v>
      </c>
      <c r="M161" s="16" t="s">
        <v>48</v>
      </c>
      <c r="N161" s="16">
        <v>2</v>
      </c>
      <c r="O161" s="16"/>
      <c r="P161" s="16"/>
      <c r="Q161" s="33"/>
    </row>
    <row r="162" spans="1:17">
      <c r="A162" s="22">
        <v>46013</v>
      </c>
      <c r="B162" s="15" t="s">
        <v>420</v>
      </c>
      <c r="C162" s="16" t="s">
        <v>3715</v>
      </c>
      <c r="D162" s="16" t="s">
        <v>48</v>
      </c>
      <c r="E162" s="16" t="s">
        <v>48</v>
      </c>
      <c r="F162" s="16" t="s">
        <v>48</v>
      </c>
      <c r="G162" s="16" t="s">
        <v>48</v>
      </c>
      <c r="H162" s="16" t="s">
        <v>48</v>
      </c>
      <c r="I162" s="16" t="s">
        <v>48</v>
      </c>
      <c r="J162" s="16" t="s">
        <v>48</v>
      </c>
      <c r="K162" s="16" t="s">
        <v>48</v>
      </c>
      <c r="L162" s="16" t="s">
        <v>48</v>
      </c>
      <c r="M162" s="16" t="s">
        <v>3716</v>
      </c>
      <c r="N162" s="16">
        <v>20</v>
      </c>
      <c r="O162" s="16" t="s">
        <v>55</v>
      </c>
      <c r="P162" s="15" t="s">
        <v>3720</v>
      </c>
      <c r="Q162" s="26"/>
    </row>
    <row r="163" spans="1:17">
      <c r="A163" s="22">
        <v>46013</v>
      </c>
      <c r="B163" s="15" t="s">
        <v>68</v>
      </c>
      <c r="C163" s="16" t="s">
        <v>3715</v>
      </c>
      <c r="D163" s="16" t="s">
        <v>48</v>
      </c>
      <c r="E163" s="16" t="s">
        <v>48</v>
      </c>
      <c r="F163" s="16" t="s">
        <v>3717</v>
      </c>
      <c r="G163" s="16" t="s">
        <v>48</v>
      </c>
      <c r="H163" s="16" t="s">
        <v>48</v>
      </c>
      <c r="I163" s="16" t="s">
        <v>48</v>
      </c>
      <c r="J163" s="16" t="s">
        <v>48</v>
      </c>
      <c r="K163" s="16" t="s">
        <v>48</v>
      </c>
      <c r="L163" s="16" t="s">
        <v>48</v>
      </c>
      <c r="M163" s="16" t="s">
        <v>48</v>
      </c>
      <c r="N163" s="16">
        <v>108</v>
      </c>
      <c r="O163" s="16" t="s">
        <v>2697</v>
      </c>
      <c r="P163" s="15" t="s">
        <v>3718</v>
      </c>
      <c r="Q163" s="26"/>
    </row>
    <row r="164" spans="1:17">
      <c r="A164" s="22">
        <v>46013</v>
      </c>
      <c r="B164" s="15" t="s">
        <v>68</v>
      </c>
      <c r="C164" s="16" t="s">
        <v>3715</v>
      </c>
      <c r="D164" s="16" t="s">
        <v>48</v>
      </c>
      <c r="E164" s="16" t="s">
        <v>48</v>
      </c>
      <c r="F164" s="16" t="s">
        <v>3716</v>
      </c>
      <c r="G164" s="16" t="s">
        <v>48</v>
      </c>
      <c r="H164" s="16" t="s">
        <v>48</v>
      </c>
      <c r="I164" s="16" t="s">
        <v>48</v>
      </c>
      <c r="J164" s="16" t="s">
        <v>48</v>
      </c>
      <c r="K164" s="16" t="s">
        <v>48</v>
      </c>
      <c r="L164" s="16" t="s">
        <v>48</v>
      </c>
      <c r="M164" s="16" t="s">
        <v>48</v>
      </c>
      <c r="N164" s="16">
        <v>17</v>
      </c>
      <c r="O164" s="16" t="s">
        <v>2697</v>
      </c>
      <c r="P164" s="15" t="s">
        <v>3718</v>
      </c>
      <c r="Q164" s="26"/>
    </row>
    <row r="165" spans="1:17">
      <c r="A165" s="22">
        <v>46013</v>
      </c>
      <c r="B165" s="15" t="s">
        <v>114</v>
      </c>
      <c r="C165" s="16" t="s">
        <v>3715</v>
      </c>
      <c r="D165" s="16" t="s">
        <v>48</v>
      </c>
      <c r="E165" s="16" t="s">
        <v>48</v>
      </c>
      <c r="F165" s="16" t="s">
        <v>48</v>
      </c>
      <c r="G165" s="16" t="s">
        <v>48</v>
      </c>
      <c r="H165" s="16" t="s">
        <v>48</v>
      </c>
      <c r="I165" s="16" t="s">
        <v>48</v>
      </c>
      <c r="J165" s="16" t="s">
        <v>48</v>
      </c>
      <c r="K165" s="16" t="s">
        <v>48</v>
      </c>
      <c r="L165" s="16" t="s">
        <v>48</v>
      </c>
      <c r="M165" s="16" t="s">
        <v>48</v>
      </c>
      <c r="N165" s="16">
        <v>6</v>
      </c>
      <c r="O165" s="16" t="s">
        <v>55</v>
      </c>
      <c r="P165" s="15" t="s">
        <v>3719</v>
      </c>
      <c r="Q165" s="26"/>
    </row>
    <row r="166" spans="1:17">
      <c r="A166" s="22">
        <v>46013</v>
      </c>
      <c r="B166" s="15" t="s">
        <v>326</v>
      </c>
      <c r="C166" s="16" t="s">
        <v>3715</v>
      </c>
      <c r="D166" s="16" t="s">
        <v>48</v>
      </c>
      <c r="E166" s="16" t="s">
        <v>48</v>
      </c>
      <c r="F166" s="16" t="s">
        <v>48</v>
      </c>
      <c r="G166" s="16" t="s">
        <v>48</v>
      </c>
      <c r="H166" s="16" t="s">
        <v>48</v>
      </c>
      <c r="I166" s="16" t="s">
        <v>48</v>
      </c>
      <c r="J166" s="16" t="s">
        <v>48</v>
      </c>
      <c r="K166" s="16" t="s">
        <v>48</v>
      </c>
      <c r="L166" s="16" t="s">
        <v>48</v>
      </c>
      <c r="M166" s="16" t="s">
        <v>48</v>
      </c>
      <c r="N166" s="16">
        <v>30</v>
      </c>
      <c r="O166" s="16" t="s">
        <v>2491</v>
      </c>
      <c r="P166" s="15"/>
      <c r="Q166" s="26"/>
    </row>
    <row r="167" spans="1:17">
      <c r="A167" s="22">
        <v>46013</v>
      </c>
      <c r="B167" s="15" t="s">
        <v>3721</v>
      </c>
      <c r="C167" s="16" t="s">
        <v>3715</v>
      </c>
      <c r="D167" s="16" t="s">
        <v>48</v>
      </c>
      <c r="E167" s="16" t="s">
        <v>48</v>
      </c>
      <c r="F167" s="16" t="s">
        <v>48</v>
      </c>
      <c r="G167" s="16" t="s">
        <v>48</v>
      </c>
      <c r="H167" s="16" t="s">
        <v>48</v>
      </c>
      <c r="I167" s="16" t="s">
        <v>48</v>
      </c>
      <c r="J167" s="16" t="s">
        <v>48</v>
      </c>
      <c r="K167" s="16" t="s">
        <v>48</v>
      </c>
      <c r="L167" s="16" t="s">
        <v>48</v>
      </c>
      <c r="M167" s="16" t="s">
        <v>48</v>
      </c>
      <c r="N167" s="16">
        <v>72</v>
      </c>
      <c r="O167" s="16" t="s">
        <v>55</v>
      </c>
      <c r="P167" s="15"/>
      <c r="Q167" s="26"/>
    </row>
    <row r="168" spans="1:17">
      <c r="A168" s="22">
        <v>46013</v>
      </c>
      <c r="B168" s="15" t="s">
        <v>2609</v>
      </c>
      <c r="C168" s="16" t="s">
        <v>3715</v>
      </c>
      <c r="D168" s="16" t="s">
        <v>48</v>
      </c>
      <c r="E168" s="16" t="s">
        <v>48</v>
      </c>
      <c r="F168" s="16" t="s">
        <v>48</v>
      </c>
      <c r="G168" s="16" t="s">
        <v>48</v>
      </c>
      <c r="H168" s="16" t="s">
        <v>48</v>
      </c>
      <c r="I168" s="16" t="s">
        <v>48</v>
      </c>
      <c r="J168" s="16" t="s">
        <v>48</v>
      </c>
      <c r="K168" s="16" t="s">
        <v>48</v>
      </c>
      <c r="L168" s="16" t="s">
        <v>48</v>
      </c>
      <c r="M168" s="16" t="s">
        <v>48</v>
      </c>
      <c r="N168" s="16">
        <v>20</v>
      </c>
      <c r="O168" s="16" t="s">
        <v>2491</v>
      </c>
      <c r="P168" s="15"/>
      <c r="Q168" s="26"/>
    </row>
    <row r="169" spans="1:17">
      <c r="A169" s="22">
        <v>46013</v>
      </c>
      <c r="B169" s="15" t="s">
        <v>1314</v>
      </c>
      <c r="C169" s="16" t="s">
        <v>3715</v>
      </c>
      <c r="D169" s="16" t="s">
        <v>48</v>
      </c>
      <c r="E169" s="16" t="s">
        <v>48</v>
      </c>
      <c r="F169" s="16" t="s">
        <v>48</v>
      </c>
      <c r="G169" s="16" t="s">
        <v>48</v>
      </c>
      <c r="H169" s="16" t="s">
        <v>48</v>
      </c>
      <c r="I169" s="16" t="s">
        <v>48</v>
      </c>
      <c r="J169" s="16" t="s">
        <v>48</v>
      </c>
      <c r="K169" s="16" t="s">
        <v>48</v>
      </c>
      <c r="L169" s="16" t="s">
        <v>48</v>
      </c>
      <c r="M169" s="16" t="s">
        <v>48</v>
      </c>
      <c r="N169" s="16">
        <v>53</v>
      </c>
      <c r="O169" s="16" t="s">
        <v>55</v>
      </c>
      <c r="P169" s="15"/>
      <c r="Q169" s="26"/>
    </row>
    <row r="170" spans="1:17">
      <c r="A170" s="22">
        <v>46013</v>
      </c>
      <c r="B170" s="15" t="s">
        <v>38</v>
      </c>
      <c r="C170" s="16" t="s">
        <v>3715</v>
      </c>
      <c r="D170" s="16" t="s">
        <v>48</v>
      </c>
      <c r="E170" s="16" t="s">
        <v>48</v>
      </c>
      <c r="F170" s="16" t="s">
        <v>48</v>
      </c>
      <c r="G170" s="16" t="s">
        <v>48</v>
      </c>
      <c r="H170" s="16" t="s">
        <v>48</v>
      </c>
      <c r="I170" s="16" t="s">
        <v>48</v>
      </c>
      <c r="J170" s="16" t="s">
        <v>48</v>
      </c>
      <c r="K170" s="16" t="s">
        <v>48</v>
      </c>
      <c r="L170" s="16" t="s">
        <v>48</v>
      </c>
      <c r="M170" s="16" t="s">
        <v>48</v>
      </c>
      <c r="N170" s="16">
        <v>200</v>
      </c>
      <c r="O170" s="16" t="s">
        <v>3722</v>
      </c>
      <c r="P170" s="15"/>
      <c r="Q170" s="26"/>
    </row>
    <row r="171" spans="1:17">
      <c r="A171" s="22">
        <v>46013</v>
      </c>
      <c r="B171" s="15" t="s">
        <v>3723</v>
      </c>
      <c r="C171" s="16" t="s">
        <v>3715</v>
      </c>
      <c r="D171" s="16" t="s">
        <v>3726</v>
      </c>
      <c r="E171" s="16" t="s">
        <v>3724</v>
      </c>
      <c r="F171" s="16" t="s">
        <v>48</v>
      </c>
      <c r="G171" s="16" t="s">
        <v>48</v>
      </c>
      <c r="H171" s="16" t="s">
        <v>48</v>
      </c>
      <c r="I171" s="16" t="s">
        <v>48</v>
      </c>
      <c r="J171" s="16" t="s">
        <v>48</v>
      </c>
      <c r="K171" s="16" t="s">
        <v>48</v>
      </c>
      <c r="L171" s="16" t="s">
        <v>48</v>
      </c>
      <c r="M171" s="16" t="s">
        <v>48</v>
      </c>
      <c r="N171" s="16">
        <v>20</v>
      </c>
      <c r="O171" s="16" t="s">
        <v>3725</v>
      </c>
      <c r="P171" s="15"/>
      <c r="Q171" s="26"/>
    </row>
    <row r="172" spans="1:17">
      <c r="A172" s="22">
        <v>46013</v>
      </c>
      <c r="B172" s="15" t="s">
        <v>440</v>
      </c>
      <c r="C172" s="16" t="s">
        <v>3715</v>
      </c>
      <c r="D172" s="16" t="s">
        <v>3728</v>
      </c>
      <c r="E172" s="16" t="s">
        <v>3727</v>
      </c>
      <c r="F172" s="16"/>
      <c r="G172" s="16"/>
      <c r="H172" s="16"/>
      <c r="I172" s="16"/>
      <c r="J172" s="16"/>
      <c r="K172" s="16"/>
      <c r="L172" s="16"/>
      <c r="M172" s="16"/>
      <c r="N172" s="16">
        <v>500</v>
      </c>
      <c r="O172" s="16" t="s">
        <v>3729</v>
      </c>
      <c r="P172" s="15"/>
      <c r="Q172" s="26"/>
    </row>
    <row r="173" spans="1:17">
      <c r="A173" s="22"/>
      <c r="B173" s="15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5"/>
      <c r="Q173" s="26"/>
    </row>
    <row r="174" spans="1:17">
      <c r="A174" s="22"/>
      <c r="B174" s="15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5"/>
      <c r="Q174" s="26"/>
    </row>
    <row r="175" spans="1:17">
      <c r="A175" s="22"/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5"/>
      <c r="Q175" s="26"/>
    </row>
    <row r="176" spans="1:17">
      <c r="A176" s="22"/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5"/>
      <c r="Q176" s="26"/>
    </row>
    <row r="177" spans="1:17">
      <c r="A177" s="22"/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5"/>
      <c r="Q177" s="26"/>
    </row>
    <row r="178" spans="1:17">
      <c r="A178" s="22"/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5"/>
      <c r="Q178" s="26"/>
    </row>
    <row r="179" spans="1:17">
      <c r="A179" s="22"/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28"/>
      <c r="Q179" s="29"/>
    </row>
    <row r="180" spans="1:17">
      <c r="A180" s="22"/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30"/>
    </row>
    <row r="181" spans="1:17">
      <c r="A181" s="22"/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31"/>
    </row>
    <row r="182" spans="1:17">
      <c r="A182" s="22"/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31"/>
    </row>
    <row r="183" spans="1:17">
      <c r="A183" s="22"/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31"/>
    </row>
    <row r="184" spans="1:17">
      <c r="A184" s="22"/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31"/>
    </row>
    <row r="185" spans="1:17">
      <c r="A185" s="22"/>
      <c r="B185" s="15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31"/>
    </row>
    <row r="186" spans="1:17">
      <c r="A186" s="22"/>
      <c r="B186" s="15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31"/>
    </row>
    <row r="187" spans="1:17">
      <c r="A187" s="22"/>
      <c r="B187" s="15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31"/>
    </row>
    <row r="188" spans="1:17">
      <c r="A188" s="22"/>
      <c r="B188" s="15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31"/>
    </row>
    <row r="189" spans="1:17">
      <c r="A189" s="22"/>
      <c r="B189" s="15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31"/>
    </row>
    <row r="190" spans="1:17">
      <c r="A190" s="22"/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31"/>
    </row>
    <row r="191" spans="1:17">
      <c r="A191" s="22"/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31"/>
    </row>
    <row r="192" spans="1:17">
      <c r="A192" s="22"/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31"/>
    </row>
    <row r="193" spans="1:17">
      <c r="A193" s="22"/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31"/>
    </row>
    <row r="194" spans="1:17">
      <c r="A194" s="22"/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31"/>
    </row>
    <row r="195" spans="1:17">
      <c r="A195" s="22"/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31"/>
    </row>
    <row r="196" spans="1:17">
      <c r="A196" s="22"/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31"/>
    </row>
    <row r="197" spans="1:17">
      <c r="A197" s="17"/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31"/>
    </row>
    <row r="198" spans="1:17">
      <c r="A198" s="17"/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31"/>
    </row>
    <row r="199" spans="1:17">
      <c r="A199" s="17"/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31"/>
    </row>
    <row r="200" spans="1:17">
      <c r="A200" s="17"/>
      <c r="B200" s="15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31"/>
    </row>
    <row r="201" spans="1:17">
      <c r="A201" s="17"/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31"/>
    </row>
    <row r="202" spans="1:17">
      <c r="A202" s="17"/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31"/>
    </row>
    <row r="203" spans="1:17">
      <c r="A203" s="17"/>
      <c r="B203" s="15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31"/>
    </row>
    <row r="204" spans="1:17">
      <c r="A204" s="17"/>
      <c r="B204" s="15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31"/>
    </row>
    <row r="205" spans="1:17">
      <c r="A205" s="17"/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31"/>
    </row>
    <row r="206" spans="1:17">
      <c r="A206" s="17"/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31"/>
    </row>
    <row r="207" spans="1:17">
      <c r="A207" s="17"/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31"/>
    </row>
    <row r="208" spans="1:17">
      <c r="A208" s="17"/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31"/>
    </row>
    <row r="209" spans="1:17">
      <c r="A209" s="17"/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31"/>
    </row>
    <row r="210" spans="1:17">
      <c r="A210" s="17"/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31"/>
    </row>
    <row r="211" spans="1:17">
      <c r="A211" s="22"/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31"/>
    </row>
    <row r="212" spans="1:17">
      <c r="A212" s="17"/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31"/>
    </row>
    <row r="213" spans="1:17">
      <c r="A213" s="17"/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31"/>
    </row>
    <row r="214" spans="1:17">
      <c r="A214" s="17"/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31"/>
    </row>
    <row r="215" spans="1:17">
      <c r="A215" s="17"/>
      <c r="B215" s="15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31"/>
    </row>
    <row r="216" spans="1:17">
      <c r="A216" s="17"/>
      <c r="B216" s="15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31"/>
    </row>
    <row r="217" spans="1:17">
      <c r="A217" s="17"/>
      <c r="B217" s="15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31"/>
    </row>
    <row r="218" spans="1:17">
      <c r="A218" s="17"/>
      <c r="B218" s="15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31"/>
    </row>
    <row r="219" spans="1:17">
      <c r="A219" s="17"/>
      <c r="B219" s="15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31"/>
    </row>
    <row r="220" spans="1:17">
      <c r="A220" s="17"/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31"/>
    </row>
    <row r="221" spans="1:17">
      <c r="A221" s="17"/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31"/>
    </row>
    <row r="222" spans="1:17">
      <c r="A222" s="17"/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31"/>
    </row>
    <row r="223" spans="1:17">
      <c r="A223" s="17"/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31"/>
    </row>
    <row r="224" spans="1:17">
      <c r="A224" s="17"/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31"/>
    </row>
    <row r="225" spans="1:17">
      <c r="A225" s="17"/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31"/>
    </row>
    <row r="226" spans="1:17">
      <c r="A226" s="17"/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31"/>
    </row>
    <row r="227" spans="1:17">
      <c r="A227" s="17"/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31"/>
    </row>
    <row r="228" spans="1:17">
      <c r="A228" s="17"/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31"/>
    </row>
    <row r="229" spans="1:17">
      <c r="A229" s="17"/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31"/>
    </row>
    <row r="230" spans="1:17">
      <c r="A230" s="17"/>
      <c r="B230" s="15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31"/>
    </row>
    <row r="231" spans="1:17">
      <c r="A231" s="17"/>
      <c r="B231" s="15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31"/>
    </row>
    <row r="232" spans="1:17">
      <c r="A232" s="17"/>
      <c r="B232" s="15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31"/>
    </row>
    <row r="233" spans="1:17">
      <c r="A233" s="17"/>
      <c r="B233" s="15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31"/>
    </row>
    <row r="234" spans="1:17">
      <c r="A234" s="17"/>
      <c r="B234" s="15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31"/>
    </row>
    <row r="235" spans="1:17">
      <c r="A235" s="17"/>
      <c r="B235" s="15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31"/>
    </row>
    <row r="236" spans="1:17">
      <c r="A236" s="17"/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31"/>
    </row>
    <row r="237" spans="1:17">
      <c r="A237" s="17"/>
      <c r="B237" s="15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31"/>
    </row>
    <row r="238" spans="1:17">
      <c r="A238" s="17"/>
      <c r="B238" s="15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31"/>
    </row>
    <row r="239" spans="1:17">
      <c r="A239" s="17"/>
      <c r="B239" s="15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31"/>
    </row>
    <row r="240" spans="1:17">
      <c r="A240" s="17"/>
      <c r="B240" s="15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31"/>
    </row>
    <row r="241" spans="1:17">
      <c r="A241" s="17"/>
      <c r="B241" s="15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31"/>
    </row>
    <row r="242" spans="1:17">
      <c r="A242" s="17"/>
      <c r="B242" s="15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31"/>
    </row>
    <row r="243" spans="1:17">
      <c r="A243" s="17"/>
      <c r="B243" s="15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31"/>
    </row>
    <row r="244" spans="1:17">
      <c r="A244" s="17"/>
      <c r="B244" s="15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31"/>
    </row>
    <row r="245" spans="1:17">
      <c r="A245" s="17"/>
      <c r="B245" s="15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31"/>
    </row>
    <row r="246" spans="1:17">
      <c r="A246" s="17"/>
      <c r="B246" s="15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31"/>
    </row>
    <row r="247" spans="1:17">
      <c r="A247" s="17"/>
      <c r="B247" s="15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31"/>
    </row>
    <row r="248" spans="1:17">
      <c r="A248" s="17"/>
      <c r="B248" s="15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31"/>
    </row>
    <row r="249" spans="1:17">
      <c r="A249" s="17"/>
      <c r="B249" s="15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31"/>
    </row>
    <row r="250" spans="1:17">
      <c r="A250" s="17"/>
      <c r="B250" s="15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31"/>
    </row>
    <row r="251" spans="1:17">
      <c r="A251" s="17"/>
      <c r="B251" s="15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31"/>
    </row>
    <row r="252" spans="1:17">
      <c r="A252" s="17"/>
      <c r="B252" s="1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31"/>
    </row>
    <row r="253" spans="1:17">
      <c r="A253" s="17"/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31"/>
    </row>
    <row r="254" spans="1:17">
      <c r="A254" s="17"/>
      <c r="B254" s="1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31"/>
    </row>
    <row r="255" spans="1:17">
      <c r="A255" s="17"/>
      <c r="B255" s="15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31"/>
    </row>
    <row r="256" spans="1:17">
      <c r="A256" s="17"/>
      <c r="B256" s="15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31"/>
    </row>
    <row r="257" spans="1:17">
      <c r="A257" s="17"/>
      <c r="B257" s="15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31"/>
    </row>
    <row r="258" spans="1:17">
      <c r="A258" s="17"/>
      <c r="B258" s="15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31"/>
    </row>
    <row r="259" spans="1:17">
      <c r="A259" s="17"/>
      <c r="B259" s="15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31"/>
    </row>
    <row r="260" spans="1:17">
      <c r="A260" s="17"/>
      <c r="B260" s="15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31"/>
    </row>
    <row r="261" spans="1:17">
      <c r="A261" s="17"/>
      <c r="B261" s="15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31"/>
    </row>
    <row r="262" spans="1:17">
      <c r="A262" s="17"/>
      <c r="B262" s="15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31"/>
    </row>
    <row r="263" spans="1:17">
      <c r="A263" s="17"/>
      <c r="B263" s="15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31"/>
    </row>
    <row r="264" spans="1:17">
      <c r="A264" s="17"/>
      <c r="B264" s="15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31"/>
    </row>
    <row r="265" spans="1:17">
      <c r="A265" s="17"/>
      <c r="B265" s="15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31"/>
    </row>
    <row r="266" spans="1:17">
      <c r="A266" s="17"/>
      <c r="B266" s="15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31"/>
    </row>
    <row r="267" spans="1:17">
      <c r="A267" s="17"/>
      <c r="B267" s="15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31"/>
    </row>
    <row r="268" spans="1:17">
      <c r="A268" s="17"/>
      <c r="B268" s="15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31"/>
    </row>
    <row r="269" spans="1:17">
      <c r="A269" s="17"/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31"/>
    </row>
    <row r="270" spans="1:17">
      <c r="A270" s="17"/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31"/>
    </row>
    <row r="271" spans="1:17">
      <c r="A271" s="17"/>
      <c r="B271" s="15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31"/>
    </row>
    <row r="272" spans="1:17">
      <c r="A272" s="17"/>
      <c r="B272" s="15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31"/>
    </row>
    <row r="273" spans="1:17">
      <c r="A273" s="17"/>
      <c r="B273" s="15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31"/>
    </row>
    <row r="274" spans="1:17">
      <c r="A274" s="17"/>
      <c r="B274" s="15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31"/>
    </row>
    <row r="275" spans="1:17">
      <c r="A275" s="17"/>
      <c r="B275" s="15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31"/>
    </row>
    <row r="276" spans="1:17">
      <c r="A276" s="17"/>
      <c r="B276" s="15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31"/>
    </row>
    <row r="277" spans="1:17">
      <c r="A277" s="17"/>
      <c r="B277" s="15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31"/>
    </row>
    <row r="278" spans="1:17">
      <c r="A278" s="17"/>
      <c r="B278" s="15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31"/>
    </row>
    <row r="279" spans="1:17">
      <c r="A279" s="17"/>
      <c r="B279" s="15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31"/>
    </row>
    <row r="280" spans="1:17">
      <c r="A280" s="17"/>
      <c r="B280" s="15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31"/>
    </row>
    <row r="281" spans="1:17">
      <c r="A281" s="17"/>
      <c r="B281" s="15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31"/>
    </row>
    <row r="282" spans="1:17">
      <c r="A282" s="17"/>
      <c r="B282" s="15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31"/>
    </row>
    <row r="283" spans="1:17">
      <c r="A283" s="17"/>
      <c r="B283" s="15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31"/>
    </row>
    <row r="284" spans="1:17">
      <c r="A284" s="17"/>
      <c r="B284" s="15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31"/>
    </row>
    <row r="285" spans="1:17">
      <c r="A285" s="17"/>
      <c r="B285" s="15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31"/>
    </row>
    <row r="286" spans="1:17">
      <c r="A286" s="17"/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31"/>
    </row>
    <row r="287" spans="1:17">
      <c r="A287" s="17"/>
      <c r="B287" s="15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31"/>
    </row>
    <row r="288" spans="1:17">
      <c r="A288" s="17"/>
      <c r="B288" s="15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31"/>
    </row>
    <row r="289" spans="1:17">
      <c r="A289" s="17"/>
      <c r="B289" s="15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31"/>
    </row>
    <row r="290" spans="1:17">
      <c r="A290" s="17"/>
      <c r="B290" s="15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31"/>
    </row>
    <row r="291" spans="1:17">
      <c r="A291" s="25" t="s">
        <v>352</v>
      </c>
      <c r="B291" s="13"/>
      <c r="C291" s="13"/>
      <c r="D291" s="12"/>
      <c r="E291" s="13"/>
      <c r="H291" s="13"/>
      <c r="I291" s="13"/>
      <c r="J291" s="12"/>
      <c r="K291" s="13"/>
      <c r="L291" s="12" t="s">
        <v>18</v>
      </c>
      <c r="M291" s="12"/>
      <c r="N291" s="14"/>
    </row>
    <row r="292" spans="1:17">
      <c r="M292" s="2" t="s">
        <v>19</v>
      </c>
    </row>
    <row r="293" spans="1:17">
      <c r="M293" s="2" t="s">
        <v>20</v>
      </c>
    </row>
    <row r="294" spans="1:17">
      <c r="M294" s="2" t="s">
        <v>21</v>
      </c>
    </row>
    <row r="295" spans="1:17">
      <c r="M295" s="2" t="s">
        <v>22</v>
      </c>
    </row>
    <row r="296" spans="1:17">
      <c r="A296" s="17"/>
      <c r="B296" s="15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33"/>
    </row>
    <row r="297" spans="1:17">
      <c r="A297" s="17"/>
      <c r="B297" s="15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33"/>
    </row>
    <row r="298" spans="1:17">
      <c r="A298" s="17"/>
      <c r="B298" s="15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33"/>
    </row>
    <row r="299" spans="1:17">
      <c r="A299" s="17"/>
      <c r="B299" s="15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33"/>
    </row>
    <row r="300" spans="1:17" ht="15" thickBot="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16"/>
      <c r="Q300" s="33"/>
    </row>
    <row r="301" spans="1:17">
      <c r="A301" s="25" t="s">
        <v>352</v>
      </c>
      <c r="B301" s="13"/>
      <c r="C301" s="13"/>
      <c r="D301" s="12"/>
      <c r="E301" s="13"/>
      <c r="H301" s="13"/>
      <c r="I301" s="13"/>
      <c r="J301" s="12"/>
      <c r="K301" s="13"/>
      <c r="L301" s="12" t="s">
        <v>18</v>
      </c>
      <c r="M301" s="12"/>
      <c r="N301" s="14"/>
    </row>
    <row r="302" spans="1:17">
      <c r="M302" s="2" t="s">
        <v>19</v>
      </c>
    </row>
    <row r="303" spans="1:17">
      <c r="M303" s="2" t="s">
        <v>20</v>
      </c>
    </row>
    <row r="304" spans="1:17">
      <c r="M304" s="2" t="s">
        <v>21</v>
      </c>
    </row>
    <row r="305" spans="13:13">
      <c r="M305" s="2" t="s">
        <v>22</v>
      </c>
    </row>
  </sheetData>
  <mergeCells count="9">
    <mergeCell ref="Q7:Q8"/>
    <mergeCell ref="A1:P1"/>
    <mergeCell ref="A7:A8"/>
    <mergeCell ref="B7:B8"/>
    <mergeCell ref="C7:C8"/>
    <mergeCell ref="D7:M7"/>
    <mergeCell ref="N7:N8"/>
    <mergeCell ref="O7:O8"/>
    <mergeCell ref="P7:P8"/>
  </mergeCells>
  <printOptions horizontalCentered="1" verticalCentered="1"/>
  <pageMargins left="0.01" right="0.01" top="0.25" bottom="0.25" header="0.25" footer="0.25"/>
  <pageSetup paperSize="9" scale="12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MASTERCOPY</vt:lpstr>
      <vt:lpstr>JANUARY 2025</vt:lpstr>
      <vt:lpstr>FEEBRUARY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'MARCH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prod.welding</cp:lastModifiedBy>
  <cp:lastPrinted>2021-11-11T01:43:06Z</cp:lastPrinted>
  <dcterms:created xsi:type="dcterms:W3CDTF">2018-11-30T05:31:41Z</dcterms:created>
  <dcterms:modified xsi:type="dcterms:W3CDTF">2025-12-23T09:52:27Z</dcterms:modified>
</cp:coreProperties>
</file>