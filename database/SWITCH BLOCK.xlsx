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tabRatio="637" firstSheet="7" activeTab="13"/>
  </bookViews>
  <sheets>
    <sheet name="MASTERCOPY" sheetId="2" r:id="rId1"/>
    <sheet name="JANUARY 2025" sheetId="43" r:id="rId2"/>
    <sheet name="FEBRUARY 2025" sheetId="45" r:id="rId3"/>
    <sheet name="MARCH 2025" sheetId="46" r:id="rId4"/>
    <sheet name="APRIL 2025" sheetId="47" r:id="rId5"/>
    <sheet name="MAY 2025" sheetId="48" r:id="rId6"/>
    <sheet name="JUNE 2025" sheetId="49" r:id="rId7"/>
    <sheet name="JULY 2025" sheetId="50" r:id="rId8"/>
    <sheet name="AUGUST 2025" sheetId="51" r:id="rId9"/>
    <sheet name="SEPTEMBER 2025" sheetId="52" r:id="rId10"/>
    <sheet name="OCTOBER 2025" sheetId="53" r:id="rId11"/>
    <sheet name="Sheet1" sheetId="9" state="hidden" r:id="rId12"/>
    <sheet name="NOVEMBER 2025" sheetId="54" r:id="rId13"/>
    <sheet name="DECEMBER 2025" sheetId="55" r:id="rId14"/>
  </sheets>
  <definedNames>
    <definedName name="A" localSheetId="4">#REF!</definedName>
    <definedName name="A" localSheetId="8">#REF!</definedName>
    <definedName name="A" localSheetId="13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13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1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13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1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13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13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10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13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13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13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13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13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13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13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10">#REF!</definedName>
    <definedName name="P" localSheetId="9">#REF!</definedName>
    <definedName name="P">#REF!</definedName>
    <definedName name="_xlnm.Print_Area" localSheetId="4">'APRIL 2025'!$A$1:$L$128</definedName>
    <definedName name="_xlnm.Print_Area" localSheetId="8">'AUGUST 2025'!$A$1:$L$94</definedName>
    <definedName name="_xlnm.Print_Area" localSheetId="2">'FEBRUARY 2025'!$A$1:$L$149</definedName>
    <definedName name="_xlnm.Print_Area" localSheetId="1">'JANUARY 2025'!$A$1:$L$141</definedName>
    <definedName name="_xlnm.Print_Area" localSheetId="7">'JULY 2025'!$A$1:$L$116</definedName>
    <definedName name="_xlnm.Print_Area" localSheetId="6">'JUNE 2025'!$A$1:$L$118</definedName>
    <definedName name="_xlnm.Print_Area" localSheetId="3">'MARCH 2025'!$A$1:$L$132</definedName>
    <definedName name="_xlnm.Print_Area" localSheetId="0">MASTERCOPY!$A$1:$L$65</definedName>
    <definedName name="_xlnm.Print_Area" localSheetId="5">'MAY 2025'!$A$1:$L$92</definedName>
    <definedName name="_xlnm.Print_Area" localSheetId="10">'OCTOBER 2025'!$A$1:$L$117</definedName>
    <definedName name="_xlnm.Print_Area" localSheetId="9">'SEPTEMBER 2025'!$A$1:$L$100</definedName>
    <definedName name="Q" localSheetId="4">#REF!</definedName>
    <definedName name="Q" localSheetId="8">#REF!</definedName>
    <definedName name="Q" localSheetId="13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13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13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55"/>
  <c r="J88"/>
  <c r="J87"/>
  <c r="J77"/>
  <c r="J50"/>
  <c r="J49"/>
  <c r="J16" i="52"/>
  <c r="J27" i="51"/>
  <c r="J14" i="50" l="1"/>
  <c r="J86" i="49"/>
  <c r="J84"/>
  <c r="J83"/>
  <c r="J20"/>
  <c r="J54" i="47"/>
  <c r="J24"/>
  <c r="J10" l="1"/>
  <c r="J47" i="46"/>
  <c r="J43"/>
  <c r="J40" l="1"/>
  <c r="J90" i="43"/>
  <c r="J89"/>
  <c r="J63" l="1"/>
  <c r="J48" l="1"/>
  <c r="J11"/>
</calcChain>
</file>

<file path=xl/comments1.xml><?xml version="1.0" encoding="utf-8"?>
<comments xmlns="http://schemas.openxmlformats.org/spreadsheetml/2006/main">
  <authors>
    <author>prod.salespart</author>
  </authors>
  <commentList>
    <comment ref="J96" authorId="0">
      <text>
        <r>
          <rPr>
            <b/>
            <sz val="9"/>
            <color indexed="81"/>
            <rFont val="Tahoma"/>
            <family val="2"/>
          </rPr>
          <t>prod.salespart:
267</t>
        </r>
        <r>
          <rPr>
            <sz val="9"/>
            <color indexed="81"/>
            <rFont val="Tahoma"/>
            <family val="2"/>
          </rPr>
          <t xml:space="preserve"> PCS NEW BOX 
OF SCREW</t>
        </r>
      </text>
    </comment>
  </commentList>
</comments>
</file>

<file path=xl/sharedStrings.xml><?xml version="1.0" encoding="utf-8"?>
<sst xmlns="http://schemas.openxmlformats.org/spreadsheetml/2006/main" count="11389" uniqueCount="1703">
  <si>
    <t>MATERIAL MONITORING CHECKSHEET</t>
  </si>
  <si>
    <t>PROCESS :</t>
  </si>
  <si>
    <t>SWITCH BLOCK AND LOWER HOUSING PREPARATION</t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</si>
  <si>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</si>
  <si>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</si>
  <si>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</si>
  <si>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</si>
  <si>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</si>
  <si>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</si>
  <si>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SWITCH BEAM</t>
  </si>
  <si>
    <t>MICRO SWITCH</t>
  </si>
  <si>
    <t>L-TYPE LEVER/ SWITCH SLIDE</t>
  </si>
  <si>
    <t>SPRING ELECTRODE</t>
  </si>
  <si>
    <t>LOCKING COLLAR</t>
  </si>
  <si>
    <t>LOWER HOUSING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</si>
  <si>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</si>
  <si>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</si>
  <si>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</si>
  <si>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</si>
  <si>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</si>
  <si>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SWB0204010</t>
  </si>
  <si>
    <t>A</t>
  </si>
  <si>
    <t>LOT 0</t>
  </si>
  <si>
    <t>N/A</t>
  </si>
  <si>
    <t>SW2300-241107-1</t>
  </si>
  <si>
    <t>SW002-241203-1</t>
  </si>
  <si>
    <t>OCT.3,2024</t>
  </si>
  <si>
    <t>ANGIE LICA</t>
  </si>
  <si>
    <t>3J73788532-1</t>
  </si>
  <si>
    <t>B</t>
  </si>
  <si>
    <t>11112407A-302R</t>
  </si>
  <si>
    <t>3J73788911-0</t>
  </si>
  <si>
    <t>09252407A-101B</t>
  </si>
  <si>
    <t>C</t>
  </si>
  <si>
    <t>D</t>
  </si>
  <si>
    <t>09252407A-102B</t>
  </si>
  <si>
    <t>3J73788911-2</t>
  </si>
  <si>
    <t>11132407A-102E</t>
  </si>
  <si>
    <t>11122407A-301Q</t>
  </si>
  <si>
    <t>SWB020400P</t>
  </si>
  <si>
    <t>3J73788531-0</t>
  </si>
  <si>
    <t>3J73788531-1</t>
  </si>
  <si>
    <t>3J73788911-1</t>
  </si>
  <si>
    <t>SWB0304010</t>
  </si>
  <si>
    <t>11122402A-301Q</t>
  </si>
  <si>
    <t>ROSE LICA ANGIE</t>
  </si>
  <si>
    <t>3J73788352-2</t>
  </si>
  <si>
    <t>16Y3H2</t>
  </si>
  <si>
    <t>09262406A-305T</t>
  </si>
  <si>
    <t>11122407A-201J</t>
  </si>
  <si>
    <t>3J73788532-0</t>
  </si>
  <si>
    <t>LICA KEL</t>
  </si>
  <si>
    <t>09252407A-105H</t>
  </si>
  <si>
    <t>ROSE KEL</t>
  </si>
  <si>
    <t>3J73788745-1</t>
  </si>
  <si>
    <t>SWB0304020</t>
  </si>
  <si>
    <t>3J73788912-0</t>
  </si>
  <si>
    <t>10022406A-104B</t>
  </si>
  <si>
    <t xml:space="preserve">                                                                  </t>
  </si>
  <si>
    <t>11132402A-204O</t>
  </si>
  <si>
    <t>13X2H2</t>
  </si>
  <si>
    <t>08222406A-204K</t>
  </si>
  <si>
    <t>ROSE</t>
  </si>
  <si>
    <t>3J73789108-0</t>
  </si>
  <si>
    <t>ANGIE TIN</t>
  </si>
  <si>
    <t>11132402A-201K</t>
  </si>
  <si>
    <t>08222406A-201I</t>
  </si>
  <si>
    <t>3J73788746-3</t>
  </si>
  <si>
    <t>11132402A-203O</t>
  </si>
  <si>
    <t>11132402A-2030</t>
  </si>
  <si>
    <t>08222406A-202I</t>
  </si>
  <si>
    <t>3J73788746-2</t>
  </si>
  <si>
    <t>3J73788746-5</t>
  </si>
  <si>
    <t>11132402A-302S</t>
  </si>
  <si>
    <t>09262406A-307U</t>
  </si>
  <si>
    <t>3J73788746-1</t>
  </si>
  <si>
    <t>10022406A-102B</t>
  </si>
  <si>
    <t>TIN/ELSA</t>
  </si>
  <si>
    <t>3J73788913-0</t>
  </si>
  <si>
    <t>10X2H2</t>
  </si>
  <si>
    <t>09262406A-3074</t>
  </si>
  <si>
    <t>SWB304030</t>
  </si>
  <si>
    <t>11132402A-301S</t>
  </si>
  <si>
    <t>09052406A-104G</t>
  </si>
  <si>
    <t>3J73788914-0</t>
  </si>
  <si>
    <t>11122402A-101C</t>
  </si>
  <si>
    <t>10022406A-103B</t>
  </si>
  <si>
    <t>3J73789109-0</t>
  </si>
  <si>
    <t>3J73789110-0</t>
  </si>
  <si>
    <t>11122402A-102D</t>
  </si>
  <si>
    <t>3J73789108-1</t>
  </si>
  <si>
    <t>09262406A-204J</t>
  </si>
  <si>
    <t>3J73788746-6</t>
  </si>
  <si>
    <t>11132402A-102D</t>
  </si>
  <si>
    <t>09272406A-206L</t>
  </si>
  <si>
    <t>TIN/AJ</t>
  </si>
  <si>
    <t>3J73789108-2</t>
  </si>
  <si>
    <t>3J73788746-0</t>
  </si>
  <si>
    <t>11122402A-304U</t>
  </si>
  <si>
    <t>09272406A-211P</t>
  </si>
  <si>
    <t>3J73788746-7</t>
  </si>
  <si>
    <t>11132402A-104H</t>
  </si>
  <si>
    <t>17/01/2025</t>
  </si>
  <si>
    <t>09272406A-207M</t>
  </si>
  <si>
    <t>11132402A-101D</t>
  </si>
  <si>
    <t>3J73788746-8</t>
  </si>
  <si>
    <t>3J73788746-9</t>
  </si>
  <si>
    <t>11122402A-204M</t>
  </si>
  <si>
    <t>LICA JHO</t>
  </si>
  <si>
    <t>11122402A-202I</t>
  </si>
  <si>
    <t>SWB0304000</t>
  </si>
  <si>
    <t>12132401A-202J</t>
  </si>
  <si>
    <t>3114H4</t>
  </si>
  <si>
    <t>09262406A-208M</t>
  </si>
  <si>
    <t>NITZ/TINTIN</t>
  </si>
  <si>
    <t>3J73789310-0</t>
  </si>
  <si>
    <t>SWB0304030</t>
  </si>
  <si>
    <t>12122402A-302V</t>
  </si>
  <si>
    <t>12052406A-103H</t>
  </si>
  <si>
    <t>3J73789111-0</t>
  </si>
  <si>
    <t>SW2300-250103-1</t>
  </si>
  <si>
    <t>09252407A-103G</t>
  </si>
  <si>
    <t>11122407A-306W</t>
  </si>
  <si>
    <t>3J73789467-0</t>
  </si>
  <si>
    <t>SWB0204011</t>
  </si>
  <si>
    <t>09252407A-104G</t>
  </si>
  <si>
    <t>APRIL14 2023</t>
  </si>
  <si>
    <t>3J73788533-0</t>
  </si>
  <si>
    <t>SWB0204000</t>
  </si>
  <si>
    <t>3J73788530-0</t>
  </si>
  <si>
    <t>09252407A-106H</t>
  </si>
  <si>
    <t>3J73788911-3</t>
  </si>
  <si>
    <t>ANGEL/TIN/ANGIE</t>
  </si>
  <si>
    <t>09242407A-304V</t>
  </si>
  <si>
    <t>111122407A-202K</t>
  </si>
  <si>
    <t>111122407A-202N</t>
  </si>
  <si>
    <t>3J73788532-2</t>
  </si>
  <si>
    <t>3J73788911-4</t>
  </si>
  <si>
    <t>11122407A-203N</t>
  </si>
  <si>
    <t>E</t>
  </si>
  <si>
    <t>1111207A-305X</t>
  </si>
  <si>
    <t>11132407A-101C</t>
  </si>
  <si>
    <t>F</t>
  </si>
  <si>
    <t>G</t>
  </si>
  <si>
    <t>3J73788911-5</t>
  </si>
  <si>
    <t>3J73788911-6</t>
  </si>
  <si>
    <t>3J73788911-7</t>
  </si>
  <si>
    <t>3J73788911-8</t>
  </si>
  <si>
    <t>3J73788911-9</t>
  </si>
  <si>
    <t>11112407A-303V</t>
  </si>
  <si>
    <t>3J73788911-10</t>
  </si>
  <si>
    <t>3J73788911-11</t>
  </si>
  <si>
    <t>3J73788911-12</t>
  </si>
  <si>
    <t>11112407A-203P</t>
  </si>
  <si>
    <t>11132407A-201J</t>
  </si>
  <si>
    <t>3J73788911-13</t>
  </si>
  <si>
    <t>3J73788911-14</t>
  </si>
  <si>
    <t>11112407A-304V</t>
  </si>
  <si>
    <t>3J73789309-0</t>
  </si>
  <si>
    <t>3J73789309-1</t>
  </si>
  <si>
    <t>3J73789309-2</t>
  </si>
  <si>
    <t>3J73788911-16</t>
  </si>
  <si>
    <t>11112407A-201N</t>
  </si>
  <si>
    <t>11112407A-101B</t>
  </si>
  <si>
    <t>ANGEL/LYN/ANGIE</t>
  </si>
  <si>
    <t>ANGEL/NITZ/ANGIE/LYN</t>
  </si>
  <si>
    <t>3J73788911-18</t>
  </si>
  <si>
    <t>3J737889309-3</t>
  </si>
  <si>
    <t>11112407A-104H</t>
  </si>
  <si>
    <t>11122407A-102D</t>
  </si>
  <si>
    <t>11112407A-102E</t>
  </si>
  <si>
    <t>3J73788911-19</t>
  </si>
  <si>
    <t>3J73788911-20</t>
  </si>
  <si>
    <t>3J73788911-21</t>
  </si>
  <si>
    <t>3J73788911-23</t>
  </si>
  <si>
    <t>3J73788911-24</t>
  </si>
  <si>
    <t>3J73788911-25</t>
  </si>
  <si>
    <t>11132407A-202J</t>
  </si>
  <si>
    <t>LYN/TINTIN/ANGIE</t>
  </si>
  <si>
    <t>3J73788911-26</t>
  </si>
  <si>
    <t>11122407A-302Q</t>
  </si>
  <si>
    <t>11132402A-202K</t>
  </si>
  <si>
    <t>ANGEL/KEL</t>
  </si>
  <si>
    <t>3J73789468-0</t>
  </si>
  <si>
    <t>3J73789468-1</t>
  </si>
  <si>
    <t>12042406A-302Q</t>
  </si>
  <si>
    <t>3J73789469-0</t>
  </si>
  <si>
    <t>12162401A-102B</t>
  </si>
  <si>
    <t>09262406A-209P</t>
  </si>
  <si>
    <t>ANGIE/KRISTEL</t>
  </si>
  <si>
    <t>3J73788911-22</t>
  </si>
  <si>
    <t>11112407A-301R</t>
  </si>
  <si>
    <t>11112407A-103E</t>
  </si>
  <si>
    <t>SW00200300-03A</t>
  </si>
  <si>
    <t>SW002-250103-1</t>
  </si>
  <si>
    <t>3J73789309-4</t>
  </si>
  <si>
    <t>11122407-A-103G</t>
  </si>
  <si>
    <t>11092407A-303U</t>
  </si>
  <si>
    <t>HSB8001185</t>
  </si>
  <si>
    <t>BLN-012325</t>
  </si>
  <si>
    <t>KEL</t>
  </si>
  <si>
    <t>3J73789276-0</t>
  </si>
  <si>
    <t>SW2300-250117-1</t>
  </si>
  <si>
    <t>11092407A-305X</t>
  </si>
  <si>
    <t>11092407A-201K</t>
  </si>
  <si>
    <t>3J73789309-5</t>
  </si>
  <si>
    <t>1112407A-104G</t>
  </si>
  <si>
    <t>3J73788911-17</t>
  </si>
  <si>
    <t>11092407A-201I</t>
  </si>
  <si>
    <t>11092407A-102C</t>
  </si>
  <si>
    <t>LICA/RIZA</t>
  </si>
  <si>
    <t>3J73789702-0</t>
  </si>
  <si>
    <t>11092407A-202K</t>
  </si>
  <si>
    <t>11092407A-302R</t>
  </si>
  <si>
    <t>11082407A-302R</t>
  </si>
  <si>
    <t>12132401A-205P</t>
  </si>
  <si>
    <t>3J73789704-0</t>
  </si>
  <si>
    <t>HPIR000229-8</t>
  </si>
  <si>
    <t>09262406A-206L</t>
  </si>
  <si>
    <t>3J73789702-1</t>
  </si>
  <si>
    <t>11082407A-304U</t>
  </si>
  <si>
    <t>3J73789702-2</t>
  </si>
  <si>
    <t>11082407A-305X</t>
  </si>
  <si>
    <t>122401A-303V</t>
  </si>
  <si>
    <t>3J73789469-1</t>
  </si>
  <si>
    <t>ANGEL/TIN</t>
  </si>
  <si>
    <t>3J73789469-2</t>
  </si>
  <si>
    <t>12142401A-102B</t>
  </si>
  <si>
    <t>12132401A-303V</t>
  </si>
  <si>
    <t>07032406A-108H</t>
  </si>
  <si>
    <t>3J73789469-3</t>
  </si>
  <si>
    <t>3J73789311-0</t>
  </si>
  <si>
    <t>12142401A-104E</t>
  </si>
  <si>
    <t>3J73789708-0</t>
  </si>
  <si>
    <t>3J73789470-1</t>
  </si>
  <si>
    <t>12132401A-203L</t>
  </si>
  <si>
    <t>11122402A-303U</t>
  </si>
  <si>
    <t>09052406A-201I</t>
  </si>
  <si>
    <t>3J73789470-0</t>
  </si>
  <si>
    <t>12162401A-101A</t>
  </si>
  <si>
    <t>3J73789981-0</t>
  </si>
  <si>
    <t>11092407A-204N</t>
  </si>
  <si>
    <t>3J73789702-3</t>
  </si>
  <si>
    <t>3J73789702-4</t>
  </si>
  <si>
    <t>11092407A-104F</t>
  </si>
  <si>
    <t>11082407A-303U</t>
  </si>
  <si>
    <t>3J73789702-5</t>
  </si>
  <si>
    <t>3J73789702-6</t>
  </si>
  <si>
    <t>3J73789702-7</t>
  </si>
  <si>
    <t>3J73789702-8</t>
  </si>
  <si>
    <t>3J73789703-0</t>
  </si>
  <si>
    <t>3J73789704-1</t>
  </si>
  <si>
    <t>090524064-101E</t>
  </si>
  <si>
    <t>3J73789707-0</t>
  </si>
  <si>
    <t>12142401A-202K</t>
  </si>
  <si>
    <t>3J73789707-1</t>
  </si>
  <si>
    <t>12152401A-301U</t>
  </si>
  <si>
    <t>12142401A-105H</t>
  </si>
  <si>
    <t>3J73789705-0</t>
  </si>
  <si>
    <t>11122402A-302Q</t>
  </si>
  <si>
    <t>05222406A-302Q</t>
  </si>
  <si>
    <t>3J73789706-0</t>
  </si>
  <si>
    <t>12142401A-103E</t>
  </si>
  <si>
    <t>3J73789706-5</t>
  </si>
  <si>
    <t>12142401A-106H</t>
  </si>
  <si>
    <t>12132401A-206P</t>
  </si>
  <si>
    <t>08222406A-306V</t>
  </si>
  <si>
    <t>NITZ/LYN/ANGIE</t>
  </si>
  <si>
    <t>12132401A-302R</t>
  </si>
  <si>
    <t>NITZ/ANGIE</t>
  </si>
  <si>
    <t>3J73789706-1</t>
  </si>
  <si>
    <t>12142401-101B</t>
  </si>
  <si>
    <t>3J73789706-7</t>
  </si>
  <si>
    <t>3J73789706-2</t>
  </si>
  <si>
    <t>3J73789706-3</t>
  </si>
  <si>
    <t>3J73789708-2</t>
  </si>
  <si>
    <t>3J73789708-3</t>
  </si>
  <si>
    <t>1012406A-202M</t>
  </si>
  <si>
    <t>110406A-213O</t>
  </si>
  <si>
    <t>1232401A-203L</t>
  </si>
  <si>
    <t>1216401A-103C</t>
  </si>
  <si>
    <t>0952406A-1</t>
  </si>
  <si>
    <t>3J73789985-0</t>
  </si>
  <si>
    <t>3J73789706-6</t>
  </si>
  <si>
    <t>1242401A-203L</t>
  </si>
  <si>
    <t>11042406A-212O</t>
  </si>
  <si>
    <t>12152401A-303A</t>
  </si>
  <si>
    <t>12132401A-304V</t>
  </si>
  <si>
    <t>LETTER CODE / 
BOX STAMP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</si>
  <si>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</si>
  <si>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JOB NUMBER</t>
  </si>
  <si>
    <t>HPI-PR01-01</t>
  </si>
  <si>
    <t>20241217P</t>
  </si>
  <si>
    <t>12042406A-307U</t>
  </si>
  <si>
    <t>12142401A-2032</t>
  </si>
  <si>
    <t>MARK/BATAS</t>
  </si>
  <si>
    <t>11082407A-202I</t>
  </si>
  <si>
    <t>11092407A-203N</t>
  </si>
  <si>
    <t>11122407A-101C</t>
  </si>
  <si>
    <t>3J73789982-0</t>
  </si>
  <si>
    <t>3J73789982-1</t>
  </si>
  <si>
    <t>11092407A-103F</t>
  </si>
  <si>
    <t>11092407A-301R</t>
  </si>
  <si>
    <t>12042406A-304S</t>
  </si>
  <si>
    <t>ANGEL/RIZA</t>
  </si>
  <si>
    <t>3J73789706-8</t>
  </si>
  <si>
    <t>3J73789706-9</t>
  </si>
  <si>
    <t>3J73789706-10</t>
  </si>
  <si>
    <t>1204206A-304T</t>
  </si>
  <si>
    <t>3J73789706-11</t>
  </si>
  <si>
    <t>SW2300-250202-1</t>
  </si>
  <si>
    <t>3J73789982-2</t>
  </si>
  <si>
    <t>11082407A-306X</t>
  </si>
  <si>
    <t>3J73789982-3</t>
  </si>
  <si>
    <t>3J73789982-4</t>
  </si>
  <si>
    <t>1204206A-301Q</t>
  </si>
  <si>
    <t>3J73789706-4</t>
  </si>
  <si>
    <t>3J73789708-4</t>
  </si>
  <si>
    <t>3J73789982-5</t>
  </si>
  <si>
    <t>3J73789982-6</t>
  </si>
  <si>
    <t>3J73789982-7</t>
  </si>
  <si>
    <t>3J73789982-8</t>
  </si>
  <si>
    <t>11092407A-304U</t>
  </si>
  <si>
    <t>12132401A-301R</t>
  </si>
  <si>
    <t>09232406A-101G</t>
  </si>
  <si>
    <t>ANGIE/JOY</t>
  </si>
  <si>
    <t>3J73789708-5</t>
  </si>
  <si>
    <t>3J73789708-6</t>
  </si>
  <si>
    <t>12122402A-303-X</t>
  </si>
  <si>
    <t>0814H4</t>
  </si>
  <si>
    <t>09272406A-202I</t>
  </si>
  <si>
    <t>ANGEL/TINTIN</t>
  </si>
  <si>
    <t>3J73789983-1</t>
  </si>
  <si>
    <t>3J73789983-0</t>
  </si>
  <si>
    <t>12122402A-304X</t>
  </si>
  <si>
    <t>09272406A202I</t>
  </si>
  <si>
    <t>12132401A-101F</t>
  </si>
  <si>
    <t>12132401A-204L</t>
  </si>
  <si>
    <t>09232406A-203L</t>
  </si>
  <si>
    <t>3J73789987-1</t>
  </si>
  <si>
    <t>HPIR000239-0</t>
  </si>
  <si>
    <t>09232406A-102G</t>
  </si>
  <si>
    <t>3J73789987-0</t>
  </si>
  <si>
    <t>3J73789987-2</t>
  </si>
  <si>
    <t>12132401A-201J</t>
  </si>
  <si>
    <t>07182406A-302Q</t>
  </si>
  <si>
    <t>3J73789986-0</t>
  </si>
  <si>
    <t>ANGIE</t>
  </si>
  <si>
    <t>3J73790177-0</t>
  </si>
  <si>
    <t>ANGIE/HONEY</t>
  </si>
  <si>
    <t>3J73790178-0</t>
  </si>
  <si>
    <t>12122402A-301V</t>
  </si>
  <si>
    <t>09052406A-101E</t>
  </si>
  <si>
    <t>HPIR000240-8</t>
  </si>
  <si>
    <t>3J73789984-1</t>
  </si>
  <si>
    <t>3J73789982-9</t>
  </si>
  <si>
    <t>3J73790652-0</t>
  </si>
  <si>
    <t>11092407A-101C</t>
  </si>
  <si>
    <t>3J73790178-1</t>
  </si>
  <si>
    <t>1212240A-301V</t>
  </si>
  <si>
    <t>10012406A-103D</t>
  </si>
  <si>
    <t>ANGIE/ABBY</t>
  </si>
  <si>
    <t>3J73789984-0</t>
  </si>
  <si>
    <t>12132401A-102F</t>
  </si>
  <si>
    <t>ANGIE/NITZ</t>
  </si>
  <si>
    <t>10012406A-104D</t>
  </si>
  <si>
    <t>02082517A-301R</t>
  </si>
  <si>
    <t>ANGIE/ANGEL</t>
  </si>
  <si>
    <t>02092517A-101D</t>
  </si>
  <si>
    <t>10012406A-110G</t>
  </si>
  <si>
    <t>3J73789984-2</t>
  </si>
  <si>
    <t>3J73789984-3</t>
  </si>
  <si>
    <t>3J73790445-0</t>
  </si>
  <si>
    <t>02082517A-203L</t>
  </si>
  <si>
    <t>3J73789706-12</t>
  </si>
  <si>
    <t>02082517A-306X</t>
  </si>
  <si>
    <t>02142517A-304T</t>
  </si>
  <si>
    <t>3J73790179-0</t>
  </si>
  <si>
    <t>11112407A-105H</t>
  </si>
  <si>
    <t>3J73788911-15</t>
  </si>
  <si>
    <t>02082517A-302R</t>
  </si>
  <si>
    <t>02082517A-304V</t>
  </si>
  <si>
    <t>02142571A-104H</t>
  </si>
  <si>
    <t>02142571A-302Q</t>
  </si>
  <si>
    <t>02142571A-303T</t>
  </si>
  <si>
    <t>SW002-250202-1</t>
  </si>
  <si>
    <t>3J73790179-1</t>
  </si>
  <si>
    <t>02142517A-203N</t>
  </si>
  <si>
    <t>ANGIE/CHA</t>
  </si>
  <si>
    <t>3J73790179-2</t>
  </si>
  <si>
    <t>3J73790179-3</t>
  </si>
  <si>
    <t>3J73790179-4</t>
  </si>
  <si>
    <t>3J73790179-5</t>
  </si>
  <si>
    <t>02142517A-102E</t>
  </si>
  <si>
    <t>3J73790179-6</t>
  </si>
  <si>
    <t>3J73790179-7</t>
  </si>
  <si>
    <t>3J73790179-8</t>
  </si>
  <si>
    <t>02142517A-305X</t>
  </si>
  <si>
    <t>02142517A-301Q</t>
  </si>
  <si>
    <t>09242407A-301S</t>
  </si>
  <si>
    <t>3J73790179-9</t>
  </si>
  <si>
    <t>3J73790179-10</t>
  </si>
  <si>
    <t>3J73790840-0</t>
  </si>
  <si>
    <t>HPIR000244-9</t>
  </si>
  <si>
    <t>3J73789984-4</t>
  </si>
  <si>
    <t>09222406A-206N</t>
  </si>
  <si>
    <t>3J73790180-0</t>
  </si>
  <si>
    <t>02082517A-205O</t>
  </si>
  <si>
    <t>09272406A-204J</t>
  </si>
  <si>
    <t>ANGIE/LESLIE</t>
  </si>
  <si>
    <t>3J73790445-1</t>
  </si>
  <si>
    <t>02262517A-201J</t>
  </si>
  <si>
    <t>02092517A-104F</t>
  </si>
  <si>
    <t>08222406A-301Q</t>
  </si>
  <si>
    <t>3J73790445-2</t>
  </si>
  <si>
    <t>3J73790445-3</t>
  </si>
  <si>
    <t>07/03/2025</t>
  </si>
  <si>
    <t>HISB4001127</t>
  </si>
  <si>
    <t>BLN-030425</t>
  </si>
  <si>
    <t>LICA REYNA</t>
  </si>
  <si>
    <t>3J73790412-0</t>
  </si>
  <si>
    <t>3J73790812-0</t>
  </si>
  <si>
    <t>02152517A-102D</t>
  </si>
  <si>
    <t>SW2300-250117A</t>
  </si>
  <si>
    <t>3J73790888-0</t>
  </si>
  <si>
    <t>08/03/2025</t>
  </si>
  <si>
    <t>10012406A-102B</t>
  </si>
  <si>
    <t>02082517A-202I</t>
  </si>
  <si>
    <t>3J737890654-0</t>
  </si>
  <si>
    <t>JO/NITZ</t>
  </si>
  <si>
    <t>02142517A-103H</t>
  </si>
  <si>
    <t>02152517A-101D</t>
  </si>
  <si>
    <t>02142517A-101E</t>
  </si>
  <si>
    <t>02082517A-201I</t>
  </si>
  <si>
    <t>10012406A-106F</t>
  </si>
  <si>
    <t>3J73789984-5</t>
  </si>
  <si>
    <t>LICA /JO</t>
  </si>
  <si>
    <t>08222406A-308W</t>
  </si>
  <si>
    <t>02092517A-103F</t>
  </si>
  <si>
    <t>LICA /LESLIE/JO</t>
  </si>
  <si>
    <t>LESLIE/JO</t>
  </si>
  <si>
    <t>3J73789984-6</t>
  </si>
  <si>
    <t>02082517A-102G</t>
  </si>
  <si>
    <t>LESLIE/JO/ANGIE</t>
  </si>
  <si>
    <t>3J73790654-1</t>
  </si>
  <si>
    <t>02082517A-303V</t>
  </si>
  <si>
    <t>02082517A-204L</t>
  </si>
  <si>
    <t>11042406A-104D</t>
  </si>
  <si>
    <t>LICA/LYN</t>
  </si>
  <si>
    <t>11042406A-107G</t>
  </si>
  <si>
    <t>02082517A206O</t>
  </si>
  <si>
    <t>3J73790446-0</t>
  </si>
  <si>
    <t>3J73790656-0</t>
  </si>
  <si>
    <t>02082517A-305X</t>
  </si>
  <si>
    <t>09262406A-207M</t>
  </si>
  <si>
    <t>3J73790654-2</t>
  </si>
  <si>
    <t>3J73789984-7</t>
  </si>
  <si>
    <t>3J73789984-8</t>
  </si>
  <si>
    <t>02092517A-102D</t>
  </si>
  <si>
    <t>09262406A-205L</t>
  </si>
  <si>
    <t>02132517A-302S</t>
  </si>
  <si>
    <t>02132517A-301S</t>
  </si>
  <si>
    <t>ANGIE/JO</t>
  </si>
  <si>
    <t>3J73790653-0</t>
  </si>
  <si>
    <t>02142517A-104H</t>
  </si>
  <si>
    <t>HPIR000245-11</t>
  </si>
  <si>
    <t>02132517A-203P</t>
  </si>
  <si>
    <t>3J73790653-1</t>
  </si>
  <si>
    <t>02132517A-204P</t>
  </si>
  <si>
    <t>3J73790653-2</t>
  </si>
  <si>
    <t>3J73790653-4</t>
  </si>
  <si>
    <t>3J73790653-5</t>
  </si>
  <si>
    <t>3J73790653-3</t>
  </si>
  <si>
    <t>VVB140113P</t>
  </si>
  <si>
    <t>ANGEL</t>
  </si>
  <si>
    <t>3J73790658-0</t>
  </si>
  <si>
    <t>20250107P</t>
  </si>
  <si>
    <t>02132517A-105H</t>
  </si>
  <si>
    <t>02132517A102A</t>
  </si>
  <si>
    <t>02262517A-303V</t>
  </si>
  <si>
    <t>0914H4</t>
  </si>
  <si>
    <t>08222406A-208O</t>
  </si>
  <si>
    <t>3J73790654-3</t>
  </si>
  <si>
    <t>3J73790655-0</t>
  </si>
  <si>
    <t>02262517A-204M</t>
  </si>
  <si>
    <t>08222406A-205M</t>
  </si>
  <si>
    <t>CHA/ANGIE</t>
  </si>
  <si>
    <t>3J73789984-9</t>
  </si>
  <si>
    <t>SW2300-2502302-1</t>
  </si>
  <si>
    <t>02132517A-104E</t>
  </si>
  <si>
    <t>02132517A-201K</t>
  </si>
  <si>
    <t>09242406A-102A</t>
  </si>
  <si>
    <t>3J73790657-0</t>
  </si>
  <si>
    <t>02262517A-202J</t>
  </si>
  <si>
    <t>3J73790842-0</t>
  </si>
  <si>
    <t xml:space="preserve"> 3J73790843-0</t>
  </si>
  <si>
    <t>02132517A-303V</t>
  </si>
  <si>
    <t>02132517A-106H</t>
  </si>
  <si>
    <t>3J73790653-9</t>
  </si>
  <si>
    <t>3J73790888-1</t>
  </si>
  <si>
    <t>3J73790888-2</t>
  </si>
  <si>
    <t>02102517A-104E</t>
  </si>
  <si>
    <t>08222406A-206M</t>
  </si>
  <si>
    <t>ANGEL/DENDEN</t>
  </si>
  <si>
    <t>3J73790655-1</t>
  </si>
  <si>
    <t>02132517A-103E</t>
  </si>
  <si>
    <t>02132517A-103E0</t>
  </si>
  <si>
    <t>02132517A-304V</t>
  </si>
  <si>
    <t>02132517A-202K</t>
  </si>
  <si>
    <t>02132517A-101A</t>
  </si>
  <si>
    <t>3J73791390-0</t>
  </si>
  <si>
    <t>HPIR000271-9</t>
  </si>
  <si>
    <t>3J73790653-6</t>
  </si>
  <si>
    <t>3J73790653-7</t>
  </si>
  <si>
    <t>3J73790653-8</t>
  </si>
  <si>
    <t>ANGIE/TIN</t>
  </si>
  <si>
    <t>HPIR000274-5</t>
  </si>
  <si>
    <t>KAREEN</t>
  </si>
  <si>
    <t>3J73790841-0</t>
  </si>
  <si>
    <t>02262515A-303S</t>
  </si>
  <si>
    <t>3J73791390-1</t>
  </si>
  <si>
    <t>3J73791390-2</t>
  </si>
  <si>
    <t>02262515A-302Q</t>
  </si>
  <si>
    <t>3J73791442-0</t>
  </si>
  <si>
    <t>3J73791395-0</t>
  </si>
  <si>
    <t>02082517-301R</t>
  </si>
  <si>
    <t>3J73790842-1</t>
  </si>
  <si>
    <t>HSB8001187</t>
  </si>
  <si>
    <t>3J73790616-0</t>
  </si>
  <si>
    <t>02262517A-206P</t>
  </si>
  <si>
    <t>09272406A-108F</t>
  </si>
  <si>
    <t>TIN/CHED</t>
  </si>
  <si>
    <t>3J73790655--3</t>
  </si>
  <si>
    <t>3J73790655--4</t>
  </si>
  <si>
    <t>3J73790655--5</t>
  </si>
  <si>
    <t>3J73790655--6</t>
  </si>
  <si>
    <t>3J73791393-0</t>
  </si>
  <si>
    <t>3J73792051-0</t>
  </si>
  <si>
    <t>02262515A-301Q</t>
  </si>
  <si>
    <t>TIN/CHE</t>
  </si>
  <si>
    <t>3J73790655-2</t>
  </si>
  <si>
    <t>02262517A-102B</t>
  </si>
  <si>
    <t>2124H2</t>
  </si>
  <si>
    <t>09272406A-110G</t>
  </si>
  <si>
    <t>3J73791393-1</t>
  </si>
  <si>
    <t>02262517A-301R</t>
  </si>
  <si>
    <t>09272406A-103C</t>
  </si>
  <si>
    <t>3J73791393-2</t>
  </si>
  <si>
    <t>02262515A-304S</t>
  </si>
  <si>
    <t>ANGIE/MICHA</t>
  </si>
  <si>
    <t>3J73791390-3</t>
  </si>
  <si>
    <t>3J73791390-5</t>
  </si>
  <si>
    <t>03082510A-202K</t>
  </si>
  <si>
    <t>03082510A-101H</t>
  </si>
  <si>
    <t>SW2300-250302-1</t>
  </si>
  <si>
    <t>SW002-250307-1</t>
  </si>
  <si>
    <t>KAREEN/ANGIE</t>
  </si>
  <si>
    <t>3J73791390-4</t>
  </si>
  <si>
    <t>03102510A-103H</t>
  </si>
  <si>
    <t>03082510A-102H</t>
  </si>
  <si>
    <t>03102510A-101D</t>
  </si>
  <si>
    <t>3J73791391-0</t>
  </si>
  <si>
    <t>02262517A-304V</t>
  </si>
  <si>
    <t>09272406A-107F</t>
  </si>
  <si>
    <t>LICA CHED</t>
  </si>
  <si>
    <t>3J73792051-1</t>
  </si>
  <si>
    <t>02262517A-106H</t>
  </si>
  <si>
    <t>09272406A-104C</t>
  </si>
  <si>
    <t>LICA GEL</t>
  </si>
  <si>
    <t>3J73790655-7</t>
  </si>
  <si>
    <t>05/04/2025</t>
  </si>
  <si>
    <t>03082510A-304T</t>
  </si>
  <si>
    <t>3J73791391-1</t>
  </si>
  <si>
    <t>02262517A-101B</t>
  </si>
  <si>
    <t>02262517A-105H</t>
  </si>
  <si>
    <t>02262517A-103E</t>
  </si>
  <si>
    <t>2914H4</t>
  </si>
  <si>
    <t>09272406A-312X</t>
  </si>
  <si>
    <t>RONEL/MICHA</t>
  </si>
  <si>
    <t>3J73792051-2</t>
  </si>
  <si>
    <t>3J73792438-0</t>
  </si>
  <si>
    <t>3J73792380-0</t>
  </si>
  <si>
    <t>3J73792145-0</t>
  </si>
  <si>
    <t>3J73792146-0</t>
  </si>
  <si>
    <t>02262517A-205P</t>
  </si>
  <si>
    <t>02262517A-104E</t>
  </si>
  <si>
    <t>09272406A-311X</t>
  </si>
  <si>
    <t>RONEL/ANGIE</t>
  </si>
  <si>
    <t>3J73792388-0</t>
  </si>
  <si>
    <t>03082510A-301Q</t>
  </si>
  <si>
    <t>3J73791392-0</t>
  </si>
  <si>
    <t>03082510A-204O</t>
  </si>
  <si>
    <t>3J73792146-1</t>
  </si>
  <si>
    <t>12042406A-101H</t>
  </si>
  <si>
    <t>ANGEL/ANGIE</t>
  </si>
  <si>
    <t>02102517A-101H</t>
  </si>
  <si>
    <t>3J73791800-0</t>
  </si>
  <si>
    <t>3J73792427-0</t>
  </si>
  <si>
    <t>3J73792413-0</t>
  </si>
  <si>
    <t>09242406A-104B</t>
  </si>
  <si>
    <t>3J73792743-0</t>
  </si>
  <si>
    <t>02082510A-202K</t>
  </si>
  <si>
    <t>03102510A-104H</t>
  </si>
  <si>
    <t>SW2300-250401-1</t>
  </si>
  <si>
    <t>SW002-250408-1</t>
  </si>
  <si>
    <t>3J73791392-1</t>
  </si>
  <si>
    <t>3J73792146-2</t>
  </si>
  <si>
    <t>02102517A-106H</t>
  </si>
  <si>
    <t>12042406A-210O</t>
  </si>
  <si>
    <t>3J73791393-3</t>
  </si>
  <si>
    <t>02102517A-103E</t>
  </si>
  <si>
    <t>12042406A-209O</t>
  </si>
  <si>
    <t>03082510A-201K</t>
  </si>
  <si>
    <t>03082510A-302Q</t>
  </si>
  <si>
    <t>SW002-250325-1</t>
  </si>
  <si>
    <t>12042406A209O</t>
  </si>
  <si>
    <t>03082510A-306X</t>
  </si>
  <si>
    <t>03082510A-305X</t>
  </si>
  <si>
    <t>03082510A-203O</t>
  </si>
  <si>
    <t>02142517A-306X</t>
  </si>
  <si>
    <t>3J73791392-2</t>
  </si>
  <si>
    <t>03082510A-303T</t>
  </si>
  <si>
    <t>02142517A-201K</t>
  </si>
  <si>
    <t>3J73791392-3</t>
  </si>
  <si>
    <t>14X4H2</t>
  </si>
  <si>
    <t>12052406A-102G</t>
  </si>
  <si>
    <t>LESLIE/MICHA</t>
  </si>
  <si>
    <t>3J73791809-0</t>
  </si>
  <si>
    <t>03242517A-203P</t>
  </si>
  <si>
    <t>12042406A-202P</t>
  </si>
  <si>
    <t>LICA MAWI</t>
  </si>
  <si>
    <t>3J73791393-4</t>
  </si>
  <si>
    <t>03122510A-202I</t>
  </si>
  <si>
    <t>031222510A-104G</t>
  </si>
  <si>
    <t>03102510A-304U</t>
  </si>
  <si>
    <t>03122510A-201I</t>
  </si>
  <si>
    <t>3J73791792-0</t>
  </si>
  <si>
    <t>ANGEL/JENNY</t>
  </si>
  <si>
    <t>3J73791800-1</t>
  </si>
  <si>
    <t>03252517A-302S</t>
  </si>
  <si>
    <t>3J73792249-0</t>
  </si>
  <si>
    <t>3J73792250-0</t>
  </si>
  <si>
    <t>03252517A-204N</t>
  </si>
  <si>
    <t>12052406A-101G</t>
  </si>
  <si>
    <t>3J73791679-0</t>
  </si>
  <si>
    <t>03252517A-203M</t>
  </si>
  <si>
    <t>12052406A-104H</t>
  </si>
  <si>
    <t>3J73791809-1</t>
  </si>
  <si>
    <t>3J73791398-0</t>
  </si>
  <si>
    <t>3J73791803-0</t>
  </si>
  <si>
    <t>3J73792252-0</t>
  </si>
  <si>
    <t>03252517A-201J</t>
  </si>
  <si>
    <t>02102517A-101B</t>
  </si>
  <si>
    <t>03262517A-104E</t>
  </si>
  <si>
    <t>12042406A-204K</t>
  </si>
  <si>
    <t>3J73792742-0</t>
  </si>
  <si>
    <t>03122510A-304V</t>
  </si>
  <si>
    <t>03112510A-202K</t>
  </si>
  <si>
    <t>02142517A-204N</t>
  </si>
  <si>
    <t>ANGIE/JEN</t>
  </si>
  <si>
    <t>3J73791792-1</t>
  </si>
  <si>
    <t>12042406A-211P</t>
  </si>
  <si>
    <t>03252517A-205O</t>
  </si>
  <si>
    <t>02142517A204N</t>
  </si>
  <si>
    <t>0214217A-202K</t>
  </si>
  <si>
    <t>03252517A-202K</t>
  </si>
  <si>
    <t>KAREEN/JEN</t>
  </si>
  <si>
    <t>KAREEN/ANGIE/ROSE</t>
  </si>
  <si>
    <t>03242517A-201M</t>
  </si>
  <si>
    <t>ROSE/ANGIE</t>
  </si>
  <si>
    <t>3J73791393-5</t>
  </si>
  <si>
    <t>12042406A-309V</t>
  </si>
  <si>
    <t>3J73791442-1</t>
  </si>
  <si>
    <t>03252517A-301R</t>
  </si>
  <si>
    <t>10012406A-311X</t>
  </si>
  <si>
    <t>3J73792744-0</t>
  </si>
  <si>
    <t>11042406A-203J</t>
  </si>
  <si>
    <t>3J73792742-1</t>
  </si>
  <si>
    <t>3J73791800-2</t>
  </si>
  <si>
    <t>03252517A-102C</t>
  </si>
  <si>
    <t>03242517A-303T</t>
  </si>
  <si>
    <t>03252517A-304V</t>
  </si>
  <si>
    <t>03242517A-304V</t>
  </si>
  <si>
    <t>11042406A-205K</t>
  </si>
  <si>
    <t>3J73792742-2</t>
  </si>
  <si>
    <t>03102510A-202K</t>
  </si>
  <si>
    <t>SW2300-250418-1</t>
  </si>
  <si>
    <t>3J73791792-2</t>
  </si>
  <si>
    <t>02142517A-202K</t>
  </si>
  <si>
    <t>03122510A-102E</t>
  </si>
  <si>
    <t>ANGIE/MAY</t>
  </si>
  <si>
    <t>ANGIE/DEN</t>
  </si>
  <si>
    <t>TMB002311</t>
  </si>
  <si>
    <t>KARREN</t>
  </si>
  <si>
    <t>3J73792536-0</t>
  </si>
  <si>
    <t>CHA/JENNY</t>
  </si>
  <si>
    <t>3J73792745-0</t>
  </si>
  <si>
    <t>03102510A-301QW</t>
  </si>
  <si>
    <t>03112510A-303U</t>
  </si>
  <si>
    <t>03122510A-101E</t>
  </si>
  <si>
    <t>SW003-250307-1</t>
  </si>
  <si>
    <t>3J73791793-0</t>
  </si>
  <si>
    <t>ANGIE/JUBILEE</t>
  </si>
  <si>
    <t>03102510A-203O</t>
  </si>
  <si>
    <t>03102510A-102D</t>
  </si>
  <si>
    <t>03122510A-205P</t>
  </si>
  <si>
    <t>03112510A-101D</t>
  </si>
  <si>
    <t>SW002-250411-1</t>
  </si>
  <si>
    <t>3J73791793-1</t>
  </si>
  <si>
    <t>03102510A-303U</t>
  </si>
  <si>
    <t>03242517A-302R</t>
  </si>
  <si>
    <t>04282517A-202O</t>
  </si>
  <si>
    <t>04282517A-201O</t>
  </si>
  <si>
    <t>11042406A-204J</t>
  </si>
  <si>
    <t>3J73791798-0</t>
  </si>
  <si>
    <t>11042406A-208M</t>
  </si>
  <si>
    <t>3J73792742-4</t>
  </si>
  <si>
    <t>3J73792742-3</t>
  </si>
  <si>
    <t>3J73792608-0</t>
  </si>
  <si>
    <t>03242517A-301Q</t>
  </si>
  <si>
    <t>KREEN/RIZA/JENNY</t>
  </si>
  <si>
    <t>03252517A-101B</t>
  </si>
  <si>
    <t>3J73792745-2</t>
  </si>
  <si>
    <t>3J73792953-0</t>
  </si>
  <si>
    <t>09232406A-202K</t>
  </si>
  <si>
    <t>KREEN/RIZA/JENNY/LESLIE</t>
  </si>
  <si>
    <t>3J737892745-1</t>
  </si>
  <si>
    <t>3J73792610-0</t>
  </si>
  <si>
    <t>03112510A-302Q</t>
  </si>
  <si>
    <t>SW2300-250425-IA</t>
  </si>
  <si>
    <t>03112510A-206P</t>
  </si>
  <si>
    <t>ANGIE/MELO</t>
  </si>
  <si>
    <t>3J73791793-2</t>
  </si>
  <si>
    <t>04H4Z2</t>
  </si>
  <si>
    <t>12042406A-311X</t>
  </si>
  <si>
    <t>LESLIE/ANGIE</t>
  </si>
  <si>
    <t>SBW0204010</t>
  </si>
  <si>
    <t>MELO</t>
  </si>
  <si>
    <t>03112510A-304U</t>
  </si>
  <si>
    <t>03132510A-202J</t>
  </si>
  <si>
    <t>SW002-00100-03A</t>
  </si>
  <si>
    <t>3J73791793-3</t>
  </si>
  <si>
    <t>03132510A-102B</t>
  </si>
  <si>
    <t>03132510A-104D</t>
  </si>
  <si>
    <t>03132510A-203K</t>
  </si>
  <si>
    <t>03132510A-101B</t>
  </si>
  <si>
    <t>03102510A-306X</t>
  </si>
  <si>
    <t>SW2300-250425-1</t>
  </si>
  <si>
    <t>3J73791793-4</t>
  </si>
  <si>
    <t>03252517A-103D</t>
  </si>
  <si>
    <t>03252517A-303U</t>
  </si>
  <si>
    <t>03252517A-104E</t>
  </si>
  <si>
    <t>CORA/JULLIBEE</t>
  </si>
  <si>
    <t>ROSE/JULLIBEE</t>
  </si>
  <si>
    <t>10302406A-303T</t>
  </si>
  <si>
    <t>0342517A-202M</t>
  </si>
  <si>
    <t>RROSE/JUBELII</t>
  </si>
  <si>
    <t>3J73791809-2</t>
  </si>
  <si>
    <t>03102510-306X</t>
  </si>
  <si>
    <t>03112510A-201K</t>
  </si>
  <si>
    <t>ANGEL/CHA</t>
  </si>
  <si>
    <t>TIN</t>
  </si>
  <si>
    <t>3J73794114-0</t>
  </si>
  <si>
    <t>SBW0304030</t>
  </si>
  <si>
    <t>03242517A-202M</t>
  </si>
  <si>
    <t>09242406A-101A</t>
  </si>
  <si>
    <t>BLN-042525</t>
  </si>
  <si>
    <t>3J73791678-0</t>
  </si>
  <si>
    <t>20/.05/2025</t>
  </si>
  <si>
    <t>SW200-250425-1</t>
  </si>
  <si>
    <t>MELO/CHA</t>
  </si>
  <si>
    <t>03112510A-204M</t>
  </si>
  <si>
    <t>03122510A-302S</t>
  </si>
  <si>
    <t>03122510A-301S</t>
  </si>
  <si>
    <t>MELO/TIN</t>
  </si>
  <si>
    <t>3J73791793-5</t>
  </si>
  <si>
    <t>TIN/APRIL</t>
  </si>
  <si>
    <t>3J73791800-5</t>
  </si>
  <si>
    <t>02272517A-104C</t>
  </si>
  <si>
    <t>09272406A-307V</t>
  </si>
  <si>
    <t>SW2300-250425-1A</t>
  </si>
  <si>
    <t>3J73791794-0</t>
  </si>
  <si>
    <t>CHE/ANGEL/KAREN</t>
  </si>
  <si>
    <t>3J73791804-0</t>
  </si>
  <si>
    <t>03122510A-303V</t>
  </si>
  <si>
    <t>03262517A-105E</t>
  </si>
  <si>
    <t>10012406A-308U</t>
  </si>
  <si>
    <t>03112510A-301Q</t>
  </si>
  <si>
    <t>03102510A-204O</t>
  </si>
  <si>
    <t>09272406A-301R</t>
  </si>
  <si>
    <t>TIN/CHERRY</t>
  </si>
  <si>
    <t>3J73794325-0</t>
  </si>
  <si>
    <t>3J73791799-0</t>
  </si>
  <si>
    <t>03252517A-106H</t>
  </si>
  <si>
    <t>03262517A-102C</t>
  </si>
  <si>
    <t>09272406A-303S</t>
  </si>
  <si>
    <t>04272516A-101D</t>
  </si>
  <si>
    <t>09272406A-305T</t>
  </si>
  <si>
    <t>MELO/DEN-DEN</t>
  </si>
  <si>
    <t>swb0204010</t>
  </si>
  <si>
    <t>a</t>
  </si>
  <si>
    <t>20250307P</t>
  </si>
  <si>
    <t>03262506A-201I</t>
  </si>
  <si>
    <t>03102510A-201K</t>
  </si>
  <si>
    <t>3J73791794-1</t>
  </si>
  <si>
    <t>03112510A-305X</t>
  </si>
  <si>
    <t>03102510A-302Q</t>
  </si>
  <si>
    <t>02272517A-101A</t>
  </si>
  <si>
    <t>24X4H2</t>
  </si>
  <si>
    <t>03262506A-2</t>
  </si>
  <si>
    <t>HPIR000292-3</t>
  </si>
  <si>
    <t>3J73791794-2</t>
  </si>
  <si>
    <t>03112570A-306X</t>
  </si>
  <si>
    <t>03112510A-306X</t>
  </si>
  <si>
    <t>0312510A-204L</t>
  </si>
  <si>
    <t>LICA VERO KARREN JO</t>
  </si>
  <si>
    <t>3J73791805-0</t>
  </si>
  <si>
    <t>3.J73793299-0</t>
  </si>
  <si>
    <t>12062406A-2020</t>
  </si>
  <si>
    <t>ANGEL/CHERRY</t>
  </si>
  <si>
    <t>3J73791809-4</t>
  </si>
  <si>
    <t>3J73791809-3</t>
  </si>
  <si>
    <t>02272517A-103C</t>
  </si>
  <si>
    <t>3J73791800-6</t>
  </si>
  <si>
    <t>05162510A-102D</t>
  </si>
  <si>
    <t>03132510A-201J</t>
  </si>
  <si>
    <t>3J73793540-0</t>
  </si>
  <si>
    <t>04122510A-102C</t>
  </si>
  <si>
    <t>3J73793539-0</t>
  </si>
  <si>
    <t>SW3B0204010</t>
  </si>
  <si>
    <t>03132510A-106G</t>
  </si>
  <si>
    <t>SW2300-25045-IA</t>
  </si>
  <si>
    <t>SW002-250502-1</t>
  </si>
  <si>
    <t>3J73791794-3</t>
  </si>
  <si>
    <t>11042406A-201I</t>
  </si>
  <si>
    <t>02272517A-102A</t>
  </si>
  <si>
    <t>TIN/MELO</t>
  </si>
  <si>
    <t>06072502A-102B</t>
  </si>
  <si>
    <t>03262506A-107G</t>
  </si>
  <si>
    <t>06062502A-301W</t>
  </si>
  <si>
    <t>09242406A-103B</t>
  </si>
  <si>
    <t>3J73791809-5</t>
  </si>
  <si>
    <t>06072502A-103E</t>
  </si>
  <si>
    <t>1030246A-3</t>
  </si>
  <si>
    <t>3J73791800-7</t>
  </si>
  <si>
    <t>TIN/MELO/ABBY</t>
  </si>
  <si>
    <t>06072502A-104E</t>
  </si>
  <si>
    <t>06062502A-302W</t>
  </si>
  <si>
    <t>09242406A-1</t>
  </si>
  <si>
    <t>MELO/ABBY</t>
  </si>
  <si>
    <t>3J73791809-6</t>
  </si>
  <si>
    <t>MELO/ABBY/TIN</t>
  </si>
  <si>
    <t>3J73791800-8</t>
  </si>
  <si>
    <t>06072502A-101B</t>
  </si>
  <si>
    <t>12102406A-203K</t>
  </si>
  <si>
    <t>12102406A-204K</t>
  </si>
  <si>
    <t>03262506A-110H</t>
  </si>
  <si>
    <t>3J73791800-9</t>
  </si>
  <si>
    <t>12102406A-205N</t>
  </si>
  <si>
    <t>02252517A-304W</t>
  </si>
  <si>
    <t>HSB8001184</t>
  </si>
  <si>
    <t>BLN-093024</t>
  </si>
  <si>
    <t>VERO</t>
  </si>
  <si>
    <t>3J73793278-0</t>
  </si>
  <si>
    <t>BLN-053025</t>
  </si>
  <si>
    <t>3J73793279-0</t>
  </si>
  <si>
    <t>02252517A-303W</t>
  </si>
  <si>
    <t>03262506A-106D</t>
  </si>
  <si>
    <t>3J73791800-10</t>
  </si>
  <si>
    <t>03262506A-103C</t>
  </si>
  <si>
    <t>MELO/JHO</t>
  </si>
  <si>
    <t>3J73791800-11</t>
  </si>
  <si>
    <t>3J73791794-4</t>
  </si>
  <si>
    <t>HSB4001127</t>
  </si>
  <si>
    <t>BLN-050525</t>
  </si>
  <si>
    <t>3J73793523-0</t>
  </si>
  <si>
    <t>HSB1201187</t>
  </si>
  <si>
    <t>BLN-012125</t>
  </si>
  <si>
    <t>3J73793277-0</t>
  </si>
  <si>
    <t>03132510A-104G</t>
  </si>
  <si>
    <t>JO</t>
  </si>
  <si>
    <t>02252517A-302R</t>
  </si>
  <si>
    <t>04112510A-303U</t>
  </si>
  <si>
    <t>LICA</t>
  </si>
  <si>
    <t>3J73791794-5</t>
  </si>
  <si>
    <t>17/26/2025</t>
  </si>
  <si>
    <t>04122510A-103G</t>
  </si>
  <si>
    <t>04252516A-201J</t>
  </si>
  <si>
    <t>06092502A-104E</t>
  </si>
  <si>
    <t>06092502A-102B</t>
  </si>
  <si>
    <t>KAREEN/LESLI/GRACE</t>
  </si>
  <si>
    <t>3J73791809-7</t>
  </si>
  <si>
    <t>LESLI/GRACE</t>
  </si>
  <si>
    <t>3J73791800-12</t>
  </si>
  <si>
    <t>0326506A-105D</t>
  </si>
  <si>
    <t>APRIL</t>
  </si>
  <si>
    <t>041225110A-201J</t>
  </si>
  <si>
    <t>04122510A-204N</t>
  </si>
  <si>
    <t>3J73791794-7</t>
  </si>
  <si>
    <t>BLN-061125</t>
  </si>
  <si>
    <t>BLN-061325</t>
  </si>
  <si>
    <t>3J73793614-0</t>
  </si>
  <si>
    <t>03132510A-1058G</t>
  </si>
  <si>
    <t>04112510A-210K</t>
  </si>
  <si>
    <t>3J73791794-6</t>
  </si>
  <si>
    <t>05162510A-103G</t>
  </si>
  <si>
    <t>04122510A-101C</t>
  </si>
  <si>
    <t>04122510A-203N</t>
  </si>
  <si>
    <t>041222510A-101C</t>
  </si>
  <si>
    <t>3J73791795-0</t>
  </si>
  <si>
    <t>3J73794111-0</t>
  </si>
  <si>
    <t>3J73794112-0</t>
  </si>
  <si>
    <t>3J73794007-0</t>
  </si>
  <si>
    <t>06092502A-201D</t>
  </si>
  <si>
    <t>09222406A-205N</t>
  </si>
  <si>
    <t>TIN/DEN</t>
  </si>
  <si>
    <t>3J73794122-0</t>
  </si>
  <si>
    <t>3J73794121-0</t>
  </si>
  <si>
    <t>03Z4H2</t>
  </si>
  <si>
    <t>12112406A-301Q</t>
  </si>
  <si>
    <t>3J73791800-13</t>
  </si>
  <si>
    <t>3J73794115-0</t>
  </si>
  <si>
    <t>LESLIE</t>
  </si>
  <si>
    <t>06092502A-203O</t>
  </si>
  <si>
    <t>06092502A-101B</t>
  </si>
  <si>
    <t>3J73794117-0</t>
  </si>
  <si>
    <t>3J737941166-0</t>
  </si>
  <si>
    <t>1064H2</t>
  </si>
  <si>
    <t>12112406A-208P</t>
  </si>
  <si>
    <t>09272406A-122B</t>
  </si>
  <si>
    <t>3J73794118-0</t>
  </si>
  <si>
    <t>03262506A-202I</t>
  </si>
  <si>
    <t>3J73791800-14</t>
  </si>
  <si>
    <t>06102502A-301R</t>
  </si>
  <si>
    <t>03262506A-301Q</t>
  </si>
  <si>
    <t>04112510A-306X</t>
  </si>
  <si>
    <t>04112510A-203N</t>
  </si>
  <si>
    <t>04112510A-204N</t>
  </si>
  <si>
    <t>3J73791795-1</t>
  </si>
  <si>
    <t>004112510A-202K</t>
  </si>
  <si>
    <t>04112510A-104G</t>
  </si>
  <si>
    <t>3J73791795-2</t>
  </si>
  <si>
    <t>TMB0002311</t>
  </si>
  <si>
    <t>JADE</t>
  </si>
  <si>
    <t>3J73794009-0</t>
  </si>
  <si>
    <t>20240112P</t>
  </si>
  <si>
    <t>3J73794008-0</t>
  </si>
  <si>
    <t>06092502A-201L</t>
  </si>
  <si>
    <t>06092502A-103E</t>
  </si>
  <si>
    <t>03262506A-306T</t>
  </si>
  <si>
    <t>LICA RUSS</t>
  </si>
  <si>
    <t>3J73794119-0</t>
  </si>
  <si>
    <t>3J73791800-15</t>
  </si>
  <si>
    <t>APRIL/AIDA</t>
  </si>
  <si>
    <t>3J73793708-0</t>
  </si>
  <si>
    <t>04112510A-102B</t>
  </si>
  <si>
    <t>TMB0002313</t>
  </si>
  <si>
    <t>3J73794011-0</t>
  </si>
  <si>
    <t>BLN-060925</t>
  </si>
  <si>
    <t>TIN/JADE</t>
  </si>
  <si>
    <t>3J73793974-0</t>
  </si>
  <si>
    <t>TIN/AIDAH</t>
  </si>
  <si>
    <t>04112510A-103E</t>
  </si>
  <si>
    <t>3J73793526-0</t>
  </si>
  <si>
    <t>04112510A-106H</t>
  </si>
  <si>
    <t>APRIL/AIDAH</t>
  </si>
  <si>
    <t>3J73794190-0</t>
  </si>
  <si>
    <t>TMB0002312</t>
  </si>
  <si>
    <t>2023110P</t>
  </si>
  <si>
    <t>3J73794010-0</t>
  </si>
  <si>
    <t>06092502A-202L</t>
  </si>
  <si>
    <t>0324H2</t>
  </si>
  <si>
    <t>03262506A-304S</t>
  </si>
  <si>
    <t>MAWI  DENDEN</t>
  </si>
  <si>
    <t>JAN.2025</t>
  </si>
  <si>
    <t>FEB.2025</t>
  </si>
  <si>
    <t>04262516A-208O</t>
  </si>
  <si>
    <t>04262516A-103F</t>
  </si>
  <si>
    <t>3J73793709-0</t>
  </si>
  <si>
    <t>3J73793708-1</t>
  </si>
  <si>
    <t>06092502A-202L/20250610P</t>
  </si>
  <si>
    <t>AIDAH/LICA</t>
  </si>
  <si>
    <t>3J73791806-1</t>
  </si>
  <si>
    <t>06102502A-301R/20250611P</t>
  </si>
  <si>
    <t>03262506A-209P</t>
  </si>
  <si>
    <t>3J73794120-0</t>
  </si>
  <si>
    <t>3J73791800-16</t>
  </si>
  <si>
    <t>06092502A-304X/20250611P</t>
  </si>
  <si>
    <t>AIDAH</t>
  </si>
  <si>
    <t>3J73794113-0</t>
  </si>
  <si>
    <t>041225510A-101C</t>
  </si>
  <si>
    <t>BLN-051425</t>
  </si>
  <si>
    <t>BLN-050825</t>
  </si>
  <si>
    <t>BLN-062425</t>
  </si>
  <si>
    <t>3J73791680--3</t>
  </si>
  <si>
    <t>06092502A-304</t>
  </si>
  <si>
    <t>10012406A-309W</t>
  </si>
  <si>
    <t>ANGEL/AIDAH</t>
  </si>
  <si>
    <t>3J73793717-0</t>
  </si>
  <si>
    <t>06092502A-303</t>
  </si>
  <si>
    <t>03262506A-203K</t>
  </si>
  <si>
    <t>ANGEL/AIDAH/RIZA</t>
  </si>
  <si>
    <t>06092502A-301S</t>
  </si>
  <si>
    <t>03262506A-301S</t>
  </si>
  <si>
    <t>3J73794501-0</t>
  </si>
  <si>
    <t>06102502A-201M</t>
  </si>
  <si>
    <t>TIN/REN</t>
  </si>
  <si>
    <t>04122510A-202J</t>
  </si>
  <si>
    <t>SW2300-250725-1</t>
  </si>
  <si>
    <t>SW002-250527-1</t>
  </si>
  <si>
    <t>3J73794738-0</t>
  </si>
  <si>
    <t>03262506A-102A</t>
  </si>
  <si>
    <t>04122510A-104G</t>
  </si>
  <si>
    <t>3J73792740-0</t>
  </si>
  <si>
    <t>05102515A-101F</t>
  </si>
  <si>
    <t>04122510A-205P</t>
  </si>
  <si>
    <t>AIDAH/JHAY</t>
  </si>
  <si>
    <t>06102502A-304S</t>
  </si>
  <si>
    <t>12112406A-302Q</t>
  </si>
  <si>
    <t>LESLIE/DENDEN</t>
  </si>
  <si>
    <t>07182406A-301Q</t>
  </si>
  <si>
    <t>06102502A-104H</t>
  </si>
  <si>
    <t>MAWI ABBY JASS</t>
  </si>
  <si>
    <t>3J73794504-0</t>
  </si>
  <si>
    <t>3J737945505-0</t>
  </si>
  <si>
    <t>03102510A-305A</t>
  </si>
  <si>
    <t>04112510A-304U</t>
  </si>
  <si>
    <t>06102502A-302R</t>
  </si>
  <si>
    <t>06102502A-202M</t>
  </si>
  <si>
    <t>03262506A-305T</t>
  </si>
  <si>
    <t>06112502A-202J</t>
  </si>
  <si>
    <t>3J73794502-0</t>
  </si>
  <si>
    <t>3J73791800-17</t>
  </si>
  <si>
    <t>03262506A-206L</t>
  </si>
  <si>
    <t>BATAS/JO/JAY</t>
  </si>
  <si>
    <t>06102502A-303V</t>
  </si>
  <si>
    <t>03262506A-1210P</t>
  </si>
  <si>
    <t xml:space="preserve"> </t>
  </si>
  <si>
    <t>031125100A-103G</t>
  </si>
  <si>
    <t>06102802A-101D</t>
  </si>
  <si>
    <t>3J73794503-0</t>
  </si>
  <si>
    <t>06102502A-305X</t>
  </si>
  <si>
    <t>03262506A-208N</t>
  </si>
  <si>
    <t>06102502A-101D</t>
  </si>
  <si>
    <t>06122510A-201J</t>
  </si>
  <si>
    <t>06102502A-306X</t>
  </si>
  <si>
    <t>BATAS/RENREN</t>
  </si>
  <si>
    <t>06092502A-302S</t>
  </si>
  <si>
    <t>RENREN</t>
  </si>
  <si>
    <t>06102502A-1011</t>
  </si>
  <si>
    <t>3J73791800-18</t>
  </si>
  <si>
    <t>3J73793710-0</t>
  </si>
  <si>
    <t>04262516A-2070</t>
  </si>
  <si>
    <t>3J73793712-0</t>
  </si>
  <si>
    <t>0425516A-202J</t>
  </si>
  <si>
    <t>3J73791796-0</t>
  </si>
  <si>
    <t>04262516A-104F</t>
  </si>
  <si>
    <t>06102502A-103H</t>
  </si>
  <si>
    <t>05312506A-205K</t>
  </si>
  <si>
    <t>3J73793193-0</t>
  </si>
  <si>
    <t>3J73793718-0</t>
  </si>
  <si>
    <t>06102502A-102D</t>
  </si>
  <si>
    <t>HPIR000305-6</t>
  </si>
  <si>
    <t>HPIR000304-7</t>
  </si>
  <si>
    <t>04252516A-301T</t>
  </si>
  <si>
    <t>3J73791796-5</t>
  </si>
  <si>
    <t>06102502A-303S</t>
  </si>
  <si>
    <t>03262506A-309U</t>
  </si>
  <si>
    <t>ANGEL/DEN</t>
  </si>
  <si>
    <t>3J73794870-0</t>
  </si>
  <si>
    <t>ANGEL/MARIE</t>
  </si>
  <si>
    <t>3J73794740-0</t>
  </si>
  <si>
    <t>06112502A-101C</t>
  </si>
  <si>
    <t>05312506A-204J</t>
  </si>
  <si>
    <t>3J73793713-0</t>
  </si>
  <si>
    <t>3J73794739-0</t>
  </si>
  <si>
    <t>3J73795376-0</t>
  </si>
  <si>
    <t>04252516A-203P</t>
  </si>
  <si>
    <t>J</t>
  </si>
  <si>
    <t>04262516A-204L</t>
  </si>
  <si>
    <t>3J73791796-3</t>
  </si>
  <si>
    <t>3J73793715-0</t>
  </si>
  <si>
    <t>06112502A-102C</t>
  </si>
  <si>
    <t>06112502A-201J</t>
  </si>
  <si>
    <t>05312506A-20I</t>
  </si>
  <si>
    <t>04262516A-205O</t>
  </si>
  <si>
    <t>3J73791796-2</t>
  </si>
  <si>
    <t>04122510A-206P</t>
  </si>
  <si>
    <t>04112510A-101B</t>
  </si>
  <si>
    <t>3J73791796-1</t>
  </si>
  <si>
    <t>04262516A-202I</t>
  </si>
  <si>
    <t>04252516A-102F</t>
  </si>
  <si>
    <t>04262516A-102B</t>
  </si>
  <si>
    <t>06112502A-204L</t>
  </si>
  <si>
    <t>06112502A-104F</t>
  </si>
  <si>
    <t>05312506A-202I</t>
  </si>
  <si>
    <t>BATAS MAHARLIKA</t>
  </si>
  <si>
    <t>BATAS MAHARLIKA RINA</t>
  </si>
  <si>
    <t>05312506A-108F</t>
  </si>
  <si>
    <t>BATAS RINA</t>
  </si>
  <si>
    <t>3J73793714-0</t>
  </si>
  <si>
    <t>3J73793719-0</t>
  </si>
  <si>
    <t>06112502A-203L</t>
  </si>
  <si>
    <t>05092506A-201P</t>
  </si>
  <si>
    <t>BLN-071825</t>
  </si>
  <si>
    <t>3J73791681-1</t>
  </si>
  <si>
    <t>0411250A-305X</t>
  </si>
  <si>
    <t>3J73794796-4</t>
  </si>
  <si>
    <t>BATAS/AIDA</t>
  </si>
  <si>
    <t>3J73795961-0</t>
  </si>
  <si>
    <t>05312506A-110G</t>
  </si>
  <si>
    <t>06112502A-103F</t>
  </si>
  <si>
    <t>ABIGAIL/AIDAH</t>
  </si>
  <si>
    <t>3J73794383-0</t>
  </si>
  <si>
    <t>3J73794990-0</t>
  </si>
  <si>
    <t>3J73795332-0</t>
  </si>
  <si>
    <t>3J73794967-0</t>
  </si>
  <si>
    <t>06112502A-201</t>
  </si>
  <si>
    <t>TIN/ROSE</t>
  </si>
  <si>
    <t>3J73795263-0</t>
  </si>
  <si>
    <t>3J73791801-0</t>
  </si>
  <si>
    <t>12102406A-102F</t>
  </si>
  <si>
    <t>12102406A-313X</t>
  </si>
  <si>
    <t>3J73795265-0</t>
  </si>
  <si>
    <t>10012406A-312X</t>
  </si>
  <si>
    <t>06202515A-201J</t>
  </si>
  <si>
    <t>3J73795706-0</t>
  </si>
  <si>
    <t>3J73795260-0</t>
  </si>
  <si>
    <t>04252516A-204P</t>
  </si>
  <si>
    <t>3J73795707-0</t>
  </si>
  <si>
    <t>06202515A-203M</t>
  </si>
  <si>
    <t>TIN/KAREEN</t>
  </si>
  <si>
    <t>3J73793716-0</t>
  </si>
  <si>
    <t>3J73795261-0</t>
  </si>
  <si>
    <t>SW2300-250527-1</t>
  </si>
  <si>
    <t>SW002-250624-1</t>
  </si>
  <si>
    <t>04122510A-301Q</t>
  </si>
  <si>
    <t>05102515A-102F</t>
  </si>
  <si>
    <t>AIDAH/JO</t>
  </si>
  <si>
    <t>3J73791796-6</t>
  </si>
  <si>
    <t>04112510A-302Q</t>
  </si>
  <si>
    <t>3J73795262-0</t>
  </si>
  <si>
    <t>3J73795386-0</t>
  </si>
  <si>
    <t>05162510A-104G</t>
  </si>
  <si>
    <t>06202515A-104F</t>
  </si>
  <si>
    <t>05092506A-312W</t>
  </si>
  <si>
    <t>B1</t>
  </si>
  <si>
    <t>3J73794388-0</t>
  </si>
  <si>
    <t>12102406A-307U</t>
  </si>
  <si>
    <t>B1/JOY</t>
  </si>
  <si>
    <t>06202515A-304U</t>
  </si>
  <si>
    <t>AIDAH/JOY</t>
  </si>
  <si>
    <t>3J73794123-0</t>
  </si>
  <si>
    <t>3J73795963-0</t>
  </si>
  <si>
    <t>3J73791807-0</t>
  </si>
  <si>
    <t>06202515A-305W</t>
  </si>
  <si>
    <t>ROSE/AIDAH</t>
  </si>
  <si>
    <t>3J73794894-0</t>
  </si>
  <si>
    <t>05152510A-301V</t>
  </si>
  <si>
    <t>06182507A-101C</t>
  </si>
  <si>
    <t>05272516A-306X</t>
  </si>
  <si>
    <t>05152510A-302V</t>
  </si>
  <si>
    <t>KAREEN/AIDAH</t>
  </si>
  <si>
    <t>06182507A-201I</t>
  </si>
  <si>
    <t>05092506A-307U</t>
  </si>
  <si>
    <t>1294H2</t>
  </si>
  <si>
    <t>3J73795264-0</t>
  </si>
  <si>
    <t>3J73795266-0</t>
  </si>
  <si>
    <t>3J73794386-0</t>
  </si>
  <si>
    <t>05142506A-301Q</t>
  </si>
  <si>
    <t>06172502A-304V</t>
  </si>
  <si>
    <t>3J73794387-0</t>
  </si>
  <si>
    <t>06172507A-303X</t>
  </si>
  <si>
    <t>3J73795916-0</t>
  </si>
  <si>
    <t>3J73795708-0</t>
  </si>
  <si>
    <t>06182507A-202K</t>
  </si>
  <si>
    <t>3J73795916-1</t>
  </si>
  <si>
    <t>06192515A-302U</t>
  </si>
  <si>
    <t>06182502-101B</t>
  </si>
  <si>
    <t>05142506-203J</t>
  </si>
  <si>
    <t>BATAS</t>
  </si>
  <si>
    <t>3J73795537-0</t>
  </si>
  <si>
    <t>3J73795537-2</t>
  </si>
  <si>
    <t>3J73795917-2</t>
  </si>
  <si>
    <t>3J73795917-0</t>
  </si>
  <si>
    <t>05142506A-306U</t>
  </si>
  <si>
    <t>3J737943385-0</t>
  </si>
  <si>
    <t>ABBY/AIDAH</t>
  </si>
  <si>
    <t>06172502A-305X</t>
  </si>
  <si>
    <t>05142506A-206L</t>
  </si>
  <si>
    <t>06192515A-301U</t>
  </si>
  <si>
    <t>05142506A-207O</t>
  </si>
  <si>
    <t>06202515A-301R</t>
  </si>
  <si>
    <t>3J73795537-3</t>
  </si>
  <si>
    <t>12102406A-309V</t>
  </si>
  <si>
    <t>06202515A-101B</t>
  </si>
  <si>
    <t>3J73795537-1</t>
  </si>
  <si>
    <t>06202515A-202J</t>
  </si>
  <si>
    <t>12102406A-302Q</t>
  </si>
  <si>
    <t>3J73795537-5</t>
  </si>
  <si>
    <t>TIN/AIDAH/LESLIE</t>
  </si>
  <si>
    <t>LESLIE/AIDAH</t>
  </si>
  <si>
    <t>12102406A-304S</t>
  </si>
  <si>
    <t>LESLIE/ALMA</t>
  </si>
  <si>
    <t>03112510A-102D</t>
  </si>
  <si>
    <t>3J73795710-0</t>
  </si>
  <si>
    <t>052772501A-103D</t>
  </si>
  <si>
    <t>06252502A-102G</t>
  </si>
  <si>
    <t>05142506A-108H</t>
  </si>
  <si>
    <t>LICA JOY MING</t>
  </si>
  <si>
    <t>3J73795537-7</t>
  </si>
  <si>
    <t>3J73795537-4</t>
  </si>
  <si>
    <t>3J73795537-8</t>
  </si>
  <si>
    <t>JOY/AIDAH</t>
  </si>
  <si>
    <t>UL00000011-1</t>
  </si>
  <si>
    <t>3J73795826-0</t>
  </si>
  <si>
    <t>3J73795712-0</t>
  </si>
  <si>
    <t>06252502A301R</t>
  </si>
  <si>
    <t>05142506A-204J</t>
  </si>
  <si>
    <t>BLN-072325</t>
  </si>
  <si>
    <t>BLN-061825</t>
  </si>
  <si>
    <t>3J73795510-0</t>
  </si>
  <si>
    <t>BLN-082225</t>
  </si>
  <si>
    <t>3J73796793-0</t>
  </si>
  <si>
    <t>BLN-071425</t>
  </si>
  <si>
    <t>3J73791682-0</t>
  </si>
  <si>
    <t>06202515A-102B</t>
  </si>
  <si>
    <t>05142506A-107H</t>
  </si>
  <si>
    <t>3J73795537-6</t>
  </si>
  <si>
    <t>LES;IE/AIDAH/LICA</t>
  </si>
  <si>
    <t>3J73795825-0</t>
  </si>
  <si>
    <t>06252502A-304U</t>
  </si>
  <si>
    <t>05092506A-308U</t>
  </si>
  <si>
    <t>LICA/AIDAH</t>
  </si>
  <si>
    <t>3J73795713-0</t>
  </si>
  <si>
    <t>3J73795711-0</t>
  </si>
  <si>
    <t>05092506A-311W</t>
  </si>
  <si>
    <t>06252502A-201L</t>
  </si>
  <si>
    <t>06182507A-103X</t>
  </si>
  <si>
    <t>HPIR000602-8</t>
  </si>
  <si>
    <t>3J73797871-0</t>
  </si>
  <si>
    <t>BLN-082825</t>
  </si>
  <si>
    <t>3J73795511-0</t>
  </si>
  <si>
    <t>06192502A-201P</t>
  </si>
  <si>
    <t>KAI/AIDAH</t>
  </si>
  <si>
    <t>3J73791797-0</t>
  </si>
  <si>
    <t>AIDAH/KAI</t>
  </si>
  <si>
    <t>06192502A-303V</t>
  </si>
  <si>
    <t>06192502A-301S</t>
  </si>
  <si>
    <t xml:space="preserve">A </t>
  </si>
  <si>
    <t>06182502A-301T</t>
  </si>
  <si>
    <t>129H2</t>
  </si>
  <si>
    <t>MAWI BATAS</t>
  </si>
  <si>
    <t>06172502A-303V</t>
  </si>
  <si>
    <t>3J73791801-1</t>
  </si>
  <si>
    <t>05142506A-102C</t>
  </si>
  <si>
    <t>05142506A-101C</t>
  </si>
  <si>
    <t>3J73795918-0</t>
  </si>
  <si>
    <t>LESLIE/ANANG</t>
  </si>
  <si>
    <t>3J73791801-2</t>
  </si>
  <si>
    <t>AIDAH/APPLE</t>
  </si>
  <si>
    <t>3J73795824-0</t>
  </si>
  <si>
    <t>3J73791797-1</t>
  </si>
  <si>
    <t>3J73791797-4</t>
  </si>
  <si>
    <t>06172507-301T</t>
  </si>
  <si>
    <t>06172507A-302U</t>
  </si>
  <si>
    <t>UL000000-10</t>
  </si>
  <si>
    <t>06172502A-302R</t>
  </si>
  <si>
    <t>LESLIE/ANANG/MAWI</t>
  </si>
  <si>
    <t>3J73794198-0</t>
  </si>
  <si>
    <t>05142506A-103D</t>
  </si>
  <si>
    <t>06182502A-102E</t>
  </si>
  <si>
    <t xml:space="preserve">BATAS MAWI JAY </t>
  </si>
  <si>
    <t>3J73791801-3</t>
  </si>
  <si>
    <t>05142506A-208O</t>
  </si>
  <si>
    <t>05092506A-3</t>
  </si>
  <si>
    <t>3J73797028-0</t>
  </si>
  <si>
    <t>MAWI</t>
  </si>
  <si>
    <t>3J73797024-0</t>
  </si>
  <si>
    <t>SW002-250829-1</t>
  </si>
  <si>
    <t>3J73795824-1</t>
  </si>
  <si>
    <t>MAWI/AIDAH</t>
  </si>
  <si>
    <t>06192502A-302S</t>
  </si>
  <si>
    <t>3J73791797-2</t>
  </si>
  <si>
    <t>04252516A-303W</t>
  </si>
  <si>
    <t>04252516A-304W</t>
  </si>
  <si>
    <t>04252516A-101F</t>
  </si>
  <si>
    <t>04252516A-302T</t>
  </si>
  <si>
    <t>3J73791797-5</t>
  </si>
  <si>
    <t>3J73791797-3</t>
  </si>
  <si>
    <t>3J73796138-0</t>
  </si>
  <si>
    <t>06202515A-306W</t>
  </si>
  <si>
    <t>10012406A-3</t>
  </si>
  <si>
    <t>3J73797028-1</t>
  </si>
  <si>
    <t>105142506A-1</t>
  </si>
  <si>
    <t>3J73795962-0</t>
  </si>
  <si>
    <t>3J73797865-0</t>
  </si>
  <si>
    <t>05312506A-203J</t>
  </si>
  <si>
    <t>3J73791801-4</t>
  </si>
  <si>
    <t>06182502A-105H</t>
  </si>
  <si>
    <t>05092506A-306S</t>
  </si>
  <si>
    <t>3J73792746-0</t>
  </si>
  <si>
    <t>MRB8003300</t>
  </si>
  <si>
    <t>3J73796106-0</t>
  </si>
  <si>
    <t>3J73796120-1</t>
  </si>
  <si>
    <t>06182507A-102I</t>
  </si>
  <si>
    <t>3J73797715-0</t>
  </si>
  <si>
    <t>06172502A-201K</t>
  </si>
  <si>
    <t>3J73791801-5</t>
  </si>
  <si>
    <t>05272516A-203N</t>
  </si>
  <si>
    <t>SW2300-250624-1</t>
  </si>
  <si>
    <t>SW00250926-1</t>
  </si>
  <si>
    <t>LESLIE/AIDAH/LIEZYL</t>
  </si>
  <si>
    <t>3J73791797-6</t>
  </si>
  <si>
    <t>05272516A-204N</t>
  </si>
  <si>
    <t>05272506A-303U</t>
  </si>
  <si>
    <t>05272506A-301R</t>
  </si>
  <si>
    <t>3J73791797-7</t>
  </si>
  <si>
    <t>0527516A-302P</t>
  </si>
  <si>
    <t>061222510A-103E</t>
  </si>
  <si>
    <t>3J73793192-1</t>
  </si>
  <si>
    <t>3J737917197-8</t>
  </si>
  <si>
    <t>06232502A-203L</t>
  </si>
  <si>
    <t>AIDAH/GRACE</t>
  </si>
  <si>
    <t>3J73793192-2</t>
  </si>
  <si>
    <t>06192502A-202P</t>
  </si>
  <si>
    <t>06192502A-304V</t>
  </si>
  <si>
    <t>06172502A-203O</t>
  </si>
  <si>
    <t>12102406A-312W</t>
  </si>
  <si>
    <t>3J73797726-0</t>
  </si>
  <si>
    <t>3J73797011-0</t>
  </si>
  <si>
    <t>06172502A-202K</t>
  </si>
  <si>
    <t>12102406A-301Q</t>
  </si>
  <si>
    <t>3J73794208-0</t>
  </si>
  <si>
    <t>06182502A-103F</t>
  </si>
  <si>
    <t>05142506A-303S</t>
  </si>
  <si>
    <t>3J73797937-0</t>
  </si>
  <si>
    <t>12032406A303Q</t>
  </si>
  <si>
    <t>3J73792746-1</t>
  </si>
  <si>
    <t>05272516A-302R</t>
  </si>
  <si>
    <t>3J73793192-3</t>
  </si>
  <si>
    <t>06182506A-302T</t>
  </si>
  <si>
    <t>06X2H2</t>
  </si>
  <si>
    <t>12102406-107S</t>
  </si>
  <si>
    <t>3J73791801-6</t>
  </si>
  <si>
    <t>3J73797727-0</t>
  </si>
  <si>
    <t>12102406-310V</t>
  </si>
  <si>
    <t>3J73797486-0</t>
  </si>
  <si>
    <t>0426251A-206O</t>
  </si>
  <si>
    <t>3J73796995-0</t>
  </si>
  <si>
    <t>06162507A-103G</t>
  </si>
  <si>
    <t>06232502A-302R</t>
  </si>
  <si>
    <t>05272516-A305X</t>
  </si>
  <si>
    <t>3J73796996-0</t>
  </si>
  <si>
    <t>05272516A-201J</t>
  </si>
  <si>
    <t>30/09/2025</t>
  </si>
  <si>
    <t>3J73798545-0</t>
  </si>
  <si>
    <t>JO/APRIL</t>
  </si>
  <si>
    <t>3J73797728-0</t>
  </si>
  <si>
    <t>06252502A-101G</t>
  </si>
  <si>
    <t>12112406A-207P</t>
  </si>
  <si>
    <t>12062406A-301Q</t>
  </si>
  <si>
    <t>3J73797030-0</t>
  </si>
  <si>
    <t>06252506A-303U</t>
  </si>
  <si>
    <t>3J73791807-2</t>
  </si>
  <si>
    <t>1211406A-205O</t>
  </si>
  <si>
    <t>08152516A-302T</t>
  </si>
  <si>
    <t>3J73797012-0</t>
  </si>
  <si>
    <t>06252502A-302R</t>
  </si>
  <si>
    <t>3J73797729-0</t>
  </si>
  <si>
    <t>12112406A-203N</t>
  </si>
  <si>
    <t>06172507A-201O</t>
  </si>
  <si>
    <t>SW00-250926-1</t>
  </si>
  <si>
    <t>3J73796996-1</t>
  </si>
  <si>
    <t>06172507A102G</t>
  </si>
  <si>
    <t>06202515A-303U</t>
  </si>
  <si>
    <t>12112406A-108F</t>
  </si>
  <si>
    <t>3J73797730-0</t>
  </si>
  <si>
    <t>3J73796996-2</t>
  </si>
  <si>
    <t>06252502A-202L</t>
  </si>
  <si>
    <t>3J73797731-0</t>
  </si>
  <si>
    <t>3J73797732-0</t>
  </si>
  <si>
    <t>06252502-A202L</t>
  </si>
  <si>
    <t>3J73797734-0</t>
  </si>
  <si>
    <t>12062406A-204P</t>
  </si>
  <si>
    <t>3J73797868-0</t>
  </si>
  <si>
    <t>042516A-101F</t>
  </si>
  <si>
    <t>3J73797716-0</t>
  </si>
  <si>
    <t>06122510A-102B</t>
  </si>
  <si>
    <t>3J73796997-0</t>
  </si>
  <si>
    <t>0626502A-302Q</t>
  </si>
  <si>
    <t>3J73797868-1</t>
  </si>
  <si>
    <t>3J73798535-0</t>
  </si>
  <si>
    <t>3J73797736-0</t>
  </si>
  <si>
    <t>06122510A-202J</t>
  </si>
  <si>
    <t>06232502A-205O</t>
  </si>
  <si>
    <t>3J73797864-0</t>
  </si>
  <si>
    <t>06232502A-201J</t>
  </si>
  <si>
    <t>CHA/AIDAH</t>
  </si>
  <si>
    <t>06232502A-101B</t>
  </si>
  <si>
    <t>06162507A-101C</t>
  </si>
  <si>
    <t>3J73798288-0</t>
  </si>
  <si>
    <t>06272502A-202L</t>
  </si>
  <si>
    <t>13Y3H2</t>
  </si>
  <si>
    <t>1212406A-202J</t>
  </si>
  <si>
    <t>3J73797733-0</t>
  </si>
  <si>
    <t>HPIR000607-6</t>
  </si>
  <si>
    <t>3J73797735-0</t>
  </si>
  <si>
    <t>06162507A-202N</t>
  </si>
  <si>
    <t>06162507A-301X</t>
  </si>
  <si>
    <t>02092506A-310V</t>
  </si>
  <si>
    <t>3J73798536-0</t>
  </si>
  <si>
    <t>3J73798715-0</t>
  </si>
  <si>
    <t>3J73797724-0</t>
  </si>
  <si>
    <t>3J73797866-0</t>
  </si>
  <si>
    <t>06162507A-302X</t>
  </si>
  <si>
    <t>3J73798520-0</t>
  </si>
  <si>
    <t>06162517A-102C</t>
  </si>
  <si>
    <t>06282502a-303t</t>
  </si>
  <si>
    <t>12102406a-207p</t>
  </si>
  <si>
    <t>APPLE/JOY</t>
  </si>
  <si>
    <t>06282502A-303T</t>
  </si>
  <si>
    <t>05092506A-305S</t>
  </si>
  <si>
    <t>3J73798714-0</t>
  </si>
  <si>
    <t>3J73797725-0</t>
  </si>
  <si>
    <t>SWB030400</t>
  </si>
  <si>
    <t>22/10/205</t>
  </si>
  <si>
    <t>HPIR000611-3</t>
  </si>
  <si>
    <t>06162507A-104G</t>
  </si>
  <si>
    <t>06172507A-202P</t>
  </si>
  <si>
    <t>04262516A-101B</t>
  </si>
  <si>
    <t>3J73797864-2</t>
  </si>
  <si>
    <t>13V3H2</t>
  </si>
  <si>
    <t>12102406A-208P</t>
  </si>
  <si>
    <t>3J73798290-0</t>
  </si>
  <si>
    <t>3J73798522-0</t>
  </si>
  <si>
    <t>04262516A-203L</t>
  </si>
  <si>
    <t>3J73798289-0</t>
  </si>
  <si>
    <t>3J73797863-0</t>
  </si>
  <si>
    <t>3J73798310-1</t>
  </si>
  <si>
    <t>3J73797864-1</t>
  </si>
  <si>
    <t>05162510A-101P</t>
  </si>
  <si>
    <t>06272502A202L</t>
  </si>
  <si>
    <t>3J73798714-1</t>
  </si>
  <si>
    <t>3J73798522-1</t>
  </si>
  <si>
    <t>15272516A-202J</t>
  </si>
  <si>
    <t>3J73798520-1</t>
  </si>
  <si>
    <t>3J73798520-2</t>
  </si>
  <si>
    <t>3J73798520-3</t>
  </si>
  <si>
    <t>3J73797866-1</t>
  </si>
  <si>
    <t>1210246A-103H</t>
  </si>
  <si>
    <t>12112406A206O</t>
  </si>
  <si>
    <t>06282502A-201L</t>
  </si>
  <si>
    <t>3J73797866-2</t>
  </si>
  <si>
    <t>3J73798290-1</t>
  </si>
  <si>
    <t>3J73797866-3</t>
  </si>
  <si>
    <t>08192516A-101B</t>
  </si>
  <si>
    <t>06272502A-304W</t>
  </si>
  <si>
    <t>05312506A-109G</t>
  </si>
  <si>
    <t>3J73797867-0</t>
  </si>
  <si>
    <t>3J73798529-1</t>
  </si>
  <si>
    <t>3J73798521-0</t>
  </si>
  <si>
    <t>06262502A-304U</t>
  </si>
  <si>
    <t>12112406A-107F</t>
  </si>
  <si>
    <t>3J73798291-0</t>
  </si>
  <si>
    <t xml:space="preserve">JO </t>
  </si>
  <si>
    <t>3J73798922-0</t>
  </si>
  <si>
    <t>062725502A-202L</t>
  </si>
  <si>
    <t>06232502A-202L</t>
  </si>
  <si>
    <t>SW002-250624-1-A</t>
  </si>
  <si>
    <t>3J73798712-0</t>
  </si>
  <si>
    <t>06232502A-105H</t>
  </si>
  <si>
    <t>SWB2300-250624-1</t>
  </si>
  <si>
    <t>3J73798712-1</t>
  </si>
  <si>
    <t>06182502A-101H</t>
  </si>
  <si>
    <t>05142506A-105E</t>
  </si>
  <si>
    <t>3J73798713-0</t>
  </si>
  <si>
    <t>3J73798924-0</t>
  </si>
  <si>
    <t>3J73799085-0</t>
  </si>
  <si>
    <t>06172502A-204O</t>
  </si>
  <si>
    <t>05312506A-101B</t>
  </si>
  <si>
    <t>3J73798920-0</t>
  </si>
  <si>
    <t>06272502A-101D</t>
  </si>
  <si>
    <t>05312506A-205E</t>
  </si>
  <si>
    <t>LICA LESLIE JENA</t>
  </si>
  <si>
    <t>3J73798925-2</t>
  </si>
  <si>
    <t>AIDHA LICA</t>
  </si>
  <si>
    <t>0626502A-102B</t>
  </si>
  <si>
    <t>05142506A</t>
  </si>
  <si>
    <t>JOY</t>
  </si>
  <si>
    <t>3J73798925-0</t>
  </si>
  <si>
    <t>3J73798922-1</t>
  </si>
  <si>
    <t>JOY CHA</t>
  </si>
  <si>
    <t>3J73798926-0</t>
  </si>
  <si>
    <t>3J73798927-0</t>
  </si>
  <si>
    <t>06272502A-303W</t>
  </si>
  <si>
    <t>05312506A-102B</t>
  </si>
  <si>
    <t>05312506A-106E</t>
  </si>
  <si>
    <t>3J73798925-1</t>
  </si>
  <si>
    <t>06122510A-104E</t>
  </si>
  <si>
    <t>06182507A-103H</t>
  </si>
  <si>
    <t>AIDAH/JE</t>
  </si>
  <si>
    <t>3J73798921-0</t>
  </si>
  <si>
    <t>3J73799558-0</t>
  </si>
  <si>
    <t>06122510A-105H</t>
  </si>
  <si>
    <t>3J73798921-1</t>
  </si>
  <si>
    <t>06182502A-104H</t>
  </si>
  <si>
    <t>12052406A-208L</t>
  </si>
  <si>
    <t>3J73799086-0</t>
  </si>
  <si>
    <t>JOY/GRACE</t>
  </si>
  <si>
    <t>3J73798926-1</t>
  </si>
  <si>
    <t>06272502A-301T</t>
  </si>
  <si>
    <t>05302536A-202OL</t>
  </si>
  <si>
    <t>3J73799288-0</t>
  </si>
  <si>
    <t>3J73799747-0</t>
  </si>
  <si>
    <t>06182507A-102E</t>
  </si>
  <si>
    <t>3J73799557-0</t>
  </si>
  <si>
    <t>06272502A-103H</t>
  </si>
  <si>
    <t>05092506A-303R</t>
  </si>
  <si>
    <t>3J73799569-1</t>
  </si>
  <si>
    <t>05302506A-202T</t>
  </si>
  <si>
    <t>3J73799560-0</t>
  </si>
  <si>
    <t>06262502A-103F</t>
  </si>
  <si>
    <t>05302506A-202I</t>
  </si>
  <si>
    <t>BATAS JOREMY</t>
  </si>
  <si>
    <t>06282502A-104H</t>
  </si>
  <si>
    <t>06282502A-302S</t>
  </si>
  <si>
    <t>05302506A-203J</t>
  </si>
  <si>
    <t>GRACE</t>
  </si>
  <si>
    <t>06262502A-204M</t>
  </si>
  <si>
    <t>06182507A-10ZE</t>
  </si>
  <si>
    <t>SW002-250725-1</t>
  </si>
  <si>
    <t>GRACE/LICA</t>
  </si>
  <si>
    <t>3J73799748-2</t>
  </si>
  <si>
    <t>24X42H2</t>
  </si>
  <si>
    <t>05312506A-103D</t>
  </si>
  <si>
    <t>3J73799561-0</t>
  </si>
  <si>
    <t>GRACE/ABBY</t>
  </si>
  <si>
    <t>06262502A-305X</t>
  </si>
  <si>
    <t>05302506A-2011</t>
  </si>
  <si>
    <t>3J73799562-1</t>
  </si>
  <si>
    <t>GRACE/HAZEL</t>
  </si>
  <si>
    <t>06262502A-101B</t>
  </si>
  <si>
    <t>06252502A-102D</t>
  </si>
  <si>
    <t>0335H2</t>
  </si>
  <si>
    <t>053002506A-2011</t>
  </si>
  <si>
    <t>GRACE/KAREN</t>
  </si>
  <si>
    <t>06282502A-101D</t>
  </si>
  <si>
    <t>3J73799561-1</t>
  </si>
  <si>
    <t>06282502A-304T</t>
  </si>
  <si>
    <t>3J73799569-2</t>
  </si>
  <si>
    <t>LICA/JO</t>
  </si>
  <si>
    <t>3J73799748-0</t>
  </si>
  <si>
    <t>06282502A-202L</t>
  </si>
  <si>
    <t>6272502A-201L</t>
  </si>
  <si>
    <t>0809280617-3</t>
  </si>
  <si>
    <t>MAWI/SHIELA</t>
  </si>
  <si>
    <t>3J73799291-0</t>
  </si>
  <si>
    <t>06262502A-103L</t>
  </si>
  <si>
    <t>06282802A-202L</t>
  </si>
  <si>
    <t>06272502A-201L</t>
  </si>
  <si>
    <t>05302806A-208M</t>
  </si>
  <si>
    <t>3J73796562-2</t>
  </si>
  <si>
    <t>06262502A-103E</t>
  </si>
  <si>
    <t>05302506A-208M</t>
  </si>
  <si>
    <t>3J73799750-0</t>
  </si>
  <si>
    <t>3J73799289-0</t>
  </si>
  <si>
    <t>3J73799565-2</t>
  </si>
  <si>
    <t>05302506A-207M</t>
  </si>
  <si>
    <t>05302506A-211P</t>
  </si>
  <si>
    <t>06282502A-204B</t>
  </si>
  <si>
    <t>3J73799290-0</t>
  </si>
  <si>
    <t>3J73799290-1</t>
  </si>
  <si>
    <t>HPIR000634-3</t>
  </si>
  <si>
    <t>HPIR000621-0</t>
  </si>
  <si>
    <t>05312506A-104D</t>
  </si>
  <si>
    <t>LESLIE/GLAIZA</t>
  </si>
  <si>
    <t>3J73799565-0</t>
  </si>
  <si>
    <t>3J73799563-0</t>
  </si>
  <si>
    <t>06272502A-203O</t>
  </si>
  <si>
    <t>0626250A-104E</t>
  </si>
  <si>
    <t>12102406A-311W</t>
  </si>
  <si>
    <t>LESLIE/APPLE</t>
  </si>
  <si>
    <t>06262502A-203M</t>
  </si>
  <si>
    <t>05302506A-102G</t>
  </si>
  <si>
    <t>3J73799564-0</t>
  </si>
  <si>
    <t>06282502A-203P</t>
  </si>
  <si>
    <t>05302506A-212P</t>
  </si>
  <si>
    <t>3J73799566-0</t>
  </si>
  <si>
    <t>01/12/2025</t>
  </si>
  <si>
    <t>02/12/2025</t>
  </si>
  <si>
    <t>03/12/2025</t>
  </si>
  <si>
    <t>04/12/2025</t>
  </si>
  <si>
    <t>06272502A-102D</t>
  </si>
  <si>
    <t>05302506A-206K</t>
  </si>
  <si>
    <t>GLAIZA/HAZEL</t>
  </si>
  <si>
    <t>3J73799287-0</t>
  </si>
  <si>
    <t>3J73800761-0</t>
  </si>
  <si>
    <t>3J73799084-0</t>
  </si>
  <si>
    <t>GLAIZA/JOY</t>
  </si>
  <si>
    <t>KAREEN/GLAIZA</t>
  </si>
  <si>
    <t>08162516A-101C</t>
  </si>
  <si>
    <t>05302506A-312X</t>
  </si>
  <si>
    <t>05/12/2025</t>
  </si>
  <si>
    <t>08282502A-301S</t>
  </si>
  <si>
    <t>12052406A-205L</t>
  </si>
  <si>
    <t>06282502A-203T</t>
  </si>
  <si>
    <t>KAREENGLAIZA</t>
  </si>
  <si>
    <t>3J73799753-0</t>
  </si>
  <si>
    <t>3J73800138-1</t>
  </si>
  <si>
    <t>3J73800138-0</t>
  </si>
  <si>
    <t>3J73800138-2</t>
  </si>
  <si>
    <t>06202502A-203M</t>
  </si>
  <si>
    <t>ALMA</t>
  </si>
  <si>
    <t>3J73799286-1</t>
  </si>
  <si>
    <t>06202502A-105G</t>
  </si>
  <si>
    <t>06202502A-202K</t>
  </si>
  <si>
    <t>06212502A-101B</t>
  </si>
  <si>
    <t>ALMA MARK</t>
  </si>
  <si>
    <t>3J73799083-0</t>
  </si>
  <si>
    <t>CHIT</t>
  </si>
  <si>
    <t>3J73799567-0</t>
  </si>
  <si>
    <t>09/12/2025</t>
  </si>
  <si>
    <t>10/12/2025</t>
  </si>
  <si>
    <t>11/12/2025</t>
  </si>
  <si>
    <t>06272502A-302T</t>
  </si>
  <si>
    <t>SHEILA/CORA</t>
  </si>
  <si>
    <t>3J73799566-3</t>
  </si>
  <si>
    <t>SHEILA/JOYJOY</t>
  </si>
  <si>
    <t>06262502A-303S</t>
  </si>
  <si>
    <t>06272502A-104H</t>
  </si>
  <si>
    <t>05302506A-309V</t>
  </si>
  <si>
    <t>3J73799566-1</t>
  </si>
  <si>
    <t>HPIR000637-2</t>
  </si>
  <si>
    <t>3J73799566-2</t>
  </si>
  <si>
    <t>06262502A-301Q</t>
  </si>
  <si>
    <t>12302406A-202S</t>
  </si>
  <si>
    <t>12/12/2025</t>
  </si>
  <si>
    <t>08152516A-303W</t>
  </si>
  <si>
    <t>24XH42</t>
  </si>
  <si>
    <t>KAREEN/HAZEL</t>
  </si>
  <si>
    <t>3J73800597-0</t>
  </si>
  <si>
    <t>3J73799567-1</t>
  </si>
  <si>
    <t>07172516A-106H</t>
  </si>
  <si>
    <t>3P0001741-40</t>
  </si>
  <si>
    <t>3P00017925-6</t>
  </si>
  <si>
    <t>13/12/2025</t>
  </si>
  <si>
    <t>05302506A-301T</t>
  </si>
  <si>
    <t>06202515A-103F</t>
  </si>
  <si>
    <t>05302506A-308U</t>
  </si>
  <si>
    <t>05142506A-106E</t>
  </si>
  <si>
    <t>3J73799752-0</t>
  </si>
  <si>
    <t>06202502A-303U</t>
  </si>
  <si>
    <t>05142506A-304S</t>
  </si>
  <si>
    <t>08152516A-304W</t>
  </si>
  <si>
    <t>08152516A-301T</t>
  </si>
  <si>
    <t>12052406A-207L</t>
  </si>
  <si>
    <t>HAZEL/MHY</t>
  </si>
  <si>
    <t>3J73800137-0</t>
  </si>
  <si>
    <t>3J737800139-2</t>
  </si>
  <si>
    <t>3J737800139-0</t>
  </si>
  <si>
    <t>15//12/2025</t>
  </si>
  <si>
    <t>062625202A-303V</t>
  </si>
  <si>
    <t>06282502A-103H</t>
  </si>
  <si>
    <t>ROSE/SHIELA</t>
  </si>
  <si>
    <t>3J73800139-1</t>
  </si>
  <si>
    <t>07162516A-102D</t>
  </si>
  <si>
    <t>ROSE/JOY</t>
  </si>
  <si>
    <t>3J73799559-2</t>
  </si>
  <si>
    <t>3J73799559-5</t>
  </si>
  <si>
    <t>3J73799749-2</t>
  </si>
  <si>
    <t>3J73799559-0</t>
  </si>
  <si>
    <t>3J73799749-1</t>
  </si>
  <si>
    <t>06202502A-101A</t>
  </si>
  <si>
    <t>3J73799559-3</t>
  </si>
  <si>
    <t>16/12/2025</t>
  </si>
  <si>
    <t>08172516A-102H</t>
  </si>
  <si>
    <t>ROSE/GLAIZA</t>
  </si>
  <si>
    <t>17/12/2025</t>
  </si>
  <si>
    <t>120262406A-303S</t>
  </si>
  <si>
    <t>3J73800243-0</t>
  </si>
  <si>
    <t>06122510A-106H</t>
  </si>
  <si>
    <t>ALMA/GLAIZA</t>
  </si>
  <si>
    <t>07152516A-104H</t>
  </si>
  <si>
    <t>05162510A-101D</t>
  </si>
  <si>
    <t>07162516A-204P</t>
  </si>
  <si>
    <t>JC/TESS</t>
  </si>
  <si>
    <t>GRACE/LONG</t>
  </si>
  <si>
    <t>3J73799749-3</t>
  </si>
  <si>
    <t>3J73799749-5</t>
  </si>
  <si>
    <t>07172516A-302Q</t>
  </si>
  <si>
    <t>HPIR000641-8</t>
  </si>
  <si>
    <t>07152516A-102A</t>
  </si>
  <si>
    <t>05302506A-307U</t>
  </si>
  <si>
    <t>HAZEL/LESLIE/GLAI</t>
  </si>
  <si>
    <t>3J73799751-0</t>
  </si>
  <si>
    <t>LESLIE MAWI</t>
  </si>
  <si>
    <t>3J73800135-1</t>
  </si>
  <si>
    <t>3J73800134-0</t>
  </si>
  <si>
    <t>3J73800135-0</t>
  </si>
  <si>
    <t>3J73800825-0</t>
  </si>
  <si>
    <t>3J73799562-0</t>
  </si>
  <si>
    <t>07152516A-203M</t>
  </si>
</sst>
</file>

<file path=xl/styles.xml><?xml version="1.0" encoding="utf-8"?>
<styleSheet xmlns="http://schemas.openxmlformats.org/spreadsheetml/2006/main">
  <numFmts count="3">
    <numFmt numFmtId="164" formatCode="0.00_)"/>
    <numFmt numFmtId="165" formatCode="&quot;¥&quot;#,##0.00;[Red]&quot;¥&quot;\-#,##0.00"/>
    <numFmt numFmtId="166" formatCode="[$-14409]d/m/yy;@"/>
  </numFmts>
  <fonts count="18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name val="Meiryo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38" fontId="11" fillId="2" borderId="0" applyNumberFormat="0" applyBorder="0" applyAlignment="0" applyProtection="0"/>
    <xf numFmtId="10" fontId="11" fillId="3" borderId="12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5" fontId="3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4" fillId="0" borderId="5" xfId="1" applyFont="1" applyBorder="1" applyAlignment="1">
      <alignment horizontal="center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8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8" fillId="0" borderId="14" xfId="1" quotePrefix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4" fontId="8" fillId="0" borderId="14" xfId="1" quotePrefix="1" applyNumberFormat="1" applyFont="1" applyBorder="1" applyAlignment="1">
      <alignment horizontal="center"/>
    </xf>
    <xf numFmtId="14" fontId="8" fillId="0" borderId="14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17" fillId="0" borderId="0" xfId="2" applyFont="1"/>
    <xf numFmtId="14" fontId="8" fillId="0" borderId="18" xfId="1" applyNumberFormat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12" xfId="1" applyFont="1" applyBorder="1" applyAlignment="1">
      <alignment horizontal="center" vertical="center" wrapText="1"/>
    </xf>
    <xf numFmtId="14" fontId="8" fillId="0" borderId="9" xfId="1" applyNumberFormat="1" applyFont="1" applyBorder="1" applyAlignment="1">
      <alignment horizontal="center"/>
    </xf>
    <xf numFmtId="14" fontId="8" fillId="0" borderId="21" xfId="1" applyNumberFormat="1" applyFont="1" applyBorder="1" applyAlignment="1">
      <alignment horizontal="center"/>
    </xf>
    <xf numFmtId="14" fontId="8" fillId="0" borderId="12" xfId="1" applyNumberFormat="1" applyFont="1" applyBorder="1" applyAlignment="1">
      <alignment horizontal="center"/>
    </xf>
    <xf numFmtId="17" fontId="5" fillId="0" borderId="2" xfId="1" applyNumberFormat="1" applyFont="1" applyBorder="1" applyAlignment="1">
      <alignment vertical="center"/>
    </xf>
    <xf numFmtId="0" fontId="11" fillId="0" borderId="20" xfId="1" applyFont="1" applyBorder="1" applyAlignment="1">
      <alignment horizontal="center"/>
    </xf>
    <xf numFmtId="0" fontId="11" fillId="0" borderId="19" xfId="1" applyFont="1" applyBorder="1" applyAlignment="1">
      <alignment horizontal="center"/>
    </xf>
    <xf numFmtId="14" fontId="11" fillId="0" borderId="18" xfId="1" applyNumberFormat="1" applyFont="1" applyBorder="1" applyAlignment="1">
      <alignment horizontal="center"/>
    </xf>
    <xf numFmtId="166" fontId="16" fillId="4" borderId="0" xfId="0" applyNumberFormat="1" applyFont="1" applyFill="1" applyAlignment="1" applyProtection="1">
      <alignment shrinkToFit="1"/>
      <protection locked="0"/>
    </xf>
    <xf numFmtId="15" fontId="8" fillId="0" borderId="12" xfId="1" applyNumberFormat="1" applyFont="1" applyBorder="1" applyAlignment="1">
      <alignment horizontal="center"/>
    </xf>
    <xf numFmtId="14" fontId="8" fillId="0" borderId="15" xfId="1" applyNumberFormat="1" applyFont="1" applyBorder="1" applyAlignment="1">
      <alignment horizontal="center"/>
    </xf>
    <xf numFmtId="16" fontId="8" fillId="0" borderId="14" xfId="1" applyNumberFormat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N65"/>
  <sheetViews>
    <sheetView view="pageBreakPreview" zoomScaleNormal="100" zoomScaleSheetLayoutView="100" workbookViewId="0">
      <selection activeCell="F20" sqref="A1:XFD1048576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1" width="10.710937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/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/>
      <c r="B9" s="20"/>
      <c r="C9" s="21"/>
      <c r="D9" s="21"/>
      <c r="E9" s="21"/>
      <c r="F9" s="21"/>
      <c r="G9" s="21"/>
      <c r="H9" s="21"/>
      <c r="I9" s="21"/>
      <c r="J9" s="21"/>
      <c r="K9" s="21"/>
      <c r="L9" s="20"/>
    </row>
    <row r="10" spans="1:12" ht="17.100000000000001" customHeight="1">
      <c r="A10" s="2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0"/>
    </row>
    <row r="11" spans="1:12" ht="17.100000000000001" customHeight="1">
      <c r="A11" s="22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0"/>
    </row>
    <row r="12" spans="1:12" ht="17.100000000000001" customHeight="1">
      <c r="A12" s="2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0"/>
    </row>
    <row r="13" spans="1:12" ht="17.100000000000001" customHeight="1">
      <c r="A13" s="22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0"/>
    </row>
    <row r="14" spans="1:12" ht="17.100000000000001" customHeight="1">
      <c r="A14" s="22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0"/>
    </row>
    <row r="15" spans="1:12" ht="17.100000000000001" customHeight="1">
      <c r="A15" s="22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0"/>
    </row>
    <row r="16" spans="1:12" ht="17.100000000000001" customHeight="1">
      <c r="A16" s="2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0"/>
    </row>
    <row r="17" spans="1:12" ht="17.100000000000001" customHeight="1">
      <c r="A17" s="22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0"/>
    </row>
    <row r="18" spans="1:12" ht="17.100000000000001" customHeight="1">
      <c r="A18" s="22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0"/>
    </row>
    <row r="19" spans="1:12" ht="17.100000000000001" customHeight="1">
      <c r="A19" s="2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0"/>
    </row>
    <row r="20" spans="1:12" ht="17.100000000000001" customHeight="1">
      <c r="A20" s="2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0"/>
    </row>
    <row r="21" spans="1:12" ht="17.100000000000001" customHeight="1">
      <c r="A21" s="22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0"/>
    </row>
    <row r="22" spans="1:12" ht="17.100000000000001" customHeight="1">
      <c r="A22" s="2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0"/>
    </row>
    <row r="23" spans="1:12" ht="17.100000000000001" customHeight="1">
      <c r="A23" s="2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0"/>
    </row>
    <row r="24" spans="1:12" ht="17.100000000000001" customHeight="1">
      <c r="A24" s="22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0"/>
    </row>
    <row r="25" spans="1:12" ht="17.100000000000001" customHeight="1">
      <c r="A25" s="2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0"/>
    </row>
    <row r="26" spans="1:12" ht="17.100000000000001" customHeight="1">
      <c r="A26" s="22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0"/>
    </row>
    <row r="27" spans="1:12" ht="17.100000000000001" customHeight="1">
      <c r="A27" s="22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0"/>
    </row>
    <row r="28" spans="1:12" ht="17.100000000000001" customHeight="1">
      <c r="A28" s="22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0"/>
    </row>
    <row r="29" spans="1:12" ht="17.100000000000001" customHeight="1">
      <c r="A29" s="2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0"/>
    </row>
    <row r="30" spans="1:12" ht="17.100000000000001" customHeight="1">
      <c r="A30" s="22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0"/>
    </row>
    <row r="31" spans="1:12" ht="17.100000000000001" customHeight="1">
      <c r="A31" s="22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0"/>
    </row>
    <row r="32" spans="1:12" ht="17.100000000000001" customHeight="1">
      <c r="A32" s="22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0"/>
    </row>
    <row r="33" spans="1:12" ht="17.100000000000001" customHeight="1">
      <c r="A33" s="22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0"/>
    </row>
    <row r="34" spans="1:12" ht="17.100000000000001" customHeight="1">
      <c r="A34" s="1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0"/>
    </row>
    <row r="35" spans="1:12" ht="17.100000000000001" customHeight="1">
      <c r="A35" s="22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0"/>
    </row>
    <row r="36" spans="1:12" ht="17.100000000000001" customHeight="1">
      <c r="A36" s="22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0"/>
    </row>
    <row r="37" spans="1:12" ht="17.100000000000001" customHeight="1">
      <c r="A37" s="2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0"/>
    </row>
    <row r="38" spans="1:12" ht="17.100000000000001" customHeight="1">
      <c r="A38" s="22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0"/>
    </row>
    <row r="39" spans="1:12" ht="17.100000000000001" customHeight="1">
      <c r="A39" s="22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0"/>
    </row>
    <row r="40" spans="1:12" ht="17.100000000000001" customHeight="1">
      <c r="A40" s="2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0"/>
    </row>
    <row r="41" spans="1:12" ht="17.100000000000001" customHeight="1">
      <c r="A41" s="22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0"/>
    </row>
    <row r="42" spans="1:12" ht="17.100000000000001" customHeight="1">
      <c r="A42" s="22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0"/>
    </row>
    <row r="43" spans="1:12" ht="17.100000000000001" customHeight="1">
      <c r="A43" s="22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0"/>
    </row>
    <row r="44" spans="1:12" ht="17.100000000000001" customHeight="1">
      <c r="A44" s="22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0"/>
    </row>
    <row r="45" spans="1:12" ht="17.100000000000001" customHeight="1">
      <c r="A45" s="22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0"/>
    </row>
    <row r="46" spans="1:12" ht="17.100000000000001" customHeight="1">
      <c r="A46" s="22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0"/>
    </row>
    <row r="47" spans="1:12" ht="17.100000000000001" customHeight="1">
      <c r="A47" s="22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0"/>
    </row>
    <row r="48" spans="1:12" ht="17.100000000000001" customHeight="1">
      <c r="A48" s="22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0"/>
    </row>
    <row r="49" spans="1:14" ht="17.100000000000001" customHeight="1">
      <c r="A49" s="22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0"/>
    </row>
    <row r="50" spans="1:14" ht="17.100000000000001" customHeight="1">
      <c r="A50" s="22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0"/>
    </row>
    <row r="51" spans="1:14" ht="17.100000000000001" customHeight="1">
      <c r="A51" s="22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0"/>
    </row>
    <row r="52" spans="1:14" ht="17.100000000000001" customHeight="1">
      <c r="A52" s="22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0"/>
    </row>
    <row r="53" spans="1:14" ht="17.100000000000001" customHeight="1">
      <c r="A53" s="22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0"/>
    </row>
    <row r="54" spans="1:14" ht="17.100000000000001" customHeight="1">
      <c r="A54" s="22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0"/>
    </row>
    <row r="55" spans="1:14" ht="17.100000000000001" customHeight="1">
      <c r="A55" s="22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0"/>
    </row>
    <row r="56" spans="1:14" ht="17.100000000000001" customHeight="1">
      <c r="A56" s="22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0"/>
    </row>
    <row r="57" spans="1:14" ht="17.100000000000001" customHeight="1">
      <c r="A57" s="22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0"/>
    </row>
    <row r="58" spans="1:14" ht="17.100000000000001" customHeight="1">
      <c r="A58" s="22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0"/>
    </row>
    <row r="59" spans="1:14" ht="17.100000000000001" customHeight="1">
      <c r="A59" s="22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0"/>
    </row>
    <row r="60" spans="1:14" ht="17.100000000000001" customHeight="1" thickBot="1">
      <c r="A60" s="23"/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4"/>
    </row>
    <row r="61" spans="1:14">
      <c r="A61" s="32" t="s">
        <v>291</v>
      </c>
      <c r="B61" s="15"/>
      <c r="C61" s="15"/>
      <c r="D61" s="14"/>
      <c r="E61" s="15"/>
      <c r="H61" s="14" t="s">
        <v>15</v>
      </c>
      <c r="I61" s="14"/>
      <c r="J61" s="14"/>
      <c r="K61" s="15"/>
      <c r="L61" s="16"/>
      <c r="M61" s="18"/>
      <c r="N61" s="17"/>
    </row>
    <row r="62" spans="1:14">
      <c r="I62" s="2" t="s">
        <v>16</v>
      </c>
    </row>
    <row r="63" spans="1:14">
      <c r="I63" s="2" t="s">
        <v>17</v>
      </c>
    </row>
    <row r="64" spans="1:14">
      <c r="I64" s="2" t="s">
        <v>18</v>
      </c>
    </row>
    <row r="65" spans="9:9">
      <c r="I65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141"/>
  <sheetViews>
    <sheetView view="pageBreakPreview" topLeftCell="A10" zoomScaleNormal="100" zoomScaleSheetLayoutView="100" workbookViewId="0">
      <selection activeCell="C14" sqref="C14"/>
    </sheetView>
  </sheetViews>
  <sheetFormatPr defaultColWidth="10.28515625" defaultRowHeight="14.25"/>
  <cols>
    <col min="1" max="1" width="15.85546875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16.140625" style="2" customWidth="1"/>
    <col min="12" max="12" width="14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 t="s">
        <v>974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6">
        <v>45660</v>
      </c>
      <c r="B9" s="20" t="s">
        <v>20</v>
      </c>
      <c r="C9" s="21" t="s">
        <v>21</v>
      </c>
      <c r="D9" s="21" t="s">
        <v>22</v>
      </c>
      <c r="E9" s="21" t="s">
        <v>23</v>
      </c>
      <c r="F9" s="21" t="s">
        <v>24</v>
      </c>
      <c r="G9" s="21" t="s">
        <v>25</v>
      </c>
      <c r="H9" s="21" t="s">
        <v>26</v>
      </c>
      <c r="I9" s="21" t="s">
        <v>23</v>
      </c>
      <c r="J9" s="21">
        <v>142</v>
      </c>
      <c r="K9" s="21" t="s">
        <v>27</v>
      </c>
      <c r="L9" s="20" t="s">
        <v>28</v>
      </c>
    </row>
    <row r="10" spans="1:12" ht="17.100000000000001" customHeight="1">
      <c r="A10" s="22"/>
      <c r="B10" s="20" t="s">
        <v>20</v>
      </c>
      <c r="C10" s="21" t="s">
        <v>29</v>
      </c>
      <c r="D10" s="21" t="s">
        <v>30</v>
      </c>
      <c r="E10" s="21" t="s">
        <v>23</v>
      </c>
      <c r="F10" s="21" t="s">
        <v>24</v>
      </c>
      <c r="G10" s="21" t="s">
        <v>25</v>
      </c>
      <c r="H10" s="21" t="s">
        <v>26</v>
      </c>
      <c r="I10" s="21" t="s">
        <v>23</v>
      </c>
      <c r="J10" s="21">
        <v>158</v>
      </c>
      <c r="K10" s="21" t="s">
        <v>27</v>
      </c>
      <c r="L10" s="20" t="s">
        <v>28</v>
      </c>
    </row>
    <row r="11" spans="1:12" ht="17.100000000000001" customHeight="1">
      <c r="A11" s="22"/>
      <c r="B11" s="20" t="s">
        <v>20</v>
      </c>
      <c r="C11" s="21" t="s">
        <v>29</v>
      </c>
      <c r="D11" s="21" t="s">
        <v>30</v>
      </c>
      <c r="E11" s="21" t="s">
        <v>23</v>
      </c>
      <c r="F11" s="21" t="s">
        <v>24</v>
      </c>
      <c r="G11" s="21" t="s">
        <v>25</v>
      </c>
      <c r="H11" s="21" t="s">
        <v>26</v>
      </c>
      <c r="I11" s="21" t="s">
        <v>23</v>
      </c>
      <c r="J11" s="21">
        <f>286-158</f>
        <v>128</v>
      </c>
      <c r="K11" s="21" t="s">
        <v>27</v>
      </c>
      <c r="L11" s="20" t="s">
        <v>31</v>
      </c>
    </row>
    <row r="12" spans="1:12" ht="17.100000000000001" customHeight="1">
      <c r="A12" s="22"/>
      <c r="B12" s="20" t="s">
        <v>20</v>
      </c>
      <c r="C12" s="21" t="s">
        <v>33</v>
      </c>
      <c r="D12" s="21" t="s">
        <v>32</v>
      </c>
      <c r="E12" s="21" t="s">
        <v>23</v>
      </c>
      <c r="F12" s="21" t="s">
        <v>24</v>
      </c>
      <c r="G12" s="21" t="s">
        <v>25</v>
      </c>
      <c r="H12" s="21" t="s">
        <v>26</v>
      </c>
      <c r="I12" s="21" t="s">
        <v>23</v>
      </c>
      <c r="J12" s="21">
        <v>286</v>
      </c>
      <c r="K12" s="21" t="s">
        <v>27</v>
      </c>
      <c r="L12" s="20" t="s">
        <v>36</v>
      </c>
    </row>
    <row r="13" spans="1:12" ht="17.100000000000001" customHeight="1">
      <c r="A13" s="22"/>
      <c r="B13" s="20" t="s">
        <v>20</v>
      </c>
      <c r="C13" s="21" t="s">
        <v>34</v>
      </c>
      <c r="D13" s="21" t="s">
        <v>35</v>
      </c>
      <c r="E13" s="21" t="s">
        <v>23</v>
      </c>
      <c r="F13" s="21" t="s">
        <v>24</v>
      </c>
      <c r="G13" s="21" t="s">
        <v>25</v>
      </c>
      <c r="H13" s="21" t="s">
        <v>26</v>
      </c>
      <c r="I13" s="21" t="s">
        <v>23</v>
      </c>
      <c r="J13" s="21">
        <v>2</v>
      </c>
      <c r="K13" s="21" t="s">
        <v>27</v>
      </c>
      <c r="L13" s="20" t="s">
        <v>36</v>
      </c>
    </row>
    <row r="14" spans="1:12" ht="17.100000000000001" customHeight="1">
      <c r="A14" s="22"/>
      <c r="B14" s="20" t="s">
        <v>20</v>
      </c>
      <c r="C14" s="21" t="s">
        <v>34</v>
      </c>
      <c r="D14" s="21" t="s">
        <v>35</v>
      </c>
      <c r="E14" s="21" t="s">
        <v>23</v>
      </c>
      <c r="F14" s="21" t="s">
        <v>24</v>
      </c>
      <c r="G14" s="21" t="s">
        <v>25</v>
      </c>
      <c r="H14" s="21" t="s">
        <v>26</v>
      </c>
      <c r="I14" s="21" t="s">
        <v>23</v>
      </c>
      <c r="J14" s="21">
        <v>284</v>
      </c>
      <c r="K14" s="21" t="s">
        <v>27</v>
      </c>
      <c r="L14" s="20" t="s">
        <v>31</v>
      </c>
    </row>
    <row r="15" spans="1:12" ht="17.100000000000001" customHeight="1">
      <c r="A15" s="27">
        <v>45661</v>
      </c>
      <c r="B15" s="20" t="s">
        <v>20</v>
      </c>
      <c r="C15" s="21" t="s">
        <v>21</v>
      </c>
      <c r="D15" s="21" t="s">
        <v>37</v>
      </c>
      <c r="E15" s="21" t="s">
        <v>23</v>
      </c>
      <c r="F15" s="21" t="s">
        <v>24</v>
      </c>
      <c r="G15" s="21" t="s">
        <v>25</v>
      </c>
      <c r="H15" s="21" t="s">
        <v>26</v>
      </c>
      <c r="I15" s="21" t="s">
        <v>23</v>
      </c>
      <c r="J15" s="21">
        <v>132</v>
      </c>
      <c r="K15" s="21" t="s">
        <v>27</v>
      </c>
      <c r="L15" s="20" t="s">
        <v>31</v>
      </c>
    </row>
    <row r="16" spans="1:12" ht="17.100000000000001" customHeight="1">
      <c r="A16" s="22"/>
      <c r="B16" s="20" t="s">
        <v>39</v>
      </c>
      <c r="C16" s="21" t="s">
        <v>21</v>
      </c>
      <c r="D16" s="21" t="s">
        <v>38</v>
      </c>
      <c r="E16" s="21" t="s">
        <v>23</v>
      </c>
      <c r="F16" s="21" t="s">
        <v>24</v>
      </c>
      <c r="G16" s="21" t="s">
        <v>25</v>
      </c>
      <c r="H16" s="21" t="s">
        <v>26</v>
      </c>
      <c r="I16" s="21" t="s">
        <v>23</v>
      </c>
      <c r="J16" s="21">
        <v>180</v>
      </c>
      <c r="K16" s="21" t="s">
        <v>27</v>
      </c>
      <c r="L16" s="20" t="s">
        <v>40</v>
      </c>
    </row>
    <row r="17" spans="1:12" ht="17.100000000000001" customHeight="1">
      <c r="A17" s="22"/>
      <c r="B17" s="20" t="s">
        <v>39</v>
      </c>
      <c r="C17" s="21" t="s">
        <v>21</v>
      </c>
      <c r="D17" s="21" t="s">
        <v>38</v>
      </c>
      <c r="E17" s="21" t="s">
        <v>23</v>
      </c>
      <c r="F17" s="21" t="s">
        <v>24</v>
      </c>
      <c r="G17" s="21" t="s">
        <v>25</v>
      </c>
      <c r="H17" s="21" t="s">
        <v>26</v>
      </c>
      <c r="I17" s="21" t="s">
        <v>23</v>
      </c>
      <c r="J17" s="21">
        <v>104</v>
      </c>
      <c r="K17" s="21" t="s">
        <v>27</v>
      </c>
      <c r="L17" s="20" t="s">
        <v>41</v>
      </c>
    </row>
    <row r="18" spans="1:12" ht="17.100000000000001" customHeight="1">
      <c r="A18" s="22"/>
      <c r="B18" s="20" t="s">
        <v>20</v>
      </c>
      <c r="C18" s="21" t="s">
        <v>21</v>
      </c>
      <c r="D18" s="21" t="s">
        <v>37</v>
      </c>
      <c r="E18" s="21" t="s">
        <v>23</v>
      </c>
      <c r="F18" s="21" t="s">
        <v>24</v>
      </c>
      <c r="G18" s="21" t="s">
        <v>25</v>
      </c>
      <c r="H18" s="21" t="s">
        <v>26</v>
      </c>
      <c r="I18" s="21" t="s">
        <v>23</v>
      </c>
      <c r="J18" s="21">
        <v>154</v>
      </c>
      <c r="K18" s="21" t="s">
        <v>27</v>
      </c>
      <c r="L18" s="20" t="s">
        <v>42</v>
      </c>
    </row>
    <row r="19" spans="1:12" ht="17.100000000000001" customHeight="1">
      <c r="A19" s="22"/>
      <c r="B19" s="20" t="s">
        <v>20</v>
      </c>
      <c r="C19" s="21" t="s">
        <v>29</v>
      </c>
      <c r="D19" s="21" t="s">
        <v>49</v>
      </c>
      <c r="E19" s="21" t="s">
        <v>23</v>
      </c>
      <c r="F19" s="21" t="s">
        <v>24</v>
      </c>
      <c r="G19" s="21" t="s">
        <v>25</v>
      </c>
      <c r="H19" s="21" t="s">
        <v>26</v>
      </c>
      <c r="I19" s="21" t="s">
        <v>23</v>
      </c>
      <c r="J19" s="21">
        <v>180</v>
      </c>
      <c r="K19" s="21" t="s">
        <v>27</v>
      </c>
      <c r="L19" s="20" t="s">
        <v>42</v>
      </c>
    </row>
    <row r="20" spans="1:12" ht="17.100000000000001" customHeight="1">
      <c r="A20" s="22"/>
      <c r="B20" s="20" t="s">
        <v>43</v>
      </c>
      <c r="C20" s="21" t="s">
        <v>21</v>
      </c>
      <c r="D20" s="21" t="s">
        <v>44</v>
      </c>
      <c r="E20" s="21" t="s">
        <v>47</v>
      </c>
      <c r="F20" s="21" t="s">
        <v>48</v>
      </c>
      <c r="G20" s="21" t="s">
        <v>23</v>
      </c>
      <c r="H20" s="21" t="s">
        <v>23</v>
      </c>
      <c r="I20" s="21" t="s">
        <v>23</v>
      </c>
      <c r="J20" s="21">
        <v>150</v>
      </c>
      <c r="K20" s="21" t="s">
        <v>45</v>
      </c>
      <c r="L20" s="20" t="s">
        <v>46</v>
      </c>
    </row>
    <row r="21" spans="1:12" ht="17.100000000000001" customHeight="1">
      <c r="A21" s="27">
        <v>45663</v>
      </c>
      <c r="B21" s="20" t="s">
        <v>20</v>
      </c>
      <c r="C21" s="21" t="s">
        <v>21</v>
      </c>
      <c r="D21" s="21" t="s">
        <v>49</v>
      </c>
      <c r="E21" s="21" t="s">
        <v>23</v>
      </c>
      <c r="F21" s="21" t="s">
        <v>24</v>
      </c>
      <c r="G21" s="21" t="s">
        <v>25</v>
      </c>
      <c r="H21" s="21" t="s">
        <v>26</v>
      </c>
      <c r="I21" s="21" t="s">
        <v>23</v>
      </c>
      <c r="J21" s="21">
        <v>82</v>
      </c>
      <c r="K21" s="21" t="s">
        <v>51</v>
      </c>
      <c r="L21" s="20" t="s">
        <v>42</v>
      </c>
    </row>
    <row r="22" spans="1:12" ht="17.100000000000001" customHeight="1">
      <c r="A22" s="22"/>
      <c r="B22" s="20" t="s">
        <v>20</v>
      </c>
      <c r="C22" s="21" t="s">
        <v>21</v>
      </c>
      <c r="D22" s="21" t="s">
        <v>49</v>
      </c>
      <c r="E22" s="21" t="s">
        <v>23</v>
      </c>
      <c r="F22" s="21" t="s">
        <v>24</v>
      </c>
      <c r="G22" s="21" t="s">
        <v>25</v>
      </c>
      <c r="H22" s="21" t="s">
        <v>26</v>
      </c>
      <c r="I22" s="21" t="s">
        <v>23</v>
      </c>
      <c r="J22" s="21">
        <v>26</v>
      </c>
      <c r="K22" s="21" t="s">
        <v>51</v>
      </c>
      <c r="L22" s="20" t="s">
        <v>50</v>
      </c>
    </row>
    <row r="23" spans="1:12" ht="17.100000000000001" customHeight="1">
      <c r="A23" s="22"/>
      <c r="B23" s="20" t="s">
        <v>20</v>
      </c>
      <c r="C23" s="21" t="s">
        <v>29</v>
      </c>
      <c r="D23" s="21" t="s">
        <v>52</v>
      </c>
      <c r="E23" s="21" t="s">
        <v>23</v>
      </c>
      <c r="F23" s="21" t="s">
        <v>24</v>
      </c>
      <c r="G23" s="21" t="s">
        <v>25</v>
      </c>
      <c r="H23" s="21" t="s">
        <v>26</v>
      </c>
      <c r="I23" s="21" t="s">
        <v>23</v>
      </c>
      <c r="J23" s="21">
        <v>150</v>
      </c>
      <c r="K23" s="21" t="s">
        <v>51</v>
      </c>
      <c r="L23" s="20" t="s">
        <v>50</v>
      </c>
    </row>
    <row r="24" spans="1:12" ht="17.100000000000001" customHeight="1">
      <c r="A24" s="22"/>
      <c r="B24" s="20" t="s">
        <v>43</v>
      </c>
      <c r="C24" s="21" t="s">
        <v>21</v>
      </c>
      <c r="D24" s="21" t="s">
        <v>48</v>
      </c>
      <c r="E24" s="21" t="s">
        <v>47</v>
      </c>
      <c r="F24" s="21" t="s">
        <v>48</v>
      </c>
      <c r="G24" s="21" t="s">
        <v>23</v>
      </c>
      <c r="H24" s="21" t="s">
        <v>23</v>
      </c>
      <c r="I24" s="21" t="s">
        <v>23</v>
      </c>
      <c r="J24" s="21">
        <v>30</v>
      </c>
      <c r="K24" s="21" t="s">
        <v>53</v>
      </c>
      <c r="L24" s="20" t="s">
        <v>46</v>
      </c>
    </row>
    <row r="25" spans="1:12" ht="17.100000000000001" customHeight="1">
      <c r="A25" s="22"/>
      <c r="B25" s="20" t="s">
        <v>43</v>
      </c>
      <c r="C25" s="21" t="s">
        <v>21</v>
      </c>
      <c r="D25" s="21" t="s">
        <v>48</v>
      </c>
      <c r="E25" s="21" t="s">
        <v>47</v>
      </c>
      <c r="F25" s="21" t="s">
        <v>48</v>
      </c>
      <c r="G25" s="21" t="s">
        <v>23</v>
      </c>
      <c r="H25" s="21" t="s">
        <v>23</v>
      </c>
      <c r="I25" s="21" t="s">
        <v>23</v>
      </c>
      <c r="J25" s="21" t="s">
        <v>58</v>
      </c>
      <c r="K25" s="21" t="s">
        <v>51</v>
      </c>
      <c r="L25" s="20" t="s">
        <v>46</v>
      </c>
    </row>
    <row r="26" spans="1:12" ht="17.100000000000001" customHeight="1">
      <c r="A26" s="22"/>
      <c r="B26" s="20" t="s">
        <v>43</v>
      </c>
      <c r="C26" s="21" t="s">
        <v>21</v>
      </c>
      <c r="D26" s="21" t="s">
        <v>48</v>
      </c>
      <c r="E26" s="21" t="s">
        <v>47</v>
      </c>
      <c r="F26" s="21" t="s">
        <v>48</v>
      </c>
      <c r="G26" s="21" t="s">
        <v>23</v>
      </c>
      <c r="H26" s="21" t="s">
        <v>23</v>
      </c>
      <c r="I26" s="21" t="s">
        <v>23</v>
      </c>
      <c r="J26" s="21">
        <v>20</v>
      </c>
      <c r="K26" s="21" t="s">
        <v>51</v>
      </c>
      <c r="L26" s="20" t="s">
        <v>54</v>
      </c>
    </row>
    <row r="27" spans="1:12" ht="17.100000000000001" customHeight="1">
      <c r="A27" s="22"/>
      <c r="B27" s="20" t="s">
        <v>55</v>
      </c>
      <c r="C27" s="21" t="s">
        <v>21</v>
      </c>
      <c r="D27" s="21" t="s">
        <v>48</v>
      </c>
      <c r="E27" s="21" t="s">
        <v>47</v>
      </c>
      <c r="F27" s="21" t="s">
        <v>57</v>
      </c>
      <c r="G27" s="21" t="s">
        <v>23</v>
      </c>
      <c r="H27" s="21" t="s">
        <v>23</v>
      </c>
      <c r="I27" s="21" t="s">
        <v>23</v>
      </c>
      <c r="J27" s="21">
        <v>50</v>
      </c>
      <c r="K27" s="21" t="s">
        <v>51</v>
      </c>
      <c r="L27" s="20" t="s">
        <v>56</v>
      </c>
    </row>
    <row r="28" spans="1:12" ht="17.100000000000001" customHeight="1">
      <c r="A28" s="27">
        <v>45665</v>
      </c>
      <c r="B28" s="20" t="s">
        <v>43</v>
      </c>
      <c r="C28" s="21" t="s">
        <v>21</v>
      </c>
      <c r="D28" s="21" t="s">
        <v>59</v>
      </c>
      <c r="E28" s="21" t="s">
        <v>60</v>
      </c>
      <c r="F28" s="21" t="s">
        <v>61</v>
      </c>
      <c r="G28" s="21" t="s">
        <v>23</v>
      </c>
      <c r="H28" s="21" t="s">
        <v>23</v>
      </c>
      <c r="I28" s="21" t="s">
        <v>23</v>
      </c>
      <c r="J28" s="21">
        <v>320</v>
      </c>
      <c r="K28" s="21" t="s">
        <v>62</v>
      </c>
      <c r="L28" s="20" t="s">
        <v>63</v>
      </c>
    </row>
    <row r="29" spans="1:12" ht="17.100000000000001" customHeight="1">
      <c r="A29" s="27">
        <v>45667</v>
      </c>
      <c r="B29" s="20" t="s">
        <v>43</v>
      </c>
      <c r="C29" s="21" t="s">
        <v>21</v>
      </c>
      <c r="D29" s="21" t="s">
        <v>65</v>
      </c>
      <c r="E29" s="21" t="s">
        <v>60</v>
      </c>
      <c r="F29" s="21" t="s">
        <v>61</v>
      </c>
      <c r="G29" s="21" t="s">
        <v>23</v>
      </c>
      <c r="H29" s="21" t="s">
        <v>23</v>
      </c>
      <c r="I29" s="21" t="s">
        <v>23</v>
      </c>
      <c r="J29" s="21">
        <v>58</v>
      </c>
      <c r="K29" s="21" t="s">
        <v>64</v>
      </c>
      <c r="L29" s="20" t="s">
        <v>63</v>
      </c>
    </row>
    <row r="30" spans="1:12" ht="17.100000000000001" customHeight="1">
      <c r="A30" s="27">
        <v>45667</v>
      </c>
      <c r="B30" s="20" t="s">
        <v>43</v>
      </c>
      <c r="C30" s="21" t="s">
        <v>21</v>
      </c>
      <c r="D30" s="21" t="s">
        <v>65</v>
      </c>
      <c r="E30" s="21" t="s">
        <v>60</v>
      </c>
      <c r="F30" s="21" t="s">
        <v>66</v>
      </c>
      <c r="G30" s="21" t="s">
        <v>23</v>
      </c>
      <c r="H30" s="21" t="s">
        <v>23</v>
      </c>
      <c r="I30" s="21" t="s">
        <v>23</v>
      </c>
      <c r="J30" s="21">
        <v>54</v>
      </c>
      <c r="K30" s="21" t="s">
        <v>64</v>
      </c>
      <c r="L30" s="20" t="s">
        <v>67</v>
      </c>
    </row>
    <row r="31" spans="1:12" ht="17.100000000000001" customHeight="1">
      <c r="A31" s="27">
        <v>45667</v>
      </c>
      <c r="B31" s="20" t="s">
        <v>43</v>
      </c>
      <c r="C31" s="21" t="s">
        <v>29</v>
      </c>
      <c r="D31" s="21" t="s">
        <v>68</v>
      </c>
      <c r="E31" s="21" t="s">
        <v>60</v>
      </c>
      <c r="F31" s="21" t="s">
        <v>66</v>
      </c>
      <c r="G31" s="21" t="s">
        <v>23</v>
      </c>
      <c r="H31" s="21" t="s">
        <v>23</v>
      </c>
      <c r="I31" s="21" t="s">
        <v>23</v>
      </c>
      <c r="J31" s="21">
        <v>18</v>
      </c>
      <c r="K31" s="21" t="s">
        <v>64</v>
      </c>
      <c r="L31" s="20" t="s">
        <v>67</v>
      </c>
    </row>
    <row r="32" spans="1:12" ht="17.100000000000001" customHeight="1">
      <c r="A32" s="27">
        <v>45667</v>
      </c>
      <c r="B32" s="20" t="s">
        <v>43</v>
      </c>
      <c r="C32" s="21" t="s">
        <v>29</v>
      </c>
      <c r="D32" s="21" t="s">
        <v>69</v>
      </c>
      <c r="E32" s="21" t="s">
        <v>60</v>
      </c>
      <c r="F32" s="21" t="s">
        <v>70</v>
      </c>
      <c r="G32" s="21" t="s">
        <v>23</v>
      </c>
      <c r="H32" s="21" t="s">
        <v>23</v>
      </c>
      <c r="I32" s="21" t="s">
        <v>23</v>
      </c>
      <c r="J32" s="21">
        <v>108</v>
      </c>
      <c r="K32" s="21" t="s">
        <v>64</v>
      </c>
      <c r="L32" s="20" t="s">
        <v>71</v>
      </c>
    </row>
    <row r="33" spans="1:12" ht="17.100000000000001" customHeight="1">
      <c r="A33" s="27">
        <v>45667</v>
      </c>
      <c r="B33" s="20" t="s">
        <v>43</v>
      </c>
      <c r="C33" s="21" t="s">
        <v>29</v>
      </c>
      <c r="D33" s="21" t="s">
        <v>69</v>
      </c>
      <c r="E33" s="21" t="s">
        <v>60</v>
      </c>
      <c r="F33" s="21" t="s">
        <v>70</v>
      </c>
      <c r="G33" s="21" t="s">
        <v>23</v>
      </c>
      <c r="H33" s="21" t="s">
        <v>23</v>
      </c>
      <c r="I33" s="21" t="s">
        <v>23</v>
      </c>
      <c r="J33" s="21">
        <v>114</v>
      </c>
      <c r="K33" s="21" t="s">
        <v>64</v>
      </c>
      <c r="L33" s="20" t="s">
        <v>72</v>
      </c>
    </row>
    <row r="34" spans="1:12" ht="17.100000000000001" customHeight="1">
      <c r="A34" s="27">
        <v>45667</v>
      </c>
      <c r="B34" s="20" t="s">
        <v>43</v>
      </c>
      <c r="C34" s="21" t="s">
        <v>33</v>
      </c>
      <c r="D34" s="21" t="s">
        <v>73</v>
      </c>
      <c r="E34" s="21" t="s">
        <v>60</v>
      </c>
      <c r="F34" s="21" t="s">
        <v>74</v>
      </c>
      <c r="G34" s="21" t="s">
        <v>23</v>
      </c>
      <c r="H34" s="21" t="s">
        <v>23</v>
      </c>
      <c r="I34" s="21" t="s">
        <v>23</v>
      </c>
      <c r="J34" s="21">
        <v>140</v>
      </c>
      <c r="K34" s="21" t="s">
        <v>64</v>
      </c>
      <c r="L34" s="20" t="s">
        <v>75</v>
      </c>
    </row>
    <row r="35" spans="1:12" ht="17.100000000000001" customHeight="1">
      <c r="A35" s="27">
        <v>45670</v>
      </c>
      <c r="B35" s="20" t="s">
        <v>55</v>
      </c>
      <c r="C35" s="21" t="s">
        <v>21</v>
      </c>
      <c r="D35" s="21" t="s">
        <v>65</v>
      </c>
      <c r="E35" s="21" t="s">
        <v>60</v>
      </c>
      <c r="F35" s="21" t="s">
        <v>76</v>
      </c>
      <c r="G35" s="21" t="s">
        <v>23</v>
      </c>
      <c r="H35" s="21" t="s">
        <v>23</v>
      </c>
      <c r="I35" s="21" t="s">
        <v>23</v>
      </c>
      <c r="J35" s="21">
        <v>72</v>
      </c>
      <c r="K35" s="21" t="s">
        <v>77</v>
      </c>
      <c r="L35" s="20" t="s">
        <v>78</v>
      </c>
    </row>
    <row r="36" spans="1:12" ht="17.100000000000001" customHeight="1">
      <c r="A36" s="27">
        <v>45670</v>
      </c>
      <c r="B36" s="20" t="s">
        <v>43</v>
      </c>
      <c r="C36" s="21" t="s">
        <v>21</v>
      </c>
      <c r="D36" s="21" t="s">
        <v>73</v>
      </c>
      <c r="E36" s="21" t="s">
        <v>79</v>
      </c>
      <c r="F36" s="21" t="s">
        <v>80</v>
      </c>
      <c r="G36" s="21" t="s">
        <v>23</v>
      </c>
      <c r="H36" s="21" t="s">
        <v>23</v>
      </c>
      <c r="I36" s="21" t="s">
        <v>23</v>
      </c>
      <c r="J36" s="21">
        <v>68</v>
      </c>
      <c r="K36" s="21" t="s">
        <v>77</v>
      </c>
      <c r="L36" s="20" t="s">
        <v>75</v>
      </c>
    </row>
    <row r="37" spans="1:12" ht="17.100000000000001" customHeight="1">
      <c r="A37" s="27">
        <v>45670</v>
      </c>
      <c r="B37" s="20" t="s">
        <v>81</v>
      </c>
      <c r="C37" s="21" t="s">
        <v>21</v>
      </c>
      <c r="D37" s="21" t="s">
        <v>82</v>
      </c>
      <c r="E37" s="21" t="s">
        <v>79</v>
      </c>
      <c r="F37" s="21" t="s">
        <v>83</v>
      </c>
      <c r="G37" s="21" t="s">
        <v>23</v>
      </c>
      <c r="H37" s="21" t="s">
        <v>23</v>
      </c>
      <c r="I37" s="21" t="s">
        <v>23</v>
      </c>
      <c r="J37" s="21">
        <v>252</v>
      </c>
      <c r="K37" s="21" t="s">
        <v>77</v>
      </c>
      <c r="L37" s="20" t="s">
        <v>84</v>
      </c>
    </row>
    <row r="38" spans="1:12" ht="17.100000000000001" customHeight="1">
      <c r="A38" s="27">
        <v>45671</v>
      </c>
      <c r="B38" s="20" t="s">
        <v>55</v>
      </c>
      <c r="C38" s="21" t="s">
        <v>21</v>
      </c>
      <c r="D38" s="21" t="s">
        <v>85</v>
      </c>
      <c r="E38" s="21" t="s">
        <v>60</v>
      </c>
      <c r="F38" s="21" t="s">
        <v>86</v>
      </c>
      <c r="G38" s="21" t="s">
        <v>23</v>
      </c>
      <c r="H38" s="21" t="s">
        <v>23</v>
      </c>
      <c r="I38" s="21" t="s">
        <v>23</v>
      </c>
      <c r="J38" s="21">
        <v>72</v>
      </c>
      <c r="K38" s="21" t="s">
        <v>77</v>
      </c>
      <c r="L38" s="20" t="s">
        <v>87</v>
      </c>
    </row>
    <row r="39" spans="1:12" ht="17.100000000000001" customHeight="1">
      <c r="A39" s="27">
        <v>45671</v>
      </c>
      <c r="B39" s="20" t="s">
        <v>81</v>
      </c>
      <c r="C39" s="21" t="s">
        <v>21</v>
      </c>
      <c r="D39" s="21" t="s">
        <v>85</v>
      </c>
      <c r="E39" s="21" t="s">
        <v>79</v>
      </c>
      <c r="F39" s="21" t="s">
        <v>86</v>
      </c>
      <c r="G39" s="21" t="s">
        <v>23</v>
      </c>
      <c r="H39" s="21" t="s">
        <v>23</v>
      </c>
      <c r="I39" s="21" t="s">
        <v>23</v>
      </c>
      <c r="J39" s="21">
        <v>68</v>
      </c>
      <c r="K39" s="21" t="s">
        <v>77</v>
      </c>
      <c r="L39" s="20" t="s">
        <v>88</v>
      </c>
    </row>
    <row r="40" spans="1:12" ht="17.100000000000001" customHeight="1">
      <c r="A40" s="27">
        <v>45671</v>
      </c>
      <c r="B40" s="20" t="s">
        <v>43</v>
      </c>
      <c r="C40" s="21" t="s">
        <v>21</v>
      </c>
      <c r="D40" s="21" t="s">
        <v>89</v>
      </c>
      <c r="E40" s="21" t="s">
        <v>60</v>
      </c>
      <c r="F40" s="21" t="s">
        <v>91</v>
      </c>
      <c r="G40" s="21" t="s">
        <v>23</v>
      </c>
      <c r="H40" s="21" t="s">
        <v>23</v>
      </c>
      <c r="I40" s="21" t="s">
        <v>23</v>
      </c>
      <c r="J40" s="21">
        <v>26</v>
      </c>
      <c r="K40" s="21" t="s">
        <v>77</v>
      </c>
      <c r="L40" s="20" t="s">
        <v>90</v>
      </c>
    </row>
    <row r="41" spans="1:12" ht="17.100000000000001" customHeight="1">
      <c r="A41" s="27">
        <v>45671</v>
      </c>
      <c r="B41" s="20" t="s">
        <v>43</v>
      </c>
      <c r="C41" s="21" t="s">
        <v>21</v>
      </c>
      <c r="D41" s="21" t="s">
        <v>89</v>
      </c>
      <c r="E41" s="21" t="s">
        <v>79</v>
      </c>
      <c r="F41" s="21" t="s">
        <v>91</v>
      </c>
      <c r="G41" s="21" t="s">
        <v>23</v>
      </c>
      <c r="H41" s="21" t="s">
        <v>23</v>
      </c>
      <c r="I41" s="21" t="s">
        <v>23</v>
      </c>
      <c r="J41" s="21">
        <v>192</v>
      </c>
      <c r="K41" s="21" t="s">
        <v>77</v>
      </c>
      <c r="L41" s="20" t="s">
        <v>92</v>
      </c>
    </row>
    <row r="42" spans="1:12" ht="17.100000000000001" customHeight="1">
      <c r="A42" s="27">
        <v>45673</v>
      </c>
      <c r="B42" s="20" t="s">
        <v>43</v>
      </c>
      <c r="C42" s="21" t="s">
        <v>21</v>
      </c>
      <c r="D42" s="21" t="s">
        <v>93</v>
      </c>
      <c r="E42" s="21" t="s">
        <v>79</v>
      </c>
      <c r="F42" s="21" t="s">
        <v>94</v>
      </c>
      <c r="G42" s="21" t="s">
        <v>23</v>
      </c>
      <c r="H42" s="21" t="s">
        <v>23</v>
      </c>
      <c r="I42" s="21" t="s">
        <v>23</v>
      </c>
      <c r="J42" s="21">
        <v>117</v>
      </c>
      <c r="K42" s="21" t="s">
        <v>95</v>
      </c>
      <c r="L42" s="20" t="s">
        <v>96</v>
      </c>
    </row>
    <row r="43" spans="1:12" ht="17.100000000000001" customHeight="1">
      <c r="A43" s="27">
        <v>45673</v>
      </c>
      <c r="B43" s="20" t="s">
        <v>43</v>
      </c>
      <c r="C43" s="21" t="s">
        <v>21</v>
      </c>
      <c r="D43" s="21" t="s">
        <v>93</v>
      </c>
      <c r="E43" s="21" t="s">
        <v>79</v>
      </c>
      <c r="F43" s="21" t="s">
        <v>94</v>
      </c>
      <c r="G43" s="21" t="s">
        <v>23</v>
      </c>
      <c r="H43" s="21" t="s">
        <v>23</v>
      </c>
      <c r="I43" s="21" t="s">
        <v>23</v>
      </c>
      <c r="J43" s="21">
        <v>123</v>
      </c>
      <c r="K43" s="21" t="s">
        <v>95</v>
      </c>
      <c r="L43" s="20" t="s">
        <v>97</v>
      </c>
    </row>
    <row r="44" spans="1:12" ht="17.100000000000001" customHeight="1">
      <c r="A44" s="27">
        <v>45673</v>
      </c>
      <c r="B44" s="20" t="s">
        <v>43</v>
      </c>
      <c r="C44" s="21" t="s">
        <v>29</v>
      </c>
      <c r="D44" s="21" t="s">
        <v>98</v>
      </c>
      <c r="E44" s="21" t="s">
        <v>79</v>
      </c>
      <c r="F44" s="21" t="s">
        <v>99</v>
      </c>
      <c r="G44" s="21" t="s">
        <v>23</v>
      </c>
      <c r="H44" s="21" t="s">
        <v>23</v>
      </c>
      <c r="I44" s="21" t="s">
        <v>23</v>
      </c>
      <c r="J44" s="21">
        <v>241</v>
      </c>
      <c r="K44" s="21" t="s">
        <v>95</v>
      </c>
      <c r="L44" s="20" t="s">
        <v>97</v>
      </c>
    </row>
    <row r="45" spans="1:12" ht="17.100000000000001" customHeight="1">
      <c r="A45" s="27">
        <v>45673</v>
      </c>
      <c r="B45" s="20" t="s">
        <v>43</v>
      </c>
      <c r="C45" s="21" t="s">
        <v>33</v>
      </c>
      <c r="D45" s="21" t="s">
        <v>101</v>
      </c>
      <c r="E45" s="21" t="s">
        <v>79</v>
      </c>
      <c r="F45" s="21"/>
      <c r="G45" s="21" t="s">
        <v>23</v>
      </c>
      <c r="H45" s="21" t="s">
        <v>23</v>
      </c>
      <c r="I45" s="21" t="s">
        <v>23</v>
      </c>
      <c r="J45" s="21">
        <v>65</v>
      </c>
      <c r="K45" s="21" t="s">
        <v>95</v>
      </c>
      <c r="L45" s="20" t="s">
        <v>100</v>
      </c>
    </row>
    <row r="46" spans="1:12" ht="17.100000000000001" customHeight="1">
      <c r="A46" s="19" t="s">
        <v>102</v>
      </c>
      <c r="B46" s="20" t="s">
        <v>43</v>
      </c>
      <c r="C46" s="21" t="s">
        <v>21</v>
      </c>
      <c r="D46" s="21" t="s">
        <v>101</v>
      </c>
      <c r="E46" s="21" t="s">
        <v>79</v>
      </c>
      <c r="F46" s="21" t="s">
        <v>103</v>
      </c>
      <c r="G46" s="21" t="s">
        <v>23</v>
      </c>
      <c r="H46" s="21" t="s">
        <v>23</v>
      </c>
      <c r="I46" s="21" t="s">
        <v>23</v>
      </c>
      <c r="J46" s="21">
        <v>174</v>
      </c>
      <c r="K46" s="21" t="s">
        <v>108</v>
      </c>
      <c r="L46" s="20" t="s">
        <v>100</v>
      </c>
    </row>
    <row r="47" spans="1:12" ht="17.100000000000001" customHeight="1">
      <c r="A47" s="22"/>
      <c r="B47" s="20" t="s">
        <v>43</v>
      </c>
      <c r="C47" s="21" t="s">
        <v>29</v>
      </c>
      <c r="D47" s="21" t="s">
        <v>104</v>
      </c>
      <c r="E47" s="21" t="s">
        <v>79</v>
      </c>
      <c r="F47" s="21" t="s">
        <v>103</v>
      </c>
      <c r="G47" s="21" t="s">
        <v>23</v>
      </c>
      <c r="H47" s="21" t="s">
        <v>23</v>
      </c>
      <c r="I47" s="21" t="s">
        <v>23</v>
      </c>
      <c r="J47" s="21">
        <v>125</v>
      </c>
      <c r="K47" s="21" t="s">
        <v>108</v>
      </c>
      <c r="L47" s="20" t="s">
        <v>100</v>
      </c>
    </row>
    <row r="48" spans="1:12" ht="17.100000000000001" customHeight="1">
      <c r="A48" s="22"/>
      <c r="B48" s="20" t="s">
        <v>43</v>
      </c>
      <c r="C48" s="21" t="s">
        <v>29</v>
      </c>
      <c r="D48" s="21" t="s">
        <v>104</v>
      </c>
      <c r="E48" s="21" t="s">
        <v>79</v>
      </c>
      <c r="F48" s="21" t="s">
        <v>103</v>
      </c>
      <c r="G48" s="21" t="s">
        <v>23</v>
      </c>
      <c r="H48" s="21" t="s">
        <v>23</v>
      </c>
      <c r="I48" s="21" t="s">
        <v>23</v>
      </c>
      <c r="J48" s="21">
        <f>239-125</f>
        <v>114</v>
      </c>
      <c r="K48" s="21" t="s">
        <v>108</v>
      </c>
      <c r="L48" s="20" t="s">
        <v>105</v>
      </c>
    </row>
    <row r="49" spans="1:12" ht="17.100000000000001" customHeight="1">
      <c r="A49" s="22"/>
      <c r="B49" s="20" t="s">
        <v>43</v>
      </c>
      <c r="C49" s="21" t="s">
        <v>33</v>
      </c>
      <c r="D49" s="21" t="s">
        <v>107</v>
      </c>
      <c r="E49" s="21" t="s">
        <v>79</v>
      </c>
      <c r="F49" s="21" t="s">
        <v>103</v>
      </c>
      <c r="G49" s="21" t="s">
        <v>23</v>
      </c>
      <c r="H49" s="21" t="s">
        <v>23</v>
      </c>
      <c r="I49" s="21" t="s">
        <v>23</v>
      </c>
      <c r="J49" s="21">
        <v>94</v>
      </c>
      <c r="K49" s="21" t="s">
        <v>108</v>
      </c>
      <c r="L49" s="20" t="s">
        <v>105</v>
      </c>
    </row>
    <row r="50" spans="1:12" ht="17.100000000000001" customHeight="1">
      <c r="A50" s="22"/>
      <c r="B50" s="20" t="s">
        <v>43</v>
      </c>
      <c r="C50" s="21" t="s">
        <v>33</v>
      </c>
      <c r="D50" s="21" t="s">
        <v>107</v>
      </c>
      <c r="E50" s="21" t="s">
        <v>79</v>
      </c>
      <c r="F50" s="21" t="s">
        <v>103</v>
      </c>
      <c r="G50" s="21" t="s">
        <v>23</v>
      </c>
      <c r="H50" s="21" t="s">
        <v>23</v>
      </c>
      <c r="I50" s="21" t="s">
        <v>23</v>
      </c>
      <c r="J50" s="21">
        <v>146</v>
      </c>
      <c r="K50" s="21" t="s">
        <v>108</v>
      </c>
      <c r="L50" s="20" t="s">
        <v>106</v>
      </c>
    </row>
    <row r="51" spans="1:12" ht="17.100000000000001" customHeight="1">
      <c r="A51" s="22"/>
      <c r="B51" s="20" t="s">
        <v>43</v>
      </c>
      <c r="C51" s="21" t="s">
        <v>34</v>
      </c>
      <c r="D51" s="21" t="s">
        <v>109</v>
      </c>
      <c r="E51" s="21" t="s">
        <v>79</v>
      </c>
      <c r="F51" s="21" t="s">
        <v>103</v>
      </c>
      <c r="G51" s="21" t="s">
        <v>23</v>
      </c>
      <c r="H51" s="21" t="s">
        <v>23</v>
      </c>
      <c r="I51" s="21" t="s">
        <v>23</v>
      </c>
      <c r="J51" s="21">
        <v>46</v>
      </c>
      <c r="K51" s="21" t="s">
        <v>108</v>
      </c>
      <c r="L51" s="20" t="s">
        <v>106</v>
      </c>
    </row>
    <row r="52" spans="1:12" ht="17.100000000000001" customHeight="1">
      <c r="A52" s="27">
        <v>45677</v>
      </c>
      <c r="B52" s="20" t="s">
        <v>110</v>
      </c>
      <c r="C52" s="21" t="s">
        <v>21</v>
      </c>
      <c r="D52" s="21" t="s">
        <v>111</v>
      </c>
      <c r="E52" s="21" t="s">
        <v>112</v>
      </c>
      <c r="F52" s="21" t="s">
        <v>113</v>
      </c>
      <c r="G52" s="21" t="s">
        <v>23</v>
      </c>
      <c r="H52" s="21" t="s">
        <v>23</v>
      </c>
      <c r="I52" s="21" t="s">
        <v>23</v>
      </c>
      <c r="J52" s="21">
        <v>67</v>
      </c>
      <c r="K52" s="21" t="s">
        <v>114</v>
      </c>
      <c r="L52" s="20" t="s">
        <v>115</v>
      </c>
    </row>
    <row r="53" spans="1:12" ht="17.100000000000001" customHeight="1">
      <c r="A53" s="27">
        <v>45677</v>
      </c>
      <c r="B53" s="20" t="s">
        <v>116</v>
      </c>
      <c r="C53" s="21" t="s">
        <v>21</v>
      </c>
      <c r="D53" s="21" t="s">
        <v>117</v>
      </c>
      <c r="E53" s="21" t="s">
        <v>112</v>
      </c>
      <c r="F53" s="21" t="s">
        <v>118</v>
      </c>
      <c r="G53" s="21" t="s">
        <v>23</v>
      </c>
      <c r="H53" s="21" t="s">
        <v>23</v>
      </c>
      <c r="I53" s="21" t="s">
        <v>23</v>
      </c>
      <c r="J53" s="21">
        <v>252</v>
      </c>
      <c r="K53" s="21" t="s">
        <v>114</v>
      </c>
      <c r="L53" s="20" t="s">
        <v>119</v>
      </c>
    </row>
    <row r="54" spans="1:12" ht="17.100000000000001" customHeight="1">
      <c r="A54" s="27">
        <v>45677</v>
      </c>
      <c r="B54" s="20" t="s">
        <v>20</v>
      </c>
      <c r="C54" s="21" t="s">
        <v>21</v>
      </c>
      <c r="D54" s="21" t="s">
        <v>52</v>
      </c>
      <c r="E54" s="21" t="s">
        <v>23</v>
      </c>
      <c r="F54" s="21" t="s">
        <v>120</v>
      </c>
      <c r="G54" s="21" t="s">
        <v>25</v>
      </c>
      <c r="H54" s="21" t="s">
        <v>23</v>
      </c>
      <c r="I54" s="21" t="s">
        <v>23</v>
      </c>
      <c r="J54" s="21">
        <v>77</v>
      </c>
      <c r="K54" s="21" t="s">
        <v>114</v>
      </c>
      <c r="L54" s="20" t="s">
        <v>50</v>
      </c>
    </row>
    <row r="55" spans="1:12" ht="17.100000000000001" customHeight="1">
      <c r="A55" s="27">
        <v>45677</v>
      </c>
      <c r="B55" s="20" t="s">
        <v>20</v>
      </c>
      <c r="C55" s="21" t="s">
        <v>29</v>
      </c>
      <c r="D55" s="21" t="s">
        <v>121</v>
      </c>
      <c r="E55" s="21" t="s">
        <v>23</v>
      </c>
      <c r="F55" s="21" t="s">
        <v>120</v>
      </c>
      <c r="G55" s="21" t="s">
        <v>25</v>
      </c>
      <c r="H55" s="21" t="s">
        <v>23</v>
      </c>
      <c r="I55" s="21" t="s">
        <v>23</v>
      </c>
      <c r="J55" s="21">
        <v>286</v>
      </c>
      <c r="K55" s="21" t="s">
        <v>114</v>
      </c>
      <c r="L55" s="20" t="s">
        <v>50</v>
      </c>
    </row>
    <row r="56" spans="1:12" ht="17.100000000000001" customHeight="1">
      <c r="A56" s="27">
        <v>45677</v>
      </c>
      <c r="B56" s="20" t="s">
        <v>20</v>
      </c>
      <c r="C56" s="21" t="s">
        <v>33</v>
      </c>
      <c r="D56" s="21" t="s">
        <v>122</v>
      </c>
      <c r="E56" s="21" t="s">
        <v>23</v>
      </c>
      <c r="F56" s="21" t="s">
        <v>120</v>
      </c>
      <c r="G56" s="21" t="s">
        <v>25</v>
      </c>
      <c r="H56" s="21" t="s">
        <v>23</v>
      </c>
      <c r="I56" s="21" t="s">
        <v>23</v>
      </c>
      <c r="J56" s="21">
        <v>182</v>
      </c>
      <c r="K56" s="21" t="s">
        <v>114</v>
      </c>
      <c r="L56" s="20" t="s">
        <v>50</v>
      </c>
    </row>
    <row r="57" spans="1:12" ht="17.100000000000001" customHeight="1">
      <c r="A57" s="27">
        <v>45677</v>
      </c>
      <c r="B57" s="20" t="s">
        <v>20</v>
      </c>
      <c r="C57" s="21" t="s">
        <v>33</v>
      </c>
      <c r="D57" s="21" t="s">
        <v>122</v>
      </c>
      <c r="E57" s="21" t="s">
        <v>23</v>
      </c>
      <c r="F57" s="21" t="s">
        <v>120</v>
      </c>
      <c r="G57" s="21" t="s">
        <v>25</v>
      </c>
      <c r="H57" s="21" t="s">
        <v>23</v>
      </c>
      <c r="I57" s="21" t="s">
        <v>23</v>
      </c>
      <c r="J57" s="21">
        <v>4</v>
      </c>
      <c r="K57" s="21" t="s">
        <v>114</v>
      </c>
      <c r="L57" s="20" t="s">
        <v>123</v>
      </c>
    </row>
    <row r="58" spans="1:12" ht="17.100000000000001" customHeight="1">
      <c r="A58" s="27">
        <v>45677</v>
      </c>
      <c r="B58" s="20" t="s">
        <v>124</v>
      </c>
      <c r="C58" s="21" t="s">
        <v>21</v>
      </c>
      <c r="D58" s="21" t="s">
        <v>125</v>
      </c>
      <c r="E58" s="21" t="s">
        <v>23</v>
      </c>
      <c r="F58" s="21" t="s">
        <v>126</v>
      </c>
      <c r="G58" s="21" t="s">
        <v>25</v>
      </c>
      <c r="H58" s="21" t="s">
        <v>23</v>
      </c>
      <c r="I58" s="21" t="s">
        <v>23</v>
      </c>
      <c r="J58" s="21">
        <v>286</v>
      </c>
      <c r="K58" s="21" t="s">
        <v>114</v>
      </c>
      <c r="L58" s="20" t="s">
        <v>127</v>
      </c>
    </row>
    <row r="59" spans="1:12" ht="17.100000000000001" customHeight="1">
      <c r="A59" s="27">
        <v>45677</v>
      </c>
      <c r="B59" s="20" t="s">
        <v>124</v>
      </c>
      <c r="C59" s="21" t="s">
        <v>29</v>
      </c>
      <c r="D59" s="21" t="s">
        <v>122</v>
      </c>
      <c r="E59" s="21" t="s">
        <v>23</v>
      </c>
      <c r="F59" s="21" t="s">
        <v>126</v>
      </c>
      <c r="G59" s="21" t="s">
        <v>25</v>
      </c>
      <c r="H59" s="21" t="s">
        <v>23</v>
      </c>
      <c r="I59" s="21" t="s">
        <v>23</v>
      </c>
      <c r="J59" s="21">
        <v>38</v>
      </c>
      <c r="K59" s="21" t="s">
        <v>114</v>
      </c>
      <c r="L59" s="20" t="s">
        <v>127</v>
      </c>
    </row>
    <row r="60" spans="1:12" ht="17.100000000000001" customHeight="1">
      <c r="A60" s="27">
        <v>45677</v>
      </c>
      <c r="B60" s="20" t="s">
        <v>128</v>
      </c>
      <c r="C60" s="21" t="s">
        <v>21</v>
      </c>
      <c r="D60" s="21" t="s">
        <v>122</v>
      </c>
      <c r="E60" s="21" t="s">
        <v>23</v>
      </c>
      <c r="F60" s="21" t="s">
        <v>126</v>
      </c>
      <c r="G60" s="21" t="s">
        <v>25</v>
      </c>
      <c r="H60" s="21" t="s">
        <v>23</v>
      </c>
      <c r="I60" s="21" t="s">
        <v>23</v>
      </c>
      <c r="J60" s="21">
        <v>36</v>
      </c>
      <c r="K60" s="21" t="s">
        <v>114</v>
      </c>
      <c r="L60" s="20" t="s">
        <v>129</v>
      </c>
    </row>
    <row r="61" spans="1:12" ht="17.100000000000001" customHeight="1">
      <c r="A61" s="27">
        <v>45677</v>
      </c>
      <c r="B61" s="20" t="s">
        <v>20</v>
      </c>
      <c r="C61" s="21" t="s">
        <v>34</v>
      </c>
      <c r="D61" s="21" t="s">
        <v>130</v>
      </c>
      <c r="E61" s="21" t="s">
        <v>23</v>
      </c>
      <c r="F61" s="21" t="s">
        <v>120</v>
      </c>
      <c r="G61" s="21" t="s">
        <v>25</v>
      </c>
      <c r="H61" s="21" t="s">
        <v>23</v>
      </c>
      <c r="I61" s="21" t="s">
        <v>23</v>
      </c>
      <c r="J61" s="21">
        <v>100</v>
      </c>
      <c r="K61" s="21" t="s">
        <v>114</v>
      </c>
      <c r="L61" s="20" t="s">
        <v>131</v>
      </c>
    </row>
    <row r="62" spans="1:12" ht="17.100000000000001" customHeight="1">
      <c r="A62" s="27">
        <v>45678</v>
      </c>
      <c r="B62" s="20" t="s">
        <v>20</v>
      </c>
      <c r="C62" s="21" t="s">
        <v>21</v>
      </c>
      <c r="D62" s="21" t="s">
        <v>130</v>
      </c>
      <c r="E62" s="21" t="s">
        <v>23</v>
      </c>
      <c r="F62" s="21" t="s">
        <v>120</v>
      </c>
      <c r="G62" s="21" t="s">
        <v>25</v>
      </c>
      <c r="H62" s="21" t="s">
        <v>23</v>
      </c>
      <c r="I62" s="21" t="s">
        <v>23</v>
      </c>
      <c r="J62" s="21">
        <v>145</v>
      </c>
      <c r="K62" s="21" t="s">
        <v>114</v>
      </c>
      <c r="L62" s="20" t="s">
        <v>131</v>
      </c>
    </row>
    <row r="63" spans="1:12" ht="17.100000000000001" customHeight="1">
      <c r="A63" s="27">
        <v>45678</v>
      </c>
      <c r="B63" s="20" t="s">
        <v>20</v>
      </c>
      <c r="C63" s="21" t="s">
        <v>29</v>
      </c>
      <c r="D63" s="21" t="s">
        <v>133</v>
      </c>
      <c r="E63" s="21" t="s">
        <v>23</v>
      </c>
      <c r="F63" s="21" t="s">
        <v>120</v>
      </c>
      <c r="G63" s="21" t="s">
        <v>25</v>
      </c>
      <c r="H63" s="21" t="s">
        <v>23</v>
      </c>
      <c r="I63" s="21" t="s">
        <v>23</v>
      </c>
      <c r="J63" s="21">
        <f>203-32</f>
        <v>171</v>
      </c>
      <c r="K63" s="21" t="s">
        <v>132</v>
      </c>
      <c r="L63" s="20" t="s">
        <v>131</v>
      </c>
    </row>
    <row r="64" spans="1:12" ht="17.100000000000001" customHeight="1">
      <c r="A64" s="27">
        <v>45678</v>
      </c>
      <c r="B64" s="20" t="s">
        <v>20</v>
      </c>
      <c r="C64" s="21" t="s">
        <v>29</v>
      </c>
      <c r="D64" s="21" t="s">
        <v>133</v>
      </c>
      <c r="E64" s="21" t="s">
        <v>23</v>
      </c>
      <c r="F64" s="21" t="s">
        <v>120</v>
      </c>
      <c r="G64" s="21" t="s">
        <v>25</v>
      </c>
      <c r="H64" s="21" t="s">
        <v>23</v>
      </c>
      <c r="I64" s="21" t="s">
        <v>23</v>
      </c>
      <c r="J64" s="21">
        <v>32</v>
      </c>
      <c r="K64" s="21" t="s">
        <v>132</v>
      </c>
      <c r="L64" s="20" t="s">
        <v>131</v>
      </c>
    </row>
    <row r="65" spans="1:12" ht="17.100000000000001" customHeight="1">
      <c r="A65" s="27">
        <v>45678</v>
      </c>
      <c r="B65" s="20" t="s">
        <v>20</v>
      </c>
      <c r="C65" s="21" t="s">
        <v>33</v>
      </c>
      <c r="D65" s="21" t="s">
        <v>135</v>
      </c>
      <c r="E65" s="21" t="s">
        <v>23</v>
      </c>
      <c r="F65" s="21" t="s">
        <v>120</v>
      </c>
      <c r="G65" s="21" t="s">
        <v>25</v>
      </c>
      <c r="H65" s="21" t="s">
        <v>23</v>
      </c>
      <c r="I65" s="21" t="s">
        <v>23</v>
      </c>
      <c r="J65" s="21">
        <v>300</v>
      </c>
      <c r="K65" s="21" t="s">
        <v>132</v>
      </c>
      <c r="L65" s="20" t="s">
        <v>136</v>
      </c>
    </row>
    <row r="66" spans="1:12" ht="17.100000000000001" customHeight="1">
      <c r="A66" s="27">
        <v>45678</v>
      </c>
      <c r="B66" s="20" t="s">
        <v>20</v>
      </c>
      <c r="C66" s="21" t="s">
        <v>34</v>
      </c>
      <c r="D66" s="21" t="s">
        <v>134</v>
      </c>
      <c r="E66" s="21" t="s">
        <v>23</v>
      </c>
      <c r="F66" s="21" t="s">
        <v>120</v>
      </c>
      <c r="G66" s="21" t="s">
        <v>25</v>
      </c>
      <c r="H66" s="21" t="s">
        <v>23</v>
      </c>
      <c r="I66" s="21" t="s">
        <v>23</v>
      </c>
      <c r="J66" s="21">
        <v>120</v>
      </c>
      <c r="K66" s="21" t="s">
        <v>132</v>
      </c>
      <c r="L66" s="20" t="s">
        <v>136</v>
      </c>
    </row>
    <row r="67" spans="1:12" ht="17.100000000000001" customHeight="1">
      <c r="A67" s="27">
        <v>45678</v>
      </c>
      <c r="B67" s="20" t="s">
        <v>20</v>
      </c>
      <c r="C67" s="21" t="s">
        <v>34</v>
      </c>
      <c r="D67" s="21" t="s">
        <v>138</v>
      </c>
      <c r="E67" s="21" t="s">
        <v>23</v>
      </c>
      <c r="F67" s="21" t="s">
        <v>120</v>
      </c>
      <c r="G67" s="21" t="s">
        <v>25</v>
      </c>
      <c r="H67" s="21" t="s">
        <v>23</v>
      </c>
      <c r="I67" s="21" t="s">
        <v>23</v>
      </c>
      <c r="J67" s="21">
        <v>151</v>
      </c>
      <c r="K67" s="21" t="s">
        <v>132</v>
      </c>
      <c r="L67" s="20" t="s">
        <v>137</v>
      </c>
    </row>
    <row r="68" spans="1:12" ht="17.100000000000001" customHeight="1">
      <c r="A68" s="27">
        <v>45678</v>
      </c>
      <c r="B68" s="20" t="s">
        <v>20</v>
      </c>
      <c r="C68" s="21" t="s">
        <v>139</v>
      </c>
      <c r="D68" s="21" t="s">
        <v>138</v>
      </c>
      <c r="E68" s="21" t="s">
        <v>23</v>
      </c>
      <c r="F68" s="21" t="s">
        <v>120</v>
      </c>
      <c r="G68" s="21" t="s">
        <v>25</v>
      </c>
      <c r="H68" s="21" t="s">
        <v>23</v>
      </c>
      <c r="I68" s="21" t="s">
        <v>23</v>
      </c>
      <c r="J68" s="21">
        <v>5</v>
      </c>
      <c r="K68" s="21" t="s">
        <v>132</v>
      </c>
      <c r="L68" s="20" t="s">
        <v>137</v>
      </c>
    </row>
    <row r="69" spans="1:12" ht="17.100000000000001" customHeight="1">
      <c r="A69" s="27">
        <v>45678</v>
      </c>
      <c r="B69" s="20" t="s">
        <v>20</v>
      </c>
      <c r="C69" s="21" t="s">
        <v>139</v>
      </c>
      <c r="D69" s="21" t="s">
        <v>140</v>
      </c>
      <c r="E69" s="21" t="s">
        <v>23</v>
      </c>
      <c r="F69" s="21" t="s">
        <v>120</v>
      </c>
      <c r="G69" s="21" t="s">
        <v>25</v>
      </c>
      <c r="H69" s="21" t="s">
        <v>23</v>
      </c>
      <c r="I69" s="21" t="s">
        <v>23</v>
      </c>
      <c r="J69" s="21">
        <v>144</v>
      </c>
      <c r="K69" s="21" t="s">
        <v>132</v>
      </c>
      <c r="L69" s="20" t="s">
        <v>144</v>
      </c>
    </row>
    <row r="70" spans="1:12" ht="17.100000000000001" customHeight="1">
      <c r="A70" s="27">
        <v>45678</v>
      </c>
      <c r="B70" s="20" t="s">
        <v>20</v>
      </c>
      <c r="C70" s="21" t="s">
        <v>139</v>
      </c>
      <c r="D70" s="21" t="s">
        <v>140</v>
      </c>
      <c r="E70" s="21" t="s">
        <v>23</v>
      </c>
      <c r="F70" s="21" t="s">
        <v>120</v>
      </c>
      <c r="G70" s="21" t="s">
        <v>25</v>
      </c>
      <c r="H70" s="21" t="s">
        <v>23</v>
      </c>
      <c r="I70" s="21" t="s">
        <v>23</v>
      </c>
      <c r="J70" s="21">
        <v>138</v>
      </c>
      <c r="K70" s="21" t="s">
        <v>132</v>
      </c>
      <c r="L70" s="20" t="s">
        <v>145</v>
      </c>
    </row>
    <row r="71" spans="1:12" ht="17.100000000000001" customHeight="1">
      <c r="A71" s="27">
        <v>45678</v>
      </c>
      <c r="B71" s="20" t="s">
        <v>20</v>
      </c>
      <c r="C71" s="21" t="s">
        <v>142</v>
      </c>
      <c r="D71" s="21" t="s">
        <v>141</v>
      </c>
      <c r="E71" s="21" t="s">
        <v>23</v>
      </c>
      <c r="F71" s="21" t="s">
        <v>120</v>
      </c>
      <c r="G71" s="21" t="s">
        <v>25</v>
      </c>
      <c r="H71" s="21" t="s">
        <v>23</v>
      </c>
      <c r="I71" s="21" t="s">
        <v>23</v>
      </c>
      <c r="J71" s="21">
        <v>278</v>
      </c>
      <c r="K71" s="21" t="s">
        <v>132</v>
      </c>
      <c r="L71" s="20" t="s">
        <v>145</v>
      </c>
    </row>
    <row r="72" spans="1:12" ht="17.100000000000001" customHeight="1">
      <c r="A72" s="27">
        <v>45678</v>
      </c>
      <c r="B72" s="20" t="s">
        <v>20</v>
      </c>
      <c r="C72" s="21" t="s">
        <v>142</v>
      </c>
      <c r="D72" s="21" t="s">
        <v>141</v>
      </c>
      <c r="E72" s="21" t="s">
        <v>23</v>
      </c>
      <c r="F72" s="21" t="s">
        <v>120</v>
      </c>
      <c r="G72" s="21" t="s">
        <v>25</v>
      </c>
      <c r="H72" s="21" t="s">
        <v>23</v>
      </c>
      <c r="I72" s="21" t="s">
        <v>23</v>
      </c>
      <c r="J72" s="21">
        <v>8</v>
      </c>
      <c r="K72" s="21" t="s">
        <v>132</v>
      </c>
      <c r="L72" s="20" t="s">
        <v>146</v>
      </c>
    </row>
    <row r="73" spans="1:12" ht="17.100000000000001" customHeight="1">
      <c r="A73" s="27">
        <v>45678</v>
      </c>
      <c r="B73" s="20" t="s">
        <v>20</v>
      </c>
      <c r="C73" s="21" t="s">
        <v>143</v>
      </c>
      <c r="D73" s="21" t="s">
        <v>141</v>
      </c>
      <c r="E73" s="21" t="s">
        <v>23</v>
      </c>
      <c r="F73" s="21" t="s">
        <v>120</v>
      </c>
      <c r="G73" s="21" t="s">
        <v>25</v>
      </c>
      <c r="H73" s="21" t="s">
        <v>23</v>
      </c>
      <c r="I73" s="21" t="s">
        <v>23</v>
      </c>
      <c r="J73" s="21">
        <v>100</v>
      </c>
      <c r="K73" s="21" t="s">
        <v>132</v>
      </c>
      <c r="L73" s="20" t="s">
        <v>146</v>
      </c>
    </row>
    <row r="74" spans="1:12" ht="17.100000000000001" customHeight="1">
      <c r="A74" s="27">
        <v>45678</v>
      </c>
      <c r="B74" s="20" t="s">
        <v>20</v>
      </c>
      <c r="C74" s="21" t="s">
        <v>143</v>
      </c>
      <c r="D74" s="21" t="s">
        <v>141</v>
      </c>
      <c r="E74" s="21" t="s">
        <v>23</v>
      </c>
      <c r="F74" s="21" t="s">
        <v>120</v>
      </c>
      <c r="G74" s="21" t="s">
        <v>25</v>
      </c>
      <c r="H74" s="21" t="s">
        <v>23</v>
      </c>
      <c r="I74" s="21" t="s">
        <v>23</v>
      </c>
      <c r="J74" s="21">
        <v>82</v>
      </c>
      <c r="K74" s="21" t="s">
        <v>132</v>
      </c>
      <c r="L74" s="20" t="s">
        <v>147</v>
      </c>
    </row>
    <row r="75" spans="1:12" ht="17.100000000000001" customHeight="1">
      <c r="A75" s="27">
        <v>45679</v>
      </c>
      <c r="B75" s="20" t="s">
        <v>20</v>
      </c>
      <c r="C75" s="21" t="s">
        <v>21</v>
      </c>
      <c r="D75" s="21" t="s">
        <v>141</v>
      </c>
      <c r="E75" s="21" t="s">
        <v>23</v>
      </c>
      <c r="F75" s="21" t="s">
        <v>120</v>
      </c>
      <c r="G75" s="21" t="s">
        <v>25</v>
      </c>
      <c r="H75" s="21" t="s">
        <v>23</v>
      </c>
      <c r="I75" s="21" t="s">
        <v>23</v>
      </c>
      <c r="J75" s="21">
        <v>22</v>
      </c>
      <c r="K75" s="21" t="s">
        <v>165</v>
      </c>
      <c r="L75" s="20" t="s">
        <v>147</v>
      </c>
    </row>
    <row r="76" spans="1:12" ht="17.100000000000001" customHeight="1">
      <c r="A76" s="27">
        <v>45679</v>
      </c>
      <c r="B76" s="20" t="s">
        <v>20</v>
      </c>
      <c r="C76" s="21" t="s">
        <v>21</v>
      </c>
      <c r="D76" s="21" t="s">
        <v>141</v>
      </c>
      <c r="E76" s="21" t="s">
        <v>23</v>
      </c>
      <c r="F76" s="21" t="s">
        <v>120</v>
      </c>
      <c r="G76" s="21" t="s">
        <v>25</v>
      </c>
      <c r="H76" s="21" t="s">
        <v>23</v>
      </c>
      <c r="I76" s="21" t="s">
        <v>23</v>
      </c>
      <c r="J76" s="21">
        <v>82</v>
      </c>
      <c r="K76" s="21" t="s">
        <v>165</v>
      </c>
      <c r="L76" s="20" t="s">
        <v>148</v>
      </c>
    </row>
    <row r="77" spans="1:12" ht="17.100000000000001" customHeight="1">
      <c r="A77" s="27">
        <v>45679</v>
      </c>
      <c r="B77" s="20" t="s">
        <v>20</v>
      </c>
      <c r="C77" s="21" t="s">
        <v>29</v>
      </c>
      <c r="D77" s="21" t="s">
        <v>149</v>
      </c>
      <c r="E77" s="21" t="s">
        <v>23</v>
      </c>
      <c r="F77" s="21" t="s">
        <v>120</v>
      </c>
      <c r="G77" s="21" t="s">
        <v>25</v>
      </c>
      <c r="H77" s="21" t="s">
        <v>23</v>
      </c>
      <c r="I77" s="21" t="s">
        <v>23</v>
      </c>
      <c r="J77" s="21">
        <v>22</v>
      </c>
      <c r="K77" s="21" t="s">
        <v>165</v>
      </c>
      <c r="L77" s="20" t="s">
        <v>148</v>
      </c>
    </row>
    <row r="78" spans="1:12" ht="17.100000000000001" customHeight="1">
      <c r="A78" s="27">
        <v>45679</v>
      </c>
      <c r="B78" s="20" t="s">
        <v>20</v>
      </c>
      <c r="C78" s="21" t="s">
        <v>29</v>
      </c>
      <c r="D78" s="21" t="s">
        <v>149</v>
      </c>
      <c r="E78" s="21" t="s">
        <v>23</v>
      </c>
      <c r="F78" s="21" t="s">
        <v>120</v>
      </c>
      <c r="G78" s="21" t="s">
        <v>25</v>
      </c>
      <c r="H78" s="21" t="s">
        <v>23</v>
      </c>
      <c r="I78" s="21" t="s">
        <v>23</v>
      </c>
      <c r="J78" s="21">
        <v>72</v>
      </c>
      <c r="K78" s="21" t="s">
        <v>165</v>
      </c>
      <c r="L78" s="20" t="s">
        <v>150</v>
      </c>
    </row>
    <row r="79" spans="1:12" ht="17.100000000000001" customHeight="1">
      <c r="A79" s="27">
        <v>45679</v>
      </c>
      <c r="B79" s="20" t="s">
        <v>20</v>
      </c>
      <c r="C79" s="21" t="s">
        <v>29</v>
      </c>
      <c r="D79" s="21" t="s">
        <v>149</v>
      </c>
      <c r="E79" s="21" t="s">
        <v>23</v>
      </c>
      <c r="F79" s="21" t="s">
        <v>120</v>
      </c>
      <c r="G79" s="21" t="s">
        <v>25</v>
      </c>
      <c r="H79" s="21" t="s">
        <v>23</v>
      </c>
      <c r="I79" s="21" t="s">
        <v>23</v>
      </c>
      <c r="J79" s="21">
        <v>72</v>
      </c>
      <c r="K79" s="21" t="s">
        <v>165</v>
      </c>
      <c r="L79" s="20" t="s">
        <v>151</v>
      </c>
    </row>
    <row r="80" spans="1:12" ht="17.100000000000001" customHeight="1">
      <c r="A80" s="27">
        <v>45679</v>
      </c>
      <c r="B80" s="20" t="s">
        <v>20</v>
      </c>
      <c r="C80" s="21" t="s">
        <v>29</v>
      </c>
      <c r="D80" s="21" t="s">
        <v>149</v>
      </c>
      <c r="E80" s="21" t="s">
        <v>23</v>
      </c>
      <c r="F80" s="21" t="s">
        <v>120</v>
      </c>
      <c r="G80" s="21" t="s">
        <v>25</v>
      </c>
      <c r="H80" s="21" t="s">
        <v>23</v>
      </c>
      <c r="I80" s="21" t="s">
        <v>23</v>
      </c>
      <c r="J80" s="21">
        <v>16</v>
      </c>
      <c r="K80" s="21" t="s">
        <v>165</v>
      </c>
      <c r="L80" s="20" t="s">
        <v>152</v>
      </c>
    </row>
    <row r="81" spans="1:12" ht="17.100000000000001" customHeight="1">
      <c r="A81" s="27">
        <v>45679</v>
      </c>
      <c r="B81" s="20" t="s">
        <v>20</v>
      </c>
      <c r="C81" s="21" t="s">
        <v>33</v>
      </c>
      <c r="D81" s="21" t="s">
        <v>153</v>
      </c>
      <c r="E81" s="21" t="s">
        <v>23</v>
      </c>
      <c r="F81" s="21" t="s">
        <v>120</v>
      </c>
      <c r="G81" s="21" t="s">
        <v>25</v>
      </c>
      <c r="H81" s="21" t="s">
        <v>23</v>
      </c>
      <c r="I81" s="21" t="s">
        <v>23</v>
      </c>
      <c r="J81" s="21">
        <v>286</v>
      </c>
      <c r="K81" s="21" t="s">
        <v>165</v>
      </c>
      <c r="L81" s="20" t="s">
        <v>152</v>
      </c>
    </row>
    <row r="82" spans="1:12" ht="17.100000000000001" customHeight="1">
      <c r="A82" s="27">
        <v>45679</v>
      </c>
      <c r="B82" s="20" t="s">
        <v>20</v>
      </c>
      <c r="C82" s="21" t="s">
        <v>34</v>
      </c>
      <c r="D82" s="21" t="s">
        <v>154</v>
      </c>
      <c r="E82" s="21" t="s">
        <v>23</v>
      </c>
      <c r="F82" s="21" t="s">
        <v>120</v>
      </c>
      <c r="G82" s="21" t="s">
        <v>25</v>
      </c>
      <c r="H82" s="21" t="s">
        <v>23</v>
      </c>
      <c r="I82" s="21" t="s">
        <v>23</v>
      </c>
      <c r="J82" s="21">
        <v>10</v>
      </c>
      <c r="K82" s="21" t="s">
        <v>165</v>
      </c>
      <c r="L82" s="20" t="s">
        <v>152</v>
      </c>
    </row>
    <row r="83" spans="1:12" ht="17.100000000000001" customHeight="1">
      <c r="A83" s="27">
        <v>45679</v>
      </c>
      <c r="B83" s="20" t="s">
        <v>20</v>
      </c>
      <c r="C83" s="21" t="s">
        <v>34</v>
      </c>
      <c r="D83" s="21" t="s">
        <v>154</v>
      </c>
      <c r="E83" s="21" t="s">
        <v>23</v>
      </c>
      <c r="F83" s="21" t="s">
        <v>120</v>
      </c>
      <c r="G83" s="21" t="s">
        <v>25</v>
      </c>
      <c r="H83" s="21" t="s">
        <v>23</v>
      </c>
      <c r="I83" s="21" t="s">
        <v>23</v>
      </c>
      <c r="J83" s="21">
        <v>276</v>
      </c>
      <c r="K83" s="21" t="s">
        <v>165</v>
      </c>
      <c r="L83" s="20" t="s">
        <v>155</v>
      </c>
    </row>
    <row r="84" spans="1:12" ht="17.100000000000001" customHeight="1">
      <c r="A84" s="27">
        <v>45679</v>
      </c>
      <c r="B84" s="20" t="s">
        <v>20</v>
      </c>
      <c r="C84" s="21" t="s">
        <v>139</v>
      </c>
      <c r="D84" s="21" t="s">
        <v>154</v>
      </c>
      <c r="E84" s="21" t="s">
        <v>23</v>
      </c>
      <c r="F84" s="21" t="s">
        <v>120</v>
      </c>
      <c r="G84" s="21" t="s">
        <v>25</v>
      </c>
      <c r="H84" s="21" t="s">
        <v>23</v>
      </c>
      <c r="I84" s="21" t="s">
        <v>23</v>
      </c>
      <c r="J84" s="21">
        <v>244</v>
      </c>
      <c r="K84" s="21" t="s">
        <v>165</v>
      </c>
      <c r="L84" s="20" t="s">
        <v>155</v>
      </c>
    </row>
    <row r="85" spans="1:12" ht="17.100000000000001" customHeight="1">
      <c r="A85" s="27">
        <v>45679</v>
      </c>
      <c r="B85" s="20" t="s">
        <v>20</v>
      </c>
      <c r="C85" s="21" t="s">
        <v>139</v>
      </c>
      <c r="D85" s="21" t="s">
        <v>154</v>
      </c>
      <c r="E85" s="21" t="s">
        <v>23</v>
      </c>
      <c r="F85" s="21" t="s">
        <v>120</v>
      </c>
      <c r="G85" s="21" t="s">
        <v>25</v>
      </c>
      <c r="H85" s="21" t="s">
        <v>23</v>
      </c>
      <c r="I85" s="21" t="s">
        <v>23</v>
      </c>
      <c r="J85" s="21">
        <v>42</v>
      </c>
      <c r="K85" s="21" t="s">
        <v>165</v>
      </c>
      <c r="L85" s="20" t="s">
        <v>156</v>
      </c>
    </row>
    <row r="86" spans="1:12" ht="17.100000000000001" customHeight="1">
      <c r="A86" s="27">
        <v>45679</v>
      </c>
      <c r="B86" s="20" t="s">
        <v>20</v>
      </c>
      <c r="C86" s="21" t="s">
        <v>142</v>
      </c>
      <c r="D86" s="21" t="s">
        <v>157</v>
      </c>
      <c r="E86" s="21" t="s">
        <v>23</v>
      </c>
      <c r="F86" s="21" t="s">
        <v>120</v>
      </c>
      <c r="G86" s="21" t="s">
        <v>25</v>
      </c>
      <c r="H86" s="21" t="s">
        <v>23</v>
      </c>
      <c r="I86" s="21" t="s">
        <v>23</v>
      </c>
      <c r="J86" s="21">
        <v>30</v>
      </c>
      <c r="K86" s="21" t="s">
        <v>165</v>
      </c>
      <c r="L86" s="20" t="s">
        <v>156</v>
      </c>
    </row>
    <row r="87" spans="1:12" ht="17.100000000000001" customHeight="1">
      <c r="A87" s="27">
        <v>45679</v>
      </c>
      <c r="B87" s="20" t="s">
        <v>20</v>
      </c>
      <c r="C87" s="21" t="s">
        <v>142</v>
      </c>
      <c r="D87" s="21" t="s">
        <v>157</v>
      </c>
      <c r="E87" s="21" t="s">
        <v>23</v>
      </c>
      <c r="F87" s="21" t="s">
        <v>120</v>
      </c>
      <c r="G87" s="21" t="s">
        <v>25</v>
      </c>
      <c r="H87" s="21" t="s">
        <v>23</v>
      </c>
      <c r="I87" s="21" t="s">
        <v>23</v>
      </c>
      <c r="J87" s="21">
        <v>208</v>
      </c>
      <c r="K87" s="21" t="s">
        <v>165</v>
      </c>
      <c r="L87" s="20" t="s">
        <v>158</v>
      </c>
    </row>
    <row r="88" spans="1:12" ht="17.100000000000001" customHeight="1">
      <c r="A88" s="27">
        <v>45679</v>
      </c>
      <c r="B88" s="20" t="s">
        <v>20</v>
      </c>
      <c r="C88" s="21" t="s">
        <v>142</v>
      </c>
      <c r="D88" s="21" t="s">
        <v>157</v>
      </c>
      <c r="E88" s="21" t="s">
        <v>23</v>
      </c>
      <c r="F88" s="21" t="s">
        <v>120</v>
      </c>
      <c r="G88" s="21" t="s">
        <v>25</v>
      </c>
      <c r="H88" s="21" t="s">
        <v>23</v>
      </c>
      <c r="I88" s="21" t="s">
        <v>23</v>
      </c>
      <c r="J88" s="21">
        <v>30</v>
      </c>
      <c r="K88" s="21" t="s">
        <v>165</v>
      </c>
      <c r="L88" s="20" t="s">
        <v>159</v>
      </c>
    </row>
    <row r="89" spans="1:12" ht="17.100000000000001" customHeight="1">
      <c r="A89" s="27">
        <v>45679</v>
      </c>
      <c r="B89" s="20" t="s">
        <v>20</v>
      </c>
      <c r="C89" s="21" t="s">
        <v>142</v>
      </c>
      <c r="D89" s="21" t="s">
        <v>157</v>
      </c>
      <c r="E89" s="21" t="s">
        <v>23</v>
      </c>
      <c r="F89" s="21" t="s">
        <v>120</v>
      </c>
      <c r="G89" s="21" t="s">
        <v>25</v>
      </c>
      <c r="H89" s="21" t="s">
        <v>23</v>
      </c>
      <c r="I89" s="21" t="s">
        <v>23</v>
      </c>
      <c r="J89" s="21">
        <f>286-268</f>
        <v>18</v>
      </c>
      <c r="K89" s="21" t="s">
        <v>165</v>
      </c>
      <c r="L89" s="20" t="s">
        <v>160</v>
      </c>
    </row>
    <row r="90" spans="1:12" ht="17.100000000000001" customHeight="1">
      <c r="A90" s="27">
        <v>45679</v>
      </c>
      <c r="B90" s="20" t="s">
        <v>20</v>
      </c>
      <c r="C90" s="21" t="s">
        <v>143</v>
      </c>
      <c r="D90" s="21" t="s">
        <v>162</v>
      </c>
      <c r="E90" s="21" t="s">
        <v>23</v>
      </c>
      <c r="F90" s="21" t="s">
        <v>120</v>
      </c>
      <c r="G90" s="21" t="s">
        <v>25</v>
      </c>
      <c r="H90" s="21" t="s">
        <v>23</v>
      </c>
      <c r="I90" s="21" t="s">
        <v>23</v>
      </c>
      <c r="J90" s="21">
        <f>120-18</f>
        <v>102</v>
      </c>
      <c r="K90" s="21" t="s">
        <v>165</v>
      </c>
      <c r="L90" s="20" t="s">
        <v>160</v>
      </c>
    </row>
    <row r="91" spans="1:12" ht="17.100000000000001" customHeight="1">
      <c r="A91" s="27">
        <v>45680</v>
      </c>
      <c r="B91" s="20" t="s">
        <v>20</v>
      </c>
      <c r="C91" s="21" t="s">
        <v>21</v>
      </c>
      <c r="D91" s="21" t="s">
        <v>162</v>
      </c>
      <c r="E91" s="21" t="s">
        <v>23</v>
      </c>
      <c r="F91" s="21" t="s">
        <v>120</v>
      </c>
      <c r="G91" s="21" t="s">
        <v>25</v>
      </c>
      <c r="H91" s="21" t="s">
        <v>23</v>
      </c>
      <c r="I91" s="21" t="s">
        <v>23</v>
      </c>
      <c r="J91" s="21">
        <v>209</v>
      </c>
      <c r="K91" s="21" t="s">
        <v>164</v>
      </c>
      <c r="L91" s="20" t="s">
        <v>161</v>
      </c>
    </row>
    <row r="92" spans="1:12" ht="17.100000000000001" customHeight="1">
      <c r="A92" s="27">
        <v>45680</v>
      </c>
      <c r="B92" s="20" t="s">
        <v>20</v>
      </c>
      <c r="C92" s="21" t="s">
        <v>29</v>
      </c>
      <c r="D92" s="21" t="s">
        <v>163</v>
      </c>
      <c r="E92" s="21" t="s">
        <v>23</v>
      </c>
      <c r="F92" s="21" t="s">
        <v>120</v>
      </c>
      <c r="G92" s="21" t="s">
        <v>25</v>
      </c>
      <c r="H92" s="21" t="s">
        <v>23</v>
      </c>
      <c r="I92" s="21" t="s">
        <v>23</v>
      </c>
      <c r="J92" s="21">
        <v>103</v>
      </c>
      <c r="K92" s="21" t="s">
        <v>164</v>
      </c>
      <c r="L92" s="20" t="s">
        <v>161</v>
      </c>
    </row>
    <row r="93" spans="1:12" ht="17.100000000000001" customHeight="1">
      <c r="A93" s="27">
        <v>45680</v>
      </c>
      <c r="B93" s="20" t="s">
        <v>20</v>
      </c>
      <c r="C93" s="21" t="s">
        <v>29</v>
      </c>
      <c r="D93" s="21" t="s">
        <v>163</v>
      </c>
      <c r="E93" s="21" t="s">
        <v>23</v>
      </c>
      <c r="F93" s="21" t="s">
        <v>120</v>
      </c>
      <c r="G93" s="21" t="s">
        <v>25</v>
      </c>
      <c r="H93" s="21" t="s">
        <v>23</v>
      </c>
      <c r="I93" s="21" t="s">
        <v>23</v>
      </c>
      <c r="J93" s="21">
        <v>144</v>
      </c>
      <c r="K93" s="21" t="s">
        <v>164</v>
      </c>
      <c r="L93" s="20" t="s">
        <v>166</v>
      </c>
    </row>
    <row r="94" spans="1:12" ht="17.100000000000001" customHeight="1">
      <c r="A94" s="27">
        <v>45680</v>
      </c>
      <c r="B94" s="20" t="s">
        <v>20</v>
      </c>
      <c r="C94" s="21" t="s">
        <v>29</v>
      </c>
      <c r="D94" s="21" t="s">
        <v>163</v>
      </c>
      <c r="E94" s="21" t="s">
        <v>23</v>
      </c>
      <c r="F94" s="21" t="s">
        <v>120</v>
      </c>
      <c r="G94" s="21" t="s">
        <v>25</v>
      </c>
      <c r="H94" s="21" t="s">
        <v>23</v>
      </c>
      <c r="I94" s="21" t="s">
        <v>23</v>
      </c>
      <c r="J94" s="21">
        <v>37</v>
      </c>
      <c r="K94" s="21" t="s">
        <v>164</v>
      </c>
      <c r="L94" s="20" t="s">
        <v>167</v>
      </c>
    </row>
    <row r="95" spans="1:12" ht="17.100000000000001" customHeight="1">
      <c r="A95" s="27">
        <v>45680</v>
      </c>
      <c r="B95" s="20" t="s">
        <v>20</v>
      </c>
      <c r="C95" s="21" t="s">
        <v>33</v>
      </c>
      <c r="D95" s="21" t="s">
        <v>168</v>
      </c>
      <c r="E95" s="21" t="s">
        <v>23</v>
      </c>
      <c r="F95" s="21" t="s">
        <v>120</v>
      </c>
      <c r="G95" s="21" t="s">
        <v>25</v>
      </c>
      <c r="H95" s="21" t="s">
        <v>23</v>
      </c>
      <c r="I95" s="21" t="s">
        <v>23</v>
      </c>
      <c r="J95" s="21">
        <v>286</v>
      </c>
      <c r="K95" s="21" t="s">
        <v>164</v>
      </c>
      <c r="L95" s="20" t="s">
        <v>167</v>
      </c>
    </row>
    <row r="96" spans="1:12" ht="17.100000000000001" customHeight="1">
      <c r="A96" s="27">
        <v>45680</v>
      </c>
      <c r="B96" s="20" t="s">
        <v>20</v>
      </c>
      <c r="C96" s="21" t="s">
        <v>34</v>
      </c>
      <c r="D96" s="21" t="s">
        <v>169</v>
      </c>
      <c r="E96" s="21" t="s">
        <v>23</v>
      </c>
      <c r="F96" s="21" t="s">
        <v>120</v>
      </c>
      <c r="G96" s="21" t="s">
        <v>25</v>
      </c>
      <c r="H96" s="21" t="s">
        <v>23</v>
      </c>
      <c r="I96" s="21" t="s">
        <v>23</v>
      </c>
      <c r="J96" s="21">
        <v>286</v>
      </c>
      <c r="K96" s="21" t="s">
        <v>164</v>
      </c>
      <c r="L96" s="20" t="s">
        <v>167</v>
      </c>
    </row>
    <row r="97" spans="1:12" ht="17.100000000000001" customHeight="1">
      <c r="A97" s="27">
        <v>45680</v>
      </c>
      <c r="B97" s="20" t="s">
        <v>20</v>
      </c>
      <c r="C97" s="21" t="s">
        <v>139</v>
      </c>
      <c r="D97" s="21" t="s">
        <v>170</v>
      </c>
      <c r="E97" s="21" t="s">
        <v>23</v>
      </c>
      <c r="F97" s="21" t="s">
        <v>120</v>
      </c>
      <c r="G97" s="21" t="s">
        <v>25</v>
      </c>
      <c r="H97" s="21" t="s">
        <v>23</v>
      </c>
      <c r="I97" s="21" t="s">
        <v>23</v>
      </c>
      <c r="J97" s="21">
        <v>77</v>
      </c>
      <c r="K97" s="21" t="s">
        <v>164</v>
      </c>
      <c r="L97" s="20" t="s">
        <v>167</v>
      </c>
    </row>
    <row r="98" spans="1:12" ht="17.100000000000001" customHeight="1">
      <c r="A98" s="27">
        <v>45680</v>
      </c>
      <c r="B98" s="20" t="s">
        <v>20</v>
      </c>
      <c r="C98" s="21" t="s">
        <v>139</v>
      </c>
      <c r="D98" s="21" t="s">
        <v>170</v>
      </c>
      <c r="E98" s="21" t="s">
        <v>23</v>
      </c>
      <c r="F98" s="21" t="s">
        <v>120</v>
      </c>
      <c r="G98" s="21" t="s">
        <v>25</v>
      </c>
      <c r="H98" s="21" t="s">
        <v>23</v>
      </c>
      <c r="I98" s="21" t="s">
        <v>23</v>
      </c>
      <c r="J98" s="21">
        <v>104</v>
      </c>
      <c r="K98" s="21" t="s">
        <v>164</v>
      </c>
      <c r="L98" s="20" t="s">
        <v>171</v>
      </c>
    </row>
    <row r="99" spans="1:12" ht="17.100000000000001" customHeight="1">
      <c r="A99" s="27">
        <v>45680</v>
      </c>
      <c r="B99" s="20" t="s">
        <v>20</v>
      </c>
      <c r="C99" s="21" t="s">
        <v>139</v>
      </c>
      <c r="D99" s="21" t="s">
        <v>170</v>
      </c>
      <c r="E99" s="21" t="s">
        <v>23</v>
      </c>
      <c r="F99" s="21" t="s">
        <v>120</v>
      </c>
      <c r="G99" s="21" t="s">
        <v>25</v>
      </c>
      <c r="H99" s="21" t="s">
        <v>23</v>
      </c>
      <c r="I99" s="21" t="s">
        <v>23</v>
      </c>
      <c r="J99" s="21">
        <v>104</v>
      </c>
      <c r="K99" s="21" t="s">
        <v>164</v>
      </c>
      <c r="L99" s="20" t="s">
        <v>172</v>
      </c>
    </row>
    <row r="100" spans="1:12" ht="17.100000000000001" customHeight="1">
      <c r="A100" s="27">
        <v>45680</v>
      </c>
      <c r="B100" s="20" t="s">
        <v>20</v>
      </c>
      <c r="C100" s="21" t="s">
        <v>139</v>
      </c>
      <c r="D100" s="21" t="s">
        <v>170</v>
      </c>
      <c r="E100" s="21" t="s">
        <v>23</v>
      </c>
      <c r="F100" s="21" t="s">
        <v>120</v>
      </c>
      <c r="G100" s="21" t="s">
        <v>25</v>
      </c>
      <c r="H100" s="21" t="s">
        <v>23</v>
      </c>
      <c r="I100" s="21" t="s">
        <v>23</v>
      </c>
      <c r="J100" s="21">
        <v>1</v>
      </c>
      <c r="K100" s="21" t="s">
        <v>164</v>
      </c>
      <c r="L100" s="20" t="s">
        <v>173</v>
      </c>
    </row>
    <row r="101" spans="1:12" ht="17.100000000000001" customHeight="1">
      <c r="A101" s="27">
        <v>45680</v>
      </c>
      <c r="B101" s="20" t="s">
        <v>20</v>
      </c>
      <c r="C101" s="21" t="s">
        <v>142</v>
      </c>
      <c r="D101" s="21" t="s">
        <v>177</v>
      </c>
      <c r="E101" s="21" t="s">
        <v>23</v>
      </c>
      <c r="F101" s="21" t="s">
        <v>120</v>
      </c>
      <c r="G101" s="21" t="s">
        <v>25</v>
      </c>
      <c r="H101" s="21" t="s">
        <v>23</v>
      </c>
      <c r="I101" s="21" t="s">
        <v>23</v>
      </c>
      <c r="J101" s="21">
        <v>103</v>
      </c>
      <c r="K101" s="21" t="s">
        <v>164</v>
      </c>
      <c r="L101" s="20" t="s">
        <v>173</v>
      </c>
    </row>
    <row r="102" spans="1:12" ht="17.100000000000001" customHeight="1">
      <c r="A102" s="27">
        <v>45680</v>
      </c>
      <c r="B102" s="20" t="s">
        <v>20</v>
      </c>
      <c r="C102" s="21" t="s">
        <v>142</v>
      </c>
      <c r="D102" s="21" t="s">
        <v>177</v>
      </c>
      <c r="E102" s="21" t="s">
        <v>23</v>
      </c>
      <c r="F102" s="21" t="s">
        <v>120</v>
      </c>
      <c r="G102" s="21" t="s">
        <v>25</v>
      </c>
      <c r="H102" s="21" t="s">
        <v>23</v>
      </c>
      <c r="I102" s="21" t="s">
        <v>23</v>
      </c>
      <c r="J102" s="21">
        <v>72</v>
      </c>
      <c r="K102" s="21" t="s">
        <v>164</v>
      </c>
      <c r="L102" s="20" t="s">
        <v>174</v>
      </c>
    </row>
    <row r="103" spans="1:12" ht="17.100000000000001" customHeight="1">
      <c r="A103" s="27">
        <v>45680</v>
      </c>
      <c r="B103" s="20" t="s">
        <v>20</v>
      </c>
      <c r="C103" s="21" t="s">
        <v>142</v>
      </c>
      <c r="D103" s="21" t="s">
        <v>177</v>
      </c>
      <c r="E103" s="21" t="s">
        <v>23</v>
      </c>
      <c r="F103" s="21" t="s">
        <v>120</v>
      </c>
      <c r="G103" s="21" t="s">
        <v>25</v>
      </c>
      <c r="H103" s="21" t="s">
        <v>23</v>
      </c>
      <c r="I103" s="21" t="s">
        <v>23</v>
      </c>
      <c r="J103" s="21">
        <v>72</v>
      </c>
      <c r="K103" s="21" t="s">
        <v>164</v>
      </c>
      <c r="L103" s="20" t="s">
        <v>175</v>
      </c>
    </row>
    <row r="104" spans="1:12" ht="17.100000000000001" customHeight="1">
      <c r="A104" s="27">
        <v>45680</v>
      </c>
      <c r="B104" s="20" t="s">
        <v>20</v>
      </c>
      <c r="C104" s="21" t="s">
        <v>142</v>
      </c>
      <c r="D104" s="21" t="s">
        <v>177</v>
      </c>
      <c r="E104" s="21" t="s">
        <v>23</v>
      </c>
      <c r="F104" s="21" t="s">
        <v>120</v>
      </c>
      <c r="G104" s="21" t="s">
        <v>25</v>
      </c>
      <c r="H104" s="21" t="s">
        <v>23</v>
      </c>
      <c r="I104" s="21" t="s">
        <v>23</v>
      </c>
      <c r="J104" s="21">
        <v>34</v>
      </c>
      <c r="K104" s="21" t="s">
        <v>164</v>
      </c>
      <c r="L104" s="20" t="s">
        <v>176</v>
      </c>
    </row>
    <row r="105" spans="1:12" ht="17.100000000000001" customHeight="1">
      <c r="A105" s="27">
        <v>45681</v>
      </c>
      <c r="B105" s="20" t="s">
        <v>20</v>
      </c>
      <c r="C105" s="21" t="s">
        <v>21</v>
      </c>
      <c r="D105" s="21" t="s">
        <v>180</v>
      </c>
      <c r="E105" s="21" t="s">
        <v>23</v>
      </c>
      <c r="F105" s="21" t="s">
        <v>120</v>
      </c>
      <c r="G105" s="21" t="s">
        <v>25</v>
      </c>
      <c r="H105" s="21" t="s">
        <v>23</v>
      </c>
      <c r="I105" s="21" t="s">
        <v>23</v>
      </c>
      <c r="J105" s="21">
        <v>38</v>
      </c>
      <c r="K105" s="21" t="s">
        <v>178</v>
      </c>
      <c r="L105" s="20" t="s">
        <v>176</v>
      </c>
    </row>
    <row r="106" spans="1:12" ht="17.100000000000001" customHeight="1">
      <c r="A106" s="27">
        <v>45681</v>
      </c>
      <c r="B106" s="20" t="s">
        <v>20</v>
      </c>
      <c r="C106" s="21" t="s">
        <v>21</v>
      </c>
      <c r="D106" s="21" t="s">
        <v>180</v>
      </c>
      <c r="E106" s="21" t="s">
        <v>23</v>
      </c>
      <c r="F106" s="21" t="s">
        <v>120</v>
      </c>
      <c r="G106" s="21" t="s">
        <v>25</v>
      </c>
      <c r="H106" s="21" t="s">
        <v>23</v>
      </c>
      <c r="I106" s="21" t="s">
        <v>23</v>
      </c>
      <c r="J106" s="21">
        <v>52</v>
      </c>
      <c r="K106" s="21" t="s">
        <v>178</v>
      </c>
      <c r="L106" s="20" t="s">
        <v>179</v>
      </c>
    </row>
    <row r="107" spans="1:12" ht="17.100000000000001" customHeight="1">
      <c r="A107" s="27">
        <v>45682</v>
      </c>
      <c r="B107" s="20" t="s">
        <v>43</v>
      </c>
      <c r="C107" s="21" t="s">
        <v>21</v>
      </c>
      <c r="D107" s="21" t="s">
        <v>181</v>
      </c>
      <c r="E107" s="21" t="s">
        <v>79</v>
      </c>
      <c r="F107" s="21" t="s">
        <v>185</v>
      </c>
      <c r="G107" s="21" t="s">
        <v>23</v>
      </c>
      <c r="H107" s="21" t="s">
        <v>23</v>
      </c>
      <c r="I107" s="21" t="s">
        <v>23</v>
      </c>
      <c r="J107" s="21">
        <v>96</v>
      </c>
      <c r="K107" s="21" t="s">
        <v>182</v>
      </c>
      <c r="L107" s="20" t="s">
        <v>183</v>
      </c>
    </row>
    <row r="108" spans="1:12" ht="17.100000000000001" customHeight="1">
      <c r="A108" s="27">
        <v>45682</v>
      </c>
      <c r="B108" s="20" t="s">
        <v>43</v>
      </c>
      <c r="C108" s="21" t="s">
        <v>21</v>
      </c>
      <c r="D108" s="21" t="s">
        <v>181</v>
      </c>
      <c r="E108" s="21" t="s">
        <v>79</v>
      </c>
      <c r="F108" s="21" t="s">
        <v>185</v>
      </c>
      <c r="G108" s="21" t="s">
        <v>23</v>
      </c>
      <c r="H108" s="21" t="s">
        <v>23</v>
      </c>
      <c r="I108" s="21" t="s">
        <v>23</v>
      </c>
      <c r="J108" s="21">
        <v>110</v>
      </c>
      <c r="K108" s="21" t="s">
        <v>182</v>
      </c>
      <c r="L108" s="20" t="s">
        <v>184</v>
      </c>
    </row>
    <row r="109" spans="1:12" ht="17.100000000000001" customHeight="1">
      <c r="A109" s="27">
        <v>45682</v>
      </c>
      <c r="B109" s="20" t="s">
        <v>43</v>
      </c>
      <c r="C109" s="21" t="s">
        <v>21</v>
      </c>
      <c r="D109" s="21" t="s">
        <v>181</v>
      </c>
      <c r="E109" s="21" t="s">
        <v>79</v>
      </c>
      <c r="F109" s="21" t="s">
        <v>185</v>
      </c>
      <c r="G109" s="21" t="s">
        <v>23</v>
      </c>
      <c r="H109" s="21" t="s">
        <v>23</v>
      </c>
      <c r="I109" s="21" t="s">
        <v>23</v>
      </c>
      <c r="J109" s="21">
        <v>30</v>
      </c>
      <c r="K109" s="21" t="s">
        <v>182</v>
      </c>
      <c r="L109" s="20" t="s">
        <v>186</v>
      </c>
    </row>
    <row r="110" spans="1:12" ht="17.100000000000001" customHeight="1">
      <c r="A110" s="27">
        <v>45682</v>
      </c>
      <c r="B110" s="20" t="s">
        <v>43</v>
      </c>
      <c r="C110" s="21" t="s">
        <v>29</v>
      </c>
      <c r="D110" s="21" t="s">
        <v>187</v>
      </c>
      <c r="E110" s="21" t="s">
        <v>60</v>
      </c>
      <c r="F110" s="21" t="s">
        <v>188</v>
      </c>
      <c r="G110" s="21" t="s">
        <v>23</v>
      </c>
      <c r="H110" s="21" t="s">
        <v>23</v>
      </c>
      <c r="I110" s="21" t="s">
        <v>23</v>
      </c>
      <c r="J110" s="21">
        <v>46</v>
      </c>
      <c r="K110" s="21" t="s">
        <v>182</v>
      </c>
      <c r="L110" s="20" t="s">
        <v>186</v>
      </c>
    </row>
    <row r="111" spans="1:12" ht="17.100000000000001" customHeight="1">
      <c r="A111" s="27">
        <v>45685</v>
      </c>
      <c r="B111" s="20" t="s">
        <v>20</v>
      </c>
      <c r="C111" s="21" t="s">
        <v>21</v>
      </c>
      <c r="D111" s="21" t="s">
        <v>180</v>
      </c>
      <c r="E111" s="21" t="s">
        <v>23</v>
      </c>
      <c r="F111" s="21" t="s">
        <v>193</v>
      </c>
      <c r="G111" s="21" t="s">
        <v>194</v>
      </c>
      <c r="H111" s="21" t="s">
        <v>23</v>
      </c>
      <c r="I111" s="21" t="s">
        <v>23</v>
      </c>
      <c r="J111" s="21">
        <v>33</v>
      </c>
      <c r="K111" s="21" t="s">
        <v>189</v>
      </c>
      <c r="L111" s="20" t="s">
        <v>190</v>
      </c>
    </row>
    <row r="112" spans="1:12" ht="17.100000000000001" customHeight="1">
      <c r="A112" s="27">
        <v>45685</v>
      </c>
      <c r="B112" s="20" t="s">
        <v>20</v>
      </c>
      <c r="C112" s="21" t="s">
        <v>29</v>
      </c>
      <c r="D112" s="21" t="s">
        <v>191</v>
      </c>
      <c r="E112" s="21" t="s">
        <v>23</v>
      </c>
      <c r="F112" s="21" t="s">
        <v>193</v>
      </c>
      <c r="G112" s="21" t="s">
        <v>194</v>
      </c>
      <c r="H112" s="21" t="s">
        <v>23</v>
      </c>
      <c r="I112" s="21" t="s">
        <v>23</v>
      </c>
      <c r="J112" s="21">
        <v>286</v>
      </c>
      <c r="K112" s="21" t="s">
        <v>189</v>
      </c>
      <c r="L112" s="20" t="s">
        <v>190</v>
      </c>
    </row>
    <row r="113" spans="1:12" ht="17.100000000000001" customHeight="1">
      <c r="A113" s="27">
        <v>45685</v>
      </c>
      <c r="B113" s="20" t="s">
        <v>20</v>
      </c>
      <c r="C113" s="21" t="s">
        <v>33</v>
      </c>
      <c r="D113" s="21" t="s">
        <v>192</v>
      </c>
      <c r="E113" s="21" t="s">
        <v>23</v>
      </c>
      <c r="F113" s="21" t="s">
        <v>193</v>
      </c>
      <c r="G113" s="21" t="s">
        <v>194</v>
      </c>
      <c r="H113" s="21" t="s">
        <v>23</v>
      </c>
      <c r="I113" s="21" t="s">
        <v>23</v>
      </c>
      <c r="J113" s="21">
        <v>201</v>
      </c>
      <c r="K113" s="21" t="s">
        <v>189</v>
      </c>
      <c r="L113" s="20" t="s">
        <v>190</v>
      </c>
    </row>
    <row r="114" spans="1:12" ht="17.100000000000001" customHeight="1">
      <c r="A114" s="27">
        <v>45685</v>
      </c>
      <c r="B114" s="20" t="s">
        <v>20</v>
      </c>
      <c r="C114" s="21" t="s">
        <v>33</v>
      </c>
      <c r="D114" s="21" t="s">
        <v>192</v>
      </c>
      <c r="E114" s="21" t="s">
        <v>23</v>
      </c>
      <c r="F114" s="21" t="s">
        <v>193</v>
      </c>
      <c r="G114" s="21" t="s">
        <v>194</v>
      </c>
      <c r="H114" s="21" t="s">
        <v>23</v>
      </c>
      <c r="I114" s="21" t="s">
        <v>23</v>
      </c>
      <c r="J114" s="21">
        <v>85</v>
      </c>
      <c r="K114" s="21" t="s">
        <v>189</v>
      </c>
      <c r="L114" s="20" t="s">
        <v>195</v>
      </c>
    </row>
    <row r="115" spans="1:12" ht="17.100000000000001" customHeight="1">
      <c r="A115" s="27">
        <v>45685</v>
      </c>
      <c r="B115" s="20" t="s">
        <v>20</v>
      </c>
      <c r="C115" s="21" t="s">
        <v>34</v>
      </c>
      <c r="D115" s="21" t="s">
        <v>196</v>
      </c>
      <c r="E115" s="21" t="s">
        <v>23</v>
      </c>
      <c r="F115" s="21" t="s">
        <v>193</v>
      </c>
      <c r="G115" s="21" t="s">
        <v>194</v>
      </c>
      <c r="H115" s="21" t="s">
        <v>23</v>
      </c>
      <c r="I115" s="21" t="s">
        <v>23</v>
      </c>
      <c r="J115" s="21">
        <v>225</v>
      </c>
      <c r="K115" s="21" t="s">
        <v>189</v>
      </c>
      <c r="L115" s="20" t="s">
        <v>195</v>
      </c>
    </row>
    <row r="116" spans="1:12" ht="17.100000000000001" customHeight="1">
      <c r="A116" s="27">
        <v>45686</v>
      </c>
      <c r="B116" s="20" t="s">
        <v>20</v>
      </c>
      <c r="C116" s="21" t="s">
        <v>21</v>
      </c>
      <c r="D116" s="21" t="s">
        <v>196</v>
      </c>
      <c r="E116" s="21" t="s">
        <v>23</v>
      </c>
      <c r="F116" s="21" t="s">
        <v>193</v>
      </c>
      <c r="G116" s="21" t="s">
        <v>194</v>
      </c>
      <c r="H116" s="21" t="s">
        <v>23</v>
      </c>
      <c r="I116" s="21" t="s">
        <v>23</v>
      </c>
      <c r="J116" s="21">
        <v>61</v>
      </c>
      <c r="K116" s="21" t="s">
        <v>189</v>
      </c>
      <c r="L116" s="20" t="s">
        <v>195</v>
      </c>
    </row>
    <row r="117" spans="1:12" ht="17.100000000000001" customHeight="1">
      <c r="A117" s="27">
        <v>45686</v>
      </c>
      <c r="B117" s="20" t="s">
        <v>20</v>
      </c>
      <c r="C117" s="21" t="s">
        <v>29</v>
      </c>
      <c r="D117" s="21" t="s">
        <v>197</v>
      </c>
      <c r="E117" s="21" t="s">
        <v>23</v>
      </c>
      <c r="F117" s="21" t="s">
        <v>202</v>
      </c>
      <c r="G117" s="21" t="s">
        <v>194</v>
      </c>
      <c r="H117" s="21" t="s">
        <v>23</v>
      </c>
      <c r="I117" s="21" t="s">
        <v>23</v>
      </c>
      <c r="J117" s="21">
        <v>286</v>
      </c>
      <c r="K117" s="21" t="s">
        <v>189</v>
      </c>
      <c r="L117" s="20" t="s">
        <v>195</v>
      </c>
    </row>
    <row r="118" spans="1:12" ht="17.100000000000001" customHeight="1">
      <c r="A118" s="27">
        <v>45686</v>
      </c>
      <c r="B118" s="20" t="s">
        <v>198</v>
      </c>
      <c r="C118" s="21"/>
      <c r="D118" s="21"/>
      <c r="E118" s="21"/>
      <c r="F118" s="21"/>
      <c r="G118" s="21"/>
      <c r="H118" s="21"/>
      <c r="I118" s="21" t="s">
        <v>199</v>
      </c>
      <c r="J118" s="21"/>
      <c r="K118" s="21" t="s">
        <v>200</v>
      </c>
      <c r="L118" s="20" t="s">
        <v>201</v>
      </c>
    </row>
    <row r="119" spans="1:12" ht="17.100000000000001" customHeight="1">
      <c r="A119" s="27">
        <v>45686</v>
      </c>
      <c r="B119" s="20" t="s">
        <v>20</v>
      </c>
      <c r="C119" s="21" t="s">
        <v>33</v>
      </c>
      <c r="D119" s="21" t="s">
        <v>203</v>
      </c>
      <c r="E119" s="21" t="s">
        <v>23</v>
      </c>
      <c r="F119" s="21" t="s">
        <v>202</v>
      </c>
      <c r="G119" s="21" t="s">
        <v>194</v>
      </c>
      <c r="H119" s="21" t="s">
        <v>23</v>
      </c>
      <c r="I119" s="21" t="s">
        <v>23</v>
      </c>
      <c r="J119" s="21">
        <v>286</v>
      </c>
      <c r="K119" s="21" t="s">
        <v>189</v>
      </c>
      <c r="L119" s="20" t="s">
        <v>195</v>
      </c>
    </row>
    <row r="120" spans="1:12" ht="17.100000000000001" customHeight="1">
      <c r="A120" s="27">
        <v>45686</v>
      </c>
      <c r="B120" s="20" t="s">
        <v>20</v>
      </c>
      <c r="C120" s="21" t="s">
        <v>34</v>
      </c>
      <c r="D120" s="21" t="s">
        <v>204</v>
      </c>
      <c r="E120" s="21" t="s">
        <v>23</v>
      </c>
      <c r="F120" s="21" t="s">
        <v>202</v>
      </c>
      <c r="G120" s="21" t="s">
        <v>194</v>
      </c>
      <c r="H120" s="21" t="s">
        <v>23</v>
      </c>
      <c r="I120" s="21" t="s">
        <v>23</v>
      </c>
      <c r="J120" s="21">
        <v>50</v>
      </c>
      <c r="K120" s="21" t="s">
        <v>189</v>
      </c>
      <c r="L120" s="20" t="s">
        <v>195</v>
      </c>
    </row>
    <row r="121" spans="1:12" ht="17.100000000000001" customHeight="1">
      <c r="A121" s="33">
        <v>45687</v>
      </c>
      <c r="B121" s="20" t="s">
        <v>20</v>
      </c>
      <c r="C121" s="21" t="s">
        <v>21</v>
      </c>
      <c r="D121" s="21" t="s">
        <v>204</v>
      </c>
      <c r="E121" s="21" t="s">
        <v>23</v>
      </c>
      <c r="F121" s="21" t="s">
        <v>202</v>
      </c>
      <c r="G121" s="21" t="s">
        <v>194</v>
      </c>
      <c r="H121" s="21" t="s">
        <v>23</v>
      </c>
      <c r="I121" s="21" t="s">
        <v>23</v>
      </c>
      <c r="J121" s="21">
        <v>141</v>
      </c>
      <c r="K121" s="21" t="s">
        <v>189</v>
      </c>
      <c r="L121" s="20" t="s">
        <v>195</v>
      </c>
    </row>
    <row r="122" spans="1:12" ht="17.100000000000001" customHeight="1">
      <c r="A122" s="39">
        <v>45687</v>
      </c>
      <c r="B122" s="20" t="s">
        <v>20</v>
      </c>
      <c r="C122" s="21" t="s">
        <v>21</v>
      </c>
      <c r="D122" s="21" t="s">
        <v>204</v>
      </c>
      <c r="E122" s="21" t="s">
        <v>23</v>
      </c>
      <c r="F122" s="21" t="s">
        <v>202</v>
      </c>
      <c r="G122" s="21" t="s">
        <v>194</v>
      </c>
      <c r="H122" s="21" t="s">
        <v>23</v>
      </c>
      <c r="I122" s="21" t="s">
        <v>23</v>
      </c>
      <c r="J122" s="21">
        <v>54</v>
      </c>
      <c r="K122" s="21" t="s">
        <v>189</v>
      </c>
      <c r="L122" s="28" t="s">
        <v>205</v>
      </c>
    </row>
    <row r="123" spans="1:12" ht="17.100000000000001" customHeight="1">
      <c r="A123" s="39">
        <v>45687</v>
      </c>
      <c r="B123" s="20" t="s">
        <v>20</v>
      </c>
      <c r="C123" s="21" t="s">
        <v>29</v>
      </c>
      <c r="D123" s="21" t="s">
        <v>206</v>
      </c>
      <c r="E123" s="21" t="s">
        <v>23</v>
      </c>
      <c r="F123" s="21" t="s">
        <v>202</v>
      </c>
      <c r="G123" s="21" t="s">
        <v>194</v>
      </c>
      <c r="H123" s="21" t="s">
        <v>23</v>
      </c>
      <c r="I123" s="21" t="s">
        <v>23</v>
      </c>
      <c r="J123" s="21">
        <v>284</v>
      </c>
      <c r="K123" s="21" t="s">
        <v>189</v>
      </c>
      <c r="L123" s="28" t="s">
        <v>205</v>
      </c>
    </row>
    <row r="124" spans="1:12" ht="17.100000000000001" customHeight="1">
      <c r="A124" s="39">
        <v>45687</v>
      </c>
      <c r="B124" s="20" t="s">
        <v>20</v>
      </c>
      <c r="C124" s="21" t="s">
        <v>33</v>
      </c>
      <c r="D124" s="21" t="s">
        <v>206</v>
      </c>
      <c r="E124" s="21" t="s">
        <v>23</v>
      </c>
      <c r="F124" s="21" t="s">
        <v>202</v>
      </c>
      <c r="G124" s="21" t="s">
        <v>194</v>
      </c>
      <c r="H124" s="21" t="s">
        <v>23</v>
      </c>
      <c r="I124" s="21" t="s">
        <v>23</v>
      </c>
      <c r="J124" s="21">
        <v>254</v>
      </c>
      <c r="K124" s="21" t="s">
        <v>189</v>
      </c>
      <c r="L124" s="28" t="s">
        <v>205</v>
      </c>
    </row>
    <row r="125" spans="1:12" ht="17.100000000000001" customHeight="1">
      <c r="A125" s="39">
        <v>45687</v>
      </c>
      <c r="B125" s="20" t="s">
        <v>20</v>
      </c>
      <c r="C125" s="21" t="s">
        <v>33</v>
      </c>
      <c r="D125" s="21" t="s">
        <v>206</v>
      </c>
      <c r="E125" s="21" t="s">
        <v>23</v>
      </c>
      <c r="F125" s="21" t="s">
        <v>202</v>
      </c>
      <c r="G125" s="21" t="s">
        <v>194</v>
      </c>
      <c r="H125" s="21" t="s">
        <v>23</v>
      </c>
      <c r="I125" s="21" t="s">
        <v>23</v>
      </c>
      <c r="J125" s="21">
        <v>32</v>
      </c>
      <c r="K125" s="21" t="s">
        <v>189</v>
      </c>
      <c r="L125" s="28" t="s">
        <v>207</v>
      </c>
    </row>
    <row r="126" spans="1:12" ht="17.100000000000001" customHeight="1">
      <c r="A126" s="39">
        <v>45687</v>
      </c>
      <c r="B126" s="20" t="s">
        <v>20</v>
      </c>
      <c r="C126" s="21" t="s">
        <v>34</v>
      </c>
      <c r="D126" s="21" t="s">
        <v>208</v>
      </c>
      <c r="E126" s="21" t="s">
        <v>23</v>
      </c>
      <c r="F126" s="21" t="s">
        <v>202</v>
      </c>
      <c r="G126" s="21" t="s">
        <v>194</v>
      </c>
      <c r="H126" s="21" t="s">
        <v>23</v>
      </c>
      <c r="I126" s="21" t="s">
        <v>23</v>
      </c>
      <c r="J126" s="21">
        <v>142</v>
      </c>
      <c r="K126" s="21" t="s">
        <v>189</v>
      </c>
      <c r="L126" s="28" t="s">
        <v>207</v>
      </c>
    </row>
    <row r="127" spans="1:12" ht="17.100000000000001" customHeight="1" thickBot="1">
      <c r="A127" s="38">
        <v>45687</v>
      </c>
      <c r="B127" s="20" t="s">
        <v>20</v>
      </c>
      <c r="C127" s="21" t="s">
        <v>139</v>
      </c>
      <c r="D127" s="21" t="s">
        <v>209</v>
      </c>
      <c r="E127" s="21" t="s">
        <v>23</v>
      </c>
      <c r="F127" s="21" t="s">
        <v>202</v>
      </c>
      <c r="G127" s="21" t="s">
        <v>194</v>
      </c>
      <c r="H127" s="21" t="s">
        <v>23</v>
      </c>
      <c r="I127" s="21" t="s">
        <v>23</v>
      </c>
      <c r="J127" s="21">
        <v>70</v>
      </c>
      <c r="K127" s="21" t="s">
        <v>189</v>
      </c>
      <c r="L127" s="28" t="s">
        <v>207</v>
      </c>
    </row>
    <row r="128" spans="1:12" ht="17.100000000000001" customHeight="1" thickTop="1">
      <c r="A128" s="37">
        <v>45688</v>
      </c>
      <c r="B128" s="20" t="s">
        <v>20</v>
      </c>
      <c r="C128" s="21" t="s">
        <v>21</v>
      </c>
      <c r="D128" s="21" t="s">
        <v>209</v>
      </c>
      <c r="E128" s="21" t="s">
        <v>23</v>
      </c>
      <c r="F128" s="21" t="s">
        <v>202</v>
      </c>
      <c r="G128" s="21" t="s">
        <v>194</v>
      </c>
      <c r="H128" s="21" t="s">
        <v>23</v>
      </c>
      <c r="I128" s="21" t="s">
        <v>23</v>
      </c>
      <c r="J128" s="21">
        <v>172</v>
      </c>
      <c r="K128" s="21" t="s">
        <v>189</v>
      </c>
      <c r="L128" s="28" t="s">
        <v>207</v>
      </c>
    </row>
    <row r="129" spans="1:14" ht="17.100000000000001" customHeight="1">
      <c r="A129" s="27">
        <v>45688</v>
      </c>
      <c r="B129" s="20" t="s">
        <v>43</v>
      </c>
      <c r="C129" s="21" t="s">
        <v>21</v>
      </c>
      <c r="D129" s="21" t="s">
        <v>187</v>
      </c>
      <c r="E129" s="21" t="s">
        <v>112</v>
      </c>
      <c r="F129" s="21" t="s">
        <v>218</v>
      </c>
      <c r="G129" s="21" t="s">
        <v>23</v>
      </c>
      <c r="H129" s="21" t="s">
        <v>23</v>
      </c>
      <c r="I129" s="21" t="s">
        <v>23</v>
      </c>
      <c r="J129" s="21">
        <v>54</v>
      </c>
      <c r="K129" s="21" t="s">
        <v>210</v>
      </c>
      <c r="L129" s="20" t="s">
        <v>186</v>
      </c>
    </row>
    <row r="130" spans="1:14" ht="17.100000000000001" customHeight="1">
      <c r="A130" s="27">
        <v>45688</v>
      </c>
      <c r="B130" s="20" t="s">
        <v>43</v>
      </c>
      <c r="C130" s="21" t="s">
        <v>29</v>
      </c>
      <c r="D130" s="21" t="s">
        <v>215</v>
      </c>
      <c r="E130" s="21" t="s">
        <v>112</v>
      </c>
      <c r="F130" s="21" t="s">
        <v>218</v>
      </c>
      <c r="G130" s="21" t="s">
        <v>23</v>
      </c>
      <c r="H130" s="21" t="s">
        <v>23</v>
      </c>
      <c r="I130" s="21" t="s">
        <v>23</v>
      </c>
      <c r="J130" s="21">
        <v>103</v>
      </c>
      <c r="K130" s="21" t="s">
        <v>210</v>
      </c>
      <c r="L130" s="20" t="s">
        <v>186</v>
      </c>
    </row>
    <row r="131" spans="1:14" ht="17.100000000000001" customHeight="1">
      <c r="A131" s="27">
        <v>45688</v>
      </c>
      <c r="B131" s="20" t="s">
        <v>20</v>
      </c>
      <c r="C131" s="21" t="s">
        <v>21</v>
      </c>
      <c r="D131" s="21" t="s">
        <v>209</v>
      </c>
      <c r="E131" s="21" t="s">
        <v>23</v>
      </c>
      <c r="F131" s="21" t="s">
        <v>202</v>
      </c>
      <c r="G131" s="21" t="s">
        <v>194</v>
      </c>
      <c r="H131" s="21" t="s">
        <v>23</v>
      </c>
      <c r="I131" s="21" t="s">
        <v>23</v>
      </c>
      <c r="J131" s="21">
        <v>44</v>
      </c>
      <c r="K131" s="21" t="s">
        <v>189</v>
      </c>
      <c r="L131" s="20" t="s">
        <v>211</v>
      </c>
    </row>
    <row r="132" spans="1:14" ht="17.100000000000001" customHeight="1">
      <c r="A132" s="27">
        <v>45688</v>
      </c>
      <c r="B132" s="20" t="s">
        <v>20</v>
      </c>
      <c r="C132" s="21" t="s">
        <v>29</v>
      </c>
      <c r="D132" s="21" t="s">
        <v>212</v>
      </c>
      <c r="E132" s="21" t="s">
        <v>23</v>
      </c>
      <c r="F132" s="21" t="s">
        <v>202</v>
      </c>
      <c r="G132" s="21" t="s">
        <v>194</v>
      </c>
      <c r="H132" s="21" t="s">
        <v>23</v>
      </c>
      <c r="I132" s="21" t="s">
        <v>23</v>
      </c>
      <c r="J132" s="21">
        <v>286</v>
      </c>
      <c r="K132" s="21" t="s">
        <v>189</v>
      </c>
      <c r="L132" s="20" t="s">
        <v>211</v>
      </c>
    </row>
    <row r="133" spans="1:14" ht="17.100000000000001" customHeight="1">
      <c r="A133" s="27">
        <v>45688</v>
      </c>
      <c r="B133" s="20" t="s">
        <v>20</v>
      </c>
      <c r="C133" s="21" t="s">
        <v>33</v>
      </c>
      <c r="D133" s="21" t="s">
        <v>213</v>
      </c>
      <c r="E133" s="21" t="s">
        <v>23</v>
      </c>
      <c r="F133" s="21" t="s">
        <v>202</v>
      </c>
      <c r="G133" s="21" t="s">
        <v>194</v>
      </c>
      <c r="H133" s="21" t="s">
        <v>23</v>
      </c>
      <c r="I133" s="21" t="s">
        <v>23</v>
      </c>
      <c r="J133" s="21">
        <v>125</v>
      </c>
      <c r="K133" s="21" t="s">
        <v>189</v>
      </c>
      <c r="L133" s="20" t="s">
        <v>211</v>
      </c>
    </row>
    <row r="134" spans="1:14" ht="17.100000000000001" customHeight="1">
      <c r="A134" s="27">
        <v>45688</v>
      </c>
      <c r="B134" s="20" t="s">
        <v>20</v>
      </c>
      <c r="C134" s="21" t="s">
        <v>34</v>
      </c>
      <c r="D134" s="21" t="s">
        <v>214</v>
      </c>
      <c r="E134" s="21" t="s">
        <v>23</v>
      </c>
      <c r="F134" s="21" t="s">
        <v>202</v>
      </c>
      <c r="G134" s="21" t="s">
        <v>194</v>
      </c>
      <c r="H134" s="21" t="s">
        <v>23</v>
      </c>
      <c r="I134" s="21" t="s">
        <v>23</v>
      </c>
      <c r="J134" s="21">
        <v>242</v>
      </c>
      <c r="K134" s="21" t="s">
        <v>189</v>
      </c>
      <c r="L134" s="20" t="s">
        <v>211</v>
      </c>
    </row>
    <row r="135" spans="1:14" ht="17.100000000000001" customHeight="1">
      <c r="A135" s="27">
        <v>45688</v>
      </c>
      <c r="B135" s="20" t="s">
        <v>43</v>
      </c>
      <c r="C135" s="21" t="s">
        <v>29</v>
      </c>
      <c r="D135" s="21" t="s">
        <v>215</v>
      </c>
      <c r="E135" s="21" t="s">
        <v>112</v>
      </c>
      <c r="F135" s="21" t="s">
        <v>218</v>
      </c>
      <c r="G135" s="21" t="s">
        <v>23</v>
      </c>
      <c r="H135" s="21" t="s">
        <v>23</v>
      </c>
      <c r="I135" s="21" t="s">
        <v>23</v>
      </c>
      <c r="J135" s="21">
        <v>151</v>
      </c>
      <c r="K135" s="21" t="s">
        <v>210</v>
      </c>
      <c r="L135" s="20" t="s">
        <v>216</v>
      </c>
    </row>
    <row r="136" spans="1:14" ht="17.100000000000001" customHeight="1">
      <c r="A136" s="27">
        <v>45688</v>
      </c>
      <c r="B136" s="20" t="s">
        <v>43</v>
      </c>
      <c r="C136" s="21" t="s">
        <v>33</v>
      </c>
      <c r="D136" s="21" t="s">
        <v>215</v>
      </c>
      <c r="E136" s="21" t="s">
        <v>112</v>
      </c>
      <c r="F136" s="21" t="s">
        <v>218</v>
      </c>
      <c r="G136" s="21" t="s">
        <v>23</v>
      </c>
      <c r="H136" s="21" t="s">
        <v>23</v>
      </c>
      <c r="I136" s="21" t="s">
        <v>23</v>
      </c>
      <c r="J136" s="21">
        <v>5</v>
      </c>
      <c r="K136" s="21" t="s">
        <v>210</v>
      </c>
      <c r="L136" s="20" t="s">
        <v>217</v>
      </c>
    </row>
    <row r="137" spans="1:14">
      <c r="A137" s="32" t="s">
        <v>291</v>
      </c>
      <c r="B137" s="15"/>
      <c r="C137" s="15"/>
      <c r="D137" s="14"/>
      <c r="E137" s="15"/>
      <c r="H137" s="14" t="s">
        <v>15</v>
      </c>
      <c r="I137" s="14"/>
      <c r="J137" s="14"/>
      <c r="K137" s="15"/>
      <c r="L137" s="16"/>
      <c r="M137" s="18"/>
      <c r="N137" s="17"/>
    </row>
    <row r="138" spans="1:14">
      <c r="I138" s="2" t="s">
        <v>16</v>
      </c>
    </row>
    <row r="139" spans="1:14">
      <c r="I139" s="2" t="s">
        <v>17</v>
      </c>
    </row>
    <row r="140" spans="1:14">
      <c r="I140" s="2" t="s">
        <v>18</v>
      </c>
    </row>
    <row r="141" spans="1:14">
      <c r="I141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9"/>
  <sheetViews>
    <sheetView view="pageBreakPreview" zoomScaleNormal="100" zoomScaleSheetLayoutView="100" workbookViewId="0">
      <selection activeCell="C12" sqref="C12"/>
    </sheetView>
  </sheetViews>
  <sheetFormatPr defaultColWidth="10.28515625" defaultRowHeight="14.25"/>
  <cols>
    <col min="1" max="1" width="16.28515625" style="2" customWidth="1"/>
    <col min="2" max="2" width="15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14.4257812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 t="s">
        <v>975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62" t="s">
        <v>4</v>
      </c>
      <c r="C7" s="64" t="s">
        <v>288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63"/>
      <c r="C8" s="65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45691</v>
      </c>
      <c r="B9" s="20" t="s">
        <v>20</v>
      </c>
      <c r="C9" s="21" t="s">
        <v>21</v>
      </c>
      <c r="D9" s="21" t="s">
        <v>214</v>
      </c>
      <c r="E9" s="21" t="s">
        <v>23</v>
      </c>
      <c r="F9" s="21" t="s">
        <v>25</v>
      </c>
      <c r="G9" s="21" t="s">
        <v>202</v>
      </c>
      <c r="H9" s="21" t="s">
        <v>23</v>
      </c>
      <c r="I9" s="21" t="s">
        <v>23</v>
      </c>
      <c r="J9" s="21">
        <v>44</v>
      </c>
      <c r="K9" s="21" t="s">
        <v>189</v>
      </c>
      <c r="L9" s="20" t="s">
        <v>219</v>
      </c>
    </row>
    <row r="10" spans="1:12" ht="17.100000000000001" customHeight="1">
      <c r="A10" s="27">
        <v>45691</v>
      </c>
      <c r="B10" s="20" t="s">
        <v>20</v>
      </c>
      <c r="C10" s="21" t="s">
        <v>29</v>
      </c>
      <c r="D10" s="21" t="s">
        <v>220</v>
      </c>
      <c r="E10" s="21" t="s">
        <v>23</v>
      </c>
      <c r="F10" s="21" t="s">
        <v>25</v>
      </c>
      <c r="G10" s="21" t="s">
        <v>202</v>
      </c>
      <c r="H10" s="21" t="s">
        <v>23</v>
      </c>
      <c r="I10" s="21" t="s">
        <v>23</v>
      </c>
      <c r="J10" s="21">
        <v>100</v>
      </c>
      <c r="K10" s="21" t="s">
        <v>189</v>
      </c>
      <c r="L10" s="20" t="s">
        <v>219</v>
      </c>
    </row>
    <row r="11" spans="1:12" ht="17.100000000000001" customHeight="1">
      <c r="A11" s="27">
        <v>45691</v>
      </c>
      <c r="B11" s="20" t="s">
        <v>20</v>
      </c>
      <c r="C11" s="21" t="s">
        <v>29</v>
      </c>
      <c r="D11" s="21" t="s">
        <v>220</v>
      </c>
      <c r="E11" s="21" t="s">
        <v>23</v>
      </c>
      <c r="F11" s="21" t="s">
        <v>25</v>
      </c>
      <c r="G11" s="21" t="s">
        <v>202</v>
      </c>
      <c r="H11" s="21" t="s">
        <v>23</v>
      </c>
      <c r="I11" s="21" t="s">
        <v>23</v>
      </c>
      <c r="J11" s="21">
        <v>186</v>
      </c>
      <c r="K11" s="21" t="s">
        <v>189</v>
      </c>
      <c r="L11" s="20" t="s">
        <v>221</v>
      </c>
    </row>
    <row r="12" spans="1:12" ht="17.100000000000001" customHeight="1">
      <c r="A12" s="27">
        <v>45691</v>
      </c>
      <c r="B12" s="20" t="s">
        <v>20</v>
      </c>
      <c r="C12" s="21" t="s">
        <v>33</v>
      </c>
      <c r="D12" s="21" t="s">
        <v>220</v>
      </c>
      <c r="E12" s="21" t="s">
        <v>23</v>
      </c>
      <c r="F12" s="21" t="s">
        <v>25</v>
      </c>
      <c r="G12" s="21" t="s">
        <v>202</v>
      </c>
      <c r="H12" s="21" t="s">
        <v>23</v>
      </c>
      <c r="I12" s="21" t="s">
        <v>23</v>
      </c>
      <c r="J12" s="21">
        <v>92</v>
      </c>
      <c r="K12" s="21" t="s">
        <v>189</v>
      </c>
      <c r="L12" s="20" t="s">
        <v>221</v>
      </c>
    </row>
    <row r="13" spans="1:12" ht="17.100000000000001" customHeight="1">
      <c r="A13" s="27">
        <v>45691</v>
      </c>
      <c r="B13" s="20" t="s">
        <v>20</v>
      </c>
      <c r="C13" s="21" t="s">
        <v>34</v>
      </c>
      <c r="D13" s="21" t="s">
        <v>222</v>
      </c>
      <c r="E13" s="21" t="s">
        <v>23</v>
      </c>
      <c r="F13" s="21" t="s">
        <v>25</v>
      </c>
      <c r="G13" s="21" t="s">
        <v>202</v>
      </c>
      <c r="H13" s="21" t="s">
        <v>23</v>
      </c>
      <c r="I13" s="21" t="s">
        <v>23</v>
      </c>
      <c r="J13" s="21">
        <v>242</v>
      </c>
      <c r="K13" s="21" t="s">
        <v>189</v>
      </c>
      <c r="L13" s="20" t="s">
        <v>221</v>
      </c>
    </row>
    <row r="14" spans="1:12" ht="17.100000000000001" customHeight="1">
      <c r="A14" s="27">
        <v>45691</v>
      </c>
      <c r="B14" s="20" t="s">
        <v>43</v>
      </c>
      <c r="C14" s="21" t="s">
        <v>21</v>
      </c>
      <c r="D14" s="21" t="s">
        <v>223</v>
      </c>
      <c r="E14" s="21" t="s">
        <v>60</v>
      </c>
      <c r="F14" s="21" t="s">
        <v>113</v>
      </c>
      <c r="G14" s="21" t="s">
        <v>23</v>
      </c>
      <c r="H14" s="21" t="s">
        <v>23</v>
      </c>
      <c r="I14" s="21" t="s">
        <v>23</v>
      </c>
      <c r="J14" s="21">
        <v>35</v>
      </c>
      <c r="K14" s="21" t="s">
        <v>225</v>
      </c>
      <c r="L14" s="20" t="s">
        <v>224</v>
      </c>
    </row>
    <row r="15" spans="1:12" ht="17.100000000000001" customHeight="1">
      <c r="A15" s="27">
        <v>45692</v>
      </c>
      <c r="B15" s="20" t="s">
        <v>43</v>
      </c>
      <c r="C15" s="21" t="s">
        <v>21</v>
      </c>
      <c r="D15" s="21" t="s">
        <v>228</v>
      </c>
      <c r="E15" s="21" t="s">
        <v>60</v>
      </c>
      <c r="F15" s="21" t="s">
        <v>113</v>
      </c>
      <c r="G15" s="21" t="s">
        <v>23</v>
      </c>
      <c r="H15" s="21" t="s">
        <v>23</v>
      </c>
      <c r="I15" s="21" t="s">
        <v>23</v>
      </c>
      <c r="J15" s="21">
        <v>173</v>
      </c>
      <c r="K15" s="21" t="s">
        <v>225</v>
      </c>
      <c r="L15" s="20" t="s">
        <v>224</v>
      </c>
    </row>
    <row r="16" spans="1:12" ht="17.100000000000001" customHeight="1">
      <c r="A16" s="27">
        <v>45692</v>
      </c>
      <c r="B16" s="20" t="s">
        <v>43</v>
      </c>
      <c r="C16" s="21" t="s">
        <v>21</v>
      </c>
      <c r="D16" s="21" t="s">
        <v>228</v>
      </c>
      <c r="E16" s="21" t="s">
        <v>60</v>
      </c>
      <c r="F16" s="21" t="s">
        <v>113</v>
      </c>
      <c r="G16" s="21" t="s">
        <v>23</v>
      </c>
      <c r="H16" s="21" t="s">
        <v>23</v>
      </c>
      <c r="I16" s="21" t="s">
        <v>23</v>
      </c>
      <c r="J16" s="21">
        <v>14</v>
      </c>
      <c r="K16" s="21" t="s">
        <v>225</v>
      </c>
      <c r="L16" s="20" t="s">
        <v>226</v>
      </c>
    </row>
    <row r="17" spans="1:12" ht="17.100000000000001" customHeight="1">
      <c r="A17" s="27">
        <v>45692</v>
      </c>
      <c r="B17" s="20" t="s">
        <v>43</v>
      </c>
      <c r="C17" s="21" t="s">
        <v>29</v>
      </c>
      <c r="D17" s="21" t="s">
        <v>227</v>
      </c>
      <c r="E17" s="21" t="s">
        <v>60</v>
      </c>
      <c r="F17" s="21" t="s">
        <v>229</v>
      </c>
      <c r="G17" s="21" t="s">
        <v>23</v>
      </c>
      <c r="H17" s="21" t="s">
        <v>23</v>
      </c>
      <c r="I17" s="21" t="s">
        <v>23</v>
      </c>
      <c r="J17" s="21">
        <v>94</v>
      </c>
      <c r="K17" s="21" t="s">
        <v>225</v>
      </c>
      <c r="L17" s="20" t="s">
        <v>226</v>
      </c>
    </row>
    <row r="18" spans="1:12" ht="17.100000000000001" customHeight="1">
      <c r="A18" s="27">
        <v>45692</v>
      </c>
      <c r="B18" s="20" t="s">
        <v>43</v>
      </c>
      <c r="C18" s="21" t="s">
        <v>29</v>
      </c>
      <c r="D18" s="21" t="s">
        <v>227</v>
      </c>
      <c r="E18" s="21" t="s">
        <v>60</v>
      </c>
      <c r="F18" s="21" t="s">
        <v>229</v>
      </c>
      <c r="G18" s="21" t="s">
        <v>23</v>
      </c>
      <c r="H18" s="21" t="s">
        <v>23</v>
      </c>
      <c r="I18" s="21" t="s">
        <v>23</v>
      </c>
      <c r="J18" s="21">
        <v>72</v>
      </c>
      <c r="K18" s="21" t="s">
        <v>225</v>
      </c>
      <c r="L18" s="20" t="s">
        <v>230</v>
      </c>
    </row>
    <row r="19" spans="1:12" ht="17.100000000000001" customHeight="1">
      <c r="A19" s="27">
        <v>45692</v>
      </c>
      <c r="B19" s="20" t="s">
        <v>43</v>
      </c>
      <c r="C19" s="21" t="s">
        <v>29</v>
      </c>
      <c r="D19" s="21" t="s">
        <v>227</v>
      </c>
      <c r="E19" s="21" t="s">
        <v>60</v>
      </c>
      <c r="F19" s="21" t="s">
        <v>229</v>
      </c>
      <c r="G19" s="21" t="s">
        <v>23</v>
      </c>
      <c r="H19" s="21" t="s">
        <v>23</v>
      </c>
      <c r="I19" s="21" t="s">
        <v>23</v>
      </c>
      <c r="J19" s="21">
        <v>74</v>
      </c>
      <c r="K19" s="21" t="s">
        <v>225</v>
      </c>
      <c r="L19" s="20" t="s">
        <v>231</v>
      </c>
    </row>
    <row r="20" spans="1:12" ht="17.100000000000001" customHeight="1">
      <c r="A20" s="27">
        <v>45692</v>
      </c>
      <c r="B20" s="20" t="s">
        <v>43</v>
      </c>
      <c r="C20" s="21" t="s">
        <v>33</v>
      </c>
      <c r="D20" s="21" t="s">
        <v>232</v>
      </c>
      <c r="E20" s="21" t="s">
        <v>60</v>
      </c>
      <c r="F20" s="21" t="s">
        <v>229</v>
      </c>
      <c r="G20" s="21" t="s">
        <v>23</v>
      </c>
      <c r="H20" s="21" t="s">
        <v>23</v>
      </c>
      <c r="I20" s="21" t="s">
        <v>23</v>
      </c>
      <c r="J20" s="21">
        <v>195</v>
      </c>
      <c r="K20" s="21" t="s">
        <v>225</v>
      </c>
      <c r="L20" s="20" t="s">
        <v>231</v>
      </c>
    </row>
    <row r="21" spans="1:12" ht="17.100000000000001" customHeight="1">
      <c r="A21" s="27">
        <v>45692</v>
      </c>
      <c r="B21" s="20" t="s">
        <v>116</v>
      </c>
      <c r="C21" s="21" t="s">
        <v>21</v>
      </c>
      <c r="D21" s="21" t="s">
        <v>232</v>
      </c>
      <c r="E21" s="21" t="s">
        <v>60</v>
      </c>
      <c r="F21" s="21" t="s">
        <v>229</v>
      </c>
      <c r="G21" s="21" t="s">
        <v>23</v>
      </c>
      <c r="H21" s="21" t="s">
        <v>23</v>
      </c>
      <c r="I21" s="21" t="s">
        <v>23</v>
      </c>
      <c r="J21" s="21">
        <v>141</v>
      </c>
      <c r="K21" s="21" t="s">
        <v>225</v>
      </c>
      <c r="L21" s="20" t="s">
        <v>233</v>
      </c>
    </row>
    <row r="22" spans="1:12" ht="17.100000000000001" customHeight="1">
      <c r="A22" s="27">
        <v>45692</v>
      </c>
      <c r="B22" s="20" t="s">
        <v>116</v>
      </c>
      <c r="C22" s="21" t="s">
        <v>21</v>
      </c>
      <c r="D22" s="21" t="s">
        <v>232</v>
      </c>
      <c r="E22" s="21" t="s">
        <v>60</v>
      </c>
      <c r="F22" s="21" t="s">
        <v>229</v>
      </c>
      <c r="G22" s="21" t="s">
        <v>23</v>
      </c>
      <c r="H22" s="21" t="s">
        <v>23</v>
      </c>
      <c r="I22" s="21" t="s">
        <v>23</v>
      </c>
      <c r="J22" s="21">
        <v>3</v>
      </c>
      <c r="K22" s="21" t="s">
        <v>225</v>
      </c>
      <c r="L22" s="20" t="s">
        <v>233</v>
      </c>
    </row>
    <row r="23" spans="1:12" ht="17.100000000000001" customHeight="1">
      <c r="A23" s="27">
        <v>45692</v>
      </c>
      <c r="B23" s="20" t="s">
        <v>116</v>
      </c>
      <c r="C23" s="21" t="s">
        <v>29</v>
      </c>
      <c r="D23" s="21" t="s">
        <v>235</v>
      </c>
      <c r="E23" s="21" t="s">
        <v>60</v>
      </c>
      <c r="F23" s="21" t="s">
        <v>229</v>
      </c>
      <c r="G23" s="21" t="s">
        <v>23</v>
      </c>
      <c r="H23" s="21" t="s">
        <v>23</v>
      </c>
      <c r="I23" s="21" t="s">
        <v>23</v>
      </c>
      <c r="J23" s="21">
        <v>45</v>
      </c>
      <c r="K23" s="21" t="s">
        <v>225</v>
      </c>
      <c r="L23" s="20" t="s">
        <v>234</v>
      </c>
    </row>
    <row r="24" spans="1:12" ht="17.100000000000001" customHeight="1">
      <c r="A24" s="27">
        <v>45693</v>
      </c>
      <c r="B24" s="20" t="s">
        <v>116</v>
      </c>
      <c r="C24" s="21" t="s">
        <v>21</v>
      </c>
      <c r="D24" s="21" t="s">
        <v>235</v>
      </c>
      <c r="E24" s="21" t="s">
        <v>60</v>
      </c>
      <c r="F24" s="21" t="s">
        <v>229</v>
      </c>
      <c r="G24" s="21" t="s">
        <v>23</v>
      </c>
      <c r="H24" s="21" t="s">
        <v>23</v>
      </c>
      <c r="I24" s="21" t="s">
        <v>23</v>
      </c>
      <c r="J24" s="21">
        <v>60</v>
      </c>
      <c r="K24" s="21" t="s">
        <v>225</v>
      </c>
      <c r="L24" s="20" t="s">
        <v>234</v>
      </c>
    </row>
    <row r="25" spans="1:12" ht="17.100000000000001" customHeight="1">
      <c r="A25" s="27">
        <v>45693</v>
      </c>
      <c r="B25" s="20" t="s">
        <v>116</v>
      </c>
      <c r="C25" s="21" t="s">
        <v>29</v>
      </c>
      <c r="D25" s="21" t="s">
        <v>236</v>
      </c>
      <c r="E25" s="21" t="s">
        <v>60</v>
      </c>
      <c r="F25" s="21" t="s">
        <v>237</v>
      </c>
      <c r="G25" s="21" t="s">
        <v>23</v>
      </c>
      <c r="H25" s="21" t="s">
        <v>23</v>
      </c>
      <c r="I25" s="21" t="s">
        <v>23</v>
      </c>
      <c r="J25" s="21">
        <v>3</v>
      </c>
      <c r="K25" s="21" t="s">
        <v>225</v>
      </c>
      <c r="L25" s="20" t="s">
        <v>234</v>
      </c>
    </row>
    <row r="26" spans="1:12" ht="17.100000000000001" customHeight="1">
      <c r="A26" s="27">
        <v>45693</v>
      </c>
      <c r="B26" s="20" t="s">
        <v>116</v>
      </c>
      <c r="C26" s="21" t="s">
        <v>29</v>
      </c>
      <c r="D26" s="21" t="s">
        <v>236</v>
      </c>
      <c r="E26" s="21" t="s">
        <v>60</v>
      </c>
      <c r="F26" s="21" t="s">
        <v>237</v>
      </c>
      <c r="G26" s="21" t="s">
        <v>23</v>
      </c>
      <c r="H26" s="21" t="s">
        <v>23</v>
      </c>
      <c r="I26" s="21" t="s">
        <v>23</v>
      </c>
      <c r="J26" s="21">
        <v>72</v>
      </c>
      <c r="K26" s="21" t="s">
        <v>225</v>
      </c>
      <c r="L26" s="20" t="s">
        <v>238</v>
      </c>
    </row>
    <row r="27" spans="1:12" ht="17.100000000000001" customHeight="1">
      <c r="A27" s="27">
        <v>45693</v>
      </c>
      <c r="B27" s="20" t="s">
        <v>116</v>
      </c>
      <c r="C27" s="21" t="s">
        <v>33</v>
      </c>
      <c r="D27" s="21" t="s">
        <v>239</v>
      </c>
      <c r="E27" s="21" t="s">
        <v>60</v>
      </c>
      <c r="F27" s="21" t="s">
        <v>237</v>
      </c>
      <c r="G27" s="21" t="s">
        <v>23</v>
      </c>
      <c r="H27" s="21" t="s">
        <v>23</v>
      </c>
      <c r="I27" s="21" t="s">
        <v>23</v>
      </c>
      <c r="J27" s="21">
        <v>72</v>
      </c>
      <c r="K27" s="21" t="s">
        <v>225</v>
      </c>
      <c r="L27" s="20" t="s">
        <v>234</v>
      </c>
    </row>
    <row r="28" spans="1:12" ht="17.100000000000001" customHeight="1">
      <c r="A28" s="27">
        <v>45693</v>
      </c>
      <c r="B28" s="20" t="s">
        <v>116</v>
      </c>
      <c r="C28" s="21" t="s">
        <v>33</v>
      </c>
      <c r="D28" s="21" t="s">
        <v>239</v>
      </c>
      <c r="E28" s="21" t="s">
        <v>60</v>
      </c>
      <c r="F28" s="21" t="s">
        <v>237</v>
      </c>
      <c r="G28" s="21" t="s">
        <v>23</v>
      </c>
      <c r="H28" s="21" t="s">
        <v>23</v>
      </c>
      <c r="I28" s="21" t="s">
        <v>23</v>
      </c>
      <c r="J28" s="21">
        <v>108</v>
      </c>
      <c r="K28" s="21" t="s">
        <v>225</v>
      </c>
      <c r="L28" s="20" t="s">
        <v>234</v>
      </c>
    </row>
    <row r="29" spans="1:12" ht="17.100000000000001" customHeight="1">
      <c r="A29" s="27">
        <v>45693</v>
      </c>
      <c r="B29" s="20" t="s">
        <v>20</v>
      </c>
      <c r="C29" s="21" t="s">
        <v>21</v>
      </c>
      <c r="D29" s="21" t="s">
        <v>222</v>
      </c>
      <c r="E29" s="21" t="s">
        <v>23</v>
      </c>
      <c r="F29" s="21" t="s">
        <v>202</v>
      </c>
      <c r="G29" s="21" t="s">
        <v>194</v>
      </c>
      <c r="H29" s="21" t="s">
        <v>23</v>
      </c>
      <c r="I29" s="21" t="s">
        <v>23</v>
      </c>
      <c r="J29" s="21">
        <v>45</v>
      </c>
      <c r="K29" s="21" t="s">
        <v>189</v>
      </c>
      <c r="L29" s="20" t="s">
        <v>240</v>
      </c>
    </row>
    <row r="30" spans="1:12" ht="17.100000000000001" customHeight="1">
      <c r="A30" s="27">
        <v>45693</v>
      </c>
      <c r="B30" s="20" t="s">
        <v>20</v>
      </c>
      <c r="C30" s="21" t="s">
        <v>29</v>
      </c>
      <c r="D30" s="21" t="s">
        <v>241</v>
      </c>
      <c r="E30" s="21" t="s">
        <v>23</v>
      </c>
      <c r="F30" s="21" t="s">
        <v>202</v>
      </c>
      <c r="G30" s="21" t="s">
        <v>194</v>
      </c>
      <c r="H30" s="21" t="s">
        <v>23</v>
      </c>
      <c r="I30" s="21" t="s">
        <v>23</v>
      </c>
      <c r="J30" s="21">
        <v>163</v>
      </c>
      <c r="K30" s="21" t="s">
        <v>189</v>
      </c>
      <c r="L30" s="20" t="s">
        <v>240</v>
      </c>
    </row>
    <row r="31" spans="1:12" ht="17.100000000000001" customHeight="1">
      <c r="A31" s="27">
        <v>45693</v>
      </c>
      <c r="B31" s="20" t="s">
        <v>20</v>
      </c>
      <c r="C31" s="21" t="s">
        <v>29</v>
      </c>
      <c r="D31" s="21" t="s">
        <v>241</v>
      </c>
      <c r="E31" s="21" t="s">
        <v>23</v>
      </c>
      <c r="F31" s="21" t="s">
        <v>202</v>
      </c>
      <c r="G31" s="21" t="s">
        <v>194</v>
      </c>
      <c r="H31" s="21" t="s">
        <v>23</v>
      </c>
      <c r="I31" s="21" t="s">
        <v>23</v>
      </c>
      <c r="J31" s="21">
        <v>104</v>
      </c>
      <c r="K31" s="21" t="s">
        <v>189</v>
      </c>
      <c r="L31" s="20" t="s">
        <v>242</v>
      </c>
    </row>
    <row r="32" spans="1:12" ht="17.100000000000001" customHeight="1">
      <c r="A32" s="27">
        <v>45693</v>
      </c>
      <c r="B32" s="20" t="s">
        <v>20</v>
      </c>
      <c r="C32" s="21" t="s">
        <v>29</v>
      </c>
      <c r="D32" s="21" t="s">
        <v>241</v>
      </c>
      <c r="E32" s="21" t="s">
        <v>23</v>
      </c>
      <c r="F32" s="21" t="s">
        <v>202</v>
      </c>
      <c r="G32" s="21" t="s">
        <v>194</v>
      </c>
      <c r="H32" s="21" t="s">
        <v>23</v>
      </c>
      <c r="I32" s="21" t="s">
        <v>23</v>
      </c>
      <c r="J32" s="21">
        <v>19</v>
      </c>
      <c r="K32" s="21" t="s">
        <v>189</v>
      </c>
      <c r="L32" s="20" t="s">
        <v>243</v>
      </c>
    </row>
    <row r="33" spans="1:12" ht="17.100000000000001" customHeight="1">
      <c r="A33" s="27">
        <v>45693</v>
      </c>
      <c r="B33" s="20" t="s">
        <v>20</v>
      </c>
      <c r="C33" s="21" t="s">
        <v>33</v>
      </c>
      <c r="D33" s="21" t="s">
        <v>244</v>
      </c>
      <c r="E33" s="21" t="s">
        <v>23</v>
      </c>
      <c r="F33" s="21" t="s">
        <v>202</v>
      </c>
      <c r="G33" s="21" t="s">
        <v>194</v>
      </c>
      <c r="H33" s="21" t="s">
        <v>23</v>
      </c>
      <c r="I33" s="21" t="s">
        <v>23</v>
      </c>
      <c r="J33" s="21">
        <v>85</v>
      </c>
      <c r="K33" s="21" t="s">
        <v>189</v>
      </c>
      <c r="L33" s="20" t="s">
        <v>243</v>
      </c>
    </row>
    <row r="34" spans="1:12" ht="17.100000000000001" customHeight="1">
      <c r="A34" s="27">
        <v>45693</v>
      </c>
      <c r="B34" s="20" t="s">
        <v>20</v>
      </c>
      <c r="C34" s="21" t="s">
        <v>33</v>
      </c>
      <c r="D34" s="21" t="s">
        <v>244</v>
      </c>
      <c r="E34" s="21" t="s">
        <v>23</v>
      </c>
      <c r="F34" s="21" t="s">
        <v>202</v>
      </c>
      <c r="G34" s="21" t="s">
        <v>194</v>
      </c>
      <c r="H34" s="21" t="s">
        <v>23</v>
      </c>
      <c r="I34" s="21" t="s">
        <v>23</v>
      </c>
      <c r="J34" s="21">
        <v>104</v>
      </c>
      <c r="K34" s="21" t="s">
        <v>189</v>
      </c>
      <c r="L34" s="20" t="s">
        <v>246</v>
      </c>
    </row>
    <row r="35" spans="1:12" ht="17.100000000000001" customHeight="1">
      <c r="A35" s="27">
        <v>45693</v>
      </c>
      <c r="B35" s="20" t="s">
        <v>20</v>
      </c>
      <c r="C35" s="21" t="s">
        <v>33</v>
      </c>
      <c r="D35" s="21" t="s">
        <v>244</v>
      </c>
      <c r="E35" s="21" t="s">
        <v>23</v>
      </c>
      <c r="F35" s="21" t="s">
        <v>202</v>
      </c>
      <c r="G35" s="21" t="s">
        <v>194</v>
      </c>
      <c r="H35" s="21" t="s">
        <v>23</v>
      </c>
      <c r="I35" s="21" t="s">
        <v>23</v>
      </c>
      <c r="J35" s="21">
        <v>72</v>
      </c>
      <c r="K35" s="21" t="s">
        <v>189</v>
      </c>
      <c r="L35" s="20" t="s">
        <v>247</v>
      </c>
    </row>
    <row r="36" spans="1:12" ht="17.100000000000001" customHeight="1">
      <c r="A36" s="27">
        <v>45693</v>
      </c>
      <c r="B36" s="20" t="s">
        <v>20</v>
      </c>
      <c r="C36" s="21" t="s">
        <v>33</v>
      </c>
      <c r="D36" s="21" t="s">
        <v>244</v>
      </c>
      <c r="E36" s="21" t="s">
        <v>23</v>
      </c>
      <c r="F36" s="21" t="s">
        <v>202</v>
      </c>
      <c r="G36" s="21" t="s">
        <v>194</v>
      </c>
      <c r="H36" s="21" t="s">
        <v>23</v>
      </c>
      <c r="I36" s="21" t="s">
        <v>23</v>
      </c>
      <c r="J36" s="21">
        <v>25</v>
      </c>
      <c r="K36" s="21" t="s">
        <v>189</v>
      </c>
      <c r="L36" s="20" t="s">
        <v>248</v>
      </c>
    </row>
    <row r="37" spans="1:12" ht="17.100000000000001" customHeight="1">
      <c r="A37" s="27">
        <v>45693</v>
      </c>
      <c r="B37" s="20" t="s">
        <v>20</v>
      </c>
      <c r="C37" s="21" t="s">
        <v>34</v>
      </c>
      <c r="D37" s="21" t="s">
        <v>245</v>
      </c>
      <c r="E37" s="21" t="s">
        <v>23</v>
      </c>
      <c r="F37" s="21" t="s">
        <v>202</v>
      </c>
      <c r="G37" s="21" t="s">
        <v>194</v>
      </c>
      <c r="H37" s="21" t="s">
        <v>23</v>
      </c>
      <c r="I37" s="21" t="s">
        <v>23</v>
      </c>
      <c r="J37" s="21">
        <v>47</v>
      </c>
      <c r="K37" s="21" t="s">
        <v>189</v>
      </c>
      <c r="L37" s="20" t="s">
        <v>248</v>
      </c>
    </row>
    <row r="38" spans="1:12" ht="17.100000000000001" customHeight="1">
      <c r="A38" s="27">
        <v>45693</v>
      </c>
      <c r="B38" s="20" t="s">
        <v>20</v>
      </c>
      <c r="C38" s="21" t="s">
        <v>34</v>
      </c>
      <c r="D38" s="21" t="s">
        <v>245</v>
      </c>
      <c r="E38" s="21" t="s">
        <v>23</v>
      </c>
      <c r="F38" s="21" t="s">
        <v>202</v>
      </c>
      <c r="G38" s="21" t="s">
        <v>194</v>
      </c>
      <c r="H38" s="21" t="s">
        <v>23</v>
      </c>
      <c r="I38" s="21" t="s">
        <v>23</v>
      </c>
      <c r="J38" s="21">
        <v>52</v>
      </c>
      <c r="K38" s="21" t="s">
        <v>189</v>
      </c>
      <c r="L38" s="20" t="s">
        <v>249</v>
      </c>
    </row>
    <row r="39" spans="1:12" ht="17.100000000000001" customHeight="1">
      <c r="A39" s="27">
        <v>45693</v>
      </c>
      <c r="B39" s="20" t="s">
        <v>43</v>
      </c>
      <c r="C39" s="21" t="s">
        <v>33</v>
      </c>
      <c r="D39" s="21" t="s">
        <v>236</v>
      </c>
      <c r="E39" s="21" t="s">
        <v>23</v>
      </c>
      <c r="F39" s="21" t="s">
        <v>202</v>
      </c>
      <c r="G39" s="21" t="s">
        <v>194</v>
      </c>
      <c r="H39" s="21" t="s">
        <v>23</v>
      </c>
      <c r="I39" s="21" t="s">
        <v>23</v>
      </c>
      <c r="J39" s="21">
        <v>85</v>
      </c>
      <c r="K39" s="21" t="s">
        <v>189</v>
      </c>
      <c r="L39" s="20" t="s">
        <v>243</v>
      </c>
    </row>
    <row r="40" spans="1:12" ht="17.100000000000001" customHeight="1">
      <c r="A40" s="27">
        <v>45694</v>
      </c>
      <c r="B40" s="20" t="s">
        <v>20</v>
      </c>
      <c r="C40" s="21" t="s">
        <v>21</v>
      </c>
      <c r="D40" s="21" t="s">
        <v>245</v>
      </c>
      <c r="E40" s="21" t="s">
        <v>23</v>
      </c>
      <c r="F40" s="21" t="s">
        <v>202</v>
      </c>
      <c r="G40" s="21" t="s">
        <v>194</v>
      </c>
      <c r="H40" s="21" t="s">
        <v>23</v>
      </c>
      <c r="I40" s="21" t="s">
        <v>23</v>
      </c>
      <c r="J40" s="21">
        <v>72</v>
      </c>
      <c r="K40" s="21" t="s">
        <v>189</v>
      </c>
      <c r="L40" s="20" t="s">
        <v>250</v>
      </c>
    </row>
    <row r="41" spans="1:12" ht="17.100000000000001" customHeight="1">
      <c r="A41" s="27">
        <v>45693</v>
      </c>
      <c r="B41" s="20" t="s">
        <v>43</v>
      </c>
      <c r="C41" s="21" t="s">
        <v>33</v>
      </c>
      <c r="D41" s="21" t="s">
        <v>236</v>
      </c>
      <c r="E41" s="21" t="s">
        <v>60</v>
      </c>
      <c r="F41" s="21" t="s">
        <v>229</v>
      </c>
      <c r="G41" s="21" t="s">
        <v>23</v>
      </c>
      <c r="H41" s="21" t="s">
        <v>23</v>
      </c>
      <c r="I41" s="21" t="s">
        <v>23</v>
      </c>
      <c r="J41" s="21">
        <v>315</v>
      </c>
      <c r="K41" s="21" t="s">
        <v>225</v>
      </c>
      <c r="L41" s="20" t="s">
        <v>251</v>
      </c>
    </row>
    <row r="42" spans="1:12" ht="17.100000000000001" customHeight="1">
      <c r="A42" s="27">
        <v>45694</v>
      </c>
      <c r="B42" s="20" t="s">
        <v>116</v>
      </c>
      <c r="C42" s="21" t="s">
        <v>21</v>
      </c>
      <c r="D42" s="21" t="s">
        <v>236</v>
      </c>
      <c r="E42" s="21" t="s">
        <v>60</v>
      </c>
      <c r="F42" s="21" t="s">
        <v>252</v>
      </c>
      <c r="G42" s="21" t="s">
        <v>23</v>
      </c>
      <c r="H42" s="21" t="s">
        <v>23</v>
      </c>
      <c r="I42" s="21" t="s">
        <v>23</v>
      </c>
      <c r="J42" s="21">
        <v>85</v>
      </c>
      <c r="K42" s="21" t="s">
        <v>225</v>
      </c>
      <c r="L42" s="20" t="s">
        <v>253</v>
      </c>
    </row>
    <row r="43" spans="1:12" ht="17.100000000000001" customHeight="1">
      <c r="A43" s="27">
        <v>45694</v>
      </c>
      <c r="B43" s="20" t="s">
        <v>116</v>
      </c>
      <c r="C43" s="21" t="s">
        <v>29</v>
      </c>
      <c r="D43" s="21" t="s">
        <v>254</v>
      </c>
      <c r="E43" s="21" t="s">
        <v>60</v>
      </c>
      <c r="F43" s="21" t="s">
        <v>252</v>
      </c>
      <c r="G43" s="21" t="s">
        <v>23</v>
      </c>
      <c r="H43" s="21" t="s">
        <v>23</v>
      </c>
      <c r="I43" s="21" t="s">
        <v>23</v>
      </c>
      <c r="J43" s="21">
        <v>15</v>
      </c>
      <c r="K43" s="21" t="s">
        <v>225</v>
      </c>
      <c r="L43" s="20" t="s">
        <v>253</v>
      </c>
    </row>
    <row r="44" spans="1:12" ht="17.100000000000001" customHeight="1">
      <c r="A44" s="27">
        <v>45694</v>
      </c>
      <c r="B44" s="20" t="s">
        <v>116</v>
      </c>
      <c r="C44" s="21" t="s">
        <v>29</v>
      </c>
      <c r="D44" s="21" t="s">
        <v>254</v>
      </c>
      <c r="E44" s="21" t="s">
        <v>60</v>
      </c>
      <c r="F44" s="21" t="s">
        <v>252</v>
      </c>
      <c r="G44" s="21" t="s">
        <v>23</v>
      </c>
      <c r="H44" s="21" t="s">
        <v>23</v>
      </c>
      <c r="I44" s="21" t="s">
        <v>23</v>
      </c>
      <c r="J44" s="21">
        <v>19</v>
      </c>
      <c r="K44" s="21" t="s">
        <v>225</v>
      </c>
      <c r="L44" s="20" t="s">
        <v>255</v>
      </c>
    </row>
    <row r="45" spans="1:12" ht="17.100000000000001" customHeight="1">
      <c r="A45" s="27">
        <v>45694</v>
      </c>
      <c r="B45" s="20" t="s">
        <v>116</v>
      </c>
      <c r="C45" s="21" t="s">
        <v>33</v>
      </c>
      <c r="D45" s="21" t="s">
        <v>256</v>
      </c>
      <c r="E45" s="21" t="s">
        <v>60</v>
      </c>
      <c r="F45" s="21" t="s">
        <v>252</v>
      </c>
      <c r="G45" s="21" t="s">
        <v>23</v>
      </c>
      <c r="H45" s="21" t="s">
        <v>23</v>
      </c>
      <c r="I45" s="21" t="s">
        <v>23</v>
      </c>
      <c r="J45" s="21">
        <v>53</v>
      </c>
      <c r="K45" s="21" t="s">
        <v>225</v>
      </c>
      <c r="L45" s="20" t="s">
        <v>255</v>
      </c>
    </row>
    <row r="46" spans="1:12" ht="17.100000000000001" customHeight="1">
      <c r="A46" s="27">
        <v>45694</v>
      </c>
      <c r="B46" s="20" t="s">
        <v>43</v>
      </c>
      <c r="C46" s="21" t="s">
        <v>21</v>
      </c>
      <c r="D46" s="21" t="s">
        <v>257</v>
      </c>
      <c r="E46" s="21" t="s">
        <v>60</v>
      </c>
      <c r="F46" s="21" t="s">
        <v>229</v>
      </c>
      <c r="G46" s="21" t="s">
        <v>23</v>
      </c>
      <c r="H46" s="21" t="s">
        <v>23</v>
      </c>
      <c r="I46" s="21" t="s">
        <v>23</v>
      </c>
      <c r="J46" s="21">
        <v>145</v>
      </c>
      <c r="K46" s="21" t="s">
        <v>225</v>
      </c>
      <c r="L46" s="20" t="s">
        <v>258</v>
      </c>
    </row>
    <row r="47" spans="1:12" ht="17.100000000000001" customHeight="1">
      <c r="A47" s="27">
        <v>45694</v>
      </c>
      <c r="B47" s="20" t="s">
        <v>43</v>
      </c>
      <c r="C47" s="21" t="s">
        <v>29</v>
      </c>
      <c r="D47" s="21" t="s">
        <v>259</v>
      </c>
      <c r="E47" s="21" t="s">
        <v>60</v>
      </c>
      <c r="F47" s="21" t="s">
        <v>229</v>
      </c>
      <c r="G47" s="21" t="s">
        <v>23</v>
      </c>
      <c r="H47" s="21" t="s">
        <v>23</v>
      </c>
      <c r="I47" s="21" t="s">
        <v>23</v>
      </c>
      <c r="J47" s="21">
        <v>72</v>
      </c>
      <c r="K47" s="21" t="s">
        <v>225</v>
      </c>
      <c r="L47" s="20" t="s">
        <v>258</v>
      </c>
    </row>
    <row r="48" spans="1:12" ht="17.100000000000001" customHeight="1">
      <c r="A48" s="27">
        <v>45694</v>
      </c>
      <c r="B48" s="20" t="s">
        <v>43</v>
      </c>
      <c r="C48" s="21" t="s">
        <v>33</v>
      </c>
      <c r="D48" s="21" t="s">
        <v>254</v>
      </c>
      <c r="E48" s="21" t="s">
        <v>60</v>
      </c>
      <c r="F48" s="21" t="s">
        <v>229</v>
      </c>
      <c r="G48" s="21" t="s">
        <v>23</v>
      </c>
      <c r="H48" s="21" t="s">
        <v>23</v>
      </c>
      <c r="I48" s="21" t="s">
        <v>23</v>
      </c>
      <c r="J48" s="21">
        <v>44</v>
      </c>
      <c r="K48" s="21" t="s">
        <v>225</v>
      </c>
      <c r="L48" s="20" t="s">
        <v>258</v>
      </c>
    </row>
    <row r="49" spans="1:12" ht="17.100000000000001" customHeight="1">
      <c r="A49" s="27">
        <v>45694</v>
      </c>
      <c r="B49" s="20" t="s">
        <v>43</v>
      </c>
      <c r="C49" s="21" t="s">
        <v>33</v>
      </c>
      <c r="D49" s="21" t="s">
        <v>254</v>
      </c>
      <c r="E49" s="21" t="s">
        <v>60</v>
      </c>
      <c r="F49" s="21" t="s">
        <v>229</v>
      </c>
      <c r="G49" s="21" t="s">
        <v>23</v>
      </c>
      <c r="H49" s="21" t="s">
        <v>23</v>
      </c>
      <c r="I49" s="21" t="s">
        <v>23</v>
      </c>
      <c r="J49" s="21">
        <v>162</v>
      </c>
      <c r="K49" s="21" t="s">
        <v>225</v>
      </c>
      <c r="L49" s="20" t="s">
        <v>261</v>
      </c>
    </row>
    <row r="50" spans="1:12" ht="17.100000000000001" customHeight="1">
      <c r="A50" s="27">
        <v>45695</v>
      </c>
      <c r="B50" s="20" t="s">
        <v>43</v>
      </c>
      <c r="C50" s="21" t="s">
        <v>21</v>
      </c>
      <c r="D50" s="21" t="s">
        <v>256</v>
      </c>
      <c r="E50" s="21" t="s">
        <v>112</v>
      </c>
      <c r="F50" s="21" t="s">
        <v>260</v>
      </c>
      <c r="G50" s="21" t="s">
        <v>23</v>
      </c>
      <c r="H50" s="21" t="s">
        <v>23</v>
      </c>
      <c r="I50" s="21" t="s">
        <v>23</v>
      </c>
      <c r="J50" s="21">
        <v>187</v>
      </c>
      <c r="K50" s="21" t="s">
        <v>225</v>
      </c>
      <c r="L50" s="20" t="s">
        <v>261</v>
      </c>
    </row>
    <row r="51" spans="1:12" ht="17.100000000000001" customHeight="1">
      <c r="A51" s="27">
        <v>45695</v>
      </c>
      <c r="B51" s="20" t="s">
        <v>43</v>
      </c>
      <c r="C51" s="21" t="s">
        <v>29</v>
      </c>
      <c r="D51" s="21" t="s">
        <v>262</v>
      </c>
      <c r="E51" s="21" t="s">
        <v>112</v>
      </c>
      <c r="F51" s="21" t="s">
        <v>260</v>
      </c>
      <c r="G51" s="21" t="s">
        <v>23</v>
      </c>
      <c r="H51" s="21" t="s">
        <v>23</v>
      </c>
      <c r="I51" s="21" t="s">
        <v>23</v>
      </c>
      <c r="J51" s="21">
        <v>15</v>
      </c>
      <c r="K51" s="21" t="s">
        <v>225</v>
      </c>
      <c r="L51" s="20" t="s">
        <v>261</v>
      </c>
    </row>
    <row r="52" spans="1:12" ht="17.100000000000001" customHeight="1">
      <c r="A52" s="27">
        <v>45695</v>
      </c>
      <c r="B52" s="20" t="s">
        <v>43</v>
      </c>
      <c r="C52" s="21" t="s">
        <v>29</v>
      </c>
      <c r="D52" s="21" t="s">
        <v>262</v>
      </c>
      <c r="E52" s="21" t="s">
        <v>112</v>
      </c>
      <c r="F52" s="21" t="s">
        <v>260</v>
      </c>
      <c r="G52" s="21" t="s">
        <v>23</v>
      </c>
      <c r="H52" s="21" t="s">
        <v>23</v>
      </c>
      <c r="I52" s="21" t="s">
        <v>23</v>
      </c>
      <c r="J52" s="21">
        <v>225</v>
      </c>
      <c r="K52" s="21" t="s">
        <v>225</v>
      </c>
      <c r="L52" s="20" t="s">
        <v>263</v>
      </c>
    </row>
    <row r="53" spans="1:12" ht="17.100000000000001" customHeight="1">
      <c r="A53" s="27">
        <v>45695</v>
      </c>
      <c r="B53" s="20" t="s">
        <v>43</v>
      </c>
      <c r="C53" s="21" t="s">
        <v>33</v>
      </c>
      <c r="D53" s="21" t="s">
        <v>264</v>
      </c>
      <c r="E53" s="21" t="s">
        <v>112</v>
      </c>
      <c r="F53" s="21" t="s">
        <v>260</v>
      </c>
      <c r="G53" s="21" t="s">
        <v>23</v>
      </c>
      <c r="H53" s="21" t="s">
        <v>23</v>
      </c>
      <c r="I53" s="21" t="s">
        <v>23</v>
      </c>
      <c r="J53" s="21">
        <v>202</v>
      </c>
      <c r="K53" s="21" t="s">
        <v>225</v>
      </c>
      <c r="L53" s="20" t="s">
        <v>263</v>
      </c>
    </row>
    <row r="54" spans="1:12" ht="17.100000000000001" customHeight="1">
      <c r="A54" s="27">
        <v>45694</v>
      </c>
      <c r="B54" s="20" t="s">
        <v>43</v>
      </c>
      <c r="C54" s="21" t="s">
        <v>33</v>
      </c>
      <c r="D54" s="21" t="s">
        <v>264</v>
      </c>
      <c r="E54" s="21" t="s">
        <v>112</v>
      </c>
      <c r="F54" s="21" t="s">
        <v>260</v>
      </c>
      <c r="G54" s="21" t="s">
        <v>23</v>
      </c>
      <c r="H54" s="21" t="s">
        <v>23</v>
      </c>
      <c r="I54" s="21" t="s">
        <v>23</v>
      </c>
      <c r="J54" s="21">
        <v>14</v>
      </c>
      <c r="K54" s="21" t="s">
        <v>225</v>
      </c>
      <c r="L54" s="20" t="s">
        <v>263</v>
      </c>
    </row>
    <row r="55" spans="1:12" ht="17.100000000000001" customHeight="1">
      <c r="A55" s="27">
        <v>45698</v>
      </c>
      <c r="B55" s="20" t="s">
        <v>43</v>
      </c>
      <c r="C55" s="21" t="s">
        <v>21</v>
      </c>
      <c r="D55" s="21" t="s">
        <v>265</v>
      </c>
      <c r="E55" s="21" t="s">
        <v>112</v>
      </c>
      <c r="F55" s="21" t="s">
        <v>266</v>
      </c>
      <c r="G55" s="21" t="s">
        <v>23</v>
      </c>
      <c r="H55" s="21" t="s">
        <v>23</v>
      </c>
      <c r="I55" s="21" t="s">
        <v>23</v>
      </c>
      <c r="J55" s="21">
        <v>237</v>
      </c>
      <c r="K55" s="21" t="s">
        <v>267</v>
      </c>
      <c r="L55" s="20" t="s">
        <v>263</v>
      </c>
    </row>
    <row r="56" spans="1:12" ht="17.100000000000001" customHeight="1">
      <c r="A56" s="27">
        <v>45698</v>
      </c>
      <c r="B56" s="20" t="s">
        <v>43</v>
      </c>
      <c r="C56" s="21" t="s">
        <v>29</v>
      </c>
      <c r="D56" s="21" t="s">
        <v>268</v>
      </c>
      <c r="E56" s="21" t="s">
        <v>112</v>
      </c>
      <c r="F56" s="21" t="s">
        <v>266</v>
      </c>
      <c r="G56" s="21" t="s">
        <v>23</v>
      </c>
      <c r="H56" s="21" t="s">
        <v>23</v>
      </c>
      <c r="I56" s="21" t="s">
        <v>23</v>
      </c>
      <c r="J56" s="21">
        <v>64</v>
      </c>
      <c r="K56" s="21" t="s">
        <v>267</v>
      </c>
      <c r="L56" s="20" t="s">
        <v>263</v>
      </c>
    </row>
    <row r="57" spans="1:12" ht="17.100000000000001" customHeight="1">
      <c r="A57" s="27">
        <v>45698</v>
      </c>
      <c r="B57" s="20" t="s">
        <v>43</v>
      </c>
      <c r="C57" s="21" t="s">
        <v>29</v>
      </c>
      <c r="D57" s="21" t="s">
        <v>268</v>
      </c>
      <c r="E57" s="21" t="s">
        <v>112</v>
      </c>
      <c r="F57" s="21" t="s">
        <v>266</v>
      </c>
      <c r="G57" s="21" t="s">
        <v>23</v>
      </c>
      <c r="H57" s="21" t="s">
        <v>23</v>
      </c>
      <c r="I57" s="21" t="s">
        <v>23</v>
      </c>
      <c r="J57" s="21">
        <v>140</v>
      </c>
      <c r="K57" s="21" t="s">
        <v>269</v>
      </c>
      <c r="L57" s="20" t="s">
        <v>270</v>
      </c>
    </row>
    <row r="58" spans="1:12" ht="17.100000000000001" customHeight="1">
      <c r="A58" s="27">
        <v>45699</v>
      </c>
      <c r="B58" s="20" t="s">
        <v>43</v>
      </c>
      <c r="C58" s="21" t="s">
        <v>29</v>
      </c>
      <c r="D58" s="21" t="s">
        <v>268</v>
      </c>
      <c r="E58" s="21" t="s">
        <v>112</v>
      </c>
      <c r="F58" s="21" t="s">
        <v>266</v>
      </c>
      <c r="G58" s="21" t="s">
        <v>23</v>
      </c>
      <c r="H58" s="21" t="s">
        <v>23</v>
      </c>
      <c r="I58" s="21" t="s">
        <v>23</v>
      </c>
      <c r="J58" s="21">
        <v>68</v>
      </c>
      <c r="K58" s="21" t="s">
        <v>269</v>
      </c>
      <c r="L58" s="20" t="s">
        <v>270</v>
      </c>
    </row>
    <row r="59" spans="1:12" ht="17.100000000000001" customHeight="1">
      <c r="A59" s="27">
        <v>45699</v>
      </c>
      <c r="B59" s="20" t="s">
        <v>43</v>
      </c>
      <c r="C59" s="21" t="s">
        <v>21</v>
      </c>
      <c r="D59" s="21" t="s">
        <v>271</v>
      </c>
      <c r="E59" s="21" t="s">
        <v>112</v>
      </c>
      <c r="F59" s="21" t="s">
        <v>278</v>
      </c>
      <c r="G59" s="21" t="s">
        <v>23</v>
      </c>
      <c r="H59" s="21" t="s">
        <v>23</v>
      </c>
      <c r="I59" s="21" t="s">
        <v>23</v>
      </c>
      <c r="J59" s="21">
        <v>94</v>
      </c>
      <c r="K59" s="21" t="s">
        <v>225</v>
      </c>
      <c r="L59" s="20" t="s">
        <v>272</v>
      </c>
    </row>
    <row r="60" spans="1:12" ht="17.100000000000001" customHeight="1">
      <c r="A60" s="27">
        <v>45699</v>
      </c>
      <c r="B60" s="20" t="s">
        <v>43</v>
      </c>
      <c r="C60" s="21" t="s">
        <v>21</v>
      </c>
      <c r="D60" s="21" t="s">
        <v>271</v>
      </c>
      <c r="E60" s="21" t="s">
        <v>112</v>
      </c>
      <c r="F60" s="21" t="s">
        <v>278</v>
      </c>
      <c r="G60" s="21" t="s">
        <v>23</v>
      </c>
      <c r="H60" s="21" t="s">
        <v>23</v>
      </c>
      <c r="I60" s="21" t="s">
        <v>23</v>
      </c>
      <c r="J60" s="21">
        <v>108</v>
      </c>
      <c r="K60" s="21" t="s">
        <v>225</v>
      </c>
      <c r="L60" s="20" t="s">
        <v>273</v>
      </c>
    </row>
    <row r="61" spans="1:12" ht="17.100000000000001" customHeight="1">
      <c r="A61" s="27">
        <v>45699</v>
      </c>
      <c r="B61" s="20" t="s">
        <v>43</v>
      </c>
      <c r="C61" s="21" t="s">
        <v>21</v>
      </c>
      <c r="D61" s="21" t="s">
        <v>271</v>
      </c>
      <c r="E61" s="21" t="s">
        <v>112</v>
      </c>
      <c r="F61" s="21" t="s">
        <v>278</v>
      </c>
      <c r="G61" s="21" t="s">
        <v>23</v>
      </c>
      <c r="H61" s="21" t="s">
        <v>23</v>
      </c>
      <c r="I61" s="21" t="s">
        <v>23</v>
      </c>
      <c r="J61" s="21">
        <v>72</v>
      </c>
      <c r="K61" s="21" t="s">
        <v>225</v>
      </c>
      <c r="L61" s="20" t="s">
        <v>274</v>
      </c>
    </row>
    <row r="62" spans="1:12" ht="17.100000000000001" customHeight="1">
      <c r="A62" s="27">
        <v>45699</v>
      </c>
      <c r="B62" s="20" t="s">
        <v>116</v>
      </c>
      <c r="C62" s="21" t="s">
        <v>21</v>
      </c>
      <c r="D62" s="21" t="s">
        <v>271</v>
      </c>
      <c r="E62" s="21" t="s">
        <v>112</v>
      </c>
      <c r="F62" s="21" t="s">
        <v>277</v>
      </c>
      <c r="G62" s="21" t="s">
        <v>23</v>
      </c>
      <c r="H62" s="21" t="s">
        <v>23</v>
      </c>
      <c r="I62" s="21" t="s">
        <v>23</v>
      </c>
      <c r="J62" s="21">
        <v>42</v>
      </c>
      <c r="K62" s="21" t="s">
        <v>225</v>
      </c>
      <c r="L62" s="20" t="s">
        <v>276</v>
      </c>
    </row>
    <row r="63" spans="1:12" ht="17.100000000000001" customHeight="1">
      <c r="A63" s="27">
        <v>45699</v>
      </c>
      <c r="B63" s="20" t="s">
        <v>116</v>
      </c>
      <c r="C63" s="21" t="s">
        <v>29</v>
      </c>
      <c r="D63" s="21" t="s">
        <v>279</v>
      </c>
      <c r="E63" s="21" t="s">
        <v>112</v>
      </c>
      <c r="F63" s="21" t="s">
        <v>277</v>
      </c>
      <c r="G63" s="21" t="s">
        <v>23</v>
      </c>
      <c r="H63" s="21" t="s">
        <v>23</v>
      </c>
      <c r="I63" s="21" t="s">
        <v>23</v>
      </c>
      <c r="J63" s="21">
        <v>66</v>
      </c>
      <c r="K63" s="21" t="s">
        <v>225</v>
      </c>
      <c r="L63" s="20" t="s">
        <v>276</v>
      </c>
    </row>
    <row r="64" spans="1:12" ht="17.100000000000001" customHeight="1">
      <c r="A64" s="27">
        <v>45699</v>
      </c>
      <c r="B64" s="20" t="s">
        <v>116</v>
      </c>
      <c r="C64" s="21" t="s">
        <v>29</v>
      </c>
      <c r="D64" s="21" t="s">
        <v>279</v>
      </c>
      <c r="E64" s="21" t="s">
        <v>112</v>
      </c>
      <c r="F64" s="21" t="s">
        <v>277</v>
      </c>
      <c r="G64" s="21" t="s">
        <v>23</v>
      </c>
      <c r="H64" s="21" t="s">
        <v>23</v>
      </c>
      <c r="I64" s="21" t="s">
        <v>23</v>
      </c>
      <c r="J64" s="21">
        <v>72</v>
      </c>
      <c r="K64" s="21" t="s">
        <v>225</v>
      </c>
      <c r="L64" s="20" t="s">
        <v>275</v>
      </c>
    </row>
    <row r="65" spans="1:12" ht="17.100000000000001" customHeight="1">
      <c r="A65" s="27">
        <v>45699</v>
      </c>
      <c r="B65" s="20" t="s">
        <v>55</v>
      </c>
      <c r="C65" s="21" t="s">
        <v>21</v>
      </c>
      <c r="D65" s="21" t="s">
        <v>280</v>
      </c>
      <c r="E65" s="21" t="s">
        <v>112</v>
      </c>
      <c r="F65" s="21" t="s">
        <v>281</v>
      </c>
      <c r="G65" s="21" t="s">
        <v>23</v>
      </c>
      <c r="H65" s="21" t="s">
        <v>23</v>
      </c>
      <c r="I65" s="21" t="s">
        <v>23</v>
      </c>
      <c r="J65" s="21">
        <v>50</v>
      </c>
      <c r="K65" s="21" t="s">
        <v>225</v>
      </c>
      <c r="L65" s="20" t="s">
        <v>282</v>
      </c>
    </row>
    <row r="66" spans="1:12" ht="17.100000000000001" customHeight="1">
      <c r="A66" s="27">
        <v>45699</v>
      </c>
      <c r="B66" s="20" t="s">
        <v>43</v>
      </c>
      <c r="C66" s="21" t="s">
        <v>21</v>
      </c>
      <c r="D66" s="21" t="s">
        <v>284</v>
      </c>
      <c r="E66" s="21" t="s">
        <v>112</v>
      </c>
      <c r="F66" s="21" t="s">
        <v>281</v>
      </c>
      <c r="G66" s="21" t="s">
        <v>23</v>
      </c>
      <c r="H66" s="21" t="s">
        <v>23</v>
      </c>
      <c r="I66" s="21" t="s">
        <v>23</v>
      </c>
      <c r="J66" s="21">
        <v>49</v>
      </c>
      <c r="K66" s="21" t="s">
        <v>225</v>
      </c>
      <c r="L66" s="20" t="s">
        <v>283</v>
      </c>
    </row>
    <row r="67" spans="1:12" ht="17.100000000000001" customHeight="1">
      <c r="A67" s="27">
        <v>45700</v>
      </c>
      <c r="B67" s="20" t="s">
        <v>43</v>
      </c>
      <c r="C67" s="21" t="s">
        <v>21</v>
      </c>
      <c r="D67" s="21" t="s">
        <v>284</v>
      </c>
      <c r="E67" s="21" t="s">
        <v>112</v>
      </c>
      <c r="F67" s="21" t="s">
        <v>285</v>
      </c>
      <c r="G67" s="21" t="s">
        <v>23</v>
      </c>
      <c r="H67" s="21" t="s">
        <v>23</v>
      </c>
      <c r="I67" s="21" t="s">
        <v>23</v>
      </c>
      <c r="J67" s="21">
        <v>182</v>
      </c>
      <c r="K67" s="21" t="s">
        <v>225</v>
      </c>
      <c r="L67" s="20" t="s">
        <v>283</v>
      </c>
    </row>
    <row r="68" spans="1:12" ht="17.100000000000001" customHeight="1">
      <c r="A68" s="27">
        <v>45700</v>
      </c>
      <c r="B68" s="20" t="s">
        <v>43</v>
      </c>
      <c r="C68" s="21" t="s">
        <v>29</v>
      </c>
      <c r="D68" s="21" t="s">
        <v>286</v>
      </c>
      <c r="E68" s="21" t="s">
        <v>112</v>
      </c>
      <c r="F68" s="21" t="s">
        <v>285</v>
      </c>
      <c r="G68" s="21" t="s">
        <v>23</v>
      </c>
      <c r="H68" s="21" t="s">
        <v>23</v>
      </c>
      <c r="I68" s="21" t="s">
        <v>23</v>
      </c>
      <c r="J68" s="21">
        <v>243</v>
      </c>
      <c r="K68" s="21" t="s">
        <v>225</v>
      </c>
      <c r="L68" s="20" t="s">
        <v>283</v>
      </c>
    </row>
    <row r="69" spans="1:12" ht="17.100000000000001" customHeight="1">
      <c r="A69" s="27">
        <v>45700</v>
      </c>
      <c r="B69" s="20" t="s">
        <v>43</v>
      </c>
      <c r="C69" s="21" t="s">
        <v>33</v>
      </c>
      <c r="D69" s="21" t="s">
        <v>287</v>
      </c>
      <c r="E69" s="21" t="s">
        <v>112</v>
      </c>
      <c r="F69" s="21" t="s">
        <v>285</v>
      </c>
      <c r="G69" s="21" t="s">
        <v>23</v>
      </c>
      <c r="H69" s="21" t="s">
        <v>23</v>
      </c>
      <c r="I69" s="21" t="s">
        <v>23</v>
      </c>
      <c r="J69" s="21">
        <v>74</v>
      </c>
      <c r="K69" s="21" t="s">
        <v>225</v>
      </c>
      <c r="L69" s="20" t="s">
        <v>283</v>
      </c>
    </row>
    <row r="70" spans="1:12" ht="17.100000000000001" customHeight="1">
      <c r="A70" s="27">
        <v>45701</v>
      </c>
      <c r="B70" s="20" t="s">
        <v>292</v>
      </c>
      <c r="C70" s="21" t="s">
        <v>21</v>
      </c>
      <c r="D70" s="21" t="s">
        <v>294</v>
      </c>
      <c r="E70" s="21" t="s">
        <v>112</v>
      </c>
      <c r="F70" s="21" t="s">
        <v>293</v>
      </c>
      <c r="G70" s="21" t="s">
        <v>23</v>
      </c>
      <c r="H70" s="21" t="s">
        <v>23</v>
      </c>
      <c r="I70" s="21" t="s">
        <v>23</v>
      </c>
      <c r="J70" s="21">
        <v>147</v>
      </c>
      <c r="K70" s="21" t="s">
        <v>295</v>
      </c>
      <c r="L70" s="20" t="s">
        <v>283</v>
      </c>
    </row>
    <row r="71" spans="1:12" ht="17.100000000000001" customHeight="1">
      <c r="A71" s="27">
        <v>45701</v>
      </c>
      <c r="B71" s="20" t="s">
        <v>20</v>
      </c>
      <c r="C71" s="21" t="s">
        <v>21</v>
      </c>
      <c r="D71" s="21" t="s">
        <v>245</v>
      </c>
      <c r="E71" s="21" t="s">
        <v>23</v>
      </c>
      <c r="F71" s="21" t="s">
        <v>202</v>
      </c>
      <c r="G71" s="21" t="s">
        <v>194</v>
      </c>
      <c r="H71" s="21" t="s">
        <v>23</v>
      </c>
      <c r="I71" s="21" t="s">
        <v>23</v>
      </c>
      <c r="J71" s="21">
        <v>46</v>
      </c>
      <c r="K71" s="21" t="s">
        <v>189</v>
      </c>
      <c r="L71" s="20" t="s">
        <v>299</v>
      </c>
    </row>
    <row r="72" spans="1:12" ht="17.100000000000001" customHeight="1">
      <c r="A72" s="27">
        <v>45701</v>
      </c>
      <c r="B72" s="20" t="s">
        <v>20</v>
      </c>
      <c r="C72" s="21" t="s">
        <v>29</v>
      </c>
      <c r="D72" s="21" t="s">
        <v>296</v>
      </c>
      <c r="E72" s="21" t="s">
        <v>23</v>
      </c>
      <c r="F72" s="21" t="s">
        <v>202</v>
      </c>
      <c r="G72" s="21" t="s">
        <v>194</v>
      </c>
      <c r="H72" s="21" t="s">
        <v>23</v>
      </c>
      <c r="I72" s="21" t="s">
        <v>23</v>
      </c>
      <c r="J72" s="21">
        <v>286</v>
      </c>
      <c r="K72" s="21" t="s">
        <v>189</v>
      </c>
      <c r="L72" s="20" t="s">
        <v>299</v>
      </c>
    </row>
    <row r="73" spans="1:12" ht="17.100000000000001" customHeight="1">
      <c r="A73" s="27">
        <v>45701</v>
      </c>
      <c r="B73" s="20" t="s">
        <v>20</v>
      </c>
      <c r="C73" s="21" t="s">
        <v>33</v>
      </c>
      <c r="D73" s="21" t="s">
        <v>297</v>
      </c>
      <c r="E73" s="21" t="s">
        <v>23</v>
      </c>
      <c r="F73" s="21" t="s">
        <v>202</v>
      </c>
      <c r="G73" s="21" t="s">
        <v>194</v>
      </c>
      <c r="H73" s="21" t="s">
        <v>23</v>
      </c>
      <c r="I73" s="21" t="s">
        <v>23</v>
      </c>
      <c r="J73" s="21">
        <v>286</v>
      </c>
      <c r="K73" s="21" t="s">
        <v>189</v>
      </c>
      <c r="L73" s="20" t="s">
        <v>299</v>
      </c>
    </row>
    <row r="74" spans="1:12" ht="17.100000000000001" customHeight="1">
      <c r="A74" s="27">
        <v>45701</v>
      </c>
      <c r="B74" s="20" t="s">
        <v>20</v>
      </c>
      <c r="C74" s="21" t="s">
        <v>34</v>
      </c>
      <c r="D74" s="21" t="s">
        <v>298</v>
      </c>
      <c r="E74" s="21" t="s">
        <v>23</v>
      </c>
      <c r="F74" s="21" t="s">
        <v>202</v>
      </c>
      <c r="G74" s="21" t="s">
        <v>194</v>
      </c>
      <c r="H74" s="21" t="s">
        <v>23</v>
      </c>
      <c r="I74" s="21" t="s">
        <v>23</v>
      </c>
      <c r="J74" s="21">
        <v>110</v>
      </c>
      <c r="K74" s="21" t="s">
        <v>189</v>
      </c>
      <c r="L74" s="20" t="s">
        <v>299</v>
      </c>
    </row>
    <row r="75" spans="1:12" ht="17.100000000000001" customHeight="1">
      <c r="A75" s="27">
        <v>45701</v>
      </c>
      <c r="B75" s="20" t="s">
        <v>20</v>
      </c>
      <c r="C75" s="21" t="s">
        <v>34</v>
      </c>
      <c r="D75" s="21" t="s">
        <v>298</v>
      </c>
      <c r="E75" s="21" t="s">
        <v>23</v>
      </c>
      <c r="F75" s="21" t="s">
        <v>202</v>
      </c>
      <c r="G75" s="21" t="s">
        <v>194</v>
      </c>
      <c r="H75" s="21" t="s">
        <v>23</v>
      </c>
      <c r="I75" s="21" t="s">
        <v>23</v>
      </c>
      <c r="J75" s="21">
        <v>75</v>
      </c>
      <c r="K75" s="21" t="s">
        <v>189</v>
      </c>
      <c r="L75" s="20" t="s">
        <v>300</v>
      </c>
    </row>
    <row r="76" spans="1:12" ht="17.100000000000001" customHeight="1">
      <c r="A76" s="27">
        <v>45702</v>
      </c>
      <c r="B76" s="20" t="s">
        <v>20</v>
      </c>
      <c r="C76" s="21" t="s">
        <v>21</v>
      </c>
      <c r="D76" s="21" t="s">
        <v>298</v>
      </c>
      <c r="E76" s="21" t="s">
        <v>23</v>
      </c>
      <c r="F76" s="21" t="s">
        <v>202</v>
      </c>
      <c r="G76" s="21" t="s">
        <v>194</v>
      </c>
      <c r="H76" s="21" t="s">
        <v>23</v>
      </c>
      <c r="I76" s="21" t="s">
        <v>23</v>
      </c>
      <c r="J76" s="21">
        <v>101</v>
      </c>
      <c r="K76" s="21" t="s">
        <v>189</v>
      </c>
      <c r="L76" s="20" t="s">
        <v>300</v>
      </c>
    </row>
    <row r="77" spans="1:12" ht="17.100000000000001" customHeight="1">
      <c r="A77" s="27">
        <v>45702</v>
      </c>
      <c r="B77" s="20" t="s">
        <v>20</v>
      </c>
      <c r="C77" s="21" t="s">
        <v>29</v>
      </c>
      <c r="D77" s="21" t="s">
        <v>301</v>
      </c>
      <c r="E77" s="21" t="s">
        <v>23</v>
      </c>
      <c r="F77" s="21" t="s">
        <v>202</v>
      </c>
      <c r="G77" s="21" t="s">
        <v>194</v>
      </c>
      <c r="H77" s="21" t="s">
        <v>23</v>
      </c>
      <c r="I77" s="21" t="s">
        <v>23</v>
      </c>
      <c r="J77" s="21">
        <v>104</v>
      </c>
      <c r="K77" s="21" t="s">
        <v>189</v>
      </c>
      <c r="L77" s="20" t="s">
        <v>300</v>
      </c>
    </row>
    <row r="78" spans="1:12" ht="17.100000000000001" customHeight="1">
      <c r="A78" s="27">
        <v>45702</v>
      </c>
      <c r="B78" s="20" t="s">
        <v>20</v>
      </c>
      <c r="C78" s="21" t="s">
        <v>33</v>
      </c>
      <c r="D78" s="21" t="s">
        <v>302</v>
      </c>
      <c r="E78" s="21" t="s">
        <v>23</v>
      </c>
      <c r="F78" s="21" t="s">
        <v>202</v>
      </c>
      <c r="G78" s="21" t="s">
        <v>194</v>
      </c>
      <c r="H78" s="21" t="s">
        <v>23</v>
      </c>
      <c r="I78" s="21" t="s">
        <v>23</v>
      </c>
      <c r="J78" s="21">
        <v>240</v>
      </c>
      <c r="K78" s="21" t="s">
        <v>189</v>
      </c>
      <c r="L78" s="20" t="s">
        <v>300</v>
      </c>
    </row>
    <row r="79" spans="1:12" ht="17.100000000000001" customHeight="1">
      <c r="A79" s="27">
        <v>45705</v>
      </c>
      <c r="B79" s="20" t="s">
        <v>43</v>
      </c>
      <c r="C79" s="21" t="s">
        <v>21</v>
      </c>
      <c r="D79" s="21" t="s">
        <v>287</v>
      </c>
      <c r="E79" s="21" t="s">
        <v>112</v>
      </c>
      <c r="F79" s="21" t="s">
        <v>303</v>
      </c>
      <c r="G79" s="21" t="s">
        <v>23</v>
      </c>
      <c r="H79" s="21" t="s">
        <v>23</v>
      </c>
      <c r="I79" s="21" t="s">
        <v>23</v>
      </c>
      <c r="J79" s="21">
        <v>108</v>
      </c>
      <c r="K79" s="21" t="s">
        <v>304</v>
      </c>
      <c r="L79" s="20" t="s">
        <v>305</v>
      </c>
    </row>
    <row r="80" spans="1:12" ht="17.100000000000001" customHeight="1">
      <c r="A80" s="27">
        <v>45705</v>
      </c>
      <c r="B80" s="20" t="s">
        <v>43</v>
      </c>
      <c r="C80" s="21" t="s">
        <v>21</v>
      </c>
      <c r="D80" s="21" t="s">
        <v>287</v>
      </c>
      <c r="E80" s="21" t="s">
        <v>112</v>
      </c>
      <c r="F80" s="21" t="s">
        <v>303</v>
      </c>
      <c r="G80" s="21" t="s">
        <v>23</v>
      </c>
      <c r="H80" s="21" t="s">
        <v>23</v>
      </c>
      <c r="I80" s="21" t="s">
        <v>23</v>
      </c>
      <c r="J80" s="21">
        <v>42</v>
      </c>
      <c r="K80" s="21" t="s">
        <v>304</v>
      </c>
      <c r="L80" s="20" t="s">
        <v>306</v>
      </c>
    </row>
    <row r="81" spans="1:14" ht="17.100000000000001" customHeight="1">
      <c r="A81" s="27">
        <v>45705</v>
      </c>
      <c r="B81" s="20" t="s">
        <v>43</v>
      </c>
      <c r="C81" s="21" t="s">
        <v>29</v>
      </c>
      <c r="D81" s="21" t="s">
        <v>109</v>
      </c>
      <c r="E81" s="21" t="s">
        <v>112</v>
      </c>
      <c r="F81" s="21" t="s">
        <v>303</v>
      </c>
      <c r="G81" s="21" t="s">
        <v>23</v>
      </c>
      <c r="H81" s="21" t="s">
        <v>23</v>
      </c>
      <c r="I81" s="21" t="s">
        <v>23</v>
      </c>
      <c r="J81" s="21">
        <v>30</v>
      </c>
      <c r="K81" s="21" t="s">
        <v>304</v>
      </c>
      <c r="L81" s="20" t="s">
        <v>306</v>
      </c>
    </row>
    <row r="82" spans="1:14">
      <c r="A82" s="27">
        <v>45705</v>
      </c>
      <c r="B82" s="20" t="s">
        <v>43</v>
      </c>
      <c r="C82" s="21" t="s">
        <v>29</v>
      </c>
      <c r="D82" s="21" t="s">
        <v>109</v>
      </c>
      <c r="E82" s="21" t="s">
        <v>112</v>
      </c>
      <c r="F82" s="21" t="s">
        <v>308</v>
      </c>
      <c r="G82" s="21" t="s">
        <v>23</v>
      </c>
      <c r="H82" s="21" t="s">
        <v>23</v>
      </c>
      <c r="I82" s="21" t="s">
        <v>23</v>
      </c>
      <c r="J82" s="21">
        <v>72</v>
      </c>
      <c r="K82" s="21" t="s">
        <v>304</v>
      </c>
      <c r="L82" s="20" t="s">
        <v>307</v>
      </c>
      <c r="M82" s="18"/>
      <c r="N82" s="17"/>
    </row>
    <row r="83" spans="1:14">
      <c r="A83" s="27">
        <v>45705</v>
      </c>
      <c r="B83" s="20" t="s">
        <v>43</v>
      </c>
      <c r="C83" s="21" t="s">
        <v>29</v>
      </c>
      <c r="D83" s="21" t="s">
        <v>109</v>
      </c>
      <c r="E83" s="21" t="s">
        <v>112</v>
      </c>
      <c r="F83" s="21" t="s">
        <v>308</v>
      </c>
      <c r="G83" s="21" t="s">
        <v>23</v>
      </c>
      <c r="H83" s="21" t="s">
        <v>23</v>
      </c>
      <c r="I83" s="21" t="s">
        <v>23</v>
      </c>
      <c r="J83" s="21">
        <v>48</v>
      </c>
      <c r="K83" s="21" t="s">
        <v>304</v>
      </c>
      <c r="L83" s="20" t="s">
        <v>309</v>
      </c>
    </row>
    <row r="84" spans="1:14">
      <c r="A84" s="27">
        <v>45705</v>
      </c>
      <c r="B84" s="20" t="s">
        <v>20</v>
      </c>
      <c r="C84" s="21" t="s">
        <v>21</v>
      </c>
      <c r="D84" s="21" t="s">
        <v>302</v>
      </c>
      <c r="E84" s="21" t="s">
        <v>23</v>
      </c>
      <c r="F84" s="21" t="s">
        <v>310</v>
      </c>
      <c r="G84" s="21" t="s">
        <v>194</v>
      </c>
      <c r="H84" s="21" t="s">
        <v>23</v>
      </c>
      <c r="I84" s="21" t="s">
        <v>23</v>
      </c>
      <c r="J84" s="21">
        <v>46</v>
      </c>
      <c r="K84" s="21" t="s">
        <v>189</v>
      </c>
      <c r="L84" s="20" t="s">
        <v>311</v>
      </c>
    </row>
    <row r="85" spans="1:14">
      <c r="A85" s="27">
        <v>45705</v>
      </c>
      <c r="B85" s="20" t="s">
        <v>20</v>
      </c>
      <c r="C85" s="21" t="s">
        <v>29</v>
      </c>
      <c r="D85" s="21" t="s">
        <v>312</v>
      </c>
      <c r="E85" s="21" t="s">
        <v>23</v>
      </c>
      <c r="F85" s="21" t="s">
        <v>310</v>
      </c>
      <c r="G85" s="21" t="s">
        <v>194</v>
      </c>
      <c r="H85" s="21" t="s">
        <v>23</v>
      </c>
      <c r="I85" s="21" t="s">
        <v>23</v>
      </c>
      <c r="J85" s="21">
        <v>98</v>
      </c>
      <c r="K85" s="21" t="s">
        <v>189</v>
      </c>
      <c r="L85" s="20" t="s">
        <v>311</v>
      </c>
    </row>
    <row r="86" spans="1:14">
      <c r="A86" s="27">
        <v>45705</v>
      </c>
      <c r="B86" s="20" t="s">
        <v>20</v>
      </c>
      <c r="C86" s="21" t="s">
        <v>29</v>
      </c>
      <c r="D86" s="21" t="s">
        <v>312</v>
      </c>
      <c r="E86" s="21" t="s">
        <v>23</v>
      </c>
      <c r="F86" s="21" t="s">
        <v>310</v>
      </c>
      <c r="G86" s="21" t="s">
        <v>194</v>
      </c>
      <c r="H86" s="21" t="s">
        <v>23</v>
      </c>
      <c r="I86" s="21" t="s">
        <v>23</v>
      </c>
      <c r="J86" s="21">
        <v>104</v>
      </c>
      <c r="K86" s="21" t="s">
        <v>189</v>
      </c>
      <c r="L86" s="20" t="s">
        <v>313</v>
      </c>
    </row>
    <row r="87" spans="1:14">
      <c r="A87" s="27">
        <v>45705</v>
      </c>
      <c r="B87" s="20" t="s">
        <v>20</v>
      </c>
      <c r="C87" s="21" t="s">
        <v>29</v>
      </c>
      <c r="D87" s="21" t="s">
        <v>312</v>
      </c>
      <c r="E87" s="21" t="s">
        <v>23</v>
      </c>
      <c r="F87" s="21" t="s">
        <v>310</v>
      </c>
      <c r="G87" s="21" t="s">
        <v>194</v>
      </c>
      <c r="H87" s="21" t="s">
        <v>23</v>
      </c>
      <c r="I87" s="21" t="s">
        <v>23</v>
      </c>
      <c r="J87" s="21">
        <v>84</v>
      </c>
      <c r="K87" s="21" t="s">
        <v>189</v>
      </c>
      <c r="L87" s="20" t="s">
        <v>314</v>
      </c>
    </row>
    <row r="88" spans="1:14">
      <c r="A88" s="27">
        <v>45705</v>
      </c>
      <c r="B88" s="20" t="s">
        <v>20</v>
      </c>
      <c r="C88" s="21" t="s">
        <v>33</v>
      </c>
      <c r="D88" s="21" t="s">
        <v>301</v>
      </c>
      <c r="E88" s="21" t="s">
        <v>23</v>
      </c>
      <c r="F88" s="21" t="s">
        <v>310</v>
      </c>
      <c r="G88" s="21" t="s">
        <v>194</v>
      </c>
      <c r="H88" s="21" t="s">
        <v>23</v>
      </c>
      <c r="I88" s="21" t="s">
        <v>23</v>
      </c>
      <c r="J88" s="21">
        <v>20</v>
      </c>
      <c r="K88" s="21" t="s">
        <v>189</v>
      </c>
      <c r="L88" s="20" t="s">
        <v>314</v>
      </c>
    </row>
    <row r="89" spans="1:14">
      <c r="A89" s="27">
        <v>45705</v>
      </c>
      <c r="B89" s="20" t="s">
        <v>43</v>
      </c>
      <c r="C89" s="21" t="s">
        <v>33</v>
      </c>
      <c r="D89" s="21" t="s">
        <v>85</v>
      </c>
      <c r="E89" s="21" t="s">
        <v>112</v>
      </c>
      <c r="F89" s="21" t="s">
        <v>315</v>
      </c>
      <c r="G89" s="21" t="s">
        <v>23</v>
      </c>
      <c r="H89" s="21" t="s">
        <v>23</v>
      </c>
      <c r="I89" s="21" t="s">
        <v>23</v>
      </c>
      <c r="J89" s="21">
        <v>96</v>
      </c>
      <c r="K89" s="21" t="s">
        <v>304</v>
      </c>
      <c r="L89" s="20" t="s">
        <v>309</v>
      </c>
    </row>
    <row r="90" spans="1:14">
      <c r="A90" s="27">
        <v>45705</v>
      </c>
      <c r="B90" s="20" t="s">
        <v>43</v>
      </c>
      <c r="C90" s="21" t="s">
        <v>33</v>
      </c>
      <c r="D90" s="21" t="s">
        <v>85</v>
      </c>
      <c r="E90" s="21" t="s">
        <v>112</v>
      </c>
      <c r="F90" s="21" t="s">
        <v>315</v>
      </c>
      <c r="G90" s="21" t="s">
        <v>23</v>
      </c>
      <c r="H90" s="21" t="s">
        <v>23</v>
      </c>
      <c r="I90" s="21" t="s">
        <v>23</v>
      </c>
      <c r="J90" s="21">
        <v>144</v>
      </c>
      <c r="K90" s="21" t="s">
        <v>304</v>
      </c>
      <c r="L90" s="20" t="s">
        <v>316</v>
      </c>
    </row>
    <row r="91" spans="1:14">
      <c r="A91" s="27">
        <v>45705</v>
      </c>
      <c r="B91" s="20" t="s">
        <v>116</v>
      </c>
      <c r="C91" s="21" t="s">
        <v>21</v>
      </c>
      <c r="D91" s="21"/>
      <c r="E91" s="21" t="s">
        <v>112</v>
      </c>
      <c r="F91" s="21"/>
      <c r="G91" s="21" t="s">
        <v>23</v>
      </c>
      <c r="H91" s="21" t="s">
        <v>23</v>
      </c>
      <c r="I91" s="21" t="s">
        <v>23</v>
      </c>
      <c r="J91" s="21">
        <v>72</v>
      </c>
      <c r="K91" s="21" t="s">
        <v>304</v>
      </c>
      <c r="L91" s="20" t="s">
        <v>317</v>
      </c>
    </row>
    <row r="92" spans="1:14">
      <c r="A92" s="27">
        <v>45705</v>
      </c>
      <c r="B92" s="20" t="s">
        <v>20</v>
      </c>
      <c r="C92" s="21" t="s">
        <v>33</v>
      </c>
      <c r="D92" s="21" t="s">
        <v>301</v>
      </c>
      <c r="E92" s="21" t="s">
        <v>23</v>
      </c>
      <c r="F92" s="21" t="s">
        <v>310</v>
      </c>
      <c r="G92" s="21" t="s">
        <v>194</v>
      </c>
      <c r="H92" s="21" t="s">
        <v>23</v>
      </c>
      <c r="I92" s="21" t="s">
        <v>23</v>
      </c>
      <c r="J92" s="21">
        <v>80</v>
      </c>
      <c r="K92" s="21" t="s">
        <v>189</v>
      </c>
      <c r="L92" s="20" t="s">
        <v>318</v>
      </c>
    </row>
    <row r="93" spans="1:14">
      <c r="A93" s="27">
        <v>45705</v>
      </c>
      <c r="B93" s="20" t="s">
        <v>20</v>
      </c>
      <c r="C93" s="21" t="s">
        <v>34</v>
      </c>
      <c r="D93" s="21" t="s">
        <v>322</v>
      </c>
      <c r="E93" s="21" t="s">
        <v>23</v>
      </c>
      <c r="F93" s="21" t="s">
        <v>310</v>
      </c>
      <c r="G93" s="21" t="s">
        <v>194</v>
      </c>
      <c r="H93" s="21" t="s">
        <v>23</v>
      </c>
      <c r="I93" s="21" t="s">
        <v>23</v>
      </c>
      <c r="J93" s="21">
        <v>24</v>
      </c>
      <c r="K93" s="21" t="s">
        <v>189</v>
      </c>
      <c r="L93" s="20" t="s">
        <v>318</v>
      </c>
    </row>
    <row r="94" spans="1:14">
      <c r="A94" s="27">
        <v>45705</v>
      </c>
      <c r="B94" s="20" t="s">
        <v>20</v>
      </c>
      <c r="C94" s="21" t="s">
        <v>34</v>
      </c>
      <c r="D94" s="21" t="s">
        <v>322</v>
      </c>
      <c r="E94" s="21" t="s">
        <v>23</v>
      </c>
      <c r="F94" s="21" t="s">
        <v>310</v>
      </c>
      <c r="G94" s="21" t="s">
        <v>194</v>
      </c>
      <c r="H94" s="21" t="s">
        <v>23</v>
      </c>
      <c r="I94" s="21" t="s">
        <v>23</v>
      </c>
      <c r="J94" s="21">
        <v>72</v>
      </c>
      <c r="K94" s="21" t="s">
        <v>189</v>
      </c>
      <c r="L94" s="20" t="s">
        <v>319</v>
      </c>
    </row>
    <row r="95" spans="1:14">
      <c r="A95" s="27">
        <v>45705</v>
      </c>
      <c r="B95" s="20" t="s">
        <v>20</v>
      </c>
      <c r="C95" s="21" t="s">
        <v>34</v>
      </c>
      <c r="D95" s="21" t="s">
        <v>322</v>
      </c>
      <c r="E95" s="21" t="s">
        <v>23</v>
      </c>
      <c r="F95" s="21" t="s">
        <v>310</v>
      </c>
      <c r="G95" s="21" t="s">
        <v>194</v>
      </c>
      <c r="H95" s="21" t="s">
        <v>23</v>
      </c>
      <c r="I95" s="21" t="s">
        <v>23</v>
      </c>
      <c r="J95" s="21">
        <v>72</v>
      </c>
      <c r="K95" s="21" t="s">
        <v>189</v>
      </c>
      <c r="L95" s="20" t="s">
        <v>320</v>
      </c>
    </row>
    <row r="96" spans="1:14">
      <c r="A96" s="27">
        <v>45705</v>
      </c>
      <c r="B96" s="20" t="s">
        <v>20</v>
      </c>
      <c r="C96" s="21" t="s">
        <v>34</v>
      </c>
      <c r="D96" s="21" t="s">
        <v>322</v>
      </c>
      <c r="E96" s="21" t="s">
        <v>23</v>
      </c>
      <c r="F96" s="21" t="s">
        <v>310</v>
      </c>
      <c r="G96" s="21" t="s">
        <v>194</v>
      </c>
      <c r="H96" s="21" t="s">
        <v>23</v>
      </c>
      <c r="I96" s="21" t="s">
        <v>23</v>
      </c>
      <c r="J96" s="21">
        <v>72</v>
      </c>
      <c r="K96" s="21" t="s">
        <v>189</v>
      </c>
      <c r="L96" s="20" t="s">
        <v>321</v>
      </c>
    </row>
    <row r="97" spans="1:12">
      <c r="A97" s="27">
        <v>45708</v>
      </c>
      <c r="B97" s="20" t="s">
        <v>116</v>
      </c>
      <c r="C97" s="21" t="s">
        <v>21</v>
      </c>
      <c r="D97" s="21" t="s">
        <v>323</v>
      </c>
      <c r="E97" s="21" t="s">
        <v>112</v>
      </c>
      <c r="F97" s="21" t="s">
        <v>324</v>
      </c>
      <c r="G97" s="21" t="s">
        <v>23</v>
      </c>
      <c r="H97" s="21" t="s">
        <v>23</v>
      </c>
      <c r="I97" s="21" t="s">
        <v>23</v>
      </c>
      <c r="J97" s="21">
        <v>22</v>
      </c>
      <c r="K97" s="21" t="s">
        <v>325</v>
      </c>
      <c r="L97" s="20" t="s">
        <v>317</v>
      </c>
    </row>
    <row r="98" spans="1:12">
      <c r="A98" s="27">
        <v>45708</v>
      </c>
      <c r="B98" s="20" t="s">
        <v>116</v>
      </c>
      <c r="C98" s="21" t="s">
        <v>21</v>
      </c>
      <c r="D98" s="21" t="s">
        <v>323</v>
      </c>
      <c r="E98" s="21" t="s">
        <v>112</v>
      </c>
      <c r="F98" s="21" t="s">
        <v>324</v>
      </c>
      <c r="G98" s="21" t="s">
        <v>23</v>
      </c>
      <c r="H98" s="21" t="s">
        <v>23</v>
      </c>
      <c r="I98" s="21" t="s">
        <v>23</v>
      </c>
      <c r="J98" s="21">
        <v>72</v>
      </c>
      <c r="K98" s="21" t="s">
        <v>325</v>
      </c>
      <c r="L98" s="20" t="s">
        <v>326</v>
      </c>
    </row>
    <row r="99" spans="1:12">
      <c r="A99" s="27">
        <v>45708</v>
      </c>
      <c r="B99" s="20" t="s">
        <v>116</v>
      </c>
      <c r="C99" s="21" t="s">
        <v>21</v>
      </c>
      <c r="D99" s="21" t="s">
        <v>323</v>
      </c>
      <c r="E99" s="21" t="s">
        <v>112</v>
      </c>
      <c r="F99" s="21" t="s">
        <v>324</v>
      </c>
      <c r="G99" s="21" t="s">
        <v>23</v>
      </c>
      <c r="H99" s="21" t="s">
        <v>23</v>
      </c>
      <c r="I99" s="21" t="s">
        <v>23</v>
      </c>
      <c r="J99" s="21">
        <v>50</v>
      </c>
      <c r="K99" s="21" t="s">
        <v>325</v>
      </c>
      <c r="L99" s="20" t="s">
        <v>327</v>
      </c>
    </row>
    <row r="100" spans="1:12">
      <c r="A100" s="27"/>
      <c r="B100" s="20"/>
      <c r="C100" s="21"/>
      <c r="D100" s="21"/>
      <c r="E100" s="21"/>
      <c r="F100" s="21"/>
      <c r="H100" s="21"/>
      <c r="I100" s="21"/>
      <c r="J100" s="21"/>
      <c r="K100" s="21"/>
      <c r="L100" s="20"/>
    </row>
    <row r="101" spans="1:12">
      <c r="A101" s="27">
        <v>45709</v>
      </c>
      <c r="B101" s="20" t="s">
        <v>43</v>
      </c>
      <c r="C101" s="21" t="s">
        <v>21</v>
      </c>
      <c r="D101" s="21" t="s">
        <v>328</v>
      </c>
      <c r="E101" s="21" t="s">
        <v>329</v>
      </c>
      <c r="F101" s="27" t="s">
        <v>330</v>
      </c>
      <c r="G101" s="20" t="s">
        <v>23</v>
      </c>
      <c r="H101" s="21" t="s">
        <v>23</v>
      </c>
      <c r="I101" s="21" t="s">
        <v>23</v>
      </c>
      <c r="J101" s="21">
        <v>4</v>
      </c>
      <c r="K101" s="21" t="s">
        <v>331</v>
      </c>
      <c r="L101" s="21" t="s">
        <v>332</v>
      </c>
    </row>
    <row r="102" spans="1:12">
      <c r="A102" s="27">
        <v>45709</v>
      </c>
      <c r="B102" s="20" t="s">
        <v>43</v>
      </c>
      <c r="C102" s="21" t="s">
        <v>21</v>
      </c>
      <c r="D102" s="21" t="s">
        <v>328</v>
      </c>
      <c r="E102" s="21" t="s">
        <v>329</v>
      </c>
      <c r="F102" s="27" t="s">
        <v>330</v>
      </c>
      <c r="G102" s="20" t="s">
        <v>23</v>
      </c>
      <c r="H102" s="21" t="s">
        <v>23</v>
      </c>
      <c r="I102" s="21" t="s">
        <v>23</v>
      </c>
      <c r="J102" s="21">
        <v>198</v>
      </c>
      <c r="K102" s="21" t="s">
        <v>331</v>
      </c>
      <c r="L102" s="21" t="s">
        <v>333</v>
      </c>
    </row>
    <row r="103" spans="1:12">
      <c r="A103" s="27">
        <v>45709</v>
      </c>
      <c r="B103" s="20" t="s">
        <v>43</v>
      </c>
      <c r="C103" s="21" t="s">
        <v>29</v>
      </c>
      <c r="D103" s="21" t="s">
        <v>334</v>
      </c>
      <c r="E103" s="21" t="s">
        <v>112</v>
      </c>
      <c r="F103" s="21" t="s">
        <v>335</v>
      </c>
      <c r="G103" s="21" t="s">
        <v>23</v>
      </c>
      <c r="H103" s="21" t="s">
        <v>23</v>
      </c>
      <c r="I103" s="21" t="s">
        <v>23</v>
      </c>
      <c r="J103" s="21">
        <v>240</v>
      </c>
      <c r="K103" s="21" t="s">
        <v>331</v>
      </c>
      <c r="L103" s="20" t="s">
        <v>333</v>
      </c>
    </row>
    <row r="104" spans="1:12">
      <c r="A104" s="27">
        <v>45709</v>
      </c>
      <c r="B104" s="20" t="s">
        <v>43</v>
      </c>
      <c r="C104" s="21" t="s">
        <v>33</v>
      </c>
      <c r="D104" s="21" t="s">
        <v>336</v>
      </c>
      <c r="E104" s="21" t="s">
        <v>112</v>
      </c>
      <c r="F104" s="21" t="s">
        <v>335</v>
      </c>
      <c r="G104" s="20" t="s">
        <v>23</v>
      </c>
      <c r="H104" s="21" t="s">
        <v>23</v>
      </c>
      <c r="I104" s="21" t="s">
        <v>23</v>
      </c>
      <c r="J104" s="21">
        <v>144</v>
      </c>
      <c r="K104" s="21" t="s">
        <v>331</v>
      </c>
      <c r="L104" s="20" t="s">
        <v>333</v>
      </c>
    </row>
    <row r="105" spans="1:12">
      <c r="A105" s="27">
        <v>45710</v>
      </c>
      <c r="B105" s="20" t="s">
        <v>43</v>
      </c>
      <c r="C105" s="21" t="s">
        <v>21</v>
      </c>
      <c r="D105" s="21" t="s">
        <v>336</v>
      </c>
      <c r="E105" s="21" t="s">
        <v>112</v>
      </c>
      <c r="F105" s="21" t="s">
        <v>335</v>
      </c>
      <c r="G105" s="20" t="s">
        <v>23</v>
      </c>
      <c r="H105" s="21" t="s">
        <v>23</v>
      </c>
      <c r="I105" s="21" t="s">
        <v>23</v>
      </c>
      <c r="J105" s="21">
        <v>94</v>
      </c>
      <c r="K105" s="21" t="s">
        <v>331</v>
      </c>
      <c r="L105" s="20" t="s">
        <v>333</v>
      </c>
    </row>
    <row r="106" spans="1:12">
      <c r="A106" s="27">
        <v>45710</v>
      </c>
      <c r="B106" s="20" t="s">
        <v>116</v>
      </c>
      <c r="C106" s="21" t="s">
        <v>21</v>
      </c>
      <c r="D106" s="21" t="s">
        <v>337</v>
      </c>
      <c r="E106" s="21" t="s">
        <v>329</v>
      </c>
      <c r="F106" s="21" t="s">
        <v>338</v>
      </c>
      <c r="G106" s="20" t="s">
        <v>23</v>
      </c>
      <c r="H106" s="21" t="s">
        <v>23</v>
      </c>
      <c r="I106" s="21" t="s">
        <v>23</v>
      </c>
      <c r="J106" s="21">
        <v>108</v>
      </c>
      <c r="K106" s="21" t="s">
        <v>331</v>
      </c>
      <c r="L106" s="20" t="s">
        <v>339</v>
      </c>
    </row>
    <row r="107" spans="1:12">
      <c r="A107" s="27">
        <v>45710</v>
      </c>
      <c r="B107" s="20" t="s">
        <v>116</v>
      </c>
      <c r="C107" s="21" t="s">
        <v>21</v>
      </c>
      <c r="D107" s="21" t="s">
        <v>337</v>
      </c>
      <c r="E107" s="21" t="s">
        <v>329</v>
      </c>
      <c r="F107" s="21" t="s">
        <v>338</v>
      </c>
      <c r="G107" s="20" t="s">
        <v>23</v>
      </c>
      <c r="H107" s="21" t="s">
        <v>23</v>
      </c>
      <c r="I107" s="21" t="s">
        <v>23</v>
      </c>
      <c r="J107" s="21">
        <v>3</v>
      </c>
      <c r="K107" s="21" t="s">
        <v>331</v>
      </c>
      <c r="L107" s="20" t="s">
        <v>340</v>
      </c>
    </row>
    <row r="108" spans="1:12">
      <c r="A108" s="27">
        <v>45710</v>
      </c>
      <c r="B108" s="20" t="s">
        <v>116</v>
      </c>
      <c r="C108" s="21" t="s">
        <v>21</v>
      </c>
      <c r="D108" s="21" t="s">
        <v>337</v>
      </c>
      <c r="E108" s="21" t="s">
        <v>329</v>
      </c>
      <c r="F108" s="21" t="s">
        <v>341</v>
      </c>
      <c r="G108" s="20" t="s">
        <v>23</v>
      </c>
      <c r="H108" s="21" t="s">
        <v>23</v>
      </c>
      <c r="I108" s="21" t="s">
        <v>23</v>
      </c>
      <c r="J108" s="21">
        <v>39</v>
      </c>
      <c r="K108" s="21" t="s">
        <v>331</v>
      </c>
      <c r="L108" s="20" t="s">
        <v>342</v>
      </c>
    </row>
    <row r="109" spans="1:12">
      <c r="A109" s="27">
        <v>45710</v>
      </c>
      <c r="B109" s="20" t="s">
        <v>116</v>
      </c>
      <c r="C109" s="21" t="s">
        <v>29</v>
      </c>
      <c r="D109" s="21" t="s">
        <v>344</v>
      </c>
      <c r="E109" s="21" t="s">
        <v>329</v>
      </c>
      <c r="F109" s="21" t="s">
        <v>341</v>
      </c>
      <c r="G109" s="20" t="s">
        <v>23</v>
      </c>
      <c r="H109" s="21" t="s">
        <v>23</v>
      </c>
      <c r="I109" s="21" t="s">
        <v>23</v>
      </c>
      <c r="J109" s="21">
        <v>105</v>
      </c>
      <c r="K109" s="21" t="s">
        <v>331</v>
      </c>
      <c r="L109" s="20" t="s">
        <v>342</v>
      </c>
    </row>
    <row r="110" spans="1:12">
      <c r="A110" s="27">
        <v>45710</v>
      </c>
      <c r="B110" s="20" t="s">
        <v>116</v>
      </c>
      <c r="C110" s="21" t="s">
        <v>29</v>
      </c>
      <c r="D110" s="21" t="s">
        <v>337</v>
      </c>
      <c r="E110" s="21" t="s">
        <v>329</v>
      </c>
      <c r="F110" s="21" t="s">
        <v>341</v>
      </c>
      <c r="G110" s="20" t="s">
        <v>23</v>
      </c>
      <c r="H110" s="21" t="s">
        <v>23</v>
      </c>
      <c r="I110" s="21" t="s">
        <v>23</v>
      </c>
      <c r="J110" s="21">
        <v>144</v>
      </c>
      <c r="K110" s="21" t="s">
        <v>331</v>
      </c>
      <c r="L110" s="20" t="s">
        <v>343</v>
      </c>
    </row>
    <row r="111" spans="1:12">
      <c r="A111" s="27">
        <v>45710</v>
      </c>
      <c r="B111" s="20" t="s">
        <v>55</v>
      </c>
      <c r="C111" s="21" t="s">
        <v>21</v>
      </c>
      <c r="D111" s="21" t="s">
        <v>109</v>
      </c>
      <c r="E111" s="21" t="s">
        <v>329</v>
      </c>
      <c r="F111" s="21" t="s">
        <v>345</v>
      </c>
      <c r="G111" s="20" t="s">
        <v>23</v>
      </c>
      <c r="H111" s="21" t="s">
        <v>23</v>
      </c>
      <c r="I111" s="21" t="s">
        <v>23</v>
      </c>
      <c r="J111" s="21">
        <v>21</v>
      </c>
      <c r="K111" s="21" t="s">
        <v>331</v>
      </c>
      <c r="L111" s="20" t="s">
        <v>346</v>
      </c>
    </row>
    <row r="112" spans="1:12">
      <c r="A112" s="27">
        <v>45713</v>
      </c>
      <c r="B112" s="20" t="s">
        <v>128</v>
      </c>
      <c r="C112" s="21" t="s">
        <v>21</v>
      </c>
      <c r="D112" s="21" t="s">
        <v>301</v>
      </c>
      <c r="E112" s="21" t="s">
        <v>23</v>
      </c>
      <c r="F112" s="21" t="s">
        <v>23</v>
      </c>
      <c r="G112" s="21" t="s">
        <v>23</v>
      </c>
      <c r="H112" s="21" t="s">
        <v>23</v>
      </c>
      <c r="I112" s="21" t="s">
        <v>23</v>
      </c>
      <c r="J112" s="21">
        <v>144</v>
      </c>
      <c r="K112" s="21" t="s">
        <v>347</v>
      </c>
      <c r="L112" s="20" t="s">
        <v>348</v>
      </c>
    </row>
    <row r="113" spans="1:12">
      <c r="A113" s="27">
        <v>45713</v>
      </c>
      <c r="B113" s="20" t="s">
        <v>39</v>
      </c>
      <c r="C113" s="21" t="s">
        <v>21</v>
      </c>
      <c r="D113" s="21" t="s">
        <v>204</v>
      </c>
      <c r="E113" s="21" t="s">
        <v>23</v>
      </c>
      <c r="F113" s="21" t="s">
        <v>202</v>
      </c>
      <c r="G113" s="21" t="s">
        <v>23</v>
      </c>
      <c r="H113" s="21" t="s">
        <v>23</v>
      </c>
      <c r="I113" s="21" t="s">
        <v>23</v>
      </c>
      <c r="J113" s="21">
        <v>144</v>
      </c>
      <c r="K113" s="21" t="s">
        <v>349</v>
      </c>
      <c r="L113" s="20" t="s">
        <v>350</v>
      </c>
    </row>
    <row r="114" spans="1:12">
      <c r="A114" s="27">
        <v>45713</v>
      </c>
      <c r="B114" s="20" t="s">
        <v>55</v>
      </c>
      <c r="C114" s="21" t="s">
        <v>21</v>
      </c>
      <c r="D114" s="21" t="s">
        <v>351</v>
      </c>
      <c r="E114" s="21" t="s">
        <v>329</v>
      </c>
      <c r="F114" s="21" t="s">
        <v>352</v>
      </c>
      <c r="G114" s="20" t="s">
        <v>23</v>
      </c>
      <c r="H114" s="21" t="s">
        <v>23</v>
      </c>
      <c r="I114" s="21" t="s">
        <v>23</v>
      </c>
      <c r="J114" s="21">
        <v>51</v>
      </c>
      <c r="K114" s="21" t="s">
        <v>331</v>
      </c>
      <c r="L114" s="20" t="s">
        <v>346</v>
      </c>
    </row>
    <row r="115" spans="1:12">
      <c r="A115" s="27">
        <v>45713</v>
      </c>
      <c r="B115" s="20" t="s">
        <v>43</v>
      </c>
      <c r="C115" s="21" t="s">
        <v>21</v>
      </c>
      <c r="D115" s="21" t="s">
        <v>351</v>
      </c>
      <c r="E115" s="21" t="s">
        <v>329</v>
      </c>
      <c r="F115" s="21" t="s">
        <v>352</v>
      </c>
      <c r="G115" s="20" t="s">
        <v>23</v>
      </c>
      <c r="H115" s="21" t="s">
        <v>23</v>
      </c>
      <c r="I115" s="21" t="s">
        <v>23</v>
      </c>
      <c r="J115" s="21">
        <v>5</v>
      </c>
      <c r="K115" s="21" t="s">
        <v>331</v>
      </c>
      <c r="L115" s="20" t="s">
        <v>353</v>
      </c>
    </row>
    <row r="116" spans="1:12">
      <c r="A116" s="27">
        <v>45713</v>
      </c>
      <c r="B116" s="20" t="s">
        <v>43</v>
      </c>
      <c r="C116" s="21" t="s">
        <v>21</v>
      </c>
      <c r="D116" s="21" t="s">
        <v>351</v>
      </c>
      <c r="E116" s="21" t="s">
        <v>329</v>
      </c>
      <c r="F116" s="21" t="s">
        <v>352</v>
      </c>
      <c r="G116" s="20" t="s">
        <v>23</v>
      </c>
      <c r="H116" s="21" t="s">
        <v>23</v>
      </c>
      <c r="I116" s="21" t="s">
        <v>23</v>
      </c>
      <c r="J116" s="21">
        <v>120</v>
      </c>
      <c r="K116" s="21" t="s">
        <v>331</v>
      </c>
      <c r="L116" s="20" t="s">
        <v>354</v>
      </c>
    </row>
    <row r="117" spans="1:12">
      <c r="A117" s="27">
        <v>45714</v>
      </c>
      <c r="B117" s="20" t="s">
        <v>20</v>
      </c>
      <c r="C117" s="21" t="s">
        <v>21</v>
      </c>
      <c r="D117" s="21" t="s">
        <v>301</v>
      </c>
      <c r="E117" s="21" t="s">
        <v>23</v>
      </c>
      <c r="F117" s="21" t="s">
        <v>310</v>
      </c>
      <c r="G117" s="21" t="s">
        <v>194</v>
      </c>
      <c r="H117" s="21" t="s">
        <v>23</v>
      </c>
      <c r="I117" s="21" t="s">
        <v>23</v>
      </c>
      <c r="J117" s="21">
        <v>52</v>
      </c>
      <c r="K117" s="21" t="s">
        <v>347</v>
      </c>
      <c r="L117" s="20" t="s">
        <v>355</v>
      </c>
    </row>
    <row r="118" spans="1:12">
      <c r="A118" s="27">
        <v>45714</v>
      </c>
      <c r="B118" s="20" t="s">
        <v>20</v>
      </c>
      <c r="C118" s="21" t="s">
        <v>21</v>
      </c>
      <c r="D118" s="21" t="s">
        <v>204</v>
      </c>
      <c r="E118" s="21" t="s">
        <v>23</v>
      </c>
      <c r="F118" s="21" t="s">
        <v>310</v>
      </c>
      <c r="G118" s="21" t="s">
        <v>194</v>
      </c>
      <c r="H118" s="21" t="s">
        <v>23</v>
      </c>
      <c r="I118" s="21" t="s">
        <v>23</v>
      </c>
      <c r="J118" s="21">
        <v>3</v>
      </c>
      <c r="K118" s="21" t="s">
        <v>347</v>
      </c>
      <c r="L118" s="20" t="s">
        <v>356</v>
      </c>
    </row>
    <row r="119" spans="1:12">
      <c r="A119" s="27">
        <v>45714</v>
      </c>
      <c r="B119" s="20" t="s">
        <v>39</v>
      </c>
      <c r="C119" s="21" t="s">
        <v>21</v>
      </c>
      <c r="D119" s="21" t="s">
        <v>357</v>
      </c>
      <c r="E119" s="21" t="s">
        <v>23</v>
      </c>
      <c r="F119" s="21" t="s">
        <v>310</v>
      </c>
      <c r="G119" s="21" t="s">
        <v>194</v>
      </c>
      <c r="H119" s="21" t="s">
        <v>23</v>
      </c>
      <c r="I119" s="21" t="s">
        <v>23</v>
      </c>
      <c r="J119" s="21">
        <v>252</v>
      </c>
      <c r="K119" s="21" t="s">
        <v>349</v>
      </c>
      <c r="L119" s="20" t="s">
        <v>358</v>
      </c>
    </row>
    <row r="120" spans="1:12">
      <c r="A120" s="27">
        <v>45714</v>
      </c>
      <c r="B120" s="20" t="s">
        <v>43</v>
      </c>
      <c r="C120" s="21" t="s">
        <v>21</v>
      </c>
      <c r="D120" s="21" t="s">
        <v>359</v>
      </c>
      <c r="E120" s="21" t="s">
        <v>329</v>
      </c>
      <c r="F120" s="21" t="s">
        <v>360</v>
      </c>
      <c r="G120" s="21" t="s">
        <v>23</v>
      </c>
      <c r="H120" s="21" t="s">
        <v>23</v>
      </c>
      <c r="I120" s="21" t="s">
        <v>23</v>
      </c>
      <c r="J120" s="21">
        <v>86</v>
      </c>
      <c r="K120" s="21" t="s">
        <v>361</v>
      </c>
      <c r="L120" s="20" t="s">
        <v>354</v>
      </c>
    </row>
    <row r="121" spans="1:12">
      <c r="A121" s="27">
        <v>45714</v>
      </c>
      <c r="B121" s="20" t="s">
        <v>43</v>
      </c>
      <c r="C121" s="21" t="s">
        <v>29</v>
      </c>
      <c r="D121" s="21" t="s">
        <v>257</v>
      </c>
      <c r="E121" s="21" t="s">
        <v>329</v>
      </c>
      <c r="F121" s="21" t="s">
        <v>360</v>
      </c>
      <c r="G121" s="21" t="s">
        <v>23</v>
      </c>
      <c r="H121" s="21" t="s">
        <v>23</v>
      </c>
      <c r="I121" s="21" t="s">
        <v>23</v>
      </c>
      <c r="J121" s="21">
        <v>2</v>
      </c>
      <c r="K121" s="21" t="s">
        <v>361</v>
      </c>
      <c r="L121" s="20" t="s">
        <v>354</v>
      </c>
    </row>
    <row r="122" spans="1:12">
      <c r="A122" s="27">
        <v>45714</v>
      </c>
      <c r="B122" s="20" t="s">
        <v>43</v>
      </c>
      <c r="C122" s="21" t="s">
        <v>29</v>
      </c>
      <c r="D122" s="21" t="s">
        <v>257</v>
      </c>
      <c r="E122" s="21" t="s">
        <v>329</v>
      </c>
      <c r="F122" s="21" t="s">
        <v>360</v>
      </c>
      <c r="G122" s="21" t="s">
        <v>23</v>
      </c>
      <c r="H122" s="21" t="s">
        <v>23</v>
      </c>
      <c r="I122" s="21" t="s">
        <v>23</v>
      </c>
      <c r="J122" s="21">
        <v>47</v>
      </c>
      <c r="K122" s="21" t="s">
        <v>364</v>
      </c>
      <c r="L122" s="20" t="s">
        <v>362</v>
      </c>
    </row>
    <row r="123" spans="1:12">
      <c r="A123" s="27">
        <v>45714</v>
      </c>
      <c r="B123" s="20" t="s">
        <v>43</v>
      </c>
      <c r="C123" s="21" t="s">
        <v>33</v>
      </c>
      <c r="D123" s="21" t="s">
        <v>363</v>
      </c>
      <c r="E123" s="21" t="s">
        <v>329</v>
      </c>
      <c r="F123" s="21" t="s">
        <v>360</v>
      </c>
      <c r="G123" s="21" t="s">
        <v>23</v>
      </c>
      <c r="H123" s="21" t="s">
        <v>23</v>
      </c>
      <c r="I123" s="21" t="s">
        <v>23</v>
      </c>
      <c r="J123" s="21">
        <v>133</v>
      </c>
      <c r="K123" s="21" t="s">
        <v>364</v>
      </c>
      <c r="L123" s="20" t="s">
        <v>362</v>
      </c>
    </row>
    <row r="124" spans="1:12">
      <c r="A124" s="27">
        <v>45715</v>
      </c>
      <c r="B124" s="20" t="s">
        <v>43</v>
      </c>
      <c r="C124" s="21" t="s">
        <v>21</v>
      </c>
      <c r="D124" s="21" t="s">
        <v>363</v>
      </c>
      <c r="E124" s="21" t="s">
        <v>329</v>
      </c>
      <c r="F124" s="21" t="s">
        <v>365</v>
      </c>
      <c r="G124" s="21" t="s">
        <v>23</v>
      </c>
      <c r="H124" s="21" t="s">
        <v>23</v>
      </c>
      <c r="I124" s="21" t="s">
        <v>23</v>
      </c>
      <c r="J124" s="21">
        <v>107</v>
      </c>
      <c r="K124" s="21" t="s">
        <v>367</v>
      </c>
      <c r="L124" s="20" t="s">
        <v>362</v>
      </c>
    </row>
    <row r="125" spans="1:12">
      <c r="A125" s="27">
        <v>45715</v>
      </c>
      <c r="B125" s="20" t="s">
        <v>43</v>
      </c>
      <c r="C125" s="21" t="s">
        <v>29</v>
      </c>
      <c r="D125" s="21" t="s">
        <v>109</v>
      </c>
      <c r="E125" s="21" t="s">
        <v>329</v>
      </c>
      <c r="F125" s="21" t="s">
        <v>365</v>
      </c>
      <c r="G125" s="21" t="s">
        <v>23</v>
      </c>
      <c r="H125" s="21" t="s">
        <v>23</v>
      </c>
      <c r="I125" s="21" t="s">
        <v>23</v>
      </c>
      <c r="J125" s="21">
        <v>55</v>
      </c>
      <c r="K125" s="21" t="s">
        <v>364</v>
      </c>
      <c r="L125" s="20" t="s">
        <v>362</v>
      </c>
    </row>
    <row r="126" spans="1:12">
      <c r="A126" s="27">
        <v>45715</v>
      </c>
      <c r="B126" s="20" t="s">
        <v>43</v>
      </c>
      <c r="C126" s="21" t="s">
        <v>33</v>
      </c>
      <c r="D126" s="21" t="s">
        <v>366</v>
      </c>
      <c r="E126" s="21" t="s">
        <v>329</v>
      </c>
      <c r="F126" s="21" t="s">
        <v>365</v>
      </c>
      <c r="G126" s="21" t="s">
        <v>23</v>
      </c>
      <c r="H126" s="21" t="s">
        <v>23</v>
      </c>
      <c r="I126" s="21" t="s">
        <v>23</v>
      </c>
      <c r="J126" s="21">
        <v>22</v>
      </c>
      <c r="K126" s="21" t="s">
        <v>364</v>
      </c>
      <c r="L126" s="20" t="s">
        <v>362</v>
      </c>
    </row>
    <row r="127" spans="1:12">
      <c r="A127" s="27">
        <v>45715</v>
      </c>
      <c r="B127" s="20" t="s">
        <v>43</v>
      </c>
      <c r="C127" s="21" t="s">
        <v>34</v>
      </c>
      <c r="D127" s="21" t="s">
        <v>368</v>
      </c>
      <c r="E127" s="21" t="s">
        <v>329</v>
      </c>
      <c r="F127" s="21" t="s">
        <v>369</v>
      </c>
      <c r="G127" s="21" t="s">
        <v>23</v>
      </c>
      <c r="H127" s="21" t="s">
        <v>23</v>
      </c>
      <c r="I127" s="21" t="s">
        <v>23</v>
      </c>
      <c r="J127" s="21">
        <v>108</v>
      </c>
      <c r="K127" s="21" t="s">
        <v>364</v>
      </c>
      <c r="L127" s="20" t="s">
        <v>370</v>
      </c>
    </row>
    <row r="128" spans="1:12">
      <c r="A128" s="27">
        <v>45715</v>
      </c>
      <c r="B128" s="20" t="s">
        <v>43</v>
      </c>
      <c r="C128" s="21" t="s">
        <v>34</v>
      </c>
      <c r="D128" s="21" t="s">
        <v>368</v>
      </c>
      <c r="E128" s="21" t="s">
        <v>329</v>
      </c>
      <c r="F128" s="21" t="s">
        <v>369</v>
      </c>
      <c r="G128" s="21" t="s">
        <v>23</v>
      </c>
      <c r="H128" s="21" t="s">
        <v>23</v>
      </c>
      <c r="I128" s="21" t="s">
        <v>23</v>
      </c>
      <c r="J128" s="21">
        <v>72</v>
      </c>
      <c r="K128" s="21" t="s">
        <v>364</v>
      </c>
      <c r="L128" s="20" t="s">
        <v>371</v>
      </c>
    </row>
    <row r="129" spans="1:12">
      <c r="A129" s="27">
        <v>45715</v>
      </c>
      <c r="B129" s="20" t="s">
        <v>43</v>
      </c>
      <c r="C129" s="21" t="s">
        <v>34</v>
      </c>
      <c r="D129" s="21" t="s">
        <v>368</v>
      </c>
      <c r="E129" s="21" t="s">
        <v>329</v>
      </c>
      <c r="F129" s="21" t="s">
        <v>369</v>
      </c>
      <c r="G129" s="21" t="s">
        <v>23</v>
      </c>
      <c r="H129" s="21" t="s">
        <v>23</v>
      </c>
      <c r="I129" s="21" t="s">
        <v>23</v>
      </c>
      <c r="J129" s="21">
        <v>16</v>
      </c>
      <c r="K129" s="21" t="s">
        <v>364</v>
      </c>
      <c r="L129" s="20" t="s">
        <v>372</v>
      </c>
    </row>
    <row r="130" spans="1:12">
      <c r="A130" s="27">
        <v>45715</v>
      </c>
      <c r="B130" s="20" t="s">
        <v>43</v>
      </c>
      <c r="C130" s="21" t="s">
        <v>139</v>
      </c>
      <c r="D130" s="21" t="s">
        <v>373</v>
      </c>
      <c r="E130" s="21" t="s">
        <v>329</v>
      </c>
      <c r="F130" s="21" t="s">
        <v>369</v>
      </c>
      <c r="G130" s="21" t="s">
        <v>23</v>
      </c>
      <c r="H130" s="21" t="s">
        <v>23</v>
      </c>
      <c r="I130" s="21" t="s">
        <v>23</v>
      </c>
      <c r="J130" s="21">
        <v>198</v>
      </c>
      <c r="K130" s="21" t="s">
        <v>364</v>
      </c>
      <c r="L130" s="20" t="s">
        <v>372</v>
      </c>
    </row>
    <row r="131" spans="1:12">
      <c r="A131" s="27">
        <v>45715</v>
      </c>
      <c r="B131" s="20" t="s">
        <v>43</v>
      </c>
      <c r="C131" s="21" t="s">
        <v>139</v>
      </c>
      <c r="D131" s="21" t="s">
        <v>373</v>
      </c>
      <c r="E131" s="21" t="s">
        <v>329</v>
      </c>
      <c r="F131" s="21" t="s">
        <v>369</v>
      </c>
      <c r="G131" s="21" t="s">
        <v>23</v>
      </c>
      <c r="H131" s="21" t="s">
        <v>23</v>
      </c>
      <c r="I131" s="21" t="s">
        <v>23</v>
      </c>
      <c r="J131" s="21">
        <v>45</v>
      </c>
      <c r="K131" s="21" t="s">
        <v>364</v>
      </c>
      <c r="L131" s="20" t="s">
        <v>374</v>
      </c>
    </row>
    <row r="132" spans="1:12">
      <c r="A132" s="27">
        <v>45715</v>
      </c>
      <c r="B132" s="20" t="s">
        <v>43</v>
      </c>
      <c r="C132" s="21" t="s">
        <v>142</v>
      </c>
      <c r="D132" s="21" t="s">
        <v>375</v>
      </c>
      <c r="E132" s="21" t="s">
        <v>329</v>
      </c>
      <c r="F132" s="21" t="s">
        <v>369</v>
      </c>
      <c r="G132" s="21" t="s">
        <v>23</v>
      </c>
      <c r="H132" s="21" t="s">
        <v>23</v>
      </c>
      <c r="I132" s="21" t="s">
        <v>23</v>
      </c>
      <c r="J132" s="21">
        <v>154</v>
      </c>
      <c r="K132" s="21" t="s">
        <v>364</v>
      </c>
      <c r="L132" s="20" t="s">
        <v>374</v>
      </c>
    </row>
    <row r="133" spans="1:12">
      <c r="A133" s="27">
        <v>45715</v>
      </c>
      <c r="B133" s="20" t="s">
        <v>43</v>
      </c>
      <c r="C133" s="21" t="s">
        <v>143</v>
      </c>
      <c r="D133" s="21" t="s">
        <v>380</v>
      </c>
      <c r="E133" s="21" t="s">
        <v>329</v>
      </c>
      <c r="F133" s="21" t="s">
        <v>369</v>
      </c>
      <c r="G133" s="21" t="s">
        <v>23</v>
      </c>
      <c r="H133" s="21" t="s">
        <v>23</v>
      </c>
      <c r="I133" s="21" t="s">
        <v>23</v>
      </c>
      <c r="J133" s="21">
        <v>102</v>
      </c>
      <c r="K133" s="21" t="s">
        <v>364</v>
      </c>
      <c r="L133" s="20" t="s">
        <v>374</v>
      </c>
    </row>
    <row r="134" spans="1:12">
      <c r="A134" s="27">
        <v>45716</v>
      </c>
      <c r="B134" s="20" t="s">
        <v>20</v>
      </c>
      <c r="C134" s="21" t="s">
        <v>21</v>
      </c>
      <c r="D134" s="21" t="s">
        <v>376</v>
      </c>
      <c r="E134" s="21" t="s">
        <v>23</v>
      </c>
      <c r="F134" s="21" t="s">
        <v>310</v>
      </c>
      <c r="G134" s="21" t="s">
        <v>194</v>
      </c>
      <c r="H134" s="21" t="s">
        <v>23</v>
      </c>
      <c r="I134" s="21" t="s">
        <v>23</v>
      </c>
      <c r="J134" s="21">
        <v>286</v>
      </c>
      <c r="K134" s="21" t="s">
        <v>364</v>
      </c>
      <c r="L134" s="20" t="s">
        <v>377</v>
      </c>
    </row>
    <row r="135" spans="1:12">
      <c r="A135" s="27">
        <v>45716</v>
      </c>
      <c r="B135" s="20" t="s">
        <v>20</v>
      </c>
      <c r="C135" s="21" t="s">
        <v>29</v>
      </c>
      <c r="D135" s="21" t="s">
        <v>378</v>
      </c>
      <c r="E135" s="21" t="s">
        <v>23</v>
      </c>
      <c r="F135" s="21" t="s">
        <v>310</v>
      </c>
      <c r="G135" s="21" t="s">
        <v>194</v>
      </c>
      <c r="H135" s="21" t="s">
        <v>23</v>
      </c>
      <c r="I135" s="21" t="s">
        <v>23</v>
      </c>
      <c r="J135" s="21">
        <v>158</v>
      </c>
      <c r="K135" s="21" t="s">
        <v>364</v>
      </c>
      <c r="L135" s="20" t="s">
        <v>377</v>
      </c>
    </row>
    <row r="136" spans="1:12">
      <c r="A136" s="27">
        <v>45716</v>
      </c>
      <c r="B136" s="20" t="s">
        <v>20</v>
      </c>
      <c r="C136" s="21" t="s">
        <v>33</v>
      </c>
      <c r="D136" s="21" t="s">
        <v>301</v>
      </c>
      <c r="E136" s="21" t="s">
        <v>23</v>
      </c>
      <c r="F136" s="21" t="s">
        <v>310</v>
      </c>
      <c r="G136" s="21" t="s">
        <v>194</v>
      </c>
      <c r="H136" s="21" t="s">
        <v>23</v>
      </c>
      <c r="I136" s="21" t="s">
        <v>23</v>
      </c>
      <c r="J136" s="21">
        <v>76</v>
      </c>
      <c r="K136" s="21" t="s">
        <v>364</v>
      </c>
      <c r="L136" s="20" t="s">
        <v>377</v>
      </c>
    </row>
    <row r="137" spans="1:12">
      <c r="A137" s="27">
        <v>45716</v>
      </c>
      <c r="B137" s="20" t="s">
        <v>20</v>
      </c>
      <c r="C137" s="21" t="s">
        <v>34</v>
      </c>
      <c r="D137" s="21" t="s">
        <v>322</v>
      </c>
      <c r="E137" s="21" t="s">
        <v>23</v>
      </c>
      <c r="F137" s="21" t="s">
        <v>310</v>
      </c>
      <c r="G137" s="21" t="s">
        <v>194</v>
      </c>
      <c r="H137" s="21" t="s">
        <v>23</v>
      </c>
      <c r="I137" s="21" t="s">
        <v>23</v>
      </c>
      <c r="J137" s="21">
        <v>52</v>
      </c>
      <c r="K137" s="21" t="s">
        <v>364</v>
      </c>
      <c r="L137" s="20" t="s">
        <v>379</v>
      </c>
    </row>
    <row r="138" spans="1:12">
      <c r="A138" s="27">
        <v>45716</v>
      </c>
      <c r="B138" s="20" t="s">
        <v>43</v>
      </c>
      <c r="C138" s="21" t="s">
        <v>21</v>
      </c>
      <c r="D138" s="21" t="s">
        <v>380</v>
      </c>
      <c r="E138" s="21" t="s">
        <v>329</v>
      </c>
      <c r="F138" s="21" t="s">
        <v>369</v>
      </c>
      <c r="G138" s="21" t="s">
        <v>23</v>
      </c>
      <c r="H138" s="21" t="s">
        <v>23</v>
      </c>
      <c r="I138" s="21" t="s">
        <v>23</v>
      </c>
      <c r="J138" s="21">
        <v>138</v>
      </c>
      <c r="K138" s="21" t="s">
        <v>114</v>
      </c>
      <c r="L138" s="20" t="s">
        <v>374</v>
      </c>
    </row>
    <row r="139" spans="1:12">
      <c r="A139" s="27">
        <v>45716</v>
      </c>
      <c r="B139" s="20" t="s">
        <v>43</v>
      </c>
      <c r="C139" s="21" t="s">
        <v>29</v>
      </c>
      <c r="D139" s="21" t="s">
        <v>381</v>
      </c>
      <c r="E139" s="21" t="s">
        <v>329</v>
      </c>
      <c r="F139" s="21" t="s">
        <v>369</v>
      </c>
      <c r="G139" s="21" t="s">
        <v>23</v>
      </c>
      <c r="H139" s="21" t="s">
        <v>23</v>
      </c>
      <c r="I139" s="21" t="s">
        <v>23</v>
      </c>
      <c r="J139" s="21">
        <v>237</v>
      </c>
      <c r="K139" s="21" t="s">
        <v>114</v>
      </c>
      <c r="L139" s="20" t="s">
        <v>374</v>
      </c>
    </row>
    <row r="140" spans="1:12">
      <c r="A140" s="22"/>
      <c r="B140" s="20"/>
      <c r="C140" s="21"/>
      <c r="D140" s="21"/>
      <c r="E140" s="21"/>
      <c r="F140" s="21"/>
      <c r="G140" s="21"/>
      <c r="H140" s="21"/>
      <c r="I140" s="21"/>
      <c r="J140" s="21"/>
      <c r="K140" s="21"/>
      <c r="L140" s="20"/>
    </row>
    <row r="141" spans="1:12">
      <c r="A141" s="22"/>
      <c r="B141" s="20"/>
      <c r="C141" s="21"/>
      <c r="D141" s="21"/>
      <c r="E141" s="21"/>
      <c r="F141" s="21"/>
      <c r="G141" s="21"/>
      <c r="H141" s="21"/>
      <c r="I141" s="21"/>
      <c r="J141" s="21"/>
      <c r="K141" s="21"/>
      <c r="L141" s="20"/>
    </row>
    <row r="142" spans="1:12">
      <c r="A142" s="22"/>
      <c r="B142" s="20"/>
      <c r="C142" s="21"/>
      <c r="D142" s="21"/>
      <c r="E142" s="21"/>
      <c r="F142" s="21"/>
      <c r="G142" s="21"/>
      <c r="H142" s="21"/>
      <c r="I142" s="21"/>
      <c r="J142" s="21"/>
      <c r="K142" s="21"/>
      <c r="L142" s="20"/>
    </row>
    <row r="143" spans="1:12">
      <c r="A143" s="22"/>
      <c r="B143" s="20"/>
      <c r="C143" s="21"/>
      <c r="D143" s="21"/>
      <c r="E143" s="21"/>
      <c r="F143" s="21"/>
      <c r="G143" s="21"/>
      <c r="H143" s="21"/>
      <c r="I143" s="21"/>
      <c r="J143" s="21"/>
      <c r="K143" s="21"/>
      <c r="L143" s="20"/>
    </row>
    <row r="144" spans="1:12" ht="15" thickBot="1">
      <c r="A144" s="23"/>
      <c r="B144" s="24"/>
      <c r="C144" s="25"/>
      <c r="D144" s="25"/>
      <c r="E144" s="25"/>
      <c r="F144" s="25"/>
      <c r="G144" s="25"/>
      <c r="H144" s="25"/>
      <c r="I144" s="25"/>
      <c r="J144" s="25"/>
      <c r="K144" s="25"/>
      <c r="L144" s="24"/>
    </row>
    <row r="145" spans="1:12">
      <c r="A145" s="32" t="s">
        <v>291</v>
      </c>
      <c r="B145" s="15"/>
      <c r="C145" s="15"/>
      <c r="D145" s="14"/>
      <c r="E145" s="15"/>
      <c r="H145" s="14" t="s">
        <v>15</v>
      </c>
      <c r="I145" s="14"/>
      <c r="J145" s="14"/>
      <c r="K145" s="15"/>
      <c r="L145" s="16"/>
    </row>
    <row r="146" spans="1:12">
      <c r="I146" s="2" t="s">
        <v>16</v>
      </c>
    </row>
    <row r="147" spans="1:12">
      <c r="I147" s="2" t="s">
        <v>17</v>
      </c>
    </row>
    <row r="148" spans="1:12">
      <c r="I148" s="2" t="s">
        <v>18</v>
      </c>
    </row>
    <row r="149" spans="1:12">
      <c r="I149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2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view="pageBreakPreview" topLeftCell="A103" zoomScaleNormal="100" zoomScaleSheetLayoutView="100" workbookViewId="0">
      <selection activeCell="C14" sqref="C14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20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40">
        <v>45717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45719</v>
      </c>
      <c r="B9" s="20" t="s">
        <v>20</v>
      </c>
      <c r="C9" s="21" t="s">
        <v>21</v>
      </c>
      <c r="D9" s="21" t="s">
        <v>382</v>
      </c>
      <c r="E9" s="21" t="s">
        <v>23</v>
      </c>
      <c r="F9" s="21" t="s">
        <v>310</v>
      </c>
      <c r="G9" s="21" t="s">
        <v>385</v>
      </c>
      <c r="H9" s="21" t="s">
        <v>23</v>
      </c>
      <c r="I9" s="21" t="s">
        <v>23</v>
      </c>
      <c r="J9" s="21">
        <v>44</v>
      </c>
      <c r="K9" s="21" t="s">
        <v>189</v>
      </c>
      <c r="L9" s="20" t="s">
        <v>386</v>
      </c>
    </row>
    <row r="10" spans="1:12" ht="17.100000000000001" customHeight="1">
      <c r="A10" s="27">
        <v>45719</v>
      </c>
      <c r="B10" s="20" t="s">
        <v>20</v>
      </c>
      <c r="C10" s="21" t="s">
        <v>29</v>
      </c>
      <c r="D10" s="21" t="s">
        <v>383</v>
      </c>
      <c r="E10" s="21" t="s">
        <v>23</v>
      </c>
      <c r="F10" s="21" t="s">
        <v>310</v>
      </c>
      <c r="G10" s="21" t="s">
        <v>385</v>
      </c>
      <c r="H10" s="21" t="s">
        <v>23</v>
      </c>
      <c r="I10" s="21" t="s">
        <v>23</v>
      </c>
      <c r="J10" s="21">
        <v>286</v>
      </c>
      <c r="K10" s="21" t="s">
        <v>189</v>
      </c>
      <c r="L10" s="20" t="s">
        <v>386</v>
      </c>
    </row>
    <row r="11" spans="1:12" ht="17.100000000000001" customHeight="1">
      <c r="A11" s="27">
        <v>45719</v>
      </c>
      <c r="B11" s="20" t="s">
        <v>20</v>
      </c>
      <c r="C11" s="21" t="s">
        <v>33</v>
      </c>
      <c r="D11" s="21" t="s">
        <v>384</v>
      </c>
      <c r="E11" s="21" t="s">
        <v>23</v>
      </c>
      <c r="F11" s="21" t="s">
        <v>310</v>
      </c>
      <c r="G11" s="21" t="s">
        <v>385</v>
      </c>
      <c r="H11" s="21" t="s">
        <v>23</v>
      </c>
      <c r="I11" s="21" t="s">
        <v>23</v>
      </c>
      <c r="J11" s="21">
        <v>170</v>
      </c>
      <c r="K11" s="21" t="s">
        <v>189</v>
      </c>
      <c r="L11" s="20" t="s">
        <v>386</v>
      </c>
    </row>
    <row r="12" spans="1:12" ht="17.100000000000001" customHeight="1">
      <c r="A12" s="27">
        <v>45720</v>
      </c>
      <c r="B12" s="20" t="s">
        <v>20</v>
      </c>
      <c r="C12" s="21" t="s">
        <v>21</v>
      </c>
      <c r="D12" s="21" t="s">
        <v>384</v>
      </c>
      <c r="E12" s="21" t="s">
        <v>23</v>
      </c>
      <c r="F12" s="21" t="s">
        <v>310</v>
      </c>
      <c r="G12" s="21" t="s">
        <v>385</v>
      </c>
      <c r="H12" s="21" t="s">
        <v>23</v>
      </c>
      <c r="I12" s="21" t="s">
        <v>23</v>
      </c>
      <c r="J12" s="21">
        <v>116</v>
      </c>
      <c r="K12" s="21" t="s">
        <v>189</v>
      </c>
      <c r="L12" s="20" t="s">
        <v>386</v>
      </c>
    </row>
    <row r="13" spans="1:12" ht="17.100000000000001" customHeight="1">
      <c r="A13" s="27">
        <v>45720</v>
      </c>
      <c r="B13" s="20" t="s">
        <v>20</v>
      </c>
      <c r="C13" s="21" t="s">
        <v>29</v>
      </c>
      <c r="D13" s="21" t="s">
        <v>387</v>
      </c>
      <c r="E13" s="21" t="s">
        <v>23</v>
      </c>
      <c r="F13" s="21" t="s">
        <v>310</v>
      </c>
      <c r="G13" s="21" t="s">
        <v>385</v>
      </c>
      <c r="H13" s="21" t="s">
        <v>23</v>
      </c>
      <c r="I13" s="21" t="s">
        <v>23</v>
      </c>
      <c r="J13" s="21">
        <v>112</v>
      </c>
      <c r="K13" s="21" t="s">
        <v>388</v>
      </c>
      <c r="L13" s="20" t="s">
        <v>386</v>
      </c>
    </row>
    <row r="14" spans="1:12" ht="17.100000000000001" customHeight="1">
      <c r="A14" s="27">
        <v>45720</v>
      </c>
      <c r="B14" s="20" t="s">
        <v>20</v>
      </c>
      <c r="C14" s="21" t="s">
        <v>29</v>
      </c>
      <c r="D14" s="21" t="s">
        <v>387</v>
      </c>
      <c r="E14" s="21" t="s">
        <v>23</v>
      </c>
      <c r="F14" s="21" t="s">
        <v>310</v>
      </c>
      <c r="G14" s="21" t="s">
        <v>385</v>
      </c>
      <c r="H14" s="21" t="s">
        <v>23</v>
      </c>
      <c r="I14" s="21" t="s">
        <v>23</v>
      </c>
      <c r="J14" s="21">
        <v>144</v>
      </c>
      <c r="K14" s="21" t="s">
        <v>388</v>
      </c>
      <c r="L14" s="20" t="s">
        <v>389</v>
      </c>
    </row>
    <row r="15" spans="1:12" ht="17.100000000000001" customHeight="1">
      <c r="A15" s="27">
        <v>45720</v>
      </c>
      <c r="B15" s="20" t="s">
        <v>20</v>
      </c>
      <c r="C15" s="21" t="s">
        <v>29</v>
      </c>
      <c r="D15" s="21" t="s">
        <v>387</v>
      </c>
      <c r="E15" s="21" t="s">
        <v>23</v>
      </c>
      <c r="F15" s="21" t="s">
        <v>310</v>
      </c>
      <c r="G15" s="21" t="s">
        <v>385</v>
      </c>
      <c r="H15" s="21" t="s">
        <v>23</v>
      </c>
      <c r="I15" s="21" t="s">
        <v>23</v>
      </c>
      <c r="J15" s="21">
        <v>30</v>
      </c>
      <c r="K15" s="21" t="s">
        <v>388</v>
      </c>
      <c r="L15" s="20" t="s">
        <v>390</v>
      </c>
    </row>
    <row r="16" spans="1:12" ht="17.100000000000001" customHeight="1">
      <c r="A16" s="27">
        <v>45720</v>
      </c>
      <c r="B16" s="20" t="s">
        <v>20</v>
      </c>
      <c r="C16" s="21" t="s">
        <v>33</v>
      </c>
      <c r="D16" s="21" t="s">
        <v>393</v>
      </c>
      <c r="E16" s="21" t="s">
        <v>23</v>
      </c>
      <c r="F16" s="21" t="s">
        <v>310</v>
      </c>
      <c r="G16" s="21" t="s">
        <v>385</v>
      </c>
      <c r="H16" s="21" t="s">
        <v>23</v>
      </c>
      <c r="I16" s="21" t="s">
        <v>23</v>
      </c>
      <c r="J16" s="21">
        <v>74</v>
      </c>
      <c r="K16" s="21" t="s">
        <v>388</v>
      </c>
      <c r="L16" s="20" t="s">
        <v>390</v>
      </c>
    </row>
    <row r="17" spans="1:12" ht="17.100000000000001" customHeight="1">
      <c r="A17" s="27">
        <v>45720</v>
      </c>
      <c r="B17" s="20" t="s">
        <v>20</v>
      </c>
      <c r="C17" s="21" t="s">
        <v>33</v>
      </c>
      <c r="D17" s="21" t="s">
        <v>393</v>
      </c>
      <c r="E17" s="21" t="s">
        <v>23</v>
      </c>
      <c r="F17" s="21" t="s">
        <v>310</v>
      </c>
      <c r="G17" s="21" t="s">
        <v>385</v>
      </c>
      <c r="H17" s="21" t="s">
        <v>23</v>
      </c>
      <c r="I17" s="21" t="s">
        <v>23</v>
      </c>
      <c r="J17" s="21">
        <v>104</v>
      </c>
      <c r="K17" s="21" t="s">
        <v>388</v>
      </c>
      <c r="L17" s="20" t="s">
        <v>391</v>
      </c>
    </row>
    <row r="18" spans="1:12" ht="17.100000000000001" customHeight="1">
      <c r="A18" s="27">
        <v>45720</v>
      </c>
      <c r="B18" s="20" t="s">
        <v>20</v>
      </c>
      <c r="C18" s="21" t="s">
        <v>33</v>
      </c>
      <c r="D18" s="21" t="s">
        <v>393</v>
      </c>
      <c r="E18" s="21" t="s">
        <v>23</v>
      </c>
      <c r="F18" s="21" t="s">
        <v>310</v>
      </c>
      <c r="G18" s="21" t="s">
        <v>385</v>
      </c>
      <c r="H18" s="21" t="s">
        <v>23</v>
      </c>
      <c r="I18" s="21" t="s">
        <v>23</v>
      </c>
      <c r="J18" s="21">
        <v>104</v>
      </c>
      <c r="K18" s="21" t="s">
        <v>388</v>
      </c>
      <c r="L18" s="20" t="s">
        <v>392</v>
      </c>
    </row>
    <row r="19" spans="1:12" ht="17.100000000000001" customHeight="1">
      <c r="A19" s="27">
        <v>45720</v>
      </c>
      <c r="B19" s="20" t="s">
        <v>20</v>
      </c>
      <c r="C19" s="21" t="s">
        <v>33</v>
      </c>
      <c r="D19" s="21" t="s">
        <v>393</v>
      </c>
      <c r="E19" s="21" t="s">
        <v>23</v>
      </c>
      <c r="F19" s="21" t="s">
        <v>310</v>
      </c>
      <c r="G19" s="21" t="s">
        <v>385</v>
      </c>
      <c r="H19" s="21" t="s">
        <v>23</v>
      </c>
      <c r="I19" s="21" t="s">
        <v>23</v>
      </c>
      <c r="J19" s="21">
        <v>4</v>
      </c>
      <c r="K19" s="21" t="s">
        <v>388</v>
      </c>
      <c r="L19" s="20" t="s">
        <v>394</v>
      </c>
    </row>
    <row r="20" spans="1:12" ht="17.100000000000001" customHeight="1">
      <c r="A20" s="27">
        <v>45720</v>
      </c>
      <c r="B20" s="20" t="s">
        <v>20</v>
      </c>
      <c r="C20" s="21" t="s">
        <v>34</v>
      </c>
      <c r="D20" s="21" t="s">
        <v>397</v>
      </c>
      <c r="E20" s="21" t="s">
        <v>23</v>
      </c>
      <c r="F20" s="21" t="s">
        <v>310</v>
      </c>
      <c r="G20" s="21" t="s">
        <v>385</v>
      </c>
      <c r="H20" s="21" t="s">
        <v>23</v>
      </c>
      <c r="I20" s="21" t="s">
        <v>23</v>
      </c>
      <c r="J20" s="21">
        <v>68</v>
      </c>
      <c r="K20" s="21" t="s">
        <v>388</v>
      </c>
      <c r="L20" s="20" t="s">
        <v>394</v>
      </c>
    </row>
    <row r="21" spans="1:12" ht="17.100000000000001" customHeight="1">
      <c r="A21" s="27">
        <v>45720</v>
      </c>
      <c r="B21" s="20" t="s">
        <v>20</v>
      </c>
      <c r="C21" s="21" t="s">
        <v>34</v>
      </c>
      <c r="D21" s="21" t="s">
        <v>397</v>
      </c>
      <c r="E21" s="21" t="s">
        <v>23</v>
      </c>
      <c r="F21" s="21" t="s">
        <v>310</v>
      </c>
      <c r="G21" s="21" t="s">
        <v>385</v>
      </c>
      <c r="H21" s="21" t="s">
        <v>23</v>
      </c>
      <c r="I21" s="21" t="s">
        <v>23</v>
      </c>
      <c r="J21" s="21">
        <v>72</v>
      </c>
      <c r="K21" s="21" t="s">
        <v>388</v>
      </c>
      <c r="L21" s="20" t="s">
        <v>395</v>
      </c>
    </row>
    <row r="22" spans="1:12" ht="17.100000000000001" customHeight="1">
      <c r="A22" s="27">
        <v>45720</v>
      </c>
      <c r="B22" s="20" t="s">
        <v>20</v>
      </c>
      <c r="C22" s="21" t="s">
        <v>34</v>
      </c>
      <c r="D22" s="21" t="s">
        <v>397</v>
      </c>
      <c r="E22" s="21" t="s">
        <v>23</v>
      </c>
      <c r="F22" s="21" t="s">
        <v>310</v>
      </c>
      <c r="G22" s="21" t="s">
        <v>385</v>
      </c>
      <c r="H22" s="21" t="s">
        <v>23</v>
      </c>
      <c r="I22" s="21" t="s">
        <v>23</v>
      </c>
      <c r="J22" s="21">
        <v>146</v>
      </c>
      <c r="K22" s="21" t="s">
        <v>388</v>
      </c>
      <c r="L22" s="20" t="s">
        <v>396</v>
      </c>
    </row>
    <row r="23" spans="1:12" ht="17.100000000000001" customHeight="1">
      <c r="A23" s="27">
        <v>45720</v>
      </c>
      <c r="B23" s="20" t="s">
        <v>20</v>
      </c>
      <c r="C23" s="21" t="s">
        <v>139</v>
      </c>
      <c r="D23" s="21" t="s">
        <v>398</v>
      </c>
      <c r="E23" s="21" t="s">
        <v>23</v>
      </c>
      <c r="F23" s="21" t="s">
        <v>310</v>
      </c>
      <c r="G23" s="21" t="s">
        <v>385</v>
      </c>
      <c r="H23" s="21" t="s">
        <v>23</v>
      </c>
      <c r="I23" s="21" t="s">
        <v>23</v>
      </c>
      <c r="J23" s="21">
        <v>44</v>
      </c>
      <c r="K23" s="21" t="s">
        <v>388</v>
      </c>
      <c r="L23" s="20" t="s">
        <v>396</v>
      </c>
    </row>
    <row r="24" spans="1:12" ht="17.100000000000001" customHeight="1">
      <c r="A24" s="27">
        <v>45721</v>
      </c>
      <c r="B24" s="20" t="s">
        <v>20</v>
      </c>
      <c r="C24" s="21" t="s">
        <v>21</v>
      </c>
      <c r="D24" s="21" t="s">
        <v>398</v>
      </c>
      <c r="E24" s="21" t="s">
        <v>23</v>
      </c>
      <c r="F24" s="21" t="s">
        <v>202</v>
      </c>
      <c r="G24" s="21" t="s">
        <v>194</v>
      </c>
      <c r="H24" s="21" t="s">
        <v>23</v>
      </c>
      <c r="I24" s="21" t="s">
        <v>23</v>
      </c>
      <c r="J24" s="21">
        <v>242</v>
      </c>
      <c r="K24" s="21" t="s">
        <v>347</v>
      </c>
      <c r="L24" s="20" t="s">
        <v>396</v>
      </c>
    </row>
    <row r="25" spans="1:12" ht="17.100000000000001" customHeight="1">
      <c r="A25" s="27">
        <v>45721</v>
      </c>
      <c r="B25" s="20" t="s">
        <v>20</v>
      </c>
      <c r="C25" s="21" t="s">
        <v>29</v>
      </c>
      <c r="D25" s="21" t="s">
        <v>399</v>
      </c>
      <c r="E25" s="21" t="s">
        <v>23</v>
      </c>
      <c r="F25" s="21" t="s">
        <v>202</v>
      </c>
      <c r="G25" s="21" t="s">
        <v>194</v>
      </c>
      <c r="H25" s="21" t="s">
        <v>23</v>
      </c>
      <c r="I25" s="21" t="s">
        <v>23</v>
      </c>
      <c r="J25" s="21">
        <v>88</v>
      </c>
      <c r="K25" s="21" t="s">
        <v>347</v>
      </c>
      <c r="L25" s="20" t="s">
        <v>396</v>
      </c>
    </row>
    <row r="26" spans="1:12" ht="17.100000000000001" customHeight="1">
      <c r="A26" s="27">
        <v>45721</v>
      </c>
      <c r="B26" s="20" t="s">
        <v>20</v>
      </c>
      <c r="C26" s="21" t="s">
        <v>29</v>
      </c>
      <c r="D26" s="21" t="s">
        <v>399</v>
      </c>
      <c r="E26" s="21" t="s">
        <v>23</v>
      </c>
      <c r="F26" s="21" t="s">
        <v>202</v>
      </c>
      <c r="G26" s="21" t="s">
        <v>194</v>
      </c>
      <c r="H26" s="21" t="s">
        <v>23</v>
      </c>
      <c r="I26" s="21" t="s">
        <v>23</v>
      </c>
      <c r="J26" s="21">
        <v>72</v>
      </c>
      <c r="K26" s="21" t="s">
        <v>347</v>
      </c>
      <c r="L26" s="20" t="s">
        <v>400</v>
      </c>
    </row>
    <row r="27" spans="1:12" ht="17.100000000000001" customHeight="1">
      <c r="A27" s="27">
        <v>45721</v>
      </c>
      <c r="B27" s="20" t="s">
        <v>20</v>
      </c>
      <c r="C27" s="21" t="s">
        <v>29</v>
      </c>
      <c r="D27" s="21" t="s">
        <v>399</v>
      </c>
      <c r="E27" s="21" t="s">
        <v>23</v>
      </c>
      <c r="F27" s="21" t="s">
        <v>202</v>
      </c>
      <c r="G27" s="21" t="s">
        <v>194</v>
      </c>
      <c r="H27" s="21" t="s">
        <v>23</v>
      </c>
      <c r="I27" s="21" t="s">
        <v>23</v>
      </c>
      <c r="J27" s="21">
        <v>50</v>
      </c>
      <c r="K27" s="21" t="s">
        <v>347</v>
      </c>
      <c r="L27" s="20" t="s">
        <v>401</v>
      </c>
    </row>
    <row r="28" spans="1:12" ht="17.100000000000001" customHeight="1">
      <c r="A28" s="27">
        <v>45721</v>
      </c>
      <c r="B28" s="20" t="s">
        <v>20</v>
      </c>
      <c r="C28" s="21" t="s">
        <v>29</v>
      </c>
      <c r="D28" s="21" t="s">
        <v>399</v>
      </c>
      <c r="E28" s="21" t="s">
        <v>23</v>
      </c>
      <c r="F28" s="21" t="s">
        <v>202</v>
      </c>
      <c r="G28" s="21" t="s">
        <v>194</v>
      </c>
      <c r="H28" s="21" t="s">
        <v>23</v>
      </c>
      <c r="I28" s="21" t="s">
        <v>23</v>
      </c>
      <c r="J28" s="21">
        <v>4</v>
      </c>
      <c r="K28" s="21" t="s">
        <v>347</v>
      </c>
      <c r="L28" s="20" t="s">
        <v>402</v>
      </c>
    </row>
    <row r="29" spans="1:12" ht="17.100000000000001" customHeight="1">
      <c r="A29" s="27">
        <v>45721</v>
      </c>
      <c r="B29" s="20" t="s">
        <v>20</v>
      </c>
      <c r="C29" s="21" t="s">
        <v>29</v>
      </c>
      <c r="D29" s="21" t="s">
        <v>399</v>
      </c>
      <c r="E29" s="21" t="s">
        <v>23</v>
      </c>
      <c r="F29" s="21" t="s">
        <v>202</v>
      </c>
      <c r="G29" s="21" t="s">
        <v>194</v>
      </c>
      <c r="H29" s="21" t="s">
        <v>23</v>
      </c>
      <c r="I29" s="21" t="s">
        <v>23</v>
      </c>
      <c r="J29" s="21">
        <v>5</v>
      </c>
      <c r="K29" s="21" t="s">
        <v>347</v>
      </c>
      <c r="L29" s="20" t="s">
        <v>403</v>
      </c>
    </row>
    <row r="30" spans="1:12" ht="17.100000000000001" customHeight="1">
      <c r="A30" s="27">
        <v>45721</v>
      </c>
      <c r="B30" s="20" t="s">
        <v>43</v>
      </c>
      <c r="C30" s="21" t="s">
        <v>21</v>
      </c>
      <c r="D30" s="21" t="s">
        <v>368</v>
      </c>
      <c r="E30" s="21" t="s">
        <v>329</v>
      </c>
      <c r="F30" s="21" t="s">
        <v>365</v>
      </c>
      <c r="G30" s="21" t="s">
        <v>23</v>
      </c>
      <c r="H30" s="21" t="s">
        <v>23</v>
      </c>
      <c r="I30" s="21" t="s">
        <v>23</v>
      </c>
      <c r="J30" s="21">
        <v>144</v>
      </c>
      <c r="K30" s="21" t="s">
        <v>364</v>
      </c>
      <c r="L30" s="20" t="s">
        <v>404</v>
      </c>
    </row>
    <row r="31" spans="1:12" ht="17.100000000000001" customHeight="1">
      <c r="A31" s="27">
        <v>45721</v>
      </c>
      <c r="B31" s="20" t="s">
        <v>55</v>
      </c>
      <c r="C31" s="21" t="s">
        <v>21</v>
      </c>
      <c r="D31" s="21" t="s">
        <v>368</v>
      </c>
      <c r="E31" s="21" t="s">
        <v>329</v>
      </c>
      <c r="F31" s="21" t="s">
        <v>405</v>
      </c>
      <c r="G31" s="21" t="s">
        <v>23</v>
      </c>
      <c r="H31" s="21" t="s">
        <v>23</v>
      </c>
      <c r="I31" s="21" t="s">
        <v>23</v>
      </c>
      <c r="J31" s="21">
        <v>72</v>
      </c>
      <c r="K31" s="21" t="s">
        <v>364</v>
      </c>
      <c r="L31" s="20" t="s">
        <v>406</v>
      </c>
    </row>
    <row r="32" spans="1:12" ht="17.100000000000001" customHeight="1">
      <c r="A32" s="27">
        <v>45721</v>
      </c>
      <c r="B32" s="20" t="s">
        <v>43</v>
      </c>
      <c r="C32" s="21" t="s">
        <v>29</v>
      </c>
      <c r="D32" s="21" t="s">
        <v>407</v>
      </c>
      <c r="E32" s="21" t="s">
        <v>329</v>
      </c>
      <c r="F32" s="21" t="s">
        <v>408</v>
      </c>
      <c r="G32" s="21" t="s">
        <v>23</v>
      </c>
      <c r="H32" s="21" t="s">
        <v>23</v>
      </c>
      <c r="I32" s="21" t="s">
        <v>23</v>
      </c>
      <c r="J32" s="21">
        <v>130</v>
      </c>
      <c r="K32" s="21" t="s">
        <v>409</v>
      </c>
      <c r="L32" s="20" t="s">
        <v>410</v>
      </c>
    </row>
    <row r="33" spans="1:12" ht="17.100000000000001" customHeight="1">
      <c r="A33" s="27">
        <v>45722</v>
      </c>
      <c r="B33" s="20" t="s">
        <v>43</v>
      </c>
      <c r="C33" s="21" t="s">
        <v>21</v>
      </c>
      <c r="D33" s="21" t="s">
        <v>407</v>
      </c>
      <c r="E33" s="21" t="s">
        <v>329</v>
      </c>
      <c r="F33" s="21" t="s">
        <v>408</v>
      </c>
      <c r="G33" s="21" t="s">
        <v>23</v>
      </c>
      <c r="H33" s="21" t="s">
        <v>23</v>
      </c>
      <c r="I33" s="21" t="s">
        <v>23</v>
      </c>
      <c r="J33" s="21">
        <v>60</v>
      </c>
      <c r="K33" s="21" t="s">
        <v>409</v>
      </c>
      <c r="L33" s="20" t="s">
        <v>410</v>
      </c>
    </row>
    <row r="34" spans="1:12" ht="17.100000000000001" customHeight="1">
      <c r="A34" s="27">
        <v>45722</v>
      </c>
      <c r="B34" s="20" t="s">
        <v>43</v>
      </c>
      <c r="C34" s="21" t="s">
        <v>29</v>
      </c>
      <c r="D34" s="21" t="s">
        <v>411</v>
      </c>
      <c r="E34" s="21" t="s">
        <v>329</v>
      </c>
      <c r="F34" s="21" t="s">
        <v>413</v>
      </c>
      <c r="G34" s="21" t="s">
        <v>23</v>
      </c>
      <c r="H34" s="21" t="s">
        <v>23</v>
      </c>
      <c r="I34" s="21" t="s">
        <v>23</v>
      </c>
      <c r="J34" s="21">
        <v>240</v>
      </c>
      <c r="K34" s="21" t="s">
        <v>364</v>
      </c>
      <c r="L34" s="20" t="s">
        <v>414</v>
      </c>
    </row>
    <row r="35" spans="1:12" ht="17.100000000000001" customHeight="1">
      <c r="A35" s="27">
        <v>45722</v>
      </c>
      <c r="B35" s="20" t="s">
        <v>43</v>
      </c>
      <c r="C35" s="21" t="s">
        <v>33</v>
      </c>
      <c r="D35" s="21" t="s">
        <v>412</v>
      </c>
      <c r="E35" s="21" t="s">
        <v>329</v>
      </c>
      <c r="F35" s="21" t="s">
        <v>413</v>
      </c>
      <c r="G35" s="21" t="s">
        <v>23</v>
      </c>
      <c r="H35" s="21" t="s">
        <v>23</v>
      </c>
      <c r="I35" s="21" t="s">
        <v>23</v>
      </c>
      <c r="J35" s="21">
        <v>229</v>
      </c>
      <c r="K35" s="21" t="s">
        <v>364</v>
      </c>
      <c r="L35" s="20" t="s">
        <v>414</v>
      </c>
    </row>
    <row r="36" spans="1:12" ht="17.100000000000001" customHeight="1">
      <c r="A36" s="27">
        <v>45722</v>
      </c>
      <c r="B36" s="20" t="s">
        <v>43</v>
      </c>
      <c r="C36" s="21" t="s">
        <v>34</v>
      </c>
      <c r="D36" s="21"/>
      <c r="E36" s="21" t="s">
        <v>329</v>
      </c>
      <c r="F36" s="21"/>
      <c r="G36" s="21" t="s">
        <v>23</v>
      </c>
      <c r="H36" s="21" t="s">
        <v>23</v>
      </c>
      <c r="I36" s="21" t="s">
        <v>23</v>
      </c>
      <c r="J36" s="21">
        <v>66</v>
      </c>
      <c r="K36" s="21" t="s">
        <v>364</v>
      </c>
      <c r="L36" s="20" t="s">
        <v>415</v>
      </c>
    </row>
    <row r="37" spans="1:12" ht="17.100000000000001" customHeight="1">
      <c r="A37" s="26" t="s">
        <v>416</v>
      </c>
      <c r="B37" s="20" t="s">
        <v>417</v>
      </c>
      <c r="C37" s="21" t="s">
        <v>21</v>
      </c>
      <c r="D37" s="21"/>
      <c r="E37" s="21"/>
      <c r="F37" s="21"/>
      <c r="G37" s="21"/>
      <c r="H37" s="21"/>
      <c r="I37" s="21" t="s">
        <v>418</v>
      </c>
      <c r="J37" s="21">
        <v>166</v>
      </c>
      <c r="K37" s="21" t="s">
        <v>419</v>
      </c>
      <c r="L37" s="20" t="s">
        <v>420</v>
      </c>
    </row>
    <row r="38" spans="1:12" ht="17.100000000000001" customHeight="1">
      <c r="A38" s="26" t="s">
        <v>416</v>
      </c>
      <c r="B38" s="20" t="s">
        <v>417</v>
      </c>
      <c r="C38" s="21" t="s">
        <v>21</v>
      </c>
      <c r="D38" s="21"/>
      <c r="E38" s="21"/>
      <c r="F38" s="21"/>
      <c r="G38" s="21"/>
      <c r="H38" s="21"/>
      <c r="I38" s="21" t="s">
        <v>418</v>
      </c>
      <c r="J38" s="21">
        <v>1</v>
      </c>
      <c r="K38" s="21" t="s">
        <v>419</v>
      </c>
      <c r="L38" s="20" t="s">
        <v>421</v>
      </c>
    </row>
    <row r="39" spans="1:12" ht="17.100000000000001" customHeight="1">
      <c r="A39" s="26" t="s">
        <v>416</v>
      </c>
      <c r="B39" s="20" t="s">
        <v>20</v>
      </c>
      <c r="C39" s="21" t="s">
        <v>21</v>
      </c>
      <c r="D39" s="21" t="s">
        <v>422</v>
      </c>
      <c r="E39" s="21" t="s">
        <v>23</v>
      </c>
      <c r="F39" s="21" t="s">
        <v>423</v>
      </c>
      <c r="G39" s="21" t="s">
        <v>385</v>
      </c>
      <c r="H39" s="21" t="s">
        <v>23</v>
      </c>
      <c r="I39" s="21" t="s">
        <v>23</v>
      </c>
      <c r="J39" s="21">
        <v>270</v>
      </c>
      <c r="K39" s="21" t="s">
        <v>347</v>
      </c>
      <c r="L39" s="20" t="s">
        <v>424</v>
      </c>
    </row>
    <row r="40" spans="1:12" ht="17.100000000000001" customHeight="1">
      <c r="A40" s="26" t="s">
        <v>425</v>
      </c>
      <c r="B40" s="20" t="s">
        <v>43</v>
      </c>
      <c r="C40" s="21" t="s">
        <v>21</v>
      </c>
      <c r="D40" s="21" t="s">
        <v>427</v>
      </c>
      <c r="E40" s="21" t="s">
        <v>329</v>
      </c>
      <c r="F40" s="21" t="s">
        <v>426</v>
      </c>
      <c r="G40" s="21" t="s">
        <v>23</v>
      </c>
      <c r="H40" s="21" t="s">
        <v>23</v>
      </c>
      <c r="I40" s="21" t="s">
        <v>23</v>
      </c>
      <c r="J40" s="21">
        <f>180-66</f>
        <v>114</v>
      </c>
      <c r="K40" s="21" t="s">
        <v>429</v>
      </c>
      <c r="L40" s="20" t="s">
        <v>415</v>
      </c>
    </row>
    <row r="41" spans="1:12" ht="17.100000000000001" customHeight="1">
      <c r="A41" s="26" t="s">
        <v>425</v>
      </c>
      <c r="B41" s="20" t="s">
        <v>43</v>
      </c>
      <c r="C41" s="21" t="s">
        <v>21</v>
      </c>
      <c r="D41" s="21" t="s">
        <v>427</v>
      </c>
      <c r="E41" s="21" t="s">
        <v>329</v>
      </c>
      <c r="F41" s="21" t="s">
        <v>426</v>
      </c>
      <c r="G41" s="21" t="s">
        <v>23</v>
      </c>
      <c r="H41" s="21" t="s">
        <v>23</v>
      </c>
      <c r="I41" s="21" t="s">
        <v>23</v>
      </c>
      <c r="J41" s="21">
        <v>74</v>
      </c>
      <c r="K41" s="21" t="s">
        <v>429</v>
      </c>
      <c r="L41" s="20" t="s">
        <v>428</v>
      </c>
    </row>
    <row r="42" spans="1:12" ht="17.100000000000001" customHeight="1">
      <c r="A42" s="26" t="s">
        <v>425</v>
      </c>
      <c r="B42" s="20" t="s">
        <v>20</v>
      </c>
      <c r="C42" s="21" t="s">
        <v>21</v>
      </c>
      <c r="D42" s="21" t="s">
        <v>430</v>
      </c>
      <c r="E42" s="21" t="s">
        <v>23</v>
      </c>
      <c r="F42" s="21" t="s">
        <v>423</v>
      </c>
      <c r="G42" s="21" t="s">
        <v>385</v>
      </c>
      <c r="H42" s="21" t="s">
        <v>23</v>
      </c>
      <c r="I42" s="21" t="s">
        <v>23</v>
      </c>
      <c r="J42" s="21">
        <v>286</v>
      </c>
      <c r="K42" s="21" t="s">
        <v>429</v>
      </c>
      <c r="L42" s="20" t="s">
        <v>424</v>
      </c>
    </row>
    <row r="43" spans="1:12" ht="17.100000000000001" customHeight="1">
      <c r="A43" s="26" t="s">
        <v>425</v>
      </c>
      <c r="B43" s="20" t="s">
        <v>20</v>
      </c>
      <c r="C43" s="21" t="s">
        <v>29</v>
      </c>
      <c r="D43" s="21" t="s">
        <v>431</v>
      </c>
      <c r="E43" s="21" t="s">
        <v>23</v>
      </c>
      <c r="F43" s="21" t="s">
        <v>423</v>
      </c>
      <c r="G43" s="21" t="s">
        <v>385</v>
      </c>
      <c r="H43" s="21" t="s">
        <v>23</v>
      </c>
      <c r="I43" s="21" t="s">
        <v>23</v>
      </c>
      <c r="J43" s="21">
        <f>510-286</f>
        <v>224</v>
      </c>
      <c r="K43" s="21" t="s">
        <v>429</v>
      </c>
      <c r="L43" s="20" t="s">
        <v>424</v>
      </c>
    </row>
    <row r="44" spans="1:12" ht="17.100000000000001" customHeight="1">
      <c r="A44" s="27">
        <v>45726</v>
      </c>
      <c r="B44" s="20" t="s">
        <v>20</v>
      </c>
      <c r="C44" s="21" t="s">
        <v>21</v>
      </c>
      <c r="D44" s="21" t="s">
        <v>431</v>
      </c>
      <c r="E44" s="21" t="s">
        <v>23</v>
      </c>
      <c r="F44" s="21" t="s">
        <v>423</v>
      </c>
      <c r="G44" s="21" t="s">
        <v>385</v>
      </c>
      <c r="H44" s="21" t="s">
        <v>23</v>
      </c>
      <c r="I44" s="21" t="s">
        <v>23</v>
      </c>
      <c r="J44" s="21">
        <v>147</v>
      </c>
      <c r="K44" s="21" t="s">
        <v>347</v>
      </c>
      <c r="L44" s="20" t="s">
        <v>424</v>
      </c>
    </row>
    <row r="45" spans="1:12" ht="17.100000000000001" customHeight="1">
      <c r="A45" s="27">
        <v>45726</v>
      </c>
      <c r="B45" s="20" t="s">
        <v>20</v>
      </c>
      <c r="C45" s="21" t="s">
        <v>29</v>
      </c>
      <c r="D45" s="21" t="s">
        <v>432</v>
      </c>
      <c r="E45" s="21" t="s">
        <v>23</v>
      </c>
      <c r="F45" s="21" t="s">
        <v>423</v>
      </c>
      <c r="G45" s="21" t="s">
        <v>385</v>
      </c>
      <c r="H45" s="21" t="s">
        <v>23</v>
      </c>
      <c r="I45" s="21" t="s">
        <v>23</v>
      </c>
      <c r="J45" s="21">
        <v>269</v>
      </c>
      <c r="K45" s="21" t="s">
        <v>347</v>
      </c>
      <c r="L45" s="20" t="s">
        <v>424</v>
      </c>
    </row>
    <row r="46" spans="1:12" ht="17.100000000000001" customHeight="1">
      <c r="A46" s="27">
        <v>45726</v>
      </c>
      <c r="B46" s="20" t="s">
        <v>43</v>
      </c>
      <c r="C46" s="21" t="s">
        <v>21</v>
      </c>
      <c r="D46" s="21" t="s">
        <v>433</v>
      </c>
      <c r="E46" s="21" t="s">
        <v>329</v>
      </c>
      <c r="F46" s="21" t="s">
        <v>434</v>
      </c>
      <c r="G46" s="21" t="s">
        <v>23</v>
      </c>
      <c r="H46" s="21" t="s">
        <v>23</v>
      </c>
      <c r="I46" s="21" t="s">
        <v>23</v>
      </c>
      <c r="J46" s="21">
        <v>240</v>
      </c>
      <c r="K46" s="21" t="s">
        <v>436</v>
      </c>
      <c r="L46" s="20" t="s">
        <v>435</v>
      </c>
    </row>
    <row r="47" spans="1:12" ht="17.100000000000001" customHeight="1">
      <c r="A47" s="27">
        <v>45727</v>
      </c>
      <c r="B47" s="20" t="s">
        <v>43</v>
      </c>
      <c r="C47" s="21" t="s">
        <v>21</v>
      </c>
      <c r="D47" s="21" t="s">
        <v>438</v>
      </c>
      <c r="E47" s="21" t="s">
        <v>329</v>
      </c>
      <c r="F47" s="21" t="s">
        <v>437</v>
      </c>
      <c r="G47" s="21" t="s">
        <v>23</v>
      </c>
      <c r="H47" s="21" t="s">
        <v>23</v>
      </c>
      <c r="I47" s="21" t="s">
        <v>23</v>
      </c>
      <c r="J47" s="21">
        <f>364-240</f>
        <v>124</v>
      </c>
      <c r="K47" s="21" t="s">
        <v>439</v>
      </c>
      <c r="L47" s="20" t="s">
        <v>435</v>
      </c>
    </row>
    <row r="48" spans="1:12" ht="17.100000000000001" customHeight="1">
      <c r="A48" s="27">
        <v>45727</v>
      </c>
      <c r="B48" s="20" t="s">
        <v>43</v>
      </c>
      <c r="C48" s="21" t="s">
        <v>21</v>
      </c>
      <c r="D48" s="21" t="s">
        <v>438</v>
      </c>
      <c r="E48" s="21" t="s">
        <v>329</v>
      </c>
      <c r="F48" s="21" t="s">
        <v>437</v>
      </c>
      <c r="G48" s="21" t="s">
        <v>23</v>
      </c>
      <c r="H48" s="21" t="s">
        <v>23</v>
      </c>
      <c r="I48" s="21" t="s">
        <v>23</v>
      </c>
      <c r="J48" s="21">
        <v>116</v>
      </c>
      <c r="K48" s="21" t="s">
        <v>440</v>
      </c>
      <c r="L48" s="20" t="s">
        <v>441</v>
      </c>
    </row>
    <row r="49" spans="1:14" ht="17.100000000000001" customHeight="1">
      <c r="A49" s="27">
        <v>45727</v>
      </c>
      <c r="B49" s="20" t="s">
        <v>43</v>
      </c>
      <c r="C49" s="21" t="s">
        <v>29</v>
      </c>
      <c r="D49" s="21" t="s">
        <v>442</v>
      </c>
      <c r="E49" s="21" t="s">
        <v>329</v>
      </c>
      <c r="F49" s="21" t="s">
        <v>437</v>
      </c>
      <c r="G49" s="21" t="s">
        <v>23</v>
      </c>
      <c r="H49" s="21" t="s">
        <v>23</v>
      </c>
      <c r="I49" s="21" t="s">
        <v>23</v>
      </c>
      <c r="J49" s="21">
        <v>92</v>
      </c>
      <c r="K49" s="21" t="s">
        <v>440</v>
      </c>
      <c r="L49" s="20" t="s">
        <v>441</v>
      </c>
    </row>
    <row r="50" spans="1:14" ht="17.100000000000001" customHeight="1">
      <c r="A50" s="27">
        <v>45727</v>
      </c>
      <c r="B50" s="20" t="s">
        <v>43</v>
      </c>
      <c r="C50" s="21" t="s">
        <v>29</v>
      </c>
      <c r="D50" s="21" t="s">
        <v>442</v>
      </c>
      <c r="E50" s="21" t="s">
        <v>329</v>
      </c>
      <c r="F50" s="21" t="s">
        <v>437</v>
      </c>
      <c r="G50" s="21" t="s">
        <v>23</v>
      </c>
      <c r="H50" s="21" t="s">
        <v>23</v>
      </c>
      <c r="I50" s="21" t="s">
        <v>23</v>
      </c>
      <c r="J50" s="21">
        <v>148</v>
      </c>
      <c r="K50" s="21" t="s">
        <v>443</v>
      </c>
      <c r="L50" s="20" t="s">
        <v>444</v>
      </c>
    </row>
    <row r="51" spans="1:14" ht="17.100000000000001" customHeight="1">
      <c r="A51" s="27">
        <v>45727</v>
      </c>
      <c r="B51" s="20" t="s">
        <v>43</v>
      </c>
      <c r="C51" s="21" t="s">
        <v>33</v>
      </c>
      <c r="D51" s="21" t="s">
        <v>445</v>
      </c>
      <c r="E51" s="21" t="s">
        <v>329</v>
      </c>
      <c r="F51" s="21" t="s">
        <v>437</v>
      </c>
      <c r="G51" s="21" t="s">
        <v>23</v>
      </c>
      <c r="H51" s="21" t="s">
        <v>23</v>
      </c>
      <c r="I51" s="21" t="s">
        <v>23</v>
      </c>
      <c r="J51" s="21">
        <v>240</v>
      </c>
      <c r="K51" s="21" t="s">
        <v>443</v>
      </c>
      <c r="L51" s="20" t="s">
        <v>444</v>
      </c>
    </row>
    <row r="52" spans="1:14" ht="17.100000000000001" customHeight="1">
      <c r="A52" s="27">
        <v>45727</v>
      </c>
      <c r="B52" s="20" t="s">
        <v>43</v>
      </c>
      <c r="C52" s="21" t="s">
        <v>34</v>
      </c>
      <c r="D52" s="21" t="s">
        <v>412</v>
      </c>
      <c r="E52" s="21" t="s">
        <v>329</v>
      </c>
      <c r="F52" s="21" t="s">
        <v>437</v>
      </c>
      <c r="G52" s="21" t="s">
        <v>23</v>
      </c>
      <c r="H52" s="21" t="s">
        <v>23</v>
      </c>
      <c r="I52" s="21" t="s">
        <v>23</v>
      </c>
      <c r="J52" s="21">
        <v>22</v>
      </c>
      <c r="K52" s="21" t="s">
        <v>443</v>
      </c>
      <c r="L52" s="20" t="s">
        <v>444</v>
      </c>
    </row>
    <row r="53" spans="1:14" ht="17.100000000000001" customHeight="1">
      <c r="A53" s="27">
        <v>45728</v>
      </c>
      <c r="B53" s="20" t="s">
        <v>43</v>
      </c>
      <c r="C53" s="21" t="s">
        <v>21</v>
      </c>
      <c r="D53" s="21" t="s">
        <v>412</v>
      </c>
      <c r="E53" s="21" t="s">
        <v>329</v>
      </c>
      <c r="F53" s="21" t="s">
        <v>447</v>
      </c>
      <c r="G53" s="21" t="s">
        <v>23</v>
      </c>
      <c r="H53" s="21" t="s">
        <v>23</v>
      </c>
      <c r="I53" s="21" t="s">
        <v>23</v>
      </c>
      <c r="J53" s="21">
        <v>76</v>
      </c>
      <c r="K53" s="21" t="s">
        <v>448</v>
      </c>
      <c r="L53" s="20" t="s">
        <v>444</v>
      </c>
    </row>
    <row r="54" spans="1:14" ht="17.100000000000001" customHeight="1">
      <c r="A54" s="27">
        <v>45728</v>
      </c>
      <c r="B54" s="20" t="s">
        <v>43</v>
      </c>
      <c r="C54" s="21" t="s">
        <v>29</v>
      </c>
      <c r="D54" s="21" t="s">
        <v>446</v>
      </c>
      <c r="E54" s="21" t="s">
        <v>329</v>
      </c>
      <c r="F54" s="21" t="s">
        <v>447</v>
      </c>
      <c r="G54" s="21" t="s">
        <v>23</v>
      </c>
      <c r="H54" s="21" t="s">
        <v>23</v>
      </c>
      <c r="I54" s="21" t="s">
        <v>23</v>
      </c>
      <c r="J54" s="21">
        <v>240</v>
      </c>
      <c r="K54" s="21" t="s">
        <v>448</v>
      </c>
      <c r="L54" s="20" t="s">
        <v>444</v>
      </c>
    </row>
    <row r="55" spans="1:14" ht="17.100000000000001" customHeight="1">
      <c r="A55" s="27">
        <v>45728</v>
      </c>
      <c r="B55" s="20" t="s">
        <v>43</v>
      </c>
      <c r="C55" s="21" t="s">
        <v>33</v>
      </c>
      <c r="D55" s="21" t="s">
        <v>450</v>
      </c>
      <c r="E55" s="21" t="s">
        <v>329</v>
      </c>
      <c r="F55" s="21" t="s">
        <v>449</v>
      </c>
      <c r="G55" s="21" t="s">
        <v>23</v>
      </c>
      <c r="H55" s="21" t="s">
        <v>23</v>
      </c>
      <c r="I55" s="21" t="s">
        <v>23</v>
      </c>
      <c r="J55" s="21">
        <v>240</v>
      </c>
      <c r="K55" s="21" t="s">
        <v>448</v>
      </c>
      <c r="L55" s="20" t="s">
        <v>444</v>
      </c>
    </row>
    <row r="56" spans="1:14" ht="17.100000000000001" customHeight="1">
      <c r="A56" s="27">
        <v>45728</v>
      </c>
      <c r="B56" s="20" t="s">
        <v>116</v>
      </c>
      <c r="C56" s="21" t="s">
        <v>21</v>
      </c>
      <c r="D56" s="21" t="s">
        <v>366</v>
      </c>
      <c r="E56" s="21" t="s">
        <v>329</v>
      </c>
      <c r="F56" s="21" t="s">
        <v>405</v>
      </c>
      <c r="G56" s="21" t="s">
        <v>23</v>
      </c>
      <c r="H56" s="21" t="s">
        <v>23</v>
      </c>
      <c r="I56" s="21" t="s">
        <v>23</v>
      </c>
      <c r="J56" s="21">
        <v>144</v>
      </c>
      <c r="K56" s="21" t="s">
        <v>448</v>
      </c>
      <c r="L56" s="20" t="s">
        <v>451</v>
      </c>
    </row>
    <row r="57" spans="1:14" ht="17.100000000000001" customHeight="1">
      <c r="A57" s="27">
        <v>45728</v>
      </c>
      <c r="B57" s="20" t="s">
        <v>55</v>
      </c>
      <c r="C57" s="21" t="s">
        <v>21</v>
      </c>
      <c r="D57" s="21" t="s">
        <v>366</v>
      </c>
      <c r="E57" s="21" t="s">
        <v>329</v>
      </c>
      <c r="F57" s="21" t="s">
        <v>345</v>
      </c>
      <c r="G57" s="21" t="s">
        <v>23</v>
      </c>
      <c r="H57" s="21" t="s">
        <v>23</v>
      </c>
      <c r="I57" s="21" t="s">
        <v>23</v>
      </c>
      <c r="J57" s="21">
        <v>50</v>
      </c>
      <c r="K57" s="21" t="s">
        <v>448</v>
      </c>
      <c r="L57" s="20" t="s">
        <v>452</v>
      </c>
    </row>
    <row r="58" spans="1:14" ht="17.100000000000001" customHeight="1">
      <c r="A58" s="27">
        <v>45729</v>
      </c>
      <c r="B58" s="20" t="s">
        <v>43</v>
      </c>
      <c r="C58" s="21" t="s">
        <v>21</v>
      </c>
      <c r="D58" s="21" t="s">
        <v>453</v>
      </c>
      <c r="E58" s="21" t="s">
        <v>329</v>
      </c>
      <c r="F58" s="21" t="s">
        <v>454</v>
      </c>
      <c r="G58" s="21" t="s">
        <v>23</v>
      </c>
      <c r="H58" s="21" t="s">
        <v>23</v>
      </c>
      <c r="I58" s="21" t="s">
        <v>23</v>
      </c>
      <c r="J58" s="21">
        <v>120</v>
      </c>
      <c r="K58" s="21" t="s">
        <v>448</v>
      </c>
      <c r="L58" s="20" t="s">
        <v>455</v>
      </c>
    </row>
    <row r="59" spans="1:14" ht="17.100000000000001" customHeight="1">
      <c r="A59" s="27">
        <v>45729</v>
      </c>
      <c r="B59" s="20" t="s">
        <v>43</v>
      </c>
      <c r="C59" s="21" t="s">
        <v>29</v>
      </c>
      <c r="D59" s="21" t="s">
        <v>458</v>
      </c>
      <c r="E59" s="21" t="s">
        <v>329</v>
      </c>
      <c r="F59" s="21" t="s">
        <v>459</v>
      </c>
      <c r="G59" s="21" t="s">
        <v>23</v>
      </c>
      <c r="H59" s="21" t="s">
        <v>23</v>
      </c>
      <c r="I59" s="21" t="s">
        <v>23</v>
      </c>
      <c r="J59" s="21">
        <v>60</v>
      </c>
      <c r="K59" s="21" t="s">
        <v>448</v>
      </c>
      <c r="L59" s="20" t="s">
        <v>455</v>
      </c>
    </row>
    <row r="60" spans="1:14" ht="17.100000000000001" customHeight="1">
      <c r="A60" s="27">
        <v>45729</v>
      </c>
      <c r="B60" s="20" t="s">
        <v>43</v>
      </c>
      <c r="C60" s="21" t="s">
        <v>29</v>
      </c>
      <c r="D60" s="21" t="s">
        <v>458</v>
      </c>
      <c r="E60" s="21" t="s">
        <v>329</v>
      </c>
      <c r="F60" s="21" t="s">
        <v>459</v>
      </c>
      <c r="G60" s="21" t="s">
        <v>23</v>
      </c>
      <c r="H60" s="21" t="s">
        <v>23</v>
      </c>
      <c r="I60" s="21" t="s">
        <v>23</v>
      </c>
      <c r="J60" s="21">
        <v>108</v>
      </c>
      <c r="K60" s="21" t="s">
        <v>448</v>
      </c>
      <c r="L60" s="20" t="s">
        <v>456</v>
      </c>
    </row>
    <row r="61" spans="1:14">
      <c r="A61" s="27">
        <v>45729</v>
      </c>
      <c r="B61" s="20" t="s">
        <v>43</v>
      </c>
      <c r="C61" s="21" t="s">
        <v>29</v>
      </c>
      <c r="D61" s="21" t="s">
        <v>458</v>
      </c>
      <c r="E61" s="21" t="s">
        <v>329</v>
      </c>
      <c r="F61" s="21" t="s">
        <v>459</v>
      </c>
      <c r="G61" s="21" t="s">
        <v>23</v>
      </c>
      <c r="H61" s="21" t="s">
        <v>23</v>
      </c>
      <c r="I61" s="21" t="s">
        <v>23</v>
      </c>
      <c r="J61" s="21">
        <v>72</v>
      </c>
      <c r="K61" s="21" t="s">
        <v>448</v>
      </c>
      <c r="L61" s="20" t="s">
        <v>457</v>
      </c>
      <c r="M61" s="18"/>
      <c r="N61" s="17"/>
    </row>
    <row r="62" spans="1:14">
      <c r="A62" s="27">
        <v>45730</v>
      </c>
      <c r="B62" s="20" t="s">
        <v>20</v>
      </c>
      <c r="C62" s="21" t="s">
        <v>21</v>
      </c>
      <c r="D62" s="21" t="s">
        <v>301</v>
      </c>
      <c r="E62" s="21" t="s">
        <v>23</v>
      </c>
      <c r="F62" s="21" t="s">
        <v>202</v>
      </c>
      <c r="G62" s="21" t="s">
        <v>194</v>
      </c>
      <c r="H62" s="21" t="s">
        <v>23</v>
      </c>
      <c r="I62" s="21" t="s">
        <v>23</v>
      </c>
      <c r="J62" s="21">
        <v>156</v>
      </c>
      <c r="K62" s="21" t="s">
        <v>462</v>
      </c>
      <c r="L62" s="20" t="s">
        <v>463</v>
      </c>
    </row>
    <row r="63" spans="1:14">
      <c r="A63" s="27">
        <v>45730</v>
      </c>
      <c r="B63" s="20" t="s">
        <v>20</v>
      </c>
      <c r="C63" s="21" t="s">
        <v>29</v>
      </c>
      <c r="D63" s="21" t="s">
        <v>460</v>
      </c>
      <c r="E63" s="21" t="s">
        <v>23</v>
      </c>
      <c r="F63" s="21" t="s">
        <v>202</v>
      </c>
      <c r="G63" s="21" t="s">
        <v>194</v>
      </c>
      <c r="H63" s="21" t="s">
        <v>23</v>
      </c>
      <c r="I63" s="21" t="s">
        <v>23</v>
      </c>
      <c r="J63" s="21">
        <v>286</v>
      </c>
      <c r="K63" s="21" t="s">
        <v>462</v>
      </c>
      <c r="L63" s="20" t="s">
        <v>463</v>
      </c>
    </row>
    <row r="64" spans="1:14">
      <c r="A64" s="27">
        <v>45730</v>
      </c>
      <c r="B64" s="20" t="s">
        <v>20</v>
      </c>
      <c r="C64" s="21" t="s">
        <v>33</v>
      </c>
      <c r="D64" s="21" t="s">
        <v>461</v>
      </c>
      <c r="E64" s="21" t="s">
        <v>23</v>
      </c>
      <c r="F64" s="21" t="s">
        <v>202</v>
      </c>
      <c r="G64" s="21" t="s">
        <v>194</v>
      </c>
      <c r="H64" s="21" t="s">
        <v>23</v>
      </c>
      <c r="I64" s="21" t="s">
        <v>23</v>
      </c>
      <c r="J64" s="21">
        <v>60</v>
      </c>
      <c r="K64" s="21" t="s">
        <v>462</v>
      </c>
      <c r="L64" s="20" t="s">
        <v>463</v>
      </c>
    </row>
    <row r="65" spans="1:12" ht="17.100000000000001" customHeight="1">
      <c r="A65" s="27">
        <v>45733</v>
      </c>
      <c r="B65" s="20" t="s">
        <v>20</v>
      </c>
      <c r="C65" s="21" t="s">
        <v>21</v>
      </c>
      <c r="D65" s="21" t="s">
        <v>461</v>
      </c>
      <c r="E65" s="21" t="s">
        <v>23</v>
      </c>
      <c r="F65" s="21" t="s">
        <v>202</v>
      </c>
      <c r="G65" s="21" t="s">
        <v>194</v>
      </c>
      <c r="H65" s="21" t="s">
        <v>23</v>
      </c>
      <c r="I65" s="21" t="s">
        <v>23</v>
      </c>
      <c r="J65" s="21">
        <v>226</v>
      </c>
      <c r="K65" s="21" t="s">
        <v>347</v>
      </c>
      <c r="L65" s="20" t="s">
        <v>463</v>
      </c>
    </row>
    <row r="66" spans="1:12" ht="17.100000000000001" customHeight="1">
      <c r="A66" s="27">
        <v>45733</v>
      </c>
      <c r="B66" s="20" t="s">
        <v>20</v>
      </c>
      <c r="C66" s="21" t="s">
        <v>29</v>
      </c>
      <c r="D66" s="21" t="s">
        <v>464</v>
      </c>
      <c r="E66" s="21" t="s">
        <v>23</v>
      </c>
      <c r="F66" s="21" t="s">
        <v>310</v>
      </c>
      <c r="G66" s="21" t="s">
        <v>194</v>
      </c>
      <c r="H66" s="21" t="s">
        <v>23</v>
      </c>
      <c r="I66" s="21" t="s">
        <v>23</v>
      </c>
      <c r="J66" s="21">
        <v>9</v>
      </c>
      <c r="K66" s="21" t="s">
        <v>347</v>
      </c>
      <c r="L66" s="20" t="s">
        <v>465</v>
      </c>
    </row>
    <row r="67" spans="1:12" ht="17.100000000000001" customHeight="1">
      <c r="A67" s="27">
        <v>45734</v>
      </c>
      <c r="B67" s="20" t="s">
        <v>20</v>
      </c>
      <c r="C67" s="21" t="s">
        <v>21</v>
      </c>
      <c r="D67" s="21" t="s">
        <v>466</v>
      </c>
      <c r="E67" s="21" t="s">
        <v>23</v>
      </c>
      <c r="F67" s="21" t="s">
        <v>202</v>
      </c>
      <c r="G67" s="21" t="s">
        <v>194</v>
      </c>
      <c r="H67" s="21" t="s">
        <v>23</v>
      </c>
      <c r="I67" s="21" t="s">
        <v>23</v>
      </c>
      <c r="J67" s="21">
        <v>144</v>
      </c>
      <c r="K67" s="21" t="s">
        <v>347</v>
      </c>
      <c r="L67" s="20" t="s">
        <v>467</v>
      </c>
    </row>
    <row r="68" spans="1:12" ht="17.100000000000001" customHeight="1">
      <c r="A68" s="27">
        <v>45734</v>
      </c>
      <c r="B68" s="20" t="s">
        <v>20</v>
      </c>
      <c r="C68" s="21" t="s">
        <v>21</v>
      </c>
      <c r="D68" s="21" t="s">
        <v>466</v>
      </c>
      <c r="E68" s="21" t="s">
        <v>23</v>
      </c>
      <c r="F68" s="21" t="s">
        <v>202</v>
      </c>
      <c r="G68" s="21" t="s">
        <v>194</v>
      </c>
      <c r="H68" s="21" t="s">
        <v>23</v>
      </c>
      <c r="I68" s="21" t="s">
        <v>23</v>
      </c>
      <c r="J68" s="21">
        <v>72</v>
      </c>
      <c r="K68" s="21" t="s">
        <v>347</v>
      </c>
      <c r="L68" s="20" t="s">
        <v>469</v>
      </c>
    </row>
    <row r="69" spans="1:12" ht="17.100000000000001" customHeight="1">
      <c r="A69" s="27">
        <v>45734</v>
      </c>
      <c r="B69" s="20" t="s">
        <v>20</v>
      </c>
      <c r="C69" s="21" t="s">
        <v>21</v>
      </c>
      <c r="D69" s="21" t="s">
        <v>466</v>
      </c>
      <c r="E69" s="21" t="s">
        <v>23</v>
      </c>
      <c r="F69" s="21" t="s">
        <v>202</v>
      </c>
      <c r="G69" s="21" t="s">
        <v>194</v>
      </c>
      <c r="H69" s="21" t="s">
        <v>23</v>
      </c>
      <c r="I69" s="21" t="s">
        <v>23</v>
      </c>
      <c r="J69" s="21">
        <v>70</v>
      </c>
      <c r="K69" s="21" t="s">
        <v>347</v>
      </c>
      <c r="L69" s="20" t="s">
        <v>470</v>
      </c>
    </row>
    <row r="70" spans="1:12" ht="17.100000000000001" customHeight="1">
      <c r="A70" s="27">
        <v>45734</v>
      </c>
      <c r="B70" s="20" t="s">
        <v>20</v>
      </c>
      <c r="C70" s="21" t="s">
        <v>29</v>
      </c>
      <c r="D70" s="21" t="s">
        <v>468</v>
      </c>
      <c r="E70" s="21" t="s">
        <v>23</v>
      </c>
      <c r="F70" s="21" t="s">
        <v>202</v>
      </c>
      <c r="G70" s="21" t="s">
        <v>194</v>
      </c>
      <c r="H70" s="21" t="s">
        <v>23</v>
      </c>
      <c r="I70" s="21" t="s">
        <v>23</v>
      </c>
      <c r="J70" s="21">
        <v>2</v>
      </c>
      <c r="K70" s="21" t="s">
        <v>347</v>
      </c>
      <c r="L70" s="20" t="s">
        <v>470</v>
      </c>
    </row>
    <row r="71" spans="1:12" ht="17.100000000000001" customHeight="1">
      <c r="A71" s="27">
        <v>45734</v>
      </c>
      <c r="B71" s="20" t="s">
        <v>20</v>
      </c>
      <c r="C71" s="21" t="s">
        <v>29</v>
      </c>
      <c r="D71" s="21" t="s">
        <v>468</v>
      </c>
      <c r="E71" s="21" t="s">
        <v>23</v>
      </c>
      <c r="F71" s="21" t="s">
        <v>202</v>
      </c>
      <c r="G71" s="21" t="s">
        <v>194</v>
      </c>
      <c r="H71" s="21" t="s">
        <v>23</v>
      </c>
      <c r="I71" s="21" t="s">
        <v>23</v>
      </c>
      <c r="J71" s="21">
        <v>72</v>
      </c>
      <c r="K71" s="21" t="s">
        <v>347</v>
      </c>
      <c r="L71" s="20" t="s">
        <v>471</v>
      </c>
    </row>
    <row r="72" spans="1:12" ht="17.100000000000001" customHeight="1">
      <c r="A72" s="27">
        <v>45734</v>
      </c>
      <c r="B72" s="20" t="s">
        <v>20</v>
      </c>
      <c r="C72" s="21" t="s">
        <v>29</v>
      </c>
      <c r="D72" s="21" t="s">
        <v>468</v>
      </c>
      <c r="E72" s="21" t="s">
        <v>23</v>
      </c>
      <c r="F72" s="21" t="s">
        <v>202</v>
      </c>
      <c r="G72" s="21" t="s">
        <v>194</v>
      </c>
      <c r="H72" s="21" t="s">
        <v>23</v>
      </c>
      <c r="I72" s="21" t="s">
        <v>23</v>
      </c>
      <c r="J72" s="21">
        <v>50</v>
      </c>
      <c r="K72" s="21" t="s">
        <v>347</v>
      </c>
      <c r="L72" s="20" t="s">
        <v>472</v>
      </c>
    </row>
    <row r="73" spans="1:12" ht="17.100000000000001" customHeight="1">
      <c r="A73" s="27">
        <v>45735</v>
      </c>
      <c r="B73" s="20" t="s">
        <v>473</v>
      </c>
      <c r="C73" s="21" t="s">
        <v>21</v>
      </c>
      <c r="D73" s="21" t="s">
        <v>23</v>
      </c>
      <c r="E73" s="21" t="s">
        <v>23</v>
      </c>
      <c r="F73" s="21" t="s">
        <v>23</v>
      </c>
      <c r="G73" s="21" t="s">
        <v>23</v>
      </c>
      <c r="H73" s="21" t="s">
        <v>23</v>
      </c>
      <c r="I73" s="21" t="s">
        <v>476</v>
      </c>
      <c r="J73" s="21">
        <v>16</v>
      </c>
      <c r="K73" s="21" t="s">
        <v>474</v>
      </c>
      <c r="L73" s="20" t="s">
        <v>475</v>
      </c>
    </row>
    <row r="74" spans="1:12" ht="17.100000000000001" customHeight="1">
      <c r="A74" s="27">
        <v>45735</v>
      </c>
      <c r="B74" s="20" t="s">
        <v>20</v>
      </c>
      <c r="C74" s="21" t="s">
        <v>21</v>
      </c>
      <c r="D74" s="21" t="s">
        <v>468</v>
      </c>
      <c r="E74" s="21" t="s">
        <v>23</v>
      </c>
      <c r="F74" s="21" t="s">
        <v>202</v>
      </c>
      <c r="G74" s="21" t="s">
        <v>194</v>
      </c>
      <c r="H74" s="21" t="s">
        <v>23</v>
      </c>
      <c r="I74" s="21" t="s">
        <v>23</v>
      </c>
      <c r="J74" s="21">
        <v>162</v>
      </c>
      <c r="K74" s="21" t="s">
        <v>347</v>
      </c>
      <c r="L74" s="20" t="s">
        <v>472</v>
      </c>
    </row>
    <row r="75" spans="1:12" ht="17.100000000000001" customHeight="1">
      <c r="A75" s="27">
        <v>45735</v>
      </c>
      <c r="B75" s="20" t="s">
        <v>20</v>
      </c>
      <c r="C75" s="21" t="s">
        <v>29</v>
      </c>
      <c r="D75" s="21" t="s">
        <v>477</v>
      </c>
      <c r="E75" s="21" t="s">
        <v>23</v>
      </c>
      <c r="F75" s="21" t="s">
        <v>202</v>
      </c>
      <c r="G75" s="21" t="s">
        <v>194</v>
      </c>
      <c r="H75" s="21" t="s">
        <v>23</v>
      </c>
      <c r="I75" s="21" t="s">
        <v>23</v>
      </c>
      <c r="J75" s="21">
        <v>22</v>
      </c>
      <c r="K75" s="21" t="s">
        <v>347</v>
      </c>
      <c r="L75" s="20" t="s">
        <v>472</v>
      </c>
    </row>
    <row r="76" spans="1:12" ht="17.100000000000001" customHeight="1">
      <c r="A76" s="27">
        <v>45735</v>
      </c>
      <c r="B76" s="20" t="s">
        <v>20</v>
      </c>
      <c r="C76" s="21" t="s">
        <v>33</v>
      </c>
      <c r="D76" s="21" t="s">
        <v>478</v>
      </c>
      <c r="E76" s="21" t="s">
        <v>23</v>
      </c>
      <c r="F76" s="21" t="s">
        <v>202</v>
      </c>
      <c r="G76" s="21" t="s">
        <v>194</v>
      </c>
      <c r="H76" s="21" t="s">
        <v>23</v>
      </c>
      <c r="I76" s="21" t="s">
        <v>23</v>
      </c>
      <c r="J76" s="21">
        <v>286</v>
      </c>
      <c r="K76" s="21" t="s">
        <v>347</v>
      </c>
      <c r="L76" s="20" t="s">
        <v>472</v>
      </c>
    </row>
    <row r="77" spans="1:12" ht="17.100000000000001" customHeight="1">
      <c r="A77" s="27">
        <v>45735</v>
      </c>
      <c r="B77" s="20" t="s">
        <v>43</v>
      </c>
      <c r="C77" s="21" t="s">
        <v>21</v>
      </c>
      <c r="D77" s="21" t="s">
        <v>479</v>
      </c>
      <c r="E77" s="21" t="s">
        <v>480</v>
      </c>
      <c r="F77" s="21" t="s">
        <v>481</v>
      </c>
      <c r="G77" s="21" t="s">
        <v>23</v>
      </c>
      <c r="H77" s="21" t="s">
        <v>23</v>
      </c>
      <c r="I77" s="21" t="s">
        <v>23</v>
      </c>
      <c r="J77" s="21">
        <v>104</v>
      </c>
      <c r="K77" s="21" t="s">
        <v>486</v>
      </c>
      <c r="L77" s="20" t="s">
        <v>482</v>
      </c>
    </row>
    <row r="78" spans="1:12" ht="17.100000000000001" customHeight="1">
      <c r="A78" s="27">
        <v>45735</v>
      </c>
      <c r="B78" s="20" t="s">
        <v>43</v>
      </c>
      <c r="C78" s="21" t="s">
        <v>21</v>
      </c>
      <c r="D78" s="21" t="s">
        <v>479</v>
      </c>
      <c r="E78" s="21" t="s">
        <v>480</v>
      </c>
      <c r="F78" s="21" t="s">
        <v>481</v>
      </c>
      <c r="G78" s="21" t="s">
        <v>23</v>
      </c>
      <c r="H78" s="21" t="s">
        <v>23</v>
      </c>
      <c r="I78" s="21" t="s">
        <v>23</v>
      </c>
      <c r="J78" s="21">
        <v>116</v>
      </c>
      <c r="K78" s="21" t="s">
        <v>486</v>
      </c>
      <c r="L78" s="20" t="s">
        <v>483</v>
      </c>
    </row>
    <row r="79" spans="1:12" ht="17.100000000000001" customHeight="1">
      <c r="A79" s="27">
        <v>45735</v>
      </c>
      <c r="B79" s="20" t="s">
        <v>43</v>
      </c>
      <c r="C79" s="21" t="s">
        <v>21</v>
      </c>
      <c r="D79" s="21" t="s">
        <v>479</v>
      </c>
      <c r="E79" s="21" t="s">
        <v>480</v>
      </c>
      <c r="F79" s="21" t="s">
        <v>485</v>
      </c>
      <c r="G79" s="21" t="s">
        <v>23</v>
      </c>
      <c r="H79" s="21" t="s">
        <v>23</v>
      </c>
      <c r="I79" s="21" t="s">
        <v>23</v>
      </c>
      <c r="J79" s="21">
        <v>20</v>
      </c>
      <c r="K79" s="21" t="s">
        <v>486</v>
      </c>
      <c r="L79" s="20" t="s">
        <v>483</v>
      </c>
    </row>
    <row r="80" spans="1:12" ht="17.100000000000001" customHeight="1">
      <c r="A80" s="27">
        <v>45735</v>
      </c>
      <c r="B80" s="20" t="s">
        <v>43</v>
      </c>
      <c r="C80" s="21" t="s">
        <v>29</v>
      </c>
      <c r="D80" s="21" t="s">
        <v>479</v>
      </c>
      <c r="E80" s="21" t="s">
        <v>480</v>
      </c>
      <c r="F80" s="21" t="s">
        <v>485</v>
      </c>
      <c r="G80" s="21" t="s">
        <v>23</v>
      </c>
      <c r="H80" s="21" t="s">
        <v>23</v>
      </c>
      <c r="I80" s="21" t="s">
        <v>23</v>
      </c>
      <c r="J80" s="21">
        <v>12</v>
      </c>
      <c r="K80" s="21" t="s">
        <v>486</v>
      </c>
      <c r="L80" s="20" t="s">
        <v>483</v>
      </c>
    </row>
    <row r="81" spans="1:12" ht="17.100000000000001" customHeight="1">
      <c r="A81" s="27">
        <v>45735</v>
      </c>
      <c r="B81" s="20" t="s">
        <v>43</v>
      </c>
      <c r="C81" s="21" t="s">
        <v>29</v>
      </c>
      <c r="D81" s="21" t="s">
        <v>484</v>
      </c>
      <c r="E81" s="21" t="s">
        <v>480</v>
      </c>
      <c r="F81" s="21" t="s">
        <v>485</v>
      </c>
      <c r="G81" s="21" t="s">
        <v>23</v>
      </c>
      <c r="H81" s="21" t="s">
        <v>23</v>
      </c>
      <c r="I81" s="21" t="s">
        <v>23</v>
      </c>
      <c r="J81" s="21">
        <v>48</v>
      </c>
      <c r="K81" s="21" t="s">
        <v>486</v>
      </c>
      <c r="L81" s="20" t="s">
        <v>487</v>
      </c>
    </row>
    <row r="82" spans="1:12" ht="17.100000000000001" customHeight="1">
      <c r="A82" s="27">
        <v>45736</v>
      </c>
      <c r="B82" s="20" t="s">
        <v>43</v>
      </c>
      <c r="C82" s="21" t="s">
        <v>21</v>
      </c>
      <c r="D82" s="21" t="s">
        <v>484</v>
      </c>
      <c r="E82" s="21" t="s">
        <v>480</v>
      </c>
      <c r="F82" s="21" t="s">
        <v>485</v>
      </c>
      <c r="G82" s="21" t="s">
        <v>23</v>
      </c>
      <c r="H82" s="21" t="s">
        <v>23</v>
      </c>
      <c r="I82" s="21" t="s">
        <v>23</v>
      </c>
      <c r="J82" s="21">
        <v>96</v>
      </c>
      <c r="K82" s="21" t="s">
        <v>486</v>
      </c>
      <c r="L82" s="20" t="s">
        <v>487</v>
      </c>
    </row>
    <row r="83" spans="1:12" ht="17.100000000000001" customHeight="1">
      <c r="A83" s="27">
        <v>45736</v>
      </c>
      <c r="B83" s="20" t="s">
        <v>20</v>
      </c>
      <c r="C83" s="21" t="s">
        <v>21</v>
      </c>
      <c r="D83" s="21" t="s">
        <v>490</v>
      </c>
      <c r="E83" s="21" t="s">
        <v>23</v>
      </c>
      <c r="F83" s="21" t="s">
        <v>488</v>
      </c>
      <c r="G83" s="21" t="s">
        <v>194</v>
      </c>
      <c r="H83" s="21" t="s">
        <v>23</v>
      </c>
      <c r="I83" s="21" t="s">
        <v>23</v>
      </c>
      <c r="J83" s="21">
        <v>104</v>
      </c>
      <c r="K83" s="21" t="s">
        <v>347</v>
      </c>
      <c r="L83" s="20" t="s">
        <v>512</v>
      </c>
    </row>
    <row r="84" spans="1:12" ht="17.100000000000001" customHeight="1">
      <c r="A84" s="27">
        <v>45736</v>
      </c>
      <c r="B84" s="20" t="s">
        <v>20</v>
      </c>
      <c r="C84" s="21" t="s">
        <v>21</v>
      </c>
      <c r="D84" s="21" t="s">
        <v>490</v>
      </c>
      <c r="E84" s="21" t="s">
        <v>23</v>
      </c>
      <c r="F84" s="21" t="s">
        <v>488</v>
      </c>
      <c r="G84" s="21" t="s">
        <v>194</v>
      </c>
      <c r="H84" s="21" t="s">
        <v>23</v>
      </c>
      <c r="I84" s="21" t="s">
        <v>23</v>
      </c>
      <c r="J84" s="21">
        <v>104</v>
      </c>
      <c r="K84" s="21" t="s">
        <v>347</v>
      </c>
      <c r="L84" s="20" t="s">
        <v>513</v>
      </c>
    </row>
    <row r="85" spans="1:12" ht="17.100000000000001" customHeight="1">
      <c r="A85" s="27">
        <v>45736</v>
      </c>
      <c r="B85" s="20" t="s">
        <v>20</v>
      </c>
      <c r="C85" s="21" t="s">
        <v>21</v>
      </c>
      <c r="D85" s="21" t="s">
        <v>490</v>
      </c>
      <c r="E85" s="21" t="s">
        <v>23</v>
      </c>
      <c r="F85" s="21" t="s">
        <v>488</v>
      </c>
      <c r="G85" s="21" t="s">
        <v>194</v>
      </c>
      <c r="H85" s="21" t="s">
        <v>23</v>
      </c>
      <c r="I85" s="21" t="s">
        <v>23</v>
      </c>
      <c r="J85" s="21">
        <v>78</v>
      </c>
      <c r="K85" s="21" t="s">
        <v>347</v>
      </c>
      <c r="L85" s="20" t="s">
        <v>514</v>
      </c>
    </row>
    <row r="86" spans="1:12" ht="17.100000000000001" customHeight="1">
      <c r="A86" s="27">
        <v>45736</v>
      </c>
      <c r="B86" s="20" t="s">
        <v>20</v>
      </c>
      <c r="C86" s="21" t="s">
        <v>29</v>
      </c>
      <c r="D86" s="21" t="s">
        <v>489</v>
      </c>
      <c r="E86" s="21" t="s">
        <v>23</v>
      </c>
      <c r="F86" s="21" t="s">
        <v>488</v>
      </c>
      <c r="G86" s="21" t="s">
        <v>194</v>
      </c>
      <c r="H86" s="21" t="s">
        <v>23</v>
      </c>
      <c r="I86" s="21" t="s">
        <v>23</v>
      </c>
      <c r="J86" s="21">
        <v>26</v>
      </c>
      <c r="K86" s="21" t="s">
        <v>347</v>
      </c>
      <c r="L86" s="20" t="s">
        <v>514</v>
      </c>
    </row>
    <row r="87" spans="1:12" ht="17.100000000000001" customHeight="1">
      <c r="A87" s="27">
        <v>45737</v>
      </c>
      <c r="B87" s="20" t="s">
        <v>55</v>
      </c>
      <c r="C87" s="21" t="s">
        <v>21</v>
      </c>
      <c r="D87" s="21" t="s">
        <v>484</v>
      </c>
      <c r="E87" s="21" t="s">
        <v>480</v>
      </c>
      <c r="F87" s="21" t="s">
        <v>491</v>
      </c>
      <c r="G87" s="21" t="s">
        <v>23</v>
      </c>
      <c r="H87" s="21" t="s">
        <v>23</v>
      </c>
      <c r="I87" s="21" t="s">
        <v>23</v>
      </c>
      <c r="J87" s="21">
        <v>108</v>
      </c>
      <c r="K87" s="21" t="s">
        <v>269</v>
      </c>
      <c r="L87" s="20" t="s">
        <v>492</v>
      </c>
    </row>
    <row r="88" spans="1:12" ht="17.100000000000001" customHeight="1">
      <c r="A88" s="27">
        <v>45737</v>
      </c>
      <c r="B88" s="20" t="s">
        <v>55</v>
      </c>
      <c r="C88" s="21" t="s">
        <v>21</v>
      </c>
      <c r="D88" s="21" t="s">
        <v>493</v>
      </c>
      <c r="E88" s="21" t="s">
        <v>480</v>
      </c>
      <c r="F88" s="21" t="s">
        <v>345</v>
      </c>
      <c r="G88" s="21" t="s">
        <v>23</v>
      </c>
      <c r="H88" s="21" t="s">
        <v>23</v>
      </c>
      <c r="I88" s="21" t="s">
        <v>23</v>
      </c>
      <c r="J88" s="21">
        <v>36</v>
      </c>
      <c r="K88" s="21" t="s">
        <v>269</v>
      </c>
      <c r="L88" s="20" t="s">
        <v>494</v>
      </c>
    </row>
    <row r="89" spans="1:12" ht="17.100000000000001" customHeight="1">
      <c r="A89" s="27">
        <v>45737</v>
      </c>
      <c r="B89" s="20" t="s">
        <v>116</v>
      </c>
      <c r="C89" s="21" t="s">
        <v>21</v>
      </c>
      <c r="D89" s="21" t="s">
        <v>493</v>
      </c>
      <c r="E89" s="21" t="s">
        <v>480</v>
      </c>
      <c r="F89" s="21" t="s">
        <v>345</v>
      </c>
      <c r="G89" s="21" t="s">
        <v>23</v>
      </c>
      <c r="H89" s="21" t="s">
        <v>23</v>
      </c>
      <c r="I89" s="21" t="s">
        <v>23</v>
      </c>
      <c r="J89" s="21">
        <v>4</v>
      </c>
      <c r="K89" s="21" t="s">
        <v>269</v>
      </c>
      <c r="L89" s="20" t="s">
        <v>495</v>
      </c>
    </row>
    <row r="90" spans="1:12" ht="17.100000000000001" customHeight="1">
      <c r="A90" s="27">
        <v>45736</v>
      </c>
      <c r="B90" s="20" t="s">
        <v>20</v>
      </c>
      <c r="C90" s="21" t="s">
        <v>29</v>
      </c>
      <c r="D90" s="21" t="s">
        <v>489</v>
      </c>
      <c r="E90" s="21" t="s">
        <v>23</v>
      </c>
      <c r="F90" s="21" t="s">
        <v>488</v>
      </c>
      <c r="G90" s="21" t="s">
        <v>194</v>
      </c>
      <c r="H90" s="21" t="s">
        <v>23</v>
      </c>
      <c r="I90" s="21" t="s">
        <v>23</v>
      </c>
      <c r="J90" s="21">
        <v>50</v>
      </c>
      <c r="K90" s="21" t="s">
        <v>347</v>
      </c>
      <c r="L90" s="20" t="s">
        <v>498</v>
      </c>
    </row>
    <row r="91" spans="1:12" ht="17.100000000000001" customHeight="1">
      <c r="A91" s="27">
        <v>45737</v>
      </c>
      <c r="B91" s="20" t="s">
        <v>20</v>
      </c>
      <c r="C91" s="21" t="s">
        <v>21</v>
      </c>
      <c r="D91" s="21" t="s">
        <v>489</v>
      </c>
      <c r="E91" s="21" t="s">
        <v>23</v>
      </c>
      <c r="F91" s="21" t="s">
        <v>488</v>
      </c>
      <c r="G91" s="21" t="s">
        <v>194</v>
      </c>
      <c r="H91" s="21" t="s">
        <v>23</v>
      </c>
      <c r="I91" s="21" t="s">
        <v>23</v>
      </c>
      <c r="J91" s="21">
        <v>158</v>
      </c>
      <c r="K91" s="21" t="s">
        <v>347</v>
      </c>
      <c r="L91" s="20" t="s">
        <v>498</v>
      </c>
    </row>
    <row r="92" spans="1:12" ht="17.100000000000001" customHeight="1">
      <c r="A92" s="27">
        <v>45737</v>
      </c>
      <c r="B92" s="20" t="s">
        <v>20</v>
      </c>
      <c r="C92" s="21" t="s">
        <v>29</v>
      </c>
      <c r="D92" s="21" t="s">
        <v>496</v>
      </c>
      <c r="E92" s="21" t="s">
        <v>23</v>
      </c>
      <c r="F92" s="21" t="s">
        <v>488</v>
      </c>
      <c r="G92" s="21" t="s">
        <v>194</v>
      </c>
      <c r="H92" s="21" t="s">
        <v>23</v>
      </c>
      <c r="I92" s="21" t="s">
        <v>23</v>
      </c>
      <c r="J92" s="21">
        <v>286</v>
      </c>
      <c r="K92" s="21" t="s">
        <v>347</v>
      </c>
      <c r="L92" s="20" t="s">
        <v>498</v>
      </c>
    </row>
    <row r="93" spans="1:12" ht="17.100000000000001" customHeight="1">
      <c r="A93" s="27">
        <v>45737</v>
      </c>
      <c r="B93" s="20" t="s">
        <v>20</v>
      </c>
      <c r="C93" s="21" t="s">
        <v>33</v>
      </c>
      <c r="D93" s="21" t="s">
        <v>497</v>
      </c>
      <c r="E93" s="21" t="s">
        <v>23</v>
      </c>
      <c r="F93" s="21" t="s">
        <v>488</v>
      </c>
      <c r="G93" s="21" t="s">
        <v>194</v>
      </c>
      <c r="H93" s="21" t="s">
        <v>23</v>
      </c>
      <c r="I93" s="21" t="s">
        <v>23</v>
      </c>
      <c r="J93" s="21">
        <v>26</v>
      </c>
      <c r="K93" s="21" t="s">
        <v>347</v>
      </c>
      <c r="L93" s="20" t="s">
        <v>498</v>
      </c>
    </row>
    <row r="94" spans="1:12" ht="17.100000000000001" customHeight="1">
      <c r="A94" s="27">
        <v>45737</v>
      </c>
      <c r="B94" s="20" t="s">
        <v>20</v>
      </c>
      <c r="C94" s="21" t="s">
        <v>33</v>
      </c>
      <c r="D94" s="21" t="s">
        <v>497</v>
      </c>
      <c r="E94" s="21" t="s">
        <v>23</v>
      </c>
      <c r="F94" s="21" t="s">
        <v>488</v>
      </c>
      <c r="G94" s="21" t="s">
        <v>194</v>
      </c>
      <c r="H94" s="21" t="s">
        <v>23</v>
      </c>
      <c r="I94" s="21" t="s">
        <v>23</v>
      </c>
      <c r="J94" s="21">
        <v>156</v>
      </c>
      <c r="K94" s="21" t="s">
        <v>347</v>
      </c>
      <c r="L94" s="20" t="s">
        <v>499</v>
      </c>
    </row>
    <row r="95" spans="1:12" ht="17.100000000000001" customHeight="1">
      <c r="A95" s="27">
        <v>45737</v>
      </c>
      <c r="B95" s="20" t="s">
        <v>20</v>
      </c>
      <c r="C95" s="21" t="s">
        <v>33</v>
      </c>
      <c r="D95" s="21" t="s">
        <v>497</v>
      </c>
      <c r="E95" s="21" t="s">
        <v>23</v>
      </c>
      <c r="F95" s="21" t="s">
        <v>488</v>
      </c>
      <c r="G95" s="21" t="s">
        <v>194</v>
      </c>
      <c r="H95" s="21" t="s">
        <v>23</v>
      </c>
      <c r="I95" s="21" t="s">
        <v>23</v>
      </c>
      <c r="J95" s="21">
        <v>52</v>
      </c>
      <c r="K95" s="21" t="s">
        <v>347</v>
      </c>
      <c r="L95" s="20" t="s">
        <v>500</v>
      </c>
    </row>
    <row r="96" spans="1:12" ht="17.100000000000001" customHeight="1">
      <c r="A96" s="27">
        <v>45737</v>
      </c>
      <c r="B96" s="20" t="s">
        <v>43</v>
      </c>
      <c r="C96" s="21" t="s">
        <v>21</v>
      </c>
      <c r="D96" s="21" t="s">
        <v>501</v>
      </c>
      <c r="E96" s="21" t="s">
        <v>480</v>
      </c>
      <c r="F96" s="21" t="s">
        <v>502</v>
      </c>
      <c r="G96" s="21" t="s">
        <v>23</v>
      </c>
      <c r="H96" s="21" t="s">
        <v>23</v>
      </c>
      <c r="I96" s="21" t="s">
        <v>23</v>
      </c>
      <c r="J96" s="21">
        <v>150</v>
      </c>
      <c r="K96" s="21" t="s">
        <v>503</v>
      </c>
      <c r="L96" s="20" t="s">
        <v>504</v>
      </c>
    </row>
    <row r="97" spans="1:12" ht="17.100000000000001" customHeight="1">
      <c r="A97" s="27">
        <v>45740</v>
      </c>
      <c r="B97" s="20" t="s">
        <v>20</v>
      </c>
      <c r="C97" s="21" t="s">
        <v>21</v>
      </c>
      <c r="D97" s="21" t="s">
        <v>497</v>
      </c>
      <c r="E97" s="21" t="s">
        <v>23</v>
      </c>
      <c r="F97" s="21" t="s">
        <v>310</v>
      </c>
      <c r="G97" s="21" t="s">
        <v>194</v>
      </c>
      <c r="H97" s="21" t="s">
        <v>23</v>
      </c>
      <c r="I97" s="21" t="s">
        <v>23</v>
      </c>
      <c r="J97" s="21">
        <v>52</v>
      </c>
      <c r="K97" s="21" t="s">
        <v>347</v>
      </c>
      <c r="L97" s="20" t="s">
        <v>500</v>
      </c>
    </row>
    <row r="98" spans="1:12" ht="17.100000000000001" customHeight="1">
      <c r="A98" s="27">
        <v>45740</v>
      </c>
      <c r="B98" s="20" t="s">
        <v>20</v>
      </c>
      <c r="C98" s="21" t="s">
        <v>29</v>
      </c>
      <c r="D98" s="21" t="s">
        <v>505</v>
      </c>
      <c r="E98" s="21" t="s">
        <v>23</v>
      </c>
      <c r="F98" s="21" t="s">
        <v>310</v>
      </c>
      <c r="G98" s="21" t="s">
        <v>194</v>
      </c>
      <c r="H98" s="21" t="s">
        <v>23</v>
      </c>
      <c r="I98" s="21" t="s">
        <v>23</v>
      </c>
      <c r="J98" s="21">
        <v>150</v>
      </c>
      <c r="K98" s="21" t="s">
        <v>347</v>
      </c>
      <c r="L98" s="20" t="s">
        <v>500</v>
      </c>
    </row>
    <row r="99" spans="1:12" ht="17.100000000000001" customHeight="1">
      <c r="A99" s="27">
        <v>45741</v>
      </c>
      <c r="B99" s="20" t="s">
        <v>20</v>
      </c>
      <c r="C99" s="21" t="s">
        <v>21</v>
      </c>
      <c r="D99" s="21" t="s">
        <v>506</v>
      </c>
      <c r="E99" s="21" t="s">
        <v>23</v>
      </c>
      <c r="F99" s="21" t="s">
        <v>310</v>
      </c>
      <c r="G99" s="21" t="s">
        <v>194</v>
      </c>
      <c r="H99" s="21" t="s">
        <v>23</v>
      </c>
      <c r="I99" s="21" t="s">
        <v>23</v>
      </c>
      <c r="J99" s="21">
        <v>136</v>
      </c>
      <c r="K99" s="21" t="s">
        <v>189</v>
      </c>
      <c r="L99" s="20" t="s">
        <v>500</v>
      </c>
    </row>
    <row r="100" spans="1:12" ht="17.100000000000001" customHeight="1">
      <c r="A100" s="27">
        <v>45741</v>
      </c>
      <c r="B100" s="20" t="s">
        <v>20</v>
      </c>
      <c r="C100" s="21" t="s">
        <v>29</v>
      </c>
      <c r="D100" s="21" t="s">
        <v>507</v>
      </c>
      <c r="E100" s="21" t="s">
        <v>23</v>
      </c>
      <c r="F100" s="21" t="s">
        <v>310</v>
      </c>
      <c r="G100" s="21" t="s">
        <v>194</v>
      </c>
      <c r="H100" s="21" t="s">
        <v>23</v>
      </c>
      <c r="I100" s="21" t="s">
        <v>23</v>
      </c>
      <c r="J100" s="21">
        <v>286</v>
      </c>
      <c r="K100" s="21" t="s">
        <v>189</v>
      </c>
      <c r="L100" s="20" t="s">
        <v>500</v>
      </c>
    </row>
    <row r="101" spans="1:12" ht="17.100000000000001" customHeight="1">
      <c r="A101" s="27">
        <v>45741</v>
      </c>
      <c r="B101" s="20" t="s">
        <v>20</v>
      </c>
      <c r="C101" s="21" t="s">
        <v>33</v>
      </c>
      <c r="D101" s="21" t="s">
        <v>508</v>
      </c>
      <c r="E101" s="21" t="s">
        <v>23</v>
      </c>
      <c r="F101" s="21" t="s">
        <v>310</v>
      </c>
      <c r="G101" s="21" t="s">
        <v>194</v>
      </c>
      <c r="H101" s="21" t="s">
        <v>23</v>
      </c>
      <c r="I101" s="21" t="s">
        <v>23</v>
      </c>
      <c r="J101" s="21">
        <v>286</v>
      </c>
      <c r="K101" s="21" t="s">
        <v>189</v>
      </c>
      <c r="L101" s="20" t="s">
        <v>500</v>
      </c>
    </row>
    <row r="102" spans="1:12" ht="17.100000000000001" customHeight="1">
      <c r="A102" s="27">
        <v>45741</v>
      </c>
      <c r="B102" s="20" t="s">
        <v>20</v>
      </c>
      <c r="C102" s="21" t="s">
        <v>34</v>
      </c>
      <c r="D102" s="21" t="s">
        <v>509</v>
      </c>
      <c r="E102" s="21" t="s">
        <v>23</v>
      </c>
      <c r="F102" s="21" t="s">
        <v>310</v>
      </c>
      <c r="G102" s="21" t="s">
        <v>194</v>
      </c>
      <c r="H102" s="21" t="s">
        <v>23</v>
      </c>
      <c r="I102" s="21" t="s">
        <v>23</v>
      </c>
      <c r="J102" s="21">
        <v>212</v>
      </c>
      <c r="K102" s="21" t="s">
        <v>189</v>
      </c>
      <c r="L102" s="20" t="s">
        <v>500</v>
      </c>
    </row>
    <row r="103" spans="1:12" ht="17.100000000000001" customHeight="1">
      <c r="A103" s="27">
        <v>45742</v>
      </c>
      <c r="B103" s="20" t="s">
        <v>20</v>
      </c>
      <c r="C103" s="21" t="s">
        <v>21</v>
      </c>
      <c r="D103" s="21" t="s">
        <v>509</v>
      </c>
      <c r="E103" s="21" t="s">
        <v>23</v>
      </c>
      <c r="F103" s="21" t="s">
        <v>310</v>
      </c>
      <c r="G103" s="21" t="s">
        <v>194</v>
      </c>
      <c r="H103" s="21" t="s">
        <v>23</v>
      </c>
      <c r="I103" s="21" t="s">
        <v>23</v>
      </c>
      <c r="J103" s="21">
        <v>74</v>
      </c>
      <c r="K103" s="21" t="s">
        <v>189</v>
      </c>
      <c r="L103" s="20" t="s">
        <v>500</v>
      </c>
    </row>
    <row r="104" spans="1:12" ht="17.100000000000001" customHeight="1">
      <c r="A104" s="27">
        <v>45742</v>
      </c>
      <c r="B104" s="20" t="s">
        <v>20</v>
      </c>
      <c r="C104" s="21" t="s">
        <v>29</v>
      </c>
      <c r="D104" s="21" t="s">
        <v>464</v>
      </c>
      <c r="E104" s="21" t="s">
        <v>23</v>
      </c>
      <c r="F104" s="21" t="s">
        <v>310</v>
      </c>
      <c r="G104" s="21" t="s">
        <v>194</v>
      </c>
      <c r="H104" s="21" t="s">
        <v>23</v>
      </c>
      <c r="I104" s="21" t="s">
        <v>23</v>
      </c>
      <c r="J104" s="21">
        <v>104</v>
      </c>
      <c r="K104" s="21" t="s">
        <v>189</v>
      </c>
      <c r="L104" s="20" t="s">
        <v>510</v>
      </c>
    </row>
    <row r="105" spans="1:12" ht="17.100000000000001" customHeight="1">
      <c r="A105" s="27">
        <v>45742</v>
      </c>
      <c r="B105" s="20" t="s">
        <v>20</v>
      </c>
      <c r="C105" s="21" t="s">
        <v>29</v>
      </c>
      <c r="D105" s="21" t="s">
        <v>464</v>
      </c>
      <c r="E105" s="21" t="s">
        <v>23</v>
      </c>
      <c r="F105" s="21" t="s">
        <v>310</v>
      </c>
      <c r="G105" s="21" t="s">
        <v>194</v>
      </c>
      <c r="H105" s="21" t="s">
        <v>23</v>
      </c>
      <c r="I105" s="21" t="s">
        <v>23</v>
      </c>
      <c r="J105" s="21">
        <v>5</v>
      </c>
      <c r="K105" s="21" t="s">
        <v>189</v>
      </c>
      <c r="L105" s="20" t="s">
        <v>511</v>
      </c>
    </row>
    <row r="106" spans="1:12" ht="17.100000000000001" customHeight="1">
      <c r="A106" s="27">
        <v>45742</v>
      </c>
      <c r="B106" s="20" t="s">
        <v>55</v>
      </c>
      <c r="C106" s="21" t="s">
        <v>21</v>
      </c>
      <c r="D106" s="21" t="s">
        <v>493</v>
      </c>
      <c r="E106" s="21" t="s">
        <v>480</v>
      </c>
      <c r="F106" s="21" t="s">
        <v>345</v>
      </c>
      <c r="G106" s="21" t="s">
        <v>23</v>
      </c>
      <c r="H106" s="21" t="s">
        <v>23</v>
      </c>
      <c r="I106" s="21" t="s">
        <v>23</v>
      </c>
      <c r="J106" s="21">
        <v>5</v>
      </c>
      <c r="K106" s="21" t="s">
        <v>517</v>
      </c>
      <c r="L106" s="20" t="s">
        <v>516</v>
      </c>
    </row>
    <row r="107" spans="1:12" ht="17.100000000000001" customHeight="1">
      <c r="A107" s="27">
        <v>45742</v>
      </c>
      <c r="B107" s="20" t="s">
        <v>110</v>
      </c>
      <c r="C107" s="21" t="s">
        <v>21</v>
      </c>
      <c r="D107" s="21" t="s">
        <v>493</v>
      </c>
      <c r="E107" s="21" t="s">
        <v>480</v>
      </c>
      <c r="F107" s="21" t="s">
        <v>345</v>
      </c>
      <c r="G107" s="21" t="s">
        <v>23</v>
      </c>
      <c r="H107" s="21" t="s">
        <v>23</v>
      </c>
      <c r="I107" s="21" t="s">
        <v>23</v>
      </c>
      <c r="J107" s="21">
        <v>63</v>
      </c>
      <c r="K107" s="21" t="s">
        <v>515</v>
      </c>
      <c r="L107" s="20" t="s">
        <v>518</v>
      </c>
    </row>
    <row r="108" spans="1:12" ht="17.100000000000001" customHeight="1">
      <c r="A108" s="27">
        <v>45744</v>
      </c>
      <c r="B108" s="20" t="s">
        <v>20</v>
      </c>
      <c r="C108" s="21" t="s">
        <v>21</v>
      </c>
      <c r="D108" s="21" t="s">
        <v>477</v>
      </c>
      <c r="E108" s="21" t="s">
        <v>23</v>
      </c>
      <c r="F108" s="21" t="s">
        <v>310</v>
      </c>
      <c r="G108" s="21" t="s">
        <v>194</v>
      </c>
      <c r="H108" s="21" t="s">
        <v>23</v>
      </c>
      <c r="I108" s="21" t="s">
        <v>23</v>
      </c>
      <c r="J108" s="21">
        <v>19</v>
      </c>
      <c r="K108" s="21" t="s">
        <v>347</v>
      </c>
      <c r="L108" s="20" t="s">
        <v>520</v>
      </c>
    </row>
    <row r="109" spans="1:12" ht="17.100000000000001" customHeight="1">
      <c r="A109" s="27">
        <v>45744</v>
      </c>
      <c r="B109" s="20" t="s">
        <v>20</v>
      </c>
      <c r="C109" s="21" t="s">
        <v>29</v>
      </c>
      <c r="D109" s="21" t="s">
        <v>519</v>
      </c>
      <c r="E109" s="21" t="s">
        <v>23</v>
      </c>
      <c r="F109" s="21" t="s">
        <v>310</v>
      </c>
      <c r="G109" s="21" t="s">
        <v>194</v>
      </c>
      <c r="H109" s="21" t="s">
        <v>23</v>
      </c>
      <c r="I109" s="21" t="s">
        <v>23</v>
      </c>
      <c r="J109" s="21">
        <v>33</v>
      </c>
      <c r="K109" s="21" t="s">
        <v>347</v>
      </c>
      <c r="L109" s="20" t="s">
        <v>520</v>
      </c>
    </row>
    <row r="110" spans="1:12" ht="17.100000000000001" customHeight="1">
      <c r="A110" s="27">
        <v>45744</v>
      </c>
      <c r="B110" s="20" t="s">
        <v>20</v>
      </c>
      <c r="C110" s="21" t="s">
        <v>29</v>
      </c>
      <c r="D110" s="21" t="s">
        <v>519</v>
      </c>
      <c r="E110" s="21" t="s">
        <v>23</v>
      </c>
      <c r="F110" s="21" t="s">
        <v>310</v>
      </c>
      <c r="G110" s="21" t="s">
        <v>194</v>
      </c>
      <c r="H110" s="21" t="s">
        <v>23</v>
      </c>
      <c r="I110" s="21" t="s">
        <v>23</v>
      </c>
      <c r="J110" s="21">
        <v>238</v>
      </c>
      <c r="K110" s="21" t="s">
        <v>347</v>
      </c>
      <c r="L110" s="20" t="s">
        <v>521</v>
      </c>
    </row>
    <row r="111" spans="1:12" ht="17.100000000000001" customHeight="1">
      <c r="A111" s="27">
        <v>45744</v>
      </c>
      <c r="B111" s="20" t="s">
        <v>20</v>
      </c>
      <c r="C111" s="21" t="s">
        <v>33</v>
      </c>
      <c r="D111" s="21" t="s">
        <v>522</v>
      </c>
      <c r="E111" s="21" t="s">
        <v>23</v>
      </c>
      <c r="F111" s="21" t="s">
        <v>310</v>
      </c>
      <c r="G111" s="21" t="s">
        <v>194</v>
      </c>
      <c r="H111" s="21" t="s">
        <v>23</v>
      </c>
      <c r="I111" s="21" t="s">
        <v>23</v>
      </c>
      <c r="J111" s="21">
        <v>120</v>
      </c>
      <c r="K111" s="21" t="s">
        <v>347</v>
      </c>
      <c r="L111" s="20" t="s">
        <v>521</v>
      </c>
    </row>
    <row r="112" spans="1:12" ht="17.100000000000001" customHeight="1">
      <c r="A112" s="27">
        <v>45747</v>
      </c>
      <c r="B112" s="20" t="s">
        <v>110</v>
      </c>
      <c r="C112" s="21" t="s">
        <v>21</v>
      </c>
      <c r="D112" s="21" t="s">
        <v>525</v>
      </c>
      <c r="E112" s="21" t="s">
        <v>480</v>
      </c>
      <c r="F112" s="21" t="s">
        <v>491</v>
      </c>
      <c r="G112" s="21" t="s">
        <v>23</v>
      </c>
      <c r="H112" s="21" t="s">
        <v>23</v>
      </c>
      <c r="I112" s="21" t="s">
        <v>23</v>
      </c>
      <c r="J112" s="21">
        <v>6</v>
      </c>
      <c r="K112" s="21" t="s">
        <v>304</v>
      </c>
      <c r="L112" s="20" t="s">
        <v>523</v>
      </c>
    </row>
    <row r="113" spans="1:12" ht="17.100000000000001" customHeight="1">
      <c r="A113" s="27">
        <v>45747</v>
      </c>
      <c r="B113" s="20" t="s">
        <v>116</v>
      </c>
      <c r="C113" s="21" t="s">
        <v>21</v>
      </c>
      <c r="D113" s="21" t="s">
        <v>525</v>
      </c>
      <c r="E113" s="21" t="s">
        <v>480</v>
      </c>
      <c r="F113" s="21" t="s">
        <v>491</v>
      </c>
      <c r="G113" s="21" t="s">
        <v>23</v>
      </c>
      <c r="H113" s="21" t="s">
        <v>23</v>
      </c>
      <c r="I113" s="21" t="s">
        <v>23</v>
      </c>
      <c r="J113" s="21">
        <v>56</v>
      </c>
      <c r="K113" s="21" t="s">
        <v>304</v>
      </c>
      <c r="L113" s="20" t="s">
        <v>524</v>
      </c>
    </row>
    <row r="114" spans="1:12" ht="17.100000000000001" customHeight="1">
      <c r="A114" s="27">
        <v>45747</v>
      </c>
      <c r="B114" s="20" t="s">
        <v>55</v>
      </c>
      <c r="C114" s="21" t="s">
        <v>21</v>
      </c>
      <c r="D114" s="21" t="s">
        <v>525</v>
      </c>
      <c r="E114" s="21" t="s">
        <v>480</v>
      </c>
      <c r="F114" s="21" t="s">
        <v>491</v>
      </c>
      <c r="G114" s="21" t="s">
        <v>23</v>
      </c>
      <c r="H114" s="21" t="s">
        <v>23</v>
      </c>
      <c r="I114" s="21" t="s">
        <v>23</v>
      </c>
      <c r="J114" s="21">
        <v>72</v>
      </c>
      <c r="K114" s="21" t="s">
        <v>304</v>
      </c>
      <c r="L114" s="20" t="s">
        <v>526</v>
      </c>
    </row>
    <row r="115" spans="1:12" ht="17.100000000000001" customHeight="1">
      <c r="A115" s="27">
        <v>45747</v>
      </c>
      <c r="B115" s="20" t="s">
        <v>527</v>
      </c>
      <c r="C115" s="21" t="s">
        <v>21</v>
      </c>
      <c r="D115" s="21" t="s">
        <v>23</v>
      </c>
      <c r="E115" s="21" t="s">
        <v>23</v>
      </c>
      <c r="F115" s="21" t="s">
        <v>23</v>
      </c>
      <c r="G115" s="21" t="s">
        <v>23</v>
      </c>
      <c r="H115" s="21" t="s">
        <v>23</v>
      </c>
      <c r="I115" s="21" t="s">
        <v>23</v>
      </c>
      <c r="J115" s="21">
        <v>104</v>
      </c>
      <c r="K115" s="21" t="s">
        <v>474</v>
      </c>
      <c r="L115" s="20" t="s">
        <v>528</v>
      </c>
    </row>
    <row r="116" spans="1:12" ht="17.100000000000001" customHeight="1">
      <c r="A116" s="27">
        <v>45747</v>
      </c>
      <c r="B116" s="20" t="s">
        <v>43</v>
      </c>
      <c r="C116" s="21" t="s">
        <v>21</v>
      </c>
      <c r="D116" s="21" t="s">
        <v>529</v>
      </c>
      <c r="E116" s="21" t="s">
        <v>480</v>
      </c>
      <c r="F116" s="21" t="s">
        <v>530</v>
      </c>
      <c r="G116" s="21" t="s">
        <v>23</v>
      </c>
      <c r="H116" s="21" t="s">
        <v>23</v>
      </c>
      <c r="I116" s="21" t="s">
        <v>23</v>
      </c>
      <c r="J116" s="21">
        <v>36</v>
      </c>
      <c r="K116" s="21" t="s">
        <v>531</v>
      </c>
      <c r="L116" s="20" t="s">
        <v>532</v>
      </c>
    </row>
    <row r="117" spans="1:12">
      <c r="A117" s="27">
        <v>45747</v>
      </c>
      <c r="B117" s="20" t="s">
        <v>43</v>
      </c>
      <c r="C117" s="21" t="s">
        <v>21</v>
      </c>
      <c r="D117" s="21" t="s">
        <v>529</v>
      </c>
      <c r="E117" s="21" t="s">
        <v>480</v>
      </c>
      <c r="F117" s="21" t="s">
        <v>530</v>
      </c>
      <c r="G117" s="21" t="s">
        <v>23</v>
      </c>
      <c r="H117" s="21" t="s">
        <v>23</v>
      </c>
      <c r="I117" s="21" t="s">
        <v>23</v>
      </c>
      <c r="J117" s="21">
        <v>36</v>
      </c>
      <c r="K117" s="21" t="s">
        <v>531</v>
      </c>
      <c r="L117" s="20" t="s">
        <v>533</v>
      </c>
    </row>
    <row r="118" spans="1:12">
      <c r="A118" s="27">
        <v>45747</v>
      </c>
      <c r="B118" s="20" t="s">
        <v>43</v>
      </c>
      <c r="C118" s="21" t="s">
        <v>21</v>
      </c>
      <c r="D118" s="21" t="s">
        <v>529</v>
      </c>
      <c r="E118" s="21" t="s">
        <v>480</v>
      </c>
      <c r="F118" s="21" t="s">
        <v>530</v>
      </c>
      <c r="G118" s="21" t="s">
        <v>23</v>
      </c>
      <c r="H118" s="21" t="s">
        <v>23</v>
      </c>
      <c r="I118" s="21" t="s">
        <v>23</v>
      </c>
      <c r="J118" s="21">
        <v>36</v>
      </c>
      <c r="K118" s="21" t="s">
        <v>531</v>
      </c>
      <c r="L118" s="20" t="s">
        <v>534</v>
      </c>
    </row>
    <row r="119" spans="1:12">
      <c r="A119" s="27">
        <v>45747</v>
      </c>
      <c r="B119" s="20" t="s">
        <v>43</v>
      </c>
      <c r="C119" s="21" t="s">
        <v>21</v>
      </c>
      <c r="D119" s="21" t="s">
        <v>529</v>
      </c>
      <c r="E119" s="21" t="s">
        <v>480</v>
      </c>
      <c r="F119" s="21" t="s">
        <v>530</v>
      </c>
      <c r="G119" s="21" t="s">
        <v>23</v>
      </c>
      <c r="H119" s="21" t="s">
        <v>23</v>
      </c>
      <c r="I119" s="21" t="s">
        <v>23</v>
      </c>
      <c r="J119" s="21">
        <v>36</v>
      </c>
      <c r="K119" s="21" t="s">
        <v>531</v>
      </c>
      <c r="L119" s="20" t="s">
        <v>535</v>
      </c>
    </row>
    <row r="120" spans="1:12">
      <c r="A120" s="27">
        <v>45747</v>
      </c>
      <c r="B120" s="20" t="s">
        <v>43</v>
      </c>
      <c r="C120" s="21" t="s">
        <v>21</v>
      </c>
      <c r="D120" s="21" t="s">
        <v>529</v>
      </c>
      <c r="E120" s="21" t="s">
        <v>480</v>
      </c>
      <c r="F120" s="21" t="s">
        <v>530</v>
      </c>
      <c r="G120" s="21" t="s">
        <v>23</v>
      </c>
      <c r="H120" s="21" t="s">
        <v>23</v>
      </c>
      <c r="I120" s="21" t="s">
        <v>23</v>
      </c>
      <c r="J120" s="21">
        <v>69</v>
      </c>
      <c r="K120" s="21" t="s">
        <v>531</v>
      </c>
      <c r="L120" s="20" t="s">
        <v>536</v>
      </c>
    </row>
    <row r="121" spans="1:12">
      <c r="A121" s="27">
        <v>45747</v>
      </c>
      <c r="B121" s="20" t="s">
        <v>43</v>
      </c>
      <c r="C121" s="21" t="s">
        <v>29</v>
      </c>
      <c r="D121" s="21" t="s">
        <v>529</v>
      </c>
      <c r="E121" s="21" t="s">
        <v>480</v>
      </c>
      <c r="F121" s="21" t="s">
        <v>530</v>
      </c>
      <c r="G121" s="21" t="s">
        <v>23</v>
      </c>
      <c r="H121" s="21" t="s">
        <v>23</v>
      </c>
      <c r="I121" s="21" t="s">
        <v>23</v>
      </c>
      <c r="J121" s="21">
        <v>88</v>
      </c>
      <c r="K121" s="21" t="s">
        <v>539</v>
      </c>
      <c r="L121" s="20" t="s">
        <v>537</v>
      </c>
    </row>
    <row r="122" spans="1:12">
      <c r="A122" s="27">
        <v>45747</v>
      </c>
      <c r="B122" s="20" t="s">
        <v>20</v>
      </c>
      <c r="C122" s="21" t="s">
        <v>21</v>
      </c>
      <c r="D122" s="21" t="s">
        <v>522</v>
      </c>
      <c r="E122" s="21" t="s">
        <v>23</v>
      </c>
      <c r="F122" s="21" t="s">
        <v>310</v>
      </c>
      <c r="G122" s="21" t="s">
        <v>194</v>
      </c>
      <c r="H122" s="21" t="s">
        <v>23</v>
      </c>
      <c r="I122" s="21" t="s">
        <v>23</v>
      </c>
      <c r="J122" s="21">
        <v>166</v>
      </c>
      <c r="K122" s="21" t="s">
        <v>347</v>
      </c>
      <c r="L122" s="20" t="s">
        <v>521</v>
      </c>
    </row>
    <row r="123" spans="1:12">
      <c r="A123" s="27">
        <v>45747</v>
      </c>
      <c r="B123" s="20" t="s">
        <v>20</v>
      </c>
      <c r="C123" s="21" t="s">
        <v>29</v>
      </c>
      <c r="D123" s="21" t="s">
        <v>538</v>
      </c>
      <c r="E123" s="21" t="s">
        <v>23</v>
      </c>
      <c r="F123" s="21" t="s">
        <v>310</v>
      </c>
      <c r="G123" s="21" t="s">
        <v>194</v>
      </c>
      <c r="H123" s="21" t="s">
        <v>23</v>
      </c>
      <c r="I123" s="21" t="s">
        <v>23</v>
      </c>
      <c r="J123" s="21">
        <v>286</v>
      </c>
      <c r="K123" s="21" t="s">
        <v>347</v>
      </c>
      <c r="L123" s="20" t="s">
        <v>521</v>
      </c>
    </row>
    <row r="124" spans="1:12">
      <c r="A124" s="27">
        <v>45747</v>
      </c>
      <c r="B124" s="20" t="s">
        <v>43</v>
      </c>
      <c r="C124" s="21" t="s">
        <v>29</v>
      </c>
      <c r="D124" s="21"/>
      <c r="E124" s="21" t="s">
        <v>480</v>
      </c>
      <c r="F124" s="21" t="s">
        <v>530</v>
      </c>
      <c r="G124" s="21" t="s">
        <v>23</v>
      </c>
      <c r="H124" s="21" t="s">
        <v>23</v>
      </c>
      <c r="I124" s="21" t="s">
        <v>23</v>
      </c>
      <c r="J124" s="21">
        <v>108</v>
      </c>
      <c r="K124" s="21" t="s">
        <v>539</v>
      </c>
      <c r="L124" s="20" t="s">
        <v>540</v>
      </c>
    </row>
    <row r="125" spans="1:12">
      <c r="A125" s="22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0"/>
    </row>
    <row r="126" spans="1:12">
      <c r="A126" s="22"/>
      <c r="B126" s="20"/>
      <c r="C126" s="21"/>
      <c r="D126" s="21"/>
      <c r="E126" s="21"/>
      <c r="F126" s="21"/>
      <c r="G126" s="21"/>
      <c r="H126" s="21"/>
      <c r="I126" s="21"/>
      <c r="J126" s="21"/>
      <c r="K126" s="21"/>
      <c r="L126" s="20"/>
    </row>
    <row r="128" spans="1:12">
      <c r="A128" s="32" t="s">
        <v>291</v>
      </c>
      <c r="B128" s="15"/>
      <c r="C128" s="15"/>
      <c r="D128" s="14"/>
      <c r="E128" s="15"/>
      <c r="H128" s="14" t="s">
        <v>15</v>
      </c>
      <c r="I128" s="14"/>
      <c r="J128" s="14"/>
      <c r="K128" s="15"/>
      <c r="L128" s="16"/>
    </row>
    <row r="129" spans="9:9">
      <c r="I129" s="2" t="s">
        <v>16</v>
      </c>
    </row>
    <row r="130" spans="9:9">
      <c r="I130" s="2" t="s">
        <v>17</v>
      </c>
    </row>
    <row r="131" spans="9:9">
      <c r="I131" s="2" t="s">
        <v>18</v>
      </c>
    </row>
    <row r="132" spans="9:9">
      <c r="I132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2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view="pageBreakPreview" topLeftCell="A99" zoomScaleNormal="100" zoomScaleSheetLayoutView="100" workbookViewId="0">
      <selection activeCell="D127" sqref="D127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2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40">
        <v>45748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45749</v>
      </c>
      <c r="B9" s="20" t="s">
        <v>43</v>
      </c>
      <c r="C9" s="21" t="s">
        <v>21</v>
      </c>
      <c r="D9" s="21" t="s">
        <v>541</v>
      </c>
      <c r="E9" s="21" t="s">
        <v>542</v>
      </c>
      <c r="F9" s="21" t="s">
        <v>543</v>
      </c>
      <c r="G9" s="21" t="s">
        <v>23</v>
      </c>
      <c r="H9" s="21" t="s">
        <v>23</v>
      </c>
      <c r="I9" s="21" t="s">
        <v>23</v>
      </c>
      <c r="J9" s="21">
        <v>240</v>
      </c>
      <c r="K9" s="21" t="s">
        <v>531</v>
      </c>
      <c r="L9" s="20" t="s">
        <v>544</v>
      </c>
    </row>
    <row r="10" spans="1:12" ht="17.100000000000001" customHeight="1">
      <c r="A10" s="27">
        <v>45749</v>
      </c>
      <c r="B10" s="20" t="s">
        <v>43</v>
      </c>
      <c r="C10" s="21" t="s">
        <v>29</v>
      </c>
      <c r="D10" s="21" t="s">
        <v>545</v>
      </c>
      <c r="E10" s="21" t="s">
        <v>542</v>
      </c>
      <c r="F10" s="21" t="s">
        <v>546</v>
      </c>
      <c r="G10" s="21" t="s">
        <v>23</v>
      </c>
      <c r="H10" s="21" t="s">
        <v>23</v>
      </c>
      <c r="I10" s="21" t="s">
        <v>23</v>
      </c>
      <c r="J10" s="21">
        <f>312-240</f>
        <v>72</v>
      </c>
      <c r="K10" s="21" t="s">
        <v>531</v>
      </c>
      <c r="L10" s="20" t="s">
        <v>544</v>
      </c>
    </row>
    <row r="11" spans="1:12" ht="17.100000000000001" customHeight="1">
      <c r="A11" s="27">
        <v>45749</v>
      </c>
      <c r="B11" s="20" t="s">
        <v>43</v>
      </c>
      <c r="C11" s="21" t="s">
        <v>29</v>
      </c>
      <c r="D11" s="21" t="s">
        <v>545</v>
      </c>
      <c r="E11" s="21" t="s">
        <v>542</v>
      </c>
      <c r="F11" s="21" t="s">
        <v>546</v>
      </c>
      <c r="G11" s="21" t="s">
        <v>23</v>
      </c>
      <c r="H11" s="21" t="s">
        <v>23</v>
      </c>
      <c r="I11" s="21" t="s">
        <v>23</v>
      </c>
      <c r="J11" s="21">
        <v>100</v>
      </c>
      <c r="K11" s="21" t="s">
        <v>531</v>
      </c>
      <c r="L11" s="20" t="s">
        <v>547</v>
      </c>
    </row>
    <row r="12" spans="1:12" ht="17.100000000000001" customHeight="1">
      <c r="A12" s="27">
        <v>45749</v>
      </c>
      <c r="B12" s="20" t="s">
        <v>20</v>
      </c>
      <c r="C12" s="21" t="s">
        <v>21</v>
      </c>
      <c r="D12" s="21" t="s">
        <v>477</v>
      </c>
      <c r="E12" s="21" t="s">
        <v>23</v>
      </c>
      <c r="F12" s="21" t="s">
        <v>310</v>
      </c>
      <c r="G12" s="21" t="s">
        <v>194</v>
      </c>
      <c r="H12" s="21" t="s">
        <v>23</v>
      </c>
      <c r="I12" s="21" t="s">
        <v>23</v>
      </c>
      <c r="J12" s="21">
        <v>211</v>
      </c>
      <c r="K12" s="21" t="s">
        <v>549</v>
      </c>
      <c r="L12" s="20" t="s">
        <v>550</v>
      </c>
    </row>
    <row r="13" spans="1:12" ht="17.100000000000001" customHeight="1">
      <c r="A13" s="27">
        <v>45749</v>
      </c>
      <c r="B13" s="20" t="s">
        <v>20</v>
      </c>
      <c r="C13" s="21" t="s">
        <v>29</v>
      </c>
      <c r="D13" s="21" t="s">
        <v>548</v>
      </c>
      <c r="E13" s="21" t="s">
        <v>23</v>
      </c>
      <c r="F13" s="21" t="s">
        <v>310</v>
      </c>
      <c r="G13" s="21" t="s">
        <v>194</v>
      </c>
      <c r="H13" s="21" t="s">
        <v>23</v>
      </c>
      <c r="I13" s="21" t="s">
        <v>23</v>
      </c>
      <c r="J13" s="21">
        <v>145</v>
      </c>
      <c r="K13" s="21" t="s">
        <v>549</v>
      </c>
      <c r="L13" s="20" t="s">
        <v>550</v>
      </c>
    </row>
    <row r="14" spans="1:12" ht="17.100000000000001" customHeight="1">
      <c r="A14" s="27">
        <v>45749</v>
      </c>
      <c r="B14" s="20" t="s">
        <v>20</v>
      </c>
      <c r="C14" s="21" t="s">
        <v>29</v>
      </c>
      <c r="D14" s="21" t="s">
        <v>548</v>
      </c>
      <c r="E14" s="21" t="s">
        <v>23</v>
      </c>
      <c r="F14" s="21" t="s">
        <v>310</v>
      </c>
      <c r="G14" s="21" t="s">
        <v>194</v>
      </c>
      <c r="H14" s="21" t="s">
        <v>23</v>
      </c>
      <c r="I14" s="21" t="s">
        <v>23</v>
      </c>
      <c r="J14" s="21">
        <v>126</v>
      </c>
      <c r="K14" s="21" t="s">
        <v>549</v>
      </c>
      <c r="L14" s="20" t="s">
        <v>551</v>
      </c>
    </row>
    <row r="15" spans="1:12" ht="17.100000000000001" customHeight="1">
      <c r="A15" s="27">
        <v>45750</v>
      </c>
      <c r="B15" s="20" t="s">
        <v>20</v>
      </c>
      <c r="C15" s="21" t="s">
        <v>21</v>
      </c>
      <c r="D15" s="21" t="s">
        <v>552</v>
      </c>
      <c r="E15" s="21" t="s">
        <v>23</v>
      </c>
      <c r="F15" s="21" t="s">
        <v>554</v>
      </c>
      <c r="G15" s="21" t="s">
        <v>555</v>
      </c>
      <c r="H15" s="21" t="s">
        <v>23</v>
      </c>
      <c r="I15" s="21" t="s">
        <v>23</v>
      </c>
      <c r="J15" s="21">
        <v>232</v>
      </c>
      <c r="K15" s="21" t="s">
        <v>556</v>
      </c>
      <c r="L15" s="20" t="s">
        <v>557</v>
      </c>
    </row>
    <row r="16" spans="1:12" ht="17.100000000000001" customHeight="1">
      <c r="A16" s="27">
        <v>45750</v>
      </c>
      <c r="B16" s="20" t="s">
        <v>20</v>
      </c>
      <c r="C16" s="21" t="s">
        <v>29</v>
      </c>
      <c r="D16" s="21" t="s">
        <v>553</v>
      </c>
      <c r="E16" s="21" t="s">
        <v>23</v>
      </c>
      <c r="F16" s="21" t="s">
        <v>554</v>
      </c>
      <c r="G16" s="21" t="s">
        <v>555</v>
      </c>
      <c r="H16" s="21" t="s">
        <v>23</v>
      </c>
      <c r="I16" s="21" t="s">
        <v>23</v>
      </c>
      <c r="J16" s="21">
        <v>286</v>
      </c>
      <c r="K16" s="21" t="s">
        <v>556</v>
      </c>
      <c r="L16" s="20" t="s">
        <v>557</v>
      </c>
    </row>
    <row r="17" spans="1:12" ht="17.100000000000001" customHeight="1">
      <c r="A17" s="27">
        <v>45751</v>
      </c>
      <c r="B17" s="20" t="s">
        <v>20</v>
      </c>
      <c r="C17" s="21" t="s">
        <v>21</v>
      </c>
      <c r="D17" s="21" t="s">
        <v>558</v>
      </c>
      <c r="E17" s="21" t="s">
        <v>23</v>
      </c>
      <c r="F17" s="21" t="s">
        <v>554</v>
      </c>
      <c r="G17" s="21" t="s">
        <v>555</v>
      </c>
      <c r="H17" s="21" t="s">
        <v>23</v>
      </c>
      <c r="I17" s="21" t="s">
        <v>23</v>
      </c>
      <c r="J17" s="21">
        <v>286</v>
      </c>
      <c r="K17" s="21" t="s">
        <v>515</v>
      </c>
      <c r="L17" s="20" t="s">
        <v>557</v>
      </c>
    </row>
    <row r="18" spans="1:12" ht="17.100000000000001" customHeight="1">
      <c r="A18" s="27">
        <v>45751</v>
      </c>
      <c r="B18" s="20" t="s">
        <v>20</v>
      </c>
      <c r="C18" s="21" t="s">
        <v>29</v>
      </c>
      <c r="D18" s="21" t="s">
        <v>559</v>
      </c>
      <c r="E18" s="21" t="s">
        <v>23</v>
      </c>
      <c r="F18" s="21" t="s">
        <v>554</v>
      </c>
      <c r="G18" s="21" t="s">
        <v>555</v>
      </c>
      <c r="H18" s="21" t="s">
        <v>23</v>
      </c>
      <c r="I18" s="21" t="s">
        <v>23</v>
      </c>
      <c r="J18" s="21">
        <v>236</v>
      </c>
      <c r="K18" s="21" t="s">
        <v>515</v>
      </c>
      <c r="L18" s="20" t="s">
        <v>557</v>
      </c>
    </row>
    <row r="19" spans="1:12" ht="17.100000000000001" customHeight="1">
      <c r="A19" s="27">
        <v>45751</v>
      </c>
      <c r="B19" s="20" t="s">
        <v>20</v>
      </c>
      <c r="C19" s="21" t="s">
        <v>29</v>
      </c>
      <c r="D19" s="21" t="s">
        <v>559</v>
      </c>
      <c r="E19" s="21" t="s">
        <v>23</v>
      </c>
      <c r="F19" s="21" t="s">
        <v>554</v>
      </c>
      <c r="G19" s="21" t="s">
        <v>555</v>
      </c>
      <c r="H19" s="21" t="s">
        <v>23</v>
      </c>
      <c r="I19" s="21" t="s">
        <v>23</v>
      </c>
      <c r="J19" s="21">
        <v>50</v>
      </c>
      <c r="K19" s="21" t="s">
        <v>515</v>
      </c>
      <c r="L19" s="20" t="s">
        <v>561</v>
      </c>
    </row>
    <row r="20" spans="1:12" ht="17.100000000000001" customHeight="1">
      <c r="A20" s="27">
        <v>45751</v>
      </c>
      <c r="B20" s="20" t="s">
        <v>20</v>
      </c>
      <c r="C20" s="21" t="s">
        <v>33</v>
      </c>
      <c r="D20" s="21" t="s">
        <v>560</v>
      </c>
      <c r="E20" s="21" t="s">
        <v>23</v>
      </c>
      <c r="F20" s="21" t="s">
        <v>554</v>
      </c>
      <c r="G20" s="21" t="s">
        <v>555</v>
      </c>
      <c r="H20" s="21" t="s">
        <v>23</v>
      </c>
      <c r="I20" s="21" t="s">
        <v>23</v>
      </c>
      <c r="J20" s="21">
        <v>286</v>
      </c>
      <c r="K20" s="21" t="s">
        <v>515</v>
      </c>
      <c r="L20" s="20" t="s">
        <v>561</v>
      </c>
    </row>
    <row r="21" spans="1:12" ht="17.100000000000001" customHeight="1">
      <c r="A21" s="27">
        <v>45751</v>
      </c>
      <c r="B21" s="20" t="s">
        <v>43</v>
      </c>
      <c r="C21" s="21" t="s">
        <v>21</v>
      </c>
      <c r="D21" s="21" t="s">
        <v>562</v>
      </c>
      <c r="E21" s="21" t="s">
        <v>542</v>
      </c>
      <c r="F21" s="21" t="s">
        <v>563</v>
      </c>
      <c r="G21" s="21" t="s">
        <v>23</v>
      </c>
      <c r="H21" s="21" t="s">
        <v>23</v>
      </c>
      <c r="I21" s="21" t="s">
        <v>23</v>
      </c>
      <c r="J21" s="21">
        <v>216</v>
      </c>
      <c r="K21" s="21" t="s">
        <v>564</v>
      </c>
      <c r="L21" s="20" t="s">
        <v>547</v>
      </c>
    </row>
    <row r="22" spans="1:12" ht="17.100000000000001" customHeight="1">
      <c r="A22" s="27">
        <v>45751</v>
      </c>
      <c r="B22" s="20" t="s">
        <v>43</v>
      </c>
      <c r="C22" s="21" t="s">
        <v>21</v>
      </c>
      <c r="D22" s="21" t="s">
        <v>562</v>
      </c>
      <c r="E22" s="21" t="s">
        <v>542</v>
      </c>
      <c r="F22" s="21" t="s">
        <v>563</v>
      </c>
      <c r="G22" s="21" t="s">
        <v>23</v>
      </c>
      <c r="H22" s="21" t="s">
        <v>23</v>
      </c>
      <c r="I22" s="21" t="s">
        <v>23</v>
      </c>
      <c r="J22" s="21">
        <v>36</v>
      </c>
      <c r="K22" s="21" t="s">
        <v>564</v>
      </c>
      <c r="L22" s="20" t="s">
        <v>565</v>
      </c>
    </row>
    <row r="23" spans="1:12" ht="17.100000000000001" customHeight="1">
      <c r="A23" s="27">
        <v>45751</v>
      </c>
      <c r="B23" s="20" t="s">
        <v>43</v>
      </c>
      <c r="C23" s="21" t="s">
        <v>29</v>
      </c>
      <c r="D23" s="21" t="s">
        <v>501</v>
      </c>
      <c r="E23" s="21" t="s">
        <v>542</v>
      </c>
      <c r="F23" s="21" t="s">
        <v>563</v>
      </c>
      <c r="G23" s="21" t="s">
        <v>23</v>
      </c>
      <c r="H23" s="21" t="s">
        <v>23</v>
      </c>
      <c r="I23" s="21" t="s">
        <v>23</v>
      </c>
      <c r="J23" s="21">
        <v>82</v>
      </c>
      <c r="K23" s="21" t="s">
        <v>564</v>
      </c>
      <c r="L23" s="20" t="s">
        <v>565</v>
      </c>
    </row>
    <row r="24" spans="1:12" ht="17.100000000000001" customHeight="1">
      <c r="A24" s="27">
        <v>45751</v>
      </c>
      <c r="B24" s="20" t="s">
        <v>43</v>
      </c>
      <c r="C24" s="21" t="s">
        <v>33</v>
      </c>
      <c r="D24" s="21" t="s">
        <v>566</v>
      </c>
      <c r="E24" s="21" t="s">
        <v>542</v>
      </c>
      <c r="F24" s="21" t="s">
        <v>567</v>
      </c>
      <c r="G24" s="21" t="s">
        <v>23</v>
      </c>
      <c r="H24" s="21" t="s">
        <v>23</v>
      </c>
      <c r="I24" s="21" t="s">
        <v>23</v>
      </c>
      <c r="J24" s="21">
        <f>252-118</f>
        <v>134</v>
      </c>
      <c r="K24" s="21" t="s">
        <v>564</v>
      </c>
      <c r="L24" s="20" t="s">
        <v>565</v>
      </c>
    </row>
    <row r="25" spans="1:12" ht="17.100000000000001" customHeight="1">
      <c r="A25" s="26" t="s">
        <v>570</v>
      </c>
      <c r="B25" s="20" t="s">
        <v>43</v>
      </c>
      <c r="C25" s="21" t="s">
        <v>21</v>
      </c>
      <c r="D25" s="21" t="s">
        <v>566</v>
      </c>
      <c r="E25" s="21" t="s">
        <v>542</v>
      </c>
      <c r="F25" s="21" t="s">
        <v>567</v>
      </c>
      <c r="G25" s="21" t="s">
        <v>23</v>
      </c>
      <c r="H25" s="21" t="s">
        <v>23</v>
      </c>
      <c r="I25" s="21" t="s">
        <v>23</v>
      </c>
      <c r="J25" s="21">
        <v>108</v>
      </c>
      <c r="K25" s="21" t="s">
        <v>568</v>
      </c>
      <c r="L25" s="20" t="s">
        <v>569</v>
      </c>
    </row>
    <row r="26" spans="1:12" ht="17.100000000000001" customHeight="1">
      <c r="A26" s="27">
        <v>45754</v>
      </c>
      <c r="B26" s="20" t="s">
        <v>20</v>
      </c>
      <c r="C26" s="21" t="s">
        <v>21</v>
      </c>
      <c r="D26" s="21" t="s">
        <v>571</v>
      </c>
      <c r="E26" s="21" t="s">
        <v>23</v>
      </c>
      <c r="F26" s="21" t="s">
        <v>554</v>
      </c>
      <c r="G26" s="21" t="s">
        <v>555</v>
      </c>
      <c r="H26" s="21" t="s">
        <v>23</v>
      </c>
      <c r="I26" s="21" t="s">
        <v>23</v>
      </c>
      <c r="J26" s="21">
        <v>144</v>
      </c>
      <c r="K26" s="21" t="s">
        <v>347</v>
      </c>
      <c r="L26" s="20" t="s">
        <v>572</v>
      </c>
    </row>
    <row r="27" spans="1:12" ht="17.100000000000001" customHeight="1">
      <c r="A27" s="27">
        <v>45842</v>
      </c>
      <c r="B27" s="20" t="s">
        <v>43</v>
      </c>
      <c r="C27" s="21" t="s">
        <v>21</v>
      </c>
      <c r="D27" s="21" t="s">
        <v>573</v>
      </c>
      <c r="E27" s="21" t="s">
        <v>576</v>
      </c>
      <c r="F27" s="21" t="s">
        <v>577</v>
      </c>
      <c r="G27" s="21" t="s">
        <v>23</v>
      </c>
      <c r="H27" s="21" t="s">
        <v>23</v>
      </c>
      <c r="I27" s="21" t="s">
        <v>23</v>
      </c>
      <c r="J27" s="21">
        <v>180</v>
      </c>
      <c r="K27" s="21" t="s">
        <v>578</v>
      </c>
      <c r="L27" s="20" t="s">
        <v>579</v>
      </c>
    </row>
    <row r="28" spans="1:12" ht="17.100000000000001" customHeight="1">
      <c r="A28" s="27">
        <v>45842</v>
      </c>
      <c r="B28" s="20" t="s">
        <v>43</v>
      </c>
      <c r="C28" s="21" t="s">
        <v>21</v>
      </c>
      <c r="D28" s="21" t="s">
        <v>573</v>
      </c>
      <c r="E28" s="21" t="s">
        <v>576</v>
      </c>
      <c r="F28" s="21" t="s">
        <v>577</v>
      </c>
      <c r="G28" s="21" t="s">
        <v>23</v>
      </c>
      <c r="H28" s="21" t="s">
        <v>23</v>
      </c>
      <c r="I28" s="21" t="s">
        <v>23</v>
      </c>
      <c r="J28" s="21">
        <v>60</v>
      </c>
      <c r="K28" s="21" t="s">
        <v>578</v>
      </c>
      <c r="L28" s="20" t="s">
        <v>580</v>
      </c>
    </row>
    <row r="29" spans="1:12" ht="17.100000000000001" customHeight="1">
      <c r="A29" s="27">
        <v>45842</v>
      </c>
      <c r="B29" s="20" t="s">
        <v>43</v>
      </c>
      <c r="C29" s="21" t="s">
        <v>29</v>
      </c>
      <c r="D29" s="21" t="s">
        <v>574</v>
      </c>
      <c r="E29" s="21" t="s">
        <v>576</v>
      </c>
      <c r="F29" s="21" t="s">
        <v>577</v>
      </c>
      <c r="G29" s="21" t="s">
        <v>23</v>
      </c>
      <c r="H29" s="21" t="s">
        <v>23</v>
      </c>
      <c r="I29" s="21" t="s">
        <v>23</v>
      </c>
      <c r="J29" s="21">
        <v>48</v>
      </c>
      <c r="K29" s="21" t="s">
        <v>578</v>
      </c>
      <c r="L29" s="20" t="s">
        <v>580</v>
      </c>
    </row>
    <row r="30" spans="1:12" ht="17.100000000000001" customHeight="1">
      <c r="A30" s="27">
        <v>45842</v>
      </c>
      <c r="B30" s="20" t="s">
        <v>43</v>
      </c>
      <c r="C30" s="21" t="s">
        <v>29</v>
      </c>
      <c r="D30" s="21" t="s">
        <v>574</v>
      </c>
      <c r="E30" s="21" t="s">
        <v>576</v>
      </c>
      <c r="F30" s="21" t="s">
        <v>577</v>
      </c>
      <c r="G30" s="21" t="s">
        <v>23</v>
      </c>
      <c r="H30" s="21" t="s">
        <v>23</v>
      </c>
      <c r="I30" s="21" t="s">
        <v>23</v>
      </c>
      <c r="J30" s="21">
        <v>432</v>
      </c>
      <c r="K30" s="21" t="s">
        <v>578</v>
      </c>
      <c r="L30" s="20" t="s">
        <v>581</v>
      </c>
    </row>
    <row r="31" spans="1:12" ht="17.100000000000001" customHeight="1">
      <c r="A31" s="27">
        <v>45842</v>
      </c>
      <c r="B31" s="20" t="s">
        <v>43</v>
      </c>
      <c r="C31" s="21" t="s">
        <v>33</v>
      </c>
      <c r="D31" s="21" t="s">
        <v>575</v>
      </c>
      <c r="E31" s="21" t="s">
        <v>576</v>
      </c>
      <c r="F31" s="21" t="s">
        <v>577</v>
      </c>
      <c r="G31" s="21" t="s">
        <v>23</v>
      </c>
      <c r="H31" s="21" t="s">
        <v>23</v>
      </c>
      <c r="I31" s="21" t="s">
        <v>23</v>
      </c>
      <c r="J31" s="21">
        <v>128</v>
      </c>
      <c r="K31" s="21" t="s">
        <v>578</v>
      </c>
      <c r="L31" s="20" t="s">
        <v>581</v>
      </c>
    </row>
    <row r="32" spans="1:12" ht="17.100000000000001" customHeight="1">
      <c r="A32" s="27">
        <v>45755</v>
      </c>
      <c r="B32" s="20" t="s">
        <v>128</v>
      </c>
      <c r="C32" s="21" t="s">
        <v>21</v>
      </c>
      <c r="D32" s="21" t="s">
        <v>571</v>
      </c>
      <c r="E32" s="21" t="s">
        <v>23</v>
      </c>
      <c r="F32" s="21" t="s">
        <v>23</v>
      </c>
      <c r="G32" s="21" t="s">
        <v>23</v>
      </c>
      <c r="H32" s="21" t="s">
        <v>23</v>
      </c>
      <c r="I32" s="21" t="s">
        <v>23</v>
      </c>
      <c r="J32" s="21">
        <v>36</v>
      </c>
      <c r="K32" s="21" t="s">
        <v>549</v>
      </c>
      <c r="L32" s="20" t="s">
        <v>582</v>
      </c>
    </row>
    <row r="33" spans="1:12" ht="17.100000000000001" customHeight="1">
      <c r="A33" s="27">
        <v>45755</v>
      </c>
      <c r="B33" s="20" t="s">
        <v>39</v>
      </c>
      <c r="C33" s="21" t="s">
        <v>21</v>
      </c>
      <c r="D33" s="21" t="s">
        <v>571</v>
      </c>
      <c r="E33" s="21" t="s">
        <v>23</v>
      </c>
      <c r="F33" s="21" t="s">
        <v>554</v>
      </c>
      <c r="G33" s="21" t="s">
        <v>555</v>
      </c>
      <c r="H33" s="21" t="s">
        <v>23</v>
      </c>
      <c r="I33" s="21" t="s">
        <v>23</v>
      </c>
      <c r="J33" s="21">
        <v>104</v>
      </c>
      <c r="K33" s="21" t="s">
        <v>549</v>
      </c>
      <c r="L33" s="20" t="s">
        <v>583</v>
      </c>
    </row>
    <row r="34" spans="1:12" ht="17.100000000000001" customHeight="1">
      <c r="A34" s="27">
        <v>45755</v>
      </c>
      <c r="B34" s="20" t="s">
        <v>43</v>
      </c>
      <c r="C34" s="21" t="s">
        <v>21</v>
      </c>
      <c r="D34" s="21" t="s">
        <v>575</v>
      </c>
      <c r="E34" s="21" t="s">
        <v>480</v>
      </c>
      <c r="F34" s="21" t="s">
        <v>586</v>
      </c>
      <c r="G34" s="21" t="s">
        <v>23</v>
      </c>
      <c r="H34" s="21" t="s">
        <v>23</v>
      </c>
      <c r="I34" s="21" t="s">
        <v>23</v>
      </c>
      <c r="J34" s="21">
        <v>112</v>
      </c>
      <c r="K34" s="21" t="s">
        <v>578</v>
      </c>
      <c r="L34" s="20" t="s">
        <v>581</v>
      </c>
    </row>
    <row r="35" spans="1:12" ht="17.100000000000001" customHeight="1">
      <c r="A35" s="27">
        <v>45755</v>
      </c>
      <c r="B35" s="20" t="s">
        <v>43</v>
      </c>
      <c r="C35" s="21" t="s">
        <v>29</v>
      </c>
      <c r="D35" s="21" t="s">
        <v>584</v>
      </c>
      <c r="E35" s="21" t="s">
        <v>480</v>
      </c>
      <c r="F35" s="21" t="s">
        <v>586</v>
      </c>
      <c r="G35" s="21" t="s">
        <v>23</v>
      </c>
      <c r="H35" s="21" t="s">
        <v>23</v>
      </c>
      <c r="I35" s="21" t="s">
        <v>23</v>
      </c>
      <c r="J35" s="21">
        <v>56</v>
      </c>
      <c r="K35" s="21" t="s">
        <v>578</v>
      </c>
      <c r="L35" s="20" t="s">
        <v>581</v>
      </c>
    </row>
    <row r="36" spans="1:12" ht="17.100000000000001" customHeight="1">
      <c r="A36" s="27">
        <v>45755</v>
      </c>
      <c r="B36" s="20" t="s">
        <v>43</v>
      </c>
      <c r="C36" s="21" t="s">
        <v>29</v>
      </c>
      <c r="D36" s="21" t="s">
        <v>584</v>
      </c>
      <c r="E36" s="21" t="s">
        <v>480</v>
      </c>
      <c r="F36" s="21" t="s">
        <v>586</v>
      </c>
      <c r="G36" s="21" t="s">
        <v>23</v>
      </c>
      <c r="H36" s="21" t="s">
        <v>23</v>
      </c>
      <c r="I36" s="21" t="s">
        <v>23</v>
      </c>
      <c r="J36" s="21">
        <v>184</v>
      </c>
      <c r="K36" s="21" t="s">
        <v>578</v>
      </c>
      <c r="L36" s="20" t="s">
        <v>588</v>
      </c>
    </row>
    <row r="37" spans="1:12" ht="17.100000000000001" customHeight="1">
      <c r="A37" s="27">
        <v>45755</v>
      </c>
      <c r="B37" s="20" t="s">
        <v>43</v>
      </c>
      <c r="C37" s="21" t="s">
        <v>33</v>
      </c>
      <c r="D37" s="21" t="s">
        <v>585</v>
      </c>
      <c r="E37" s="21" t="s">
        <v>480</v>
      </c>
      <c r="F37" s="21" t="s">
        <v>586</v>
      </c>
      <c r="G37" s="21" t="s">
        <v>23</v>
      </c>
      <c r="H37" s="21" t="s">
        <v>23</v>
      </c>
      <c r="I37" s="21" t="s">
        <v>23</v>
      </c>
      <c r="J37" s="21">
        <v>89</v>
      </c>
      <c r="K37" s="21" t="s">
        <v>587</v>
      </c>
      <c r="L37" s="20" t="s">
        <v>588</v>
      </c>
    </row>
    <row r="38" spans="1:12" ht="17.100000000000001" customHeight="1">
      <c r="A38" s="27">
        <v>45757</v>
      </c>
      <c r="B38" s="20" t="s">
        <v>20</v>
      </c>
      <c r="C38" s="21" t="s">
        <v>21</v>
      </c>
      <c r="D38" s="21" t="s">
        <v>589</v>
      </c>
      <c r="E38" s="21" t="s">
        <v>23</v>
      </c>
      <c r="F38" s="21" t="s">
        <v>554</v>
      </c>
      <c r="G38" s="21" t="s">
        <v>555</v>
      </c>
      <c r="H38" s="21" t="s">
        <v>23</v>
      </c>
      <c r="I38" s="21" t="s">
        <v>23</v>
      </c>
      <c r="J38" s="21">
        <v>50</v>
      </c>
      <c r="K38" s="21" t="s">
        <v>347</v>
      </c>
      <c r="L38" s="20" t="s">
        <v>590</v>
      </c>
    </row>
    <row r="39" spans="1:12" ht="17.100000000000001" customHeight="1">
      <c r="A39" s="27">
        <v>45757</v>
      </c>
      <c r="B39" s="20" t="s">
        <v>39</v>
      </c>
      <c r="C39" s="21" t="s">
        <v>21</v>
      </c>
      <c r="D39" s="21" t="s">
        <v>589</v>
      </c>
      <c r="E39" s="21" t="s">
        <v>23</v>
      </c>
      <c r="F39" s="21" t="s">
        <v>554</v>
      </c>
      <c r="G39" s="21" t="s">
        <v>555</v>
      </c>
      <c r="H39" s="21" t="s">
        <v>23</v>
      </c>
      <c r="I39" s="21" t="s">
        <v>23</v>
      </c>
      <c r="J39" s="21">
        <v>204</v>
      </c>
      <c r="K39" s="21" t="s">
        <v>347</v>
      </c>
      <c r="L39" s="20" t="s">
        <v>592</v>
      </c>
    </row>
    <row r="40" spans="1:12" ht="17.100000000000001" customHeight="1">
      <c r="A40" s="27">
        <v>45757</v>
      </c>
      <c r="B40" s="20" t="s">
        <v>39</v>
      </c>
      <c r="C40" s="21" t="s">
        <v>29</v>
      </c>
      <c r="D40" s="21" t="s">
        <v>591</v>
      </c>
      <c r="E40" s="21" t="s">
        <v>23</v>
      </c>
      <c r="F40" s="21" t="s">
        <v>554</v>
      </c>
      <c r="G40" s="21" t="s">
        <v>555</v>
      </c>
      <c r="H40" s="21" t="s">
        <v>23</v>
      </c>
      <c r="I40" s="21" t="s">
        <v>23</v>
      </c>
      <c r="J40" s="21">
        <v>156</v>
      </c>
      <c r="K40" s="21" t="s">
        <v>347</v>
      </c>
      <c r="L40" s="20" t="s">
        <v>592</v>
      </c>
    </row>
    <row r="41" spans="1:12" ht="17.100000000000001" customHeight="1">
      <c r="A41" s="27">
        <v>45757</v>
      </c>
      <c r="B41" s="20" t="s">
        <v>43</v>
      </c>
      <c r="C41" s="21" t="s">
        <v>21</v>
      </c>
      <c r="D41" s="21" t="s">
        <v>585</v>
      </c>
      <c r="E41" s="21" t="s">
        <v>542</v>
      </c>
      <c r="F41" s="21" t="s">
        <v>593</v>
      </c>
      <c r="G41" s="21" t="s">
        <v>23</v>
      </c>
      <c r="H41" s="21" t="s">
        <v>23</v>
      </c>
      <c r="I41" s="21" t="s">
        <v>23</v>
      </c>
      <c r="J41" s="21">
        <v>150</v>
      </c>
      <c r="K41" s="21" t="s">
        <v>594</v>
      </c>
      <c r="L41" s="20" t="s">
        <v>588</v>
      </c>
    </row>
    <row r="42" spans="1:12" ht="17.100000000000001" customHeight="1">
      <c r="A42" s="27">
        <v>45757</v>
      </c>
      <c r="B42" s="20" t="s">
        <v>43</v>
      </c>
      <c r="C42" s="21" t="s">
        <v>29</v>
      </c>
      <c r="D42" s="21" t="s">
        <v>493</v>
      </c>
      <c r="E42" s="21" t="s">
        <v>542</v>
      </c>
      <c r="F42" s="21" t="s">
        <v>593</v>
      </c>
      <c r="G42" s="21" t="s">
        <v>23</v>
      </c>
      <c r="H42" s="21" t="s">
        <v>23</v>
      </c>
      <c r="I42" s="21" t="s">
        <v>23</v>
      </c>
      <c r="J42" s="21">
        <v>40</v>
      </c>
      <c r="K42" s="21" t="s">
        <v>594</v>
      </c>
      <c r="L42" s="20" t="s">
        <v>588</v>
      </c>
    </row>
    <row r="43" spans="1:12" ht="17.100000000000001" customHeight="1">
      <c r="A43" s="27">
        <v>45757</v>
      </c>
      <c r="B43" s="20" t="s">
        <v>43</v>
      </c>
      <c r="C43" s="21" t="s">
        <v>29</v>
      </c>
      <c r="D43" s="21" t="s">
        <v>493</v>
      </c>
      <c r="E43" s="21" t="s">
        <v>542</v>
      </c>
      <c r="F43" s="21" t="s">
        <v>593</v>
      </c>
      <c r="G43" s="21" t="s">
        <v>23</v>
      </c>
      <c r="H43" s="21" t="s">
        <v>23</v>
      </c>
      <c r="I43" s="21" t="s">
        <v>23</v>
      </c>
      <c r="J43" s="21">
        <v>83</v>
      </c>
      <c r="K43" s="21" t="s">
        <v>594</v>
      </c>
      <c r="L43" s="20" t="s">
        <v>596</v>
      </c>
    </row>
    <row r="44" spans="1:12" ht="17.100000000000001" customHeight="1">
      <c r="A44" s="27">
        <v>45757</v>
      </c>
      <c r="B44" s="20" t="s">
        <v>43</v>
      </c>
      <c r="C44" s="21" t="s">
        <v>33</v>
      </c>
      <c r="D44" s="21" t="s">
        <v>595</v>
      </c>
      <c r="E44" s="21" t="s">
        <v>542</v>
      </c>
      <c r="F44" s="21" t="s">
        <v>593</v>
      </c>
      <c r="G44" s="21" t="s">
        <v>23</v>
      </c>
      <c r="H44" s="21" t="s">
        <v>23</v>
      </c>
      <c r="I44" s="21" t="s">
        <v>23</v>
      </c>
      <c r="J44" s="21">
        <v>74</v>
      </c>
      <c r="K44" s="21" t="s">
        <v>594</v>
      </c>
      <c r="L44" s="20" t="s">
        <v>596</v>
      </c>
    </row>
    <row r="45" spans="1:12" ht="17.100000000000001" customHeight="1">
      <c r="A45" s="27">
        <v>45757</v>
      </c>
      <c r="B45" s="20" t="s">
        <v>43</v>
      </c>
      <c r="C45" s="21" t="s">
        <v>33</v>
      </c>
      <c r="D45" s="21" t="s">
        <v>595</v>
      </c>
      <c r="E45" s="21" t="s">
        <v>542</v>
      </c>
      <c r="F45" s="21" t="s">
        <v>593</v>
      </c>
      <c r="G45" s="21" t="s">
        <v>23</v>
      </c>
      <c r="H45" s="21" t="s">
        <v>23</v>
      </c>
      <c r="I45" s="21" t="s">
        <v>23</v>
      </c>
      <c r="J45" s="21">
        <v>36</v>
      </c>
      <c r="K45" s="21" t="s">
        <v>594</v>
      </c>
      <c r="L45" s="20" t="s">
        <v>597</v>
      </c>
    </row>
    <row r="46" spans="1:12" ht="17.100000000000001" customHeight="1">
      <c r="A46" s="27">
        <v>45757</v>
      </c>
      <c r="B46" s="20" t="s">
        <v>116</v>
      </c>
      <c r="C46" s="21" t="s">
        <v>21</v>
      </c>
      <c r="D46" s="21" t="s">
        <v>595</v>
      </c>
      <c r="E46" s="21" t="s">
        <v>542</v>
      </c>
      <c r="F46" s="21" t="s">
        <v>599</v>
      </c>
      <c r="G46" s="21" t="s">
        <v>23</v>
      </c>
      <c r="H46" s="21" t="s">
        <v>23</v>
      </c>
      <c r="I46" s="21" t="s">
        <v>23</v>
      </c>
      <c r="J46" s="21">
        <v>72</v>
      </c>
      <c r="K46" s="21" t="s">
        <v>594</v>
      </c>
      <c r="L46" s="20" t="s">
        <v>598</v>
      </c>
    </row>
    <row r="47" spans="1:12" ht="17.100000000000001" customHeight="1">
      <c r="A47" s="27">
        <v>45757</v>
      </c>
      <c r="B47" s="20" t="s">
        <v>55</v>
      </c>
      <c r="C47" s="21" t="s">
        <v>21</v>
      </c>
      <c r="D47" s="21" t="s">
        <v>595</v>
      </c>
      <c r="E47" s="21" t="s">
        <v>542</v>
      </c>
      <c r="F47" s="21" t="s">
        <v>599</v>
      </c>
      <c r="G47" s="21" t="s">
        <v>23</v>
      </c>
      <c r="H47" s="21" t="s">
        <v>23</v>
      </c>
      <c r="I47" s="21" t="s">
        <v>23</v>
      </c>
      <c r="J47" s="21">
        <v>50</v>
      </c>
      <c r="K47" s="21" t="s">
        <v>594</v>
      </c>
      <c r="L47" s="20" t="s">
        <v>600</v>
      </c>
    </row>
    <row r="48" spans="1:12" ht="17.100000000000001" customHeight="1">
      <c r="A48" s="27">
        <v>45758</v>
      </c>
      <c r="B48" s="20" t="s">
        <v>20</v>
      </c>
      <c r="C48" s="21" t="s">
        <v>21</v>
      </c>
      <c r="D48" s="21" t="s">
        <v>591</v>
      </c>
      <c r="E48" s="21" t="s">
        <v>23</v>
      </c>
      <c r="F48" s="21" t="s">
        <v>554</v>
      </c>
      <c r="G48" s="21" t="s">
        <v>555</v>
      </c>
      <c r="H48" s="21" t="s">
        <v>23</v>
      </c>
      <c r="I48" s="21" t="s">
        <v>23</v>
      </c>
      <c r="J48" s="21">
        <v>130</v>
      </c>
      <c r="K48" s="21" t="s">
        <v>347</v>
      </c>
      <c r="L48" s="20" t="s">
        <v>590</v>
      </c>
    </row>
    <row r="49" spans="1:14" ht="17.100000000000001" customHeight="1">
      <c r="A49" s="27">
        <v>45758</v>
      </c>
      <c r="B49" s="20" t="s">
        <v>20</v>
      </c>
      <c r="C49" s="21" t="s">
        <v>29</v>
      </c>
      <c r="D49" s="21" t="s">
        <v>601</v>
      </c>
      <c r="E49" s="21" t="s">
        <v>23</v>
      </c>
      <c r="F49" s="21" t="s">
        <v>603</v>
      </c>
      <c r="G49" s="21" t="s">
        <v>604</v>
      </c>
      <c r="H49" s="21" t="s">
        <v>23</v>
      </c>
      <c r="I49" s="21" t="s">
        <v>23</v>
      </c>
      <c r="J49" s="21">
        <v>173</v>
      </c>
      <c r="K49" s="21" t="s">
        <v>347</v>
      </c>
      <c r="L49" s="20" t="s">
        <v>605</v>
      </c>
    </row>
    <row r="50" spans="1:14" ht="17.100000000000001" customHeight="1">
      <c r="A50" s="27">
        <v>45758</v>
      </c>
      <c r="B50" s="20" t="s">
        <v>20</v>
      </c>
      <c r="C50" s="21" t="s">
        <v>33</v>
      </c>
      <c r="D50" s="21" t="s">
        <v>602</v>
      </c>
      <c r="E50" s="21" t="s">
        <v>23</v>
      </c>
      <c r="F50" s="21" t="s">
        <v>603</v>
      </c>
      <c r="G50" s="21" t="s">
        <v>604</v>
      </c>
      <c r="H50" s="21" t="s">
        <v>23</v>
      </c>
      <c r="I50" s="21" t="s">
        <v>23</v>
      </c>
      <c r="J50" s="21">
        <v>67</v>
      </c>
      <c r="K50" s="21" t="s">
        <v>347</v>
      </c>
      <c r="L50" s="20" t="s">
        <v>605</v>
      </c>
    </row>
    <row r="51" spans="1:14" ht="17.100000000000001" customHeight="1">
      <c r="A51" s="27">
        <v>45758</v>
      </c>
      <c r="B51" s="20" t="s">
        <v>39</v>
      </c>
      <c r="C51" s="21" t="s">
        <v>21</v>
      </c>
      <c r="D51" s="21" t="s">
        <v>602</v>
      </c>
      <c r="E51" s="21" t="s">
        <v>23</v>
      </c>
      <c r="F51" s="21" t="s">
        <v>603</v>
      </c>
      <c r="G51" s="21" t="s">
        <v>604</v>
      </c>
      <c r="H51" s="21" t="s">
        <v>23</v>
      </c>
      <c r="I51" s="21" t="s">
        <v>23</v>
      </c>
      <c r="J51" s="21">
        <v>1</v>
      </c>
      <c r="K51" s="21" t="s">
        <v>347</v>
      </c>
      <c r="L51" s="20" t="s">
        <v>606</v>
      </c>
    </row>
    <row r="52" spans="1:14" ht="17.100000000000001" customHeight="1">
      <c r="A52" s="27">
        <v>45758</v>
      </c>
      <c r="B52" s="20" t="s">
        <v>43</v>
      </c>
      <c r="C52" s="21" t="s">
        <v>21</v>
      </c>
      <c r="D52" s="21" t="s">
        <v>493</v>
      </c>
      <c r="E52" s="21" t="s">
        <v>542</v>
      </c>
      <c r="F52" s="21" t="s">
        <v>608</v>
      </c>
      <c r="G52" s="21" t="s">
        <v>23</v>
      </c>
      <c r="H52" s="21" t="s">
        <v>23</v>
      </c>
      <c r="I52" s="21" t="s">
        <v>23</v>
      </c>
      <c r="J52" s="21">
        <v>40</v>
      </c>
      <c r="K52" s="21" t="s">
        <v>594</v>
      </c>
      <c r="L52" s="20" t="s">
        <v>609</v>
      </c>
    </row>
    <row r="53" spans="1:14" ht="17.100000000000001" customHeight="1">
      <c r="A53" s="27">
        <v>45758</v>
      </c>
      <c r="B53" s="20" t="s">
        <v>43</v>
      </c>
      <c r="C53" s="21" t="s">
        <v>29</v>
      </c>
      <c r="D53" s="21" t="s">
        <v>607</v>
      </c>
      <c r="E53" s="21" t="s">
        <v>542</v>
      </c>
      <c r="F53" s="21" t="s">
        <v>608</v>
      </c>
      <c r="G53" s="21" t="s">
        <v>23</v>
      </c>
      <c r="H53" s="21" t="s">
        <v>23</v>
      </c>
      <c r="I53" s="21" t="s">
        <v>23</v>
      </c>
      <c r="J53" s="21">
        <v>65</v>
      </c>
      <c r="K53" s="21" t="s">
        <v>594</v>
      </c>
      <c r="L53" s="20" t="s">
        <v>609</v>
      </c>
    </row>
    <row r="54" spans="1:14" ht="17.100000000000001" customHeight="1">
      <c r="A54" s="27">
        <v>45761</v>
      </c>
      <c r="B54" s="20" t="s">
        <v>43</v>
      </c>
      <c r="C54" s="21" t="s">
        <v>21</v>
      </c>
      <c r="D54" s="21" t="s">
        <v>607</v>
      </c>
      <c r="E54" s="21" t="s">
        <v>542</v>
      </c>
      <c r="F54" s="21" t="s">
        <v>608</v>
      </c>
      <c r="G54" s="21" t="s">
        <v>23</v>
      </c>
      <c r="H54" s="21" t="s">
        <v>23</v>
      </c>
      <c r="I54" s="21" t="s">
        <v>23</v>
      </c>
      <c r="J54" s="21">
        <f>145+30</f>
        <v>175</v>
      </c>
      <c r="K54" s="21" t="s">
        <v>474</v>
      </c>
      <c r="L54" s="20" t="s">
        <v>609</v>
      </c>
    </row>
    <row r="55" spans="1:14" ht="17.100000000000001" customHeight="1">
      <c r="A55" s="27">
        <v>45761</v>
      </c>
      <c r="B55" s="20" t="s">
        <v>43</v>
      </c>
      <c r="C55" s="21" t="s">
        <v>29</v>
      </c>
      <c r="D55" s="21" t="s">
        <v>610</v>
      </c>
      <c r="E55" s="21" t="s">
        <v>542</v>
      </c>
      <c r="F55" s="21" t="s">
        <v>611</v>
      </c>
      <c r="G55" s="21" t="s">
        <v>23</v>
      </c>
      <c r="H55" s="21" t="s">
        <v>23</v>
      </c>
      <c r="I55" s="21" t="s">
        <v>23</v>
      </c>
      <c r="J55" s="21">
        <v>205</v>
      </c>
      <c r="K55" s="21" t="s">
        <v>474</v>
      </c>
      <c r="L55" s="20" t="s">
        <v>609</v>
      </c>
    </row>
    <row r="56" spans="1:14" ht="17.100000000000001" customHeight="1">
      <c r="A56" s="27">
        <v>45761</v>
      </c>
      <c r="B56" s="20" t="s">
        <v>20</v>
      </c>
      <c r="C56" s="21" t="s">
        <v>21</v>
      </c>
      <c r="D56" s="21" t="s">
        <v>602</v>
      </c>
      <c r="E56" s="21" t="s">
        <v>23</v>
      </c>
      <c r="F56" s="21" t="s">
        <v>603</v>
      </c>
      <c r="G56" s="21" t="s">
        <v>614</v>
      </c>
      <c r="H56" s="21" t="s">
        <v>23</v>
      </c>
      <c r="I56" s="21" t="s">
        <v>23</v>
      </c>
      <c r="J56" s="21">
        <v>218</v>
      </c>
      <c r="K56" s="21" t="s">
        <v>556</v>
      </c>
      <c r="L56" s="20" t="s">
        <v>605</v>
      </c>
    </row>
    <row r="57" spans="1:14" ht="17.100000000000001" customHeight="1">
      <c r="A57" s="27">
        <v>45761</v>
      </c>
      <c r="B57" s="20" t="s">
        <v>20</v>
      </c>
      <c r="C57" s="21" t="s">
        <v>29</v>
      </c>
      <c r="D57" s="21" t="s">
        <v>612</v>
      </c>
      <c r="E57" s="21" t="s">
        <v>23</v>
      </c>
      <c r="F57" s="21" t="s">
        <v>603</v>
      </c>
      <c r="G57" s="21" t="s">
        <v>614</v>
      </c>
      <c r="H57" s="21" t="s">
        <v>23</v>
      </c>
      <c r="I57" s="21" t="s">
        <v>23</v>
      </c>
      <c r="J57" s="21">
        <v>286</v>
      </c>
      <c r="K57" s="21" t="s">
        <v>556</v>
      </c>
      <c r="L57" s="20" t="s">
        <v>605</v>
      </c>
    </row>
    <row r="58" spans="1:14" ht="17.100000000000001" customHeight="1">
      <c r="A58" s="27">
        <v>45761</v>
      </c>
      <c r="B58" s="20" t="s">
        <v>20</v>
      </c>
      <c r="C58" s="21" t="s">
        <v>33</v>
      </c>
      <c r="D58" s="21" t="s">
        <v>613</v>
      </c>
      <c r="E58" s="21" t="s">
        <v>23</v>
      </c>
      <c r="F58" s="21" t="s">
        <v>603</v>
      </c>
      <c r="G58" s="21" t="s">
        <v>614</v>
      </c>
      <c r="H58" s="21" t="s">
        <v>23</v>
      </c>
      <c r="I58" s="21" t="s">
        <v>23</v>
      </c>
      <c r="J58" s="21">
        <v>246</v>
      </c>
      <c r="K58" s="21" t="s">
        <v>556</v>
      </c>
      <c r="L58" s="20" t="s">
        <v>605</v>
      </c>
    </row>
    <row r="59" spans="1:14" ht="17.100000000000001" customHeight="1">
      <c r="A59" s="27">
        <v>45762</v>
      </c>
      <c r="B59" s="20" t="s">
        <v>43</v>
      </c>
      <c r="C59" s="21" t="s">
        <v>21</v>
      </c>
      <c r="D59" s="21" t="s">
        <v>610</v>
      </c>
      <c r="E59" s="21" t="s">
        <v>542</v>
      </c>
      <c r="F59" s="21" t="s">
        <v>615</v>
      </c>
      <c r="G59" s="21" t="s">
        <v>23</v>
      </c>
      <c r="H59" s="21" t="s">
        <v>23</v>
      </c>
      <c r="I59" s="21" t="s">
        <v>23</v>
      </c>
      <c r="J59" s="21">
        <v>35</v>
      </c>
      <c r="K59" s="21" t="s">
        <v>474</v>
      </c>
      <c r="L59" s="20" t="s">
        <v>609</v>
      </c>
    </row>
    <row r="60" spans="1:14" ht="17.100000000000001" customHeight="1">
      <c r="A60" s="27">
        <v>45762</v>
      </c>
      <c r="B60" s="20" t="s">
        <v>20</v>
      </c>
      <c r="C60" s="21" t="s">
        <v>21</v>
      </c>
      <c r="D60" s="21" t="s">
        <v>613</v>
      </c>
      <c r="E60" s="21" t="s">
        <v>23</v>
      </c>
      <c r="F60" s="21" t="s">
        <v>603</v>
      </c>
      <c r="G60" s="21" t="s">
        <v>614</v>
      </c>
      <c r="H60" s="21" t="s">
        <v>23</v>
      </c>
      <c r="I60" s="21" t="s">
        <v>23</v>
      </c>
      <c r="J60" s="21">
        <v>40</v>
      </c>
      <c r="K60" s="21" t="s">
        <v>594</v>
      </c>
      <c r="L60" s="20" t="s">
        <v>605</v>
      </c>
    </row>
    <row r="61" spans="1:14">
      <c r="A61" s="27">
        <v>45762</v>
      </c>
      <c r="B61" s="20" t="s">
        <v>20</v>
      </c>
      <c r="C61" s="21" t="s">
        <v>29</v>
      </c>
      <c r="D61" s="21" t="s">
        <v>616</v>
      </c>
      <c r="E61" s="21" t="s">
        <v>23</v>
      </c>
      <c r="F61" s="21" t="s">
        <v>603</v>
      </c>
      <c r="G61" s="21" t="s">
        <v>614</v>
      </c>
      <c r="H61" s="21" t="s">
        <v>23</v>
      </c>
      <c r="I61" s="21" t="s">
        <v>23</v>
      </c>
      <c r="J61" s="21">
        <v>286</v>
      </c>
      <c r="K61" s="21" t="s">
        <v>594</v>
      </c>
      <c r="L61" s="20" t="s">
        <v>605</v>
      </c>
      <c r="M61" s="18"/>
      <c r="N61" s="17"/>
    </row>
    <row r="62" spans="1:14">
      <c r="A62" s="27">
        <v>45762</v>
      </c>
      <c r="B62" s="20" t="s">
        <v>20</v>
      </c>
      <c r="C62" s="21" t="s">
        <v>33</v>
      </c>
      <c r="D62" s="21" t="s">
        <v>617</v>
      </c>
      <c r="E62" s="21" t="s">
        <v>23</v>
      </c>
      <c r="F62" s="21" t="s">
        <v>603</v>
      </c>
      <c r="G62" s="21" t="s">
        <v>614</v>
      </c>
      <c r="H62" s="21" t="s">
        <v>23</v>
      </c>
      <c r="I62" s="21" t="s">
        <v>23</v>
      </c>
      <c r="J62" s="21">
        <v>28</v>
      </c>
      <c r="K62" s="21" t="s">
        <v>594</v>
      </c>
      <c r="L62" s="20" t="s">
        <v>605</v>
      </c>
    </row>
    <row r="63" spans="1:14">
      <c r="A63" s="27">
        <v>45762</v>
      </c>
      <c r="B63" s="20" t="s">
        <v>20</v>
      </c>
      <c r="C63" s="21" t="s">
        <v>33</v>
      </c>
      <c r="D63" s="21" t="s">
        <v>617</v>
      </c>
      <c r="E63" s="21" t="s">
        <v>23</v>
      </c>
      <c r="F63" s="21" t="s">
        <v>603</v>
      </c>
      <c r="G63" s="21" t="s">
        <v>614</v>
      </c>
      <c r="H63" s="21" t="s">
        <v>23</v>
      </c>
      <c r="I63" s="21" t="s">
        <v>23</v>
      </c>
      <c r="J63" s="21">
        <v>236</v>
      </c>
      <c r="K63" s="21" t="s">
        <v>594</v>
      </c>
      <c r="L63" s="20" t="s">
        <v>620</v>
      </c>
    </row>
    <row r="64" spans="1:14">
      <c r="A64" s="27">
        <v>45762</v>
      </c>
      <c r="B64" s="20" t="s">
        <v>20</v>
      </c>
      <c r="C64" s="21" t="s">
        <v>34</v>
      </c>
      <c r="D64" s="21" t="s">
        <v>618</v>
      </c>
      <c r="E64" s="21" t="s">
        <v>23</v>
      </c>
      <c r="F64" s="21" t="s">
        <v>603</v>
      </c>
      <c r="G64" s="21" t="s">
        <v>614</v>
      </c>
      <c r="H64" s="21" t="s">
        <v>23</v>
      </c>
      <c r="I64" s="21" t="s">
        <v>23</v>
      </c>
      <c r="J64" s="21">
        <v>286</v>
      </c>
      <c r="K64" s="21" t="s">
        <v>594</v>
      </c>
      <c r="L64" s="20" t="s">
        <v>620</v>
      </c>
    </row>
    <row r="65" spans="1:12">
      <c r="A65" s="27">
        <v>45762</v>
      </c>
      <c r="B65" s="20" t="s">
        <v>20</v>
      </c>
      <c r="C65" s="21" t="s">
        <v>139</v>
      </c>
      <c r="D65" s="21" t="s">
        <v>619</v>
      </c>
      <c r="E65" s="21" t="s">
        <v>23</v>
      </c>
      <c r="F65" s="21" t="s">
        <v>603</v>
      </c>
      <c r="G65" s="21" t="s">
        <v>614</v>
      </c>
      <c r="H65" s="21" t="s">
        <v>23</v>
      </c>
      <c r="I65" s="21" t="s">
        <v>23</v>
      </c>
      <c r="J65" s="21">
        <v>150</v>
      </c>
      <c r="K65" s="21" t="s">
        <v>594</v>
      </c>
      <c r="L65" s="20" t="s">
        <v>620</v>
      </c>
    </row>
    <row r="66" spans="1:12">
      <c r="A66" s="27">
        <v>45763</v>
      </c>
      <c r="B66" s="20" t="s">
        <v>20</v>
      </c>
      <c r="C66" s="21" t="s">
        <v>21</v>
      </c>
      <c r="D66" s="21" t="s">
        <v>619</v>
      </c>
      <c r="E66" s="21" t="s">
        <v>23</v>
      </c>
      <c r="F66" s="21" t="s">
        <v>603</v>
      </c>
      <c r="G66" s="21" t="s">
        <v>614</v>
      </c>
      <c r="H66" s="21" t="s">
        <v>23</v>
      </c>
      <c r="I66" s="21" t="s">
        <v>23</v>
      </c>
      <c r="J66" s="21">
        <v>136</v>
      </c>
      <c r="K66" s="21" t="s">
        <v>549</v>
      </c>
      <c r="L66" s="20" t="s">
        <v>620</v>
      </c>
    </row>
    <row r="67" spans="1:12">
      <c r="A67" s="27">
        <v>45763</v>
      </c>
      <c r="B67" s="20" t="s">
        <v>20</v>
      </c>
      <c r="C67" s="21" t="s">
        <v>29</v>
      </c>
      <c r="D67" s="21" t="s">
        <v>621</v>
      </c>
      <c r="E67" s="21" t="s">
        <v>23</v>
      </c>
      <c r="F67" s="21" t="s">
        <v>603</v>
      </c>
      <c r="G67" s="21" t="s">
        <v>614</v>
      </c>
      <c r="H67" s="21" t="s">
        <v>23</v>
      </c>
      <c r="I67" s="21" t="s">
        <v>23</v>
      </c>
      <c r="J67" s="21">
        <v>232</v>
      </c>
      <c r="K67" s="21" t="s">
        <v>549</v>
      </c>
      <c r="L67" s="20" t="s">
        <v>620</v>
      </c>
    </row>
    <row r="68" spans="1:12">
      <c r="A68" s="27">
        <v>45763</v>
      </c>
      <c r="B68" s="20" t="s">
        <v>20</v>
      </c>
      <c r="C68" s="21" t="s">
        <v>29</v>
      </c>
      <c r="D68" s="21" t="s">
        <v>621</v>
      </c>
      <c r="E68" s="21" t="s">
        <v>23</v>
      </c>
      <c r="F68" s="21" t="s">
        <v>603</v>
      </c>
      <c r="G68" s="21" t="s">
        <v>614</v>
      </c>
      <c r="H68" s="21" t="s">
        <v>23</v>
      </c>
      <c r="I68" s="21" t="s">
        <v>23</v>
      </c>
      <c r="J68" s="21">
        <v>54</v>
      </c>
      <c r="K68" s="21" t="s">
        <v>549</v>
      </c>
      <c r="L68" s="20" t="s">
        <v>623</v>
      </c>
    </row>
    <row r="69" spans="1:12">
      <c r="A69" s="27">
        <v>45763</v>
      </c>
      <c r="B69" s="20" t="s">
        <v>20</v>
      </c>
      <c r="C69" s="21" t="s">
        <v>33</v>
      </c>
      <c r="D69" s="21" t="s">
        <v>622</v>
      </c>
      <c r="E69" s="21" t="s">
        <v>23</v>
      </c>
      <c r="F69" s="21" t="s">
        <v>603</v>
      </c>
      <c r="G69" s="21" t="s">
        <v>614</v>
      </c>
      <c r="H69" s="21" t="s">
        <v>23</v>
      </c>
      <c r="I69" s="21" t="s">
        <v>23</v>
      </c>
      <c r="J69" s="21">
        <v>286</v>
      </c>
      <c r="K69" s="21" t="s">
        <v>549</v>
      </c>
      <c r="L69" s="20" t="s">
        <v>623</v>
      </c>
    </row>
    <row r="70" spans="1:12">
      <c r="A70" s="27">
        <v>45763</v>
      </c>
      <c r="B70" s="20" t="s">
        <v>20</v>
      </c>
      <c r="C70" s="21" t="s">
        <v>34</v>
      </c>
      <c r="D70" s="21" t="s">
        <v>601</v>
      </c>
      <c r="E70" s="21" t="s">
        <v>23</v>
      </c>
      <c r="F70" s="21" t="s">
        <v>603</v>
      </c>
      <c r="G70" s="21" t="s">
        <v>614</v>
      </c>
      <c r="H70" s="21" t="s">
        <v>23</v>
      </c>
      <c r="I70" s="21" t="s">
        <v>23</v>
      </c>
      <c r="J70" s="21">
        <v>28</v>
      </c>
      <c r="K70" s="21" t="s">
        <v>549</v>
      </c>
      <c r="L70" s="20" t="s">
        <v>623</v>
      </c>
    </row>
    <row r="71" spans="1:12">
      <c r="A71" s="27">
        <v>45763</v>
      </c>
      <c r="B71" s="20" t="s">
        <v>116</v>
      </c>
      <c r="C71" s="21" t="s">
        <v>21</v>
      </c>
      <c r="D71" s="21" t="s">
        <v>375</v>
      </c>
      <c r="E71" s="21" t="s">
        <v>624</v>
      </c>
      <c r="F71" s="21" t="s">
        <v>625</v>
      </c>
      <c r="G71" s="21" t="s">
        <v>23</v>
      </c>
      <c r="H71" s="21" t="s">
        <v>23</v>
      </c>
      <c r="I71" s="21" t="s">
        <v>23</v>
      </c>
      <c r="J71" s="21">
        <v>72</v>
      </c>
      <c r="K71" s="21" t="s">
        <v>626</v>
      </c>
      <c r="L71" s="20" t="s">
        <v>627</v>
      </c>
    </row>
    <row r="72" spans="1:12">
      <c r="A72" s="27">
        <v>45764</v>
      </c>
      <c r="B72" s="20" t="s">
        <v>43</v>
      </c>
      <c r="C72" s="21" t="s">
        <v>21</v>
      </c>
      <c r="D72" s="21" t="s">
        <v>628</v>
      </c>
      <c r="E72" s="21" t="s">
        <v>624</v>
      </c>
      <c r="F72" s="21" t="s">
        <v>629</v>
      </c>
      <c r="G72" s="21" t="s">
        <v>23</v>
      </c>
      <c r="H72" s="21" t="s">
        <v>23</v>
      </c>
      <c r="I72" s="21" t="s">
        <v>23</v>
      </c>
      <c r="J72" s="21">
        <v>180</v>
      </c>
      <c r="K72" s="21" t="s">
        <v>630</v>
      </c>
      <c r="L72" s="20" t="s">
        <v>631</v>
      </c>
    </row>
    <row r="73" spans="1:12">
      <c r="A73" s="27">
        <v>45768</v>
      </c>
      <c r="B73" s="20" t="s">
        <v>20</v>
      </c>
      <c r="C73" s="21" t="s">
        <v>21</v>
      </c>
      <c r="D73" s="21" t="s">
        <v>632</v>
      </c>
      <c r="E73" s="21" t="s">
        <v>23</v>
      </c>
      <c r="F73" s="21" t="s">
        <v>603</v>
      </c>
      <c r="G73" s="21" t="s">
        <v>385</v>
      </c>
      <c r="H73" s="21" t="s">
        <v>23</v>
      </c>
      <c r="I73" s="21" t="s">
        <v>23</v>
      </c>
      <c r="J73" s="21">
        <v>144</v>
      </c>
      <c r="K73" s="21" t="s">
        <v>347</v>
      </c>
      <c r="L73" s="20" t="s">
        <v>636</v>
      </c>
    </row>
    <row r="74" spans="1:12" ht="17.100000000000001" customHeight="1">
      <c r="A74" s="27">
        <v>45768</v>
      </c>
      <c r="B74" s="20" t="s">
        <v>20</v>
      </c>
      <c r="C74" s="21" t="s">
        <v>29</v>
      </c>
      <c r="D74" s="21" t="s">
        <v>633</v>
      </c>
      <c r="E74" s="21" t="s">
        <v>23</v>
      </c>
      <c r="F74" s="21" t="s">
        <v>603</v>
      </c>
      <c r="G74" s="21" t="s">
        <v>385</v>
      </c>
      <c r="H74" s="21" t="s">
        <v>23</v>
      </c>
      <c r="I74" s="21" t="s">
        <v>23</v>
      </c>
      <c r="J74" s="21">
        <v>286</v>
      </c>
      <c r="K74" s="21" t="s">
        <v>347</v>
      </c>
      <c r="L74" s="20" t="s">
        <v>636</v>
      </c>
    </row>
    <row r="75" spans="1:12" ht="17.100000000000001" customHeight="1">
      <c r="A75" s="27">
        <v>45768</v>
      </c>
      <c r="B75" s="20" t="s">
        <v>20</v>
      </c>
      <c r="C75" s="21" t="s">
        <v>33</v>
      </c>
      <c r="D75" s="21" t="s">
        <v>634</v>
      </c>
      <c r="E75" s="21" t="s">
        <v>23</v>
      </c>
      <c r="F75" s="21" t="s">
        <v>603</v>
      </c>
      <c r="G75" s="21" t="s">
        <v>385</v>
      </c>
      <c r="H75" s="21" t="s">
        <v>23</v>
      </c>
      <c r="I75" s="21" t="s">
        <v>23</v>
      </c>
      <c r="J75" s="21">
        <v>230</v>
      </c>
      <c r="K75" s="21" t="s">
        <v>347</v>
      </c>
      <c r="L75" s="20" t="s">
        <v>636</v>
      </c>
    </row>
    <row r="76" spans="1:12" ht="17.100000000000001" customHeight="1">
      <c r="A76" s="27">
        <v>45768</v>
      </c>
      <c r="B76" s="20" t="s">
        <v>43</v>
      </c>
      <c r="C76" s="21" t="s">
        <v>21</v>
      </c>
      <c r="D76" s="21" t="s">
        <v>628</v>
      </c>
      <c r="E76" s="21" t="s">
        <v>624</v>
      </c>
      <c r="F76" s="21" t="s">
        <v>629</v>
      </c>
      <c r="G76" s="21" t="s">
        <v>23</v>
      </c>
      <c r="H76" s="21" t="s">
        <v>23</v>
      </c>
      <c r="I76" s="21" t="s">
        <v>23</v>
      </c>
      <c r="J76" s="21">
        <v>60</v>
      </c>
      <c r="K76" s="21" t="s">
        <v>637</v>
      </c>
      <c r="L76" s="20" t="s">
        <v>638</v>
      </c>
    </row>
    <row r="77" spans="1:12" ht="17.100000000000001" customHeight="1">
      <c r="A77" s="27">
        <v>45768</v>
      </c>
      <c r="B77" s="20" t="s">
        <v>43</v>
      </c>
      <c r="C77" s="21" t="s">
        <v>29</v>
      </c>
      <c r="D77" s="21" t="s">
        <v>639</v>
      </c>
      <c r="E77" s="21" t="s">
        <v>624</v>
      </c>
      <c r="F77" s="21" t="s">
        <v>629</v>
      </c>
      <c r="G77" s="21" t="s">
        <v>23</v>
      </c>
      <c r="H77" s="21" t="s">
        <v>23</v>
      </c>
      <c r="I77" s="21" t="s">
        <v>23</v>
      </c>
      <c r="J77" s="21">
        <v>51</v>
      </c>
      <c r="K77" s="21" t="s">
        <v>637</v>
      </c>
      <c r="L77" s="20" t="s">
        <v>638</v>
      </c>
    </row>
    <row r="78" spans="1:12" ht="17.100000000000001" customHeight="1">
      <c r="A78" s="27">
        <v>45769</v>
      </c>
      <c r="B78" s="20" t="s">
        <v>20</v>
      </c>
      <c r="C78" s="21" t="s">
        <v>21</v>
      </c>
      <c r="D78" s="21" t="s">
        <v>634</v>
      </c>
      <c r="E78" s="21" t="s">
        <v>23</v>
      </c>
      <c r="F78" s="21" t="s">
        <v>603</v>
      </c>
      <c r="G78" s="21" t="s">
        <v>385</v>
      </c>
      <c r="H78" s="21" t="s">
        <v>23</v>
      </c>
      <c r="I78" s="21" t="s">
        <v>23</v>
      </c>
      <c r="J78" s="21">
        <v>56</v>
      </c>
      <c r="K78" s="21" t="s">
        <v>347</v>
      </c>
      <c r="L78" s="20" t="s">
        <v>636</v>
      </c>
    </row>
    <row r="79" spans="1:12" ht="17.100000000000001" customHeight="1">
      <c r="A79" s="27">
        <v>45769</v>
      </c>
      <c r="B79" s="20" t="s">
        <v>20</v>
      </c>
      <c r="C79" s="21" t="s">
        <v>29</v>
      </c>
      <c r="D79" s="21" t="s">
        <v>635</v>
      </c>
      <c r="E79" s="21" t="s">
        <v>23</v>
      </c>
      <c r="F79" s="21" t="s">
        <v>603</v>
      </c>
      <c r="G79" s="21" t="s">
        <v>385</v>
      </c>
      <c r="H79" s="21" t="s">
        <v>23</v>
      </c>
      <c r="I79" s="21" t="s">
        <v>23</v>
      </c>
      <c r="J79" s="21">
        <v>284</v>
      </c>
      <c r="K79" s="21" t="s">
        <v>347</v>
      </c>
      <c r="L79" s="20" t="s">
        <v>636</v>
      </c>
    </row>
    <row r="80" spans="1:12" ht="17.100000000000001" customHeight="1">
      <c r="A80" s="27">
        <v>45769</v>
      </c>
      <c r="B80" s="20" t="s">
        <v>43</v>
      </c>
      <c r="C80" s="21" t="s">
        <v>21</v>
      </c>
      <c r="D80" s="21" t="s">
        <v>639</v>
      </c>
      <c r="E80" s="21" t="s">
        <v>624</v>
      </c>
      <c r="F80" s="21" t="s">
        <v>66</v>
      </c>
      <c r="G80" s="21" t="s">
        <v>23</v>
      </c>
      <c r="H80" s="21" t="s">
        <v>23</v>
      </c>
      <c r="I80" s="21" t="s">
        <v>23</v>
      </c>
      <c r="J80" s="21">
        <v>69</v>
      </c>
      <c r="K80" s="21" t="s">
        <v>637</v>
      </c>
      <c r="L80" s="20" t="s">
        <v>638</v>
      </c>
    </row>
    <row r="81" spans="1:12" ht="17.100000000000001" customHeight="1">
      <c r="A81" s="27">
        <v>45769</v>
      </c>
      <c r="B81" s="20" t="s">
        <v>110</v>
      </c>
      <c r="C81" s="21" t="s">
        <v>21</v>
      </c>
      <c r="D81" s="21" t="s">
        <v>639</v>
      </c>
      <c r="E81" s="21" t="s">
        <v>624</v>
      </c>
      <c r="F81" s="21" t="s">
        <v>66</v>
      </c>
      <c r="G81" s="21" t="s">
        <v>23</v>
      </c>
      <c r="H81" s="21" t="s">
        <v>23</v>
      </c>
      <c r="I81" s="21" t="s">
        <v>23</v>
      </c>
      <c r="J81" s="21">
        <v>59</v>
      </c>
      <c r="K81" s="21" t="s">
        <v>637</v>
      </c>
      <c r="L81" s="20" t="s">
        <v>640</v>
      </c>
    </row>
    <row r="82" spans="1:12" ht="17.100000000000001" customHeight="1">
      <c r="A82" s="27">
        <v>45769</v>
      </c>
      <c r="B82" s="20" t="s">
        <v>43</v>
      </c>
      <c r="C82" s="21" t="s">
        <v>21</v>
      </c>
      <c r="D82" s="21" t="s">
        <v>639</v>
      </c>
      <c r="E82" s="21" t="s">
        <v>624</v>
      </c>
      <c r="F82" s="21" t="s">
        <v>66</v>
      </c>
      <c r="G82" s="21" t="s">
        <v>23</v>
      </c>
      <c r="H82" s="21" t="s">
        <v>23</v>
      </c>
      <c r="I82" s="21" t="s">
        <v>23</v>
      </c>
      <c r="J82" s="21">
        <v>10</v>
      </c>
      <c r="K82" s="21" t="s">
        <v>637</v>
      </c>
      <c r="L82" s="20" t="s">
        <v>641</v>
      </c>
    </row>
    <row r="83" spans="1:12" ht="17.100000000000001" customHeight="1">
      <c r="A83" s="27">
        <v>45769</v>
      </c>
      <c r="B83" s="20" t="s">
        <v>116</v>
      </c>
      <c r="C83" s="21" t="s">
        <v>21</v>
      </c>
      <c r="D83" s="21" t="s">
        <v>642</v>
      </c>
      <c r="E83" s="21" t="s">
        <v>624</v>
      </c>
      <c r="F83" s="21" t="s">
        <v>643</v>
      </c>
      <c r="G83" s="21" t="s">
        <v>23</v>
      </c>
      <c r="H83" s="21" t="s">
        <v>23</v>
      </c>
      <c r="I83" s="21" t="s">
        <v>23</v>
      </c>
      <c r="J83" s="21">
        <v>170</v>
      </c>
      <c r="K83" s="21" t="s">
        <v>637</v>
      </c>
      <c r="L83" s="20" t="s">
        <v>641</v>
      </c>
    </row>
    <row r="84" spans="1:12" ht="17.100000000000001" customHeight="1">
      <c r="A84" s="27">
        <v>45768</v>
      </c>
      <c r="B84" s="20" t="s">
        <v>527</v>
      </c>
      <c r="C84" s="21" t="s">
        <v>21</v>
      </c>
      <c r="D84" s="21" t="s">
        <v>23</v>
      </c>
      <c r="E84" s="21" t="s">
        <v>23</v>
      </c>
      <c r="F84" s="21" t="s">
        <v>23</v>
      </c>
      <c r="G84" s="21" t="s">
        <v>23</v>
      </c>
      <c r="H84" s="21" t="s">
        <v>23</v>
      </c>
      <c r="I84" s="21" t="s">
        <v>23</v>
      </c>
      <c r="J84" s="21">
        <v>114</v>
      </c>
      <c r="K84" s="21" t="s">
        <v>517</v>
      </c>
      <c r="L84" s="20" t="s">
        <v>644</v>
      </c>
    </row>
    <row r="85" spans="1:12" ht="17.100000000000001" customHeight="1">
      <c r="A85" s="27">
        <v>45770</v>
      </c>
      <c r="B85" s="20" t="s">
        <v>527</v>
      </c>
      <c r="C85" s="21" t="s">
        <v>21</v>
      </c>
      <c r="D85" s="21" t="s">
        <v>23</v>
      </c>
      <c r="E85" s="21" t="s">
        <v>23</v>
      </c>
      <c r="F85" s="21" t="s">
        <v>23</v>
      </c>
      <c r="G85" s="21" t="s">
        <v>23</v>
      </c>
      <c r="H85" s="21" t="s">
        <v>23</v>
      </c>
      <c r="I85" s="21" t="s">
        <v>23</v>
      </c>
      <c r="J85" s="21">
        <v>42</v>
      </c>
      <c r="K85" s="21" t="s">
        <v>594</v>
      </c>
      <c r="L85" s="20" t="s">
        <v>644</v>
      </c>
    </row>
    <row r="86" spans="1:12" ht="17.100000000000001" customHeight="1">
      <c r="A86" s="27">
        <v>45770</v>
      </c>
      <c r="B86" s="20" t="s">
        <v>116</v>
      </c>
      <c r="C86" s="21" t="s">
        <v>21</v>
      </c>
      <c r="D86" s="21" t="s">
        <v>639</v>
      </c>
      <c r="E86" s="21" t="s">
        <v>624</v>
      </c>
      <c r="F86" s="21" t="s">
        <v>646</v>
      </c>
      <c r="G86" s="21" t="s">
        <v>23</v>
      </c>
      <c r="H86" s="21" t="s">
        <v>23</v>
      </c>
      <c r="I86" s="21" t="s">
        <v>23</v>
      </c>
      <c r="J86" s="21">
        <v>21</v>
      </c>
      <c r="K86" s="21" t="s">
        <v>594</v>
      </c>
      <c r="L86" s="20" t="s">
        <v>647</v>
      </c>
    </row>
    <row r="87" spans="1:12" ht="17.100000000000001" customHeight="1">
      <c r="A87" s="27">
        <v>45770</v>
      </c>
      <c r="B87" s="20" t="s">
        <v>116</v>
      </c>
      <c r="C87" s="21" t="s">
        <v>29</v>
      </c>
      <c r="D87" s="21" t="s">
        <v>645</v>
      </c>
      <c r="E87" s="21" t="s">
        <v>624</v>
      </c>
      <c r="F87" s="21" t="s">
        <v>646</v>
      </c>
      <c r="G87" s="21" t="s">
        <v>23</v>
      </c>
      <c r="H87" s="21" t="s">
        <v>23</v>
      </c>
      <c r="I87" s="21" t="s">
        <v>23</v>
      </c>
      <c r="J87" s="21">
        <v>87</v>
      </c>
      <c r="K87" s="21" t="s">
        <v>594</v>
      </c>
      <c r="L87" s="20" t="s">
        <v>647</v>
      </c>
    </row>
    <row r="88" spans="1:12" ht="17.100000000000001" customHeight="1">
      <c r="A88" s="27">
        <v>45770</v>
      </c>
      <c r="B88" s="20" t="s">
        <v>116</v>
      </c>
      <c r="C88" s="21" t="s">
        <v>29</v>
      </c>
      <c r="D88" s="21" t="s">
        <v>645</v>
      </c>
      <c r="E88" s="21" t="s">
        <v>624</v>
      </c>
      <c r="F88" s="21" t="s">
        <v>646</v>
      </c>
      <c r="G88" s="21" t="s">
        <v>23</v>
      </c>
      <c r="H88" s="21" t="s">
        <v>23</v>
      </c>
      <c r="I88" s="21" t="s">
        <v>23</v>
      </c>
      <c r="J88" s="21">
        <v>30</v>
      </c>
      <c r="K88" s="21" t="s">
        <v>594</v>
      </c>
      <c r="L88" s="20" t="s">
        <v>648</v>
      </c>
    </row>
    <row r="89" spans="1:12" ht="17.100000000000001" customHeight="1">
      <c r="A89" s="27">
        <v>45770</v>
      </c>
      <c r="B89" s="20" t="s">
        <v>55</v>
      </c>
      <c r="C89" s="21" t="s">
        <v>21</v>
      </c>
      <c r="D89" s="21" t="s">
        <v>645</v>
      </c>
      <c r="E89" s="21" t="s">
        <v>624</v>
      </c>
      <c r="F89" s="21" t="s">
        <v>646</v>
      </c>
      <c r="G89" s="21" t="s">
        <v>23</v>
      </c>
      <c r="H89" s="21" t="s">
        <v>23</v>
      </c>
      <c r="I89" s="21" t="s">
        <v>23</v>
      </c>
      <c r="J89" s="21">
        <v>72</v>
      </c>
      <c r="K89" s="21" t="s">
        <v>594</v>
      </c>
      <c r="L89" s="20" t="s">
        <v>649</v>
      </c>
    </row>
    <row r="90" spans="1:12" ht="17.100000000000001" customHeight="1">
      <c r="A90" s="27">
        <v>45770</v>
      </c>
      <c r="B90" s="20" t="s">
        <v>473</v>
      </c>
      <c r="C90" s="21" t="s">
        <v>21</v>
      </c>
      <c r="D90" s="21" t="s">
        <v>23</v>
      </c>
      <c r="E90" s="21" t="s">
        <v>23</v>
      </c>
      <c r="F90" s="21" t="s">
        <v>23</v>
      </c>
      <c r="G90" s="21" t="s">
        <v>23</v>
      </c>
      <c r="H90" s="21" t="s">
        <v>23</v>
      </c>
      <c r="I90" s="21" t="s">
        <v>23</v>
      </c>
      <c r="J90" s="21">
        <v>88</v>
      </c>
      <c r="K90" s="21" t="s">
        <v>347</v>
      </c>
      <c r="L90" s="20" t="s">
        <v>650</v>
      </c>
    </row>
    <row r="91" spans="1:12" ht="17.100000000000001" customHeight="1">
      <c r="A91" s="27">
        <v>45770</v>
      </c>
      <c r="B91" s="20" t="s">
        <v>43</v>
      </c>
      <c r="C91" s="21" t="s">
        <v>21</v>
      </c>
      <c r="D91" s="21" t="s">
        <v>645</v>
      </c>
      <c r="E91" s="21" t="s">
        <v>624</v>
      </c>
      <c r="F91" s="21" t="s">
        <v>654</v>
      </c>
      <c r="G91" s="21" t="s">
        <v>23</v>
      </c>
      <c r="H91" s="21" t="s">
        <v>23</v>
      </c>
      <c r="I91" s="21" t="s">
        <v>23</v>
      </c>
      <c r="J91" s="21">
        <v>51</v>
      </c>
      <c r="K91" s="21" t="s">
        <v>594</v>
      </c>
      <c r="L91" s="20" t="s">
        <v>655</v>
      </c>
    </row>
    <row r="92" spans="1:12" ht="17.100000000000001" customHeight="1">
      <c r="A92" s="27">
        <v>45770</v>
      </c>
      <c r="B92" s="20" t="s">
        <v>43</v>
      </c>
      <c r="C92" s="21" t="s">
        <v>29</v>
      </c>
      <c r="D92" s="21" t="s">
        <v>651</v>
      </c>
      <c r="E92" s="21" t="s">
        <v>624</v>
      </c>
      <c r="F92" s="21" t="s">
        <v>654</v>
      </c>
      <c r="G92" s="21" t="s">
        <v>23</v>
      </c>
      <c r="H92" s="21" t="s">
        <v>23</v>
      </c>
      <c r="I92" s="21" t="s">
        <v>23</v>
      </c>
      <c r="J92" s="21">
        <v>104</v>
      </c>
      <c r="K92" s="21" t="s">
        <v>594</v>
      </c>
      <c r="L92" s="20" t="s">
        <v>655</v>
      </c>
    </row>
    <row r="93" spans="1:12" ht="17.100000000000001" customHeight="1">
      <c r="A93" s="27">
        <v>45770</v>
      </c>
      <c r="B93" s="20" t="s">
        <v>43</v>
      </c>
      <c r="C93" s="21" t="s">
        <v>33</v>
      </c>
      <c r="D93" s="21" t="s">
        <v>652</v>
      </c>
      <c r="E93" s="21" t="s">
        <v>624</v>
      </c>
      <c r="F93" s="21" t="s">
        <v>654</v>
      </c>
      <c r="G93" s="21" t="s">
        <v>23</v>
      </c>
      <c r="H93" s="21" t="s">
        <v>23</v>
      </c>
      <c r="I93" s="21" t="s">
        <v>23</v>
      </c>
      <c r="J93" s="21">
        <v>180</v>
      </c>
      <c r="K93" s="21" t="s">
        <v>594</v>
      </c>
      <c r="L93" s="20" t="s">
        <v>655</v>
      </c>
    </row>
    <row r="94" spans="1:12" ht="17.100000000000001" customHeight="1">
      <c r="A94" s="27">
        <v>45770</v>
      </c>
      <c r="B94" s="20" t="s">
        <v>43</v>
      </c>
      <c r="C94" s="21" t="s">
        <v>34</v>
      </c>
      <c r="D94" s="21" t="s">
        <v>653</v>
      </c>
      <c r="E94" s="21" t="s">
        <v>624</v>
      </c>
      <c r="F94" s="21" t="s">
        <v>654</v>
      </c>
      <c r="G94" s="21" t="s">
        <v>23</v>
      </c>
      <c r="H94" s="21" t="s">
        <v>23</v>
      </c>
      <c r="I94" s="21" t="s">
        <v>23</v>
      </c>
      <c r="J94" s="21">
        <v>170</v>
      </c>
      <c r="K94" s="21" t="s">
        <v>594</v>
      </c>
      <c r="L94" s="20" t="s">
        <v>655</v>
      </c>
    </row>
    <row r="95" spans="1:12" ht="17.100000000000001" customHeight="1">
      <c r="A95" s="27">
        <v>45771</v>
      </c>
      <c r="B95" s="20" t="s">
        <v>20</v>
      </c>
      <c r="C95" s="21" t="s">
        <v>21</v>
      </c>
      <c r="D95" s="21" t="s">
        <v>656</v>
      </c>
      <c r="E95" s="21" t="s">
        <v>23</v>
      </c>
      <c r="F95" s="21" t="s">
        <v>603</v>
      </c>
      <c r="G95" s="21" t="s">
        <v>614</v>
      </c>
      <c r="H95" s="21" t="s">
        <v>23</v>
      </c>
      <c r="I95" s="21" t="s">
        <v>23</v>
      </c>
      <c r="J95" s="21">
        <v>286</v>
      </c>
      <c r="K95" s="21" t="s">
        <v>659</v>
      </c>
      <c r="L95" s="20" t="s">
        <v>660</v>
      </c>
    </row>
    <row r="96" spans="1:12" ht="17.100000000000001" customHeight="1">
      <c r="A96" s="27">
        <v>45771</v>
      </c>
      <c r="B96" s="20" t="s">
        <v>20</v>
      </c>
      <c r="C96" s="21" t="s">
        <v>29</v>
      </c>
      <c r="D96" s="21" t="s">
        <v>657</v>
      </c>
      <c r="E96" s="21" t="s">
        <v>23</v>
      </c>
      <c r="F96" s="21" t="s">
        <v>603</v>
      </c>
      <c r="G96" s="21" t="s">
        <v>614</v>
      </c>
      <c r="H96" s="21" t="s">
        <v>23</v>
      </c>
      <c r="I96" s="21" t="s">
        <v>23</v>
      </c>
      <c r="J96" s="21">
        <v>286</v>
      </c>
      <c r="K96" s="21" t="s">
        <v>659</v>
      </c>
      <c r="L96" s="20" t="s">
        <v>660</v>
      </c>
    </row>
    <row r="97" spans="1:12" ht="17.100000000000001" customHeight="1">
      <c r="A97" s="27">
        <v>45771</v>
      </c>
      <c r="B97" s="20" t="s">
        <v>20</v>
      </c>
      <c r="C97" s="21" t="s">
        <v>33</v>
      </c>
      <c r="D97" s="21" t="s">
        <v>658</v>
      </c>
      <c r="E97" s="21" t="s">
        <v>23</v>
      </c>
      <c r="F97" s="21" t="s">
        <v>603</v>
      </c>
      <c r="G97" s="21" t="s">
        <v>614</v>
      </c>
      <c r="H97" s="21" t="s">
        <v>23</v>
      </c>
      <c r="I97" s="21" t="s">
        <v>23</v>
      </c>
      <c r="J97" s="21">
        <v>150</v>
      </c>
      <c r="K97" s="21" t="s">
        <v>659</v>
      </c>
      <c r="L97" s="20" t="s">
        <v>660</v>
      </c>
    </row>
    <row r="98" spans="1:12" ht="17.100000000000001" customHeight="1">
      <c r="A98" s="27">
        <v>45771</v>
      </c>
      <c r="B98" s="20" t="s">
        <v>43</v>
      </c>
      <c r="C98" s="21" t="s">
        <v>21</v>
      </c>
      <c r="D98" s="21" t="s">
        <v>653</v>
      </c>
      <c r="E98" s="21" t="s">
        <v>624</v>
      </c>
      <c r="F98" s="21" t="s">
        <v>661</v>
      </c>
      <c r="G98" s="21" t="s">
        <v>23</v>
      </c>
      <c r="H98" s="21" t="s">
        <v>23</v>
      </c>
      <c r="I98" s="21" t="s">
        <v>23</v>
      </c>
      <c r="J98" s="21">
        <v>70</v>
      </c>
      <c r="K98" s="21" t="s">
        <v>594</v>
      </c>
      <c r="L98" s="20" t="s">
        <v>655</v>
      </c>
    </row>
    <row r="99" spans="1:12" ht="17.100000000000001" customHeight="1">
      <c r="A99" s="27">
        <v>45771</v>
      </c>
      <c r="B99" s="20" t="s">
        <v>43</v>
      </c>
      <c r="C99" s="21" t="s">
        <v>29</v>
      </c>
      <c r="D99" s="21" t="s">
        <v>642</v>
      </c>
      <c r="E99" s="21" t="s">
        <v>624</v>
      </c>
      <c r="F99" s="21" t="s">
        <v>661</v>
      </c>
      <c r="G99" s="21" t="s">
        <v>23</v>
      </c>
      <c r="H99" s="21" t="s">
        <v>23</v>
      </c>
      <c r="I99" s="21" t="s">
        <v>23</v>
      </c>
      <c r="J99" s="21">
        <v>100</v>
      </c>
      <c r="K99" s="21" t="s">
        <v>594</v>
      </c>
      <c r="L99" s="20" t="s">
        <v>655</v>
      </c>
    </row>
    <row r="100" spans="1:12" ht="17.100000000000001" customHeight="1">
      <c r="A100" s="27">
        <v>45771</v>
      </c>
      <c r="B100" s="20" t="s">
        <v>43</v>
      </c>
      <c r="C100" s="21" t="s">
        <v>33</v>
      </c>
      <c r="D100" s="21" t="s">
        <v>662</v>
      </c>
      <c r="E100" s="21" t="s">
        <v>624</v>
      </c>
      <c r="F100" s="21" t="s">
        <v>661</v>
      </c>
      <c r="G100" s="21" t="s">
        <v>23</v>
      </c>
      <c r="H100" s="21" t="s">
        <v>23</v>
      </c>
      <c r="I100" s="21" t="s">
        <v>23</v>
      </c>
      <c r="J100" s="21">
        <v>100</v>
      </c>
      <c r="K100" s="21" t="s">
        <v>666</v>
      </c>
      <c r="L100" s="20" t="s">
        <v>655</v>
      </c>
    </row>
    <row r="101" spans="1:12" ht="17.100000000000001" customHeight="1">
      <c r="A101" s="27">
        <v>45772</v>
      </c>
      <c r="B101" s="20" t="s">
        <v>20</v>
      </c>
      <c r="C101" s="21" t="s">
        <v>21</v>
      </c>
      <c r="D101" s="21" t="s">
        <v>663</v>
      </c>
      <c r="E101" s="21" t="s">
        <v>23</v>
      </c>
      <c r="F101" s="21" t="s">
        <v>603</v>
      </c>
      <c r="G101" s="21" t="s">
        <v>614</v>
      </c>
      <c r="H101" s="21" t="s">
        <v>23</v>
      </c>
      <c r="I101" s="21" t="s">
        <v>23</v>
      </c>
      <c r="J101" s="21">
        <v>136</v>
      </c>
      <c r="K101" s="21" t="s">
        <v>347</v>
      </c>
      <c r="L101" s="20" t="s">
        <v>660</v>
      </c>
    </row>
    <row r="102" spans="1:12" ht="17.100000000000001" customHeight="1">
      <c r="A102" s="27">
        <v>45772</v>
      </c>
      <c r="B102" s="20" t="s">
        <v>20</v>
      </c>
      <c r="C102" s="21" t="s">
        <v>29</v>
      </c>
      <c r="D102" s="21" t="s">
        <v>664</v>
      </c>
      <c r="E102" s="21" t="s">
        <v>23</v>
      </c>
      <c r="F102" s="21" t="s">
        <v>603</v>
      </c>
      <c r="G102" s="21" t="s">
        <v>614</v>
      </c>
      <c r="H102" s="21" t="s">
        <v>23</v>
      </c>
      <c r="I102" s="21" t="s">
        <v>23</v>
      </c>
      <c r="J102" s="21">
        <v>142</v>
      </c>
      <c r="K102" s="21" t="s">
        <v>347</v>
      </c>
      <c r="L102" s="20" t="s">
        <v>660</v>
      </c>
    </row>
    <row r="103" spans="1:12" ht="17.100000000000001" customHeight="1">
      <c r="A103" s="27">
        <v>45772</v>
      </c>
      <c r="B103" s="20" t="s">
        <v>43</v>
      </c>
      <c r="C103" s="21" t="s">
        <v>21</v>
      </c>
      <c r="D103" s="21" t="s">
        <v>662</v>
      </c>
      <c r="E103" s="21" t="s">
        <v>624</v>
      </c>
      <c r="F103" s="21" t="s">
        <v>661</v>
      </c>
      <c r="G103" s="21" t="s">
        <v>23</v>
      </c>
      <c r="H103" s="21" t="s">
        <v>23</v>
      </c>
      <c r="I103" s="21" t="s">
        <v>23</v>
      </c>
      <c r="J103" s="21">
        <v>140</v>
      </c>
      <c r="K103" s="21" t="s">
        <v>556</v>
      </c>
      <c r="L103" s="20" t="s">
        <v>655</v>
      </c>
    </row>
    <row r="104" spans="1:12" ht="17.100000000000001" customHeight="1">
      <c r="A104" s="27">
        <v>45772</v>
      </c>
      <c r="B104" s="20" t="s">
        <v>43</v>
      </c>
      <c r="C104" s="21" t="s">
        <v>29</v>
      </c>
      <c r="D104" s="21" t="s">
        <v>665</v>
      </c>
      <c r="E104" s="21" t="s">
        <v>624</v>
      </c>
      <c r="F104" s="21" t="s">
        <v>661</v>
      </c>
      <c r="G104" s="21" t="s">
        <v>23</v>
      </c>
      <c r="H104" s="21" t="s">
        <v>23</v>
      </c>
      <c r="I104" s="21" t="s">
        <v>23</v>
      </c>
      <c r="J104" s="21">
        <v>240</v>
      </c>
      <c r="K104" s="21" t="s">
        <v>667</v>
      </c>
      <c r="L104" s="20" t="s">
        <v>655</v>
      </c>
    </row>
    <row r="105" spans="1:12" ht="17.100000000000001" customHeight="1">
      <c r="A105" s="27">
        <v>45772</v>
      </c>
      <c r="B105" s="20" t="s">
        <v>43</v>
      </c>
      <c r="C105" s="21" t="s">
        <v>33</v>
      </c>
      <c r="D105" s="21" t="s">
        <v>668</v>
      </c>
      <c r="E105" s="21" t="s">
        <v>624</v>
      </c>
      <c r="F105" s="21" t="s">
        <v>459</v>
      </c>
      <c r="G105" s="21" t="s">
        <v>23</v>
      </c>
      <c r="H105" s="21" t="s">
        <v>23</v>
      </c>
      <c r="I105" s="21" t="s">
        <v>23</v>
      </c>
      <c r="J105" s="21">
        <v>70</v>
      </c>
      <c r="K105" s="21" t="s">
        <v>669</v>
      </c>
      <c r="L105" s="20" t="s">
        <v>670</v>
      </c>
    </row>
    <row r="106" spans="1:12" ht="17.100000000000001" customHeight="1">
      <c r="A106" s="27">
        <v>45775</v>
      </c>
      <c r="B106" s="20" t="s">
        <v>110</v>
      </c>
      <c r="C106" s="21" t="s">
        <v>21</v>
      </c>
      <c r="D106" s="21" t="s">
        <v>668</v>
      </c>
      <c r="E106" s="21" t="s">
        <v>624</v>
      </c>
      <c r="F106" s="21" t="s">
        <v>671</v>
      </c>
      <c r="G106" s="21" t="s">
        <v>23</v>
      </c>
      <c r="H106" s="21" t="s">
        <v>23</v>
      </c>
      <c r="I106" s="21" t="s">
        <v>23</v>
      </c>
      <c r="J106" s="21">
        <v>10</v>
      </c>
      <c r="K106" s="21" t="s">
        <v>269</v>
      </c>
      <c r="L106" s="20" t="s">
        <v>672</v>
      </c>
    </row>
    <row r="107" spans="1:12" ht="17.100000000000001" customHeight="1">
      <c r="A107" s="27">
        <v>45775</v>
      </c>
      <c r="B107" s="20" t="s">
        <v>43</v>
      </c>
      <c r="C107" s="21" t="s">
        <v>21</v>
      </c>
      <c r="D107" s="21" t="s">
        <v>668</v>
      </c>
      <c r="E107" s="21" t="s">
        <v>624</v>
      </c>
      <c r="F107" s="21" t="s">
        <v>671</v>
      </c>
      <c r="G107" s="21" t="s">
        <v>23</v>
      </c>
      <c r="H107" s="21" t="s">
        <v>23</v>
      </c>
      <c r="I107" s="21" t="s">
        <v>23</v>
      </c>
      <c r="J107" s="21">
        <v>110</v>
      </c>
      <c r="K107" s="21" t="s">
        <v>269</v>
      </c>
      <c r="L107" s="20" t="s">
        <v>670</v>
      </c>
    </row>
    <row r="108" spans="1:12" ht="17.100000000000001" customHeight="1">
      <c r="A108" s="27">
        <v>45775</v>
      </c>
      <c r="B108" s="20" t="s">
        <v>43</v>
      </c>
      <c r="C108" s="21" t="s">
        <v>29</v>
      </c>
      <c r="D108" s="21" t="s">
        <v>673</v>
      </c>
      <c r="E108" s="21" t="s">
        <v>624</v>
      </c>
      <c r="F108" s="21" t="s">
        <v>671</v>
      </c>
      <c r="G108" s="21" t="s">
        <v>23</v>
      </c>
      <c r="H108" s="21" t="s">
        <v>23</v>
      </c>
      <c r="I108" s="21" t="s">
        <v>23</v>
      </c>
      <c r="J108" s="21">
        <v>240</v>
      </c>
      <c r="K108" s="21" t="s">
        <v>269</v>
      </c>
      <c r="L108" s="20" t="s">
        <v>670</v>
      </c>
    </row>
    <row r="109" spans="1:12" ht="17.100000000000001" customHeight="1">
      <c r="A109" s="27">
        <v>45775</v>
      </c>
      <c r="B109" s="20" t="s">
        <v>116</v>
      </c>
      <c r="C109" s="21" t="s">
        <v>21</v>
      </c>
      <c r="D109" s="21" t="s">
        <v>651</v>
      </c>
      <c r="E109" s="21" t="s">
        <v>624</v>
      </c>
      <c r="F109" s="21" t="s">
        <v>674</v>
      </c>
      <c r="G109" s="21" t="s">
        <v>23</v>
      </c>
      <c r="H109" s="21" t="s">
        <v>23</v>
      </c>
      <c r="I109" s="21" t="s">
        <v>23</v>
      </c>
      <c r="J109" s="21">
        <v>62</v>
      </c>
      <c r="K109" s="21" t="s">
        <v>269</v>
      </c>
      <c r="L109" s="20" t="s">
        <v>675</v>
      </c>
    </row>
    <row r="110" spans="1:12" ht="17.100000000000001" customHeight="1">
      <c r="A110" s="27">
        <v>45775</v>
      </c>
      <c r="B110" s="20" t="s">
        <v>43</v>
      </c>
      <c r="C110" s="21" t="s">
        <v>33</v>
      </c>
      <c r="D110" s="21" t="s">
        <v>651</v>
      </c>
      <c r="E110" s="21" t="s">
        <v>624</v>
      </c>
      <c r="F110" s="21" t="s">
        <v>676</v>
      </c>
      <c r="G110" s="21" t="s">
        <v>23</v>
      </c>
      <c r="H110" s="21" t="s">
        <v>23</v>
      </c>
      <c r="I110" s="21" t="s">
        <v>23</v>
      </c>
      <c r="J110" s="21">
        <v>120</v>
      </c>
      <c r="K110" s="21" t="s">
        <v>269</v>
      </c>
      <c r="L110" s="20" t="s">
        <v>677</v>
      </c>
    </row>
    <row r="111" spans="1:12" ht="17.100000000000001" customHeight="1">
      <c r="A111" s="27">
        <v>45775</v>
      </c>
      <c r="B111" s="20" t="s">
        <v>43</v>
      </c>
      <c r="C111" s="21" t="s">
        <v>34</v>
      </c>
      <c r="D111" s="21" t="s">
        <v>679</v>
      </c>
      <c r="E111" s="21" t="s">
        <v>624</v>
      </c>
      <c r="F111" s="21" t="s">
        <v>676</v>
      </c>
      <c r="G111" s="21" t="s">
        <v>23</v>
      </c>
      <c r="H111" s="21" t="s">
        <v>23</v>
      </c>
      <c r="I111" s="21" t="s">
        <v>23</v>
      </c>
      <c r="J111" s="21">
        <v>240</v>
      </c>
      <c r="K111" s="21" t="s">
        <v>269</v>
      </c>
      <c r="L111" s="20" t="s">
        <v>678</v>
      </c>
    </row>
    <row r="112" spans="1:12" ht="17.100000000000001" customHeight="1">
      <c r="A112" s="27">
        <v>45775</v>
      </c>
      <c r="B112" s="20" t="s">
        <v>43</v>
      </c>
      <c r="C112" s="21" t="s">
        <v>139</v>
      </c>
      <c r="D112" s="21" t="s">
        <v>680</v>
      </c>
      <c r="E112" s="21" t="s">
        <v>624</v>
      </c>
      <c r="F112" s="21" t="s">
        <v>676</v>
      </c>
      <c r="G112" s="21" t="s">
        <v>23</v>
      </c>
      <c r="H112" s="21" t="s">
        <v>23</v>
      </c>
      <c r="I112" s="21" t="s">
        <v>23</v>
      </c>
      <c r="J112" s="21">
        <v>192</v>
      </c>
      <c r="K112" s="21" t="s">
        <v>269</v>
      </c>
      <c r="L112" s="20" t="s">
        <v>678</v>
      </c>
    </row>
    <row r="113" spans="1:12" ht="17.100000000000001" customHeight="1">
      <c r="A113" s="27">
        <v>45776</v>
      </c>
      <c r="B113" s="20" t="s">
        <v>43</v>
      </c>
      <c r="C113" s="21" t="s">
        <v>21</v>
      </c>
      <c r="D113" s="21" t="s">
        <v>681</v>
      </c>
      <c r="E113" s="21" t="s">
        <v>624</v>
      </c>
      <c r="F113" s="21" t="s">
        <v>683</v>
      </c>
      <c r="G113" s="21" t="s">
        <v>23</v>
      </c>
      <c r="H113" s="21" t="s">
        <v>23</v>
      </c>
      <c r="I113" s="21" t="s">
        <v>23</v>
      </c>
      <c r="J113" s="21">
        <v>240</v>
      </c>
      <c r="K113" s="21" t="s">
        <v>594</v>
      </c>
      <c r="L113" s="20" t="s">
        <v>684</v>
      </c>
    </row>
    <row r="114" spans="1:12" ht="17.100000000000001" customHeight="1">
      <c r="A114" s="27">
        <v>45776</v>
      </c>
      <c r="B114" s="20" t="s">
        <v>43</v>
      </c>
      <c r="C114" s="21" t="s">
        <v>29</v>
      </c>
      <c r="D114" s="21" t="s">
        <v>682</v>
      </c>
      <c r="E114" s="21" t="s">
        <v>624</v>
      </c>
      <c r="F114" s="21" t="s">
        <v>683</v>
      </c>
      <c r="G114" s="21" t="s">
        <v>23</v>
      </c>
      <c r="H114" s="21" t="s">
        <v>23</v>
      </c>
      <c r="I114" s="21" t="s">
        <v>23</v>
      </c>
      <c r="J114" s="21">
        <v>240</v>
      </c>
      <c r="K114" s="21" t="s">
        <v>594</v>
      </c>
      <c r="L114" s="20" t="s">
        <v>684</v>
      </c>
    </row>
    <row r="115" spans="1:12" ht="17.100000000000001" customHeight="1">
      <c r="A115" s="27">
        <v>45776</v>
      </c>
      <c r="B115" s="20" t="s">
        <v>20</v>
      </c>
      <c r="C115" s="21" t="s">
        <v>21</v>
      </c>
      <c r="D115" s="21" t="s">
        <v>685</v>
      </c>
      <c r="E115" s="21" t="s">
        <v>23</v>
      </c>
      <c r="F115" s="21" t="s">
        <v>686</v>
      </c>
      <c r="G115" s="21" t="s">
        <v>614</v>
      </c>
      <c r="H115" s="21" t="s">
        <v>23</v>
      </c>
      <c r="I115" s="21" t="s">
        <v>23</v>
      </c>
      <c r="J115" s="21">
        <v>136</v>
      </c>
      <c r="K115" s="21" t="s">
        <v>347</v>
      </c>
      <c r="L115" s="20" t="s">
        <v>687</v>
      </c>
    </row>
    <row r="116" spans="1:12" ht="17.100000000000001" customHeight="1">
      <c r="A116" s="27">
        <v>45777</v>
      </c>
      <c r="B116" s="20" t="s">
        <v>20</v>
      </c>
      <c r="C116" s="21" t="s">
        <v>21</v>
      </c>
      <c r="D116" s="21" t="s">
        <v>685</v>
      </c>
      <c r="E116" s="21" t="s">
        <v>23</v>
      </c>
      <c r="F116" s="21" t="s">
        <v>686</v>
      </c>
      <c r="G116" s="21" t="s">
        <v>614</v>
      </c>
      <c r="H116" s="21" t="s">
        <v>23</v>
      </c>
      <c r="I116" s="21" t="s">
        <v>23</v>
      </c>
      <c r="J116" s="21">
        <v>150</v>
      </c>
      <c r="K116" s="21" t="s">
        <v>690</v>
      </c>
      <c r="L116" s="20" t="s">
        <v>687</v>
      </c>
    </row>
    <row r="117" spans="1:12" ht="17.100000000000001" customHeight="1">
      <c r="A117" s="27">
        <v>45777</v>
      </c>
      <c r="B117" s="20" t="s">
        <v>20</v>
      </c>
      <c r="C117" s="21" t="s">
        <v>29</v>
      </c>
      <c r="D117" s="21" t="s">
        <v>688</v>
      </c>
      <c r="E117" s="21" t="s">
        <v>23</v>
      </c>
      <c r="F117" s="21" t="s">
        <v>686</v>
      </c>
      <c r="G117" s="21" t="s">
        <v>614</v>
      </c>
      <c r="H117" s="21" t="s">
        <v>23</v>
      </c>
      <c r="I117" s="21" t="s">
        <v>23</v>
      </c>
      <c r="J117" s="21">
        <v>240</v>
      </c>
      <c r="K117" s="21" t="s">
        <v>691</v>
      </c>
      <c r="L117" s="20" t="s">
        <v>687</v>
      </c>
    </row>
    <row r="118" spans="1:12" ht="17.100000000000001" customHeight="1">
      <c r="A118" s="27">
        <v>45777</v>
      </c>
      <c r="B118" s="20" t="s">
        <v>20</v>
      </c>
      <c r="C118" s="21" t="s">
        <v>33</v>
      </c>
      <c r="D118" s="21" t="s">
        <v>689</v>
      </c>
      <c r="E118" s="21" t="s">
        <v>23</v>
      </c>
      <c r="F118" s="21" t="s">
        <v>686</v>
      </c>
      <c r="G118" s="21" t="s">
        <v>614</v>
      </c>
      <c r="H118" s="21" t="s">
        <v>23</v>
      </c>
      <c r="I118" s="21" t="s">
        <v>23</v>
      </c>
      <c r="J118" s="21">
        <v>286</v>
      </c>
      <c r="K118" s="21" t="s">
        <v>691</v>
      </c>
      <c r="L118" s="20" t="s">
        <v>687</v>
      </c>
    </row>
    <row r="119" spans="1:12" ht="17.100000000000001" customHeight="1">
      <c r="A119" s="27"/>
      <c r="B119" s="20" t="s">
        <v>692</v>
      </c>
      <c r="C119" s="21" t="s">
        <v>21</v>
      </c>
      <c r="D119" s="21">
        <v>230103</v>
      </c>
      <c r="E119" s="21"/>
      <c r="F119" s="21"/>
      <c r="G119" s="21"/>
      <c r="H119" s="21"/>
      <c r="I119" s="21"/>
      <c r="J119" s="21">
        <v>96</v>
      </c>
      <c r="K119" s="21" t="s">
        <v>693</v>
      </c>
      <c r="L119" s="20" t="s">
        <v>694</v>
      </c>
    </row>
    <row r="120" spans="1:12" ht="17.100000000000001" customHeight="1">
      <c r="A120" s="22"/>
      <c r="B120" s="20" t="s">
        <v>692</v>
      </c>
      <c r="C120" s="21" t="s">
        <v>29</v>
      </c>
      <c r="D120" s="21">
        <v>231217</v>
      </c>
      <c r="E120" s="21"/>
      <c r="F120" s="21"/>
      <c r="G120" s="21"/>
      <c r="H120" s="21"/>
      <c r="I120" s="21"/>
      <c r="J120" s="21">
        <v>30</v>
      </c>
      <c r="K120" s="21" t="s">
        <v>693</v>
      </c>
      <c r="L120" s="20" t="s">
        <v>694</v>
      </c>
    </row>
    <row r="121" spans="1:12">
      <c r="A121" s="22"/>
      <c r="B121" s="20"/>
      <c r="C121" s="21"/>
      <c r="D121" s="21"/>
      <c r="E121" s="21"/>
      <c r="F121" s="21"/>
      <c r="G121" s="21"/>
      <c r="H121" s="21"/>
      <c r="I121" s="21"/>
      <c r="J121" s="21"/>
      <c r="K121" s="21"/>
      <c r="L121" s="20"/>
    </row>
    <row r="122" spans="1:12">
      <c r="A122" s="22"/>
      <c r="B122" s="20"/>
      <c r="C122" s="21"/>
      <c r="D122" s="21"/>
      <c r="E122" s="21"/>
      <c r="F122" s="21"/>
      <c r="G122" s="21"/>
      <c r="H122" s="21"/>
      <c r="I122" s="21"/>
      <c r="J122" s="21"/>
      <c r="K122" s="21"/>
      <c r="L122" s="20"/>
    </row>
    <row r="123" spans="1:12" ht="15" thickBot="1">
      <c r="A123" s="23"/>
      <c r="B123" s="24"/>
      <c r="C123" s="25"/>
      <c r="D123" s="25"/>
      <c r="E123" s="25"/>
      <c r="F123" s="25"/>
      <c r="G123" s="25"/>
      <c r="H123" s="25"/>
      <c r="I123" s="25"/>
      <c r="J123" s="25"/>
      <c r="K123" s="25"/>
      <c r="L123" s="24"/>
    </row>
    <row r="124" spans="1:12">
      <c r="A124" s="32" t="s">
        <v>291</v>
      </c>
      <c r="B124" s="15"/>
      <c r="C124" s="15"/>
      <c r="D124" s="14"/>
      <c r="E124" s="15"/>
      <c r="H124" s="14" t="s">
        <v>15</v>
      </c>
      <c r="I124" s="14"/>
      <c r="J124" s="14"/>
      <c r="K124" s="15"/>
      <c r="L124" s="16"/>
    </row>
    <row r="125" spans="1:12">
      <c r="I125" s="2" t="s">
        <v>16</v>
      </c>
    </row>
    <row r="126" spans="1:12">
      <c r="I126" s="2" t="s">
        <v>17</v>
      </c>
    </row>
    <row r="127" spans="1:12">
      <c r="I127" s="2" t="s">
        <v>18</v>
      </c>
    </row>
    <row r="128" spans="1:12">
      <c r="I128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1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N92"/>
  <sheetViews>
    <sheetView view="pageBreakPreview" topLeftCell="A22" zoomScaleNormal="100" zoomScaleSheetLayoutView="100" workbookViewId="0">
      <selection activeCell="D12" sqref="D12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23.570312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40">
        <v>45778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45783</v>
      </c>
      <c r="B9" s="20" t="s">
        <v>116</v>
      </c>
      <c r="C9" s="21" t="s">
        <v>21</v>
      </c>
      <c r="D9" s="21" t="s">
        <v>680</v>
      </c>
      <c r="E9" s="21" t="s">
        <v>624</v>
      </c>
      <c r="F9" s="21" t="s">
        <v>683</v>
      </c>
      <c r="G9" s="21" t="s">
        <v>23</v>
      </c>
      <c r="H9" s="21" t="s">
        <v>23</v>
      </c>
      <c r="I9" s="21" t="s">
        <v>23</v>
      </c>
      <c r="J9" s="21">
        <v>180</v>
      </c>
      <c r="K9" s="21" t="s">
        <v>695</v>
      </c>
      <c r="L9" s="20" t="s">
        <v>696</v>
      </c>
    </row>
    <row r="10" spans="1:12" ht="17.100000000000001" customHeight="1">
      <c r="A10" s="27">
        <v>45783</v>
      </c>
      <c r="B10" s="20" t="s">
        <v>116</v>
      </c>
      <c r="C10" s="21" t="s">
        <v>21</v>
      </c>
      <c r="D10" s="21" t="s">
        <v>680</v>
      </c>
      <c r="E10" s="21" t="s">
        <v>624</v>
      </c>
      <c r="F10" s="21" t="s">
        <v>683</v>
      </c>
      <c r="G10" s="21" t="s">
        <v>23</v>
      </c>
      <c r="H10" s="21" t="s">
        <v>23</v>
      </c>
      <c r="I10" s="21" t="s">
        <v>23</v>
      </c>
      <c r="J10" s="21">
        <v>93</v>
      </c>
      <c r="K10" s="21" t="s">
        <v>695</v>
      </c>
      <c r="L10" s="20" t="s">
        <v>696</v>
      </c>
    </row>
    <row r="11" spans="1:12" ht="17.100000000000001" customHeight="1">
      <c r="A11" s="27">
        <v>45784</v>
      </c>
      <c r="B11" s="20" t="s">
        <v>20</v>
      </c>
      <c r="C11" s="21" t="s">
        <v>21</v>
      </c>
      <c r="D11" s="21" t="s">
        <v>632</v>
      </c>
      <c r="E11" s="21" t="s">
        <v>23</v>
      </c>
      <c r="F11" s="21" t="s">
        <v>554</v>
      </c>
      <c r="G11" s="21" t="s">
        <v>700</v>
      </c>
      <c r="H11" s="21" t="s">
        <v>23</v>
      </c>
      <c r="I11" s="21" t="s">
        <v>23</v>
      </c>
      <c r="J11" s="21">
        <v>142</v>
      </c>
      <c r="K11" s="21" t="s">
        <v>388</v>
      </c>
      <c r="L11" s="20" t="s">
        <v>701</v>
      </c>
    </row>
    <row r="12" spans="1:12" ht="17.100000000000001" customHeight="1">
      <c r="A12" s="27">
        <v>45784</v>
      </c>
      <c r="B12" s="20" t="s">
        <v>20</v>
      </c>
      <c r="C12" s="21" t="s">
        <v>29</v>
      </c>
      <c r="D12" s="21" t="s">
        <v>697</v>
      </c>
      <c r="E12" s="21" t="s">
        <v>23</v>
      </c>
      <c r="F12" s="21" t="s">
        <v>554</v>
      </c>
      <c r="G12" s="21" t="s">
        <v>700</v>
      </c>
      <c r="H12" s="21" t="s">
        <v>23</v>
      </c>
      <c r="I12" s="21" t="s">
        <v>23</v>
      </c>
      <c r="J12" s="21">
        <v>286</v>
      </c>
      <c r="K12" s="21" t="s">
        <v>388</v>
      </c>
      <c r="L12" s="20" t="s">
        <v>701</v>
      </c>
    </row>
    <row r="13" spans="1:12" ht="17.100000000000001" customHeight="1">
      <c r="A13" s="27">
        <v>45784</v>
      </c>
      <c r="B13" s="20" t="s">
        <v>20</v>
      </c>
      <c r="C13" s="21" t="s">
        <v>33</v>
      </c>
      <c r="D13" s="21" t="s">
        <v>698</v>
      </c>
      <c r="E13" s="21" t="s">
        <v>23</v>
      </c>
      <c r="F13" s="21" t="s">
        <v>554</v>
      </c>
      <c r="G13" s="21" t="s">
        <v>700</v>
      </c>
      <c r="H13" s="21" t="s">
        <v>23</v>
      </c>
      <c r="I13" s="21" t="s">
        <v>23</v>
      </c>
      <c r="J13" s="21">
        <v>286</v>
      </c>
      <c r="K13" s="21" t="s">
        <v>388</v>
      </c>
      <c r="L13" s="20" t="s">
        <v>701</v>
      </c>
    </row>
    <row r="14" spans="1:12" ht="17.100000000000001" customHeight="1">
      <c r="A14" s="27">
        <v>45784</v>
      </c>
      <c r="B14" s="20" t="s">
        <v>20</v>
      </c>
      <c r="C14" s="21" t="s">
        <v>34</v>
      </c>
      <c r="D14" s="21" t="s">
        <v>699</v>
      </c>
      <c r="E14" s="21" t="s">
        <v>23</v>
      </c>
      <c r="F14" s="21" t="s">
        <v>554</v>
      </c>
      <c r="G14" s="21" t="s">
        <v>700</v>
      </c>
      <c r="H14" s="21" t="s">
        <v>23</v>
      </c>
      <c r="I14" s="21" t="s">
        <v>23</v>
      </c>
      <c r="J14" s="21">
        <v>150</v>
      </c>
      <c r="K14" s="21" t="s">
        <v>388</v>
      </c>
      <c r="L14" s="20" t="s">
        <v>701</v>
      </c>
    </row>
    <row r="15" spans="1:12" ht="17.100000000000001" customHeight="1">
      <c r="A15" s="27">
        <v>45785</v>
      </c>
      <c r="B15" s="20" t="s">
        <v>20</v>
      </c>
      <c r="C15" s="21" t="s">
        <v>21</v>
      </c>
      <c r="D15" s="21" t="s">
        <v>699</v>
      </c>
      <c r="E15" s="21" t="s">
        <v>23</v>
      </c>
      <c r="F15" s="21" t="s">
        <v>554</v>
      </c>
      <c r="G15" s="21" t="s">
        <v>700</v>
      </c>
      <c r="H15" s="21" t="s">
        <v>23</v>
      </c>
      <c r="I15" s="21" t="s">
        <v>23</v>
      </c>
      <c r="J15" s="21">
        <v>136</v>
      </c>
      <c r="K15" s="21" t="s">
        <v>702</v>
      </c>
      <c r="L15" s="20" t="s">
        <v>701</v>
      </c>
    </row>
    <row r="16" spans="1:12" ht="17.100000000000001" customHeight="1">
      <c r="A16" s="27">
        <v>45785</v>
      </c>
      <c r="B16" s="20" t="s">
        <v>20</v>
      </c>
      <c r="C16" s="21" t="s">
        <v>29</v>
      </c>
      <c r="D16" s="21" t="s">
        <v>703</v>
      </c>
      <c r="E16" s="21" t="s">
        <v>23</v>
      </c>
      <c r="F16" s="21" t="s">
        <v>554</v>
      </c>
      <c r="G16" s="21" t="s">
        <v>707</v>
      </c>
      <c r="H16" s="21" t="s">
        <v>23</v>
      </c>
      <c r="I16" s="21" t="s">
        <v>23</v>
      </c>
      <c r="J16" s="21">
        <v>65</v>
      </c>
      <c r="K16" s="21" t="s">
        <v>388</v>
      </c>
      <c r="L16" s="20" t="s">
        <v>708</v>
      </c>
    </row>
    <row r="17" spans="1:12" ht="17.100000000000001" customHeight="1">
      <c r="A17" s="27">
        <v>45785</v>
      </c>
      <c r="B17" s="20" t="s">
        <v>20</v>
      </c>
      <c r="C17" s="21" t="s">
        <v>33</v>
      </c>
      <c r="D17" s="21" t="s">
        <v>704</v>
      </c>
      <c r="E17" s="21" t="s">
        <v>23</v>
      </c>
      <c r="F17" s="21" t="s">
        <v>554</v>
      </c>
      <c r="G17" s="21" t="s">
        <v>707</v>
      </c>
      <c r="H17" s="21" t="s">
        <v>23</v>
      </c>
      <c r="I17" s="21" t="s">
        <v>23</v>
      </c>
      <c r="J17" s="21">
        <v>77</v>
      </c>
      <c r="K17" s="21" t="s">
        <v>388</v>
      </c>
      <c r="L17" s="20" t="s">
        <v>708</v>
      </c>
    </row>
    <row r="18" spans="1:12" ht="17.100000000000001" customHeight="1">
      <c r="A18" s="27">
        <v>45785</v>
      </c>
      <c r="B18" s="20" t="s">
        <v>20</v>
      </c>
      <c r="C18" s="21" t="s">
        <v>34</v>
      </c>
      <c r="D18" s="21" t="s">
        <v>705</v>
      </c>
      <c r="E18" s="21" t="s">
        <v>23</v>
      </c>
      <c r="F18" s="21" t="s">
        <v>554</v>
      </c>
      <c r="G18" s="21" t="s">
        <v>707</v>
      </c>
      <c r="H18" s="21" t="s">
        <v>23</v>
      </c>
      <c r="I18" s="21" t="s">
        <v>23</v>
      </c>
      <c r="J18" s="21">
        <v>286</v>
      </c>
      <c r="K18" s="21" t="s">
        <v>388</v>
      </c>
      <c r="L18" s="20" t="s">
        <v>708</v>
      </c>
    </row>
    <row r="19" spans="1:12" ht="17.100000000000001" customHeight="1">
      <c r="A19" s="27">
        <v>45785</v>
      </c>
      <c r="B19" s="20" t="s">
        <v>20</v>
      </c>
      <c r="C19" s="21" t="s">
        <v>139</v>
      </c>
      <c r="D19" s="21" t="s">
        <v>706</v>
      </c>
      <c r="E19" s="21" t="s">
        <v>23</v>
      </c>
      <c r="F19" s="21" t="s">
        <v>554</v>
      </c>
      <c r="G19" s="21" t="s">
        <v>707</v>
      </c>
      <c r="H19" s="21" t="s">
        <v>23</v>
      </c>
      <c r="I19" s="21" t="s">
        <v>23</v>
      </c>
      <c r="J19" s="21">
        <v>286</v>
      </c>
      <c r="K19" s="21" t="s">
        <v>388</v>
      </c>
      <c r="L19" s="20" t="s">
        <v>708</v>
      </c>
    </row>
    <row r="20" spans="1:12" ht="17.100000000000001" customHeight="1">
      <c r="A20" s="27">
        <v>45786</v>
      </c>
      <c r="B20" s="20" t="s">
        <v>20</v>
      </c>
      <c r="C20" s="21" t="s">
        <v>21</v>
      </c>
      <c r="D20" s="21" t="s">
        <v>709</v>
      </c>
      <c r="E20" s="21" t="s">
        <v>23</v>
      </c>
      <c r="F20" s="21" t="s">
        <v>554</v>
      </c>
      <c r="G20" s="21" t="s">
        <v>707</v>
      </c>
      <c r="H20" s="21" t="s">
        <v>23</v>
      </c>
      <c r="I20" s="21" t="s">
        <v>23</v>
      </c>
      <c r="J20" s="21">
        <v>286</v>
      </c>
      <c r="K20" s="21" t="s">
        <v>347</v>
      </c>
      <c r="L20" s="20" t="s">
        <v>708</v>
      </c>
    </row>
    <row r="21" spans="1:12" ht="17.100000000000001" customHeight="1">
      <c r="A21" s="27">
        <v>45786</v>
      </c>
      <c r="B21" s="20" t="s">
        <v>43</v>
      </c>
      <c r="C21" s="21" t="s">
        <v>21</v>
      </c>
      <c r="D21" s="21" t="s">
        <v>710</v>
      </c>
      <c r="E21" s="21" t="s">
        <v>624</v>
      </c>
      <c r="F21" s="21" t="s">
        <v>713</v>
      </c>
      <c r="G21" s="21" t="s">
        <v>23</v>
      </c>
      <c r="H21" s="21" t="s">
        <v>23</v>
      </c>
      <c r="I21" s="21" t="s">
        <v>23</v>
      </c>
      <c r="J21" s="21">
        <v>46</v>
      </c>
      <c r="K21" s="21" t="s">
        <v>409</v>
      </c>
      <c r="L21" s="20" t="s">
        <v>714</v>
      </c>
    </row>
    <row r="22" spans="1:12" ht="17.100000000000001" customHeight="1">
      <c r="A22" s="27">
        <v>45786</v>
      </c>
      <c r="B22" s="20" t="s">
        <v>43</v>
      </c>
      <c r="C22" s="21" t="s">
        <v>29</v>
      </c>
      <c r="D22" s="21" t="s">
        <v>711</v>
      </c>
      <c r="E22" s="21" t="s">
        <v>624</v>
      </c>
      <c r="F22" s="21" t="s">
        <v>713</v>
      </c>
      <c r="G22" s="21" t="s">
        <v>23</v>
      </c>
      <c r="H22" s="21" t="s">
        <v>23</v>
      </c>
      <c r="I22" s="21" t="s">
        <v>23</v>
      </c>
      <c r="J22" s="21">
        <v>155</v>
      </c>
      <c r="K22" s="21" t="s">
        <v>409</v>
      </c>
      <c r="L22" s="20" t="s">
        <v>714</v>
      </c>
    </row>
    <row r="23" spans="1:12" ht="17.100000000000001" customHeight="1">
      <c r="A23" s="27">
        <v>45786</v>
      </c>
      <c r="B23" s="20" t="s">
        <v>43</v>
      </c>
      <c r="C23" s="21" t="s">
        <v>33</v>
      </c>
      <c r="D23" s="21" t="s">
        <v>712</v>
      </c>
      <c r="E23" s="21" t="s">
        <v>624</v>
      </c>
      <c r="F23" s="21" t="s">
        <v>713</v>
      </c>
      <c r="G23" s="21" t="s">
        <v>23</v>
      </c>
      <c r="H23" s="21" t="s">
        <v>23</v>
      </c>
      <c r="I23" s="21" t="s">
        <v>23</v>
      </c>
      <c r="J23" s="21">
        <v>70</v>
      </c>
      <c r="K23" s="21" t="s">
        <v>594</v>
      </c>
      <c r="L23" s="20" t="s">
        <v>714</v>
      </c>
    </row>
    <row r="24" spans="1:12" ht="17.100000000000001" customHeight="1">
      <c r="A24" s="27">
        <v>45786</v>
      </c>
      <c r="B24" s="20" t="s">
        <v>43</v>
      </c>
      <c r="C24" s="21" t="s">
        <v>33</v>
      </c>
      <c r="D24" s="21" t="s">
        <v>712</v>
      </c>
      <c r="E24" s="21" t="s">
        <v>624</v>
      </c>
      <c r="F24" s="21" t="s">
        <v>715</v>
      </c>
      <c r="G24" s="21" t="s">
        <v>23</v>
      </c>
      <c r="H24" s="21" t="s">
        <v>23</v>
      </c>
      <c r="I24" s="21" t="s">
        <v>23</v>
      </c>
      <c r="J24" s="21">
        <v>189</v>
      </c>
      <c r="K24" s="21" t="s">
        <v>594</v>
      </c>
      <c r="L24" s="20" t="s">
        <v>716</v>
      </c>
    </row>
    <row r="25" spans="1:12" ht="17.100000000000001" customHeight="1">
      <c r="A25" s="27">
        <v>45786</v>
      </c>
      <c r="B25" s="20" t="s">
        <v>43</v>
      </c>
      <c r="C25" s="21" t="s">
        <v>33</v>
      </c>
      <c r="D25" s="21" t="s">
        <v>712</v>
      </c>
      <c r="E25" s="21" t="s">
        <v>624</v>
      </c>
      <c r="F25" s="21" t="s">
        <v>715</v>
      </c>
      <c r="G25" s="21" t="s">
        <v>23</v>
      </c>
      <c r="H25" s="21" t="s">
        <v>23</v>
      </c>
      <c r="I25" s="21" t="s">
        <v>23</v>
      </c>
      <c r="J25" s="21">
        <v>39</v>
      </c>
      <c r="K25" s="21" t="s">
        <v>594</v>
      </c>
      <c r="L25" s="20" t="s">
        <v>717</v>
      </c>
    </row>
    <row r="26" spans="1:12" ht="17.100000000000001" customHeight="1">
      <c r="A26" s="27">
        <v>45786</v>
      </c>
      <c r="B26" s="20" t="s">
        <v>110</v>
      </c>
      <c r="C26" s="21" t="s">
        <v>21</v>
      </c>
      <c r="D26" s="21" t="s">
        <v>712</v>
      </c>
      <c r="E26" s="21" t="s">
        <v>624</v>
      </c>
      <c r="F26" s="21" t="s">
        <v>715</v>
      </c>
      <c r="G26" s="21" t="s">
        <v>23</v>
      </c>
      <c r="H26" s="21" t="s">
        <v>23</v>
      </c>
      <c r="I26" s="21" t="s">
        <v>23</v>
      </c>
      <c r="J26" s="21">
        <v>36</v>
      </c>
      <c r="K26" s="21" t="s">
        <v>594</v>
      </c>
      <c r="L26" s="20" t="s">
        <v>718</v>
      </c>
    </row>
    <row r="27" spans="1:12" ht="17.100000000000001" customHeight="1">
      <c r="A27" s="27">
        <v>45787</v>
      </c>
      <c r="B27" s="20" t="s">
        <v>43</v>
      </c>
      <c r="C27" s="21" t="s">
        <v>21</v>
      </c>
      <c r="D27" s="21" t="s">
        <v>719</v>
      </c>
      <c r="E27" s="21" t="s">
        <v>624</v>
      </c>
      <c r="F27" s="21" t="s">
        <v>713</v>
      </c>
      <c r="G27" s="21" t="s">
        <v>23</v>
      </c>
      <c r="H27" s="21" t="s">
        <v>23</v>
      </c>
      <c r="I27" s="21" t="s">
        <v>23</v>
      </c>
      <c r="J27" s="21">
        <v>150</v>
      </c>
      <c r="K27" s="21" t="s">
        <v>720</v>
      </c>
      <c r="L27" s="20" t="s">
        <v>723</v>
      </c>
    </row>
    <row r="28" spans="1:12" ht="17.100000000000001" customHeight="1">
      <c r="A28" s="27">
        <v>45787</v>
      </c>
      <c r="B28" s="20" t="s">
        <v>116</v>
      </c>
      <c r="C28" s="21" t="s">
        <v>21</v>
      </c>
      <c r="D28" s="21" t="s">
        <v>719</v>
      </c>
      <c r="E28" s="21" t="s">
        <v>624</v>
      </c>
      <c r="F28" s="21" t="s">
        <v>724</v>
      </c>
      <c r="G28" s="21" t="s">
        <v>23</v>
      </c>
      <c r="H28" s="21" t="s">
        <v>23</v>
      </c>
      <c r="I28" s="21" t="s">
        <v>23</v>
      </c>
      <c r="J28" s="21">
        <v>90</v>
      </c>
      <c r="K28" s="21" t="s">
        <v>720</v>
      </c>
      <c r="L28" s="20" t="s">
        <v>722</v>
      </c>
    </row>
    <row r="29" spans="1:12" ht="17.100000000000001" customHeight="1">
      <c r="A29" s="27">
        <v>45787</v>
      </c>
      <c r="B29" s="20" t="s">
        <v>116</v>
      </c>
      <c r="C29" s="21" t="s">
        <v>21</v>
      </c>
      <c r="D29" s="21" t="s">
        <v>721</v>
      </c>
      <c r="E29" s="21" t="s">
        <v>624</v>
      </c>
      <c r="F29" s="21" t="s">
        <v>724</v>
      </c>
      <c r="G29" s="21" t="s">
        <v>23</v>
      </c>
      <c r="H29" s="21" t="s">
        <v>23</v>
      </c>
      <c r="I29" s="21" t="s">
        <v>23</v>
      </c>
      <c r="J29" s="21">
        <v>90</v>
      </c>
      <c r="K29" s="21" t="s">
        <v>725</v>
      </c>
      <c r="L29" s="20" t="s">
        <v>722</v>
      </c>
    </row>
    <row r="30" spans="1:12" ht="17.100000000000001" customHeight="1">
      <c r="A30" s="27">
        <v>45787</v>
      </c>
      <c r="B30" s="20" t="s">
        <v>116</v>
      </c>
      <c r="C30" s="21" t="s">
        <v>21</v>
      </c>
      <c r="D30" s="21" t="s">
        <v>721</v>
      </c>
      <c r="E30" s="21" t="s">
        <v>624</v>
      </c>
      <c r="F30" s="21" t="s">
        <v>724</v>
      </c>
      <c r="G30" s="21" t="s">
        <v>23</v>
      </c>
      <c r="H30" s="21" t="s">
        <v>23</v>
      </c>
      <c r="I30" s="21" t="s">
        <v>23</v>
      </c>
      <c r="J30" s="21">
        <v>10</v>
      </c>
      <c r="K30" s="21" t="s">
        <v>725</v>
      </c>
      <c r="L30" s="20" t="s">
        <v>726</v>
      </c>
    </row>
    <row r="31" spans="1:12" ht="17.100000000000001" customHeight="1">
      <c r="A31" s="27">
        <v>45790</v>
      </c>
      <c r="B31" s="20" t="s">
        <v>473</v>
      </c>
      <c r="C31" s="21" t="s">
        <v>21</v>
      </c>
      <c r="D31" s="21" t="s">
        <v>23</v>
      </c>
      <c r="E31" s="21" t="s">
        <v>23</v>
      </c>
      <c r="F31" s="21" t="s">
        <v>23</v>
      </c>
      <c r="G31" s="21" t="s">
        <v>23</v>
      </c>
      <c r="H31" s="21" t="s">
        <v>23</v>
      </c>
      <c r="I31" s="21" t="s">
        <v>23</v>
      </c>
      <c r="J31" s="21">
        <v>20</v>
      </c>
      <c r="K31" s="21" t="s">
        <v>347</v>
      </c>
      <c r="L31" s="20" t="s">
        <v>727</v>
      </c>
    </row>
    <row r="32" spans="1:12" ht="17.100000000000001" customHeight="1">
      <c r="A32" s="27">
        <v>45790</v>
      </c>
      <c r="B32" s="20" t="s">
        <v>20</v>
      </c>
      <c r="C32" s="21" t="s">
        <v>21</v>
      </c>
      <c r="D32" s="21" t="s">
        <v>728</v>
      </c>
      <c r="E32" s="21" t="s">
        <v>23</v>
      </c>
      <c r="F32" s="21" t="s">
        <v>729</v>
      </c>
      <c r="G32" s="21" t="s">
        <v>707</v>
      </c>
      <c r="H32" s="21" t="s">
        <v>23</v>
      </c>
      <c r="I32" s="21" t="s">
        <v>23</v>
      </c>
      <c r="J32" s="21">
        <v>142</v>
      </c>
      <c r="K32" s="21" t="s">
        <v>731</v>
      </c>
      <c r="L32" s="20" t="s">
        <v>732</v>
      </c>
    </row>
    <row r="33" spans="1:12" ht="17.100000000000001" customHeight="1">
      <c r="A33" s="27">
        <v>45790</v>
      </c>
      <c r="B33" s="20" t="s">
        <v>20</v>
      </c>
      <c r="C33" s="21" t="s">
        <v>29</v>
      </c>
      <c r="D33" s="21" t="s">
        <v>730</v>
      </c>
      <c r="E33" s="21" t="s">
        <v>23</v>
      </c>
      <c r="F33" s="21" t="s">
        <v>729</v>
      </c>
      <c r="G33" s="21" t="s">
        <v>707</v>
      </c>
      <c r="H33" s="21" t="s">
        <v>23</v>
      </c>
      <c r="I33" s="21" t="s">
        <v>23</v>
      </c>
      <c r="J33" s="21">
        <v>286</v>
      </c>
      <c r="K33" s="21" t="s">
        <v>731</v>
      </c>
      <c r="L33" s="20" t="s">
        <v>732</v>
      </c>
    </row>
    <row r="34" spans="1:12" ht="17.100000000000001" customHeight="1">
      <c r="A34" s="27">
        <v>45790</v>
      </c>
      <c r="B34" s="20" t="s">
        <v>20</v>
      </c>
      <c r="C34" s="21" t="s">
        <v>33</v>
      </c>
      <c r="D34" s="21" t="s">
        <v>728</v>
      </c>
      <c r="E34" s="21" t="s">
        <v>23</v>
      </c>
      <c r="F34" s="21" t="s">
        <v>729</v>
      </c>
      <c r="G34" s="21" t="s">
        <v>707</v>
      </c>
      <c r="H34" s="21" t="s">
        <v>23</v>
      </c>
      <c r="I34" s="21" t="s">
        <v>23</v>
      </c>
      <c r="J34" s="21">
        <v>212</v>
      </c>
      <c r="K34" s="21" t="s">
        <v>731</v>
      </c>
      <c r="L34" s="20" t="s">
        <v>732</v>
      </c>
    </row>
    <row r="35" spans="1:12" ht="17.100000000000001" customHeight="1">
      <c r="A35" s="27">
        <v>45790</v>
      </c>
      <c r="B35" s="20" t="s">
        <v>43</v>
      </c>
      <c r="C35" s="21" t="s">
        <v>21</v>
      </c>
      <c r="D35" s="21" t="s">
        <v>712</v>
      </c>
      <c r="E35" s="21" t="s">
        <v>733</v>
      </c>
      <c r="F35" s="21" t="s">
        <v>734</v>
      </c>
      <c r="G35" s="21" t="s">
        <v>23</v>
      </c>
      <c r="H35" s="21" t="s">
        <v>23</v>
      </c>
      <c r="I35" s="21" t="s">
        <v>23</v>
      </c>
      <c r="J35" s="21">
        <v>34</v>
      </c>
      <c r="K35" s="21" t="s">
        <v>735</v>
      </c>
      <c r="L35" s="20" t="s">
        <v>723</v>
      </c>
    </row>
    <row r="36" spans="1:12" ht="17.100000000000001" customHeight="1">
      <c r="A36" s="27">
        <v>45790</v>
      </c>
      <c r="B36" s="20" t="s">
        <v>43</v>
      </c>
      <c r="C36" s="21" t="s">
        <v>29</v>
      </c>
      <c r="D36" s="21" t="s">
        <v>721</v>
      </c>
      <c r="E36" s="21" t="s">
        <v>733</v>
      </c>
      <c r="F36" s="21" t="s">
        <v>734</v>
      </c>
      <c r="G36" s="21" t="s">
        <v>23</v>
      </c>
      <c r="H36" s="21" t="s">
        <v>23</v>
      </c>
      <c r="I36" s="21" t="s">
        <v>23</v>
      </c>
      <c r="J36" s="21">
        <v>80</v>
      </c>
      <c r="K36" s="21" t="s">
        <v>735</v>
      </c>
      <c r="L36" s="20" t="s">
        <v>723</v>
      </c>
    </row>
    <row r="37" spans="1:12" ht="17.100000000000001" customHeight="1">
      <c r="A37" s="27">
        <v>45791</v>
      </c>
      <c r="B37" s="20" t="s">
        <v>736</v>
      </c>
      <c r="C37" s="21" t="s">
        <v>21</v>
      </c>
      <c r="D37" s="21" t="s">
        <v>728</v>
      </c>
      <c r="E37" s="21" t="s">
        <v>23</v>
      </c>
      <c r="F37" s="21" t="s">
        <v>729</v>
      </c>
      <c r="G37" s="21" t="s">
        <v>707</v>
      </c>
      <c r="H37" s="21" t="s">
        <v>23</v>
      </c>
      <c r="I37" s="21" t="s">
        <v>23</v>
      </c>
      <c r="J37" s="21">
        <v>74</v>
      </c>
      <c r="K37" s="21" t="s">
        <v>737</v>
      </c>
      <c r="L37" s="20" t="s">
        <v>732</v>
      </c>
    </row>
    <row r="38" spans="1:12" ht="17.100000000000001" customHeight="1">
      <c r="A38" s="27">
        <v>45791</v>
      </c>
      <c r="B38" s="20" t="s">
        <v>736</v>
      </c>
      <c r="C38" s="21" t="s">
        <v>29</v>
      </c>
      <c r="D38" s="21" t="s">
        <v>738</v>
      </c>
      <c r="E38" s="21" t="s">
        <v>23</v>
      </c>
      <c r="F38" s="21" t="s">
        <v>729</v>
      </c>
      <c r="G38" s="21" t="s">
        <v>707</v>
      </c>
      <c r="H38" s="21" t="s">
        <v>23</v>
      </c>
      <c r="I38" s="21" t="s">
        <v>23</v>
      </c>
      <c r="J38" s="21">
        <v>286</v>
      </c>
      <c r="K38" s="21" t="s">
        <v>737</v>
      </c>
      <c r="L38" s="20" t="s">
        <v>732</v>
      </c>
    </row>
    <row r="39" spans="1:12" ht="17.100000000000001" customHeight="1">
      <c r="A39" s="27">
        <v>45792</v>
      </c>
      <c r="B39" s="20" t="s">
        <v>736</v>
      </c>
      <c r="C39" s="21" t="s">
        <v>21</v>
      </c>
      <c r="D39" s="21" t="s">
        <v>739</v>
      </c>
      <c r="E39" s="21" t="s">
        <v>23</v>
      </c>
      <c r="F39" s="21" t="s">
        <v>120</v>
      </c>
      <c r="G39" s="21" t="s">
        <v>740</v>
      </c>
      <c r="H39" s="21" t="s">
        <v>23</v>
      </c>
      <c r="I39" s="21" t="s">
        <v>23</v>
      </c>
      <c r="J39" s="21">
        <v>286</v>
      </c>
      <c r="K39" s="21" t="s">
        <v>737</v>
      </c>
      <c r="L39" s="20" t="s">
        <v>741</v>
      </c>
    </row>
    <row r="40" spans="1:12" ht="17.100000000000001" customHeight="1">
      <c r="A40" s="27">
        <v>45792</v>
      </c>
      <c r="B40" s="20" t="s">
        <v>736</v>
      </c>
      <c r="C40" s="21" t="s">
        <v>29</v>
      </c>
      <c r="D40" s="21" t="s">
        <v>739</v>
      </c>
      <c r="E40" s="21" t="s">
        <v>23</v>
      </c>
      <c r="F40" s="21" t="s">
        <v>120</v>
      </c>
      <c r="G40" s="21" t="s">
        <v>740</v>
      </c>
      <c r="H40" s="21" t="s">
        <v>23</v>
      </c>
      <c r="I40" s="21" t="s">
        <v>23</v>
      </c>
      <c r="J40" s="21">
        <v>230</v>
      </c>
      <c r="K40" s="21" t="s">
        <v>737</v>
      </c>
      <c r="L40" s="20" t="s">
        <v>741</v>
      </c>
    </row>
    <row r="41" spans="1:12" ht="17.100000000000001" customHeight="1">
      <c r="A41" s="27">
        <v>45793</v>
      </c>
      <c r="B41" s="20" t="s">
        <v>736</v>
      </c>
      <c r="C41" s="21" t="s">
        <v>21</v>
      </c>
      <c r="D41" s="21" t="s">
        <v>742</v>
      </c>
      <c r="E41" s="21" t="s">
        <v>23</v>
      </c>
      <c r="F41" s="21" t="s">
        <v>120</v>
      </c>
      <c r="G41" s="21" t="s">
        <v>740</v>
      </c>
      <c r="H41" s="21" t="s">
        <v>23</v>
      </c>
      <c r="I41" s="21" t="s">
        <v>23</v>
      </c>
      <c r="J41" s="21">
        <v>52</v>
      </c>
      <c r="K41" s="21" t="s">
        <v>731</v>
      </c>
      <c r="L41" s="20" t="s">
        <v>741</v>
      </c>
    </row>
    <row r="42" spans="1:12" ht="17.100000000000001" customHeight="1">
      <c r="A42" s="27">
        <v>45793</v>
      </c>
      <c r="B42" s="20" t="s">
        <v>736</v>
      </c>
      <c r="C42" s="21" t="s">
        <v>29</v>
      </c>
      <c r="D42" s="21" t="s">
        <v>743</v>
      </c>
      <c r="E42" s="21" t="s">
        <v>23</v>
      </c>
      <c r="F42" s="21" t="s">
        <v>120</v>
      </c>
      <c r="G42" s="21" t="s">
        <v>740</v>
      </c>
      <c r="H42" s="21" t="s">
        <v>23</v>
      </c>
      <c r="I42" s="21" t="s">
        <v>23</v>
      </c>
      <c r="J42" s="21">
        <v>286</v>
      </c>
      <c r="K42" s="21" t="s">
        <v>731</v>
      </c>
      <c r="L42" s="20" t="s">
        <v>741</v>
      </c>
    </row>
    <row r="43" spans="1:12" ht="17.100000000000001" customHeight="1">
      <c r="A43" s="27">
        <v>45793</v>
      </c>
      <c r="B43" s="20" t="s">
        <v>736</v>
      </c>
      <c r="C43" s="21" t="s">
        <v>33</v>
      </c>
      <c r="D43" s="21" t="s">
        <v>744</v>
      </c>
      <c r="E43" s="21" t="s">
        <v>23</v>
      </c>
      <c r="F43" s="21" t="s">
        <v>120</v>
      </c>
      <c r="G43" s="21" t="s">
        <v>740</v>
      </c>
      <c r="H43" s="21" t="s">
        <v>23</v>
      </c>
      <c r="I43" s="21" t="s">
        <v>23</v>
      </c>
      <c r="J43" s="21">
        <v>142</v>
      </c>
      <c r="K43" s="21" t="s">
        <v>731</v>
      </c>
      <c r="L43" s="20" t="s">
        <v>741</v>
      </c>
    </row>
    <row r="44" spans="1:12" ht="17.100000000000001" customHeight="1">
      <c r="A44" s="27">
        <v>45793</v>
      </c>
      <c r="B44" s="20" t="s">
        <v>736</v>
      </c>
      <c r="C44" s="21" t="s">
        <v>34</v>
      </c>
      <c r="D44" s="21" t="s">
        <v>745</v>
      </c>
      <c r="E44" s="21" t="s">
        <v>23</v>
      </c>
      <c r="F44" s="21" t="s">
        <v>747</v>
      </c>
      <c r="G44" s="21" t="s">
        <v>604</v>
      </c>
      <c r="H44" s="21" t="s">
        <v>23</v>
      </c>
      <c r="I44" s="21" t="s">
        <v>23</v>
      </c>
      <c r="J44" s="21">
        <v>142</v>
      </c>
      <c r="K44" s="21" t="s">
        <v>731</v>
      </c>
      <c r="L44" s="20" t="s">
        <v>748</v>
      </c>
    </row>
    <row r="45" spans="1:12" ht="17.100000000000001" customHeight="1">
      <c r="A45" s="27">
        <v>45793</v>
      </c>
      <c r="B45" s="20" t="s">
        <v>736</v>
      </c>
      <c r="C45" s="21" t="s">
        <v>139</v>
      </c>
      <c r="D45" s="21" t="s">
        <v>746</v>
      </c>
      <c r="E45" s="21" t="s">
        <v>23</v>
      </c>
      <c r="F45" s="21" t="s">
        <v>747</v>
      </c>
      <c r="G45" s="21" t="s">
        <v>604</v>
      </c>
      <c r="H45" s="21" t="s">
        <v>23</v>
      </c>
      <c r="I45" s="21" t="s">
        <v>23</v>
      </c>
      <c r="J45" s="21">
        <v>150</v>
      </c>
      <c r="K45" s="21" t="s">
        <v>731</v>
      </c>
      <c r="L45" s="20" t="s">
        <v>748</v>
      </c>
    </row>
    <row r="46" spans="1:12" ht="17.100000000000001" customHeight="1">
      <c r="A46" s="27">
        <v>45793</v>
      </c>
      <c r="B46" s="20" t="s">
        <v>43</v>
      </c>
      <c r="C46" s="21" t="s">
        <v>21</v>
      </c>
      <c r="D46" s="21" t="s">
        <v>749</v>
      </c>
      <c r="E46" s="21" t="s">
        <v>733</v>
      </c>
      <c r="F46" s="21" t="s">
        <v>754</v>
      </c>
      <c r="G46" s="21" t="s">
        <v>23</v>
      </c>
      <c r="H46" s="21" t="s">
        <v>23</v>
      </c>
      <c r="I46" s="21" t="s">
        <v>23</v>
      </c>
      <c r="J46" s="21">
        <v>240</v>
      </c>
      <c r="K46" s="21" t="s">
        <v>752</v>
      </c>
      <c r="L46" s="20"/>
    </row>
    <row r="47" spans="1:12" ht="17.100000000000001" customHeight="1">
      <c r="A47" s="27">
        <v>45793</v>
      </c>
      <c r="B47" s="20" t="s">
        <v>43</v>
      </c>
      <c r="C47" s="21" t="s">
        <v>29</v>
      </c>
      <c r="D47" s="21" t="s">
        <v>750</v>
      </c>
      <c r="E47" s="21" t="s">
        <v>733</v>
      </c>
      <c r="F47" s="21" t="s">
        <v>754</v>
      </c>
      <c r="G47" s="21" t="s">
        <v>23</v>
      </c>
      <c r="H47" s="21" t="s">
        <v>23</v>
      </c>
      <c r="I47" s="21" t="s">
        <v>23</v>
      </c>
      <c r="J47" s="21">
        <v>240</v>
      </c>
      <c r="K47" s="21" t="s">
        <v>752</v>
      </c>
      <c r="L47" s="20"/>
    </row>
    <row r="48" spans="1:12" ht="17.100000000000001" customHeight="1">
      <c r="A48" s="27">
        <v>45793</v>
      </c>
      <c r="B48" s="20" t="s">
        <v>43</v>
      </c>
      <c r="C48" s="21" t="s">
        <v>33</v>
      </c>
      <c r="D48" s="21" t="s">
        <v>751</v>
      </c>
      <c r="E48" s="21" t="s">
        <v>733</v>
      </c>
      <c r="F48" s="21" t="s">
        <v>754</v>
      </c>
      <c r="G48" s="21" t="s">
        <v>23</v>
      </c>
      <c r="H48" s="21" t="s">
        <v>23</v>
      </c>
      <c r="I48" s="21" t="s">
        <v>23</v>
      </c>
      <c r="J48" s="21">
        <v>154</v>
      </c>
      <c r="K48" s="21" t="s">
        <v>753</v>
      </c>
      <c r="L48" s="20"/>
    </row>
    <row r="49" spans="1:14" ht="17.100000000000001" customHeight="1">
      <c r="A49" s="27">
        <v>45796</v>
      </c>
      <c r="B49" s="20" t="s">
        <v>763</v>
      </c>
      <c r="C49" s="21" t="s">
        <v>21</v>
      </c>
      <c r="D49" s="21" t="s">
        <v>755</v>
      </c>
      <c r="E49" s="21" t="s">
        <v>733</v>
      </c>
      <c r="F49" s="21" t="s">
        <v>754</v>
      </c>
      <c r="G49" s="21" t="s">
        <v>23</v>
      </c>
      <c r="H49" s="21" t="s">
        <v>23</v>
      </c>
      <c r="I49" s="21" t="s">
        <v>23</v>
      </c>
      <c r="J49" s="21">
        <v>80</v>
      </c>
      <c r="K49" s="21" t="s">
        <v>756</v>
      </c>
      <c r="L49" s="20" t="s">
        <v>757</v>
      </c>
    </row>
    <row r="50" spans="1:14" ht="17.100000000000001" customHeight="1">
      <c r="A50" s="27">
        <v>45796</v>
      </c>
      <c r="B50" s="20" t="s">
        <v>736</v>
      </c>
      <c r="C50" s="21" t="s">
        <v>21</v>
      </c>
      <c r="D50" s="21" t="s">
        <v>758</v>
      </c>
      <c r="E50" s="21" t="s">
        <v>23</v>
      </c>
      <c r="F50" s="21" t="s">
        <v>747</v>
      </c>
      <c r="G50" s="21" t="s">
        <v>604</v>
      </c>
      <c r="H50" s="21" t="s">
        <v>23</v>
      </c>
      <c r="I50" s="21" t="s">
        <v>23</v>
      </c>
      <c r="J50" s="21">
        <v>136</v>
      </c>
      <c r="K50" s="21" t="s">
        <v>760</v>
      </c>
      <c r="L50" s="20" t="s">
        <v>748</v>
      </c>
    </row>
    <row r="51" spans="1:14" ht="17.100000000000001" customHeight="1">
      <c r="A51" s="27">
        <v>45796</v>
      </c>
      <c r="B51" s="20" t="s">
        <v>736</v>
      </c>
      <c r="C51" s="21" t="s">
        <v>29</v>
      </c>
      <c r="D51" s="21" t="s">
        <v>759</v>
      </c>
      <c r="E51" s="21" t="s">
        <v>23</v>
      </c>
      <c r="F51" s="21" t="s">
        <v>747</v>
      </c>
      <c r="G51" s="21" t="s">
        <v>604</v>
      </c>
      <c r="H51" s="21" t="s">
        <v>23</v>
      </c>
      <c r="I51" s="21" t="s">
        <v>23</v>
      </c>
      <c r="J51" s="21">
        <v>112</v>
      </c>
      <c r="K51" s="21" t="s">
        <v>760</v>
      </c>
      <c r="L51" s="20" t="s">
        <v>748</v>
      </c>
    </row>
    <row r="52" spans="1:14" ht="17.100000000000001" customHeight="1">
      <c r="A52" s="27">
        <v>45797</v>
      </c>
      <c r="B52" s="20" t="s">
        <v>43</v>
      </c>
      <c r="C52" s="21" t="s">
        <v>21</v>
      </c>
      <c r="D52" s="21" t="s">
        <v>749</v>
      </c>
      <c r="E52" s="21" t="s">
        <v>624</v>
      </c>
      <c r="F52" s="21" t="s">
        <v>754</v>
      </c>
      <c r="G52" s="21" t="s">
        <v>23</v>
      </c>
      <c r="H52" s="21" t="s">
        <v>23</v>
      </c>
      <c r="I52" s="21" t="s">
        <v>23</v>
      </c>
      <c r="J52" s="21">
        <v>3</v>
      </c>
      <c r="K52" s="21" t="s">
        <v>761</v>
      </c>
      <c r="L52" s="20" t="s">
        <v>762</v>
      </c>
    </row>
    <row r="53" spans="1:14" ht="17.100000000000001" customHeight="1">
      <c r="A53" s="27">
        <v>45797</v>
      </c>
      <c r="B53" s="20" t="s">
        <v>763</v>
      </c>
      <c r="C53" s="21" t="s">
        <v>21</v>
      </c>
      <c r="D53" s="21" t="s">
        <v>764</v>
      </c>
      <c r="E53" s="21" t="s">
        <v>624</v>
      </c>
      <c r="F53" s="21" t="s">
        <v>765</v>
      </c>
      <c r="G53" s="21" t="s">
        <v>23</v>
      </c>
      <c r="H53" s="21" t="s">
        <v>23</v>
      </c>
      <c r="I53" s="21" t="s">
        <v>23</v>
      </c>
      <c r="J53" s="21">
        <v>100</v>
      </c>
      <c r="K53" s="21" t="s">
        <v>761</v>
      </c>
      <c r="L53" s="20" t="s">
        <v>757</v>
      </c>
    </row>
    <row r="54" spans="1:14" ht="17.100000000000001" customHeight="1">
      <c r="A54" s="27">
        <v>45797</v>
      </c>
      <c r="B54" s="20" t="s">
        <v>527</v>
      </c>
      <c r="C54" s="21" t="s">
        <v>21</v>
      </c>
      <c r="D54" s="21" t="s">
        <v>23</v>
      </c>
      <c r="E54" s="21" t="s">
        <v>23</v>
      </c>
      <c r="F54" s="21" t="s">
        <v>23</v>
      </c>
      <c r="G54" s="21" t="s">
        <v>23</v>
      </c>
      <c r="H54" s="21" t="s">
        <v>23</v>
      </c>
      <c r="I54" s="21" t="s">
        <v>766</v>
      </c>
      <c r="J54" s="21">
        <v>104</v>
      </c>
      <c r="K54" s="21" t="s">
        <v>761</v>
      </c>
      <c r="L54" s="20" t="s">
        <v>767</v>
      </c>
    </row>
    <row r="55" spans="1:14" ht="17.100000000000001" customHeight="1">
      <c r="A55" s="22" t="s">
        <v>768</v>
      </c>
      <c r="B55" s="20" t="s">
        <v>20</v>
      </c>
      <c r="C55" s="21" t="s">
        <v>21</v>
      </c>
      <c r="D55" s="21" t="s">
        <v>759</v>
      </c>
      <c r="E55" s="21" t="s">
        <v>23</v>
      </c>
      <c r="F55" s="21" t="s">
        <v>769</v>
      </c>
      <c r="G55" s="21" t="s">
        <v>23</v>
      </c>
      <c r="H55" s="21" t="s">
        <v>23</v>
      </c>
      <c r="I55" s="21" t="s">
        <v>23</v>
      </c>
      <c r="J55" s="21">
        <v>174</v>
      </c>
      <c r="K55" s="21" t="s">
        <v>770</v>
      </c>
      <c r="L55" s="20" t="s">
        <v>748</v>
      </c>
    </row>
    <row r="56" spans="1:14" ht="17.100000000000001" customHeight="1">
      <c r="A56" s="22" t="s">
        <v>768</v>
      </c>
      <c r="B56" s="20" t="s">
        <v>20</v>
      </c>
      <c r="C56" s="21" t="s">
        <v>29</v>
      </c>
      <c r="D56" s="21" t="s">
        <v>759</v>
      </c>
      <c r="E56" s="21" t="s">
        <v>23</v>
      </c>
      <c r="F56" s="21" t="s">
        <v>769</v>
      </c>
      <c r="G56" s="21" t="s">
        <v>23</v>
      </c>
      <c r="H56" s="21" t="s">
        <v>23</v>
      </c>
      <c r="I56" s="21" t="s">
        <v>23</v>
      </c>
      <c r="J56" s="21">
        <v>286</v>
      </c>
      <c r="K56" s="21" t="s">
        <v>770</v>
      </c>
      <c r="L56" s="20" t="s">
        <v>748</v>
      </c>
    </row>
    <row r="57" spans="1:14" ht="17.100000000000001" customHeight="1">
      <c r="A57" s="22" t="s">
        <v>768</v>
      </c>
      <c r="B57" s="20" t="s">
        <v>20</v>
      </c>
      <c r="C57" s="21" t="s">
        <v>33</v>
      </c>
      <c r="D57" s="21" t="s">
        <v>771</v>
      </c>
      <c r="E57" s="21" t="s">
        <v>23</v>
      </c>
      <c r="F57" s="21" t="s">
        <v>769</v>
      </c>
      <c r="G57" s="21" t="s">
        <v>23</v>
      </c>
      <c r="H57" s="21" t="s">
        <v>23</v>
      </c>
      <c r="I57" s="21" t="s">
        <v>23</v>
      </c>
      <c r="J57" s="21">
        <v>210</v>
      </c>
      <c r="K57" s="21" t="s">
        <v>774</v>
      </c>
      <c r="L57" s="20" t="s">
        <v>775</v>
      </c>
    </row>
    <row r="58" spans="1:14" ht="17.100000000000001" customHeight="1">
      <c r="A58" s="27">
        <v>45798</v>
      </c>
      <c r="B58" s="20" t="s">
        <v>20</v>
      </c>
      <c r="C58" s="21" t="s">
        <v>21</v>
      </c>
      <c r="D58" s="21" t="s">
        <v>771</v>
      </c>
      <c r="E58" s="21" t="s">
        <v>23</v>
      </c>
      <c r="F58" s="21" t="s">
        <v>769</v>
      </c>
      <c r="G58" s="21" t="s">
        <v>23</v>
      </c>
      <c r="H58" s="21" t="s">
        <v>23</v>
      </c>
      <c r="I58" s="21" t="s">
        <v>23</v>
      </c>
      <c r="J58" s="21">
        <v>76</v>
      </c>
      <c r="K58" s="21" t="s">
        <v>774</v>
      </c>
      <c r="L58" s="20" t="s">
        <v>775</v>
      </c>
    </row>
    <row r="59" spans="1:14" ht="17.100000000000001" customHeight="1">
      <c r="A59" s="27">
        <v>45798</v>
      </c>
      <c r="B59" s="20" t="s">
        <v>20</v>
      </c>
      <c r="C59" s="21" t="s">
        <v>29</v>
      </c>
      <c r="D59" s="21" t="s">
        <v>772</v>
      </c>
      <c r="E59" s="21" t="s">
        <v>23</v>
      </c>
      <c r="F59" s="21" t="s">
        <v>769</v>
      </c>
      <c r="G59" s="21" t="s">
        <v>23</v>
      </c>
      <c r="H59" s="21" t="s">
        <v>23</v>
      </c>
      <c r="I59" s="21" t="s">
        <v>23</v>
      </c>
      <c r="J59" s="21">
        <v>300</v>
      </c>
      <c r="K59" s="21" t="s">
        <v>774</v>
      </c>
      <c r="L59" s="20" t="s">
        <v>775</v>
      </c>
    </row>
    <row r="60" spans="1:14" ht="17.100000000000001" customHeight="1">
      <c r="A60" s="27">
        <v>45798</v>
      </c>
      <c r="B60" s="20" t="s">
        <v>20</v>
      </c>
      <c r="C60" s="21" t="s">
        <v>33</v>
      </c>
      <c r="D60" s="21" t="s">
        <v>773</v>
      </c>
      <c r="E60" s="21" t="s">
        <v>23</v>
      </c>
      <c r="F60" s="21" t="s">
        <v>769</v>
      </c>
      <c r="G60" s="21" t="s">
        <v>23</v>
      </c>
      <c r="H60" s="21" t="s">
        <v>23</v>
      </c>
      <c r="I60" s="21" t="s">
        <v>23</v>
      </c>
      <c r="J60" s="21">
        <v>286</v>
      </c>
      <c r="K60" s="21" t="s">
        <v>774</v>
      </c>
      <c r="L60" s="20" t="s">
        <v>775</v>
      </c>
    </row>
    <row r="61" spans="1:14">
      <c r="A61" s="27">
        <v>45798</v>
      </c>
      <c r="B61" s="20" t="s">
        <v>43</v>
      </c>
      <c r="C61" s="21" t="s">
        <v>21</v>
      </c>
      <c r="D61" s="21" t="s">
        <v>778</v>
      </c>
      <c r="E61" s="21" t="s">
        <v>624</v>
      </c>
      <c r="F61" s="21" t="s">
        <v>779</v>
      </c>
      <c r="G61" s="21" t="s">
        <v>23</v>
      </c>
      <c r="H61" s="21" t="s">
        <v>23</v>
      </c>
      <c r="I61" s="21" t="s">
        <v>23</v>
      </c>
      <c r="J61" s="21">
        <v>150</v>
      </c>
      <c r="K61" s="21" t="s">
        <v>776</v>
      </c>
      <c r="L61" s="20" t="s">
        <v>777</v>
      </c>
      <c r="M61" s="18"/>
      <c r="N61" s="17"/>
    </row>
    <row r="62" spans="1:14">
      <c r="A62" s="27">
        <v>45799</v>
      </c>
      <c r="B62" s="20" t="s">
        <v>20</v>
      </c>
      <c r="C62" s="21" t="s">
        <v>21</v>
      </c>
      <c r="D62" s="21" t="s">
        <v>745</v>
      </c>
      <c r="E62" s="21" t="s">
        <v>23</v>
      </c>
      <c r="F62" s="21" t="s">
        <v>780</v>
      </c>
      <c r="G62" s="21" t="s">
        <v>555</v>
      </c>
      <c r="H62" s="21" t="s">
        <v>23</v>
      </c>
      <c r="I62" s="21" t="s">
        <v>23</v>
      </c>
      <c r="J62" s="21">
        <v>142</v>
      </c>
      <c r="K62" s="21" t="s">
        <v>737</v>
      </c>
      <c r="L62" s="20" t="s">
        <v>781</v>
      </c>
    </row>
    <row r="63" spans="1:14">
      <c r="A63" s="27">
        <v>45799</v>
      </c>
      <c r="B63" s="20" t="s">
        <v>20</v>
      </c>
      <c r="C63" s="21" t="s">
        <v>29</v>
      </c>
      <c r="D63" s="21" t="s">
        <v>784</v>
      </c>
      <c r="E63" s="21" t="s">
        <v>23</v>
      </c>
      <c r="F63" s="21" t="s">
        <v>780</v>
      </c>
      <c r="G63" s="21" t="s">
        <v>555</v>
      </c>
      <c r="H63" s="21" t="s">
        <v>23</v>
      </c>
      <c r="I63" s="21" t="s">
        <v>23</v>
      </c>
      <c r="J63" s="21">
        <v>142</v>
      </c>
      <c r="K63" s="21" t="s">
        <v>737</v>
      </c>
      <c r="L63" s="20" t="s">
        <v>781</v>
      </c>
    </row>
    <row r="64" spans="1:14">
      <c r="A64" s="27">
        <v>45799</v>
      </c>
      <c r="B64" s="20" t="s">
        <v>43</v>
      </c>
      <c r="C64" s="21" t="s">
        <v>21</v>
      </c>
      <c r="D64" s="21" t="s">
        <v>785</v>
      </c>
      <c r="E64" s="21" t="s">
        <v>624</v>
      </c>
      <c r="F64" s="21" t="s">
        <v>786</v>
      </c>
      <c r="G64" s="21" t="s">
        <v>23</v>
      </c>
      <c r="H64" s="21" t="s">
        <v>23</v>
      </c>
      <c r="I64" s="21" t="s">
        <v>23</v>
      </c>
      <c r="J64" s="21">
        <v>122</v>
      </c>
      <c r="K64" s="21" t="s">
        <v>782</v>
      </c>
      <c r="L64" s="20" t="s">
        <v>783</v>
      </c>
    </row>
    <row r="65" spans="1:12">
      <c r="A65" s="27">
        <v>45800</v>
      </c>
      <c r="B65" s="20" t="s">
        <v>20</v>
      </c>
      <c r="C65" s="21" t="s">
        <v>21</v>
      </c>
      <c r="D65" s="21" t="s">
        <v>784</v>
      </c>
      <c r="E65" s="21" t="s">
        <v>23</v>
      </c>
      <c r="F65" s="21" t="s">
        <v>780</v>
      </c>
      <c r="G65" s="21" t="s">
        <v>555</v>
      </c>
      <c r="H65" s="21" t="s">
        <v>23</v>
      </c>
      <c r="I65" s="21" t="s">
        <v>23</v>
      </c>
      <c r="J65" s="21">
        <v>16</v>
      </c>
      <c r="K65" s="21" t="s">
        <v>737</v>
      </c>
      <c r="L65" s="20" t="s">
        <v>781</v>
      </c>
    </row>
    <row r="66" spans="1:12">
      <c r="A66" s="27">
        <v>45800</v>
      </c>
      <c r="B66" s="20" t="s">
        <v>20</v>
      </c>
      <c r="C66" s="21" t="s">
        <v>29</v>
      </c>
      <c r="D66" s="21" t="s">
        <v>787</v>
      </c>
      <c r="E66" s="21" t="s">
        <v>23</v>
      </c>
      <c r="F66" s="21" t="s">
        <v>780</v>
      </c>
      <c r="G66" s="21" t="s">
        <v>555</v>
      </c>
      <c r="H66" s="21" t="s">
        <v>23</v>
      </c>
      <c r="I66" s="21" t="s">
        <v>23</v>
      </c>
      <c r="J66" s="21">
        <v>286</v>
      </c>
      <c r="K66" s="21" t="s">
        <v>737</v>
      </c>
      <c r="L66" s="20" t="s">
        <v>781</v>
      </c>
    </row>
    <row r="67" spans="1:12">
      <c r="A67" s="27">
        <v>45800</v>
      </c>
      <c r="B67" s="20" t="s">
        <v>20</v>
      </c>
      <c r="C67" s="21" t="s">
        <v>33</v>
      </c>
      <c r="D67" s="21" t="s">
        <v>788</v>
      </c>
      <c r="E67" s="21" t="s">
        <v>23</v>
      </c>
      <c r="F67" s="21" t="s">
        <v>780</v>
      </c>
      <c r="G67" s="21" t="s">
        <v>555</v>
      </c>
      <c r="H67" s="21" t="s">
        <v>23</v>
      </c>
      <c r="I67" s="21" t="s">
        <v>23</v>
      </c>
      <c r="J67" s="21">
        <v>208</v>
      </c>
      <c r="K67" s="21" t="s">
        <v>798</v>
      </c>
      <c r="L67" s="20" t="s">
        <v>781</v>
      </c>
    </row>
    <row r="68" spans="1:12">
      <c r="A68" s="27">
        <v>45800</v>
      </c>
      <c r="B68" s="20" t="s">
        <v>43</v>
      </c>
      <c r="C68" s="21" t="s">
        <v>21</v>
      </c>
      <c r="D68" s="21" t="s">
        <v>785</v>
      </c>
      <c r="E68" s="21" t="s">
        <v>624</v>
      </c>
      <c r="F68" s="21" t="s">
        <v>789</v>
      </c>
      <c r="G68" s="21" t="s">
        <v>23</v>
      </c>
      <c r="H68" s="21" t="s">
        <v>23</v>
      </c>
      <c r="I68" s="21" t="s">
        <v>23</v>
      </c>
      <c r="J68" s="21">
        <v>5</v>
      </c>
      <c r="K68" s="21" t="s">
        <v>790</v>
      </c>
      <c r="L68" s="20" t="s">
        <v>791</v>
      </c>
    </row>
    <row r="69" spans="1:12">
      <c r="A69" s="27">
        <v>45800</v>
      </c>
      <c r="B69" s="20" t="s">
        <v>43</v>
      </c>
      <c r="C69" s="21" t="s">
        <v>21</v>
      </c>
      <c r="D69" s="21" t="s">
        <v>785</v>
      </c>
      <c r="E69" s="21" t="s">
        <v>624</v>
      </c>
      <c r="F69" s="21" t="s">
        <v>789</v>
      </c>
      <c r="G69" s="21" t="s">
        <v>23</v>
      </c>
      <c r="H69" s="21" t="s">
        <v>23</v>
      </c>
      <c r="I69" s="21" t="s">
        <v>23</v>
      </c>
      <c r="J69" s="21">
        <v>120</v>
      </c>
      <c r="K69" s="21" t="s">
        <v>790</v>
      </c>
      <c r="L69" s="20" t="s">
        <v>792</v>
      </c>
    </row>
    <row r="70" spans="1:12">
      <c r="A70" s="27">
        <v>45800</v>
      </c>
      <c r="B70" s="20" t="s">
        <v>43</v>
      </c>
      <c r="C70" s="21" t="s">
        <v>29</v>
      </c>
      <c r="D70" s="21" t="s">
        <v>793</v>
      </c>
      <c r="E70" s="21" t="s">
        <v>624</v>
      </c>
      <c r="F70" s="21" t="s">
        <v>789</v>
      </c>
      <c r="G70" s="21" t="s">
        <v>23</v>
      </c>
      <c r="H70" s="21" t="s">
        <v>23</v>
      </c>
      <c r="I70" s="21" t="s">
        <v>23</v>
      </c>
      <c r="J70" s="21">
        <v>48</v>
      </c>
      <c r="K70" s="21" t="s">
        <v>790</v>
      </c>
      <c r="L70" s="20" t="s">
        <v>792</v>
      </c>
    </row>
    <row r="71" spans="1:12">
      <c r="A71" s="27">
        <v>45800</v>
      </c>
      <c r="B71" s="20" t="s">
        <v>43</v>
      </c>
      <c r="C71" s="21" t="s">
        <v>33</v>
      </c>
      <c r="D71" s="21" t="s">
        <v>794</v>
      </c>
      <c r="E71" s="21" t="s">
        <v>624</v>
      </c>
      <c r="F71" s="21" t="s">
        <v>795</v>
      </c>
      <c r="G71" s="21" t="s">
        <v>23</v>
      </c>
      <c r="H71" s="21" t="s">
        <v>23</v>
      </c>
      <c r="I71" s="21" t="s">
        <v>23</v>
      </c>
      <c r="J71" s="21">
        <v>240</v>
      </c>
      <c r="K71" s="21" t="s">
        <v>790</v>
      </c>
      <c r="L71" s="20" t="s">
        <v>792</v>
      </c>
    </row>
    <row r="72" spans="1:12">
      <c r="A72" s="27">
        <v>45800</v>
      </c>
      <c r="B72" s="20" t="s">
        <v>43</v>
      </c>
      <c r="C72" s="21" t="s">
        <v>34</v>
      </c>
      <c r="D72" s="21" t="s">
        <v>796</v>
      </c>
      <c r="E72" s="21" t="s">
        <v>624</v>
      </c>
      <c r="F72" s="21" t="s">
        <v>797</v>
      </c>
      <c r="G72" s="21" t="s">
        <v>23</v>
      </c>
      <c r="H72" s="21" t="s">
        <v>23</v>
      </c>
      <c r="I72" s="21" t="s">
        <v>23</v>
      </c>
      <c r="J72" s="21">
        <v>240</v>
      </c>
      <c r="K72" s="21" t="s">
        <v>790</v>
      </c>
      <c r="L72" s="20" t="s">
        <v>792</v>
      </c>
    </row>
    <row r="73" spans="1:12">
      <c r="A73" s="27">
        <v>45803</v>
      </c>
      <c r="B73" s="20" t="s">
        <v>799</v>
      </c>
      <c r="C73" s="21" t="s">
        <v>800</v>
      </c>
      <c r="D73" s="21" t="s">
        <v>788</v>
      </c>
      <c r="E73" s="21" t="s">
        <v>23</v>
      </c>
      <c r="F73" s="21" t="s">
        <v>780</v>
      </c>
      <c r="G73" s="21" t="s">
        <v>555</v>
      </c>
      <c r="H73" s="21" t="s">
        <v>23</v>
      </c>
      <c r="I73" s="21" t="s">
        <v>23</v>
      </c>
      <c r="J73" s="21">
        <v>78</v>
      </c>
      <c r="K73" s="21" t="s">
        <v>798</v>
      </c>
      <c r="L73" s="20" t="s">
        <v>781</v>
      </c>
    </row>
    <row r="74" spans="1:12">
      <c r="A74" s="27">
        <v>45803</v>
      </c>
      <c r="B74" s="20" t="s">
        <v>43</v>
      </c>
      <c r="C74" s="21" t="s">
        <v>21</v>
      </c>
      <c r="D74" s="21" t="s">
        <v>801</v>
      </c>
      <c r="E74" s="21" t="s">
        <v>624</v>
      </c>
      <c r="F74" s="21" t="s">
        <v>802</v>
      </c>
      <c r="G74" s="21" t="s">
        <v>23</v>
      </c>
      <c r="H74" s="21" t="s">
        <v>23</v>
      </c>
      <c r="I74" s="21" t="s">
        <v>23</v>
      </c>
      <c r="J74" s="21">
        <v>101</v>
      </c>
      <c r="K74" s="21" t="s">
        <v>637</v>
      </c>
      <c r="L74" s="20" t="s">
        <v>792</v>
      </c>
    </row>
    <row r="75" spans="1:12">
      <c r="A75" s="27">
        <v>45803</v>
      </c>
      <c r="B75" s="20" t="s">
        <v>43</v>
      </c>
      <c r="C75" s="21" t="s">
        <v>21</v>
      </c>
      <c r="D75" s="21" t="s">
        <v>801</v>
      </c>
      <c r="E75" s="21" t="s">
        <v>624</v>
      </c>
      <c r="F75" s="21" t="s">
        <v>802</v>
      </c>
      <c r="G75" s="21" t="s">
        <v>23</v>
      </c>
      <c r="H75" s="21" t="s">
        <v>23</v>
      </c>
      <c r="I75" s="21" t="s">
        <v>23</v>
      </c>
      <c r="J75" s="21">
        <v>230</v>
      </c>
      <c r="K75" s="21" t="s">
        <v>637</v>
      </c>
      <c r="L75" s="20" t="s">
        <v>792</v>
      </c>
    </row>
    <row r="76" spans="1:12">
      <c r="A76" s="27">
        <v>45803</v>
      </c>
      <c r="B76" s="20" t="s">
        <v>43</v>
      </c>
      <c r="C76" s="21" t="s">
        <v>21</v>
      </c>
      <c r="D76" s="21" t="s">
        <v>801</v>
      </c>
      <c r="E76" s="21" t="s">
        <v>624</v>
      </c>
      <c r="F76" s="21" t="s">
        <v>802</v>
      </c>
      <c r="G76" s="21" t="s">
        <v>23</v>
      </c>
      <c r="H76" s="21" t="s">
        <v>23</v>
      </c>
      <c r="I76" s="21" t="s">
        <v>23</v>
      </c>
      <c r="J76" s="21">
        <v>144</v>
      </c>
      <c r="K76" s="21" t="s">
        <v>637</v>
      </c>
      <c r="L76" s="20" t="s">
        <v>792</v>
      </c>
    </row>
    <row r="77" spans="1:12">
      <c r="A77" s="27">
        <v>45803</v>
      </c>
      <c r="B77" s="20" t="s">
        <v>20</v>
      </c>
      <c r="C77" s="21" t="s">
        <v>29</v>
      </c>
      <c r="D77" s="21" t="s">
        <v>803</v>
      </c>
      <c r="E77" s="21" t="s">
        <v>23</v>
      </c>
      <c r="F77" s="21" t="s">
        <v>729</v>
      </c>
      <c r="G77" s="21" t="s">
        <v>555</v>
      </c>
      <c r="H77" s="21" t="s">
        <v>23</v>
      </c>
      <c r="I77" s="21" t="s">
        <v>23</v>
      </c>
      <c r="J77" s="21">
        <v>210</v>
      </c>
      <c r="K77" s="21" t="s">
        <v>737</v>
      </c>
      <c r="L77" s="20" t="s">
        <v>804</v>
      </c>
    </row>
    <row r="78" spans="1:12">
      <c r="A78" s="27">
        <v>45804</v>
      </c>
      <c r="B78" s="20" t="s">
        <v>20</v>
      </c>
      <c r="C78" s="21" t="s">
        <v>21</v>
      </c>
      <c r="D78" s="21" t="s">
        <v>803</v>
      </c>
      <c r="E78" s="21" t="s">
        <v>23</v>
      </c>
      <c r="F78" s="21" t="s">
        <v>729</v>
      </c>
      <c r="G78" s="21" t="s">
        <v>555</v>
      </c>
      <c r="H78" s="21" t="s">
        <v>23</v>
      </c>
      <c r="I78" s="21" t="s">
        <v>23</v>
      </c>
      <c r="J78" s="21">
        <v>76</v>
      </c>
      <c r="K78" s="21" t="s">
        <v>737</v>
      </c>
      <c r="L78" s="20" t="s">
        <v>804</v>
      </c>
    </row>
    <row r="79" spans="1:12">
      <c r="A79" s="27">
        <v>45804</v>
      </c>
      <c r="B79" s="20" t="s">
        <v>20</v>
      </c>
      <c r="C79" s="21" t="s">
        <v>29</v>
      </c>
      <c r="D79" s="21" t="s">
        <v>805</v>
      </c>
      <c r="E79" s="21" t="s">
        <v>23</v>
      </c>
      <c r="F79" s="21" t="s">
        <v>729</v>
      </c>
      <c r="G79" s="21" t="s">
        <v>555</v>
      </c>
      <c r="H79" s="21" t="s">
        <v>23</v>
      </c>
      <c r="I79" s="21" t="s">
        <v>23</v>
      </c>
      <c r="J79" s="21">
        <v>286</v>
      </c>
      <c r="K79" s="21" t="s">
        <v>737</v>
      </c>
      <c r="L79" s="20" t="s">
        <v>804</v>
      </c>
    </row>
    <row r="80" spans="1:12">
      <c r="A80" s="27">
        <v>45804</v>
      </c>
      <c r="B80" s="20" t="s">
        <v>20</v>
      </c>
      <c r="C80" s="21" t="s">
        <v>33</v>
      </c>
      <c r="D80" s="21" t="s">
        <v>806</v>
      </c>
      <c r="E80" s="21" t="s">
        <v>23</v>
      </c>
      <c r="F80" s="21" t="s">
        <v>729</v>
      </c>
      <c r="G80" s="21" t="s">
        <v>555</v>
      </c>
      <c r="H80" s="21" t="s">
        <v>23</v>
      </c>
      <c r="I80" s="21" t="s">
        <v>23</v>
      </c>
      <c r="J80" s="21">
        <v>50</v>
      </c>
      <c r="K80" s="21" t="s">
        <v>737</v>
      </c>
      <c r="L80" s="20" t="s">
        <v>804</v>
      </c>
    </row>
    <row r="81" spans="1:12">
      <c r="A81" s="27">
        <v>45805</v>
      </c>
      <c r="B81" s="20" t="s">
        <v>20</v>
      </c>
      <c r="C81" s="21" t="s">
        <v>21</v>
      </c>
      <c r="D81" s="21" t="s">
        <v>806</v>
      </c>
      <c r="E81" s="21" t="s">
        <v>23</v>
      </c>
      <c r="F81" s="21" t="s">
        <v>729</v>
      </c>
      <c r="G81" s="21" t="s">
        <v>555</v>
      </c>
      <c r="H81" s="21" t="s">
        <v>23</v>
      </c>
      <c r="I81" s="21" t="s">
        <v>23</v>
      </c>
      <c r="J81" s="21">
        <v>236</v>
      </c>
      <c r="K81" s="21" t="s">
        <v>737</v>
      </c>
      <c r="L81" s="20" t="s">
        <v>804</v>
      </c>
    </row>
    <row r="82" spans="1:12">
      <c r="A82" s="27">
        <v>45805</v>
      </c>
      <c r="B82" s="20" t="s">
        <v>20</v>
      </c>
      <c r="C82" s="21" t="s">
        <v>29</v>
      </c>
      <c r="D82" s="21" t="s">
        <v>806</v>
      </c>
      <c r="E82" s="21" t="s">
        <v>23</v>
      </c>
      <c r="F82" s="21" t="s">
        <v>729</v>
      </c>
      <c r="G82" s="21" t="s">
        <v>555</v>
      </c>
      <c r="H82" s="21" t="s">
        <v>23</v>
      </c>
      <c r="I82" s="21" t="s">
        <v>23</v>
      </c>
      <c r="J82" s="21">
        <v>142</v>
      </c>
      <c r="K82" s="21" t="s">
        <v>737</v>
      </c>
      <c r="L82" s="20" t="s">
        <v>804</v>
      </c>
    </row>
    <row r="83" spans="1:12">
      <c r="A83" s="27">
        <v>45805</v>
      </c>
      <c r="B83" s="20" t="s">
        <v>110</v>
      </c>
      <c r="C83" s="21" t="s">
        <v>21</v>
      </c>
      <c r="D83" s="21" t="s">
        <v>807</v>
      </c>
      <c r="E83" s="21" t="s">
        <v>808</v>
      </c>
      <c r="F83" s="21" t="s">
        <v>809</v>
      </c>
      <c r="G83" s="21" t="s">
        <v>23</v>
      </c>
      <c r="H83" s="21" t="s">
        <v>23</v>
      </c>
      <c r="I83" s="21" t="s">
        <v>23</v>
      </c>
      <c r="J83" s="21">
        <v>5</v>
      </c>
      <c r="K83" s="21" t="s">
        <v>761</v>
      </c>
      <c r="L83" s="20" t="s">
        <v>810</v>
      </c>
    </row>
    <row r="84" spans="1:12">
      <c r="A84" s="27">
        <v>45805</v>
      </c>
      <c r="B84" s="20" t="s">
        <v>20</v>
      </c>
      <c r="C84" s="21" t="s">
        <v>33</v>
      </c>
      <c r="D84" s="21" t="s">
        <v>812</v>
      </c>
      <c r="E84" s="21" t="s">
        <v>23</v>
      </c>
      <c r="F84" s="21" t="s">
        <v>729</v>
      </c>
      <c r="G84" s="21" t="s">
        <v>555</v>
      </c>
      <c r="H84" s="21" t="s">
        <v>23</v>
      </c>
      <c r="I84" s="21" t="s">
        <v>23</v>
      </c>
      <c r="J84" s="21">
        <v>36</v>
      </c>
      <c r="K84" s="21" t="s">
        <v>737</v>
      </c>
      <c r="L84" s="20" t="s">
        <v>811</v>
      </c>
    </row>
    <row r="85" spans="1:12">
      <c r="A85" s="26">
        <v>45807</v>
      </c>
      <c r="B85" s="20" t="s">
        <v>20</v>
      </c>
      <c r="C85" s="21" t="s">
        <v>21</v>
      </c>
      <c r="D85" s="21" t="s">
        <v>813</v>
      </c>
      <c r="E85" s="21" t="s">
        <v>23</v>
      </c>
      <c r="F85" s="21" t="s">
        <v>729</v>
      </c>
      <c r="G85" s="21" t="s">
        <v>555</v>
      </c>
      <c r="H85" s="21" t="s">
        <v>23</v>
      </c>
      <c r="I85" s="21" t="s">
        <v>23</v>
      </c>
      <c r="J85" s="21">
        <v>219</v>
      </c>
      <c r="K85" s="21" t="s">
        <v>815</v>
      </c>
      <c r="L85" s="20" t="s">
        <v>811</v>
      </c>
    </row>
    <row r="86" spans="1:12">
      <c r="A86" s="26">
        <v>45807</v>
      </c>
      <c r="B86" s="20" t="s">
        <v>20</v>
      </c>
      <c r="C86" s="21" t="s">
        <v>29</v>
      </c>
      <c r="D86" s="21" t="s">
        <v>814</v>
      </c>
      <c r="E86" s="21" t="s">
        <v>23</v>
      </c>
      <c r="F86" s="21" t="s">
        <v>729</v>
      </c>
      <c r="G86" s="21" t="s">
        <v>555</v>
      </c>
      <c r="H86" s="21" t="s">
        <v>23</v>
      </c>
      <c r="I86" s="21" t="s">
        <v>23</v>
      </c>
      <c r="J86" s="21">
        <v>286</v>
      </c>
      <c r="K86" s="21" t="s">
        <v>815</v>
      </c>
      <c r="L86" s="20" t="s">
        <v>811</v>
      </c>
    </row>
    <row r="87" spans="1:12" ht="15" thickBot="1">
      <c r="A87" s="23"/>
      <c r="B87" s="24"/>
      <c r="C87" s="25"/>
      <c r="D87" s="25"/>
      <c r="E87" s="25"/>
      <c r="F87" s="25"/>
      <c r="G87" s="25"/>
      <c r="H87" s="25"/>
      <c r="I87" s="25"/>
      <c r="J87" s="25"/>
      <c r="K87" s="25"/>
      <c r="L87" s="24"/>
    </row>
    <row r="88" spans="1:12">
      <c r="A88" s="32" t="s">
        <v>291</v>
      </c>
      <c r="B88" s="15"/>
      <c r="C88" s="15"/>
      <c r="D88" s="14"/>
      <c r="E88" s="15"/>
      <c r="H88" s="14" t="s">
        <v>15</v>
      </c>
      <c r="I88" s="14"/>
      <c r="J88" s="14"/>
      <c r="K88" s="15"/>
      <c r="L88" s="16"/>
    </row>
    <row r="89" spans="1:12">
      <c r="I89" s="2" t="s">
        <v>16</v>
      </c>
    </row>
    <row r="90" spans="1:12">
      <c r="I90" s="2" t="s">
        <v>17</v>
      </c>
    </row>
    <row r="91" spans="1:12">
      <c r="I91" s="2" t="s">
        <v>18</v>
      </c>
    </row>
    <row r="92" spans="1:12">
      <c r="I92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N118"/>
  <sheetViews>
    <sheetView view="pageBreakPreview" topLeftCell="A76" zoomScaleNormal="100" zoomScaleSheetLayoutView="100" workbookViewId="0">
      <selection activeCell="F108" sqref="F108:I108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22.4257812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40">
        <v>45809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45812</v>
      </c>
      <c r="B9" s="20" t="s">
        <v>55</v>
      </c>
      <c r="C9" s="21" t="s">
        <v>21</v>
      </c>
      <c r="D9" s="21" t="s">
        <v>807</v>
      </c>
      <c r="E9" s="21" t="s">
        <v>624</v>
      </c>
      <c r="F9" s="36" t="s">
        <v>818</v>
      </c>
      <c r="G9" s="36" t="s">
        <v>23</v>
      </c>
      <c r="H9" s="36" t="s">
        <v>23</v>
      </c>
      <c r="I9" s="36" t="s">
        <v>23</v>
      </c>
      <c r="J9" s="21">
        <v>22</v>
      </c>
      <c r="K9" s="21" t="s">
        <v>774</v>
      </c>
      <c r="L9" s="20" t="s">
        <v>816</v>
      </c>
    </row>
    <row r="10" spans="1:12" ht="17.100000000000001" customHeight="1">
      <c r="A10" s="27">
        <v>45812</v>
      </c>
      <c r="B10" s="20" t="s">
        <v>55</v>
      </c>
      <c r="C10" s="21" t="s">
        <v>29</v>
      </c>
      <c r="D10" s="21" t="s">
        <v>807</v>
      </c>
      <c r="E10" s="21" t="s">
        <v>624</v>
      </c>
      <c r="F10" s="36" t="s">
        <v>818</v>
      </c>
      <c r="G10" s="36" t="s">
        <v>23</v>
      </c>
      <c r="H10" s="36" t="s">
        <v>23</v>
      </c>
      <c r="I10" s="36" t="s">
        <v>23</v>
      </c>
      <c r="J10" s="21">
        <v>50</v>
      </c>
      <c r="K10" s="21" t="s">
        <v>774</v>
      </c>
      <c r="L10" s="20" t="s">
        <v>816</v>
      </c>
    </row>
    <row r="11" spans="1:12" ht="17.100000000000001" customHeight="1">
      <c r="A11" s="27">
        <v>45812</v>
      </c>
      <c r="B11" s="20" t="s">
        <v>124</v>
      </c>
      <c r="C11" s="21" t="s">
        <v>21</v>
      </c>
      <c r="D11" s="21" t="s">
        <v>824</v>
      </c>
      <c r="E11" s="21" t="s">
        <v>23</v>
      </c>
      <c r="F11" s="21">
        <v>31325</v>
      </c>
      <c r="G11" s="21" t="s">
        <v>707</v>
      </c>
      <c r="H11" s="36" t="s">
        <v>23</v>
      </c>
      <c r="I11" s="36" t="s">
        <v>23</v>
      </c>
      <c r="J11" s="21">
        <v>36</v>
      </c>
      <c r="K11" s="21" t="s">
        <v>737</v>
      </c>
      <c r="L11" s="20" t="s">
        <v>817</v>
      </c>
    </row>
    <row r="12" spans="1:12" ht="17.100000000000001" customHeight="1">
      <c r="A12" s="27">
        <v>45812</v>
      </c>
      <c r="B12" s="20" t="s">
        <v>116</v>
      </c>
      <c r="C12" s="21" t="s">
        <v>21</v>
      </c>
      <c r="D12" s="21" t="s">
        <v>807</v>
      </c>
      <c r="E12" s="21" t="s">
        <v>624</v>
      </c>
      <c r="F12" s="36" t="s">
        <v>818</v>
      </c>
      <c r="G12" s="36" t="s">
        <v>23</v>
      </c>
      <c r="H12" s="36" t="s">
        <v>23</v>
      </c>
      <c r="I12" s="36" t="s">
        <v>23</v>
      </c>
      <c r="J12" s="21">
        <v>36</v>
      </c>
      <c r="K12" s="21" t="s">
        <v>819</v>
      </c>
      <c r="L12" s="20" t="s">
        <v>820</v>
      </c>
    </row>
    <row r="13" spans="1:12" ht="17.100000000000001" customHeight="1">
      <c r="A13" s="27">
        <v>45812</v>
      </c>
      <c r="B13" s="20" t="s">
        <v>116</v>
      </c>
      <c r="C13" s="21" t="s">
        <v>21</v>
      </c>
      <c r="D13" s="21" t="s">
        <v>807</v>
      </c>
      <c r="E13" s="21" t="s">
        <v>624</v>
      </c>
      <c r="F13" s="36" t="s">
        <v>818</v>
      </c>
      <c r="G13" s="36" t="s">
        <v>23</v>
      </c>
      <c r="H13" s="36" t="s">
        <v>23</v>
      </c>
      <c r="I13" s="36" t="s">
        <v>23</v>
      </c>
      <c r="J13" s="21">
        <v>72</v>
      </c>
      <c r="K13" s="21" t="s">
        <v>819</v>
      </c>
      <c r="L13" s="20" t="s">
        <v>821</v>
      </c>
    </row>
    <row r="14" spans="1:12" ht="17.100000000000001" customHeight="1">
      <c r="A14" s="27">
        <v>45812</v>
      </c>
      <c r="B14" s="20" t="s">
        <v>43</v>
      </c>
      <c r="C14" s="21" t="s">
        <v>21</v>
      </c>
      <c r="D14" s="21" t="s">
        <v>822</v>
      </c>
      <c r="E14" s="21" t="s">
        <v>624</v>
      </c>
      <c r="F14" s="36" t="s">
        <v>818</v>
      </c>
      <c r="G14" s="36" t="s">
        <v>23</v>
      </c>
      <c r="H14" s="36" t="s">
        <v>23</v>
      </c>
      <c r="I14" s="36" t="s">
        <v>23</v>
      </c>
      <c r="J14" s="21">
        <v>205</v>
      </c>
      <c r="K14" s="21" t="s">
        <v>819</v>
      </c>
      <c r="L14" s="20" t="s">
        <v>823</v>
      </c>
    </row>
    <row r="15" spans="1:12" ht="17.100000000000001" customHeight="1">
      <c r="A15" s="27">
        <v>45812</v>
      </c>
      <c r="B15" s="20" t="s">
        <v>124</v>
      </c>
      <c r="C15" s="21" t="s">
        <v>29</v>
      </c>
      <c r="D15" s="21" t="s">
        <v>825</v>
      </c>
      <c r="E15" s="21" t="s">
        <v>23</v>
      </c>
      <c r="F15" s="21">
        <v>31325</v>
      </c>
      <c r="G15" s="21" t="s">
        <v>707</v>
      </c>
      <c r="H15" s="36" t="s">
        <v>23</v>
      </c>
      <c r="I15" s="36" t="s">
        <v>23</v>
      </c>
      <c r="J15" s="21">
        <v>85</v>
      </c>
      <c r="K15" s="21" t="s">
        <v>737</v>
      </c>
      <c r="L15" s="44" t="s">
        <v>828</v>
      </c>
    </row>
    <row r="16" spans="1:12" ht="17.100000000000001" customHeight="1">
      <c r="A16" s="27">
        <v>45817</v>
      </c>
      <c r="B16" s="20" t="s">
        <v>124</v>
      </c>
      <c r="C16" s="21" t="s">
        <v>21</v>
      </c>
      <c r="D16" s="21" t="s">
        <v>827</v>
      </c>
      <c r="E16" s="21" t="s">
        <v>23</v>
      </c>
      <c r="F16" s="21"/>
      <c r="G16" s="21" t="s">
        <v>707</v>
      </c>
      <c r="H16" s="36" t="s">
        <v>23</v>
      </c>
      <c r="I16" s="36" t="s">
        <v>23</v>
      </c>
      <c r="J16" s="21">
        <v>216</v>
      </c>
      <c r="K16" s="21" t="s">
        <v>737</v>
      </c>
      <c r="L16" s="20" t="s">
        <v>826</v>
      </c>
    </row>
    <row r="17" spans="1:12" ht="17.100000000000001" customHeight="1">
      <c r="A17" s="27">
        <v>45817</v>
      </c>
      <c r="B17" s="20" t="s">
        <v>43</v>
      </c>
      <c r="C17" s="21" t="s">
        <v>21</v>
      </c>
      <c r="D17" s="21" t="s">
        <v>822</v>
      </c>
      <c r="E17" s="21" t="s">
        <v>624</v>
      </c>
      <c r="F17" s="36" t="s">
        <v>818</v>
      </c>
      <c r="G17" s="36" t="s">
        <v>23</v>
      </c>
      <c r="H17" s="36" t="s">
        <v>23</v>
      </c>
      <c r="I17" s="36" t="s">
        <v>23</v>
      </c>
      <c r="J17" s="21">
        <v>95</v>
      </c>
      <c r="K17" s="21" t="s">
        <v>737</v>
      </c>
      <c r="L17" s="20" t="s">
        <v>823</v>
      </c>
    </row>
    <row r="18" spans="1:12" ht="17.100000000000001" customHeight="1">
      <c r="A18" s="27">
        <v>45817</v>
      </c>
      <c r="B18" s="20" t="s">
        <v>829</v>
      </c>
      <c r="C18" s="21" t="s">
        <v>21</v>
      </c>
      <c r="D18" s="21" t="s">
        <v>830</v>
      </c>
      <c r="E18" s="21" t="s">
        <v>23</v>
      </c>
      <c r="F18" s="21" t="s">
        <v>831</v>
      </c>
      <c r="G18" s="21" t="s">
        <v>832</v>
      </c>
      <c r="H18" s="36" t="s">
        <v>23</v>
      </c>
      <c r="I18" s="36" t="s">
        <v>23</v>
      </c>
      <c r="J18" s="21">
        <v>215</v>
      </c>
      <c r="K18" s="21" t="s">
        <v>737</v>
      </c>
      <c r="L18" s="20" t="s">
        <v>833</v>
      </c>
    </row>
    <row r="19" spans="1:12" ht="17.100000000000001" customHeight="1">
      <c r="A19" s="27">
        <v>45817</v>
      </c>
      <c r="B19" s="20" t="s">
        <v>43</v>
      </c>
      <c r="C19" s="21" t="s">
        <v>21</v>
      </c>
      <c r="D19" s="21" t="s">
        <v>822</v>
      </c>
      <c r="E19" s="21" t="s">
        <v>624</v>
      </c>
      <c r="F19" s="21" t="s">
        <v>834</v>
      </c>
      <c r="G19" s="36" t="s">
        <v>23</v>
      </c>
      <c r="H19" s="36" t="s">
        <v>23</v>
      </c>
      <c r="I19" s="36" t="s">
        <v>23</v>
      </c>
      <c r="J19" s="21">
        <v>120</v>
      </c>
      <c r="K19" s="21" t="s">
        <v>761</v>
      </c>
      <c r="L19" s="20" t="s">
        <v>823</v>
      </c>
    </row>
    <row r="20" spans="1:12" ht="17.100000000000001" customHeight="1">
      <c r="A20" s="27">
        <v>45817</v>
      </c>
      <c r="B20" s="20" t="s">
        <v>43</v>
      </c>
      <c r="C20" s="21" t="s">
        <v>21</v>
      </c>
      <c r="D20" s="21" t="s">
        <v>835</v>
      </c>
      <c r="E20" s="21" t="s">
        <v>624</v>
      </c>
      <c r="F20" s="21" t="s">
        <v>838</v>
      </c>
      <c r="G20" s="36" t="s">
        <v>23</v>
      </c>
      <c r="H20" s="36" t="s">
        <v>23</v>
      </c>
      <c r="I20" s="36" t="s">
        <v>23</v>
      </c>
      <c r="J20" s="21">
        <f>110-42</f>
        <v>68</v>
      </c>
      <c r="K20" s="21" t="s">
        <v>790</v>
      </c>
      <c r="L20" s="20" t="s">
        <v>844</v>
      </c>
    </row>
    <row r="21" spans="1:12" ht="17.100000000000001" customHeight="1">
      <c r="A21" s="27">
        <v>45818</v>
      </c>
      <c r="B21" s="20" t="s">
        <v>116</v>
      </c>
      <c r="C21" s="21" t="s">
        <v>21</v>
      </c>
      <c r="D21" s="21" t="s">
        <v>839</v>
      </c>
      <c r="E21" s="21" t="s">
        <v>624</v>
      </c>
      <c r="F21" s="21" t="s">
        <v>840</v>
      </c>
      <c r="G21" s="36" t="s">
        <v>23</v>
      </c>
      <c r="H21" s="36" t="s">
        <v>23</v>
      </c>
      <c r="I21" s="36" t="s">
        <v>23</v>
      </c>
      <c r="J21" s="21">
        <v>52</v>
      </c>
      <c r="K21" s="21" t="s">
        <v>836</v>
      </c>
      <c r="L21" s="20" t="s">
        <v>841</v>
      </c>
    </row>
    <row r="22" spans="1:12" ht="17.100000000000001" customHeight="1">
      <c r="A22" s="27">
        <v>45818</v>
      </c>
      <c r="B22" s="20" t="s">
        <v>43</v>
      </c>
      <c r="C22" s="21" t="s">
        <v>21</v>
      </c>
      <c r="D22" s="21" t="s">
        <v>835</v>
      </c>
      <c r="E22" s="21" t="s">
        <v>624</v>
      </c>
      <c r="F22" s="21" t="s">
        <v>834</v>
      </c>
      <c r="G22" s="36" t="s">
        <v>23</v>
      </c>
      <c r="H22" s="36" t="s">
        <v>23</v>
      </c>
      <c r="I22" s="36" t="s">
        <v>23</v>
      </c>
      <c r="J22" s="21">
        <v>42</v>
      </c>
      <c r="K22" s="21" t="s">
        <v>836</v>
      </c>
      <c r="L22" s="20" t="s">
        <v>844</v>
      </c>
    </row>
    <row r="23" spans="1:12" ht="17.100000000000001" customHeight="1">
      <c r="A23" s="27">
        <v>45818</v>
      </c>
      <c r="B23" s="20" t="s">
        <v>43</v>
      </c>
      <c r="C23" s="21" t="s">
        <v>29</v>
      </c>
      <c r="D23" s="21" t="s">
        <v>837</v>
      </c>
      <c r="E23" s="21" t="s">
        <v>624</v>
      </c>
      <c r="F23" s="21" t="s">
        <v>838</v>
      </c>
      <c r="G23" s="36" t="s">
        <v>23</v>
      </c>
      <c r="H23" s="36" t="s">
        <v>23</v>
      </c>
      <c r="I23" s="36" t="s">
        <v>23</v>
      </c>
      <c r="J23" s="21">
        <v>240</v>
      </c>
      <c r="K23" s="21" t="s">
        <v>845</v>
      </c>
      <c r="L23" s="20" t="s">
        <v>844</v>
      </c>
    </row>
    <row r="24" spans="1:12" ht="17.100000000000001" customHeight="1">
      <c r="A24" s="27">
        <v>45818</v>
      </c>
      <c r="B24" s="20" t="s">
        <v>43</v>
      </c>
      <c r="C24" s="21" t="s">
        <v>33</v>
      </c>
      <c r="D24" s="21" t="s">
        <v>842</v>
      </c>
      <c r="E24" s="21" t="s">
        <v>624</v>
      </c>
      <c r="F24" s="21" t="s">
        <v>834</v>
      </c>
      <c r="G24" s="36" t="s">
        <v>23</v>
      </c>
      <c r="H24" s="36" t="s">
        <v>23</v>
      </c>
      <c r="I24" s="36" t="s">
        <v>23</v>
      </c>
      <c r="J24" s="21">
        <v>240</v>
      </c>
      <c r="K24" s="21" t="s">
        <v>845</v>
      </c>
      <c r="L24" s="20" t="s">
        <v>844</v>
      </c>
    </row>
    <row r="25" spans="1:12" ht="17.100000000000001" customHeight="1">
      <c r="A25" s="27">
        <v>45818</v>
      </c>
      <c r="B25" s="20" t="s">
        <v>43</v>
      </c>
      <c r="C25" s="21" t="s">
        <v>34</v>
      </c>
      <c r="D25" s="21" t="s">
        <v>839</v>
      </c>
      <c r="E25" s="21" t="s">
        <v>624</v>
      </c>
      <c r="F25" s="21" t="s">
        <v>843</v>
      </c>
      <c r="G25" s="36" t="s">
        <v>23</v>
      </c>
      <c r="H25" s="36" t="s">
        <v>23</v>
      </c>
      <c r="I25" s="36" t="s">
        <v>23</v>
      </c>
      <c r="J25" s="21">
        <v>188</v>
      </c>
      <c r="K25" s="21" t="s">
        <v>845</v>
      </c>
      <c r="L25" s="20" t="s">
        <v>844</v>
      </c>
    </row>
    <row r="26" spans="1:12" ht="17.100000000000001" customHeight="1">
      <c r="A26" s="27">
        <v>45818</v>
      </c>
      <c r="B26" s="20" t="s">
        <v>43</v>
      </c>
      <c r="C26" s="21" t="s">
        <v>139</v>
      </c>
      <c r="D26" s="21" t="s">
        <v>846</v>
      </c>
      <c r="E26" s="21" t="s">
        <v>624</v>
      </c>
      <c r="F26" s="21" t="s">
        <v>858</v>
      </c>
      <c r="G26" s="36" t="s">
        <v>23</v>
      </c>
      <c r="H26" s="36" t="s">
        <v>23</v>
      </c>
      <c r="I26" s="36" t="s">
        <v>23</v>
      </c>
      <c r="J26" s="21">
        <v>6</v>
      </c>
      <c r="K26" s="21" t="s">
        <v>845</v>
      </c>
      <c r="L26" s="20" t="s">
        <v>844</v>
      </c>
    </row>
    <row r="27" spans="1:12" ht="17.100000000000001" customHeight="1">
      <c r="A27" s="27">
        <v>45818</v>
      </c>
      <c r="B27" s="20" t="s">
        <v>43</v>
      </c>
      <c r="C27" s="21" t="s">
        <v>139</v>
      </c>
      <c r="D27" s="21" t="s">
        <v>847</v>
      </c>
      <c r="E27" s="21" t="s">
        <v>624</v>
      </c>
      <c r="F27" s="21" t="s">
        <v>854</v>
      </c>
      <c r="G27" s="36" t="s">
        <v>23</v>
      </c>
      <c r="H27" s="36" t="s">
        <v>23</v>
      </c>
      <c r="I27" s="36" t="s">
        <v>23</v>
      </c>
      <c r="J27" s="21">
        <v>234</v>
      </c>
      <c r="K27" s="21" t="s">
        <v>851</v>
      </c>
      <c r="L27" s="20" t="s">
        <v>852</v>
      </c>
    </row>
    <row r="28" spans="1:12" ht="17.100000000000001" customHeight="1">
      <c r="A28" s="27">
        <v>45818</v>
      </c>
      <c r="B28" s="20" t="s">
        <v>43</v>
      </c>
      <c r="C28" s="21" t="s">
        <v>142</v>
      </c>
      <c r="D28" s="21" t="s">
        <v>853</v>
      </c>
      <c r="E28" s="21" t="s">
        <v>624</v>
      </c>
      <c r="F28" s="21" t="s">
        <v>855</v>
      </c>
      <c r="G28" s="36" t="s">
        <v>23</v>
      </c>
      <c r="H28" s="36" t="s">
        <v>23</v>
      </c>
      <c r="I28" s="36" t="s">
        <v>23</v>
      </c>
      <c r="J28" s="21">
        <v>240</v>
      </c>
      <c r="K28" s="21" t="s">
        <v>849</v>
      </c>
      <c r="L28" s="20" t="s">
        <v>852</v>
      </c>
    </row>
    <row r="29" spans="1:12" ht="17.100000000000001" customHeight="1">
      <c r="A29" s="27">
        <v>45819</v>
      </c>
      <c r="B29" s="20" t="s">
        <v>116</v>
      </c>
      <c r="C29" s="21" t="s">
        <v>21</v>
      </c>
      <c r="D29" s="21" t="s">
        <v>847</v>
      </c>
      <c r="E29" s="21" t="s">
        <v>808</v>
      </c>
      <c r="F29" s="21" t="s">
        <v>848</v>
      </c>
      <c r="G29" s="36" t="s">
        <v>23</v>
      </c>
      <c r="H29" s="36" t="s">
        <v>23</v>
      </c>
      <c r="I29" s="36" t="s">
        <v>23</v>
      </c>
      <c r="J29" s="21">
        <v>20</v>
      </c>
      <c r="K29" s="21" t="s">
        <v>849</v>
      </c>
      <c r="L29" s="20" t="s">
        <v>850</v>
      </c>
    </row>
    <row r="30" spans="1:12" ht="17.100000000000001" customHeight="1">
      <c r="A30" s="27">
        <v>45819</v>
      </c>
      <c r="B30" s="20" t="s">
        <v>43</v>
      </c>
      <c r="C30" s="21" t="s">
        <v>21</v>
      </c>
      <c r="D30" s="21" t="s">
        <v>847</v>
      </c>
      <c r="E30" s="21" t="s">
        <v>624</v>
      </c>
      <c r="F30" s="21" t="s">
        <v>856</v>
      </c>
      <c r="G30" s="36" t="s">
        <v>23</v>
      </c>
      <c r="H30" s="36" t="s">
        <v>23</v>
      </c>
      <c r="I30" s="36" t="s">
        <v>23</v>
      </c>
      <c r="J30" s="21">
        <v>220</v>
      </c>
      <c r="K30" s="21" t="s">
        <v>849</v>
      </c>
      <c r="L30" s="20" t="s">
        <v>857</v>
      </c>
    </row>
    <row r="31" spans="1:12" ht="17.100000000000001" customHeight="1">
      <c r="A31" s="27">
        <v>45819</v>
      </c>
      <c r="B31" s="20" t="s">
        <v>43</v>
      </c>
      <c r="C31" s="21" t="s">
        <v>29</v>
      </c>
      <c r="D31" s="21" t="s">
        <v>859</v>
      </c>
      <c r="E31" s="21" t="s">
        <v>624</v>
      </c>
      <c r="F31" s="21" t="s">
        <v>856</v>
      </c>
      <c r="G31" s="36" t="s">
        <v>23</v>
      </c>
      <c r="H31" s="36" t="s">
        <v>23</v>
      </c>
      <c r="I31" s="36" t="s">
        <v>23</v>
      </c>
      <c r="J31" s="21">
        <v>240</v>
      </c>
      <c r="K31" s="21" t="s">
        <v>849</v>
      </c>
      <c r="L31" s="20" t="s">
        <v>857</v>
      </c>
    </row>
    <row r="32" spans="1:12" ht="17.100000000000001" customHeight="1">
      <c r="A32" s="27">
        <v>45819</v>
      </c>
      <c r="B32" s="20" t="s">
        <v>860</v>
      </c>
      <c r="C32" s="21" t="s">
        <v>21</v>
      </c>
      <c r="D32" s="36" t="s">
        <v>23</v>
      </c>
      <c r="E32" s="36" t="s">
        <v>23</v>
      </c>
      <c r="F32" s="36" t="s">
        <v>23</v>
      </c>
      <c r="G32" s="36" t="s">
        <v>23</v>
      </c>
      <c r="H32" s="36" t="s">
        <v>23</v>
      </c>
      <c r="I32" s="21" t="s">
        <v>861</v>
      </c>
      <c r="J32" s="21">
        <v>12</v>
      </c>
      <c r="K32" s="21" t="s">
        <v>862</v>
      </c>
      <c r="L32" s="20" t="s">
        <v>863</v>
      </c>
    </row>
    <row r="33" spans="1:12" ht="17.100000000000001" customHeight="1">
      <c r="A33" s="27">
        <v>45819</v>
      </c>
      <c r="B33" s="20" t="s">
        <v>860</v>
      </c>
      <c r="C33" s="21" t="s">
        <v>29</v>
      </c>
      <c r="D33" s="36" t="s">
        <v>23</v>
      </c>
      <c r="E33" s="36" t="s">
        <v>23</v>
      </c>
      <c r="F33" s="36" t="s">
        <v>23</v>
      </c>
      <c r="G33" s="36" t="s">
        <v>23</v>
      </c>
      <c r="H33" s="36" t="s">
        <v>23</v>
      </c>
      <c r="I33" s="21" t="s">
        <v>861</v>
      </c>
      <c r="J33" s="21">
        <v>40</v>
      </c>
      <c r="K33" s="21" t="s">
        <v>862</v>
      </c>
      <c r="L33" s="20" t="s">
        <v>863</v>
      </c>
    </row>
    <row r="34" spans="1:12" ht="17.100000000000001" customHeight="1">
      <c r="A34" s="27">
        <v>45819</v>
      </c>
      <c r="B34" s="20" t="s">
        <v>198</v>
      </c>
      <c r="C34" s="21" t="s">
        <v>21</v>
      </c>
      <c r="D34" s="36" t="s">
        <v>23</v>
      </c>
      <c r="E34" s="36" t="s">
        <v>23</v>
      </c>
      <c r="F34" s="36" t="s">
        <v>23</v>
      </c>
      <c r="G34" s="36" t="s">
        <v>23</v>
      </c>
      <c r="H34" s="36" t="s">
        <v>23</v>
      </c>
      <c r="I34" s="21" t="s">
        <v>864</v>
      </c>
      <c r="J34" s="21">
        <v>104</v>
      </c>
      <c r="K34" s="21" t="s">
        <v>862</v>
      </c>
      <c r="L34" s="20" t="s">
        <v>865</v>
      </c>
    </row>
    <row r="35" spans="1:12" ht="17.100000000000001" customHeight="1">
      <c r="A35" s="26">
        <v>45819</v>
      </c>
      <c r="B35" s="20" t="s">
        <v>43</v>
      </c>
      <c r="C35" s="21" t="s">
        <v>33</v>
      </c>
      <c r="D35" s="21" t="s">
        <v>866</v>
      </c>
      <c r="E35" s="21" t="s">
        <v>808</v>
      </c>
      <c r="F35" s="21" t="s">
        <v>867</v>
      </c>
      <c r="G35" s="36" t="s">
        <v>23</v>
      </c>
      <c r="H35" s="36" t="s">
        <v>23</v>
      </c>
      <c r="I35" s="21" t="s">
        <v>23</v>
      </c>
      <c r="J35" s="21">
        <v>240</v>
      </c>
      <c r="K35" s="21" t="s">
        <v>849</v>
      </c>
      <c r="L35" s="20" t="s">
        <v>868</v>
      </c>
    </row>
    <row r="36" spans="1:12" ht="17.100000000000001" customHeight="1">
      <c r="A36" s="27">
        <v>45819</v>
      </c>
      <c r="B36" s="20" t="s">
        <v>43</v>
      </c>
      <c r="C36" s="21" t="s">
        <v>34</v>
      </c>
      <c r="D36" s="21" t="s">
        <v>866</v>
      </c>
      <c r="E36" s="21" t="s">
        <v>808</v>
      </c>
      <c r="F36" s="21" t="s">
        <v>869</v>
      </c>
      <c r="G36" s="36" t="s">
        <v>23</v>
      </c>
      <c r="H36" s="36" t="s">
        <v>23</v>
      </c>
      <c r="I36" s="21" t="s">
        <v>23</v>
      </c>
      <c r="J36" s="21">
        <v>72</v>
      </c>
      <c r="K36" s="21" t="s">
        <v>849</v>
      </c>
      <c r="L36" s="20" t="s">
        <v>868</v>
      </c>
    </row>
    <row r="37" spans="1:12" ht="17.100000000000001" customHeight="1">
      <c r="A37" s="27">
        <v>45819</v>
      </c>
      <c r="B37" s="20" t="s">
        <v>43</v>
      </c>
      <c r="C37" s="21" t="s">
        <v>139</v>
      </c>
      <c r="D37" s="21" t="s">
        <v>866</v>
      </c>
      <c r="E37" s="21" t="s">
        <v>808</v>
      </c>
      <c r="F37" s="21" t="s">
        <v>869</v>
      </c>
      <c r="G37" s="36" t="s">
        <v>23</v>
      </c>
      <c r="H37" s="36" t="s">
        <v>23</v>
      </c>
      <c r="I37" s="21" t="s">
        <v>23</v>
      </c>
      <c r="J37" s="21">
        <v>82</v>
      </c>
      <c r="K37" s="21" t="s">
        <v>870</v>
      </c>
      <c r="L37" s="20" t="s">
        <v>871</v>
      </c>
    </row>
    <row r="38" spans="1:12" ht="17.100000000000001" customHeight="1">
      <c r="A38" s="27">
        <v>45821</v>
      </c>
      <c r="B38" s="20" t="s">
        <v>20</v>
      </c>
      <c r="C38" s="21" t="s">
        <v>21</v>
      </c>
      <c r="D38" s="21" t="s">
        <v>830</v>
      </c>
      <c r="E38" s="21" t="s">
        <v>23</v>
      </c>
      <c r="F38" s="21" t="s">
        <v>831</v>
      </c>
      <c r="G38" s="21" t="s">
        <v>832</v>
      </c>
      <c r="H38" s="36" t="s">
        <v>23</v>
      </c>
      <c r="I38" s="21" t="s">
        <v>23</v>
      </c>
      <c r="J38" s="21">
        <v>22</v>
      </c>
      <c r="K38" s="21" t="s">
        <v>737</v>
      </c>
      <c r="L38" s="20" t="s">
        <v>833</v>
      </c>
    </row>
    <row r="39" spans="1:12" ht="17.100000000000001" customHeight="1">
      <c r="A39" s="27">
        <v>45821</v>
      </c>
      <c r="B39" s="20" t="s">
        <v>20</v>
      </c>
      <c r="C39" s="21" t="s">
        <v>21</v>
      </c>
      <c r="D39" s="21" t="s">
        <v>830</v>
      </c>
      <c r="E39" s="21" t="s">
        <v>23</v>
      </c>
      <c r="F39" s="21" t="s">
        <v>831</v>
      </c>
      <c r="G39" s="21" t="s">
        <v>832</v>
      </c>
      <c r="H39" s="36" t="s">
        <v>23</v>
      </c>
      <c r="I39" s="21" t="s">
        <v>23</v>
      </c>
      <c r="J39" s="21">
        <v>49</v>
      </c>
      <c r="K39" s="21" t="s">
        <v>737</v>
      </c>
      <c r="L39" s="20" t="s">
        <v>872</v>
      </c>
    </row>
    <row r="40" spans="1:12" ht="17.100000000000001" customHeight="1">
      <c r="A40" s="27">
        <v>45821</v>
      </c>
      <c r="B40" s="20" t="s">
        <v>20</v>
      </c>
      <c r="C40" s="21" t="s">
        <v>29</v>
      </c>
      <c r="D40" s="21" t="s">
        <v>830</v>
      </c>
      <c r="E40" s="21" t="s">
        <v>23</v>
      </c>
      <c r="F40" s="21" t="s">
        <v>831</v>
      </c>
      <c r="G40" s="21" t="s">
        <v>832</v>
      </c>
      <c r="H40" s="36" t="s">
        <v>23</v>
      </c>
      <c r="I40" s="21" t="s">
        <v>23</v>
      </c>
      <c r="J40" s="21">
        <v>286</v>
      </c>
      <c r="K40" s="21" t="s">
        <v>737</v>
      </c>
      <c r="L40" s="20" t="s">
        <v>872</v>
      </c>
    </row>
    <row r="41" spans="1:12" ht="17.100000000000001" customHeight="1">
      <c r="A41" s="27">
        <v>45821</v>
      </c>
      <c r="B41" s="20" t="s">
        <v>873</v>
      </c>
      <c r="C41" s="21" t="s">
        <v>21</v>
      </c>
      <c r="D41" s="36" t="s">
        <v>23</v>
      </c>
      <c r="E41" s="36" t="s">
        <v>23</v>
      </c>
      <c r="F41" s="36" t="s">
        <v>23</v>
      </c>
      <c r="G41" s="36" t="s">
        <v>23</v>
      </c>
      <c r="H41" s="36" t="s">
        <v>23</v>
      </c>
      <c r="I41" s="21" t="s">
        <v>874</v>
      </c>
      <c r="J41" s="21">
        <v>45</v>
      </c>
      <c r="K41" s="21" t="s">
        <v>862</v>
      </c>
      <c r="L41" s="20" t="s">
        <v>875</v>
      </c>
    </row>
    <row r="42" spans="1:12" ht="17.100000000000001" customHeight="1">
      <c r="A42" s="27">
        <v>45821</v>
      </c>
      <c r="B42" s="20" t="s">
        <v>876</v>
      </c>
      <c r="C42" s="21" t="s">
        <v>21</v>
      </c>
      <c r="D42" s="36" t="s">
        <v>23</v>
      </c>
      <c r="E42" s="36" t="s">
        <v>23</v>
      </c>
      <c r="F42" s="36" t="s">
        <v>23</v>
      </c>
      <c r="G42" s="36" t="s">
        <v>23</v>
      </c>
      <c r="H42" s="36" t="s">
        <v>23</v>
      </c>
      <c r="I42" s="21" t="s">
        <v>877</v>
      </c>
      <c r="J42" s="21">
        <v>29</v>
      </c>
      <c r="K42" s="21" t="s">
        <v>862</v>
      </c>
      <c r="L42" s="20" t="s">
        <v>878</v>
      </c>
    </row>
    <row r="43" spans="1:12" ht="17.100000000000001" customHeight="1">
      <c r="A43" s="27">
        <v>45821</v>
      </c>
      <c r="B43" s="20" t="s">
        <v>20</v>
      </c>
      <c r="C43" s="21" t="s">
        <v>33</v>
      </c>
      <c r="D43" s="21" t="s">
        <v>879</v>
      </c>
      <c r="E43" s="21" t="s">
        <v>23</v>
      </c>
      <c r="F43" s="21" t="s">
        <v>831</v>
      </c>
      <c r="G43" s="21" t="s">
        <v>832</v>
      </c>
      <c r="H43" s="36" t="s">
        <v>23</v>
      </c>
      <c r="I43" s="21" t="s">
        <v>23</v>
      </c>
      <c r="J43" s="21">
        <v>85</v>
      </c>
      <c r="K43" s="21" t="s">
        <v>737</v>
      </c>
      <c r="L43" s="20" t="s">
        <v>872</v>
      </c>
    </row>
    <row r="44" spans="1:12" ht="17.100000000000001" customHeight="1">
      <c r="A44" s="27">
        <v>45821</v>
      </c>
      <c r="B44" s="20" t="s">
        <v>43</v>
      </c>
      <c r="C44" s="21" t="s">
        <v>21</v>
      </c>
      <c r="D44" s="21" t="s">
        <v>866</v>
      </c>
      <c r="E44" s="21" t="s">
        <v>808</v>
      </c>
      <c r="F44" s="21" t="s">
        <v>869</v>
      </c>
      <c r="G44" s="36" t="s">
        <v>23</v>
      </c>
      <c r="H44" s="36" t="s">
        <v>23</v>
      </c>
      <c r="I44" s="21" t="s">
        <v>23</v>
      </c>
      <c r="J44" s="21">
        <v>14</v>
      </c>
      <c r="K44" s="21" t="s">
        <v>737</v>
      </c>
      <c r="L44" s="20" t="s">
        <v>871</v>
      </c>
    </row>
    <row r="45" spans="1:12" ht="17.100000000000001" customHeight="1">
      <c r="A45" s="27">
        <v>45821</v>
      </c>
      <c r="B45" s="20" t="s">
        <v>43</v>
      </c>
      <c r="C45" s="21" t="s">
        <v>29</v>
      </c>
      <c r="D45" s="21" t="s">
        <v>881</v>
      </c>
      <c r="E45" s="21" t="s">
        <v>808</v>
      </c>
      <c r="F45" s="21" t="s">
        <v>869</v>
      </c>
      <c r="G45" s="36" t="s">
        <v>23</v>
      </c>
      <c r="H45" s="36" t="s">
        <v>23</v>
      </c>
      <c r="I45" s="21" t="s">
        <v>23</v>
      </c>
      <c r="J45" s="21">
        <v>82</v>
      </c>
      <c r="K45" s="21" t="s">
        <v>737</v>
      </c>
      <c r="L45" s="20" t="s">
        <v>871</v>
      </c>
    </row>
    <row r="46" spans="1:12" ht="17.100000000000001" customHeight="1">
      <c r="A46" s="27">
        <v>45821</v>
      </c>
      <c r="B46" s="20" t="s">
        <v>43</v>
      </c>
      <c r="C46" s="21" t="s">
        <v>29</v>
      </c>
      <c r="D46" s="21" t="s">
        <v>881</v>
      </c>
      <c r="E46" s="21" t="s">
        <v>808</v>
      </c>
      <c r="F46" s="21" t="s">
        <v>869</v>
      </c>
      <c r="G46" s="36" t="s">
        <v>23</v>
      </c>
      <c r="H46" s="36" t="s">
        <v>23</v>
      </c>
      <c r="I46" s="21" t="s">
        <v>23</v>
      </c>
      <c r="J46" s="21">
        <v>112</v>
      </c>
      <c r="K46" s="21" t="s">
        <v>880</v>
      </c>
      <c r="L46" s="20" t="s">
        <v>871</v>
      </c>
    </row>
    <row r="47" spans="1:12" ht="17.100000000000001" customHeight="1">
      <c r="A47" s="27">
        <v>45824</v>
      </c>
      <c r="B47" s="20" t="s">
        <v>20</v>
      </c>
      <c r="C47" s="21" t="s">
        <v>21</v>
      </c>
      <c r="D47" s="21" t="s">
        <v>882</v>
      </c>
      <c r="E47" s="21" t="s">
        <v>23</v>
      </c>
      <c r="F47" s="21" t="s">
        <v>831</v>
      </c>
      <c r="G47" s="21" t="s">
        <v>832</v>
      </c>
      <c r="H47" s="36" t="s">
        <v>23</v>
      </c>
      <c r="I47" s="21" t="s">
        <v>23</v>
      </c>
      <c r="J47" s="21">
        <v>150</v>
      </c>
      <c r="K47" s="21" t="s">
        <v>883</v>
      </c>
      <c r="L47" s="20" t="s">
        <v>884</v>
      </c>
    </row>
    <row r="48" spans="1:12" ht="17.100000000000001" customHeight="1">
      <c r="A48" s="22" t="s">
        <v>885</v>
      </c>
      <c r="B48" s="20" t="s">
        <v>20</v>
      </c>
      <c r="C48" s="21" t="s">
        <v>21</v>
      </c>
      <c r="D48" s="21" t="s">
        <v>882</v>
      </c>
      <c r="E48" s="21" t="s">
        <v>23</v>
      </c>
      <c r="F48" s="21" t="s">
        <v>831</v>
      </c>
      <c r="G48" s="21" t="s">
        <v>832</v>
      </c>
      <c r="H48" s="36" t="s">
        <v>23</v>
      </c>
      <c r="I48" s="21" t="s">
        <v>23</v>
      </c>
      <c r="J48" s="21">
        <v>136</v>
      </c>
      <c r="K48" s="21" t="s">
        <v>883</v>
      </c>
      <c r="L48" s="20" t="s">
        <v>884</v>
      </c>
    </row>
    <row r="49" spans="1:12" ht="17.100000000000001" customHeight="1">
      <c r="A49" s="22" t="s">
        <v>885</v>
      </c>
      <c r="B49" s="20" t="s">
        <v>20</v>
      </c>
      <c r="C49" s="21" t="s">
        <v>29</v>
      </c>
      <c r="D49" s="21" t="s">
        <v>886</v>
      </c>
      <c r="E49" s="21" t="s">
        <v>23</v>
      </c>
      <c r="F49" s="21" t="s">
        <v>831</v>
      </c>
      <c r="G49" s="21" t="s">
        <v>832</v>
      </c>
      <c r="H49" s="36" t="s">
        <v>23</v>
      </c>
      <c r="I49" s="21" t="s">
        <v>23</v>
      </c>
      <c r="J49" s="21">
        <v>286</v>
      </c>
      <c r="K49" s="21" t="s">
        <v>883</v>
      </c>
      <c r="L49" s="20" t="s">
        <v>884</v>
      </c>
    </row>
    <row r="50" spans="1:12" ht="17.100000000000001" customHeight="1">
      <c r="A50" s="22" t="s">
        <v>885</v>
      </c>
      <c r="B50" s="20" t="s">
        <v>20</v>
      </c>
      <c r="C50" s="21" t="s">
        <v>33</v>
      </c>
      <c r="D50" s="21" t="s">
        <v>887</v>
      </c>
      <c r="E50" s="21" t="s">
        <v>23</v>
      </c>
      <c r="F50" s="21" t="s">
        <v>831</v>
      </c>
      <c r="G50" s="21" t="s">
        <v>832</v>
      </c>
      <c r="H50" s="36" t="s">
        <v>23</v>
      </c>
      <c r="I50" s="21" t="s">
        <v>23</v>
      </c>
      <c r="J50" s="21">
        <v>264</v>
      </c>
      <c r="K50" s="21" t="s">
        <v>883</v>
      </c>
      <c r="L50" s="20" t="s">
        <v>884</v>
      </c>
    </row>
    <row r="51" spans="1:12" ht="17.100000000000001" customHeight="1">
      <c r="A51" s="27">
        <v>45826</v>
      </c>
      <c r="B51" s="20" t="s">
        <v>116</v>
      </c>
      <c r="C51" s="21" t="s">
        <v>21</v>
      </c>
      <c r="D51" s="21" t="s">
        <v>888</v>
      </c>
      <c r="E51" s="21" t="s">
        <v>808</v>
      </c>
      <c r="F51" s="21" t="s">
        <v>848</v>
      </c>
      <c r="G51" s="21" t="s">
        <v>23</v>
      </c>
      <c r="H51" s="21" t="s">
        <v>23</v>
      </c>
      <c r="I51" s="21" t="s">
        <v>23</v>
      </c>
      <c r="J51" s="21">
        <v>68</v>
      </c>
      <c r="K51" s="21" t="s">
        <v>890</v>
      </c>
      <c r="L51" s="20" t="s">
        <v>891</v>
      </c>
    </row>
    <row r="52" spans="1:12" ht="17.100000000000001" customHeight="1">
      <c r="A52" s="27">
        <v>45826</v>
      </c>
      <c r="B52" s="20" t="s">
        <v>116</v>
      </c>
      <c r="C52" s="21" t="s">
        <v>29</v>
      </c>
      <c r="D52" s="21" t="s">
        <v>889</v>
      </c>
      <c r="E52" s="21" t="s">
        <v>808</v>
      </c>
      <c r="F52" s="21" t="s">
        <v>848</v>
      </c>
      <c r="G52" s="21" t="s">
        <v>23</v>
      </c>
      <c r="H52" s="21" t="s">
        <v>23</v>
      </c>
      <c r="I52" s="21" t="s">
        <v>23</v>
      </c>
      <c r="J52" s="21">
        <v>112</v>
      </c>
      <c r="K52" s="21" t="s">
        <v>890</v>
      </c>
      <c r="L52" s="20" t="s">
        <v>891</v>
      </c>
    </row>
    <row r="53" spans="1:12" ht="17.100000000000001" customHeight="1">
      <c r="A53" s="27">
        <v>45826</v>
      </c>
      <c r="B53" s="20" t="s">
        <v>116</v>
      </c>
      <c r="C53" s="21" t="s">
        <v>21</v>
      </c>
      <c r="D53" s="21" t="s">
        <v>889</v>
      </c>
      <c r="E53" s="21" t="s">
        <v>808</v>
      </c>
      <c r="F53" s="21" t="s">
        <v>894</v>
      </c>
      <c r="G53" s="21" t="s">
        <v>23</v>
      </c>
      <c r="H53" s="21" t="s">
        <v>23</v>
      </c>
      <c r="I53" s="21" t="s">
        <v>23</v>
      </c>
      <c r="J53" s="21">
        <v>50</v>
      </c>
      <c r="K53" s="21" t="s">
        <v>892</v>
      </c>
      <c r="L53" s="20" t="s">
        <v>893</v>
      </c>
    </row>
    <row r="54" spans="1:12" ht="17.100000000000001" customHeight="1">
      <c r="A54" s="27">
        <v>45826</v>
      </c>
      <c r="B54" s="20" t="s">
        <v>20</v>
      </c>
      <c r="C54" s="21" t="s">
        <v>21</v>
      </c>
      <c r="D54" s="21" t="s">
        <v>887</v>
      </c>
      <c r="E54" s="21" t="s">
        <v>23</v>
      </c>
      <c r="F54" s="21" t="s">
        <v>831</v>
      </c>
      <c r="G54" s="21" t="s">
        <v>832</v>
      </c>
      <c r="H54" s="21" t="s">
        <v>23</v>
      </c>
      <c r="I54" s="21" t="s">
        <v>23</v>
      </c>
      <c r="J54" s="21">
        <v>22</v>
      </c>
      <c r="K54" s="21" t="s">
        <v>895</v>
      </c>
      <c r="L54" s="20" t="s">
        <v>884</v>
      </c>
    </row>
    <row r="55" spans="1:12" ht="17.100000000000001" customHeight="1">
      <c r="A55" s="27">
        <v>45826</v>
      </c>
      <c r="B55" s="20" t="s">
        <v>20</v>
      </c>
      <c r="C55" s="21" t="s">
        <v>29</v>
      </c>
      <c r="D55" s="21" t="s">
        <v>896</v>
      </c>
      <c r="E55" s="21" t="s">
        <v>23</v>
      </c>
      <c r="F55" s="21" t="s">
        <v>831</v>
      </c>
      <c r="G55" s="21" t="s">
        <v>832</v>
      </c>
      <c r="H55" s="21" t="s">
        <v>23</v>
      </c>
      <c r="I55" s="21" t="s">
        <v>23</v>
      </c>
      <c r="J55" s="21">
        <v>286</v>
      </c>
      <c r="K55" s="21" t="s">
        <v>895</v>
      </c>
      <c r="L55" s="20" t="s">
        <v>884</v>
      </c>
    </row>
    <row r="56" spans="1:12" ht="17.100000000000001" customHeight="1">
      <c r="A56" s="27">
        <v>45826</v>
      </c>
      <c r="B56" s="20" t="s">
        <v>20</v>
      </c>
      <c r="C56" s="21" t="s">
        <v>33</v>
      </c>
      <c r="D56" s="21" t="s">
        <v>825</v>
      </c>
      <c r="E56" s="21" t="s">
        <v>23</v>
      </c>
      <c r="F56" s="21" t="s">
        <v>831</v>
      </c>
      <c r="G56" s="21" t="s">
        <v>832</v>
      </c>
      <c r="H56" s="21" t="s">
        <v>23</v>
      </c>
      <c r="I56" s="21" t="s">
        <v>23</v>
      </c>
      <c r="J56" s="21">
        <v>130</v>
      </c>
      <c r="K56" s="21" t="s">
        <v>895</v>
      </c>
      <c r="L56" s="20" t="s">
        <v>884</v>
      </c>
    </row>
    <row r="57" spans="1:12" ht="17.100000000000001" customHeight="1">
      <c r="A57" s="27">
        <v>45826</v>
      </c>
      <c r="B57" s="20" t="s">
        <v>20</v>
      </c>
      <c r="C57" s="21" t="s">
        <v>34</v>
      </c>
      <c r="D57" s="21" t="s">
        <v>897</v>
      </c>
      <c r="E57" s="21" t="s">
        <v>23</v>
      </c>
      <c r="F57" s="21" t="s">
        <v>831</v>
      </c>
      <c r="G57" s="21" t="s">
        <v>832</v>
      </c>
      <c r="H57" s="21" t="s">
        <v>23</v>
      </c>
      <c r="I57" s="21" t="s">
        <v>23</v>
      </c>
      <c r="J57" s="21">
        <v>190</v>
      </c>
      <c r="K57" s="21" t="s">
        <v>895</v>
      </c>
      <c r="L57" s="20" t="s">
        <v>884</v>
      </c>
    </row>
    <row r="58" spans="1:12" ht="17.100000000000001" customHeight="1">
      <c r="A58" s="27">
        <v>45826</v>
      </c>
      <c r="B58" s="20" t="s">
        <v>20</v>
      </c>
      <c r="C58" s="21" t="s">
        <v>34</v>
      </c>
      <c r="D58" s="21" t="s">
        <v>897</v>
      </c>
      <c r="E58" s="21" t="s">
        <v>23</v>
      </c>
      <c r="F58" s="21" t="s">
        <v>831</v>
      </c>
      <c r="G58" s="21" t="s">
        <v>832</v>
      </c>
      <c r="H58" s="21" t="s">
        <v>23</v>
      </c>
      <c r="I58" s="21" t="s">
        <v>23</v>
      </c>
      <c r="J58" s="21">
        <v>96</v>
      </c>
      <c r="K58" s="21" t="s">
        <v>895</v>
      </c>
      <c r="L58" s="20" t="s">
        <v>898</v>
      </c>
    </row>
    <row r="59" spans="1:12" ht="17.100000000000001" customHeight="1">
      <c r="A59" s="27">
        <v>45827</v>
      </c>
      <c r="B59" s="20" t="s">
        <v>527</v>
      </c>
      <c r="C59" s="21" t="s">
        <v>21</v>
      </c>
      <c r="D59" s="36" t="s">
        <v>23</v>
      </c>
      <c r="E59" s="36" t="s">
        <v>23</v>
      </c>
      <c r="F59" s="36" t="s">
        <v>23</v>
      </c>
      <c r="G59" s="36" t="s">
        <v>23</v>
      </c>
      <c r="H59" s="36" t="s">
        <v>23</v>
      </c>
      <c r="I59" s="21" t="s">
        <v>899</v>
      </c>
      <c r="J59" s="21">
        <v>86</v>
      </c>
      <c r="K59" s="21" t="s">
        <v>862</v>
      </c>
      <c r="L59" s="20" t="s">
        <v>901</v>
      </c>
    </row>
    <row r="60" spans="1:12" ht="17.100000000000001" customHeight="1">
      <c r="A60" s="27">
        <v>45827</v>
      </c>
      <c r="B60" s="20" t="s">
        <v>527</v>
      </c>
      <c r="C60" s="21" t="s">
        <v>29</v>
      </c>
      <c r="D60" s="36" t="s">
        <v>23</v>
      </c>
      <c r="E60" s="36" t="s">
        <v>23</v>
      </c>
      <c r="F60" s="36" t="s">
        <v>23</v>
      </c>
      <c r="G60" s="36" t="s">
        <v>23</v>
      </c>
      <c r="H60" s="36" t="s">
        <v>23</v>
      </c>
      <c r="I60" s="21" t="s">
        <v>900</v>
      </c>
      <c r="J60" s="21">
        <v>9</v>
      </c>
      <c r="K60" s="21" t="s">
        <v>862</v>
      </c>
      <c r="L60" s="20" t="s">
        <v>901</v>
      </c>
    </row>
    <row r="61" spans="1:12" ht="17.100000000000001" customHeight="1">
      <c r="A61" s="27">
        <v>45827</v>
      </c>
      <c r="B61" s="20" t="s">
        <v>527</v>
      </c>
      <c r="C61" s="21" t="s">
        <v>33</v>
      </c>
      <c r="D61" s="36" t="s">
        <v>23</v>
      </c>
      <c r="E61" s="36" t="s">
        <v>23</v>
      </c>
      <c r="F61" s="36" t="s">
        <v>23</v>
      </c>
      <c r="G61" s="36" t="s">
        <v>23</v>
      </c>
      <c r="H61" s="36" t="s">
        <v>23</v>
      </c>
      <c r="I61" s="21" t="s">
        <v>766</v>
      </c>
      <c r="J61" s="21">
        <v>9</v>
      </c>
      <c r="K61" s="21" t="s">
        <v>862</v>
      </c>
      <c r="L61" s="20" t="s">
        <v>901</v>
      </c>
    </row>
    <row r="62" spans="1:12" ht="17.100000000000001" customHeight="1">
      <c r="A62" s="27">
        <v>45827</v>
      </c>
      <c r="B62" s="20" t="s">
        <v>20</v>
      </c>
      <c r="C62" s="21" t="s">
        <v>21</v>
      </c>
      <c r="D62" s="21" t="s">
        <v>902</v>
      </c>
      <c r="E62" s="21" t="s">
        <v>23</v>
      </c>
      <c r="F62" s="21" t="s">
        <v>780</v>
      </c>
      <c r="G62" s="21" t="s">
        <v>707</v>
      </c>
      <c r="H62" s="21" t="s">
        <v>23</v>
      </c>
      <c r="I62" s="21" t="s">
        <v>23</v>
      </c>
      <c r="J62" s="21">
        <v>286</v>
      </c>
      <c r="K62" s="21" t="s">
        <v>895</v>
      </c>
      <c r="L62" s="20" t="s">
        <v>898</v>
      </c>
    </row>
    <row r="63" spans="1:12" ht="17.100000000000001" customHeight="1">
      <c r="A63" s="27">
        <v>45827</v>
      </c>
      <c r="B63" s="20" t="s">
        <v>20</v>
      </c>
      <c r="C63" s="21" t="s">
        <v>29</v>
      </c>
      <c r="D63" s="21" t="s">
        <v>903</v>
      </c>
      <c r="E63" s="21" t="s">
        <v>23</v>
      </c>
      <c r="F63" s="21" t="s">
        <v>780</v>
      </c>
      <c r="G63" s="21" t="s">
        <v>707</v>
      </c>
      <c r="H63" s="21" t="s">
        <v>23</v>
      </c>
      <c r="I63" s="21" t="s">
        <v>23</v>
      </c>
      <c r="J63" s="21">
        <v>190</v>
      </c>
      <c r="K63" s="21" t="s">
        <v>895</v>
      </c>
      <c r="L63" s="20" t="s">
        <v>898</v>
      </c>
    </row>
    <row r="64" spans="1:12" ht="17.100000000000001" customHeight="1">
      <c r="A64" s="27">
        <v>45827</v>
      </c>
      <c r="B64" s="20" t="s">
        <v>20</v>
      </c>
      <c r="C64" s="21" t="s">
        <v>29</v>
      </c>
      <c r="D64" s="21" t="s">
        <v>903</v>
      </c>
      <c r="E64" s="21" t="s">
        <v>23</v>
      </c>
      <c r="F64" s="21" t="s">
        <v>780</v>
      </c>
      <c r="G64" s="21" t="s">
        <v>707</v>
      </c>
      <c r="H64" s="21" t="s">
        <v>23</v>
      </c>
      <c r="I64" s="21" t="s">
        <v>23</v>
      </c>
      <c r="J64" s="21">
        <v>96</v>
      </c>
      <c r="K64" s="21" t="s">
        <v>895</v>
      </c>
      <c r="L64" s="20" t="s">
        <v>904</v>
      </c>
    </row>
    <row r="65" spans="1:12" ht="17.100000000000001" customHeight="1">
      <c r="A65" s="27">
        <v>45827</v>
      </c>
      <c r="B65" s="20" t="s">
        <v>20</v>
      </c>
      <c r="C65" s="21" t="s">
        <v>33</v>
      </c>
      <c r="D65" s="21" t="s">
        <v>824</v>
      </c>
      <c r="E65" s="21" t="s">
        <v>23</v>
      </c>
      <c r="F65" s="21" t="s">
        <v>780</v>
      </c>
      <c r="G65" s="21" t="s">
        <v>707</v>
      </c>
      <c r="H65" s="21" t="s">
        <v>23</v>
      </c>
      <c r="I65" s="21" t="s">
        <v>23</v>
      </c>
      <c r="J65" s="21">
        <v>118</v>
      </c>
      <c r="K65" s="21" t="s">
        <v>895</v>
      </c>
      <c r="L65" s="20" t="s">
        <v>904</v>
      </c>
    </row>
    <row r="66" spans="1:12" ht="17.100000000000001" customHeight="1">
      <c r="A66" s="27">
        <v>45827</v>
      </c>
      <c r="B66" s="20" t="s">
        <v>20</v>
      </c>
      <c r="C66" s="21" t="s">
        <v>34</v>
      </c>
      <c r="D66" s="21" t="s">
        <v>905</v>
      </c>
      <c r="E66" s="21" t="s">
        <v>23</v>
      </c>
      <c r="F66" s="21" t="s">
        <v>780</v>
      </c>
      <c r="G66" s="21" t="s">
        <v>707</v>
      </c>
      <c r="H66" s="21" t="s">
        <v>23</v>
      </c>
      <c r="I66" s="21" t="s">
        <v>23</v>
      </c>
      <c r="J66" s="21">
        <v>110</v>
      </c>
      <c r="K66" s="21" t="s">
        <v>895</v>
      </c>
      <c r="L66" s="20" t="s">
        <v>904</v>
      </c>
    </row>
    <row r="67" spans="1:12" ht="17.100000000000001" customHeight="1">
      <c r="A67" s="27">
        <v>45828</v>
      </c>
      <c r="B67" s="20" t="s">
        <v>20</v>
      </c>
      <c r="C67" s="21" t="s">
        <v>21</v>
      </c>
      <c r="D67" s="21" t="s">
        <v>905</v>
      </c>
      <c r="E67" s="21" t="s">
        <v>23</v>
      </c>
      <c r="F67" s="21" t="s">
        <v>780</v>
      </c>
      <c r="G67" s="21" t="s">
        <v>707</v>
      </c>
      <c r="H67" s="21" t="s">
        <v>23</v>
      </c>
      <c r="I67" s="21" t="s">
        <v>23</v>
      </c>
      <c r="J67" s="21">
        <v>80</v>
      </c>
      <c r="K67" s="21" t="s">
        <v>895</v>
      </c>
      <c r="L67" s="20" t="s">
        <v>904</v>
      </c>
    </row>
    <row r="68" spans="1:12" ht="17.100000000000001" customHeight="1">
      <c r="A68" s="27">
        <v>45828</v>
      </c>
      <c r="B68" s="20" t="s">
        <v>20</v>
      </c>
      <c r="C68" s="21" t="s">
        <v>21</v>
      </c>
      <c r="D68" s="21" t="s">
        <v>905</v>
      </c>
      <c r="E68" s="21" t="s">
        <v>23</v>
      </c>
      <c r="F68" s="21" t="s">
        <v>780</v>
      </c>
      <c r="G68" s="21" t="s">
        <v>707</v>
      </c>
      <c r="H68" s="21" t="s">
        <v>23</v>
      </c>
      <c r="I68" s="21" t="s">
        <v>23</v>
      </c>
      <c r="J68" s="21">
        <v>96</v>
      </c>
      <c r="K68" s="21" t="s">
        <v>895</v>
      </c>
      <c r="L68" s="20" t="s">
        <v>909</v>
      </c>
    </row>
    <row r="69" spans="1:12" ht="17.100000000000001" customHeight="1">
      <c r="A69" s="27">
        <v>45828</v>
      </c>
      <c r="B69" s="20" t="s">
        <v>20</v>
      </c>
      <c r="C69" s="21" t="s">
        <v>29</v>
      </c>
      <c r="D69" s="21" t="s">
        <v>906</v>
      </c>
      <c r="E69" s="21" t="s">
        <v>23</v>
      </c>
      <c r="F69" s="21" t="s">
        <v>780</v>
      </c>
      <c r="G69" s="21" t="s">
        <v>707</v>
      </c>
      <c r="H69" s="21" t="s">
        <v>23</v>
      </c>
      <c r="I69" s="21" t="s">
        <v>23</v>
      </c>
      <c r="J69" s="21">
        <v>59</v>
      </c>
      <c r="K69" s="21" t="s">
        <v>895</v>
      </c>
      <c r="L69" s="20" t="s">
        <v>909</v>
      </c>
    </row>
    <row r="70" spans="1:12" ht="17.100000000000001" customHeight="1">
      <c r="A70" s="27">
        <v>45828</v>
      </c>
      <c r="B70" s="20" t="s">
        <v>20</v>
      </c>
      <c r="C70" s="21" t="s">
        <v>33</v>
      </c>
      <c r="D70" s="21" t="s">
        <v>907</v>
      </c>
      <c r="E70" s="21" t="s">
        <v>23</v>
      </c>
      <c r="F70" s="21" t="s">
        <v>780</v>
      </c>
      <c r="G70" s="21" t="s">
        <v>707</v>
      </c>
      <c r="H70" s="21" t="s">
        <v>23</v>
      </c>
      <c r="I70" s="21" t="s">
        <v>23</v>
      </c>
      <c r="J70" s="21">
        <v>150</v>
      </c>
      <c r="K70" s="21" t="s">
        <v>895</v>
      </c>
      <c r="L70" s="20" t="s">
        <v>909</v>
      </c>
    </row>
    <row r="71" spans="1:12" ht="17.100000000000001" customHeight="1">
      <c r="A71" s="27">
        <v>45828</v>
      </c>
      <c r="B71" s="20" t="s">
        <v>20</v>
      </c>
      <c r="C71" s="21" t="s">
        <v>33</v>
      </c>
      <c r="D71" s="21" t="s">
        <v>907</v>
      </c>
      <c r="E71" s="21" t="s">
        <v>23</v>
      </c>
      <c r="F71" s="21" t="s">
        <v>780</v>
      </c>
      <c r="G71" s="21" t="s">
        <v>707</v>
      </c>
      <c r="H71" s="21" t="s">
        <v>23</v>
      </c>
      <c r="I71" s="21" t="s">
        <v>23</v>
      </c>
      <c r="J71" s="21">
        <v>111</v>
      </c>
      <c r="K71" s="21" t="s">
        <v>895</v>
      </c>
      <c r="L71" s="20" t="s">
        <v>909</v>
      </c>
    </row>
    <row r="72" spans="1:12" ht="17.100000000000001" customHeight="1">
      <c r="A72" s="27">
        <v>45828</v>
      </c>
      <c r="B72" s="20" t="s">
        <v>20</v>
      </c>
      <c r="C72" s="21" t="s">
        <v>33</v>
      </c>
      <c r="D72" s="21" t="s">
        <v>907</v>
      </c>
      <c r="E72" s="21" t="s">
        <v>23</v>
      </c>
      <c r="F72" s="21" t="s">
        <v>780</v>
      </c>
      <c r="G72" s="21" t="s">
        <v>707</v>
      </c>
      <c r="H72" s="21" t="s">
        <v>23</v>
      </c>
      <c r="I72" s="21" t="s">
        <v>23</v>
      </c>
      <c r="J72" s="21">
        <v>25</v>
      </c>
      <c r="K72" s="21" t="s">
        <v>895</v>
      </c>
      <c r="L72" s="20" t="s">
        <v>910</v>
      </c>
    </row>
    <row r="73" spans="1:12" ht="17.100000000000001" customHeight="1">
      <c r="A73" s="27">
        <v>45828</v>
      </c>
      <c r="B73" s="20" t="s">
        <v>20</v>
      </c>
      <c r="C73" s="21" t="s">
        <v>34</v>
      </c>
      <c r="D73" s="21" t="s">
        <v>908</v>
      </c>
      <c r="E73" s="21" t="s">
        <v>23</v>
      </c>
      <c r="F73" s="21" t="s">
        <v>780</v>
      </c>
      <c r="G73" s="21" t="s">
        <v>707</v>
      </c>
      <c r="H73" s="21" t="s">
        <v>23</v>
      </c>
      <c r="I73" s="21" t="s">
        <v>23</v>
      </c>
      <c r="J73" s="21">
        <v>83</v>
      </c>
      <c r="K73" s="21" t="s">
        <v>895</v>
      </c>
      <c r="L73" s="20" t="s">
        <v>910</v>
      </c>
    </row>
    <row r="74" spans="1:12" ht="17.100000000000001" customHeight="1">
      <c r="A74" s="27">
        <v>45828</v>
      </c>
      <c r="B74" s="20" t="s">
        <v>20</v>
      </c>
      <c r="C74" s="21" t="s">
        <v>34</v>
      </c>
      <c r="D74" s="21" t="s">
        <v>908</v>
      </c>
      <c r="E74" s="21" t="s">
        <v>23</v>
      </c>
      <c r="F74" s="21" t="s">
        <v>780</v>
      </c>
      <c r="G74" s="21" t="s">
        <v>707</v>
      </c>
      <c r="H74" s="21" t="s">
        <v>23</v>
      </c>
      <c r="I74" s="21" t="s">
        <v>23</v>
      </c>
      <c r="J74" s="21">
        <v>52</v>
      </c>
      <c r="K74" s="21" t="s">
        <v>895</v>
      </c>
      <c r="L74" s="20" t="s">
        <v>911</v>
      </c>
    </row>
    <row r="75" spans="1:12" ht="17.100000000000001" customHeight="1">
      <c r="A75" s="27">
        <v>45828</v>
      </c>
      <c r="B75" s="20" t="s">
        <v>124</v>
      </c>
      <c r="C75" s="21" t="s">
        <v>21</v>
      </c>
      <c r="D75" s="21" t="s">
        <v>906</v>
      </c>
      <c r="E75" s="21" t="s">
        <v>23</v>
      </c>
      <c r="F75" s="21">
        <v>21325</v>
      </c>
      <c r="G75" s="21" t="s">
        <v>832</v>
      </c>
      <c r="H75" s="21" t="s">
        <v>23</v>
      </c>
      <c r="I75" s="21" t="s">
        <v>23</v>
      </c>
      <c r="J75" s="21">
        <v>36</v>
      </c>
      <c r="K75" s="21" t="s">
        <v>895</v>
      </c>
      <c r="L75" s="20" t="s">
        <v>912</v>
      </c>
    </row>
    <row r="76" spans="1:12" ht="17.100000000000001" customHeight="1">
      <c r="A76" s="27">
        <v>45828</v>
      </c>
      <c r="B76" s="20" t="s">
        <v>116</v>
      </c>
      <c r="C76" s="21" t="s">
        <v>21</v>
      </c>
      <c r="D76" s="21" t="s">
        <v>913</v>
      </c>
      <c r="E76" s="21" t="s">
        <v>808</v>
      </c>
      <c r="F76" s="21" t="s">
        <v>914</v>
      </c>
      <c r="G76" s="21" t="s">
        <v>23</v>
      </c>
      <c r="H76" s="21" t="s">
        <v>23</v>
      </c>
      <c r="I76" s="21" t="s">
        <v>23</v>
      </c>
      <c r="J76" s="21">
        <v>5</v>
      </c>
      <c r="K76" s="21" t="s">
        <v>915</v>
      </c>
      <c r="L76" s="20" t="s">
        <v>916</v>
      </c>
    </row>
    <row r="77" spans="1:12" ht="17.100000000000001" customHeight="1">
      <c r="A77" s="27">
        <v>45828</v>
      </c>
      <c r="B77" s="20" t="s">
        <v>116</v>
      </c>
      <c r="C77" s="21" t="s">
        <v>21</v>
      </c>
      <c r="D77" s="21" t="s">
        <v>913</v>
      </c>
      <c r="E77" s="21" t="s">
        <v>808</v>
      </c>
      <c r="F77" s="21" t="s">
        <v>914</v>
      </c>
      <c r="G77" s="21" t="s">
        <v>23</v>
      </c>
      <c r="H77" s="21" t="s">
        <v>23</v>
      </c>
      <c r="I77" s="21" t="s">
        <v>23</v>
      </c>
      <c r="J77" s="21">
        <v>108</v>
      </c>
      <c r="K77" s="21" t="s">
        <v>915</v>
      </c>
      <c r="L77" s="20" t="s">
        <v>917</v>
      </c>
    </row>
    <row r="78" spans="1:12" ht="17.100000000000001" customHeight="1">
      <c r="A78" s="27">
        <v>45831</v>
      </c>
      <c r="B78" s="20" t="s">
        <v>43</v>
      </c>
      <c r="C78" s="21" t="s">
        <v>21</v>
      </c>
      <c r="D78" s="21" t="s">
        <v>923</v>
      </c>
      <c r="E78" s="21" t="s">
        <v>918</v>
      </c>
      <c r="F78" s="21" t="s">
        <v>919</v>
      </c>
      <c r="G78" s="21" t="s">
        <v>23</v>
      </c>
      <c r="H78" s="21" t="s">
        <v>23</v>
      </c>
      <c r="I78" s="21" t="s">
        <v>23</v>
      </c>
      <c r="J78" s="21">
        <v>4</v>
      </c>
      <c r="K78" s="21" t="s">
        <v>922</v>
      </c>
      <c r="L78" s="20" t="s">
        <v>920</v>
      </c>
    </row>
    <row r="79" spans="1:12" ht="17.100000000000001" customHeight="1">
      <c r="A79" s="27">
        <v>45831</v>
      </c>
      <c r="B79" s="20" t="s">
        <v>43</v>
      </c>
      <c r="C79" s="21" t="s">
        <v>21</v>
      </c>
      <c r="D79" s="21" t="s">
        <v>923</v>
      </c>
      <c r="E79" s="21" t="s">
        <v>918</v>
      </c>
      <c r="F79" s="21" t="s">
        <v>919</v>
      </c>
      <c r="G79" s="21" t="s">
        <v>23</v>
      </c>
      <c r="H79" s="21" t="s">
        <v>23</v>
      </c>
      <c r="I79" s="21" t="s">
        <v>23</v>
      </c>
      <c r="J79" s="21">
        <v>225</v>
      </c>
      <c r="K79" s="21" t="s">
        <v>626</v>
      </c>
      <c r="L79" s="20" t="s">
        <v>921</v>
      </c>
    </row>
    <row r="80" spans="1:12" ht="17.100000000000001" customHeight="1">
      <c r="A80" s="27">
        <v>45831</v>
      </c>
      <c r="B80" s="20" t="s">
        <v>43</v>
      </c>
      <c r="C80" s="21" t="s">
        <v>29</v>
      </c>
      <c r="D80" s="21" t="s">
        <v>924</v>
      </c>
      <c r="E80" s="21" t="s">
        <v>927</v>
      </c>
      <c r="F80" s="21" t="s">
        <v>928</v>
      </c>
      <c r="G80" s="21" t="s">
        <v>23</v>
      </c>
      <c r="H80" s="21" t="s">
        <v>23</v>
      </c>
      <c r="I80" s="21" t="s">
        <v>23</v>
      </c>
      <c r="J80" s="21">
        <v>52</v>
      </c>
      <c r="K80" s="21" t="s">
        <v>626</v>
      </c>
      <c r="L80" s="20" t="s">
        <v>925</v>
      </c>
    </row>
    <row r="81" spans="1:12" ht="17.100000000000001" customHeight="1">
      <c r="A81" s="27">
        <v>45831</v>
      </c>
      <c r="B81" s="20" t="s">
        <v>43</v>
      </c>
      <c r="C81" s="21" t="s">
        <v>29</v>
      </c>
      <c r="D81" s="21" t="s">
        <v>924</v>
      </c>
      <c r="E81" s="21" t="s">
        <v>927</v>
      </c>
      <c r="F81" s="21" t="s">
        <v>928</v>
      </c>
      <c r="G81" s="21" t="s">
        <v>23</v>
      </c>
      <c r="H81" s="21" t="s">
        <v>23</v>
      </c>
      <c r="I81" s="21" t="s">
        <v>23</v>
      </c>
      <c r="J81" s="21">
        <v>108</v>
      </c>
      <c r="K81" s="21" t="s">
        <v>626</v>
      </c>
      <c r="L81" s="20" t="s">
        <v>926</v>
      </c>
    </row>
    <row r="82" spans="1:12" ht="17.100000000000001" customHeight="1">
      <c r="A82" s="27">
        <v>45831</v>
      </c>
      <c r="B82" s="20" t="s">
        <v>43</v>
      </c>
      <c r="C82" s="21" t="s">
        <v>29</v>
      </c>
      <c r="D82" s="21" t="s">
        <v>924</v>
      </c>
      <c r="E82" s="21" t="s">
        <v>927</v>
      </c>
      <c r="F82" s="21" t="s">
        <v>929</v>
      </c>
      <c r="G82" s="21" t="s">
        <v>23</v>
      </c>
      <c r="H82" s="21" t="s">
        <v>23</v>
      </c>
      <c r="I82" s="21" t="s">
        <v>23</v>
      </c>
      <c r="J82" s="21">
        <v>96</v>
      </c>
      <c r="K82" s="21" t="s">
        <v>626</v>
      </c>
      <c r="L82" s="20" t="s">
        <v>930</v>
      </c>
    </row>
    <row r="83" spans="1:12" ht="17.100000000000001" customHeight="1">
      <c r="A83" s="27">
        <v>45832</v>
      </c>
      <c r="B83" s="20" t="s">
        <v>43</v>
      </c>
      <c r="C83" s="21" t="s">
        <v>21</v>
      </c>
      <c r="D83" s="21" t="s">
        <v>889</v>
      </c>
      <c r="E83" s="21" t="s">
        <v>927</v>
      </c>
      <c r="F83" s="21" t="s">
        <v>931</v>
      </c>
      <c r="G83" s="21" t="s">
        <v>23</v>
      </c>
      <c r="H83" s="21" t="s">
        <v>23</v>
      </c>
      <c r="I83" s="21" t="s">
        <v>23</v>
      </c>
      <c r="J83" s="21">
        <f>156-96</f>
        <v>60</v>
      </c>
      <c r="K83" s="21" t="s">
        <v>626</v>
      </c>
      <c r="L83" s="20" t="s">
        <v>930</v>
      </c>
    </row>
    <row r="84" spans="1:12" ht="17.100000000000001" customHeight="1">
      <c r="A84" s="27">
        <v>45832</v>
      </c>
      <c r="B84" s="20" t="s">
        <v>43</v>
      </c>
      <c r="C84" s="21" t="s">
        <v>21</v>
      </c>
      <c r="D84" s="21" t="s">
        <v>889</v>
      </c>
      <c r="E84" s="21" t="s">
        <v>927</v>
      </c>
      <c r="F84" s="21" t="s">
        <v>931</v>
      </c>
      <c r="G84" s="21" t="s">
        <v>23</v>
      </c>
      <c r="H84" s="21" t="s">
        <v>23</v>
      </c>
      <c r="I84" s="21" t="s">
        <v>23</v>
      </c>
      <c r="J84" s="21">
        <f>150-60</f>
        <v>90</v>
      </c>
      <c r="K84" s="21" t="s">
        <v>626</v>
      </c>
      <c r="L84" s="20" t="s">
        <v>932</v>
      </c>
    </row>
    <row r="85" spans="1:12" ht="17.100000000000001" customHeight="1">
      <c r="A85" s="27">
        <v>45832</v>
      </c>
      <c r="B85" s="20" t="s">
        <v>43</v>
      </c>
      <c r="C85" s="21" t="s">
        <v>21</v>
      </c>
      <c r="D85" s="21" t="s">
        <v>889</v>
      </c>
      <c r="E85" s="21" t="s">
        <v>927</v>
      </c>
      <c r="F85" s="21" t="s">
        <v>931</v>
      </c>
      <c r="G85" s="21" t="s">
        <v>23</v>
      </c>
      <c r="H85" s="21" t="s">
        <v>23</v>
      </c>
      <c r="I85" s="21" t="s">
        <v>23</v>
      </c>
      <c r="J85" s="21">
        <v>150</v>
      </c>
      <c r="K85" s="21" t="s">
        <v>626</v>
      </c>
      <c r="L85" s="20" t="s">
        <v>932</v>
      </c>
    </row>
    <row r="86" spans="1:12" ht="17.100000000000001" customHeight="1">
      <c r="A86" s="27">
        <v>45832</v>
      </c>
      <c r="B86" s="20" t="s">
        <v>43</v>
      </c>
      <c r="C86" s="21" t="s">
        <v>29</v>
      </c>
      <c r="D86" s="21" t="s">
        <v>933</v>
      </c>
      <c r="E86" s="21" t="s">
        <v>927</v>
      </c>
      <c r="F86" s="21" t="s">
        <v>934</v>
      </c>
      <c r="G86" s="21" t="s">
        <v>23</v>
      </c>
      <c r="H86" s="21" t="s">
        <v>23</v>
      </c>
      <c r="I86" s="21" t="s">
        <v>23</v>
      </c>
      <c r="J86" s="21">
        <f>329-240</f>
        <v>89</v>
      </c>
      <c r="K86" s="21" t="s">
        <v>922</v>
      </c>
      <c r="L86" s="20" t="s">
        <v>932</v>
      </c>
    </row>
    <row r="87" spans="1:12" ht="17.100000000000001" customHeight="1">
      <c r="A87" s="27">
        <v>45833</v>
      </c>
      <c r="B87" s="20" t="s">
        <v>20</v>
      </c>
      <c r="C87" s="21" t="s">
        <v>21</v>
      </c>
      <c r="D87" s="21" t="s">
        <v>935</v>
      </c>
      <c r="E87" s="21" t="s">
        <v>23</v>
      </c>
      <c r="F87" s="21" t="s">
        <v>780</v>
      </c>
      <c r="G87" s="21" t="s">
        <v>832</v>
      </c>
      <c r="H87" s="21" t="s">
        <v>23</v>
      </c>
      <c r="I87" s="21" t="s">
        <v>23</v>
      </c>
      <c r="J87" s="21">
        <v>286</v>
      </c>
      <c r="K87" s="21" t="s">
        <v>953</v>
      </c>
      <c r="L87" s="20" t="s">
        <v>938</v>
      </c>
    </row>
    <row r="88" spans="1:12" ht="17.100000000000001" customHeight="1">
      <c r="A88" s="27">
        <v>45833</v>
      </c>
      <c r="B88" s="20" t="s">
        <v>20</v>
      </c>
      <c r="C88" s="21" t="s">
        <v>29</v>
      </c>
      <c r="D88" s="21" t="s">
        <v>936</v>
      </c>
      <c r="E88" s="21" t="s">
        <v>23</v>
      </c>
      <c r="F88" s="21" t="s">
        <v>780</v>
      </c>
      <c r="G88" s="21" t="s">
        <v>832</v>
      </c>
      <c r="H88" s="21" t="s">
        <v>23</v>
      </c>
      <c r="I88" s="21" t="s">
        <v>23</v>
      </c>
      <c r="J88" s="21">
        <v>286</v>
      </c>
      <c r="K88" s="21" t="s">
        <v>953</v>
      </c>
      <c r="L88" s="20" t="s">
        <v>938</v>
      </c>
    </row>
    <row r="89" spans="1:12" ht="17.100000000000001" customHeight="1">
      <c r="A89" s="27">
        <v>45833</v>
      </c>
      <c r="B89" s="20" t="s">
        <v>20</v>
      </c>
      <c r="C89" s="21" t="s">
        <v>33</v>
      </c>
      <c r="D89" s="21" t="s">
        <v>937</v>
      </c>
      <c r="E89" s="21" t="s">
        <v>23</v>
      </c>
      <c r="F89" s="21" t="s">
        <v>780</v>
      </c>
      <c r="G89" s="21" t="s">
        <v>832</v>
      </c>
      <c r="H89" s="21" t="s">
        <v>23</v>
      </c>
      <c r="I89" s="21" t="s">
        <v>23</v>
      </c>
      <c r="J89" s="21">
        <v>244</v>
      </c>
      <c r="K89" s="21" t="s">
        <v>953</v>
      </c>
      <c r="L89" s="20" t="s">
        <v>938</v>
      </c>
    </row>
    <row r="90" spans="1:12" ht="17.100000000000001" customHeight="1">
      <c r="A90" s="27">
        <v>45834</v>
      </c>
      <c r="B90" s="20" t="s">
        <v>20</v>
      </c>
      <c r="C90" s="21" t="s">
        <v>21</v>
      </c>
      <c r="D90" s="21" t="s">
        <v>937</v>
      </c>
      <c r="E90" s="21" t="s">
        <v>23</v>
      </c>
      <c r="F90" s="21" t="s">
        <v>780</v>
      </c>
      <c r="G90" s="21" t="s">
        <v>832</v>
      </c>
      <c r="H90" s="21" t="s">
        <v>23</v>
      </c>
      <c r="I90" s="21" t="s">
        <v>23</v>
      </c>
      <c r="J90" s="21">
        <v>42</v>
      </c>
      <c r="K90" s="21" t="s">
        <v>953</v>
      </c>
      <c r="L90" s="20" t="s">
        <v>938</v>
      </c>
    </row>
    <row r="91" spans="1:12" ht="17.100000000000001" customHeight="1">
      <c r="A91" s="27">
        <v>45834</v>
      </c>
      <c r="B91" s="20" t="s">
        <v>20</v>
      </c>
      <c r="C91" s="21" t="s">
        <v>29</v>
      </c>
      <c r="D91" s="21" t="s">
        <v>939</v>
      </c>
      <c r="E91" s="21" t="s">
        <v>23</v>
      </c>
      <c r="F91" s="21" t="s">
        <v>780</v>
      </c>
      <c r="G91" s="21" t="s">
        <v>832</v>
      </c>
      <c r="H91" s="21" t="s">
        <v>23</v>
      </c>
      <c r="I91" s="21" t="s">
        <v>23</v>
      </c>
      <c r="J91" s="21">
        <v>102</v>
      </c>
      <c r="K91" s="21" t="s">
        <v>953</v>
      </c>
      <c r="L91" s="20" t="s">
        <v>938</v>
      </c>
    </row>
    <row r="92" spans="1:12" ht="17.100000000000001" customHeight="1">
      <c r="A92" s="27">
        <v>45834</v>
      </c>
      <c r="B92" s="20" t="s">
        <v>20</v>
      </c>
      <c r="C92" s="21" t="s">
        <v>29</v>
      </c>
      <c r="D92" s="21" t="s">
        <v>939</v>
      </c>
      <c r="E92" s="21" t="s">
        <v>23</v>
      </c>
      <c r="F92" s="21" t="s">
        <v>780</v>
      </c>
      <c r="G92" s="21" t="s">
        <v>832</v>
      </c>
      <c r="H92" s="21" t="s">
        <v>23</v>
      </c>
      <c r="I92" s="21" t="s">
        <v>23</v>
      </c>
      <c r="J92" s="21">
        <v>184</v>
      </c>
      <c r="K92" s="21" t="s">
        <v>953</v>
      </c>
      <c r="L92" s="20" t="s">
        <v>941</v>
      </c>
    </row>
    <row r="93" spans="1:12" ht="17.100000000000001" customHeight="1">
      <c r="A93" s="27">
        <v>45834</v>
      </c>
      <c r="B93" s="20" t="s">
        <v>20</v>
      </c>
      <c r="C93" s="21" t="s">
        <v>33</v>
      </c>
      <c r="D93" s="21" t="s">
        <v>940</v>
      </c>
      <c r="E93" s="21" t="s">
        <v>23</v>
      </c>
      <c r="F93" s="21" t="s">
        <v>780</v>
      </c>
      <c r="G93" s="21" t="s">
        <v>832</v>
      </c>
      <c r="H93" s="21" t="s">
        <v>23</v>
      </c>
      <c r="I93" s="21" t="s">
        <v>23</v>
      </c>
      <c r="J93" s="21">
        <v>286</v>
      </c>
      <c r="K93" s="21" t="s">
        <v>953</v>
      </c>
      <c r="L93" s="20" t="s">
        <v>941</v>
      </c>
    </row>
    <row r="94" spans="1:12" ht="17.100000000000001" customHeight="1">
      <c r="A94" s="27">
        <v>45834</v>
      </c>
      <c r="B94" s="20" t="s">
        <v>20</v>
      </c>
      <c r="C94" s="21" t="s">
        <v>34</v>
      </c>
      <c r="D94" s="21" t="s">
        <v>907</v>
      </c>
      <c r="E94" s="21" t="s">
        <v>23</v>
      </c>
      <c r="F94" s="21" t="s">
        <v>780</v>
      </c>
      <c r="G94" s="21" t="s">
        <v>832</v>
      </c>
      <c r="H94" s="21" t="s">
        <v>23</v>
      </c>
      <c r="I94" s="21" t="s">
        <v>23</v>
      </c>
      <c r="J94" s="21">
        <v>42</v>
      </c>
      <c r="K94" s="21" t="s">
        <v>953</v>
      </c>
      <c r="L94" s="20" t="s">
        <v>941</v>
      </c>
    </row>
    <row r="95" spans="1:12" ht="17.100000000000001" customHeight="1">
      <c r="A95" s="27">
        <v>45834</v>
      </c>
      <c r="B95" s="20" t="s">
        <v>942</v>
      </c>
      <c r="C95" s="21" t="s">
        <v>21</v>
      </c>
      <c r="D95" s="21" t="s">
        <v>945</v>
      </c>
      <c r="E95" s="21" t="s">
        <v>23</v>
      </c>
      <c r="F95" s="21" t="s">
        <v>23</v>
      </c>
      <c r="G95" s="21" t="s">
        <v>23</v>
      </c>
      <c r="H95" s="21" t="s">
        <v>23</v>
      </c>
      <c r="I95" s="21" t="s">
        <v>23</v>
      </c>
      <c r="J95" s="21">
        <v>96</v>
      </c>
      <c r="K95" s="21" t="s">
        <v>943</v>
      </c>
      <c r="L95" s="20" t="s">
        <v>944</v>
      </c>
    </row>
    <row r="96" spans="1:12" ht="17.100000000000001" customHeight="1">
      <c r="A96" s="27">
        <v>45834</v>
      </c>
      <c r="B96" s="20" t="s">
        <v>942</v>
      </c>
      <c r="C96" s="21" t="s">
        <v>21</v>
      </c>
      <c r="D96" s="21" t="s">
        <v>945</v>
      </c>
      <c r="E96" s="21" t="s">
        <v>23</v>
      </c>
      <c r="F96" s="21" t="s">
        <v>23</v>
      </c>
      <c r="G96" s="21" t="s">
        <v>23</v>
      </c>
      <c r="H96" s="21" t="s">
        <v>23</v>
      </c>
      <c r="I96" s="21" t="s">
        <v>23</v>
      </c>
      <c r="J96" s="21">
        <v>96</v>
      </c>
      <c r="K96" s="21" t="s">
        <v>943</v>
      </c>
      <c r="L96" s="20" t="s">
        <v>946</v>
      </c>
    </row>
    <row r="97" spans="1:12" ht="17.100000000000001" customHeight="1">
      <c r="A97" s="27">
        <v>45834</v>
      </c>
      <c r="B97" s="20" t="s">
        <v>43</v>
      </c>
      <c r="C97" s="21" t="s">
        <v>21</v>
      </c>
      <c r="D97" s="21" t="s">
        <v>947</v>
      </c>
      <c r="E97" s="21" t="s">
        <v>927</v>
      </c>
      <c r="F97" s="21" t="s">
        <v>949</v>
      </c>
      <c r="G97" s="21" t="s">
        <v>23</v>
      </c>
      <c r="H97" s="21" t="s">
        <v>23</v>
      </c>
      <c r="I97" s="21" t="s">
        <v>23</v>
      </c>
      <c r="J97" s="21">
        <v>160</v>
      </c>
      <c r="K97" s="21" t="s">
        <v>950</v>
      </c>
      <c r="L97" s="20" t="s">
        <v>951</v>
      </c>
    </row>
    <row r="98" spans="1:12" ht="17.100000000000001" customHeight="1">
      <c r="A98" s="27">
        <v>45834</v>
      </c>
      <c r="B98" s="20" t="s">
        <v>43</v>
      </c>
      <c r="C98" s="21" t="s">
        <v>29</v>
      </c>
      <c r="D98" s="21" t="s">
        <v>888</v>
      </c>
      <c r="E98" s="21" t="s">
        <v>927</v>
      </c>
      <c r="F98" s="21" t="s">
        <v>949</v>
      </c>
      <c r="G98" s="21" t="s">
        <v>23</v>
      </c>
      <c r="H98" s="21" t="s">
        <v>23</v>
      </c>
      <c r="I98" s="21" t="s">
        <v>23</v>
      </c>
      <c r="J98" s="21">
        <v>82</v>
      </c>
      <c r="K98" s="21" t="s">
        <v>950</v>
      </c>
      <c r="L98" s="20" t="s">
        <v>951</v>
      </c>
    </row>
    <row r="99" spans="1:12" ht="17.100000000000001" customHeight="1">
      <c r="A99" s="27">
        <v>45834</v>
      </c>
      <c r="B99" s="20" t="s">
        <v>43</v>
      </c>
      <c r="C99" s="21" t="s">
        <v>33</v>
      </c>
      <c r="D99" s="21" t="s">
        <v>948</v>
      </c>
      <c r="E99" s="21" t="s">
        <v>927</v>
      </c>
      <c r="F99" s="21" t="s">
        <v>949</v>
      </c>
      <c r="G99" s="21" t="s">
        <v>23</v>
      </c>
      <c r="H99" s="21" t="s">
        <v>23</v>
      </c>
      <c r="I99" s="21" t="s">
        <v>23</v>
      </c>
      <c r="J99" s="21">
        <v>158</v>
      </c>
      <c r="K99" s="21" t="s">
        <v>950</v>
      </c>
      <c r="L99" s="20" t="s">
        <v>951</v>
      </c>
    </row>
    <row r="100" spans="1:12" ht="17.100000000000001" customHeight="1">
      <c r="A100" s="27">
        <v>45834</v>
      </c>
      <c r="B100" s="20" t="s">
        <v>43</v>
      </c>
      <c r="C100" s="21" t="s">
        <v>33</v>
      </c>
      <c r="D100" s="21" t="s">
        <v>948</v>
      </c>
      <c r="E100" s="21" t="s">
        <v>927</v>
      </c>
      <c r="F100" s="21" t="s">
        <v>949</v>
      </c>
      <c r="G100" s="21" t="s">
        <v>23</v>
      </c>
      <c r="H100" s="21" t="s">
        <v>23</v>
      </c>
      <c r="I100" s="21" t="s">
        <v>23</v>
      </c>
      <c r="J100" s="21">
        <v>60</v>
      </c>
      <c r="K100" s="21" t="s">
        <v>950</v>
      </c>
      <c r="L100" s="20" t="s">
        <v>952</v>
      </c>
    </row>
    <row r="101" spans="1:12" ht="17.100000000000001" customHeight="1">
      <c r="A101" s="27">
        <v>45834</v>
      </c>
      <c r="B101" s="20" t="s">
        <v>20</v>
      </c>
      <c r="C101" s="35" t="s">
        <v>139</v>
      </c>
      <c r="D101" s="35" t="s">
        <v>955</v>
      </c>
      <c r="E101" s="21" t="s">
        <v>23</v>
      </c>
      <c r="F101" s="21" t="s">
        <v>780</v>
      </c>
      <c r="G101" s="21" t="s">
        <v>832</v>
      </c>
      <c r="H101" s="21" t="s">
        <v>23</v>
      </c>
      <c r="I101" s="21" t="s">
        <v>23</v>
      </c>
      <c r="J101" s="21">
        <v>165</v>
      </c>
      <c r="K101" s="21" t="s">
        <v>953</v>
      </c>
      <c r="L101" s="34" t="s">
        <v>954</v>
      </c>
    </row>
    <row r="102" spans="1:12" ht="17.100000000000001" customHeight="1">
      <c r="A102" s="27">
        <v>45835</v>
      </c>
      <c r="B102" s="20" t="s">
        <v>956</v>
      </c>
      <c r="C102" s="21" t="s">
        <v>21</v>
      </c>
      <c r="D102" s="21" t="s">
        <v>945</v>
      </c>
      <c r="E102" s="21" t="s">
        <v>23</v>
      </c>
      <c r="F102" s="21" t="s">
        <v>23</v>
      </c>
      <c r="G102" s="21" t="s">
        <v>23</v>
      </c>
      <c r="H102" s="21" t="s">
        <v>23</v>
      </c>
      <c r="I102" s="21" t="s">
        <v>23</v>
      </c>
      <c r="J102" s="21">
        <v>48</v>
      </c>
      <c r="K102" s="21" t="s">
        <v>943</v>
      </c>
      <c r="L102" s="20" t="s">
        <v>957</v>
      </c>
    </row>
    <row r="103" spans="1:12" ht="17.100000000000001" customHeight="1">
      <c r="A103" s="27">
        <v>45835</v>
      </c>
      <c r="B103" s="34" t="s">
        <v>873</v>
      </c>
      <c r="C103" s="35" t="s">
        <v>21</v>
      </c>
      <c r="D103" s="35" t="s">
        <v>23</v>
      </c>
      <c r="E103" s="21" t="s">
        <v>23</v>
      </c>
      <c r="F103" s="21" t="s">
        <v>23</v>
      </c>
      <c r="G103" s="21" t="s">
        <v>23</v>
      </c>
      <c r="H103" s="21" t="s">
        <v>23</v>
      </c>
      <c r="I103" s="35" t="s">
        <v>958</v>
      </c>
      <c r="J103" s="35">
        <v>120</v>
      </c>
      <c r="K103" s="35" t="s">
        <v>959</v>
      </c>
      <c r="L103" s="34" t="s">
        <v>960</v>
      </c>
    </row>
    <row r="104" spans="1:12" ht="17.100000000000001" customHeight="1">
      <c r="A104" s="33">
        <v>45835</v>
      </c>
      <c r="B104" s="34" t="s">
        <v>20</v>
      </c>
      <c r="C104" s="35" t="s">
        <v>21</v>
      </c>
      <c r="D104" s="35" t="s">
        <v>955</v>
      </c>
      <c r="E104" s="35" t="s">
        <v>23</v>
      </c>
      <c r="F104" s="21" t="s">
        <v>780</v>
      </c>
      <c r="G104" s="21" t="s">
        <v>832</v>
      </c>
      <c r="H104" s="21" t="s">
        <v>23</v>
      </c>
      <c r="I104" s="21" t="s">
        <v>23</v>
      </c>
      <c r="J104" s="35">
        <v>162</v>
      </c>
      <c r="K104" s="35" t="s">
        <v>961</v>
      </c>
      <c r="L104" s="34" t="s">
        <v>954</v>
      </c>
    </row>
    <row r="105" spans="1:12" ht="17.100000000000001" customHeight="1">
      <c r="A105" s="33">
        <v>45835</v>
      </c>
      <c r="B105" s="34" t="s">
        <v>20</v>
      </c>
      <c r="C105" s="35" t="s">
        <v>29</v>
      </c>
      <c r="D105" s="35" t="s">
        <v>962</v>
      </c>
      <c r="E105" s="35" t="s">
        <v>23</v>
      </c>
      <c r="F105" s="21" t="s">
        <v>780</v>
      </c>
      <c r="G105" s="21" t="s">
        <v>832</v>
      </c>
      <c r="H105" s="21" t="s">
        <v>23</v>
      </c>
      <c r="I105" s="21" t="s">
        <v>23</v>
      </c>
      <c r="J105" s="35">
        <v>248</v>
      </c>
      <c r="K105" s="35" t="s">
        <v>961</v>
      </c>
      <c r="L105" s="34" t="s">
        <v>954</v>
      </c>
    </row>
    <row r="106" spans="1:12" ht="17.100000000000001" customHeight="1">
      <c r="A106" s="33">
        <v>45838</v>
      </c>
      <c r="B106" s="34" t="s">
        <v>860</v>
      </c>
      <c r="C106" s="35" t="s">
        <v>21</v>
      </c>
      <c r="D106" s="35" t="s">
        <v>23</v>
      </c>
      <c r="E106" s="35" t="s">
        <v>23</v>
      </c>
      <c r="F106" s="35" t="s">
        <v>23</v>
      </c>
      <c r="G106" s="35" t="s">
        <v>23</v>
      </c>
      <c r="H106" s="35" t="s">
        <v>23</v>
      </c>
      <c r="I106" s="35" t="s">
        <v>864</v>
      </c>
      <c r="J106" s="35">
        <v>52</v>
      </c>
      <c r="K106" s="35" t="s">
        <v>761</v>
      </c>
      <c r="L106" s="34" t="s">
        <v>963</v>
      </c>
    </row>
    <row r="107" spans="1:12" ht="17.100000000000001" customHeight="1">
      <c r="A107" s="33">
        <v>45838</v>
      </c>
      <c r="B107" s="34" t="s">
        <v>20</v>
      </c>
      <c r="C107" s="35" t="s">
        <v>21</v>
      </c>
      <c r="D107" s="35" t="s">
        <v>964</v>
      </c>
      <c r="E107" s="35" t="s">
        <v>23</v>
      </c>
      <c r="F107" s="35" t="s">
        <v>780</v>
      </c>
      <c r="G107" s="35" t="s">
        <v>832</v>
      </c>
      <c r="H107" s="35" t="s">
        <v>23</v>
      </c>
      <c r="I107" s="35" t="s">
        <v>23</v>
      </c>
      <c r="J107" s="35">
        <v>315</v>
      </c>
      <c r="K107" s="35" t="s">
        <v>965</v>
      </c>
      <c r="L107" s="34" t="s">
        <v>954</v>
      </c>
    </row>
    <row r="108" spans="1:12" ht="17.100000000000001" customHeight="1">
      <c r="A108" s="33">
        <v>45838</v>
      </c>
      <c r="B108" s="34" t="s">
        <v>20</v>
      </c>
      <c r="C108" s="35" t="s">
        <v>21</v>
      </c>
      <c r="D108" s="35" t="s">
        <v>964</v>
      </c>
      <c r="E108" s="35" t="s">
        <v>23</v>
      </c>
      <c r="F108" s="35" t="s">
        <v>780</v>
      </c>
      <c r="G108" s="35" t="s">
        <v>832</v>
      </c>
      <c r="H108" s="35" t="s">
        <v>23</v>
      </c>
      <c r="I108" s="35" t="s">
        <v>23</v>
      </c>
      <c r="J108" s="35">
        <v>30</v>
      </c>
      <c r="K108" s="35" t="s">
        <v>965</v>
      </c>
      <c r="L108" s="34" t="s">
        <v>966</v>
      </c>
    </row>
    <row r="109" spans="1:12" ht="17.100000000000001" customHeight="1">
      <c r="A109" s="33">
        <v>45838</v>
      </c>
      <c r="B109" s="20" t="s">
        <v>967</v>
      </c>
      <c r="C109" s="35" t="s">
        <v>21</v>
      </c>
      <c r="D109" s="35" t="s">
        <v>968</v>
      </c>
      <c r="E109" s="21" t="s">
        <v>23</v>
      </c>
      <c r="F109" s="21" t="s">
        <v>23</v>
      </c>
      <c r="G109" s="21" t="s">
        <v>23</v>
      </c>
      <c r="H109" s="21" t="s">
        <v>23</v>
      </c>
      <c r="I109" s="21" t="s">
        <v>23</v>
      </c>
      <c r="J109" s="21">
        <v>96</v>
      </c>
      <c r="K109" s="21" t="s">
        <v>943</v>
      </c>
      <c r="L109" s="34" t="s">
        <v>969</v>
      </c>
    </row>
    <row r="110" spans="1:12" ht="17.100000000000001" customHeight="1">
      <c r="A110" s="33">
        <v>45838</v>
      </c>
      <c r="B110" s="34" t="s">
        <v>43</v>
      </c>
      <c r="C110" s="35" t="s">
        <v>21</v>
      </c>
      <c r="D110" s="35" t="s">
        <v>970</v>
      </c>
      <c r="E110" s="35" t="s">
        <v>971</v>
      </c>
      <c r="F110" s="35" t="s">
        <v>972</v>
      </c>
      <c r="G110" s="21" t="s">
        <v>23</v>
      </c>
      <c r="H110" s="21" t="s">
        <v>23</v>
      </c>
      <c r="I110" s="21" t="s">
        <v>23</v>
      </c>
      <c r="J110" s="35">
        <v>148</v>
      </c>
      <c r="K110" s="35" t="s">
        <v>973</v>
      </c>
      <c r="L110" s="34" t="s">
        <v>952</v>
      </c>
    </row>
    <row r="111" spans="1:12" ht="17.100000000000001" customHeight="1">
      <c r="A111" s="43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2"/>
    </row>
    <row r="112" spans="1:12" ht="17.100000000000001" customHeight="1">
      <c r="A112" s="33"/>
      <c r="B112" s="34"/>
      <c r="C112" s="35"/>
      <c r="D112" s="35"/>
      <c r="E112" s="35"/>
      <c r="F112" s="35"/>
      <c r="G112" s="35"/>
      <c r="H112" s="35"/>
      <c r="I112" s="35"/>
      <c r="J112" s="35"/>
      <c r="K112" s="35"/>
      <c r="L112" s="34"/>
    </row>
    <row r="113" spans="1:14" ht="17.100000000000001" customHeight="1" thickBot="1">
      <c r="A113" s="23"/>
      <c r="B113" s="24"/>
      <c r="C113" s="25"/>
      <c r="D113" s="25"/>
      <c r="E113" s="25"/>
      <c r="F113" s="25"/>
      <c r="G113" s="25"/>
      <c r="H113" s="25"/>
      <c r="I113" s="25"/>
      <c r="J113" s="25"/>
      <c r="K113" s="25"/>
      <c r="L113" s="24"/>
    </row>
    <row r="114" spans="1:14">
      <c r="A114" s="32" t="s">
        <v>291</v>
      </c>
      <c r="B114" s="15"/>
      <c r="C114" s="15"/>
      <c r="D114" s="14"/>
      <c r="E114" s="15"/>
      <c r="H114" s="14" t="s">
        <v>15</v>
      </c>
      <c r="I114" s="14"/>
      <c r="J114" s="14"/>
      <c r="K114" s="15"/>
      <c r="L114" s="16"/>
      <c r="M114" s="18"/>
      <c r="N114" s="17"/>
    </row>
    <row r="115" spans="1:14">
      <c r="I115" s="2" t="s">
        <v>16</v>
      </c>
    </row>
    <row r="116" spans="1:14">
      <c r="I116" s="2" t="s">
        <v>17</v>
      </c>
    </row>
    <row r="117" spans="1:14">
      <c r="I117" s="2" t="s">
        <v>18</v>
      </c>
    </row>
    <row r="118" spans="1:14">
      <c r="I118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2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N122"/>
  <sheetViews>
    <sheetView view="pageBreakPreview" topLeftCell="A7" zoomScaleNormal="100" zoomScaleSheetLayoutView="100" workbookViewId="0">
      <selection activeCell="L107" sqref="L107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21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40">
        <v>45839</v>
      </c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45839</v>
      </c>
      <c r="B9" s="20" t="s">
        <v>20</v>
      </c>
      <c r="C9" s="21" t="s">
        <v>21</v>
      </c>
      <c r="D9" s="21" t="s">
        <v>976</v>
      </c>
      <c r="E9" s="21" t="s">
        <v>23</v>
      </c>
      <c r="F9" s="35" t="s">
        <v>780</v>
      </c>
      <c r="G9" s="35" t="s">
        <v>832</v>
      </c>
      <c r="H9" s="35" t="s">
        <v>23</v>
      </c>
      <c r="I9" s="35" t="s">
        <v>23</v>
      </c>
      <c r="J9" s="21">
        <v>164</v>
      </c>
      <c r="K9" s="21" t="s">
        <v>965</v>
      </c>
      <c r="L9" s="20" t="s">
        <v>978</v>
      </c>
    </row>
    <row r="10" spans="1:12" ht="17.100000000000001" customHeight="1">
      <c r="A10" s="27">
        <v>45839</v>
      </c>
      <c r="B10" s="20" t="s">
        <v>20</v>
      </c>
      <c r="C10" s="21" t="s">
        <v>29</v>
      </c>
      <c r="D10" s="21" t="s">
        <v>977</v>
      </c>
      <c r="E10" s="21" t="s">
        <v>23</v>
      </c>
      <c r="F10" s="35" t="s">
        <v>780</v>
      </c>
      <c r="G10" s="35" t="s">
        <v>832</v>
      </c>
      <c r="H10" s="35" t="s">
        <v>23</v>
      </c>
      <c r="I10" s="35" t="s">
        <v>23</v>
      </c>
      <c r="J10" s="21">
        <v>136</v>
      </c>
      <c r="K10" s="21" t="s">
        <v>965</v>
      </c>
      <c r="L10" s="20" t="s">
        <v>978</v>
      </c>
    </row>
    <row r="11" spans="1:12" ht="17.100000000000001" customHeight="1">
      <c r="A11" s="27">
        <v>45839</v>
      </c>
      <c r="B11" s="20" t="s">
        <v>20</v>
      </c>
      <c r="C11" s="21" t="s">
        <v>29</v>
      </c>
      <c r="D11" s="21" t="s">
        <v>977</v>
      </c>
      <c r="E11" s="21" t="s">
        <v>23</v>
      </c>
      <c r="F11" s="35" t="s">
        <v>780</v>
      </c>
      <c r="G11" s="35" t="s">
        <v>832</v>
      </c>
      <c r="H11" s="35" t="s">
        <v>23</v>
      </c>
      <c r="I11" s="35" t="s">
        <v>23</v>
      </c>
      <c r="J11" s="21">
        <v>150</v>
      </c>
      <c r="K11" s="21" t="s">
        <v>965</v>
      </c>
      <c r="L11" s="20" t="s">
        <v>979</v>
      </c>
    </row>
    <row r="12" spans="1:12" ht="17.100000000000001" customHeight="1">
      <c r="A12" s="27">
        <v>45839</v>
      </c>
      <c r="B12" s="20" t="s">
        <v>55</v>
      </c>
      <c r="C12" s="21" t="s">
        <v>21</v>
      </c>
      <c r="D12" s="21" t="s">
        <v>980</v>
      </c>
      <c r="E12" s="21" t="s">
        <v>927</v>
      </c>
      <c r="F12" s="21" t="s">
        <v>848</v>
      </c>
      <c r="G12" s="35" t="s">
        <v>23</v>
      </c>
      <c r="H12" s="35" t="s">
        <v>23</v>
      </c>
      <c r="I12" s="35" t="s">
        <v>23</v>
      </c>
      <c r="J12" s="21">
        <v>36</v>
      </c>
      <c r="K12" s="21" t="s">
        <v>981</v>
      </c>
      <c r="L12" s="20" t="s">
        <v>982</v>
      </c>
    </row>
    <row r="13" spans="1:12" ht="17.100000000000001" customHeight="1">
      <c r="A13" s="27">
        <v>45839</v>
      </c>
      <c r="B13" s="20" t="s">
        <v>43</v>
      </c>
      <c r="C13" s="21" t="s">
        <v>21</v>
      </c>
      <c r="D13" s="21" t="s">
        <v>983</v>
      </c>
      <c r="E13" s="21" t="s">
        <v>927</v>
      </c>
      <c r="F13" s="21" t="s">
        <v>984</v>
      </c>
      <c r="G13" s="35" t="s">
        <v>23</v>
      </c>
      <c r="H13" s="35" t="s">
        <v>23</v>
      </c>
      <c r="I13" s="35" t="s">
        <v>23</v>
      </c>
      <c r="J13" s="21">
        <v>150</v>
      </c>
      <c r="K13" s="21" t="s">
        <v>981</v>
      </c>
      <c r="L13" s="20" t="s">
        <v>985</v>
      </c>
    </row>
    <row r="14" spans="1:12" ht="17.100000000000001" customHeight="1">
      <c r="A14" s="27">
        <v>45839</v>
      </c>
      <c r="B14" s="20" t="s">
        <v>43</v>
      </c>
      <c r="C14" s="21" t="s">
        <v>29</v>
      </c>
      <c r="D14" s="21" t="s">
        <v>987</v>
      </c>
      <c r="E14" s="21" t="s">
        <v>927</v>
      </c>
      <c r="F14" s="21" t="s">
        <v>984</v>
      </c>
      <c r="G14" s="35" t="s">
        <v>23</v>
      </c>
      <c r="H14" s="35" t="s">
        <v>23</v>
      </c>
      <c r="I14" s="35" t="s">
        <v>23</v>
      </c>
      <c r="J14" s="21">
        <f>208-150</f>
        <v>58</v>
      </c>
      <c r="K14" s="21" t="s">
        <v>981</v>
      </c>
      <c r="L14" s="20" t="s">
        <v>985</v>
      </c>
    </row>
    <row r="15" spans="1:12" ht="17.100000000000001" customHeight="1">
      <c r="A15" s="27">
        <v>45839</v>
      </c>
      <c r="B15" s="20" t="s">
        <v>43</v>
      </c>
      <c r="C15" s="21" t="s">
        <v>29</v>
      </c>
      <c r="D15" s="21" t="s">
        <v>987</v>
      </c>
      <c r="E15" s="21" t="s">
        <v>927</v>
      </c>
      <c r="F15" s="21" t="s">
        <v>984</v>
      </c>
      <c r="G15" s="35" t="s">
        <v>23</v>
      </c>
      <c r="H15" s="35" t="s">
        <v>23</v>
      </c>
      <c r="I15" s="35" t="s">
        <v>23</v>
      </c>
      <c r="J15" s="21">
        <v>60</v>
      </c>
      <c r="K15" s="21" t="s">
        <v>981</v>
      </c>
      <c r="L15" s="20" t="s">
        <v>986</v>
      </c>
    </row>
    <row r="16" spans="1:12" ht="17.100000000000001" customHeight="1">
      <c r="A16" s="27">
        <v>45840</v>
      </c>
      <c r="B16" s="20" t="s">
        <v>20</v>
      </c>
      <c r="C16" s="21" t="s">
        <v>21</v>
      </c>
      <c r="D16" s="21" t="s">
        <v>990</v>
      </c>
      <c r="E16" s="21"/>
      <c r="F16" s="35" t="s">
        <v>780</v>
      </c>
      <c r="G16" s="35" t="s">
        <v>832</v>
      </c>
      <c r="H16" s="21" t="s">
        <v>23</v>
      </c>
      <c r="I16" s="21" t="s">
        <v>23</v>
      </c>
      <c r="J16" s="21">
        <v>82</v>
      </c>
      <c r="K16" s="21" t="s">
        <v>988</v>
      </c>
      <c r="L16" s="20" t="s">
        <v>989</v>
      </c>
    </row>
    <row r="17" spans="1:12" ht="17.100000000000001" customHeight="1">
      <c r="A17" s="27">
        <v>45840</v>
      </c>
      <c r="B17" s="20" t="s">
        <v>527</v>
      </c>
      <c r="C17" s="21" t="s">
        <v>21</v>
      </c>
      <c r="D17" s="35" t="s">
        <v>23</v>
      </c>
      <c r="E17" s="35" t="s">
        <v>23</v>
      </c>
      <c r="F17" s="35" t="s">
        <v>23</v>
      </c>
      <c r="G17" s="35" t="s">
        <v>23</v>
      </c>
      <c r="H17" s="35" t="s">
        <v>23</v>
      </c>
      <c r="I17" s="21" t="s">
        <v>991</v>
      </c>
      <c r="J17" s="21">
        <v>23</v>
      </c>
      <c r="K17" s="21" t="s">
        <v>862</v>
      </c>
      <c r="L17" s="20" t="s">
        <v>994</v>
      </c>
    </row>
    <row r="18" spans="1:12" ht="17.100000000000001" customHeight="1">
      <c r="A18" s="27">
        <v>45840</v>
      </c>
      <c r="B18" s="20" t="s">
        <v>527</v>
      </c>
      <c r="C18" s="21" t="s">
        <v>29</v>
      </c>
      <c r="D18" s="35" t="s">
        <v>23</v>
      </c>
      <c r="E18" s="35" t="s">
        <v>23</v>
      </c>
      <c r="F18" s="35" t="s">
        <v>23</v>
      </c>
      <c r="G18" s="35" t="s">
        <v>23</v>
      </c>
      <c r="H18" s="35" t="s">
        <v>23</v>
      </c>
      <c r="I18" s="21" t="s">
        <v>899</v>
      </c>
      <c r="J18" s="21">
        <v>8</v>
      </c>
      <c r="K18" s="21" t="s">
        <v>862</v>
      </c>
      <c r="L18" s="20" t="s">
        <v>994</v>
      </c>
    </row>
    <row r="19" spans="1:12" ht="17.100000000000001" customHeight="1">
      <c r="A19" s="27">
        <v>45840</v>
      </c>
      <c r="B19" s="20" t="s">
        <v>527</v>
      </c>
      <c r="C19" s="21" t="s">
        <v>33</v>
      </c>
      <c r="D19" s="35" t="s">
        <v>23</v>
      </c>
      <c r="E19" s="35" t="s">
        <v>23</v>
      </c>
      <c r="F19" s="35" t="s">
        <v>23</v>
      </c>
      <c r="G19" s="35" t="s">
        <v>23</v>
      </c>
      <c r="H19" s="35" t="s">
        <v>23</v>
      </c>
      <c r="I19" s="21" t="s">
        <v>992</v>
      </c>
      <c r="J19" s="21">
        <v>10</v>
      </c>
      <c r="K19" s="21" t="s">
        <v>862</v>
      </c>
      <c r="L19" s="20" t="s">
        <v>994</v>
      </c>
    </row>
    <row r="20" spans="1:12" ht="17.100000000000001" customHeight="1">
      <c r="A20" s="27">
        <v>45840</v>
      </c>
      <c r="B20" s="20" t="s">
        <v>527</v>
      </c>
      <c r="C20" s="21" t="s">
        <v>34</v>
      </c>
      <c r="D20" s="35" t="s">
        <v>23</v>
      </c>
      <c r="E20" s="35" t="s">
        <v>23</v>
      </c>
      <c r="F20" s="35" t="s">
        <v>23</v>
      </c>
      <c r="G20" s="35" t="s">
        <v>23</v>
      </c>
      <c r="H20" s="35" t="s">
        <v>23</v>
      </c>
      <c r="I20" s="21" t="s">
        <v>993</v>
      </c>
      <c r="J20" s="21">
        <v>30</v>
      </c>
      <c r="K20" s="21" t="s">
        <v>862</v>
      </c>
      <c r="L20" s="20" t="s">
        <v>994</v>
      </c>
    </row>
    <row r="21" spans="1:12" ht="17.100000000000001" customHeight="1">
      <c r="A21" s="27">
        <v>45841</v>
      </c>
      <c r="B21" s="20" t="s">
        <v>527</v>
      </c>
      <c r="C21" s="21" t="s">
        <v>21</v>
      </c>
      <c r="D21" s="35" t="s">
        <v>23</v>
      </c>
      <c r="E21" s="35" t="s">
        <v>23</v>
      </c>
      <c r="F21" s="35" t="s">
        <v>23</v>
      </c>
      <c r="G21" s="35" t="s">
        <v>23</v>
      </c>
      <c r="H21" s="35" t="s">
        <v>23</v>
      </c>
      <c r="I21" s="21" t="s">
        <v>993</v>
      </c>
      <c r="J21" s="21">
        <v>85</v>
      </c>
      <c r="K21" s="21" t="s">
        <v>862</v>
      </c>
      <c r="L21" s="20" t="s">
        <v>994</v>
      </c>
    </row>
    <row r="22" spans="1:12" ht="17.100000000000001" customHeight="1">
      <c r="A22" s="27">
        <v>45841</v>
      </c>
      <c r="B22" s="20" t="s">
        <v>116</v>
      </c>
      <c r="C22" s="21" t="s">
        <v>21</v>
      </c>
      <c r="D22" s="21" t="s">
        <v>995</v>
      </c>
      <c r="E22" s="21" t="s">
        <v>927</v>
      </c>
      <c r="F22" s="21" t="s">
        <v>996</v>
      </c>
      <c r="G22" s="21" t="s">
        <v>23</v>
      </c>
      <c r="H22" s="21" t="s">
        <v>23</v>
      </c>
      <c r="I22" s="21" t="s">
        <v>23</v>
      </c>
      <c r="J22" s="21">
        <v>86</v>
      </c>
      <c r="K22" s="21" t="s">
        <v>997</v>
      </c>
      <c r="L22" s="20" t="s">
        <v>998</v>
      </c>
    </row>
    <row r="23" spans="1:12" ht="17.100000000000001" customHeight="1">
      <c r="A23" s="27">
        <v>45841</v>
      </c>
      <c r="B23" s="20" t="s">
        <v>116</v>
      </c>
      <c r="C23" s="21" t="s">
        <v>29</v>
      </c>
      <c r="D23" s="21" t="s">
        <v>995</v>
      </c>
      <c r="E23" s="21" t="s">
        <v>927</v>
      </c>
      <c r="F23" s="21" t="s">
        <v>996</v>
      </c>
      <c r="G23" s="21" t="s">
        <v>23</v>
      </c>
      <c r="H23" s="21" t="s">
        <v>23</v>
      </c>
      <c r="I23" s="21" t="s">
        <v>23</v>
      </c>
      <c r="J23" s="21">
        <v>94</v>
      </c>
      <c r="K23" s="21" t="s">
        <v>997</v>
      </c>
      <c r="L23" s="20" t="s">
        <v>998</v>
      </c>
    </row>
    <row r="24" spans="1:12" ht="17.100000000000001" customHeight="1">
      <c r="A24" s="27">
        <v>45841</v>
      </c>
      <c r="B24" s="20" t="s">
        <v>43</v>
      </c>
      <c r="C24" s="21" t="s">
        <v>21</v>
      </c>
      <c r="D24" s="21" t="s">
        <v>999</v>
      </c>
      <c r="E24" s="21" t="s">
        <v>927</v>
      </c>
      <c r="F24" s="21" t="s">
        <v>1000</v>
      </c>
      <c r="G24" s="21" t="s">
        <v>23</v>
      </c>
      <c r="H24" s="21" t="s">
        <v>23</v>
      </c>
      <c r="I24" s="21" t="s">
        <v>23</v>
      </c>
      <c r="J24" s="21">
        <v>73</v>
      </c>
      <c r="K24" s="21" t="s">
        <v>1001</v>
      </c>
      <c r="L24" s="20" t="s">
        <v>823</v>
      </c>
    </row>
    <row r="25" spans="1:12" ht="17.100000000000001" customHeight="1">
      <c r="A25" s="27">
        <v>45841</v>
      </c>
      <c r="B25" s="20" t="s">
        <v>43</v>
      </c>
      <c r="C25" s="21" t="s">
        <v>29</v>
      </c>
      <c r="D25" s="21" t="s">
        <v>1002</v>
      </c>
      <c r="E25" s="21" t="s">
        <v>927</v>
      </c>
      <c r="F25" s="21" t="s">
        <v>1003</v>
      </c>
      <c r="G25" s="21" t="s">
        <v>23</v>
      </c>
      <c r="H25" s="21" t="s">
        <v>23</v>
      </c>
      <c r="I25" s="21" t="s">
        <v>23</v>
      </c>
      <c r="J25" s="21">
        <v>77</v>
      </c>
      <c r="K25" s="21" t="s">
        <v>1001</v>
      </c>
      <c r="L25" s="20" t="s">
        <v>823</v>
      </c>
    </row>
    <row r="26" spans="1:12" ht="17.100000000000001" customHeight="1">
      <c r="A26" s="27">
        <v>45841</v>
      </c>
      <c r="B26" s="20" t="s">
        <v>43</v>
      </c>
      <c r="C26" s="21" t="s">
        <v>29</v>
      </c>
      <c r="D26" s="21" t="s">
        <v>1002</v>
      </c>
      <c r="E26" s="21" t="s">
        <v>927</v>
      </c>
      <c r="F26" s="21" t="s">
        <v>1003</v>
      </c>
      <c r="G26" s="21" t="s">
        <v>23</v>
      </c>
      <c r="H26" s="21" t="s">
        <v>23</v>
      </c>
      <c r="I26" s="21" t="s">
        <v>23</v>
      </c>
      <c r="J26" s="21">
        <v>164</v>
      </c>
      <c r="K26" s="21" t="s">
        <v>1001</v>
      </c>
      <c r="L26" s="20" t="s">
        <v>1004</v>
      </c>
    </row>
    <row r="27" spans="1:12" ht="17.100000000000001" customHeight="1">
      <c r="A27" s="27">
        <v>45841</v>
      </c>
      <c r="B27" s="20" t="s">
        <v>43</v>
      </c>
      <c r="C27" s="21" t="s">
        <v>33</v>
      </c>
      <c r="D27" s="21" t="s">
        <v>1005</v>
      </c>
      <c r="E27" s="21" t="s">
        <v>927</v>
      </c>
      <c r="F27" s="21" t="s">
        <v>1003</v>
      </c>
      <c r="G27" s="21" t="s">
        <v>23</v>
      </c>
      <c r="H27" s="21" t="s">
        <v>23</v>
      </c>
      <c r="I27" s="21" t="s">
        <v>23</v>
      </c>
      <c r="J27" s="21">
        <v>6</v>
      </c>
      <c r="K27" s="21" t="s">
        <v>1001</v>
      </c>
      <c r="L27" s="20" t="s">
        <v>1004</v>
      </c>
    </row>
    <row r="28" spans="1:12" ht="17.100000000000001" customHeight="1">
      <c r="A28" s="27">
        <v>45845</v>
      </c>
      <c r="B28" s="20" t="s">
        <v>43</v>
      </c>
      <c r="C28" s="21" t="s">
        <v>21</v>
      </c>
      <c r="D28" s="21" t="s">
        <v>1005</v>
      </c>
      <c r="E28" s="21" t="s">
        <v>927</v>
      </c>
      <c r="F28" s="21" t="s">
        <v>1011</v>
      </c>
      <c r="G28" s="21" t="s">
        <v>23</v>
      </c>
      <c r="H28" s="21" t="s">
        <v>23</v>
      </c>
      <c r="I28" s="21" t="s">
        <v>23</v>
      </c>
      <c r="J28" s="21"/>
      <c r="K28" s="21" t="s">
        <v>1006</v>
      </c>
      <c r="L28" s="20" t="s">
        <v>1004</v>
      </c>
    </row>
    <row r="29" spans="1:12" ht="17.100000000000001" customHeight="1">
      <c r="A29" s="27">
        <v>45845</v>
      </c>
      <c r="B29" s="20" t="s">
        <v>20</v>
      </c>
      <c r="C29" s="21" t="s">
        <v>21</v>
      </c>
      <c r="D29" s="21" t="s">
        <v>1007</v>
      </c>
      <c r="E29" s="21" t="s">
        <v>23</v>
      </c>
      <c r="F29" s="21" t="s">
        <v>1008</v>
      </c>
      <c r="G29" s="21" t="s">
        <v>1009</v>
      </c>
      <c r="H29" s="21" t="s">
        <v>23</v>
      </c>
      <c r="I29" s="21" t="s">
        <v>23</v>
      </c>
      <c r="J29" s="21">
        <v>180</v>
      </c>
      <c r="K29" s="21" t="s">
        <v>965</v>
      </c>
      <c r="L29" s="20" t="s">
        <v>1010</v>
      </c>
    </row>
    <row r="30" spans="1:12" ht="17.100000000000001" customHeight="1">
      <c r="A30" s="27">
        <v>45845</v>
      </c>
      <c r="B30" s="20" t="s">
        <v>20</v>
      </c>
      <c r="C30" s="21" t="s">
        <v>21</v>
      </c>
      <c r="D30" s="21" t="s">
        <v>1007</v>
      </c>
      <c r="E30" s="21" t="s">
        <v>23</v>
      </c>
      <c r="F30" s="21" t="s">
        <v>1008</v>
      </c>
      <c r="G30" s="21" t="s">
        <v>1009</v>
      </c>
      <c r="H30" s="21" t="s">
        <v>23</v>
      </c>
      <c r="I30" s="21" t="s">
        <v>23</v>
      </c>
      <c r="J30" s="21">
        <v>106</v>
      </c>
      <c r="K30" s="21" t="s">
        <v>965</v>
      </c>
      <c r="L30" s="20" t="s">
        <v>1013</v>
      </c>
    </row>
    <row r="31" spans="1:12" ht="17.100000000000001" customHeight="1">
      <c r="A31" s="27">
        <v>45845</v>
      </c>
      <c r="B31" s="20" t="s">
        <v>20</v>
      </c>
      <c r="C31" s="21" t="s">
        <v>29</v>
      </c>
      <c r="D31" s="21" t="s">
        <v>1012</v>
      </c>
      <c r="E31" s="21" t="s">
        <v>23</v>
      </c>
      <c r="F31" s="21" t="s">
        <v>1008</v>
      </c>
      <c r="G31" s="21" t="s">
        <v>1009</v>
      </c>
      <c r="H31" s="21" t="s">
        <v>23</v>
      </c>
      <c r="I31" s="21" t="s">
        <v>23</v>
      </c>
      <c r="J31" s="21">
        <v>264</v>
      </c>
      <c r="K31" s="21" t="s">
        <v>965</v>
      </c>
      <c r="L31" s="20" t="s">
        <v>1013</v>
      </c>
    </row>
    <row r="32" spans="1:12" ht="17.100000000000001" customHeight="1">
      <c r="A32" s="27">
        <v>45846</v>
      </c>
      <c r="B32" s="20" t="s">
        <v>20</v>
      </c>
      <c r="C32" s="21" t="s">
        <v>21</v>
      </c>
      <c r="D32" s="21" t="s">
        <v>1014</v>
      </c>
      <c r="E32" s="21" t="s">
        <v>23</v>
      </c>
      <c r="F32" s="21" t="s">
        <v>1008</v>
      </c>
      <c r="G32" s="21" t="s">
        <v>1009</v>
      </c>
      <c r="H32" s="21" t="s">
        <v>23</v>
      </c>
      <c r="I32" s="21" t="s">
        <v>23</v>
      </c>
      <c r="J32" s="21">
        <v>286</v>
      </c>
      <c r="K32" s="21" t="s">
        <v>1016</v>
      </c>
      <c r="L32" s="20" t="s">
        <v>1013</v>
      </c>
    </row>
    <row r="33" spans="1:12" ht="17.100000000000001" customHeight="1">
      <c r="A33" s="27">
        <v>45846</v>
      </c>
      <c r="B33" s="20" t="s">
        <v>20</v>
      </c>
      <c r="C33" s="21" t="s">
        <v>29</v>
      </c>
      <c r="D33" s="21" t="s">
        <v>1015</v>
      </c>
      <c r="E33" s="21" t="s">
        <v>23</v>
      </c>
      <c r="F33" s="21" t="s">
        <v>1008</v>
      </c>
      <c r="G33" s="21" t="s">
        <v>1009</v>
      </c>
      <c r="H33" s="21" t="s">
        <v>23</v>
      </c>
      <c r="I33" s="21" t="s">
        <v>23</v>
      </c>
      <c r="J33" s="21">
        <v>294</v>
      </c>
      <c r="K33" s="21" t="s">
        <v>1016</v>
      </c>
      <c r="L33" s="20" t="s">
        <v>1013</v>
      </c>
    </row>
    <row r="34" spans="1:12" ht="17.100000000000001" customHeight="1">
      <c r="A34" s="27">
        <v>45846</v>
      </c>
      <c r="B34" s="20" t="s">
        <v>43</v>
      </c>
      <c r="C34" s="21" t="s">
        <v>21</v>
      </c>
      <c r="D34" s="21" t="s">
        <v>1017</v>
      </c>
      <c r="E34" s="21" t="s">
        <v>927</v>
      </c>
      <c r="F34" s="21" t="s">
        <v>1018</v>
      </c>
      <c r="G34" s="21" t="s">
        <v>23</v>
      </c>
      <c r="H34" s="21" t="s">
        <v>23</v>
      </c>
      <c r="I34" s="21" t="s">
        <v>23</v>
      </c>
      <c r="J34" s="21">
        <v>100</v>
      </c>
      <c r="K34" s="21" t="s">
        <v>1019</v>
      </c>
      <c r="L34" s="20" t="s">
        <v>1004</v>
      </c>
    </row>
    <row r="35" spans="1:12" ht="17.100000000000001" customHeight="1">
      <c r="A35" s="27">
        <v>45847</v>
      </c>
      <c r="B35" s="20" t="s">
        <v>116</v>
      </c>
      <c r="C35" s="21" t="s">
        <v>21</v>
      </c>
      <c r="D35" s="21" t="s">
        <v>1017</v>
      </c>
      <c r="E35" s="21" t="s">
        <v>927</v>
      </c>
      <c r="F35" s="21" t="s">
        <v>1020</v>
      </c>
      <c r="G35" s="21" t="s">
        <v>23</v>
      </c>
      <c r="H35" s="21" t="s">
        <v>23</v>
      </c>
      <c r="I35" s="21" t="s">
        <v>23</v>
      </c>
      <c r="J35" s="21">
        <v>60</v>
      </c>
      <c r="K35" s="21" t="s">
        <v>1022</v>
      </c>
      <c r="L35" s="20" t="s">
        <v>1023</v>
      </c>
    </row>
    <row r="36" spans="1:12" ht="17.100000000000001" customHeight="1">
      <c r="A36" s="27">
        <v>45847</v>
      </c>
      <c r="B36" s="20" t="s">
        <v>116</v>
      </c>
      <c r="C36" s="21" t="s">
        <v>29</v>
      </c>
      <c r="D36" s="21" t="s">
        <v>1021</v>
      </c>
      <c r="E36" s="21" t="s">
        <v>927</v>
      </c>
      <c r="F36" s="21" t="s">
        <v>1020</v>
      </c>
      <c r="G36" s="21" t="s">
        <v>23</v>
      </c>
      <c r="H36" s="21" t="s">
        <v>23</v>
      </c>
      <c r="I36" s="21" t="s">
        <v>23</v>
      </c>
      <c r="J36" s="21">
        <v>220</v>
      </c>
      <c r="K36" s="21" t="s">
        <v>1022</v>
      </c>
      <c r="L36" s="20" t="s">
        <v>1023</v>
      </c>
    </row>
    <row r="37" spans="1:12" ht="17.100000000000001" customHeight="1">
      <c r="A37" s="27">
        <v>45847</v>
      </c>
      <c r="B37" s="20" t="s">
        <v>116</v>
      </c>
      <c r="C37" s="21" t="s">
        <v>29</v>
      </c>
      <c r="D37" s="21" t="s">
        <v>1021</v>
      </c>
      <c r="E37" s="21" t="s">
        <v>927</v>
      </c>
      <c r="F37" s="21" t="s">
        <v>1020</v>
      </c>
      <c r="G37" s="21" t="s">
        <v>23</v>
      </c>
      <c r="H37" s="21" t="s">
        <v>23</v>
      </c>
      <c r="I37" s="21" t="s">
        <v>23</v>
      </c>
      <c r="J37" s="21">
        <v>20</v>
      </c>
      <c r="K37" s="21" t="s">
        <v>1022</v>
      </c>
      <c r="L37" s="20" t="s">
        <v>1024</v>
      </c>
    </row>
    <row r="38" spans="1:12" ht="17.100000000000001" customHeight="1">
      <c r="A38" s="27">
        <v>45847</v>
      </c>
      <c r="B38" s="20" t="s">
        <v>20</v>
      </c>
      <c r="C38" s="21" t="s">
        <v>21</v>
      </c>
      <c r="D38" s="21" t="s">
        <v>1012</v>
      </c>
      <c r="E38" s="21" t="s">
        <v>23</v>
      </c>
      <c r="F38" s="21" t="s">
        <v>1008</v>
      </c>
      <c r="G38" s="21" t="s">
        <v>1009</v>
      </c>
      <c r="H38" s="21" t="s">
        <v>23</v>
      </c>
      <c r="I38" s="21" t="s">
        <v>23</v>
      </c>
      <c r="J38" s="21">
        <v>26</v>
      </c>
      <c r="K38" s="21" t="s">
        <v>988</v>
      </c>
      <c r="L38" s="20" t="s">
        <v>1013</v>
      </c>
    </row>
    <row r="39" spans="1:12" ht="17.100000000000001" customHeight="1">
      <c r="A39" s="27">
        <v>45847</v>
      </c>
      <c r="B39" s="20" t="s">
        <v>20</v>
      </c>
      <c r="C39" s="21" t="s">
        <v>21</v>
      </c>
      <c r="D39" s="21" t="s">
        <v>1025</v>
      </c>
      <c r="E39" s="21" t="s">
        <v>23</v>
      </c>
      <c r="F39" s="21" t="s">
        <v>1008</v>
      </c>
      <c r="G39" s="21" t="s">
        <v>1009</v>
      </c>
      <c r="H39" s="21" t="s">
        <v>23</v>
      </c>
      <c r="I39" s="21" t="s">
        <v>23</v>
      </c>
      <c r="J39" s="21">
        <v>286</v>
      </c>
      <c r="K39" s="21" t="s">
        <v>988</v>
      </c>
      <c r="L39" s="20" t="s">
        <v>1013</v>
      </c>
    </row>
    <row r="40" spans="1:12" ht="17.100000000000001" customHeight="1">
      <c r="A40" s="27">
        <v>45847</v>
      </c>
      <c r="B40" s="20" t="s">
        <v>20</v>
      </c>
      <c r="C40" s="21" t="s">
        <v>21</v>
      </c>
      <c r="D40" s="21" t="s">
        <v>1025</v>
      </c>
      <c r="E40" s="21" t="s">
        <v>23</v>
      </c>
      <c r="F40" s="21" t="s">
        <v>1008</v>
      </c>
      <c r="G40" s="21" t="s">
        <v>1009</v>
      </c>
      <c r="H40" s="21" t="s">
        <v>23</v>
      </c>
      <c r="I40" s="21" t="s">
        <v>23</v>
      </c>
      <c r="J40" s="21">
        <v>98</v>
      </c>
      <c r="K40" s="21" t="s">
        <v>988</v>
      </c>
      <c r="L40" s="20" t="s">
        <v>1013</v>
      </c>
    </row>
    <row r="41" spans="1:12" ht="17.100000000000001" customHeight="1">
      <c r="A41" s="27">
        <v>45847</v>
      </c>
      <c r="B41" s="20" t="s">
        <v>43</v>
      </c>
      <c r="C41" s="21" t="s">
        <v>21</v>
      </c>
      <c r="D41" s="21" t="s">
        <v>1027</v>
      </c>
      <c r="E41" s="21" t="s">
        <v>927</v>
      </c>
      <c r="F41" s="21" t="s">
        <v>1029</v>
      </c>
      <c r="G41" s="21" t="s">
        <v>23</v>
      </c>
      <c r="H41" s="21" t="s">
        <v>23</v>
      </c>
      <c r="I41" s="21" t="s">
        <v>23</v>
      </c>
      <c r="J41" s="21">
        <v>239</v>
      </c>
      <c r="K41" s="21" t="s">
        <v>1022</v>
      </c>
      <c r="L41" s="20" t="s">
        <v>1004</v>
      </c>
    </row>
    <row r="42" spans="1:12" ht="17.100000000000001" customHeight="1">
      <c r="A42" s="27">
        <v>45847</v>
      </c>
      <c r="B42" s="20" t="s">
        <v>43</v>
      </c>
      <c r="C42" s="21" t="s">
        <v>29</v>
      </c>
      <c r="D42" s="21" t="s">
        <v>1028</v>
      </c>
      <c r="E42" s="21" t="s">
        <v>927</v>
      </c>
      <c r="F42" s="21" t="s">
        <v>1029</v>
      </c>
      <c r="G42" s="21" t="s">
        <v>23</v>
      </c>
      <c r="H42" s="21" t="s">
        <v>23</v>
      </c>
      <c r="I42" s="21" t="s">
        <v>23</v>
      </c>
      <c r="J42" s="21">
        <v>159</v>
      </c>
      <c r="K42" s="21" t="s">
        <v>1022</v>
      </c>
      <c r="L42" s="20" t="s">
        <v>1004</v>
      </c>
    </row>
    <row r="43" spans="1:12" ht="17.100000000000001" customHeight="1">
      <c r="A43" s="27">
        <v>45847</v>
      </c>
      <c r="B43" s="20" t="s">
        <v>43</v>
      </c>
      <c r="C43" s="21" t="s">
        <v>29</v>
      </c>
      <c r="D43" s="21" t="s">
        <v>1028</v>
      </c>
      <c r="E43" s="21" t="s">
        <v>927</v>
      </c>
      <c r="F43" s="21" t="s">
        <v>1029</v>
      </c>
      <c r="G43" s="21" t="s">
        <v>23</v>
      </c>
      <c r="H43" s="21" t="s">
        <v>23</v>
      </c>
      <c r="I43" s="21" t="s">
        <v>23</v>
      </c>
      <c r="J43" s="21">
        <v>81</v>
      </c>
      <c r="K43" s="21" t="s">
        <v>1022</v>
      </c>
      <c r="L43" s="20" t="s">
        <v>1031</v>
      </c>
    </row>
    <row r="44" spans="1:12" ht="17.100000000000001" customHeight="1">
      <c r="A44" s="27">
        <v>45847</v>
      </c>
      <c r="B44" s="20" t="s">
        <v>43</v>
      </c>
      <c r="C44" s="21" t="s">
        <v>33</v>
      </c>
      <c r="D44" s="21" t="s">
        <v>1030</v>
      </c>
      <c r="E44" s="21" t="s">
        <v>927</v>
      </c>
      <c r="F44" s="21" t="s">
        <v>1029</v>
      </c>
      <c r="G44" s="21" t="s">
        <v>23</v>
      </c>
      <c r="H44" s="21" t="s">
        <v>23</v>
      </c>
      <c r="I44" s="21" t="s">
        <v>23</v>
      </c>
      <c r="J44" s="21">
        <v>63</v>
      </c>
      <c r="K44" s="21" t="s">
        <v>1022</v>
      </c>
      <c r="L44" s="20" t="s">
        <v>1031</v>
      </c>
    </row>
    <row r="45" spans="1:12" ht="17.100000000000001" customHeight="1">
      <c r="A45" s="27">
        <v>45847</v>
      </c>
      <c r="B45" s="20" t="s">
        <v>43</v>
      </c>
      <c r="C45" s="21" t="s">
        <v>33</v>
      </c>
      <c r="D45" s="21" t="s">
        <v>1030</v>
      </c>
      <c r="E45" s="21" t="s">
        <v>927</v>
      </c>
      <c r="F45" s="21" t="s">
        <v>1033</v>
      </c>
      <c r="G45" s="21" t="s">
        <v>23</v>
      </c>
      <c r="H45" s="21" t="s">
        <v>23</v>
      </c>
      <c r="I45" s="21" t="s">
        <v>23</v>
      </c>
      <c r="J45" s="21">
        <v>110</v>
      </c>
      <c r="K45" s="21" t="s">
        <v>1022</v>
      </c>
      <c r="L45" s="20" t="s">
        <v>1032</v>
      </c>
    </row>
    <row r="46" spans="1:12" ht="17.100000000000001" customHeight="1">
      <c r="A46" s="27">
        <v>45848</v>
      </c>
      <c r="B46" s="20" t="s">
        <v>43</v>
      </c>
      <c r="C46" s="21" t="s">
        <v>21</v>
      </c>
      <c r="D46" s="21" t="s">
        <v>1030</v>
      </c>
      <c r="E46" s="21" t="s">
        <v>927</v>
      </c>
      <c r="F46" s="21" t="s">
        <v>1036</v>
      </c>
      <c r="G46" s="21" t="s">
        <v>23</v>
      </c>
      <c r="H46" s="21" t="s">
        <v>23</v>
      </c>
      <c r="I46" s="21" t="s">
        <v>23</v>
      </c>
      <c r="J46" s="21">
        <v>68</v>
      </c>
      <c r="K46" s="21" t="s">
        <v>1034</v>
      </c>
      <c r="L46" s="20" t="s">
        <v>1032</v>
      </c>
    </row>
    <row r="47" spans="1:12" ht="17.100000000000001" customHeight="1">
      <c r="A47" s="27">
        <v>45848</v>
      </c>
      <c r="B47" s="20" t="s">
        <v>43</v>
      </c>
      <c r="C47" s="21" t="s">
        <v>29</v>
      </c>
      <c r="D47" s="21" t="s">
        <v>1035</v>
      </c>
      <c r="E47" s="21" t="s">
        <v>927</v>
      </c>
      <c r="F47" s="21" t="s">
        <v>1036</v>
      </c>
      <c r="G47" s="21" t="s">
        <v>23</v>
      </c>
      <c r="H47" s="21" t="s">
        <v>23</v>
      </c>
      <c r="I47" s="21" t="s">
        <v>23</v>
      </c>
      <c r="J47" s="21">
        <v>72</v>
      </c>
      <c r="K47" s="21" t="s">
        <v>1034</v>
      </c>
      <c r="L47" s="20" t="s">
        <v>1032</v>
      </c>
    </row>
    <row r="48" spans="1:12" ht="17.100000000000001" customHeight="1">
      <c r="A48" s="27">
        <v>45848</v>
      </c>
      <c r="B48" s="20" t="s">
        <v>43</v>
      </c>
      <c r="C48" s="21" t="s">
        <v>33</v>
      </c>
      <c r="D48" s="21" t="s">
        <v>1039</v>
      </c>
      <c r="E48" s="21" t="s">
        <v>927</v>
      </c>
      <c r="F48" s="21" t="s">
        <v>1036</v>
      </c>
      <c r="G48" s="21" t="s">
        <v>23</v>
      </c>
      <c r="H48" s="21" t="s">
        <v>23</v>
      </c>
      <c r="I48" s="21" t="s">
        <v>23</v>
      </c>
      <c r="J48" s="21">
        <v>62</v>
      </c>
      <c r="K48" s="21" t="s">
        <v>1034</v>
      </c>
      <c r="L48" s="20" t="s">
        <v>1032</v>
      </c>
    </row>
    <row r="49" spans="1:14" ht="17.100000000000001" customHeight="1">
      <c r="A49" s="27">
        <v>45848</v>
      </c>
      <c r="B49" s="20" t="s">
        <v>43</v>
      </c>
      <c r="C49" s="21" t="s">
        <v>33</v>
      </c>
      <c r="D49" s="21" t="s">
        <v>1039</v>
      </c>
      <c r="E49" s="21" t="s">
        <v>927</v>
      </c>
      <c r="F49" s="21" t="s">
        <v>1042</v>
      </c>
      <c r="G49" s="21" t="s">
        <v>23</v>
      </c>
      <c r="H49" s="21" t="s">
        <v>23</v>
      </c>
      <c r="I49" s="21" t="s">
        <v>23</v>
      </c>
      <c r="J49" s="21">
        <v>50</v>
      </c>
      <c r="K49" s="21" t="s">
        <v>1034</v>
      </c>
      <c r="L49" s="20" t="s">
        <v>1040</v>
      </c>
    </row>
    <row r="50" spans="1:14" ht="17.100000000000001" customHeight="1">
      <c r="A50" s="27">
        <v>45848</v>
      </c>
      <c r="B50" s="20" t="s">
        <v>43</v>
      </c>
      <c r="C50" s="21" t="s">
        <v>34</v>
      </c>
      <c r="D50" s="21" t="s">
        <v>1041</v>
      </c>
      <c r="E50" s="21" t="s">
        <v>927</v>
      </c>
      <c r="F50" s="21" t="s">
        <v>1042</v>
      </c>
      <c r="G50" s="21" t="s">
        <v>23</v>
      </c>
      <c r="H50" s="21" t="s">
        <v>23</v>
      </c>
      <c r="I50" s="21" t="s">
        <v>23</v>
      </c>
      <c r="J50" s="21">
        <v>240</v>
      </c>
      <c r="K50" s="21" t="s">
        <v>1034</v>
      </c>
      <c r="L50" s="20" t="s">
        <v>1040</v>
      </c>
      <c r="M50" s="2" t="s">
        <v>1037</v>
      </c>
    </row>
    <row r="51" spans="1:14" ht="17.100000000000001" customHeight="1">
      <c r="A51" s="27">
        <v>45848</v>
      </c>
      <c r="B51" s="20" t="s">
        <v>43</v>
      </c>
      <c r="C51" s="21" t="s">
        <v>139</v>
      </c>
      <c r="D51" s="21" t="s">
        <v>1043</v>
      </c>
      <c r="E51" s="21" t="s">
        <v>927</v>
      </c>
      <c r="F51" s="21" t="s">
        <v>1042</v>
      </c>
      <c r="G51" s="21" t="s">
        <v>23</v>
      </c>
      <c r="H51" s="21" t="s">
        <v>23</v>
      </c>
      <c r="I51" s="21" t="s">
        <v>23</v>
      </c>
      <c r="J51" s="21">
        <v>40</v>
      </c>
      <c r="K51" s="21" t="s">
        <v>1034</v>
      </c>
      <c r="L51" s="20" t="s">
        <v>1040</v>
      </c>
    </row>
    <row r="52" spans="1:14" ht="17.100000000000001" customHeight="1">
      <c r="A52" s="27">
        <v>45848</v>
      </c>
      <c r="B52" s="20" t="s">
        <v>20</v>
      </c>
      <c r="C52" s="21" t="s">
        <v>21</v>
      </c>
      <c r="D52" s="21" t="s">
        <v>1026</v>
      </c>
      <c r="E52" s="21" t="s">
        <v>23</v>
      </c>
      <c r="F52" s="21" t="s">
        <v>1008</v>
      </c>
      <c r="G52" s="21" t="s">
        <v>1009</v>
      </c>
      <c r="H52" s="21" t="s">
        <v>23</v>
      </c>
      <c r="I52" s="21" t="s">
        <v>23</v>
      </c>
      <c r="J52" s="21">
        <v>223</v>
      </c>
      <c r="K52" s="21" t="s">
        <v>988</v>
      </c>
      <c r="L52" s="20" t="s">
        <v>1013</v>
      </c>
    </row>
    <row r="53" spans="1:14" ht="17.100000000000001" customHeight="1">
      <c r="A53" s="27">
        <v>45848</v>
      </c>
      <c r="B53" s="20" t="s">
        <v>20</v>
      </c>
      <c r="C53" s="21" t="s">
        <v>29</v>
      </c>
      <c r="D53" s="21" t="s">
        <v>1038</v>
      </c>
      <c r="E53" s="21" t="s">
        <v>23</v>
      </c>
      <c r="F53" s="21" t="s">
        <v>1008</v>
      </c>
      <c r="G53" s="21" t="s">
        <v>1009</v>
      </c>
      <c r="H53" s="21" t="s">
        <v>23</v>
      </c>
      <c r="I53" s="21" t="s">
        <v>23</v>
      </c>
      <c r="J53" s="21">
        <v>187</v>
      </c>
      <c r="K53" s="21" t="s">
        <v>988</v>
      </c>
      <c r="L53" s="20" t="s">
        <v>1013</v>
      </c>
    </row>
    <row r="54" spans="1:14" ht="17.100000000000001" customHeight="1">
      <c r="A54" s="27">
        <v>45849</v>
      </c>
      <c r="B54" s="20" t="s">
        <v>20</v>
      </c>
      <c r="C54" s="21" t="s">
        <v>21</v>
      </c>
      <c r="D54" s="21" t="s">
        <v>1038</v>
      </c>
      <c r="E54" s="21" t="s">
        <v>23</v>
      </c>
      <c r="F54" s="21" t="s">
        <v>1008</v>
      </c>
      <c r="G54" s="21" t="s">
        <v>1009</v>
      </c>
      <c r="H54" s="21" t="s">
        <v>23</v>
      </c>
      <c r="I54" s="21" t="s">
        <v>23</v>
      </c>
      <c r="J54" s="21">
        <v>99</v>
      </c>
      <c r="K54" s="21" t="s">
        <v>988</v>
      </c>
      <c r="L54" s="20" t="s">
        <v>1013</v>
      </c>
    </row>
    <row r="55" spans="1:14" ht="17.100000000000001" customHeight="1">
      <c r="A55" s="27">
        <v>45849</v>
      </c>
      <c r="B55" s="20" t="s">
        <v>20</v>
      </c>
      <c r="C55" s="21" t="s">
        <v>29</v>
      </c>
      <c r="D55" s="21" t="s">
        <v>1044</v>
      </c>
      <c r="F55" s="21" t="s">
        <v>1008</v>
      </c>
      <c r="G55" s="21" t="s">
        <v>1009</v>
      </c>
      <c r="H55" s="21" t="s">
        <v>23</v>
      </c>
      <c r="I55" s="21" t="s">
        <v>23</v>
      </c>
      <c r="J55" s="2">
        <v>147</v>
      </c>
      <c r="K55" s="21" t="s">
        <v>988</v>
      </c>
      <c r="L55" s="20" t="s">
        <v>1013</v>
      </c>
    </row>
    <row r="56" spans="1:14" ht="17.100000000000001" customHeight="1">
      <c r="A56" s="27">
        <v>45849</v>
      </c>
      <c r="B56" s="20" t="s">
        <v>20</v>
      </c>
      <c r="C56" s="21" t="s">
        <v>21</v>
      </c>
      <c r="D56" s="21" t="s">
        <v>1045</v>
      </c>
      <c r="E56" s="21" t="s">
        <v>23</v>
      </c>
      <c r="F56" s="21" t="s">
        <v>1008</v>
      </c>
      <c r="G56" s="21" t="s">
        <v>1009</v>
      </c>
      <c r="H56" s="21" t="s">
        <v>23</v>
      </c>
      <c r="I56" s="21" t="s">
        <v>23</v>
      </c>
      <c r="J56" s="21">
        <v>240</v>
      </c>
      <c r="K56" s="20" t="s">
        <v>1046</v>
      </c>
      <c r="L56" s="20" t="s">
        <v>1040</v>
      </c>
    </row>
    <row r="57" spans="1:14" ht="17.100000000000001" customHeight="1">
      <c r="A57" s="27">
        <v>45849</v>
      </c>
      <c r="B57" s="20" t="s">
        <v>20</v>
      </c>
      <c r="C57" s="21" t="s">
        <v>29</v>
      </c>
      <c r="D57" s="21" t="s">
        <v>1047</v>
      </c>
      <c r="E57" s="21" t="s">
        <v>23</v>
      </c>
      <c r="F57" s="21" t="s">
        <v>1008</v>
      </c>
      <c r="G57" s="21" t="s">
        <v>1009</v>
      </c>
      <c r="H57" s="21" t="s">
        <v>23</v>
      </c>
      <c r="I57" s="21" t="s">
        <v>23</v>
      </c>
      <c r="J57" s="21">
        <v>158</v>
      </c>
      <c r="K57" s="21" t="s">
        <v>1048</v>
      </c>
      <c r="L57" s="20" t="s">
        <v>1040</v>
      </c>
    </row>
    <row r="58" spans="1:14" ht="17.100000000000001" customHeight="1">
      <c r="A58" s="27">
        <v>45849</v>
      </c>
      <c r="B58" s="20" t="s">
        <v>20</v>
      </c>
      <c r="C58" s="21" t="s">
        <v>33</v>
      </c>
      <c r="D58" s="21" t="s">
        <v>1049</v>
      </c>
      <c r="E58" s="21" t="s">
        <v>23</v>
      </c>
      <c r="F58" s="21" t="s">
        <v>1008</v>
      </c>
      <c r="G58" s="21" t="s">
        <v>1009</v>
      </c>
      <c r="H58" s="21" t="s">
        <v>23</v>
      </c>
      <c r="I58" s="21" t="s">
        <v>23</v>
      </c>
      <c r="J58" s="21">
        <v>50</v>
      </c>
      <c r="K58" s="21" t="s">
        <v>1048</v>
      </c>
      <c r="L58" s="20" t="s">
        <v>1050</v>
      </c>
    </row>
    <row r="59" spans="1:14" ht="17.100000000000001" customHeight="1">
      <c r="A59" s="27">
        <v>45849</v>
      </c>
      <c r="B59" s="20" t="s">
        <v>20</v>
      </c>
      <c r="C59" s="21" t="s">
        <v>33</v>
      </c>
      <c r="D59" s="21" t="s">
        <v>1052</v>
      </c>
      <c r="E59" s="21" t="s">
        <v>23</v>
      </c>
      <c r="F59" s="21" t="s">
        <v>1008</v>
      </c>
      <c r="G59" s="21" t="s">
        <v>1009</v>
      </c>
      <c r="H59" s="21" t="s">
        <v>23</v>
      </c>
      <c r="I59" s="21" t="s">
        <v>23</v>
      </c>
      <c r="J59" s="21">
        <v>104</v>
      </c>
      <c r="K59" s="21" t="s">
        <v>988</v>
      </c>
      <c r="L59" s="20" t="s">
        <v>1051</v>
      </c>
    </row>
    <row r="60" spans="1:14" ht="17.100000000000001" customHeight="1" thickBot="1">
      <c r="A60" s="27">
        <v>45849</v>
      </c>
      <c r="B60" s="20" t="s">
        <v>20</v>
      </c>
      <c r="C60" s="21" t="s">
        <v>34</v>
      </c>
      <c r="D60" s="21" t="s">
        <v>1052</v>
      </c>
      <c r="E60" s="21" t="s">
        <v>23</v>
      </c>
      <c r="F60" s="21" t="s">
        <v>1008</v>
      </c>
      <c r="G60" s="21" t="s">
        <v>1009</v>
      </c>
      <c r="H60" s="21" t="s">
        <v>23</v>
      </c>
      <c r="I60" s="21" t="s">
        <v>23</v>
      </c>
      <c r="J60" s="25">
        <v>60</v>
      </c>
      <c r="K60" s="21" t="s">
        <v>988</v>
      </c>
      <c r="L60" s="24" t="s">
        <v>1053</v>
      </c>
    </row>
    <row r="61" spans="1:14">
      <c r="A61" s="27">
        <v>45852</v>
      </c>
      <c r="B61" s="20" t="s">
        <v>20</v>
      </c>
      <c r="C61" s="21" t="s">
        <v>21</v>
      </c>
      <c r="D61" s="21" t="s">
        <v>1054</v>
      </c>
      <c r="E61" s="21" t="s">
        <v>23</v>
      </c>
      <c r="F61" s="21" t="s">
        <v>1008</v>
      </c>
      <c r="G61" s="21" t="s">
        <v>1009</v>
      </c>
      <c r="H61" s="21" t="s">
        <v>23</v>
      </c>
      <c r="I61" s="21" t="s">
        <v>23</v>
      </c>
      <c r="J61" s="21">
        <v>286</v>
      </c>
      <c r="K61" s="21" t="s">
        <v>988</v>
      </c>
      <c r="L61" s="20" t="s">
        <v>1053</v>
      </c>
      <c r="M61" s="18"/>
      <c r="N61" s="17"/>
    </row>
    <row r="62" spans="1:14" ht="15" thickBot="1">
      <c r="A62" s="27">
        <v>45852</v>
      </c>
      <c r="B62" s="20" t="s">
        <v>20</v>
      </c>
      <c r="C62" s="21" t="s">
        <v>29</v>
      </c>
      <c r="D62" s="21" t="s">
        <v>1054</v>
      </c>
      <c r="E62" s="21" t="s">
        <v>23</v>
      </c>
      <c r="F62" s="21" t="s">
        <v>1008</v>
      </c>
      <c r="G62" s="21" t="s">
        <v>1009</v>
      </c>
      <c r="H62" s="21" t="s">
        <v>23</v>
      </c>
      <c r="I62" s="21" t="s">
        <v>23</v>
      </c>
      <c r="J62" s="21">
        <v>22</v>
      </c>
      <c r="K62" s="21" t="s">
        <v>988</v>
      </c>
      <c r="L62" s="24" t="s">
        <v>1053</v>
      </c>
    </row>
    <row r="63" spans="1:14">
      <c r="A63" s="27">
        <v>45852</v>
      </c>
      <c r="B63" s="20" t="s">
        <v>20</v>
      </c>
      <c r="C63" s="21" t="s">
        <v>33</v>
      </c>
      <c r="D63" s="21" t="s">
        <v>1054</v>
      </c>
      <c r="E63" s="21" t="s">
        <v>23</v>
      </c>
      <c r="F63" s="21" t="s">
        <v>1008</v>
      </c>
      <c r="G63" s="21" t="s">
        <v>1009</v>
      </c>
      <c r="H63" s="21" t="s">
        <v>23</v>
      </c>
      <c r="I63" s="21" t="s">
        <v>23</v>
      </c>
      <c r="J63" s="21">
        <v>5</v>
      </c>
      <c r="K63" s="21" t="s">
        <v>988</v>
      </c>
      <c r="L63" s="20" t="s">
        <v>1055</v>
      </c>
    </row>
    <row r="64" spans="1:14">
      <c r="A64" s="27">
        <v>45852</v>
      </c>
      <c r="B64" s="20" t="s">
        <v>20</v>
      </c>
      <c r="C64" s="21" t="s">
        <v>34</v>
      </c>
      <c r="D64" s="21" t="s">
        <v>1056</v>
      </c>
      <c r="E64" s="21" t="s">
        <v>23</v>
      </c>
      <c r="F64" s="21" t="s">
        <v>1008</v>
      </c>
      <c r="G64" s="21" t="s">
        <v>1009</v>
      </c>
      <c r="H64" s="21" t="s">
        <v>23</v>
      </c>
      <c r="I64" s="21" t="s">
        <v>23</v>
      </c>
      <c r="J64" s="21">
        <v>100</v>
      </c>
      <c r="K64" s="21" t="s">
        <v>988</v>
      </c>
      <c r="L64" s="20" t="s">
        <v>1055</v>
      </c>
    </row>
    <row r="65" spans="1:12">
      <c r="A65" s="27">
        <v>45853</v>
      </c>
      <c r="B65" s="20" t="s">
        <v>20</v>
      </c>
      <c r="C65" s="21" t="s">
        <v>21</v>
      </c>
      <c r="D65" s="21" t="s">
        <v>1056</v>
      </c>
      <c r="E65" s="21" t="s">
        <v>23</v>
      </c>
      <c r="F65" s="21" t="s">
        <v>1008</v>
      </c>
      <c r="G65" s="21" t="s">
        <v>1009</v>
      </c>
      <c r="H65" s="21" t="s">
        <v>23</v>
      </c>
      <c r="I65" s="21" t="s">
        <v>23</v>
      </c>
      <c r="J65" s="21">
        <v>45</v>
      </c>
      <c r="K65" s="21" t="s">
        <v>988</v>
      </c>
      <c r="L65" s="20" t="s">
        <v>1055</v>
      </c>
    </row>
    <row r="66" spans="1:12">
      <c r="A66" s="27">
        <v>45853</v>
      </c>
      <c r="B66" s="20" t="s">
        <v>43</v>
      </c>
      <c r="C66" s="21" t="s">
        <v>21</v>
      </c>
      <c r="D66" s="21" t="s">
        <v>1057</v>
      </c>
      <c r="E66" s="21" t="s">
        <v>79</v>
      </c>
      <c r="F66" s="21" t="s">
        <v>1058</v>
      </c>
      <c r="G66" s="21" t="s">
        <v>23</v>
      </c>
      <c r="H66" s="21" t="s">
        <v>23</v>
      </c>
      <c r="I66" s="21" t="s">
        <v>23</v>
      </c>
      <c r="J66" s="21">
        <v>258</v>
      </c>
      <c r="K66" s="20" t="s">
        <v>1046</v>
      </c>
      <c r="L66" s="20" t="s">
        <v>1059</v>
      </c>
    </row>
    <row r="67" spans="1:12" ht="15" thickBot="1">
      <c r="A67" s="27">
        <v>45853</v>
      </c>
      <c r="B67" s="20" t="s">
        <v>116</v>
      </c>
      <c r="C67" s="25" t="s">
        <v>21</v>
      </c>
      <c r="D67" s="21" t="s">
        <v>1057</v>
      </c>
      <c r="E67" s="21" t="s">
        <v>79</v>
      </c>
      <c r="F67" s="21" t="s">
        <v>1058</v>
      </c>
      <c r="G67" s="21" t="s">
        <v>23</v>
      </c>
      <c r="H67" s="21" t="s">
        <v>23</v>
      </c>
      <c r="I67" s="21" t="s">
        <v>23</v>
      </c>
      <c r="J67" s="25">
        <v>43</v>
      </c>
      <c r="K67" s="20" t="s">
        <v>1046</v>
      </c>
      <c r="L67" s="24" t="s">
        <v>1060</v>
      </c>
    </row>
    <row r="68" spans="1:12" ht="15" thickBot="1">
      <c r="A68" s="22" t="s">
        <v>1037</v>
      </c>
      <c r="B68" s="20" t="s">
        <v>116</v>
      </c>
      <c r="C68" s="21" t="s">
        <v>29</v>
      </c>
      <c r="D68" s="21" t="s">
        <v>1061</v>
      </c>
      <c r="E68" s="21" t="s">
        <v>79</v>
      </c>
      <c r="F68" s="21" t="s">
        <v>840</v>
      </c>
      <c r="G68" s="21" t="s">
        <v>23</v>
      </c>
      <c r="H68" s="21" t="s">
        <v>23</v>
      </c>
      <c r="I68" s="21" t="s">
        <v>23</v>
      </c>
      <c r="J68" s="21">
        <v>137</v>
      </c>
      <c r="K68" s="20" t="s">
        <v>1046</v>
      </c>
      <c r="L68" s="24" t="s">
        <v>1060</v>
      </c>
    </row>
    <row r="69" spans="1:12">
      <c r="A69" s="27">
        <v>45854</v>
      </c>
      <c r="B69" s="20" t="s">
        <v>20</v>
      </c>
      <c r="C69" s="21" t="s">
        <v>21</v>
      </c>
      <c r="D69" s="21" t="s">
        <v>1049</v>
      </c>
      <c r="E69" s="21" t="s">
        <v>23</v>
      </c>
      <c r="F69" s="21" t="s">
        <v>1008</v>
      </c>
      <c r="G69" s="21" t="s">
        <v>1009</v>
      </c>
      <c r="H69" s="21" t="s">
        <v>23</v>
      </c>
      <c r="I69" s="21" t="s">
        <v>23</v>
      </c>
      <c r="J69" s="21">
        <v>5</v>
      </c>
      <c r="K69" s="21" t="s">
        <v>988</v>
      </c>
      <c r="L69" s="20" t="s">
        <v>1062</v>
      </c>
    </row>
    <row r="70" spans="1:12">
      <c r="A70" s="27">
        <v>45854</v>
      </c>
      <c r="B70" s="20" t="s">
        <v>20</v>
      </c>
      <c r="C70" s="21" t="s">
        <v>21</v>
      </c>
      <c r="D70" s="21" t="s">
        <v>1049</v>
      </c>
      <c r="E70" s="21" t="s">
        <v>23</v>
      </c>
      <c r="F70" s="21" t="s">
        <v>1008</v>
      </c>
      <c r="G70" s="21" t="s">
        <v>1009</v>
      </c>
      <c r="H70" s="21" t="s">
        <v>23</v>
      </c>
      <c r="I70" s="21" t="s">
        <v>23</v>
      </c>
      <c r="J70" s="21">
        <v>5</v>
      </c>
      <c r="K70" s="21" t="s">
        <v>988</v>
      </c>
      <c r="L70" s="20" t="s">
        <v>1063</v>
      </c>
    </row>
    <row r="71" spans="1:12">
      <c r="A71" s="27">
        <v>45855</v>
      </c>
      <c r="B71" s="20" t="s">
        <v>110</v>
      </c>
      <c r="C71" s="21" t="s">
        <v>21</v>
      </c>
      <c r="D71" s="21" t="s">
        <v>1066</v>
      </c>
      <c r="E71" s="21" t="s">
        <v>79</v>
      </c>
      <c r="F71" s="21" t="s">
        <v>1067</v>
      </c>
      <c r="G71" s="21" t="s">
        <v>23</v>
      </c>
      <c r="H71" s="21" t="s">
        <v>23</v>
      </c>
      <c r="I71" s="21" t="s">
        <v>23</v>
      </c>
      <c r="J71" s="21">
        <v>20</v>
      </c>
      <c r="K71" s="21" t="s">
        <v>1068</v>
      </c>
      <c r="L71" s="20" t="s">
        <v>1069</v>
      </c>
    </row>
    <row r="72" spans="1:12">
      <c r="A72" s="27">
        <v>45856</v>
      </c>
      <c r="B72" s="20" t="s">
        <v>110</v>
      </c>
      <c r="C72" s="21" t="s">
        <v>21</v>
      </c>
      <c r="D72" s="21" t="s">
        <v>1066</v>
      </c>
      <c r="E72" s="21" t="s">
        <v>79</v>
      </c>
      <c r="F72" s="21" t="s">
        <v>1067</v>
      </c>
      <c r="G72" s="21" t="s">
        <v>23</v>
      </c>
      <c r="H72" s="21" t="s">
        <v>23</v>
      </c>
      <c r="I72" s="21" t="s">
        <v>23</v>
      </c>
      <c r="J72" s="21">
        <v>16</v>
      </c>
      <c r="K72" s="21" t="s">
        <v>1070</v>
      </c>
      <c r="L72" s="20" t="s">
        <v>1069</v>
      </c>
    </row>
    <row r="73" spans="1:12">
      <c r="A73" s="27">
        <v>45856</v>
      </c>
      <c r="B73" s="20" t="s">
        <v>116</v>
      </c>
      <c r="C73" s="21" t="s">
        <v>21</v>
      </c>
      <c r="D73" s="21" t="s">
        <v>1066</v>
      </c>
      <c r="E73" s="21" t="s">
        <v>79</v>
      </c>
      <c r="F73" s="21" t="s">
        <v>1067</v>
      </c>
      <c r="G73" s="21" t="s">
        <v>23</v>
      </c>
      <c r="H73" s="21" t="s">
        <v>23</v>
      </c>
      <c r="I73" s="21" t="s">
        <v>23</v>
      </c>
      <c r="J73" s="21">
        <v>36</v>
      </c>
      <c r="K73" s="21" t="s">
        <v>1070</v>
      </c>
      <c r="L73" s="20" t="s">
        <v>1071</v>
      </c>
    </row>
    <row r="74" spans="1:12">
      <c r="A74" s="27">
        <v>45856</v>
      </c>
      <c r="B74" s="20" t="s">
        <v>43</v>
      </c>
      <c r="C74" s="21" t="s">
        <v>21</v>
      </c>
      <c r="D74" s="21" t="s">
        <v>1072</v>
      </c>
      <c r="E74" s="21" t="s">
        <v>79</v>
      </c>
      <c r="F74" s="21" t="s">
        <v>1073</v>
      </c>
      <c r="G74" s="21" t="s">
        <v>23</v>
      </c>
      <c r="H74" s="21" t="s">
        <v>23</v>
      </c>
      <c r="I74" s="21" t="s">
        <v>23</v>
      </c>
      <c r="J74" s="21">
        <v>140</v>
      </c>
      <c r="K74" s="21" t="s">
        <v>1070</v>
      </c>
      <c r="L74" s="20" t="s">
        <v>1074</v>
      </c>
    </row>
    <row r="75" spans="1:12">
      <c r="A75" s="27">
        <v>45856</v>
      </c>
      <c r="B75" s="20" t="s">
        <v>43</v>
      </c>
      <c r="C75" s="21" t="s">
        <v>21</v>
      </c>
      <c r="D75" s="21" t="s">
        <v>1072</v>
      </c>
      <c r="E75" s="21" t="s">
        <v>79</v>
      </c>
      <c r="F75" s="21" t="s">
        <v>1073</v>
      </c>
      <c r="G75" s="21" t="s">
        <v>23</v>
      </c>
      <c r="H75" s="21" t="s">
        <v>23</v>
      </c>
      <c r="I75" s="21" t="s">
        <v>23</v>
      </c>
      <c r="J75" s="21">
        <v>52</v>
      </c>
      <c r="K75" s="21" t="s">
        <v>1070</v>
      </c>
      <c r="L75" s="20" t="s">
        <v>1075</v>
      </c>
    </row>
    <row r="76" spans="1:12">
      <c r="A76" s="27">
        <v>45856</v>
      </c>
      <c r="B76" s="20" t="s">
        <v>43</v>
      </c>
      <c r="C76" s="21" t="s">
        <v>21</v>
      </c>
      <c r="D76" s="21" t="s">
        <v>1072</v>
      </c>
      <c r="E76" s="21" t="s">
        <v>79</v>
      </c>
      <c r="F76" s="21" t="s">
        <v>1073</v>
      </c>
      <c r="G76" s="21" t="s">
        <v>23</v>
      </c>
      <c r="H76" s="21" t="s">
        <v>23</v>
      </c>
      <c r="I76" s="21" t="s">
        <v>23</v>
      </c>
      <c r="J76" s="21">
        <v>4</v>
      </c>
      <c r="K76" s="21" t="s">
        <v>1070</v>
      </c>
      <c r="L76" s="20" t="s">
        <v>1076</v>
      </c>
    </row>
    <row r="77" spans="1:12">
      <c r="A77" s="27">
        <v>45856</v>
      </c>
      <c r="B77" s="20" t="s">
        <v>20</v>
      </c>
      <c r="C77" s="21" t="s">
        <v>21</v>
      </c>
      <c r="D77" s="21" t="s">
        <v>1064</v>
      </c>
      <c r="E77" s="21" t="s">
        <v>23</v>
      </c>
      <c r="F77" s="21" t="s">
        <v>1008</v>
      </c>
      <c r="G77" s="21" t="s">
        <v>1009</v>
      </c>
      <c r="H77" s="21" t="s">
        <v>23</v>
      </c>
      <c r="I77" s="21" t="s">
        <v>23</v>
      </c>
      <c r="J77" s="21">
        <v>208</v>
      </c>
      <c r="K77" s="21" t="s">
        <v>988</v>
      </c>
      <c r="L77" s="20" t="s">
        <v>1065</v>
      </c>
    </row>
    <row r="78" spans="1:12">
      <c r="A78" s="27">
        <v>45856</v>
      </c>
      <c r="B78" s="20" t="s">
        <v>20</v>
      </c>
      <c r="C78" s="21" t="s">
        <v>29</v>
      </c>
      <c r="D78" s="21" t="s">
        <v>1064</v>
      </c>
      <c r="E78" s="21" t="s">
        <v>23</v>
      </c>
      <c r="F78" s="21" t="s">
        <v>1008</v>
      </c>
      <c r="G78" s="21" t="s">
        <v>1009</v>
      </c>
      <c r="H78" s="21" t="s">
        <v>23</v>
      </c>
      <c r="I78" s="21" t="s">
        <v>23</v>
      </c>
      <c r="J78" s="21">
        <v>205</v>
      </c>
      <c r="K78" s="21" t="s">
        <v>988</v>
      </c>
      <c r="L78" s="20" t="s">
        <v>1065</v>
      </c>
    </row>
    <row r="79" spans="1:12">
      <c r="A79" s="27">
        <v>45856</v>
      </c>
      <c r="B79" s="20" t="s">
        <v>20</v>
      </c>
      <c r="C79" s="21" t="s">
        <v>21</v>
      </c>
      <c r="D79" s="21" t="s">
        <v>1064</v>
      </c>
      <c r="E79" s="21" t="s">
        <v>23</v>
      </c>
      <c r="F79" s="21" t="s">
        <v>1008</v>
      </c>
      <c r="G79" s="21" t="s">
        <v>1009</v>
      </c>
      <c r="H79" s="21" t="s">
        <v>23</v>
      </c>
      <c r="I79" s="21" t="s">
        <v>23</v>
      </c>
      <c r="J79" s="21">
        <v>81</v>
      </c>
      <c r="K79" s="21" t="s">
        <v>988</v>
      </c>
      <c r="L79" s="20" t="s">
        <v>1065</v>
      </c>
    </row>
    <row r="80" spans="1:12">
      <c r="A80" s="27">
        <v>45856</v>
      </c>
      <c r="B80" s="20" t="s">
        <v>20</v>
      </c>
      <c r="C80" s="21" t="s">
        <v>29</v>
      </c>
      <c r="D80" s="21" t="s">
        <v>1077</v>
      </c>
      <c r="E80" s="21" t="s">
        <v>23</v>
      </c>
      <c r="F80" s="21" t="s">
        <v>1008</v>
      </c>
      <c r="G80" s="21" t="s">
        <v>1009</v>
      </c>
      <c r="H80" s="21" t="s">
        <v>23</v>
      </c>
      <c r="I80" s="21" t="s">
        <v>23</v>
      </c>
      <c r="J80" s="21">
        <v>286</v>
      </c>
      <c r="K80" s="21" t="s">
        <v>988</v>
      </c>
      <c r="L80" s="20" t="s">
        <v>1065</v>
      </c>
    </row>
    <row r="81" spans="1:12">
      <c r="A81" s="27">
        <v>45856</v>
      </c>
      <c r="B81" s="20" t="s">
        <v>20</v>
      </c>
      <c r="C81" s="21" t="s">
        <v>33</v>
      </c>
      <c r="D81" s="21" t="s">
        <v>1079</v>
      </c>
      <c r="E81" s="21" t="s">
        <v>23</v>
      </c>
      <c r="F81" s="21" t="s">
        <v>1008</v>
      </c>
      <c r="G81" s="21" t="s">
        <v>1009</v>
      </c>
      <c r="H81" s="21" t="s">
        <v>23</v>
      </c>
      <c r="I81" s="21" t="s">
        <v>23</v>
      </c>
      <c r="J81" s="21">
        <v>45</v>
      </c>
      <c r="K81" s="21" t="s">
        <v>988</v>
      </c>
      <c r="L81" s="20" t="s">
        <v>1080</v>
      </c>
    </row>
    <row r="82" spans="1:12">
      <c r="A82" s="27">
        <v>45856</v>
      </c>
      <c r="B82" s="20" t="s">
        <v>43</v>
      </c>
      <c r="C82" s="21" t="s">
        <v>29</v>
      </c>
      <c r="D82" s="21" t="s">
        <v>1072</v>
      </c>
      <c r="E82" s="21" t="s">
        <v>79</v>
      </c>
      <c r="F82" s="21" t="s">
        <v>1084</v>
      </c>
      <c r="G82" s="21" t="s">
        <v>23</v>
      </c>
      <c r="H82" s="21" t="s">
        <v>23</v>
      </c>
      <c r="I82" s="21" t="s">
        <v>23</v>
      </c>
      <c r="J82" s="21">
        <v>81</v>
      </c>
      <c r="K82" s="21" t="s">
        <v>1070</v>
      </c>
      <c r="L82" s="20" t="s">
        <v>1081</v>
      </c>
    </row>
    <row r="83" spans="1:12">
      <c r="A83" s="27">
        <v>45856</v>
      </c>
      <c r="B83" s="20" t="s">
        <v>43</v>
      </c>
      <c r="C83" s="21" t="s">
        <v>33</v>
      </c>
      <c r="D83" s="21" t="s">
        <v>1082</v>
      </c>
      <c r="E83" s="21" t="s">
        <v>79</v>
      </c>
      <c r="F83" s="21" t="s">
        <v>1084</v>
      </c>
      <c r="G83" s="21" t="s">
        <v>23</v>
      </c>
      <c r="H83" s="21" t="s">
        <v>23</v>
      </c>
      <c r="I83" s="21" t="s">
        <v>23</v>
      </c>
      <c r="J83" s="21">
        <v>240</v>
      </c>
      <c r="K83" s="21" t="s">
        <v>1070</v>
      </c>
      <c r="L83" s="20" t="s">
        <v>1081</v>
      </c>
    </row>
    <row r="84" spans="1:12">
      <c r="A84" s="27">
        <v>45856</v>
      </c>
      <c r="B84" s="20" t="s">
        <v>43</v>
      </c>
      <c r="C84" s="21" t="s">
        <v>34</v>
      </c>
      <c r="D84" s="21" t="s">
        <v>1083</v>
      </c>
      <c r="E84" s="21" t="s">
        <v>79</v>
      </c>
      <c r="F84" s="21" t="s">
        <v>1084</v>
      </c>
      <c r="G84" s="21" t="s">
        <v>23</v>
      </c>
      <c r="H84" s="21" t="s">
        <v>23</v>
      </c>
      <c r="I84" s="21" t="s">
        <v>23</v>
      </c>
      <c r="J84" s="21">
        <v>14</v>
      </c>
      <c r="K84" s="21" t="s">
        <v>1070</v>
      </c>
      <c r="L84" s="20" t="s">
        <v>1081</v>
      </c>
    </row>
    <row r="85" spans="1:12">
      <c r="A85" s="27">
        <v>45859</v>
      </c>
      <c r="B85" s="20" t="s">
        <v>20</v>
      </c>
      <c r="C85" s="21" t="s">
        <v>21</v>
      </c>
      <c r="D85" s="21" t="s">
        <v>1079</v>
      </c>
      <c r="E85" s="21" t="s">
        <v>23</v>
      </c>
      <c r="F85" s="21" t="s">
        <v>1008</v>
      </c>
      <c r="G85" s="21" t="s">
        <v>1009</v>
      </c>
      <c r="H85" s="21" t="s">
        <v>23</v>
      </c>
      <c r="I85" s="21" t="s">
        <v>23</v>
      </c>
      <c r="J85" s="21">
        <v>215</v>
      </c>
      <c r="K85" s="21" t="s">
        <v>988</v>
      </c>
      <c r="L85" s="20" t="s">
        <v>1080</v>
      </c>
    </row>
    <row r="86" spans="1:12">
      <c r="A86" s="27">
        <v>45861</v>
      </c>
      <c r="B86" s="20" t="s">
        <v>20</v>
      </c>
      <c r="C86" s="21" t="s">
        <v>21</v>
      </c>
      <c r="D86" s="21" t="s">
        <v>1085</v>
      </c>
      <c r="E86" s="21" t="s">
        <v>23</v>
      </c>
      <c r="F86" s="21" t="s">
        <v>1008</v>
      </c>
      <c r="G86" s="21" t="s">
        <v>1009</v>
      </c>
      <c r="H86" s="21" t="s">
        <v>23</v>
      </c>
      <c r="I86" s="21" t="s">
        <v>23</v>
      </c>
      <c r="J86" s="21">
        <v>286</v>
      </c>
      <c r="K86" s="21" t="s">
        <v>988</v>
      </c>
      <c r="L86" s="20" t="s">
        <v>1086</v>
      </c>
    </row>
    <row r="87" spans="1:12">
      <c r="A87" s="27">
        <v>45861</v>
      </c>
      <c r="B87" s="20" t="s">
        <v>20</v>
      </c>
      <c r="C87" s="21" t="s">
        <v>29</v>
      </c>
      <c r="D87" s="21" t="s">
        <v>1087</v>
      </c>
      <c r="E87" s="21" t="s">
        <v>23</v>
      </c>
      <c r="F87" s="21" t="s">
        <v>1008</v>
      </c>
      <c r="G87" s="21" t="s">
        <v>1009</v>
      </c>
      <c r="H87" s="21" t="s">
        <v>23</v>
      </c>
      <c r="I87" s="21" t="s">
        <v>23</v>
      </c>
      <c r="J87" s="21">
        <v>129</v>
      </c>
      <c r="K87" s="21" t="s">
        <v>988</v>
      </c>
      <c r="L87" s="20" t="s">
        <v>1086</v>
      </c>
    </row>
    <row r="88" spans="1:12">
      <c r="A88" s="27">
        <v>45862</v>
      </c>
      <c r="B88" s="20" t="s">
        <v>20</v>
      </c>
      <c r="C88" s="21" t="s">
        <v>21</v>
      </c>
      <c r="D88" s="21" t="s">
        <v>1087</v>
      </c>
      <c r="E88" s="21" t="s">
        <v>23</v>
      </c>
      <c r="F88" s="21" t="s">
        <v>1008</v>
      </c>
      <c r="G88" s="21" t="s">
        <v>1009</v>
      </c>
      <c r="H88" s="21" t="s">
        <v>23</v>
      </c>
      <c r="I88" s="21" t="s">
        <v>23</v>
      </c>
      <c r="J88" s="21">
        <v>17</v>
      </c>
      <c r="K88" s="21" t="s">
        <v>988</v>
      </c>
      <c r="L88" s="20" t="s">
        <v>1086</v>
      </c>
    </row>
    <row r="89" spans="1:12">
      <c r="A89" s="27">
        <v>45862</v>
      </c>
      <c r="B89" s="20" t="s">
        <v>20</v>
      </c>
      <c r="C89" s="21" t="s">
        <v>29</v>
      </c>
      <c r="D89" s="21" t="s">
        <v>1088</v>
      </c>
      <c r="E89" s="21" t="s">
        <v>23</v>
      </c>
      <c r="F89" s="21" t="s">
        <v>1008</v>
      </c>
      <c r="G89" s="21" t="s">
        <v>1009</v>
      </c>
      <c r="H89" s="21" t="s">
        <v>23</v>
      </c>
      <c r="I89" s="21" t="s">
        <v>23</v>
      </c>
      <c r="J89" s="21">
        <v>286</v>
      </c>
      <c r="K89" s="21" t="s">
        <v>988</v>
      </c>
      <c r="L89" s="20" t="s">
        <v>1089</v>
      </c>
    </row>
    <row r="90" spans="1:12">
      <c r="A90" s="27">
        <v>45862</v>
      </c>
      <c r="B90" s="20" t="s">
        <v>20</v>
      </c>
      <c r="C90" s="21" t="s">
        <v>33</v>
      </c>
      <c r="D90" s="21" t="s">
        <v>1090</v>
      </c>
      <c r="E90" s="21" t="s">
        <v>23</v>
      </c>
      <c r="F90" s="21" t="s">
        <v>1008</v>
      </c>
      <c r="G90" s="21" t="s">
        <v>1009</v>
      </c>
      <c r="H90" s="21" t="s">
        <v>23</v>
      </c>
      <c r="I90" s="21" t="s">
        <v>23</v>
      </c>
      <c r="J90" s="21">
        <v>114</v>
      </c>
      <c r="K90" s="21" t="s">
        <v>988</v>
      </c>
      <c r="L90" s="20" t="s">
        <v>1089</v>
      </c>
    </row>
    <row r="91" spans="1:12">
      <c r="A91" s="27">
        <v>45863</v>
      </c>
      <c r="B91" s="20" t="s">
        <v>20</v>
      </c>
      <c r="C91" s="21" t="s">
        <v>21</v>
      </c>
      <c r="D91" s="21" t="s">
        <v>1090</v>
      </c>
      <c r="E91" s="21" t="s">
        <v>23</v>
      </c>
      <c r="F91" s="21" t="s">
        <v>1008</v>
      </c>
      <c r="G91" s="21" t="s">
        <v>1009</v>
      </c>
      <c r="H91" s="21" t="s">
        <v>23</v>
      </c>
      <c r="I91" s="21" t="s">
        <v>23</v>
      </c>
      <c r="J91" s="21">
        <v>68</v>
      </c>
      <c r="K91" s="21" t="s">
        <v>988</v>
      </c>
      <c r="L91" s="20" t="s">
        <v>1089</v>
      </c>
    </row>
    <row r="92" spans="1:12">
      <c r="A92" s="27">
        <v>45863</v>
      </c>
      <c r="B92" s="20" t="s">
        <v>20</v>
      </c>
      <c r="C92" s="21" t="s">
        <v>29</v>
      </c>
      <c r="D92" s="21" t="s">
        <v>1091</v>
      </c>
      <c r="E92" s="21" t="s">
        <v>23</v>
      </c>
      <c r="F92" s="21" t="s">
        <v>1008</v>
      </c>
      <c r="G92" s="21" t="s">
        <v>1009</v>
      </c>
      <c r="H92" s="21" t="s">
        <v>23</v>
      </c>
      <c r="I92" s="21" t="s">
        <v>23</v>
      </c>
      <c r="J92" s="21">
        <v>286</v>
      </c>
      <c r="K92" s="21" t="s">
        <v>988</v>
      </c>
      <c r="L92" s="20" t="s">
        <v>1089</v>
      </c>
    </row>
    <row r="93" spans="1:12">
      <c r="A93" s="27">
        <v>45863</v>
      </c>
      <c r="B93" s="20" t="s">
        <v>20</v>
      </c>
      <c r="C93" s="21" t="s">
        <v>33</v>
      </c>
      <c r="D93" s="21" t="s">
        <v>1092</v>
      </c>
      <c r="E93" s="21" t="s">
        <v>23</v>
      </c>
      <c r="F93" s="21" t="s">
        <v>1008</v>
      </c>
      <c r="G93" s="21" t="s">
        <v>1009</v>
      </c>
      <c r="H93" s="21" t="s">
        <v>23</v>
      </c>
      <c r="I93" s="21" t="s">
        <v>23</v>
      </c>
      <c r="J93" s="21">
        <v>86</v>
      </c>
      <c r="K93" s="21" t="s">
        <v>988</v>
      </c>
      <c r="L93" s="20" t="s">
        <v>1089</v>
      </c>
    </row>
    <row r="94" spans="1:12">
      <c r="A94" s="27">
        <v>45866</v>
      </c>
      <c r="B94" s="20" t="s">
        <v>43</v>
      </c>
      <c r="C94" s="21" t="s">
        <v>21</v>
      </c>
      <c r="D94" s="21" t="s">
        <v>1061</v>
      </c>
      <c r="E94" s="21" t="s">
        <v>79</v>
      </c>
      <c r="F94" s="21" t="s">
        <v>1095</v>
      </c>
      <c r="G94" s="21"/>
      <c r="H94" s="21"/>
      <c r="I94" s="21"/>
      <c r="J94" s="21">
        <v>81</v>
      </c>
      <c r="K94" s="21" t="s">
        <v>1096</v>
      </c>
      <c r="L94" s="20" t="s">
        <v>1081</v>
      </c>
    </row>
    <row r="95" spans="1:12">
      <c r="A95" s="27">
        <v>45866</v>
      </c>
      <c r="B95" s="20" t="s">
        <v>43</v>
      </c>
      <c r="C95" s="21" t="s">
        <v>29</v>
      </c>
      <c r="D95" s="21" t="s">
        <v>1093</v>
      </c>
      <c r="E95" s="21" t="s">
        <v>79</v>
      </c>
      <c r="F95" s="21" t="s">
        <v>1095</v>
      </c>
      <c r="G95" s="21"/>
      <c r="H95" s="21"/>
      <c r="I95" s="21"/>
      <c r="J95" s="21">
        <v>104</v>
      </c>
      <c r="K95" s="21" t="s">
        <v>1097</v>
      </c>
      <c r="L95" s="20" t="s">
        <v>1081</v>
      </c>
    </row>
    <row r="96" spans="1:12">
      <c r="A96" s="27">
        <v>45866</v>
      </c>
      <c r="B96" s="20" t="s">
        <v>43</v>
      </c>
      <c r="C96" s="21" t="s">
        <v>33</v>
      </c>
      <c r="D96" s="21" t="s">
        <v>1094</v>
      </c>
      <c r="E96" s="21" t="s">
        <v>79</v>
      </c>
      <c r="F96" s="21" t="s">
        <v>1098</v>
      </c>
      <c r="G96" s="21"/>
      <c r="H96" s="21"/>
      <c r="I96" s="21"/>
      <c r="J96" s="21">
        <v>208</v>
      </c>
      <c r="K96" s="21" t="s">
        <v>1099</v>
      </c>
      <c r="L96" s="20" t="s">
        <v>1100</v>
      </c>
    </row>
    <row r="97" spans="1:12">
      <c r="A97" s="27">
        <v>45866</v>
      </c>
      <c r="B97" s="20" t="s">
        <v>116</v>
      </c>
      <c r="C97" s="21" t="s">
        <v>34</v>
      </c>
      <c r="D97" s="21" t="s">
        <v>1102</v>
      </c>
      <c r="E97" s="21" t="s">
        <v>79</v>
      </c>
      <c r="F97" s="21" t="s">
        <v>1103</v>
      </c>
      <c r="G97" s="21"/>
      <c r="H97" s="21"/>
      <c r="I97" s="21"/>
      <c r="J97" s="21">
        <v>35</v>
      </c>
      <c r="K97" s="21" t="s">
        <v>1099</v>
      </c>
      <c r="L97" s="20" t="s">
        <v>1101</v>
      </c>
    </row>
    <row r="98" spans="1:12">
      <c r="A98" s="27">
        <v>45867</v>
      </c>
      <c r="B98" s="20" t="s">
        <v>527</v>
      </c>
      <c r="C98" s="21" t="s">
        <v>21</v>
      </c>
      <c r="D98" s="21" t="s">
        <v>23</v>
      </c>
      <c r="E98" s="21" t="s">
        <v>23</v>
      </c>
      <c r="F98" s="21" t="s">
        <v>23</v>
      </c>
      <c r="G98" s="21" t="s">
        <v>23</v>
      </c>
      <c r="H98" s="21" t="s">
        <v>23</v>
      </c>
      <c r="I98" s="21" t="s">
        <v>1104</v>
      </c>
      <c r="J98" s="21">
        <v>156</v>
      </c>
      <c r="K98" s="21" t="s">
        <v>1006</v>
      </c>
      <c r="L98" s="20" t="s">
        <v>1105</v>
      </c>
    </row>
    <row r="99" spans="1:12">
      <c r="A99" s="27">
        <v>45867</v>
      </c>
      <c r="B99" s="20" t="s">
        <v>20</v>
      </c>
      <c r="C99" s="21" t="s">
        <v>21</v>
      </c>
      <c r="D99" s="21" t="s">
        <v>1092</v>
      </c>
      <c r="E99" s="21" t="s">
        <v>23</v>
      </c>
      <c r="F99" s="21" t="s">
        <v>1008</v>
      </c>
      <c r="G99" s="21" t="s">
        <v>1009</v>
      </c>
      <c r="H99" s="21" t="s">
        <v>23</v>
      </c>
      <c r="I99" s="21" t="s">
        <v>23</v>
      </c>
      <c r="J99" s="21">
        <v>200</v>
      </c>
      <c r="K99" s="21" t="s">
        <v>988</v>
      </c>
      <c r="L99" s="20" t="s">
        <v>1089</v>
      </c>
    </row>
    <row r="100" spans="1:12">
      <c r="A100" s="27">
        <v>45867</v>
      </c>
      <c r="B100" s="20" t="s">
        <v>20</v>
      </c>
      <c r="C100" s="21" t="s">
        <v>29</v>
      </c>
      <c r="D100" s="21" t="s">
        <v>1106</v>
      </c>
      <c r="E100" s="21" t="s">
        <v>23</v>
      </c>
      <c r="F100" s="21" t="s">
        <v>1008</v>
      </c>
      <c r="G100" s="21" t="s">
        <v>1009</v>
      </c>
      <c r="H100" s="21" t="s">
        <v>23</v>
      </c>
      <c r="I100" s="21" t="s">
        <v>23</v>
      </c>
      <c r="J100" s="21">
        <v>60</v>
      </c>
      <c r="K100" s="21" t="s">
        <v>988</v>
      </c>
      <c r="L100" s="20" t="s">
        <v>1107</v>
      </c>
    </row>
    <row r="101" spans="1:12">
      <c r="A101" s="27">
        <v>45868</v>
      </c>
      <c r="B101" s="20" t="s">
        <v>116</v>
      </c>
      <c r="C101" s="21" t="s">
        <v>21</v>
      </c>
      <c r="D101" s="21" t="s">
        <v>1102</v>
      </c>
      <c r="E101" s="21" t="s">
        <v>79</v>
      </c>
      <c r="F101" s="21" t="s">
        <v>1103</v>
      </c>
      <c r="G101" s="21"/>
      <c r="H101" s="21"/>
      <c r="I101" s="21"/>
      <c r="J101" s="21">
        <v>145</v>
      </c>
      <c r="K101" s="21" t="s">
        <v>1108</v>
      </c>
      <c r="L101" s="20" t="s">
        <v>1101</v>
      </c>
    </row>
    <row r="102" spans="1:12">
      <c r="A102" s="27">
        <v>45869</v>
      </c>
      <c r="B102" s="20" t="s">
        <v>20</v>
      </c>
      <c r="C102" s="21" t="s">
        <v>21</v>
      </c>
      <c r="D102" s="21" t="s">
        <v>1106</v>
      </c>
      <c r="E102" s="21" t="s">
        <v>23</v>
      </c>
      <c r="F102" s="21" t="s">
        <v>1008</v>
      </c>
      <c r="G102" s="21" t="s">
        <v>1009</v>
      </c>
      <c r="H102" s="21" t="s">
        <v>23</v>
      </c>
      <c r="I102" s="21" t="s">
        <v>23</v>
      </c>
      <c r="J102" s="21">
        <v>240</v>
      </c>
      <c r="K102" s="21" t="s">
        <v>988</v>
      </c>
      <c r="L102" s="20" t="s">
        <v>1107</v>
      </c>
    </row>
    <row r="103" spans="1:12">
      <c r="A103" s="27">
        <v>45869</v>
      </c>
      <c r="B103" s="20" t="s">
        <v>20</v>
      </c>
      <c r="C103" s="21" t="s">
        <v>21</v>
      </c>
      <c r="D103" s="21" t="s">
        <v>1106</v>
      </c>
      <c r="E103" s="21" t="s">
        <v>23</v>
      </c>
      <c r="F103" s="21" t="s">
        <v>1008</v>
      </c>
      <c r="G103" s="21" t="s">
        <v>1009</v>
      </c>
      <c r="H103" s="21" t="s">
        <v>23</v>
      </c>
      <c r="I103" s="21" t="s">
        <v>23</v>
      </c>
      <c r="J103" s="21">
        <v>5</v>
      </c>
      <c r="K103" s="21" t="s">
        <v>988</v>
      </c>
      <c r="L103" s="20" t="s">
        <v>1109</v>
      </c>
    </row>
    <row r="104" spans="1:12">
      <c r="A104" s="27">
        <v>45869</v>
      </c>
      <c r="B104" s="20" t="s">
        <v>43</v>
      </c>
      <c r="C104" s="21" t="s">
        <v>21</v>
      </c>
      <c r="D104" s="21" t="s">
        <v>1111</v>
      </c>
      <c r="E104" s="21" t="s">
        <v>79</v>
      </c>
      <c r="F104" s="21" t="s">
        <v>1110</v>
      </c>
      <c r="G104" s="21"/>
      <c r="H104" s="21"/>
      <c r="I104" s="21"/>
      <c r="J104" s="21">
        <v>212</v>
      </c>
      <c r="K104" s="21" t="s">
        <v>1112</v>
      </c>
      <c r="L104" s="20" t="s">
        <v>1113</v>
      </c>
    </row>
    <row r="105" spans="1:12">
      <c r="A105" s="27">
        <v>45869</v>
      </c>
      <c r="B105" s="20" t="s">
        <v>43</v>
      </c>
      <c r="C105" s="21" t="s">
        <v>29</v>
      </c>
      <c r="D105" s="21" t="s">
        <v>1111</v>
      </c>
      <c r="E105" s="21" t="s">
        <v>79</v>
      </c>
      <c r="F105" s="21" t="s">
        <v>1110</v>
      </c>
      <c r="G105" s="21"/>
      <c r="H105" s="21"/>
      <c r="I105" s="21"/>
      <c r="J105" s="21">
        <v>36</v>
      </c>
      <c r="K105" s="21" t="s">
        <v>1112</v>
      </c>
      <c r="L105" s="20" t="s">
        <v>1114</v>
      </c>
    </row>
    <row r="106" spans="1:12">
      <c r="A106" s="27">
        <v>45869</v>
      </c>
      <c r="B106" s="20" t="s">
        <v>43</v>
      </c>
      <c r="C106" s="21" t="s">
        <v>29</v>
      </c>
      <c r="D106" s="21" t="s">
        <v>1111</v>
      </c>
      <c r="E106" s="21" t="s">
        <v>79</v>
      </c>
      <c r="F106" s="21" t="s">
        <v>1110</v>
      </c>
      <c r="G106" s="21"/>
      <c r="H106" s="21"/>
      <c r="I106" s="21"/>
      <c r="J106" s="21">
        <v>3</v>
      </c>
      <c r="K106" s="21" t="s">
        <v>1112</v>
      </c>
      <c r="L106" s="20" t="s">
        <v>1115</v>
      </c>
    </row>
    <row r="107" spans="1:12">
      <c r="A107" s="27">
        <v>45869</v>
      </c>
      <c r="B107" s="20" t="s">
        <v>43</v>
      </c>
      <c r="C107" s="21" t="s">
        <v>33</v>
      </c>
      <c r="D107" s="21" t="s">
        <v>1111</v>
      </c>
      <c r="E107" s="21" t="s">
        <v>79</v>
      </c>
      <c r="F107" s="21" t="s">
        <v>1110</v>
      </c>
      <c r="G107" s="21"/>
      <c r="H107" s="21"/>
      <c r="I107" s="21"/>
      <c r="J107" s="21">
        <v>1</v>
      </c>
      <c r="K107" s="21" t="s">
        <v>1112</v>
      </c>
      <c r="L107" s="20" t="s">
        <v>1116</v>
      </c>
    </row>
    <row r="108" spans="1:12">
      <c r="A108" s="22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0"/>
    </row>
    <row r="109" spans="1:12">
      <c r="A109" s="22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0"/>
    </row>
    <row r="110" spans="1:12">
      <c r="A110" s="22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0"/>
    </row>
    <row r="111" spans="1:12" ht="15" thickBot="1">
      <c r="A111" s="23"/>
      <c r="B111" s="24"/>
      <c r="C111" s="25"/>
      <c r="D111" s="25"/>
      <c r="E111" s="25"/>
      <c r="F111" s="25"/>
      <c r="G111" s="25"/>
      <c r="H111" s="25"/>
      <c r="I111" s="25"/>
      <c r="J111" s="25"/>
      <c r="K111" s="25"/>
      <c r="L111" s="24"/>
    </row>
    <row r="112" spans="1:12">
      <c r="A112" s="32" t="s">
        <v>291</v>
      </c>
      <c r="B112" s="15"/>
      <c r="C112" s="15"/>
      <c r="D112" s="14"/>
      <c r="E112" s="15"/>
      <c r="H112" s="14" t="s">
        <v>15</v>
      </c>
      <c r="I112" s="14"/>
      <c r="J112" s="14"/>
      <c r="K112" s="15"/>
      <c r="L112" s="16"/>
    </row>
    <row r="113" spans="9:12">
      <c r="I113" s="2" t="s">
        <v>16</v>
      </c>
    </row>
    <row r="114" spans="9:12">
      <c r="I114" s="2" t="s">
        <v>17</v>
      </c>
    </row>
    <row r="115" spans="9:12">
      <c r="I115" s="2" t="s">
        <v>18</v>
      </c>
    </row>
    <row r="116" spans="9:12">
      <c r="I116" s="2" t="s">
        <v>19</v>
      </c>
    </row>
    <row r="122" spans="9:12">
      <c r="L122" s="2" t="s">
        <v>1078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5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91"/>
  <sheetViews>
    <sheetView view="pageBreakPreview" topLeftCell="A55" zoomScaleNormal="100" zoomScaleSheetLayoutView="100" workbookViewId="0">
      <selection activeCell="A86" sqref="A86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13.570312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/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45870</v>
      </c>
      <c r="B9" s="20" t="s">
        <v>43</v>
      </c>
      <c r="C9" s="21" t="s">
        <v>21</v>
      </c>
      <c r="D9" s="21" t="s">
        <v>1117</v>
      </c>
      <c r="E9" s="21" t="s">
        <v>79</v>
      </c>
      <c r="F9" s="21" t="s">
        <v>1122</v>
      </c>
      <c r="G9" s="21" t="s">
        <v>23</v>
      </c>
      <c r="H9" s="21" t="s">
        <v>23</v>
      </c>
      <c r="I9" s="21" t="s">
        <v>23</v>
      </c>
      <c r="J9" s="21">
        <v>138</v>
      </c>
      <c r="K9" s="21" t="s">
        <v>1118</v>
      </c>
      <c r="L9" s="20" t="s">
        <v>1119</v>
      </c>
    </row>
    <row r="10" spans="1:12" ht="17.100000000000001" customHeight="1">
      <c r="A10" s="27">
        <v>45870</v>
      </c>
      <c r="B10" s="20" t="s">
        <v>43</v>
      </c>
      <c r="C10" s="21" t="s">
        <v>29</v>
      </c>
      <c r="D10" s="21" t="s">
        <v>1043</v>
      </c>
      <c r="E10" s="21" t="s">
        <v>79</v>
      </c>
      <c r="F10" s="21" t="s">
        <v>1121</v>
      </c>
      <c r="G10" s="21" t="s">
        <v>23</v>
      </c>
      <c r="H10" s="21" t="s">
        <v>23</v>
      </c>
      <c r="I10" s="21" t="s">
        <v>23</v>
      </c>
      <c r="J10" s="21">
        <v>208</v>
      </c>
      <c r="K10" s="21" t="s">
        <v>1118</v>
      </c>
      <c r="L10" s="20" t="s">
        <v>1120</v>
      </c>
    </row>
    <row r="11" spans="1:12" ht="17.100000000000001" customHeight="1">
      <c r="A11" s="22"/>
      <c r="B11" s="20" t="s">
        <v>116</v>
      </c>
      <c r="C11" s="21" t="s">
        <v>21</v>
      </c>
      <c r="D11" s="21" t="s">
        <v>1125</v>
      </c>
      <c r="E11" s="21" t="s">
        <v>79</v>
      </c>
      <c r="F11" s="21" t="s">
        <v>1124</v>
      </c>
      <c r="G11" s="21" t="s">
        <v>23</v>
      </c>
      <c r="H11" s="21" t="s">
        <v>23</v>
      </c>
      <c r="I11" s="21" t="s">
        <v>23</v>
      </c>
      <c r="J11" s="21">
        <v>144</v>
      </c>
      <c r="K11" s="21" t="s">
        <v>1118</v>
      </c>
      <c r="L11" s="20" t="s">
        <v>1123</v>
      </c>
    </row>
    <row r="12" spans="1:12" ht="17.100000000000001" customHeight="1">
      <c r="A12" s="27">
        <v>45873</v>
      </c>
      <c r="B12" s="20" t="s">
        <v>20</v>
      </c>
      <c r="C12" s="21" t="s">
        <v>21</v>
      </c>
      <c r="D12" s="21" t="s">
        <v>1087</v>
      </c>
      <c r="E12" s="21" t="s">
        <v>23</v>
      </c>
      <c r="F12" s="21" t="s">
        <v>1134</v>
      </c>
      <c r="G12" s="21" t="s">
        <v>1135</v>
      </c>
      <c r="H12" s="21" t="s">
        <v>23</v>
      </c>
      <c r="I12" s="21" t="s">
        <v>23</v>
      </c>
      <c r="J12" s="21">
        <v>156</v>
      </c>
      <c r="K12" s="21" t="s">
        <v>988</v>
      </c>
      <c r="L12" s="20" t="s">
        <v>1126</v>
      </c>
    </row>
    <row r="13" spans="1:12" ht="17.100000000000001" customHeight="1">
      <c r="A13" s="27">
        <v>45873</v>
      </c>
      <c r="B13" s="20" t="s">
        <v>20</v>
      </c>
      <c r="C13" s="21" t="s">
        <v>21</v>
      </c>
      <c r="D13" s="21" t="s">
        <v>1087</v>
      </c>
      <c r="E13" s="21" t="s">
        <v>23</v>
      </c>
      <c r="F13" s="21" t="s">
        <v>1134</v>
      </c>
      <c r="G13" s="21" t="s">
        <v>1135</v>
      </c>
      <c r="H13" s="21" t="s">
        <v>23</v>
      </c>
      <c r="I13" s="21" t="s">
        <v>23</v>
      </c>
      <c r="J13" s="21">
        <v>30</v>
      </c>
      <c r="K13" s="21" t="s">
        <v>988</v>
      </c>
      <c r="L13" s="20" t="s">
        <v>1127</v>
      </c>
    </row>
    <row r="14" spans="1:12" ht="17.100000000000001" customHeight="1">
      <c r="A14" s="27">
        <v>45873</v>
      </c>
      <c r="B14" s="20" t="s">
        <v>20</v>
      </c>
      <c r="C14" s="21" t="s">
        <v>29</v>
      </c>
      <c r="D14" s="21" t="s">
        <v>1128</v>
      </c>
      <c r="E14" s="21" t="s">
        <v>23</v>
      </c>
      <c r="F14" s="21" t="s">
        <v>1134</v>
      </c>
      <c r="G14" s="21" t="s">
        <v>1135</v>
      </c>
      <c r="H14" s="21" t="s">
        <v>23</v>
      </c>
      <c r="I14" s="21" t="s">
        <v>23</v>
      </c>
      <c r="J14" s="21">
        <v>104</v>
      </c>
      <c r="K14" s="21" t="s">
        <v>988</v>
      </c>
      <c r="L14" s="20" t="s">
        <v>1129</v>
      </c>
    </row>
    <row r="15" spans="1:12" ht="17.100000000000001" customHeight="1">
      <c r="A15" s="27">
        <v>45873</v>
      </c>
      <c r="B15" s="20" t="s">
        <v>43</v>
      </c>
      <c r="C15" s="21" t="s">
        <v>21</v>
      </c>
      <c r="D15" s="21" t="s">
        <v>1130</v>
      </c>
      <c r="E15" s="21" t="s">
        <v>79</v>
      </c>
      <c r="F15" s="21" t="s">
        <v>1122</v>
      </c>
      <c r="G15" s="21" t="s">
        <v>23</v>
      </c>
      <c r="H15" s="21" t="s">
        <v>23</v>
      </c>
      <c r="I15" s="21" t="s">
        <v>23</v>
      </c>
      <c r="J15" s="21">
        <v>312</v>
      </c>
      <c r="K15" s="21" t="s">
        <v>1131</v>
      </c>
      <c r="L15" s="20" t="s">
        <v>1132</v>
      </c>
    </row>
    <row r="16" spans="1:12" ht="17.100000000000001" customHeight="1">
      <c r="A16" s="27">
        <v>45873</v>
      </c>
      <c r="B16" s="20" t="s">
        <v>20</v>
      </c>
      <c r="C16" s="21" t="s">
        <v>33</v>
      </c>
      <c r="D16" s="21" t="s">
        <v>1128</v>
      </c>
      <c r="E16" s="21" t="s">
        <v>23</v>
      </c>
      <c r="F16" s="21" t="s">
        <v>1134</v>
      </c>
      <c r="G16" s="21" t="s">
        <v>1135</v>
      </c>
      <c r="H16" s="21" t="s">
        <v>23</v>
      </c>
      <c r="I16" s="21" t="s">
        <v>23</v>
      </c>
      <c r="J16" s="21">
        <v>75</v>
      </c>
      <c r="K16" s="21" t="s">
        <v>988</v>
      </c>
      <c r="L16" s="20" t="s">
        <v>1133</v>
      </c>
    </row>
    <row r="17" spans="1:12" ht="17.100000000000001" customHeight="1">
      <c r="A17" s="27">
        <v>45874</v>
      </c>
      <c r="B17" s="20" t="s">
        <v>20</v>
      </c>
      <c r="C17" s="21" t="s">
        <v>21</v>
      </c>
      <c r="D17" s="21" t="s">
        <v>1128</v>
      </c>
      <c r="E17" s="21" t="s">
        <v>23</v>
      </c>
      <c r="F17" s="21" t="s">
        <v>1134</v>
      </c>
      <c r="G17" s="21" t="s">
        <v>1135</v>
      </c>
      <c r="H17" s="21" t="s">
        <v>23</v>
      </c>
      <c r="I17" s="21" t="s">
        <v>23</v>
      </c>
      <c r="J17" s="21">
        <v>37</v>
      </c>
      <c r="K17" s="21" t="s">
        <v>988</v>
      </c>
      <c r="L17" s="20" t="s">
        <v>1133</v>
      </c>
    </row>
    <row r="18" spans="1:12" ht="17.100000000000001" customHeight="1">
      <c r="A18" s="27">
        <v>45875</v>
      </c>
      <c r="B18" s="20" t="s">
        <v>20</v>
      </c>
      <c r="C18" s="21" t="s">
        <v>21</v>
      </c>
      <c r="D18" s="21" t="s">
        <v>1136</v>
      </c>
      <c r="E18" s="21" t="s">
        <v>23</v>
      </c>
      <c r="F18" s="21" t="s">
        <v>1134</v>
      </c>
      <c r="G18" s="21" t="s">
        <v>1135</v>
      </c>
      <c r="H18" s="21" t="s">
        <v>23</v>
      </c>
      <c r="I18" s="21" t="s">
        <v>23</v>
      </c>
      <c r="J18" s="21">
        <v>286</v>
      </c>
      <c r="K18" s="21" t="s">
        <v>1138</v>
      </c>
      <c r="L18" s="20" t="s">
        <v>1139</v>
      </c>
    </row>
    <row r="19" spans="1:12" ht="17.100000000000001" customHeight="1">
      <c r="A19" s="27">
        <v>45875</v>
      </c>
      <c r="B19" s="20" t="s">
        <v>20</v>
      </c>
      <c r="C19" s="21" t="s">
        <v>29</v>
      </c>
      <c r="D19" s="21" t="s">
        <v>1137</v>
      </c>
      <c r="E19" s="21" t="s">
        <v>23</v>
      </c>
      <c r="F19" s="21" t="s">
        <v>1134</v>
      </c>
      <c r="G19" s="21" t="s">
        <v>1135</v>
      </c>
      <c r="H19" s="21" t="s">
        <v>23</v>
      </c>
      <c r="I19" s="21" t="s">
        <v>23</v>
      </c>
      <c r="J19" s="21">
        <v>286</v>
      </c>
      <c r="K19" s="21" t="s">
        <v>1138</v>
      </c>
      <c r="L19" s="20" t="s">
        <v>1139</v>
      </c>
    </row>
    <row r="20" spans="1:12" ht="17.100000000000001" customHeight="1">
      <c r="A20" s="27">
        <v>45875</v>
      </c>
      <c r="B20" s="20" t="s">
        <v>20</v>
      </c>
      <c r="C20" s="21" t="s">
        <v>33</v>
      </c>
      <c r="D20" s="21" t="s">
        <v>1140</v>
      </c>
      <c r="E20" s="21" t="s">
        <v>23</v>
      </c>
      <c r="F20" s="21" t="s">
        <v>1134</v>
      </c>
      <c r="G20" s="21" t="s">
        <v>1135</v>
      </c>
      <c r="H20" s="21" t="s">
        <v>23</v>
      </c>
      <c r="I20" s="21" t="s">
        <v>23</v>
      </c>
      <c r="J20" s="21">
        <v>68</v>
      </c>
      <c r="K20" s="21" t="s">
        <v>1138</v>
      </c>
      <c r="L20" s="20" t="s">
        <v>1139</v>
      </c>
    </row>
    <row r="21" spans="1:12" ht="17.100000000000001" customHeight="1">
      <c r="A21" s="27">
        <v>45875</v>
      </c>
      <c r="B21" s="20" t="s">
        <v>43</v>
      </c>
      <c r="C21" s="21" t="s">
        <v>21</v>
      </c>
      <c r="D21" s="21"/>
      <c r="E21" s="21"/>
      <c r="F21" s="21"/>
      <c r="G21" s="21" t="s">
        <v>23</v>
      </c>
      <c r="H21" s="21" t="s">
        <v>23</v>
      </c>
      <c r="I21" s="21" t="s">
        <v>23</v>
      </c>
      <c r="J21" s="21">
        <v>95</v>
      </c>
      <c r="K21" s="21" t="s">
        <v>922</v>
      </c>
      <c r="L21" s="20" t="s">
        <v>1141</v>
      </c>
    </row>
    <row r="22" spans="1:12" ht="17.100000000000001" customHeight="1">
      <c r="A22" s="27">
        <v>45876</v>
      </c>
      <c r="B22" s="20" t="s">
        <v>20</v>
      </c>
      <c r="C22" s="21" t="s">
        <v>21</v>
      </c>
      <c r="D22" s="21" t="s">
        <v>1140</v>
      </c>
      <c r="E22" s="21" t="s">
        <v>23</v>
      </c>
      <c r="F22" s="21" t="s">
        <v>1134</v>
      </c>
      <c r="G22" s="21" t="s">
        <v>1135</v>
      </c>
      <c r="H22" s="21" t="s">
        <v>23</v>
      </c>
      <c r="I22" s="21" t="s">
        <v>23</v>
      </c>
      <c r="J22" s="21">
        <v>150</v>
      </c>
      <c r="K22" s="21" t="s">
        <v>988</v>
      </c>
      <c r="L22" s="20" t="s">
        <v>1139</v>
      </c>
    </row>
    <row r="23" spans="1:12" ht="17.100000000000001" customHeight="1">
      <c r="A23" s="27">
        <v>45876</v>
      </c>
      <c r="B23" s="20" t="s">
        <v>20</v>
      </c>
      <c r="C23" s="21" t="s">
        <v>29</v>
      </c>
      <c r="D23" s="21" t="s">
        <v>1128</v>
      </c>
      <c r="E23" s="21" t="s">
        <v>23</v>
      </c>
      <c r="F23" s="21" t="s">
        <v>1134</v>
      </c>
      <c r="G23" s="21" t="s">
        <v>1135</v>
      </c>
      <c r="H23" s="21" t="s">
        <v>23</v>
      </c>
      <c r="I23" s="21" t="s">
        <v>23</v>
      </c>
      <c r="J23" s="21">
        <v>222</v>
      </c>
      <c r="K23" s="21" t="s">
        <v>988</v>
      </c>
      <c r="L23" s="20" t="s">
        <v>1139</v>
      </c>
    </row>
    <row r="24" spans="1:12" ht="17.100000000000001" customHeight="1">
      <c r="A24" s="27">
        <v>45876</v>
      </c>
      <c r="B24" s="20" t="s">
        <v>20</v>
      </c>
      <c r="C24" s="21" t="s">
        <v>33</v>
      </c>
      <c r="D24" s="21" t="s">
        <v>1143</v>
      </c>
      <c r="E24" s="21" t="s">
        <v>23</v>
      </c>
      <c r="F24" s="21" t="s">
        <v>1134</v>
      </c>
      <c r="G24" s="21" t="s">
        <v>1135</v>
      </c>
      <c r="H24" s="21" t="s">
        <v>23</v>
      </c>
      <c r="I24" s="21" t="s">
        <v>23</v>
      </c>
      <c r="J24" s="21">
        <v>60</v>
      </c>
      <c r="K24" s="21" t="s">
        <v>988</v>
      </c>
      <c r="L24" s="20" t="s">
        <v>1142</v>
      </c>
    </row>
    <row r="25" spans="1:12" ht="17.100000000000001" customHeight="1">
      <c r="A25" s="27">
        <v>45877</v>
      </c>
      <c r="B25" s="20" t="s">
        <v>116</v>
      </c>
      <c r="C25" s="21" t="s">
        <v>21</v>
      </c>
      <c r="D25" s="21" t="s">
        <v>1144</v>
      </c>
      <c r="E25" s="21" t="s">
        <v>79</v>
      </c>
      <c r="F25" s="21" t="s">
        <v>1145</v>
      </c>
      <c r="G25" s="21" t="s">
        <v>23</v>
      </c>
      <c r="H25" s="21" t="s">
        <v>23</v>
      </c>
      <c r="I25" s="21" t="s">
        <v>23</v>
      </c>
      <c r="J25" s="21">
        <v>72</v>
      </c>
      <c r="K25" s="21" t="s">
        <v>1146</v>
      </c>
      <c r="L25" s="20" t="s">
        <v>1147</v>
      </c>
    </row>
    <row r="26" spans="1:12" ht="17.100000000000001" customHeight="1">
      <c r="A26" s="27">
        <v>45877</v>
      </c>
      <c r="B26" s="20" t="s">
        <v>43</v>
      </c>
      <c r="C26" s="21" t="s">
        <v>21</v>
      </c>
      <c r="D26" s="21" t="s">
        <v>1144</v>
      </c>
      <c r="E26" s="21" t="s">
        <v>79</v>
      </c>
      <c r="F26" s="21" t="s">
        <v>1148</v>
      </c>
      <c r="G26" s="21" t="s">
        <v>23</v>
      </c>
      <c r="H26" s="21" t="s">
        <v>23</v>
      </c>
      <c r="I26" s="21" t="s">
        <v>23</v>
      </c>
      <c r="J26" s="21">
        <v>77</v>
      </c>
      <c r="K26" s="21" t="s">
        <v>1149</v>
      </c>
      <c r="L26" s="20" t="s">
        <v>1141</v>
      </c>
    </row>
    <row r="27" spans="1:12" ht="17.100000000000001" customHeight="1">
      <c r="A27" s="27">
        <v>45877</v>
      </c>
      <c r="B27" s="20" t="s">
        <v>43</v>
      </c>
      <c r="C27" s="21" t="s">
        <v>29</v>
      </c>
      <c r="D27" s="21" t="s">
        <v>1150</v>
      </c>
      <c r="E27" s="21" t="s">
        <v>79</v>
      </c>
      <c r="F27" s="21" t="s">
        <v>1148</v>
      </c>
      <c r="G27" s="21" t="s">
        <v>23</v>
      </c>
      <c r="H27" s="21" t="s">
        <v>23</v>
      </c>
      <c r="I27" s="21" t="s">
        <v>23</v>
      </c>
      <c r="J27" s="21">
        <f>194-77</f>
        <v>117</v>
      </c>
      <c r="K27" s="21" t="s">
        <v>1149</v>
      </c>
      <c r="L27" s="20" t="s">
        <v>1141</v>
      </c>
    </row>
    <row r="28" spans="1:12" ht="17.100000000000001" customHeight="1">
      <c r="A28" s="27">
        <v>45877</v>
      </c>
      <c r="B28" s="20" t="s">
        <v>116</v>
      </c>
      <c r="C28" s="21" t="s">
        <v>29</v>
      </c>
      <c r="D28" s="21" t="s">
        <v>1130</v>
      </c>
      <c r="E28" s="21" t="s">
        <v>79</v>
      </c>
      <c r="F28" s="21" t="s">
        <v>1145</v>
      </c>
      <c r="G28" s="21" t="s">
        <v>23</v>
      </c>
      <c r="H28" s="21" t="s">
        <v>23</v>
      </c>
      <c r="I28" s="21" t="s">
        <v>23</v>
      </c>
      <c r="J28" s="21">
        <v>108</v>
      </c>
      <c r="K28" s="21" t="s">
        <v>1151</v>
      </c>
      <c r="L28" s="20" t="s">
        <v>1152</v>
      </c>
    </row>
    <row r="29" spans="1:12" ht="17.100000000000001" customHeight="1">
      <c r="A29" s="27">
        <v>45877</v>
      </c>
      <c r="B29" s="20" t="s">
        <v>55</v>
      </c>
      <c r="C29" s="21" t="s">
        <v>21</v>
      </c>
      <c r="D29" s="21" t="s">
        <v>1155</v>
      </c>
      <c r="E29" s="21" t="s">
        <v>79</v>
      </c>
      <c r="F29" s="21" t="s">
        <v>1145</v>
      </c>
      <c r="G29" s="21" t="s">
        <v>23</v>
      </c>
      <c r="H29" s="21" t="s">
        <v>23</v>
      </c>
      <c r="I29" s="21" t="s">
        <v>23</v>
      </c>
      <c r="J29" s="21">
        <v>4</v>
      </c>
      <c r="K29" s="21" t="s">
        <v>1151</v>
      </c>
      <c r="L29" s="20" t="s">
        <v>1153</v>
      </c>
    </row>
    <row r="30" spans="1:12" ht="17.100000000000001" customHeight="1">
      <c r="A30" s="27">
        <v>45877</v>
      </c>
      <c r="B30" s="20" t="s">
        <v>55</v>
      </c>
      <c r="C30" s="21" t="s">
        <v>21</v>
      </c>
      <c r="D30" s="21" t="s">
        <v>1155</v>
      </c>
      <c r="E30" s="21" t="s">
        <v>79</v>
      </c>
      <c r="F30" s="21" t="s">
        <v>1145</v>
      </c>
      <c r="G30" s="21" t="s">
        <v>23</v>
      </c>
      <c r="H30" s="21" t="s">
        <v>23</v>
      </c>
      <c r="I30" s="21" t="s">
        <v>23</v>
      </c>
      <c r="J30" s="21">
        <v>36</v>
      </c>
      <c r="K30" s="21" t="s">
        <v>1151</v>
      </c>
      <c r="L30" s="20" t="s">
        <v>1154</v>
      </c>
    </row>
    <row r="31" spans="1:12" ht="17.100000000000001" customHeight="1">
      <c r="A31" s="27">
        <v>45877</v>
      </c>
      <c r="B31" s="20" t="s">
        <v>20</v>
      </c>
      <c r="C31" s="21" t="s">
        <v>21</v>
      </c>
      <c r="D31" s="21" t="s">
        <v>1128</v>
      </c>
      <c r="E31" s="21" t="s">
        <v>23</v>
      </c>
      <c r="F31" s="21" t="s">
        <v>1134</v>
      </c>
      <c r="G31" s="21" t="s">
        <v>1135</v>
      </c>
      <c r="H31" s="21" t="s">
        <v>23</v>
      </c>
      <c r="I31" s="21" t="s">
        <v>23</v>
      </c>
      <c r="J31" s="21">
        <v>117</v>
      </c>
      <c r="K31" s="21" t="s">
        <v>988</v>
      </c>
      <c r="L31" s="20" t="s">
        <v>1139</v>
      </c>
    </row>
    <row r="32" spans="1:12" ht="17.100000000000001" customHeight="1">
      <c r="A32" s="27">
        <v>45877</v>
      </c>
      <c r="B32" s="20" t="s">
        <v>20</v>
      </c>
      <c r="C32" s="21" t="s">
        <v>29</v>
      </c>
      <c r="D32" s="21" t="s">
        <v>1130</v>
      </c>
      <c r="E32" s="21"/>
      <c r="F32" s="21" t="s">
        <v>1134</v>
      </c>
      <c r="G32" s="21" t="s">
        <v>1135</v>
      </c>
      <c r="H32" s="21" t="s">
        <v>23</v>
      </c>
      <c r="I32" s="21" t="s">
        <v>23</v>
      </c>
      <c r="J32" s="21">
        <v>142</v>
      </c>
      <c r="K32" s="21" t="s">
        <v>988</v>
      </c>
      <c r="L32" s="20" t="s">
        <v>1139</v>
      </c>
    </row>
    <row r="33" spans="1:12" ht="17.100000000000001" customHeight="1">
      <c r="A33" s="27">
        <v>45877</v>
      </c>
      <c r="B33" s="20" t="s">
        <v>20</v>
      </c>
      <c r="C33" s="21" t="s">
        <v>33</v>
      </c>
      <c r="D33" s="21" t="s">
        <v>1128</v>
      </c>
      <c r="E33" s="21"/>
      <c r="F33" s="21" t="s">
        <v>1134</v>
      </c>
      <c r="G33" s="21" t="s">
        <v>1135</v>
      </c>
      <c r="H33" s="21" t="s">
        <v>23</v>
      </c>
      <c r="I33" s="21" t="s">
        <v>23</v>
      </c>
      <c r="J33" s="21">
        <v>79</v>
      </c>
      <c r="K33" s="21" t="s">
        <v>988</v>
      </c>
      <c r="L33" s="20" t="s">
        <v>1139</v>
      </c>
    </row>
    <row r="34" spans="1:12" ht="17.100000000000001" customHeight="1">
      <c r="A34" s="27">
        <v>45880</v>
      </c>
      <c r="B34" s="20" t="s">
        <v>20</v>
      </c>
      <c r="C34" s="21" t="s">
        <v>21</v>
      </c>
      <c r="D34" s="21" t="s">
        <v>1158</v>
      </c>
      <c r="E34" s="21"/>
      <c r="F34" s="21" t="s">
        <v>1134</v>
      </c>
      <c r="G34" s="21" t="s">
        <v>1135</v>
      </c>
      <c r="H34" s="21" t="s">
        <v>23</v>
      </c>
      <c r="I34" s="21" t="s">
        <v>23</v>
      </c>
      <c r="J34" s="21">
        <v>150</v>
      </c>
      <c r="K34" s="21" t="s">
        <v>1156</v>
      </c>
      <c r="L34" s="20" t="s">
        <v>1157</v>
      </c>
    </row>
    <row r="35" spans="1:12" ht="17.100000000000001" customHeight="1">
      <c r="A35" s="27">
        <v>45880</v>
      </c>
      <c r="B35" s="20" t="s">
        <v>20</v>
      </c>
      <c r="C35" s="21" t="s">
        <v>29</v>
      </c>
      <c r="D35" s="21" t="s">
        <v>1159</v>
      </c>
      <c r="E35" s="21"/>
      <c r="F35" s="21" t="s">
        <v>1134</v>
      </c>
      <c r="G35" s="21" t="s">
        <v>1135</v>
      </c>
      <c r="H35" s="21" t="s">
        <v>23</v>
      </c>
      <c r="I35" s="21" t="s">
        <v>23</v>
      </c>
      <c r="J35" s="21">
        <v>286</v>
      </c>
      <c r="K35" s="21" t="s">
        <v>1156</v>
      </c>
      <c r="L35" s="20" t="s">
        <v>1157</v>
      </c>
    </row>
    <row r="36" spans="1:12" ht="17.100000000000001" customHeight="1">
      <c r="A36" s="27">
        <v>45880</v>
      </c>
      <c r="B36" s="20" t="s">
        <v>20</v>
      </c>
      <c r="C36" s="21" t="s">
        <v>33</v>
      </c>
      <c r="D36" s="21" t="s">
        <v>1160</v>
      </c>
      <c r="E36" s="21" t="s">
        <v>23</v>
      </c>
      <c r="F36" s="21" t="s">
        <v>1134</v>
      </c>
      <c r="G36" s="21" t="s">
        <v>1135</v>
      </c>
      <c r="H36" s="21" t="s">
        <v>23</v>
      </c>
      <c r="I36" s="21" t="s">
        <v>23</v>
      </c>
      <c r="J36" s="21">
        <v>286</v>
      </c>
      <c r="K36" s="21" t="s">
        <v>1156</v>
      </c>
      <c r="L36" s="20" t="s">
        <v>1157</v>
      </c>
    </row>
    <row r="37" spans="1:12" ht="17.100000000000001" customHeight="1">
      <c r="A37" s="27">
        <v>45880</v>
      </c>
      <c r="B37" s="20" t="s">
        <v>20</v>
      </c>
      <c r="C37" s="21" t="s">
        <v>34</v>
      </c>
      <c r="D37" s="21" t="s">
        <v>1161</v>
      </c>
      <c r="E37" s="21" t="s">
        <v>23</v>
      </c>
      <c r="F37" s="21" t="s">
        <v>1134</v>
      </c>
      <c r="G37" s="21" t="s">
        <v>1135</v>
      </c>
      <c r="H37" s="21" t="s">
        <v>23</v>
      </c>
      <c r="I37" s="21" t="s">
        <v>23</v>
      </c>
      <c r="J37" s="21">
        <v>98</v>
      </c>
      <c r="K37" s="21" t="s">
        <v>1156</v>
      </c>
      <c r="L37" s="20" t="s">
        <v>1157</v>
      </c>
    </row>
    <row r="38" spans="1:12" ht="17.100000000000001" customHeight="1">
      <c r="A38" s="22">
        <v>12082025</v>
      </c>
      <c r="B38" s="20" t="s">
        <v>20</v>
      </c>
      <c r="C38" s="21" t="s">
        <v>21</v>
      </c>
      <c r="D38" s="21" t="s">
        <v>1161</v>
      </c>
      <c r="E38" s="21" t="s">
        <v>23</v>
      </c>
      <c r="F38" s="21" t="s">
        <v>1134</v>
      </c>
      <c r="G38" s="21" t="s">
        <v>1135</v>
      </c>
      <c r="H38" s="21" t="s">
        <v>23</v>
      </c>
      <c r="I38" s="21" t="s">
        <v>23</v>
      </c>
      <c r="J38" s="21">
        <v>220</v>
      </c>
      <c r="K38" s="21" t="s">
        <v>1162</v>
      </c>
      <c r="L38" s="20" t="s">
        <v>1157</v>
      </c>
    </row>
    <row r="39" spans="1:12" ht="17.100000000000001" customHeight="1">
      <c r="A39" s="22">
        <v>12082025</v>
      </c>
      <c r="B39" s="20" t="s">
        <v>20</v>
      </c>
      <c r="C39" s="21" t="s">
        <v>29</v>
      </c>
      <c r="D39" s="21" t="s">
        <v>1163</v>
      </c>
      <c r="E39" s="21" t="s">
        <v>23</v>
      </c>
      <c r="F39" s="21" t="s">
        <v>1134</v>
      </c>
      <c r="G39" s="21" t="s">
        <v>1135</v>
      </c>
      <c r="H39" s="21" t="s">
        <v>23</v>
      </c>
      <c r="I39" s="21" t="s">
        <v>23</v>
      </c>
      <c r="J39" s="21">
        <v>144</v>
      </c>
      <c r="K39" s="21" t="s">
        <v>988</v>
      </c>
      <c r="L39" s="20" t="s">
        <v>1157</v>
      </c>
    </row>
    <row r="40" spans="1:12" ht="17.100000000000001" customHeight="1">
      <c r="A40" s="22">
        <v>12082025</v>
      </c>
      <c r="B40" s="20" t="s">
        <v>55</v>
      </c>
      <c r="C40" s="21" t="s">
        <v>21</v>
      </c>
      <c r="D40" s="21" t="s">
        <v>1170</v>
      </c>
      <c r="E40" s="21" t="s">
        <v>1165</v>
      </c>
      <c r="F40" s="21" t="s">
        <v>1164</v>
      </c>
      <c r="G40" s="21" t="s">
        <v>23</v>
      </c>
      <c r="H40" s="21" t="s">
        <v>23</v>
      </c>
      <c r="I40" s="21" t="s">
        <v>23</v>
      </c>
      <c r="J40" s="21">
        <v>50</v>
      </c>
      <c r="K40" s="21" t="s">
        <v>961</v>
      </c>
      <c r="L40" s="20" t="s">
        <v>1166</v>
      </c>
    </row>
    <row r="41" spans="1:12" ht="17.100000000000001" customHeight="1">
      <c r="A41" s="22">
        <v>12082025</v>
      </c>
      <c r="B41" s="20" t="s">
        <v>116</v>
      </c>
      <c r="C41" s="21" t="s">
        <v>21</v>
      </c>
      <c r="D41" s="21" t="s">
        <v>1170</v>
      </c>
      <c r="E41" s="21" t="s">
        <v>1165</v>
      </c>
      <c r="F41" s="21" t="s">
        <v>1164</v>
      </c>
      <c r="G41" s="21" t="s">
        <v>23</v>
      </c>
      <c r="H41" s="21" t="s">
        <v>23</v>
      </c>
      <c r="I41" s="21" t="s">
        <v>23</v>
      </c>
      <c r="J41" s="21">
        <v>10</v>
      </c>
      <c r="K41" s="21" t="s">
        <v>961</v>
      </c>
      <c r="L41" s="20" t="s">
        <v>1167</v>
      </c>
    </row>
    <row r="42" spans="1:12" ht="17.100000000000001" customHeight="1">
      <c r="A42" s="22">
        <v>12082025</v>
      </c>
      <c r="B42" s="20" t="s">
        <v>43</v>
      </c>
      <c r="C42" s="21" t="s">
        <v>21</v>
      </c>
      <c r="D42" s="21" t="s">
        <v>1170</v>
      </c>
      <c r="E42" s="21" t="s">
        <v>1165</v>
      </c>
      <c r="F42" s="21" t="s">
        <v>1169</v>
      </c>
      <c r="G42" s="21" t="s">
        <v>23</v>
      </c>
      <c r="H42" s="21" t="s">
        <v>23</v>
      </c>
      <c r="I42" s="21" t="s">
        <v>23</v>
      </c>
      <c r="J42" s="21">
        <v>36</v>
      </c>
      <c r="K42" s="21" t="s">
        <v>961</v>
      </c>
      <c r="L42" s="20" t="s">
        <v>1168</v>
      </c>
    </row>
    <row r="43" spans="1:12" ht="17.100000000000001" customHeight="1">
      <c r="A43" s="22">
        <v>12082025</v>
      </c>
      <c r="B43" s="20" t="s">
        <v>43</v>
      </c>
      <c r="C43" s="21" t="s">
        <v>29</v>
      </c>
      <c r="D43" s="21" t="s">
        <v>1170</v>
      </c>
      <c r="E43" s="21" t="s">
        <v>1165</v>
      </c>
      <c r="F43" s="21" t="s">
        <v>1169</v>
      </c>
      <c r="G43" s="21" t="s">
        <v>23</v>
      </c>
      <c r="H43" s="21" t="s">
        <v>23</v>
      </c>
      <c r="I43" s="21" t="s">
        <v>23</v>
      </c>
      <c r="J43" s="21">
        <v>104</v>
      </c>
      <c r="K43" s="21" t="s">
        <v>961</v>
      </c>
      <c r="L43" s="20" t="s">
        <v>1171</v>
      </c>
    </row>
    <row r="44" spans="1:12" ht="17.100000000000001" customHeight="1">
      <c r="A44" s="27">
        <v>45882</v>
      </c>
      <c r="B44" s="20" t="s">
        <v>20</v>
      </c>
      <c r="C44" s="21" t="s">
        <v>21</v>
      </c>
      <c r="D44" s="21" t="s">
        <v>1172</v>
      </c>
      <c r="E44" s="21" t="s">
        <v>23</v>
      </c>
      <c r="F44" s="21" t="s">
        <v>1134</v>
      </c>
      <c r="G44" s="21" t="s">
        <v>1135</v>
      </c>
      <c r="H44" s="21" t="s">
        <v>23</v>
      </c>
      <c r="I44" s="21" t="s">
        <v>23</v>
      </c>
      <c r="J44" s="21">
        <v>108</v>
      </c>
      <c r="K44" s="21" t="s">
        <v>988</v>
      </c>
      <c r="L44" s="20" t="s">
        <v>1174</v>
      </c>
    </row>
    <row r="45" spans="1:12" ht="17.100000000000001" customHeight="1">
      <c r="A45" s="27">
        <v>45882</v>
      </c>
      <c r="B45" s="20" t="s">
        <v>128</v>
      </c>
      <c r="C45" s="21" t="s">
        <v>21</v>
      </c>
      <c r="D45" s="21" t="s">
        <v>1172</v>
      </c>
      <c r="E45" s="21" t="s">
        <v>23</v>
      </c>
      <c r="F45" s="21"/>
      <c r="G45" s="21" t="s">
        <v>1135</v>
      </c>
      <c r="H45" s="21" t="s">
        <v>23</v>
      </c>
      <c r="I45" s="21" t="s">
        <v>23</v>
      </c>
      <c r="J45" s="21">
        <v>144</v>
      </c>
      <c r="K45" s="21" t="s">
        <v>988</v>
      </c>
      <c r="L45" s="20" t="s">
        <v>1173</v>
      </c>
    </row>
    <row r="46" spans="1:12" ht="17.100000000000001" customHeight="1">
      <c r="A46" s="27">
        <v>45882</v>
      </c>
      <c r="B46" s="20" t="s">
        <v>128</v>
      </c>
      <c r="C46" s="21" t="s">
        <v>29</v>
      </c>
      <c r="D46" s="21" t="s">
        <v>1175</v>
      </c>
      <c r="E46" s="21" t="s">
        <v>23</v>
      </c>
      <c r="F46" s="21"/>
      <c r="G46" s="21" t="s">
        <v>1135</v>
      </c>
      <c r="H46" s="21" t="s">
        <v>23</v>
      </c>
      <c r="I46" s="21" t="s">
        <v>23</v>
      </c>
      <c r="J46" s="21">
        <v>72</v>
      </c>
      <c r="K46" s="21" t="s">
        <v>988</v>
      </c>
      <c r="L46" s="20" t="s">
        <v>1176</v>
      </c>
    </row>
    <row r="47" spans="1:12" ht="17.100000000000001" customHeight="1">
      <c r="A47" s="27">
        <v>45882</v>
      </c>
      <c r="B47" s="20" t="s">
        <v>43</v>
      </c>
      <c r="C47" s="21" t="s">
        <v>21</v>
      </c>
      <c r="D47" s="21" t="s">
        <v>1177</v>
      </c>
      <c r="E47" s="21" t="s">
        <v>927</v>
      </c>
      <c r="F47" s="21" t="s">
        <v>1179</v>
      </c>
      <c r="G47" s="21" t="s">
        <v>23</v>
      </c>
      <c r="H47" s="21" t="s">
        <v>23</v>
      </c>
      <c r="I47" s="21" t="s">
        <v>23</v>
      </c>
      <c r="J47" s="21">
        <v>128</v>
      </c>
      <c r="K47" s="21" t="s">
        <v>1180</v>
      </c>
      <c r="L47" s="20" t="s">
        <v>1181</v>
      </c>
    </row>
    <row r="48" spans="1:12" ht="17.100000000000001" customHeight="1">
      <c r="A48" s="27">
        <v>45882</v>
      </c>
      <c r="B48" s="20" t="s">
        <v>43</v>
      </c>
      <c r="C48" s="21" t="s">
        <v>21</v>
      </c>
      <c r="D48" s="21" t="s">
        <v>1177</v>
      </c>
      <c r="E48" s="21" t="s">
        <v>927</v>
      </c>
      <c r="F48" s="21" t="s">
        <v>1179</v>
      </c>
      <c r="G48" s="21" t="s">
        <v>23</v>
      </c>
      <c r="H48" s="21" t="s">
        <v>23</v>
      </c>
      <c r="I48" s="21" t="s">
        <v>23</v>
      </c>
      <c r="J48" s="21">
        <v>112</v>
      </c>
      <c r="K48" s="21" t="s">
        <v>1180</v>
      </c>
      <c r="L48" s="20" t="s">
        <v>1182</v>
      </c>
    </row>
    <row r="49" spans="1:14" ht="17.100000000000001" customHeight="1">
      <c r="A49" s="27">
        <v>45882</v>
      </c>
      <c r="B49" s="20" t="s">
        <v>43</v>
      </c>
      <c r="C49" s="21" t="s">
        <v>29</v>
      </c>
      <c r="D49" s="21" t="s">
        <v>1178</v>
      </c>
      <c r="E49" s="21" t="s">
        <v>927</v>
      </c>
      <c r="F49" s="21" t="s">
        <v>1179</v>
      </c>
      <c r="G49" s="21" t="s">
        <v>23</v>
      </c>
      <c r="H49" s="21" t="s">
        <v>23</v>
      </c>
      <c r="I49" s="21" t="s">
        <v>23</v>
      </c>
      <c r="J49" s="21">
        <v>40</v>
      </c>
      <c r="K49" s="21" t="s">
        <v>1180</v>
      </c>
      <c r="L49" s="20" t="s">
        <v>1182</v>
      </c>
    </row>
    <row r="50" spans="1:14" ht="17.100000000000001" customHeight="1">
      <c r="A50" s="27">
        <v>45882</v>
      </c>
      <c r="B50" s="20" t="s">
        <v>39</v>
      </c>
      <c r="C50" s="21" t="s">
        <v>21</v>
      </c>
      <c r="D50" s="21" t="s">
        <v>1175</v>
      </c>
      <c r="E50" s="21" t="s">
        <v>23</v>
      </c>
      <c r="F50" s="21" t="s">
        <v>1134</v>
      </c>
      <c r="G50" s="21" t="s">
        <v>1135</v>
      </c>
      <c r="H50" s="21" t="s">
        <v>23</v>
      </c>
      <c r="I50" s="21" t="s">
        <v>23</v>
      </c>
      <c r="J50" s="21">
        <v>52</v>
      </c>
      <c r="K50" s="21" t="s">
        <v>988</v>
      </c>
      <c r="L50" s="20" t="s">
        <v>1183</v>
      </c>
    </row>
    <row r="51" spans="1:14" ht="17.100000000000001" customHeight="1">
      <c r="A51" s="27">
        <v>45882</v>
      </c>
      <c r="B51" s="20" t="s">
        <v>39</v>
      </c>
      <c r="C51" s="21" t="s">
        <v>21</v>
      </c>
      <c r="D51" s="21" t="s">
        <v>1175</v>
      </c>
      <c r="E51" s="21" t="s">
        <v>23</v>
      </c>
      <c r="F51" s="21" t="s">
        <v>1134</v>
      </c>
      <c r="G51" s="21" t="s">
        <v>1135</v>
      </c>
      <c r="H51" s="21" t="s">
        <v>23</v>
      </c>
      <c r="I51" s="21" t="s">
        <v>23</v>
      </c>
      <c r="J51" s="21">
        <v>72</v>
      </c>
      <c r="K51" s="21" t="s">
        <v>988</v>
      </c>
      <c r="L51" s="20" t="s">
        <v>1184</v>
      </c>
    </row>
    <row r="52" spans="1:14" ht="17.100000000000001" customHeight="1">
      <c r="A52" s="27">
        <v>45883</v>
      </c>
      <c r="B52" s="20" t="s">
        <v>39</v>
      </c>
      <c r="C52" s="21" t="s">
        <v>21</v>
      </c>
      <c r="D52" s="21" t="s">
        <v>1175</v>
      </c>
      <c r="E52" s="21" t="s">
        <v>23</v>
      </c>
      <c r="F52" s="21" t="s">
        <v>1134</v>
      </c>
      <c r="G52" s="21" t="s">
        <v>1135</v>
      </c>
      <c r="H52" s="21" t="s">
        <v>23</v>
      </c>
      <c r="I52" s="21" t="s">
        <v>23</v>
      </c>
      <c r="J52" s="21">
        <v>52</v>
      </c>
      <c r="K52" s="21" t="s">
        <v>988</v>
      </c>
      <c r="L52" s="20" t="s">
        <v>1184</v>
      </c>
    </row>
    <row r="53" spans="1:14" ht="17.100000000000001" customHeight="1">
      <c r="A53" s="27">
        <v>45883</v>
      </c>
      <c r="B53" s="20" t="s">
        <v>43</v>
      </c>
      <c r="C53" s="21" t="s">
        <v>21</v>
      </c>
      <c r="D53" s="21" t="s">
        <v>1170</v>
      </c>
      <c r="E53" s="21" t="s">
        <v>1165</v>
      </c>
      <c r="F53" s="21" t="s">
        <v>1185</v>
      </c>
      <c r="G53" s="21" t="s">
        <v>23</v>
      </c>
      <c r="H53" s="21" t="s">
        <v>23</v>
      </c>
      <c r="I53" s="21" t="s">
        <v>23</v>
      </c>
      <c r="J53" s="21">
        <v>144</v>
      </c>
      <c r="K53" s="21" t="s">
        <v>961</v>
      </c>
      <c r="L53" s="20" t="s">
        <v>1186</v>
      </c>
    </row>
    <row r="54" spans="1:14" ht="17.100000000000001" customHeight="1">
      <c r="A54" s="27">
        <v>45883</v>
      </c>
      <c r="B54" s="20" t="s">
        <v>43</v>
      </c>
      <c r="C54" s="21" t="s">
        <v>21</v>
      </c>
      <c r="D54" s="21" t="s">
        <v>1178</v>
      </c>
      <c r="E54" s="21" t="s">
        <v>927</v>
      </c>
      <c r="F54" s="21" t="s">
        <v>1179</v>
      </c>
      <c r="G54" s="21" t="s">
        <v>23</v>
      </c>
      <c r="H54" s="21" t="s">
        <v>23</v>
      </c>
      <c r="I54" s="21" t="s">
        <v>23</v>
      </c>
      <c r="J54" s="21">
        <v>240</v>
      </c>
      <c r="K54" s="21" t="s">
        <v>1187</v>
      </c>
      <c r="L54" s="20" t="s">
        <v>1182</v>
      </c>
    </row>
    <row r="55" spans="1:14" ht="17.100000000000001" customHeight="1">
      <c r="A55" s="27">
        <v>45883</v>
      </c>
      <c r="B55" s="20" t="s">
        <v>43</v>
      </c>
      <c r="C55" s="21" t="s">
        <v>29</v>
      </c>
      <c r="D55" s="21" t="s">
        <v>1188</v>
      </c>
      <c r="E55" s="21" t="s">
        <v>927</v>
      </c>
      <c r="F55" s="21" t="s">
        <v>1189</v>
      </c>
      <c r="G55" s="21" t="s">
        <v>23</v>
      </c>
      <c r="H55" s="21" t="s">
        <v>23</v>
      </c>
      <c r="I55" s="21" t="s">
        <v>23</v>
      </c>
      <c r="J55" s="21">
        <v>240</v>
      </c>
      <c r="K55" s="21" t="s">
        <v>1187</v>
      </c>
      <c r="L55" s="20" t="s">
        <v>1182</v>
      </c>
    </row>
    <row r="56" spans="1:14" ht="17.100000000000001" customHeight="1">
      <c r="A56" s="27">
        <v>45883</v>
      </c>
      <c r="B56" s="20" t="s">
        <v>43</v>
      </c>
      <c r="C56" s="21" t="s">
        <v>33</v>
      </c>
      <c r="D56" s="21" t="s">
        <v>1190</v>
      </c>
      <c r="E56" s="21" t="s">
        <v>927</v>
      </c>
      <c r="F56" s="21" t="s">
        <v>1189</v>
      </c>
      <c r="G56" s="21" t="s">
        <v>23</v>
      </c>
      <c r="H56" s="21" t="s">
        <v>23</v>
      </c>
      <c r="I56" s="21" t="s">
        <v>23</v>
      </c>
      <c r="J56" s="21">
        <v>20</v>
      </c>
      <c r="K56" s="21" t="s">
        <v>1187</v>
      </c>
      <c r="L56" s="20" t="s">
        <v>1182</v>
      </c>
    </row>
    <row r="57" spans="1:14" ht="17.100000000000001" customHeight="1">
      <c r="A57" s="27">
        <v>45884</v>
      </c>
      <c r="B57" s="20" t="s">
        <v>43</v>
      </c>
      <c r="C57" s="21" t="s">
        <v>21</v>
      </c>
      <c r="D57" s="21" t="s">
        <v>1190</v>
      </c>
      <c r="E57" s="21" t="s">
        <v>927</v>
      </c>
      <c r="F57" s="21" t="s">
        <v>1189</v>
      </c>
      <c r="G57" s="21" t="s">
        <v>23</v>
      </c>
      <c r="H57" s="21" t="s">
        <v>23</v>
      </c>
      <c r="I57" s="21" t="s">
        <v>23</v>
      </c>
      <c r="J57" s="21">
        <v>71</v>
      </c>
      <c r="K57" s="21" t="s">
        <v>1187</v>
      </c>
      <c r="L57" s="20" t="s">
        <v>1182</v>
      </c>
    </row>
    <row r="58" spans="1:14" ht="17.100000000000001" customHeight="1">
      <c r="A58" s="27">
        <v>45884</v>
      </c>
      <c r="B58" s="20" t="s">
        <v>43</v>
      </c>
      <c r="C58" s="21" t="s">
        <v>21</v>
      </c>
      <c r="D58" s="21" t="s">
        <v>1155</v>
      </c>
      <c r="E58" s="21" t="s">
        <v>927</v>
      </c>
      <c r="F58" s="21" t="s">
        <v>1191</v>
      </c>
      <c r="G58" s="21" t="s">
        <v>23</v>
      </c>
      <c r="H58" s="21" t="s">
        <v>23</v>
      </c>
      <c r="I58" s="21" t="s">
        <v>23</v>
      </c>
      <c r="J58" s="21">
        <v>284</v>
      </c>
      <c r="K58" s="21" t="s">
        <v>1201</v>
      </c>
      <c r="L58" s="20" t="s">
        <v>1182</v>
      </c>
    </row>
    <row r="59" spans="1:14" ht="17.100000000000001" customHeight="1">
      <c r="A59" s="27">
        <v>45884</v>
      </c>
      <c r="B59" s="20" t="s">
        <v>43</v>
      </c>
      <c r="C59" s="21" t="s">
        <v>29</v>
      </c>
      <c r="D59" s="21" t="s">
        <v>1192</v>
      </c>
      <c r="E59" s="21" t="s">
        <v>927</v>
      </c>
      <c r="F59" s="21" t="s">
        <v>1134</v>
      </c>
      <c r="G59" s="21" t="s">
        <v>23</v>
      </c>
      <c r="H59" s="21" t="s">
        <v>23</v>
      </c>
      <c r="I59" s="21" t="s">
        <v>23</v>
      </c>
      <c r="J59" s="21">
        <v>189</v>
      </c>
      <c r="K59" s="21" t="s">
        <v>1201</v>
      </c>
      <c r="L59" s="20" t="s">
        <v>1182</v>
      </c>
    </row>
    <row r="60" spans="1:14" ht="17.100000000000001" customHeight="1">
      <c r="A60" s="27">
        <v>45888</v>
      </c>
      <c r="B60" s="20" t="s">
        <v>43</v>
      </c>
      <c r="C60" s="21" t="s">
        <v>21</v>
      </c>
      <c r="D60" s="21" t="s">
        <v>1195</v>
      </c>
      <c r="E60" s="21" t="s">
        <v>927</v>
      </c>
      <c r="F60" s="21" t="s">
        <v>1194</v>
      </c>
      <c r="G60" s="21" t="s">
        <v>23</v>
      </c>
      <c r="H60" s="21" t="s">
        <v>23</v>
      </c>
      <c r="I60" s="21" t="s">
        <v>23</v>
      </c>
      <c r="J60" s="21">
        <v>27</v>
      </c>
      <c r="K60" s="21" t="s">
        <v>961</v>
      </c>
      <c r="L60" s="20" t="s">
        <v>1193</v>
      </c>
    </row>
    <row r="61" spans="1:14" ht="17.100000000000001" customHeight="1">
      <c r="A61" s="27">
        <v>45888</v>
      </c>
      <c r="B61" s="20" t="s">
        <v>43</v>
      </c>
      <c r="C61" s="21" t="s">
        <v>21</v>
      </c>
      <c r="D61" s="21" t="s">
        <v>1195</v>
      </c>
      <c r="E61" s="21" t="s">
        <v>927</v>
      </c>
      <c r="F61" s="21" t="s">
        <v>1194</v>
      </c>
      <c r="G61" s="21" t="s">
        <v>23</v>
      </c>
      <c r="H61" s="21" t="s">
        <v>23</v>
      </c>
      <c r="I61" s="21" t="s">
        <v>23</v>
      </c>
      <c r="J61" s="21">
        <v>216</v>
      </c>
      <c r="K61" s="21" t="s">
        <v>1200</v>
      </c>
      <c r="L61" s="20" t="s">
        <v>1196</v>
      </c>
    </row>
    <row r="62" spans="1:14" ht="17.100000000000001" customHeight="1" thickBot="1">
      <c r="A62" s="27">
        <v>45888</v>
      </c>
      <c r="B62" s="20" t="s">
        <v>43</v>
      </c>
      <c r="C62" s="21" t="s">
        <v>29</v>
      </c>
      <c r="D62" s="21" t="s">
        <v>1197</v>
      </c>
      <c r="E62" s="21" t="s">
        <v>927</v>
      </c>
      <c r="F62" s="21" t="s">
        <v>1198</v>
      </c>
      <c r="G62" s="21" t="s">
        <v>23</v>
      </c>
      <c r="H62" s="21" t="s">
        <v>23</v>
      </c>
      <c r="I62" s="21" t="s">
        <v>23</v>
      </c>
      <c r="J62" s="21">
        <v>67</v>
      </c>
      <c r="K62" s="21" t="s">
        <v>1201</v>
      </c>
      <c r="L62" s="24" t="s">
        <v>1199</v>
      </c>
    </row>
    <row r="63" spans="1:14" ht="17.100000000000001" customHeight="1" thickBot="1">
      <c r="A63" s="27">
        <v>45891</v>
      </c>
      <c r="B63" s="20" t="s">
        <v>43</v>
      </c>
      <c r="C63" s="21" t="s">
        <v>21</v>
      </c>
      <c r="D63" s="21" t="s">
        <v>1197</v>
      </c>
      <c r="E63" s="21" t="s">
        <v>1165</v>
      </c>
      <c r="F63" s="21" t="s">
        <v>1202</v>
      </c>
      <c r="G63" s="21" t="s">
        <v>23</v>
      </c>
      <c r="H63" s="21" t="s">
        <v>23</v>
      </c>
      <c r="I63" s="21" t="s">
        <v>23</v>
      </c>
      <c r="J63" s="21">
        <v>150</v>
      </c>
      <c r="K63" s="21" t="s">
        <v>1203</v>
      </c>
      <c r="L63" s="24" t="s">
        <v>1199</v>
      </c>
    </row>
    <row r="64" spans="1:14">
      <c r="A64" s="27">
        <v>45895</v>
      </c>
      <c r="B64" s="20" t="s">
        <v>20</v>
      </c>
      <c r="C64" s="21" t="s">
        <v>21</v>
      </c>
      <c r="D64" s="21" t="s">
        <v>1204</v>
      </c>
      <c r="E64" s="21" t="s">
        <v>23</v>
      </c>
      <c r="F64" s="21" t="s">
        <v>1134</v>
      </c>
      <c r="G64" s="21" t="s">
        <v>1135</v>
      </c>
      <c r="H64" s="21" t="s">
        <v>23</v>
      </c>
      <c r="I64" s="21" t="s">
        <v>23</v>
      </c>
      <c r="J64" s="21">
        <v>104</v>
      </c>
      <c r="K64" s="21" t="s">
        <v>988</v>
      </c>
      <c r="L64" s="21" t="s">
        <v>1205</v>
      </c>
      <c r="M64" s="18"/>
      <c r="N64" s="17"/>
    </row>
    <row r="65" spans="1:12" ht="15" thickBot="1">
      <c r="A65" s="27">
        <v>45895</v>
      </c>
      <c r="B65" s="20" t="s">
        <v>43</v>
      </c>
      <c r="C65" s="21" t="s">
        <v>21</v>
      </c>
      <c r="D65" s="21" t="s">
        <v>1206</v>
      </c>
      <c r="E65" s="21" t="s">
        <v>927</v>
      </c>
      <c r="F65" s="21" t="s">
        <v>1198</v>
      </c>
      <c r="G65" s="21" t="s">
        <v>23</v>
      </c>
      <c r="H65" s="21" t="s">
        <v>23</v>
      </c>
      <c r="I65" s="21" t="s">
        <v>23</v>
      </c>
      <c r="J65" s="21">
        <v>511</v>
      </c>
      <c r="K65" s="21" t="s">
        <v>1201</v>
      </c>
      <c r="L65" s="24" t="s">
        <v>1199</v>
      </c>
    </row>
    <row r="66" spans="1:12">
      <c r="A66" s="27">
        <v>45895</v>
      </c>
      <c r="B66" s="20" t="s">
        <v>43</v>
      </c>
      <c r="C66" s="21" t="s">
        <v>29</v>
      </c>
      <c r="D66" s="21" t="s">
        <v>1207</v>
      </c>
      <c r="E66" s="21" t="s">
        <v>927</v>
      </c>
      <c r="F66" s="21" t="s">
        <v>1208</v>
      </c>
      <c r="G66" s="21" t="s">
        <v>23</v>
      </c>
      <c r="H66" s="21" t="s">
        <v>23</v>
      </c>
      <c r="I66" s="21" t="s">
        <v>23</v>
      </c>
      <c r="J66" s="21">
        <v>104</v>
      </c>
      <c r="K66" s="21" t="s">
        <v>1209</v>
      </c>
      <c r="L66" s="21" t="s">
        <v>1210</v>
      </c>
    </row>
    <row r="67" spans="1:12">
      <c r="A67" s="27">
        <v>45895</v>
      </c>
      <c r="B67" s="20" t="s">
        <v>43</v>
      </c>
      <c r="C67" s="21" t="s">
        <v>29</v>
      </c>
      <c r="D67" s="21" t="s">
        <v>1207</v>
      </c>
      <c r="E67" s="21" t="s">
        <v>927</v>
      </c>
      <c r="F67" s="21" t="s">
        <v>1208</v>
      </c>
      <c r="G67" s="21" t="s">
        <v>23</v>
      </c>
      <c r="H67" s="21" t="s">
        <v>23</v>
      </c>
      <c r="I67" s="21" t="s">
        <v>23</v>
      </c>
      <c r="J67" s="21">
        <v>52</v>
      </c>
      <c r="K67" s="21" t="s">
        <v>1209</v>
      </c>
      <c r="L67" s="21" t="s">
        <v>1211</v>
      </c>
    </row>
    <row r="68" spans="1:12">
      <c r="A68" s="27">
        <v>45895</v>
      </c>
      <c r="B68" s="20" t="s">
        <v>43</v>
      </c>
      <c r="C68" s="21" t="s">
        <v>29</v>
      </c>
      <c r="D68" s="21" t="s">
        <v>1207</v>
      </c>
      <c r="E68" s="21" t="s">
        <v>927</v>
      </c>
      <c r="F68" s="21" t="s">
        <v>1208</v>
      </c>
      <c r="G68" s="21" t="s">
        <v>23</v>
      </c>
      <c r="H68" s="21" t="s">
        <v>23</v>
      </c>
      <c r="I68" s="21" t="s">
        <v>23</v>
      </c>
      <c r="J68" s="21">
        <v>92</v>
      </c>
      <c r="K68" s="21" t="s">
        <v>1209</v>
      </c>
      <c r="L68" s="21" t="s">
        <v>1212</v>
      </c>
    </row>
    <row r="69" spans="1:12">
      <c r="A69" s="27">
        <v>45895</v>
      </c>
      <c r="B69" s="20" t="s">
        <v>43</v>
      </c>
      <c r="C69" s="21" t="s">
        <v>33</v>
      </c>
      <c r="D69" s="21" t="s">
        <v>1217</v>
      </c>
      <c r="E69" s="21" t="s">
        <v>927</v>
      </c>
      <c r="F69" s="21" t="s">
        <v>1218</v>
      </c>
      <c r="G69" s="21" t="s">
        <v>23</v>
      </c>
      <c r="H69" s="21" t="s">
        <v>23</v>
      </c>
      <c r="I69" s="21" t="s">
        <v>23</v>
      </c>
      <c r="J69" s="21">
        <v>35</v>
      </c>
      <c r="K69" s="21" t="s">
        <v>1209</v>
      </c>
      <c r="L69" s="21" t="s">
        <v>1212</v>
      </c>
    </row>
    <row r="70" spans="1:12">
      <c r="A70" s="27">
        <v>45896</v>
      </c>
      <c r="B70" s="20" t="s">
        <v>116</v>
      </c>
      <c r="C70" s="21" t="s">
        <v>21</v>
      </c>
      <c r="D70" s="21" t="s">
        <v>1207</v>
      </c>
      <c r="E70" s="21" t="s">
        <v>927</v>
      </c>
      <c r="F70" s="21" t="s">
        <v>1208</v>
      </c>
      <c r="G70" s="21" t="s">
        <v>23</v>
      </c>
      <c r="H70" s="21" t="s">
        <v>23</v>
      </c>
      <c r="I70" s="21" t="s">
        <v>23</v>
      </c>
      <c r="J70" s="21">
        <v>2</v>
      </c>
      <c r="K70" s="21" t="s">
        <v>1213</v>
      </c>
      <c r="L70" s="20" t="s">
        <v>1214</v>
      </c>
    </row>
    <row r="71" spans="1:12">
      <c r="A71" s="27">
        <v>45896</v>
      </c>
      <c r="B71" s="20" t="s">
        <v>116</v>
      </c>
      <c r="C71" s="21" t="s">
        <v>21</v>
      </c>
      <c r="D71" s="21" t="s">
        <v>1207</v>
      </c>
      <c r="E71" s="21" t="s">
        <v>927</v>
      </c>
      <c r="F71" s="21" t="s">
        <v>1208</v>
      </c>
      <c r="G71" s="21" t="s">
        <v>23</v>
      </c>
      <c r="H71" s="21" t="s">
        <v>23</v>
      </c>
      <c r="I71" s="21" t="s">
        <v>23</v>
      </c>
      <c r="J71" s="21">
        <v>18</v>
      </c>
      <c r="K71" s="21" t="s">
        <v>1213</v>
      </c>
      <c r="L71" s="20" t="s">
        <v>1215</v>
      </c>
    </row>
    <row r="72" spans="1:12">
      <c r="A72" s="27">
        <v>45896</v>
      </c>
      <c r="B72" s="20" t="s">
        <v>116</v>
      </c>
      <c r="C72" s="21" t="s">
        <v>21</v>
      </c>
      <c r="D72" s="21" t="s">
        <v>1207</v>
      </c>
      <c r="E72" s="21" t="s">
        <v>927</v>
      </c>
      <c r="F72" s="21" t="s">
        <v>1208</v>
      </c>
      <c r="G72" s="21" t="s">
        <v>23</v>
      </c>
      <c r="H72" s="21" t="s">
        <v>23</v>
      </c>
      <c r="I72" s="21" t="s">
        <v>23</v>
      </c>
      <c r="J72" s="21">
        <v>12</v>
      </c>
      <c r="K72" s="21" t="s">
        <v>1213</v>
      </c>
      <c r="L72" s="20" t="s">
        <v>1216</v>
      </c>
    </row>
    <row r="73" spans="1:12">
      <c r="A73" s="27">
        <v>45896</v>
      </c>
      <c r="B73" s="20" t="s">
        <v>873</v>
      </c>
      <c r="C73" s="21" t="s">
        <v>21</v>
      </c>
      <c r="D73" s="21" t="s">
        <v>23</v>
      </c>
      <c r="E73" s="21" t="s">
        <v>23</v>
      </c>
      <c r="F73" s="21" t="s">
        <v>23</v>
      </c>
      <c r="G73" s="21" t="s">
        <v>23</v>
      </c>
      <c r="H73" s="21" t="s">
        <v>23</v>
      </c>
      <c r="I73" s="21" t="s">
        <v>1219</v>
      </c>
      <c r="J73" s="21">
        <v>8</v>
      </c>
      <c r="K73" s="21" t="s">
        <v>862</v>
      </c>
      <c r="L73" s="20" t="s">
        <v>1221</v>
      </c>
    </row>
    <row r="74" spans="1:12">
      <c r="A74" s="27">
        <v>45896</v>
      </c>
      <c r="B74" s="20" t="s">
        <v>873</v>
      </c>
      <c r="C74" s="21" t="s">
        <v>29</v>
      </c>
      <c r="D74" s="21" t="s">
        <v>23</v>
      </c>
      <c r="E74" s="21" t="s">
        <v>23</v>
      </c>
      <c r="F74" s="21" t="s">
        <v>23</v>
      </c>
      <c r="G74" s="21" t="s">
        <v>23</v>
      </c>
      <c r="H74" s="21" t="s">
        <v>23</v>
      </c>
      <c r="I74" s="21" t="s">
        <v>1220</v>
      </c>
      <c r="J74" s="21">
        <v>45</v>
      </c>
      <c r="K74" s="21" t="s">
        <v>862</v>
      </c>
      <c r="L74" s="20" t="s">
        <v>1221</v>
      </c>
    </row>
    <row r="75" spans="1:12">
      <c r="A75" s="27">
        <v>45896</v>
      </c>
      <c r="B75" s="20" t="s">
        <v>198</v>
      </c>
      <c r="C75" s="21" t="s">
        <v>21</v>
      </c>
      <c r="D75" s="21" t="s">
        <v>23</v>
      </c>
      <c r="E75" s="21" t="s">
        <v>23</v>
      </c>
      <c r="F75" s="21" t="s">
        <v>23</v>
      </c>
      <c r="G75" s="21" t="s">
        <v>23</v>
      </c>
      <c r="H75" s="21" t="s">
        <v>23</v>
      </c>
      <c r="I75" s="21" t="s">
        <v>1222</v>
      </c>
      <c r="J75" s="21">
        <v>52</v>
      </c>
      <c r="K75" s="21" t="s">
        <v>862</v>
      </c>
      <c r="L75" s="20" t="s">
        <v>1223</v>
      </c>
    </row>
    <row r="76" spans="1:12">
      <c r="A76" s="27">
        <v>45896</v>
      </c>
      <c r="B76" s="20" t="s">
        <v>527</v>
      </c>
      <c r="C76" s="21" t="s">
        <v>21</v>
      </c>
      <c r="D76" s="21" t="s">
        <v>23</v>
      </c>
      <c r="E76" s="21" t="s">
        <v>23</v>
      </c>
      <c r="F76" s="21" t="s">
        <v>23</v>
      </c>
      <c r="G76" s="21" t="s">
        <v>23</v>
      </c>
      <c r="H76" s="21" t="s">
        <v>23</v>
      </c>
      <c r="I76" s="21" t="s">
        <v>1224</v>
      </c>
      <c r="J76" s="21">
        <v>20</v>
      </c>
      <c r="K76" s="21" t="s">
        <v>862</v>
      </c>
      <c r="L76" s="20" t="s">
        <v>1225</v>
      </c>
    </row>
    <row r="77" spans="1:12">
      <c r="A77" s="27">
        <v>45897</v>
      </c>
      <c r="B77" s="20" t="s">
        <v>43</v>
      </c>
      <c r="C77" s="21" t="s">
        <v>21</v>
      </c>
      <c r="D77" s="21" t="s">
        <v>1226</v>
      </c>
      <c r="E77" s="21" t="s">
        <v>927</v>
      </c>
      <c r="F77" s="21" t="s">
        <v>1227</v>
      </c>
      <c r="G77" s="21" t="s">
        <v>23</v>
      </c>
      <c r="H77" s="21" t="s">
        <v>23</v>
      </c>
      <c r="I77" s="21" t="s">
        <v>23</v>
      </c>
      <c r="J77" s="21">
        <v>384</v>
      </c>
      <c r="K77" s="21" t="s">
        <v>1201</v>
      </c>
      <c r="L77" s="20" t="s">
        <v>1228</v>
      </c>
    </row>
    <row r="78" spans="1:12">
      <c r="A78" s="27">
        <v>45897</v>
      </c>
      <c r="B78" s="20" t="s">
        <v>43</v>
      </c>
      <c r="C78" s="21" t="s">
        <v>21</v>
      </c>
      <c r="D78" s="21" t="s">
        <v>1226</v>
      </c>
      <c r="E78" s="21" t="s">
        <v>927</v>
      </c>
      <c r="F78" s="21" t="s">
        <v>1227</v>
      </c>
      <c r="G78" s="21" t="s">
        <v>23</v>
      </c>
      <c r="H78" s="21" t="s">
        <v>23</v>
      </c>
      <c r="I78" s="21" t="s">
        <v>23</v>
      </c>
      <c r="J78" s="21">
        <v>66</v>
      </c>
      <c r="K78" s="21" t="s">
        <v>1229</v>
      </c>
      <c r="L78" s="20" t="s">
        <v>1230</v>
      </c>
    </row>
    <row r="79" spans="1:12">
      <c r="A79" s="27">
        <v>45897</v>
      </c>
      <c r="B79" s="20" t="s">
        <v>116</v>
      </c>
      <c r="C79" s="21" t="s">
        <v>29</v>
      </c>
      <c r="D79" s="21" t="s">
        <v>1231</v>
      </c>
      <c r="E79" s="21" t="s">
        <v>927</v>
      </c>
      <c r="F79" s="21" t="s">
        <v>1232</v>
      </c>
      <c r="G79" s="21" t="s">
        <v>23</v>
      </c>
      <c r="H79" s="21" t="s">
        <v>23</v>
      </c>
      <c r="I79" s="21" t="s">
        <v>23</v>
      </c>
      <c r="J79" s="21">
        <v>108</v>
      </c>
      <c r="K79" s="21" t="s">
        <v>1233</v>
      </c>
      <c r="L79" s="20" t="s">
        <v>1234</v>
      </c>
    </row>
    <row r="80" spans="1:12">
      <c r="A80" s="27">
        <v>45897</v>
      </c>
      <c r="B80" s="20" t="s">
        <v>116</v>
      </c>
      <c r="C80" s="21" t="s">
        <v>33</v>
      </c>
      <c r="D80" s="21" t="s">
        <v>1237</v>
      </c>
      <c r="E80" s="21" t="s">
        <v>927</v>
      </c>
      <c r="F80" s="21" t="s">
        <v>1236</v>
      </c>
      <c r="G80" s="21" t="s">
        <v>23</v>
      </c>
      <c r="H80" s="21" t="s">
        <v>23</v>
      </c>
      <c r="I80" s="21" t="s">
        <v>23</v>
      </c>
      <c r="J80" s="21">
        <v>108</v>
      </c>
      <c r="K80" s="21" t="s">
        <v>1233</v>
      </c>
      <c r="L80" s="20" t="s">
        <v>1235</v>
      </c>
    </row>
    <row r="81" spans="1:12">
      <c r="A81" s="27">
        <v>45897</v>
      </c>
      <c r="B81" s="20" t="s">
        <v>20</v>
      </c>
      <c r="C81" s="21" t="s">
        <v>21</v>
      </c>
      <c r="D81" s="21" t="s">
        <v>1238</v>
      </c>
      <c r="E81" s="21" t="s">
        <v>23</v>
      </c>
      <c r="F81" s="21" t="s">
        <v>1134</v>
      </c>
      <c r="G81" s="21" t="s">
        <v>1135</v>
      </c>
      <c r="H81" s="21" t="s">
        <v>23</v>
      </c>
      <c r="I81" s="21" t="s">
        <v>23</v>
      </c>
      <c r="J81" s="21">
        <v>5</v>
      </c>
      <c r="K81" s="21" t="s">
        <v>988</v>
      </c>
      <c r="L81" s="20" t="s">
        <v>1239</v>
      </c>
    </row>
    <row r="82" spans="1:12">
      <c r="A82" s="27">
        <v>45897</v>
      </c>
      <c r="B82" s="20" t="s">
        <v>20</v>
      </c>
      <c r="C82" s="21" t="s">
        <v>21</v>
      </c>
      <c r="D82" s="21" t="s">
        <v>1238</v>
      </c>
      <c r="E82" s="21" t="s">
        <v>23</v>
      </c>
      <c r="F82" s="21" t="s">
        <v>1134</v>
      </c>
      <c r="G82" s="21" t="s">
        <v>1135</v>
      </c>
      <c r="H82" s="21" t="s">
        <v>23</v>
      </c>
      <c r="I82" s="21" t="s">
        <v>23</v>
      </c>
      <c r="J82" s="21">
        <v>114</v>
      </c>
      <c r="K82" s="21" t="s">
        <v>988</v>
      </c>
      <c r="L82" s="20" t="s">
        <v>1240</v>
      </c>
    </row>
    <row r="83" spans="1:12">
      <c r="A83" s="27">
        <v>45897</v>
      </c>
      <c r="B83" s="20" t="s">
        <v>198</v>
      </c>
      <c r="C83" s="21" t="s">
        <v>21</v>
      </c>
      <c r="D83" s="21" t="s">
        <v>23</v>
      </c>
      <c r="E83" s="21" t="s">
        <v>23</v>
      </c>
      <c r="F83" s="21" t="s">
        <v>23</v>
      </c>
      <c r="G83" s="21" t="s">
        <v>23</v>
      </c>
      <c r="H83" s="21" t="s">
        <v>23</v>
      </c>
      <c r="I83" s="21" t="s">
        <v>1241</v>
      </c>
      <c r="J83" s="21">
        <v>50</v>
      </c>
      <c r="K83" s="21" t="s">
        <v>862</v>
      </c>
      <c r="L83" s="20" t="s">
        <v>1242</v>
      </c>
    </row>
    <row r="84" spans="1:12">
      <c r="A84" s="27">
        <v>45901</v>
      </c>
      <c r="B84" s="20" t="s">
        <v>20</v>
      </c>
      <c r="C84" s="21" t="s">
        <v>21</v>
      </c>
      <c r="D84" s="21" t="s">
        <v>1243</v>
      </c>
      <c r="E84" s="21" t="s">
        <v>1134</v>
      </c>
      <c r="F84" s="21" t="s">
        <v>1135</v>
      </c>
      <c r="G84" s="21" t="s">
        <v>23</v>
      </c>
      <c r="H84" s="21" t="s">
        <v>23</v>
      </c>
      <c r="I84" s="21" t="s">
        <v>23</v>
      </c>
      <c r="J84" s="21">
        <v>286</v>
      </c>
      <c r="K84" s="21" t="s">
        <v>1244</v>
      </c>
      <c r="L84" s="20" t="s">
        <v>1245</v>
      </c>
    </row>
    <row r="85" spans="1:12">
      <c r="A85" s="27">
        <v>45901</v>
      </c>
      <c r="B85" s="20" t="s">
        <v>20</v>
      </c>
      <c r="C85" s="21" t="s">
        <v>29</v>
      </c>
      <c r="D85" s="21" t="s">
        <v>1243</v>
      </c>
      <c r="E85" s="21" t="s">
        <v>1134</v>
      </c>
      <c r="F85" s="21" t="s">
        <v>1135</v>
      </c>
      <c r="G85" s="21" t="s">
        <v>23</v>
      </c>
      <c r="H85" s="21" t="s">
        <v>23</v>
      </c>
      <c r="I85" s="21" t="s">
        <v>23</v>
      </c>
      <c r="J85" s="21">
        <v>286</v>
      </c>
      <c r="K85" s="21" t="s">
        <v>1244</v>
      </c>
      <c r="L85" s="20" t="s">
        <v>1245</v>
      </c>
    </row>
    <row r="87" spans="1:12">
      <c r="A87" s="32" t="s">
        <v>291</v>
      </c>
      <c r="B87" s="15"/>
      <c r="C87" s="15"/>
      <c r="D87" s="14"/>
      <c r="E87" s="15"/>
      <c r="H87" s="14" t="s">
        <v>15</v>
      </c>
      <c r="I87" s="14"/>
      <c r="J87" s="14"/>
      <c r="K87" s="15"/>
      <c r="L87" s="16"/>
    </row>
    <row r="88" spans="1:12">
      <c r="I88" s="2" t="s">
        <v>16</v>
      </c>
    </row>
    <row r="89" spans="1:12">
      <c r="I89" s="2" t="s">
        <v>17</v>
      </c>
    </row>
    <row r="90" spans="1:12">
      <c r="I90" s="2" t="s">
        <v>18</v>
      </c>
    </row>
    <row r="91" spans="1:12">
      <c r="I91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0"/>
  <sheetViews>
    <sheetView view="pageBreakPreview" topLeftCell="A52" zoomScaleNormal="100" zoomScaleSheetLayoutView="100" workbookViewId="0">
      <selection activeCell="F84" sqref="F84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1" width="10.710937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/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45901</v>
      </c>
      <c r="B9" s="20" t="s">
        <v>20</v>
      </c>
      <c r="C9" s="21" t="s">
        <v>21</v>
      </c>
      <c r="D9" s="21" t="s">
        <v>1243</v>
      </c>
      <c r="E9" s="21" t="s">
        <v>23</v>
      </c>
      <c r="F9" s="21" t="s">
        <v>1008</v>
      </c>
      <c r="G9" s="21" t="s">
        <v>1279</v>
      </c>
      <c r="H9" s="21" t="s">
        <v>23</v>
      </c>
      <c r="I9" s="21" t="s">
        <v>23</v>
      </c>
      <c r="J9" s="21">
        <v>286</v>
      </c>
      <c r="K9" s="21" t="s">
        <v>1246</v>
      </c>
      <c r="L9" s="20" t="s">
        <v>1245</v>
      </c>
    </row>
    <row r="10" spans="1:12" ht="17.100000000000001" customHeight="1">
      <c r="A10" s="27">
        <v>45901</v>
      </c>
      <c r="B10" s="20" t="s">
        <v>20</v>
      </c>
      <c r="C10" s="21" t="s">
        <v>29</v>
      </c>
      <c r="D10" s="21" t="s">
        <v>1247</v>
      </c>
      <c r="E10" s="21" t="s">
        <v>23</v>
      </c>
      <c r="F10" s="21" t="s">
        <v>1008</v>
      </c>
      <c r="G10" s="21" t="s">
        <v>1279</v>
      </c>
      <c r="H10" s="21" t="s">
        <v>23</v>
      </c>
      <c r="I10" s="21" t="s">
        <v>23</v>
      </c>
      <c r="J10" s="21">
        <v>286</v>
      </c>
      <c r="K10" s="21" t="s">
        <v>1246</v>
      </c>
      <c r="L10" s="20" t="s">
        <v>1245</v>
      </c>
    </row>
    <row r="11" spans="1:12" ht="17.100000000000001" customHeight="1">
      <c r="A11" s="27">
        <v>45901</v>
      </c>
      <c r="B11" s="20" t="s">
        <v>20</v>
      </c>
      <c r="C11" s="21" t="s">
        <v>33</v>
      </c>
      <c r="D11" s="21" t="s">
        <v>1248</v>
      </c>
      <c r="E11" s="21" t="s">
        <v>23</v>
      </c>
      <c r="F11" s="21" t="s">
        <v>1008</v>
      </c>
      <c r="G11" s="21" t="s">
        <v>1279</v>
      </c>
      <c r="H11" s="21" t="s">
        <v>23</v>
      </c>
      <c r="I11" s="21" t="s">
        <v>23</v>
      </c>
      <c r="J11" s="21">
        <v>208</v>
      </c>
      <c r="K11" s="21" t="s">
        <v>1246</v>
      </c>
      <c r="L11" s="20" t="s">
        <v>1245</v>
      </c>
    </row>
    <row r="12" spans="1:12" ht="17.100000000000001" customHeight="1">
      <c r="A12" s="27">
        <v>45901</v>
      </c>
      <c r="B12" s="20" t="s">
        <v>43</v>
      </c>
      <c r="C12" s="21" t="s">
        <v>1249</v>
      </c>
      <c r="D12" s="21" t="s">
        <v>1250</v>
      </c>
      <c r="E12" s="21" t="s">
        <v>1251</v>
      </c>
      <c r="F12" s="21" t="s">
        <v>1255</v>
      </c>
      <c r="G12" s="21" t="s">
        <v>23</v>
      </c>
      <c r="H12" s="21" t="s">
        <v>23</v>
      </c>
      <c r="I12" s="21" t="s">
        <v>23</v>
      </c>
      <c r="J12" s="21">
        <v>240</v>
      </c>
      <c r="K12" s="21" t="s">
        <v>1252</v>
      </c>
      <c r="L12" s="20" t="s">
        <v>1254</v>
      </c>
    </row>
    <row r="13" spans="1:12" ht="17.100000000000001" customHeight="1">
      <c r="A13" s="27">
        <v>45901</v>
      </c>
      <c r="B13" s="20" t="s">
        <v>43</v>
      </c>
      <c r="C13" s="21" t="s">
        <v>29</v>
      </c>
      <c r="D13" s="21" t="s">
        <v>1253</v>
      </c>
      <c r="E13" s="21" t="s">
        <v>1251</v>
      </c>
      <c r="F13" s="21" t="s">
        <v>1255</v>
      </c>
      <c r="G13" s="21" t="s">
        <v>23</v>
      </c>
      <c r="H13" s="21" t="s">
        <v>23</v>
      </c>
      <c r="I13" s="21" t="s">
        <v>23</v>
      </c>
      <c r="J13" s="21">
        <v>72</v>
      </c>
      <c r="K13" s="21" t="s">
        <v>1252</v>
      </c>
      <c r="L13" s="20" t="s">
        <v>1254</v>
      </c>
    </row>
    <row r="14" spans="1:12" ht="17.100000000000001" customHeight="1">
      <c r="A14" s="27">
        <v>45901</v>
      </c>
      <c r="B14" s="20" t="s">
        <v>110</v>
      </c>
      <c r="C14" s="21" t="s">
        <v>21</v>
      </c>
      <c r="D14" s="21" t="s">
        <v>1253</v>
      </c>
      <c r="E14" s="21" t="s">
        <v>1251</v>
      </c>
      <c r="F14" s="21" t="s">
        <v>1256</v>
      </c>
      <c r="G14" s="21" t="s">
        <v>23</v>
      </c>
      <c r="H14" s="21" t="s">
        <v>23</v>
      </c>
      <c r="I14" s="21" t="s">
        <v>23</v>
      </c>
      <c r="J14" s="21">
        <v>41</v>
      </c>
      <c r="K14" s="21" t="s">
        <v>1252</v>
      </c>
      <c r="L14" s="20" t="s">
        <v>1257</v>
      </c>
    </row>
    <row r="15" spans="1:12" ht="17.100000000000001" customHeight="1">
      <c r="A15" s="27">
        <v>45902</v>
      </c>
      <c r="B15" s="20" t="s">
        <v>43</v>
      </c>
      <c r="C15" s="21" t="s">
        <v>21</v>
      </c>
      <c r="D15" s="21" t="s">
        <v>1170</v>
      </c>
      <c r="E15" s="21" t="s">
        <v>1165</v>
      </c>
      <c r="F15" s="21" t="s">
        <v>1256</v>
      </c>
      <c r="G15" s="21" t="s">
        <v>23</v>
      </c>
      <c r="H15" s="21" t="s">
        <v>23</v>
      </c>
      <c r="I15" s="21" t="s">
        <v>23</v>
      </c>
      <c r="J15" s="21">
        <v>81</v>
      </c>
      <c r="K15" s="21" t="s">
        <v>1258</v>
      </c>
      <c r="L15" s="20" t="s">
        <v>1259</v>
      </c>
    </row>
    <row r="16" spans="1:12" ht="17.100000000000001" customHeight="1">
      <c r="A16" s="22"/>
      <c r="B16" s="20" t="s">
        <v>43</v>
      </c>
      <c r="C16" s="21" t="s">
        <v>29</v>
      </c>
      <c r="D16" s="21" t="s">
        <v>1253</v>
      </c>
      <c r="E16" s="21" t="s">
        <v>1165</v>
      </c>
      <c r="F16" s="21" t="s">
        <v>1256</v>
      </c>
      <c r="G16" s="21" t="s">
        <v>23</v>
      </c>
      <c r="H16" s="21" t="s">
        <v>23</v>
      </c>
      <c r="I16" s="21" t="s">
        <v>23</v>
      </c>
      <c r="J16" s="21">
        <f>208-81</f>
        <v>127</v>
      </c>
      <c r="K16" s="21" t="s">
        <v>1258</v>
      </c>
      <c r="L16" s="20" t="s">
        <v>1259</v>
      </c>
    </row>
    <row r="17" spans="1:12" ht="17.100000000000001" customHeight="1">
      <c r="A17" s="27">
        <v>45902</v>
      </c>
      <c r="B17" s="20" t="s">
        <v>20</v>
      </c>
      <c r="C17" s="21" t="s">
        <v>21</v>
      </c>
      <c r="D17" s="21" t="s">
        <v>1248</v>
      </c>
      <c r="E17" s="21" t="s">
        <v>23</v>
      </c>
      <c r="F17" s="21" t="s">
        <v>1008</v>
      </c>
      <c r="G17" s="21" t="s">
        <v>1279</v>
      </c>
      <c r="H17" s="21" t="s">
        <v>23</v>
      </c>
      <c r="I17" s="21" t="s">
        <v>23</v>
      </c>
      <c r="J17" s="21">
        <v>180</v>
      </c>
      <c r="K17" s="21" t="s">
        <v>1260</v>
      </c>
      <c r="L17" s="20" t="s">
        <v>1261</v>
      </c>
    </row>
    <row r="18" spans="1:12" ht="17.100000000000001" customHeight="1">
      <c r="A18" s="27">
        <v>45902</v>
      </c>
      <c r="B18" s="20" t="s">
        <v>20</v>
      </c>
      <c r="C18" s="21" t="s">
        <v>29</v>
      </c>
      <c r="D18" s="21" t="s">
        <v>1264</v>
      </c>
      <c r="E18" s="21" t="s">
        <v>23</v>
      </c>
      <c r="F18" s="21" t="s">
        <v>1008</v>
      </c>
      <c r="G18" s="21" t="s">
        <v>1279</v>
      </c>
      <c r="H18" s="21" t="s">
        <v>23</v>
      </c>
      <c r="I18" s="21" t="s">
        <v>23</v>
      </c>
      <c r="J18" s="21">
        <v>144</v>
      </c>
      <c r="K18" s="21" t="s">
        <v>1260</v>
      </c>
      <c r="L18" s="20" t="s">
        <v>1262</v>
      </c>
    </row>
    <row r="19" spans="1:12" ht="17.100000000000001" customHeight="1">
      <c r="A19" s="27">
        <v>45902</v>
      </c>
      <c r="B19" s="20" t="s">
        <v>20</v>
      </c>
      <c r="C19" s="21" t="s">
        <v>33</v>
      </c>
      <c r="D19" s="21" t="s">
        <v>1264</v>
      </c>
      <c r="E19" s="21" t="s">
        <v>23</v>
      </c>
      <c r="F19" s="21" t="s">
        <v>1008</v>
      </c>
      <c r="G19" s="21" t="s">
        <v>1279</v>
      </c>
      <c r="H19" s="21" t="s">
        <v>23</v>
      </c>
      <c r="I19" s="21" t="s">
        <v>23</v>
      </c>
      <c r="J19" s="21">
        <v>104</v>
      </c>
      <c r="K19" s="21" t="s">
        <v>1246</v>
      </c>
      <c r="L19" s="20" t="s">
        <v>1263</v>
      </c>
    </row>
    <row r="20" spans="1:12" ht="17.100000000000001" customHeight="1">
      <c r="A20" s="27">
        <v>45902</v>
      </c>
      <c r="B20" s="20" t="s">
        <v>20</v>
      </c>
      <c r="C20" s="21" t="s">
        <v>34</v>
      </c>
      <c r="D20" s="21" t="s">
        <v>1265</v>
      </c>
      <c r="E20" s="21" t="s">
        <v>23</v>
      </c>
      <c r="F20" s="21" t="s">
        <v>1008</v>
      </c>
      <c r="G20" s="21" t="s">
        <v>1279</v>
      </c>
      <c r="H20" s="21" t="s">
        <v>23</v>
      </c>
      <c r="I20" s="21" t="s">
        <v>23</v>
      </c>
      <c r="J20" s="21">
        <v>230</v>
      </c>
      <c r="K20" s="21" t="s">
        <v>1260</v>
      </c>
      <c r="L20" s="20" t="s">
        <v>1280</v>
      </c>
    </row>
    <row r="21" spans="1:12" ht="17.100000000000001" customHeight="1">
      <c r="A21" s="27">
        <v>45902</v>
      </c>
      <c r="B21" s="20" t="s">
        <v>20</v>
      </c>
      <c r="C21" s="21" t="s">
        <v>34</v>
      </c>
      <c r="D21" s="21" t="s">
        <v>1265</v>
      </c>
      <c r="E21" s="21" t="s">
        <v>23</v>
      </c>
      <c r="F21" s="21" t="s">
        <v>1008</v>
      </c>
      <c r="G21" s="21" t="s">
        <v>1279</v>
      </c>
      <c r="H21" s="21" t="s">
        <v>23</v>
      </c>
      <c r="I21" s="21" t="s">
        <v>23</v>
      </c>
      <c r="J21" s="21">
        <v>2</v>
      </c>
      <c r="K21" s="21" t="s">
        <v>1260</v>
      </c>
      <c r="L21" s="20" t="s">
        <v>1266</v>
      </c>
    </row>
    <row r="22" spans="1:12" ht="17.100000000000001" customHeight="1">
      <c r="A22" s="27">
        <v>45902</v>
      </c>
      <c r="B22" s="20" t="s">
        <v>43</v>
      </c>
      <c r="C22" s="21" t="s">
        <v>33</v>
      </c>
      <c r="D22" s="21" t="s">
        <v>1267</v>
      </c>
      <c r="E22" s="21" t="s">
        <v>1165</v>
      </c>
      <c r="F22" s="21" t="s">
        <v>1270</v>
      </c>
      <c r="G22" s="21" t="s">
        <v>23</v>
      </c>
      <c r="H22" s="21" t="s">
        <v>23</v>
      </c>
      <c r="I22" s="21" t="s">
        <v>23</v>
      </c>
      <c r="J22" s="21">
        <v>156</v>
      </c>
      <c r="K22" s="21" t="s">
        <v>1268</v>
      </c>
      <c r="L22" s="20" t="s">
        <v>1269</v>
      </c>
    </row>
    <row r="23" spans="1:12" ht="17.100000000000001" customHeight="1">
      <c r="A23" s="27">
        <v>45902</v>
      </c>
      <c r="B23" s="20" t="s">
        <v>43</v>
      </c>
      <c r="C23" s="21" t="s">
        <v>33</v>
      </c>
      <c r="D23" s="21" t="s">
        <v>1267</v>
      </c>
      <c r="E23" s="21" t="s">
        <v>1165</v>
      </c>
      <c r="F23" s="21" t="s">
        <v>1274</v>
      </c>
      <c r="G23" s="21" t="s">
        <v>23</v>
      </c>
      <c r="H23" s="21" t="s">
        <v>23</v>
      </c>
      <c r="I23" s="21" t="s">
        <v>23</v>
      </c>
      <c r="J23" s="21">
        <v>84</v>
      </c>
      <c r="K23" s="21" t="s">
        <v>1272</v>
      </c>
      <c r="L23" s="20" t="s">
        <v>1273</v>
      </c>
    </row>
    <row r="24" spans="1:12" ht="17.100000000000001" customHeight="1">
      <c r="A24" s="27">
        <v>45902</v>
      </c>
      <c r="B24" s="20" t="s">
        <v>43</v>
      </c>
      <c r="C24" s="21" t="s">
        <v>34</v>
      </c>
      <c r="D24" s="21" t="s">
        <v>1271</v>
      </c>
      <c r="E24" s="21" t="s">
        <v>1165</v>
      </c>
      <c r="F24" s="21" t="s">
        <v>1274</v>
      </c>
      <c r="G24" s="21" t="s">
        <v>23</v>
      </c>
      <c r="H24" s="21" t="s">
        <v>23</v>
      </c>
      <c r="I24" s="21" t="s">
        <v>23</v>
      </c>
      <c r="J24" s="21">
        <v>24</v>
      </c>
      <c r="K24" s="21" t="s">
        <v>1272</v>
      </c>
      <c r="L24" s="20" t="s">
        <v>1273</v>
      </c>
    </row>
    <row r="25" spans="1:12" ht="17.100000000000001" customHeight="1">
      <c r="A25" s="27">
        <v>45902</v>
      </c>
      <c r="B25" s="20" t="s">
        <v>116</v>
      </c>
      <c r="C25" s="21" t="s">
        <v>21</v>
      </c>
      <c r="D25" s="21" t="s">
        <v>1271</v>
      </c>
      <c r="E25" s="21" t="s">
        <v>1165</v>
      </c>
      <c r="F25" s="21" t="s">
        <v>1275</v>
      </c>
      <c r="G25" s="21" t="s">
        <v>23</v>
      </c>
      <c r="H25" s="21" t="s">
        <v>23</v>
      </c>
      <c r="I25" s="21" t="s">
        <v>23</v>
      </c>
      <c r="J25" s="21">
        <v>72</v>
      </c>
      <c r="K25" s="21" t="s">
        <v>1272</v>
      </c>
      <c r="L25" s="20" t="s">
        <v>1276</v>
      </c>
    </row>
    <row r="26" spans="1:12" ht="17.100000000000001" customHeight="1">
      <c r="A26" s="27">
        <v>45903</v>
      </c>
      <c r="B26" s="20" t="s">
        <v>55</v>
      </c>
      <c r="C26" s="21" t="s">
        <v>21</v>
      </c>
      <c r="D26" s="21" t="s">
        <v>1271</v>
      </c>
      <c r="E26" s="21" t="s">
        <v>1165</v>
      </c>
      <c r="F26" s="21" t="s">
        <v>1275</v>
      </c>
      <c r="G26" s="21" t="s">
        <v>23</v>
      </c>
      <c r="H26" s="21" t="s">
        <v>23</v>
      </c>
      <c r="I26" s="21" t="s">
        <v>23</v>
      </c>
      <c r="J26" s="21">
        <v>36</v>
      </c>
      <c r="K26" s="21" t="s">
        <v>1277</v>
      </c>
      <c r="L26" s="20" t="s">
        <v>1278</v>
      </c>
    </row>
    <row r="27" spans="1:12" ht="17.100000000000001" customHeight="1">
      <c r="A27" s="27">
        <v>45903</v>
      </c>
      <c r="B27" s="20" t="s">
        <v>20</v>
      </c>
      <c r="C27" s="21" t="s">
        <v>21</v>
      </c>
      <c r="D27" s="21" t="s">
        <v>1282</v>
      </c>
      <c r="E27" s="21" t="s">
        <v>23</v>
      </c>
      <c r="F27" s="21" t="s">
        <v>1008</v>
      </c>
      <c r="G27" s="21" t="s">
        <v>1279</v>
      </c>
      <c r="H27" s="21" t="s">
        <v>23</v>
      </c>
      <c r="I27" s="21" t="s">
        <v>23</v>
      </c>
      <c r="J27" s="21">
        <v>186</v>
      </c>
      <c r="K27" s="21" t="s">
        <v>1281</v>
      </c>
      <c r="L27" s="20" t="s">
        <v>1280</v>
      </c>
    </row>
    <row r="28" spans="1:12" ht="17.100000000000001" customHeight="1">
      <c r="A28" s="27">
        <v>45903</v>
      </c>
      <c r="B28" s="20" t="s">
        <v>20</v>
      </c>
      <c r="C28" s="21" t="s">
        <v>29</v>
      </c>
      <c r="D28" s="21" t="s">
        <v>1284</v>
      </c>
      <c r="E28" s="21" t="s">
        <v>23</v>
      </c>
      <c r="F28" s="21" t="s">
        <v>1008</v>
      </c>
      <c r="G28" s="21" t="s">
        <v>1279</v>
      </c>
      <c r="H28" s="21" t="s">
        <v>23</v>
      </c>
      <c r="I28" s="21" t="s">
        <v>23</v>
      </c>
      <c r="J28" s="21">
        <v>284</v>
      </c>
      <c r="K28" s="21" t="s">
        <v>1281</v>
      </c>
      <c r="L28" s="20" t="s">
        <v>1283</v>
      </c>
    </row>
    <row r="29" spans="1:12" ht="17.100000000000001" customHeight="1">
      <c r="A29" s="27">
        <v>45903</v>
      </c>
      <c r="B29" s="20" t="s">
        <v>20</v>
      </c>
      <c r="C29" s="21" t="s">
        <v>33</v>
      </c>
      <c r="D29" s="21" t="s">
        <v>1285</v>
      </c>
      <c r="E29" s="21" t="s">
        <v>23</v>
      </c>
      <c r="F29" s="21" t="s">
        <v>1008</v>
      </c>
      <c r="G29" s="21" t="s">
        <v>1279</v>
      </c>
      <c r="H29" s="21" t="s">
        <v>23</v>
      </c>
      <c r="I29" s="21" t="s">
        <v>23</v>
      </c>
      <c r="J29" s="21">
        <v>140</v>
      </c>
      <c r="K29" s="21" t="s">
        <v>988</v>
      </c>
      <c r="L29" s="20" t="s">
        <v>1283</v>
      </c>
    </row>
    <row r="30" spans="1:12" ht="17.100000000000001" customHeight="1">
      <c r="A30" s="27">
        <v>45904</v>
      </c>
      <c r="B30" s="20" t="s">
        <v>20</v>
      </c>
      <c r="C30" s="21" t="s">
        <v>21</v>
      </c>
      <c r="D30" s="21" t="s">
        <v>1285</v>
      </c>
      <c r="E30" s="21" t="s">
        <v>23</v>
      </c>
      <c r="F30" s="21" t="s">
        <v>1008</v>
      </c>
      <c r="G30" s="21" t="s">
        <v>1279</v>
      </c>
      <c r="H30" s="21" t="s">
        <v>23</v>
      </c>
      <c r="I30" s="21" t="s">
        <v>23</v>
      </c>
      <c r="J30" s="21">
        <v>150</v>
      </c>
      <c r="K30" s="21" t="s">
        <v>988</v>
      </c>
      <c r="L30" s="20" t="s">
        <v>1283</v>
      </c>
    </row>
    <row r="31" spans="1:12" ht="17.100000000000001" customHeight="1">
      <c r="A31" s="27">
        <v>45904</v>
      </c>
      <c r="B31" s="20" t="s">
        <v>20</v>
      </c>
      <c r="C31" s="21" t="s">
        <v>29</v>
      </c>
      <c r="D31" s="21" t="s">
        <v>1286</v>
      </c>
      <c r="E31" s="21" t="s">
        <v>23</v>
      </c>
      <c r="F31" s="21" t="s">
        <v>1008</v>
      </c>
      <c r="G31" s="21" t="s">
        <v>1279</v>
      </c>
      <c r="H31" s="21" t="s">
        <v>23</v>
      </c>
      <c r="I31" s="21" t="s">
        <v>23</v>
      </c>
      <c r="J31" s="21">
        <v>150</v>
      </c>
      <c r="K31" s="21" t="s">
        <v>988</v>
      </c>
      <c r="L31" s="20" t="s">
        <v>1283</v>
      </c>
    </row>
    <row r="32" spans="1:12" ht="17.100000000000001" customHeight="1">
      <c r="A32" s="27">
        <v>45904</v>
      </c>
      <c r="B32" s="20" t="s">
        <v>20</v>
      </c>
      <c r="C32" s="21" t="s">
        <v>33</v>
      </c>
      <c r="D32" s="21" t="s">
        <v>1287</v>
      </c>
      <c r="E32" s="21" t="s">
        <v>23</v>
      </c>
      <c r="F32" s="21" t="s">
        <v>1008</v>
      </c>
      <c r="G32" s="21" t="s">
        <v>1279</v>
      </c>
      <c r="H32" s="21" t="s">
        <v>23</v>
      </c>
      <c r="I32" s="21" t="s">
        <v>23</v>
      </c>
      <c r="J32" s="21">
        <v>70</v>
      </c>
      <c r="K32" s="21" t="s">
        <v>988</v>
      </c>
      <c r="L32" s="20" t="s">
        <v>1283</v>
      </c>
    </row>
    <row r="33" spans="1:12" ht="17.100000000000001" customHeight="1">
      <c r="A33" s="27">
        <v>45905</v>
      </c>
      <c r="B33" s="20" t="s">
        <v>20</v>
      </c>
      <c r="C33" s="21" t="s">
        <v>21</v>
      </c>
      <c r="D33" s="21" t="s">
        <v>1287</v>
      </c>
      <c r="E33" s="21" t="s">
        <v>23</v>
      </c>
      <c r="F33" s="21" t="s">
        <v>1008</v>
      </c>
      <c r="G33" s="21" t="s">
        <v>1279</v>
      </c>
      <c r="H33" s="21" t="s">
        <v>23</v>
      </c>
      <c r="I33" s="21" t="s">
        <v>23</v>
      </c>
      <c r="J33" s="21">
        <v>246</v>
      </c>
      <c r="K33" s="21" t="s">
        <v>988</v>
      </c>
      <c r="L33" s="20" t="s">
        <v>1283</v>
      </c>
    </row>
    <row r="34" spans="1:12" ht="17.100000000000001" customHeight="1">
      <c r="A34" s="27">
        <v>45905</v>
      </c>
      <c r="B34" s="20" t="s">
        <v>20</v>
      </c>
      <c r="C34" s="21" t="s">
        <v>29</v>
      </c>
      <c r="D34" s="21" t="s">
        <v>1090</v>
      </c>
      <c r="E34" s="21" t="s">
        <v>23</v>
      </c>
      <c r="F34" s="21" t="s">
        <v>1008</v>
      </c>
      <c r="G34" s="21" t="s">
        <v>1279</v>
      </c>
      <c r="H34" s="21" t="s">
        <v>23</v>
      </c>
      <c r="I34" s="21" t="s">
        <v>23</v>
      </c>
      <c r="J34" s="21">
        <v>104</v>
      </c>
      <c r="K34" s="21" t="s">
        <v>988</v>
      </c>
      <c r="L34" s="20" t="s">
        <v>1288</v>
      </c>
    </row>
    <row r="35" spans="1:12" ht="17.100000000000001" customHeight="1">
      <c r="A35" s="27">
        <v>45905</v>
      </c>
      <c r="B35" s="20" t="s">
        <v>20</v>
      </c>
      <c r="C35" s="21" t="s">
        <v>33</v>
      </c>
      <c r="D35" s="21" t="s">
        <v>1090</v>
      </c>
      <c r="E35" s="21" t="s">
        <v>23</v>
      </c>
      <c r="F35" s="21" t="s">
        <v>1008</v>
      </c>
      <c r="G35" s="21" t="s">
        <v>1279</v>
      </c>
      <c r="H35" s="21" t="s">
        <v>23</v>
      </c>
      <c r="I35" s="21" t="s">
        <v>23</v>
      </c>
      <c r="J35" s="21">
        <v>60</v>
      </c>
      <c r="K35" s="21" t="s">
        <v>988</v>
      </c>
      <c r="L35" s="20" t="s">
        <v>1289</v>
      </c>
    </row>
    <row r="36" spans="1:12" ht="17.100000000000001" customHeight="1">
      <c r="A36" s="27">
        <v>45908</v>
      </c>
      <c r="B36" s="20" t="s">
        <v>20</v>
      </c>
      <c r="C36" s="21" t="s">
        <v>21</v>
      </c>
      <c r="D36" s="21" t="s">
        <v>1090</v>
      </c>
      <c r="E36" s="21" t="s">
        <v>23</v>
      </c>
      <c r="F36" s="21" t="s">
        <v>1008</v>
      </c>
      <c r="G36" s="21" t="s">
        <v>1279</v>
      </c>
      <c r="H36" s="21" t="s">
        <v>23</v>
      </c>
      <c r="I36" s="21" t="s">
        <v>23</v>
      </c>
      <c r="J36" s="21">
        <v>96</v>
      </c>
      <c r="K36" s="21" t="s">
        <v>988</v>
      </c>
      <c r="L36" s="20" t="s">
        <v>1289</v>
      </c>
    </row>
    <row r="37" spans="1:12" ht="17.100000000000001" customHeight="1">
      <c r="A37" s="27">
        <v>45908</v>
      </c>
      <c r="B37" s="20" t="s">
        <v>20</v>
      </c>
      <c r="C37" s="21" t="s">
        <v>29</v>
      </c>
      <c r="D37" s="21" t="s">
        <v>1163</v>
      </c>
      <c r="E37" s="21" t="s">
        <v>23</v>
      </c>
      <c r="F37" s="21" t="s">
        <v>1008</v>
      </c>
      <c r="G37" s="21" t="s">
        <v>1279</v>
      </c>
      <c r="H37" s="21" t="s">
        <v>23</v>
      </c>
      <c r="I37" s="21" t="s">
        <v>23</v>
      </c>
      <c r="J37" s="21">
        <v>178</v>
      </c>
      <c r="K37" s="21" t="s">
        <v>988</v>
      </c>
      <c r="L37" s="20" t="s">
        <v>1290</v>
      </c>
    </row>
    <row r="38" spans="1:12" ht="17.100000000000001" customHeight="1">
      <c r="A38" s="27">
        <v>45908</v>
      </c>
      <c r="B38" s="20" t="s">
        <v>116</v>
      </c>
      <c r="C38" s="21" t="s">
        <v>21</v>
      </c>
      <c r="D38" s="21" t="s">
        <v>1291</v>
      </c>
      <c r="E38" s="21" t="s">
        <v>1165</v>
      </c>
      <c r="F38" s="21" t="s">
        <v>1292</v>
      </c>
      <c r="G38" s="21" t="s">
        <v>23</v>
      </c>
      <c r="H38" s="21" t="s">
        <v>23</v>
      </c>
      <c r="I38" s="21" t="s">
        <v>23</v>
      </c>
      <c r="J38" s="21">
        <v>108</v>
      </c>
      <c r="K38" s="21" t="s">
        <v>981</v>
      </c>
      <c r="L38" s="20" t="s">
        <v>1293</v>
      </c>
    </row>
    <row r="39" spans="1:12" ht="17.100000000000001" customHeight="1">
      <c r="A39" s="27">
        <v>45908</v>
      </c>
      <c r="B39" s="20" t="s">
        <v>43</v>
      </c>
      <c r="C39" s="21" t="s">
        <v>21</v>
      </c>
      <c r="D39" s="21" t="s">
        <v>1291</v>
      </c>
      <c r="E39" s="21" t="s">
        <v>1165</v>
      </c>
      <c r="F39" s="21" t="s">
        <v>1294</v>
      </c>
      <c r="G39" s="21" t="s">
        <v>23</v>
      </c>
      <c r="H39" s="21" t="s">
        <v>23</v>
      </c>
      <c r="I39" s="21" t="s">
        <v>23</v>
      </c>
      <c r="J39" s="21">
        <v>17</v>
      </c>
      <c r="K39" s="21" t="s">
        <v>981</v>
      </c>
      <c r="L39" s="20" t="s">
        <v>1295</v>
      </c>
    </row>
    <row r="40" spans="1:12" ht="17.100000000000001" customHeight="1">
      <c r="A40" s="27">
        <v>45908</v>
      </c>
      <c r="B40" s="20" t="s">
        <v>43</v>
      </c>
      <c r="C40" s="21" t="s">
        <v>21</v>
      </c>
      <c r="D40" s="21" t="s">
        <v>1291</v>
      </c>
      <c r="E40" s="21" t="s">
        <v>1165</v>
      </c>
      <c r="F40" s="21" t="s">
        <v>1294</v>
      </c>
      <c r="G40" s="21" t="s">
        <v>23</v>
      </c>
      <c r="H40" s="21" t="s">
        <v>23</v>
      </c>
      <c r="I40" s="21" t="s">
        <v>23</v>
      </c>
      <c r="J40" s="21">
        <v>3</v>
      </c>
      <c r="K40" s="21" t="s">
        <v>981</v>
      </c>
      <c r="L40" s="20" t="s">
        <v>1296</v>
      </c>
    </row>
    <row r="41" spans="1:12" ht="17.100000000000001" customHeight="1">
      <c r="A41" s="27">
        <v>45909</v>
      </c>
      <c r="B41" s="20" t="s">
        <v>43</v>
      </c>
      <c r="C41" s="21" t="s">
        <v>21</v>
      </c>
      <c r="D41" s="21" t="s">
        <v>1271</v>
      </c>
      <c r="E41" s="21" t="s">
        <v>1165</v>
      </c>
      <c r="F41" s="21" t="s">
        <v>1297</v>
      </c>
      <c r="G41" s="21" t="s">
        <v>23</v>
      </c>
      <c r="H41" s="21" t="s">
        <v>23</v>
      </c>
      <c r="I41" s="21" t="s">
        <v>23</v>
      </c>
      <c r="J41" s="21">
        <v>104</v>
      </c>
      <c r="K41" s="21" t="s">
        <v>1156</v>
      </c>
      <c r="L41" s="20" t="s">
        <v>1298</v>
      </c>
    </row>
    <row r="42" spans="1:12" ht="17.100000000000001" customHeight="1">
      <c r="A42" s="27">
        <v>45909</v>
      </c>
      <c r="B42" s="20" t="s">
        <v>116</v>
      </c>
      <c r="C42" s="21" t="s">
        <v>29</v>
      </c>
      <c r="D42" s="21" t="s">
        <v>1299</v>
      </c>
      <c r="E42" s="21" t="s">
        <v>1165</v>
      </c>
      <c r="F42" s="21" t="s">
        <v>1300</v>
      </c>
      <c r="G42" s="21" t="s">
        <v>23</v>
      </c>
      <c r="H42" s="21" t="s">
        <v>23</v>
      </c>
      <c r="I42" s="21" t="s">
        <v>23</v>
      </c>
      <c r="J42" s="21">
        <v>180</v>
      </c>
      <c r="K42" s="21" t="s">
        <v>1156</v>
      </c>
      <c r="L42" s="20" t="s">
        <v>1301</v>
      </c>
    </row>
    <row r="43" spans="1:12" ht="17.100000000000001" customHeight="1">
      <c r="A43" s="27">
        <v>45910</v>
      </c>
      <c r="B43" s="20" t="s">
        <v>20</v>
      </c>
      <c r="C43" s="21" t="s">
        <v>21</v>
      </c>
      <c r="D43" s="21" t="s">
        <v>1305</v>
      </c>
      <c r="E43" s="21" t="s">
        <v>23</v>
      </c>
      <c r="F43" s="21" t="s">
        <v>1008</v>
      </c>
      <c r="G43" s="21" t="s">
        <v>1279</v>
      </c>
      <c r="H43" s="21" t="s">
        <v>23</v>
      </c>
      <c r="I43" s="21" t="s">
        <v>23</v>
      </c>
      <c r="J43" s="21">
        <v>156</v>
      </c>
      <c r="K43" s="21" t="s">
        <v>988</v>
      </c>
      <c r="L43" s="20" t="s">
        <v>1306</v>
      </c>
    </row>
    <row r="44" spans="1:12" ht="17.100000000000001" customHeight="1">
      <c r="A44" s="27">
        <v>45910</v>
      </c>
      <c r="B44" s="20" t="s">
        <v>1302</v>
      </c>
      <c r="C44" s="21" t="s">
        <v>21</v>
      </c>
      <c r="D44" s="21">
        <v>25650</v>
      </c>
      <c r="E44" s="21">
        <v>25523</v>
      </c>
      <c r="F44" s="21">
        <v>250114</v>
      </c>
      <c r="G44" s="21"/>
      <c r="H44" s="21"/>
      <c r="I44" s="21"/>
      <c r="J44" s="21">
        <v>48</v>
      </c>
      <c r="K44" s="21" t="s">
        <v>988</v>
      </c>
      <c r="L44" s="20" t="s">
        <v>1303</v>
      </c>
    </row>
    <row r="45" spans="1:12" ht="17.100000000000001" customHeight="1">
      <c r="A45" s="27">
        <v>45910</v>
      </c>
      <c r="B45" s="20" t="s">
        <v>1302</v>
      </c>
      <c r="C45" s="21" t="s">
        <v>21</v>
      </c>
      <c r="D45" s="21">
        <v>25650</v>
      </c>
      <c r="E45" s="21">
        <v>25523</v>
      </c>
      <c r="F45" s="21">
        <v>250114</v>
      </c>
      <c r="G45" s="21"/>
      <c r="H45" s="21"/>
      <c r="I45" s="21"/>
      <c r="J45" s="21">
        <v>49</v>
      </c>
      <c r="K45" s="21" t="s">
        <v>988</v>
      </c>
      <c r="L45" s="20" t="s">
        <v>1304</v>
      </c>
    </row>
    <row r="46" spans="1:12" ht="17.100000000000001" customHeight="1">
      <c r="A46" s="27">
        <v>45911</v>
      </c>
      <c r="B46" s="20" t="s">
        <v>43</v>
      </c>
      <c r="C46" s="21" t="s">
        <v>21</v>
      </c>
      <c r="D46" s="21" t="s">
        <v>1307</v>
      </c>
      <c r="E46" s="21" t="s">
        <v>1165</v>
      </c>
      <c r="F46" s="21" t="s">
        <v>1294</v>
      </c>
      <c r="G46" s="21" t="s">
        <v>23</v>
      </c>
      <c r="H46" s="21" t="s">
        <v>23</v>
      </c>
      <c r="I46" s="21" t="s">
        <v>23</v>
      </c>
      <c r="J46" s="21">
        <v>208</v>
      </c>
      <c r="K46" s="21" t="s">
        <v>1201</v>
      </c>
      <c r="L46" s="20" t="s">
        <v>1308</v>
      </c>
    </row>
    <row r="47" spans="1:12" ht="17.100000000000001" customHeight="1">
      <c r="A47" s="27">
        <v>45911</v>
      </c>
      <c r="B47" s="20" t="s">
        <v>20</v>
      </c>
      <c r="C47" s="21" t="s">
        <v>21</v>
      </c>
      <c r="D47" s="21" t="s">
        <v>1309</v>
      </c>
      <c r="E47" s="21" t="s">
        <v>23</v>
      </c>
      <c r="F47" s="45" t="s">
        <v>1310</v>
      </c>
      <c r="G47" s="21" t="s">
        <v>1311</v>
      </c>
      <c r="H47" s="21">
        <v>20250410</v>
      </c>
      <c r="I47" s="21" t="s">
        <v>23</v>
      </c>
      <c r="J47" s="21">
        <v>150</v>
      </c>
      <c r="K47" s="21" t="s">
        <v>1312</v>
      </c>
      <c r="L47" s="20" t="s">
        <v>1313</v>
      </c>
    </row>
    <row r="48" spans="1:12" ht="17.100000000000001" customHeight="1">
      <c r="A48" s="27">
        <v>45911</v>
      </c>
      <c r="B48" s="20" t="s">
        <v>20</v>
      </c>
      <c r="C48" s="21" t="s">
        <v>29</v>
      </c>
      <c r="D48" s="21" t="s">
        <v>1314</v>
      </c>
      <c r="E48" s="21" t="s">
        <v>23</v>
      </c>
      <c r="F48" s="45" t="s">
        <v>1310</v>
      </c>
      <c r="G48" s="21" t="s">
        <v>1311</v>
      </c>
      <c r="H48" s="21">
        <v>20250410</v>
      </c>
      <c r="I48" s="21" t="s">
        <v>23</v>
      </c>
      <c r="J48" s="21">
        <v>300</v>
      </c>
      <c r="K48" s="21" t="s">
        <v>1312</v>
      </c>
      <c r="L48" s="20" t="s">
        <v>1313</v>
      </c>
    </row>
    <row r="49" spans="1:14" ht="17.100000000000001" customHeight="1">
      <c r="A49" s="27">
        <v>45912</v>
      </c>
      <c r="B49" s="20" t="s">
        <v>20</v>
      </c>
      <c r="C49" s="21" t="s">
        <v>21</v>
      </c>
      <c r="D49" s="21" t="s">
        <v>1315</v>
      </c>
      <c r="E49" s="21" t="s">
        <v>23</v>
      </c>
      <c r="F49" s="45" t="s">
        <v>1310</v>
      </c>
      <c r="G49" s="21" t="s">
        <v>1311</v>
      </c>
      <c r="H49" s="21">
        <v>20250410</v>
      </c>
      <c r="I49" s="21" t="s">
        <v>23</v>
      </c>
      <c r="J49" s="21">
        <v>286</v>
      </c>
      <c r="K49" s="21" t="s">
        <v>1201</v>
      </c>
      <c r="L49" s="20" t="s">
        <v>1313</v>
      </c>
    </row>
    <row r="50" spans="1:14" ht="17.100000000000001" customHeight="1">
      <c r="A50" s="27">
        <v>45912</v>
      </c>
      <c r="B50" s="20" t="s">
        <v>20</v>
      </c>
      <c r="C50" s="21" t="s">
        <v>29</v>
      </c>
      <c r="D50" s="21" t="s">
        <v>1316</v>
      </c>
      <c r="E50" s="21" t="s">
        <v>23</v>
      </c>
      <c r="F50" s="45" t="s">
        <v>1310</v>
      </c>
      <c r="G50" s="21" t="s">
        <v>1311</v>
      </c>
      <c r="H50" s="21">
        <v>20250410</v>
      </c>
      <c r="I50" s="21" t="s">
        <v>23</v>
      </c>
      <c r="J50" s="21">
        <v>304</v>
      </c>
      <c r="K50" s="21" t="s">
        <v>1201</v>
      </c>
      <c r="L50" s="20" t="s">
        <v>1313</v>
      </c>
    </row>
    <row r="51" spans="1:14" ht="17.100000000000001" customHeight="1">
      <c r="A51" s="27">
        <v>45916</v>
      </c>
      <c r="B51" s="20" t="s">
        <v>20</v>
      </c>
      <c r="C51" s="21" t="s">
        <v>21</v>
      </c>
      <c r="D51" s="21" t="s">
        <v>1318</v>
      </c>
      <c r="E51" s="21" t="s">
        <v>23</v>
      </c>
      <c r="F51" s="45" t="s">
        <v>1310</v>
      </c>
      <c r="G51" s="21" t="s">
        <v>1311</v>
      </c>
      <c r="H51" s="21">
        <v>20250410</v>
      </c>
      <c r="I51" s="21" t="s">
        <v>23</v>
      </c>
      <c r="J51" s="21">
        <v>180</v>
      </c>
      <c r="K51" s="21" t="s">
        <v>988</v>
      </c>
      <c r="L51" s="20" t="s">
        <v>1317</v>
      </c>
    </row>
    <row r="52" spans="1:14" ht="17.100000000000001" customHeight="1">
      <c r="A52" s="27">
        <v>45916</v>
      </c>
      <c r="B52" s="20" t="s">
        <v>20</v>
      </c>
      <c r="C52" s="21" t="s">
        <v>29</v>
      </c>
      <c r="D52" s="21" t="s">
        <v>1319</v>
      </c>
      <c r="E52" s="21" t="s">
        <v>23</v>
      </c>
      <c r="F52" s="45" t="s">
        <v>1310</v>
      </c>
      <c r="G52" s="21" t="s">
        <v>1311</v>
      </c>
      <c r="H52" s="21">
        <v>20250410</v>
      </c>
      <c r="I52" s="21" t="s">
        <v>23</v>
      </c>
      <c r="J52" s="21">
        <v>144</v>
      </c>
      <c r="K52" s="21" t="s">
        <v>988</v>
      </c>
      <c r="L52" s="20" t="s">
        <v>1320</v>
      </c>
    </row>
    <row r="53" spans="1:14" ht="17.100000000000001" customHeight="1">
      <c r="A53" s="27">
        <v>45916</v>
      </c>
      <c r="B53" s="20" t="s">
        <v>20</v>
      </c>
      <c r="C53" s="21" t="s">
        <v>29</v>
      </c>
      <c r="D53" s="21" t="s">
        <v>1319</v>
      </c>
      <c r="E53" s="21" t="s">
        <v>23</v>
      </c>
      <c r="F53" s="45" t="s">
        <v>1310</v>
      </c>
      <c r="G53" s="21" t="s">
        <v>1311</v>
      </c>
      <c r="H53" s="21">
        <v>20250410</v>
      </c>
      <c r="I53" s="21" t="s">
        <v>23</v>
      </c>
      <c r="J53" s="21">
        <v>104</v>
      </c>
      <c r="K53" s="21" t="s">
        <v>988</v>
      </c>
      <c r="L53" s="20" t="s">
        <v>1321</v>
      </c>
    </row>
    <row r="54" spans="1:14" ht="17.100000000000001" customHeight="1">
      <c r="A54" s="27">
        <v>45918</v>
      </c>
      <c r="B54" s="20" t="s">
        <v>20</v>
      </c>
      <c r="C54" s="21" t="s">
        <v>21</v>
      </c>
      <c r="D54" s="21" t="s">
        <v>1322</v>
      </c>
      <c r="E54" s="21" t="s">
        <v>23</v>
      </c>
      <c r="F54" s="45" t="s">
        <v>1310</v>
      </c>
      <c r="G54" s="21" t="s">
        <v>1311</v>
      </c>
      <c r="H54" s="21">
        <v>20250410</v>
      </c>
      <c r="I54" s="21" t="s">
        <v>23</v>
      </c>
      <c r="J54" s="21">
        <v>260</v>
      </c>
      <c r="K54" s="21" t="s">
        <v>1323</v>
      </c>
      <c r="L54" s="20" t="s">
        <v>1324</v>
      </c>
    </row>
    <row r="55" spans="1:14" ht="17.100000000000001" customHeight="1">
      <c r="A55" s="27">
        <v>45918</v>
      </c>
      <c r="B55" s="20" t="s">
        <v>20</v>
      </c>
      <c r="C55" s="21" t="s">
        <v>29</v>
      </c>
      <c r="D55" s="21" t="s">
        <v>1325</v>
      </c>
      <c r="E55" s="21" t="s">
        <v>23</v>
      </c>
      <c r="F55" s="45" t="s">
        <v>1310</v>
      </c>
      <c r="G55" s="21" t="s">
        <v>1311</v>
      </c>
      <c r="H55" s="21">
        <v>20250410</v>
      </c>
      <c r="I55" s="21" t="s">
        <v>23</v>
      </c>
      <c r="J55" s="21">
        <v>287</v>
      </c>
      <c r="K55" s="21" t="s">
        <v>1323</v>
      </c>
      <c r="L55" s="20" t="s">
        <v>1324</v>
      </c>
    </row>
    <row r="56" spans="1:14" ht="17.100000000000001" customHeight="1">
      <c r="A56" s="27">
        <v>45918</v>
      </c>
      <c r="B56" s="20" t="s">
        <v>20</v>
      </c>
      <c r="C56" s="21" t="s">
        <v>33</v>
      </c>
      <c r="D56" s="21" t="s">
        <v>1326</v>
      </c>
      <c r="E56" s="21" t="s">
        <v>23</v>
      </c>
      <c r="F56" s="45" t="s">
        <v>1310</v>
      </c>
      <c r="G56" s="21" t="s">
        <v>1311</v>
      </c>
      <c r="H56" s="21">
        <v>20250410</v>
      </c>
      <c r="I56" s="21" t="s">
        <v>23</v>
      </c>
      <c r="J56" s="21">
        <v>150</v>
      </c>
      <c r="K56" s="21" t="s">
        <v>1323</v>
      </c>
      <c r="L56" s="20" t="s">
        <v>1324</v>
      </c>
    </row>
    <row r="57" spans="1:14" ht="17.100000000000001" customHeight="1">
      <c r="A57" s="27">
        <v>45919</v>
      </c>
      <c r="B57" s="20" t="s">
        <v>43</v>
      </c>
      <c r="C57" s="21" t="s">
        <v>21</v>
      </c>
      <c r="D57" s="21" t="s">
        <v>1327</v>
      </c>
      <c r="E57" s="21" t="s">
        <v>808</v>
      </c>
      <c r="F57" s="21" t="s">
        <v>1328</v>
      </c>
      <c r="G57" s="21" t="s">
        <v>23</v>
      </c>
      <c r="H57" s="21" t="s">
        <v>23</v>
      </c>
      <c r="I57" s="21" t="s">
        <v>23</v>
      </c>
      <c r="J57" s="21">
        <v>12</v>
      </c>
      <c r="K57" s="21" t="s">
        <v>1281</v>
      </c>
      <c r="L57" s="20" t="s">
        <v>1329</v>
      </c>
    </row>
    <row r="58" spans="1:14" ht="17.100000000000001" customHeight="1">
      <c r="A58" s="27">
        <v>45919</v>
      </c>
      <c r="B58" s="20" t="s">
        <v>43</v>
      </c>
      <c r="C58" s="21" t="s">
        <v>21</v>
      </c>
      <c r="D58" s="21" t="s">
        <v>1327</v>
      </c>
      <c r="E58" s="21" t="s">
        <v>808</v>
      </c>
      <c r="F58" s="21" t="s">
        <v>1328</v>
      </c>
      <c r="G58" s="21" t="s">
        <v>23</v>
      </c>
      <c r="H58" s="21" t="s">
        <v>23</v>
      </c>
      <c r="I58" s="21" t="s">
        <v>23</v>
      </c>
      <c r="J58" s="21">
        <v>134</v>
      </c>
      <c r="K58" s="21" t="s">
        <v>1281</v>
      </c>
      <c r="L58" s="20" t="s">
        <v>1330</v>
      </c>
    </row>
    <row r="59" spans="1:14" ht="17.100000000000001" customHeight="1">
      <c r="A59" s="27">
        <v>45919</v>
      </c>
      <c r="B59" s="20" t="s">
        <v>43</v>
      </c>
      <c r="C59" s="21" t="s">
        <v>29</v>
      </c>
      <c r="D59" s="21" t="s">
        <v>1331</v>
      </c>
      <c r="E59" s="21" t="s">
        <v>808</v>
      </c>
      <c r="F59" s="45" t="s">
        <v>1332</v>
      </c>
      <c r="G59" s="21" t="s">
        <v>23</v>
      </c>
      <c r="H59" s="21" t="s">
        <v>23</v>
      </c>
      <c r="I59" s="21" t="s">
        <v>23</v>
      </c>
      <c r="J59" s="21">
        <v>240</v>
      </c>
      <c r="K59" s="21" t="s">
        <v>1281</v>
      </c>
      <c r="L59" s="20" t="s">
        <v>1333</v>
      </c>
    </row>
    <row r="60" spans="1:14" ht="17.100000000000001" customHeight="1">
      <c r="A60" s="27">
        <v>45919</v>
      </c>
      <c r="B60" s="20" t="s">
        <v>43</v>
      </c>
      <c r="C60" s="21" t="s">
        <v>33</v>
      </c>
      <c r="D60" s="21" t="s">
        <v>1331</v>
      </c>
      <c r="E60" s="21" t="s">
        <v>808</v>
      </c>
      <c r="F60" s="45" t="s">
        <v>1332</v>
      </c>
      <c r="G60" s="21" t="s">
        <v>23</v>
      </c>
      <c r="H60" s="21" t="s">
        <v>23</v>
      </c>
      <c r="I60" s="21" t="s">
        <v>23</v>
      </c>
      <c r="J60" s="21">
        <v>72</v>
      </c>
      <c r="K60" s="21" t="s">
        <v>1281</v>
      </c>
      <c r="L60" s="20" t="s">
        <v>1333</v>
      </c>
    </row>
    <row r="61" spans="1:14">
      <c r="A61" s="27">
        <v>45919</v>
      </c>
      <c r="B61" s="20" t="s">
        <v>43</v>
      </c>
      <c r="C61" s="21" t="s">
        <v>33</v>
      </c>
      <c r="D61" s="21" t="s">
        <v>1334</v>
      </c>
      <c r="E61" s="21" t="s">
        <v>808</v>
      </c>
      <c r="F61" s="45" t="s">
        <v>1335</v>
      </c>
      <c r="G61" s="21" t="s">
        <v>23</v>
      </c>
      <c r="H61" s="21" t="s">
        <v>23</v>
      </c>
      <c r="I61" s="21" t="s">
        <v>23</v>
      </c>
      <c r="J61" s="21">
        <v>156</v>
      </c>
      <c r="K61" s="21" t="s">
        <v>1281</v>
      </c>
      <c r="L61" s="20" t="s">
        <v>1336</v>
      </c>
      <c r="M61" s="18"/>
      <c r="N61" s="17"/>
    </row>
    <row r="62" spans="1:14">
      <c r="A62" s="27">
        <v>45919</v>
      </c>
      <c r="B62" s="20" t="s">
        <v>116</v>
      </c>
      <c r="C62" s="21" t="s">
        <v>21</v>
      </c>
      <c r="D62" s="21" t="s">
        <v>1271</v>
      </c>
      <c r="E62" s="21" t="s">
        <v>808</v>
      </c>
      <c r="F62" s="45" t="s">
        <v>1337</v>
      </c>
      <c r="G62" s="21" t="s">
        <v>23</v>
      </c>
      <c r="H62" s="21" t="s">
        <v>23</v>
      </c>
      <c r="I62" s="21" t="s">
        <v>23</v>
      </c>
      <c r="J62" s="21">
        <v>42</v>
      </c>
      <c r="K62" s="21" t="s">
        <v>1281</v>
      </c>
      <c r="L62" s="20" t="s">
        <v>1338</v>
      </c>
    </row>
    <row r="63" spans="1:14">
      <c r="A63" s="27">
        <v>45922</v>
      </c>
      <c r="B63" s="20" t="s">
        <v>20</v>
      </c>
      <c r="C63" s="21" t="s">
        <v>21</v>
      </c>
      <c r="D63" s="21" t="s">
        <v>1326</v>
      </c>
      <c r="E63" s="21" t="s">
        <v>23</v>
      </c>
      <c r="F63" s="45" t="s">
        <v>1310</v>
      </c>
      <c r="G63" s="21" t="s">
        <v>1311</v>
      </c>
      <c r="H63" s="21">
        <v>20250410</v>
      </c>
      <c r="I63" s="21" t="s">
        <v>23</v>
      </c>
      <c r="J63" s="21">
        <v>135</v>
      </c>
      <c r="K63" s="21" t="s">
        <v>988</v>
      </c>
      <c r="L63" s="20" t="s">
        <v>1324</v>
      </c>
    </row>
    <row r="64" spans="1:14">
      <c r="A64" s="27">
        <v>45923</v>
      </c>
      <c r="B64" s="20" t="s">
        <v>20</v>
      </c>
      <c r="C64" s="21" t="s">
        <v>21</v>
      </c>
      <c r="D64" s="21" t="s">
        <v>1339</v>
      </c>
      <c r="E64" s="21" t="s">
        <v>23</v>
      </c>
      <c r="F64" s="45" t="s">
        <v>1310</v>
      </c>
      <c r="G64" s="21" t="s">
        <v>1311</v>
      </c>
      <c r="H64" s="21">
        <v>20250410</v>
      </c>
      <c r="I64" s="21" t="s">
        <v>23</v>
      </c>
      <c r="J64" s="21">
        <v>104</v>
      </c>
      <c r="K64" s="21" t="s">
        <v>988</v>
      </c>
      <c r="L64" s="20" t="s">
        <v>1340</v>
      </c>
    </row>
    <row r="65" spans="1:12">
      <c r="A65" s="27">
        <v>45923</v>
      </c>
      <c r="B65" s="20" t="s">
        <v>43</v>
      </c>
      <c r="C65" s="21" t="s">
        <v>21</v>
      </c>
      <c r="D65" s="21" t="s">
        <v>1341</v>
      </c>
      <c r="E65" s="21" t="s">
        <v>1342</v>
      </c>
      <c r="F65" s="21" t="s">
        <v>1343</v>
      </c>
      <c r="G65" s="21" t="s">
        <v>23</v>
      </c>
      <c r="H65" s="21" t="s">
        <v>23</v>
      </c>
      <c r="I65" s="21" t="s">
        <v>23</v>
      </c>
      <c r="J65" s="21">
        <v>144</v>
      </c>
      <c r="K65" s="21" t="s">
        <v>1233</v>
      </c>
      <c r="L65" s="20" t="s">
        <v>1344</v>
      </c>
    </row>
    <row r="66" spans="1:12">
      <c r="A66" s="27">
        <v>45923</v>
      </c>
      <c r="B66" s="20" t="s">
        <v>43</v>
      </c>
      <c r="C66" s="21" t="s">
        <v>21</v>
      </c>
      <c r="D66" s="21" t="s">
        <v>1341</v>
      </c>
      <c r="E66" s="21" t="s">
        <v>1342</v>
      </c>
      <c r="F66" s="21" t="s">
        <v>1343</v>
      </c>
      <c r="G66" s="21" t="s">
        <v>23</v>
      </c>
      <c r="H66" s="21" t="s">
        <v>23</v>
      </c>
      <c r="I66" s="21" t="s">
        <v>23</v>
      </c>
      <c r="J66" s="21">
        <v>104</v>
      </c>
      <c r="K66" s="21" t="s">
        <v>1233</v>
      </c>
      <c r="L66" s="20" t="s">
        <v>1345</v>
      </c>
    </row>
    <row r="67" spans="1:12" ht="15" thickBot="1">
      <c r="A67" s="27">
        <v>45923</v>
      </c>
      <c r="B67" s="24" t="s">
        <v>110</v>
      </c>
      <c r="C67" s="25" t="s">
        <v>29</v>
      </c>
      <c r="D67" s="21" t="s">
        <v>1341</v>
      </c>
      <c r="E67" s="21" t="s">
        <v>1342</v>
      </c>
      <c r="F67" s="25" t="s">
        <v>1346</v>
      </c>
      <c r="G67" s="25"/>
      <c r="H67" s="25"/>
      <c r="I67" s="25"/>
      <c r="J67" s="25">
        <v>36</v>
      </c>
      <c r="K67" s="21" t="s">
        <v>1233</v>
      </c>
      <c r="L67" s="24" t="s">
        <v>1347</v>
      </c>
    </row>
    <row r="68" spans="1:12">
      <c r="A68" s="27">
        <v>45925</v>
      </c>
      <c r="B68" s="20" t="s">
        <v>20</v>
      </c>
      <c r="C68" s="21" t="s">
        <v>21</v>
      </c>
      <c r="D68" s="21" t="s">
        <v>1348</v>
      </c>
      <c r="E68" s="21" t="s">
        <v>23</v>
      </c>
      <c r="F68" s="45" t="s">
        <v>1310</v>
      </c>
      <c r="G68" s="21" t="s">
        <v>1311</v>
      </c>
      <c r="H68" s="21">
        <v>2025429</v>
      </c>
      <c r="I68" s="21" t="s">
        <v>23</v>
      </c>
      <c r="J68" s="21">
        <v>286</v>
      </c>
      <c r="K68" s="21" t="s">
        <v>988</v>
      </c>
      <c r="L68" s="20" t="s">
        <v>1349</v>
      </c>
    </row>
    <row r="69" spans="1:12">
      <c r="A69" s="27">
        <v>45925</v>
      </c>
      <c r="B69" s="20" t="s">
        <v>20</v>
      </c>
      <c r="C69" s="21" t="s">
        <v>29</v>
      </c>
      <c r="D69" s="21" t="s">
        <v>1350</v>
      </c>
      <c r="E69" s="21" t="s">
        <v>23</v>
      </c>
      <c r="F69" s="45" t="s">
        <v>1310</v>
      </c>
      <c r="G69" s="21" t="s">
        <v>1311</v>
      </c>
      <c r="H69" s="21">
        <v>2025429</v>
      </c>
      <c r="I69" s="21" t="s">
        <v>23</v>
      </c>
      <c r="J69" s="21">
        <v>134</v>
      </c>
      <c r="K69" s="21" t="s">
        <v>988</v>
      </c>
      <c r="L69" s="20" t="s">
        <v>1349</v>
      </c>
    </row>
    <row r="70" spans="1:12">
      <c r="A70" s="27">
        <v>45926</v>
      </c>
      <c r="B70" s="20" t="s">
        <v>20</v>
      </c>
      <c r="C70" s="21" t="s">
        <v>21</v>
      </c>
      <c r="D70" s="21" t="s">
        <v>1350</v>
      </c>
      <c r="E70" s="21" t="s">
        <v>23</v>
      </c>
      <c r="F70" s="45" t="s">
        <v>1310</v>
      </c>
      <c r="G70" s="21" t="s">
        <v>1311</v>
      </c>
      <c r="H70" s="21">
        <v>2025429</v>
      </c>
      <c r="I70" s="21" t="s">
        <v>23</v>
      </c>
      <c r="J70" s="21">
        <v>130</v>
      </c>
      <c r="K70" s="21" t="s">
        <v>988</v>
      </c>
      <c r="L70" s="20" t="s">
        <v>1349</v>
      </c>
    </row>
    <row r="71" spans="1:12">
      <c r="A71" s="27">
        <v>45926</v>
      </c>
      <c r="B71" s="20" t="s">
        <v>20</v>
      </c>
      <c r="C71" s="21" t="s">
        <v>29</v>
      </c>
      <c r="D71" s="21" t="s">
        <v>1351</v>
      </c>
      <c r="E71" s="21" t="s">
        <v>23</v>
      </c>
      <c r="F71" s="45" t="s">
        <v>1310</v>
      </c>
      <c r="G71" s="21" t="s">
        <v>1311</v>
      </c>
      <c r="H71" s="21">
        <v>2025429</v>
      </c>
      <c r="I71" s="21" t="s">
        <v>23</v>
      </c>
      <c r="J71" s="21">
        <v>282</v>
      </c>
      <c r="K71" s="21" t="s">
        <v>988</v>
      </c>
      <c r="L71" s="20" t="s">
        <v>1349</v>
      </c>
    </row>
    <row r="72" spans="1:12">
      <c r="A72" s="27">
        <v>45929</v>
      </c>
      <c r="B72" s="20" t="s">
        <v>20</v>
      </c>
      <c r="C72" s="21" t="s">
        <v>21</v>
      </c>
      <c r="D72" s="21" t="s">
        <v>1352</v>
      </c>
      <c r="E72" s="21" t="s">
        <v>23</v>
      </c>
      <c r="F72" s="45" t="s">
        <v>1310</v>
      </c>
      <c r="G72" s="21" t="s">
        <v>1311</v>
      </c>
      <c r="H72" s="21">
        <v>2025429</v>
      </c>
      <c r="I72" s="21" t="s">
        <v>23</v>
      </c>
      <c r="J72" s="21">
        <v>286</v>
      </c>
      <c r="K72" s="21" t="s">
        <v>988</v>
      </c>
      <c r="L72" s="20" t="s">
        <v>1353</v>
      </c>
    </row>
    <row r="73" spans="1:12">
      <c r="A73" s="27">
        <v>45929</v>
      </c>
      <c r="B73" s="20" t="s">
        <v>20</v>
      </c>
      <c r="C73" s="21" t="s">
        <v>29</v>
      </c>
      <c r="D73" s="21" t="s">
        <v>1354</v>
      </c>
      <c r="E73" s="21" t="s">
        <v>23</v>
      </c>
      <c r="F73" s="45" t="s">
        <v>1310</v>
      </c>
      <c r="G73" s="21" t="s">
        <v>1311</v>
      </c>
      <c r="H73" s="21">
        <v>2025429</v>
      </c>
      <c r="I73" s="21" t="s">
        <v>23</v>
      </c>
      <c r="J73" s="21">
        <v>134</v>
      </c>
      <c r="K73" s="21" t="s">
        <v>988</v>
      </c>
      <c r="L73" s="20" t="s">
        <v>1353</v>
      </c>
    </row>
    <row r="74" spans="1:12">
      <c r="A74" s="27" t="s">
        <v>1355</v>
      </c>
      <c r="B74" s="20" t="s">
        <v>20</v>
      </c>
      <c r="C74" s="21" t="s">
        <v>21</v>
      </c>
      <c r="D74" s="21" t="s">
        <v>1354</v>
      </c>
      <c r="E74" s="21" t="s">
        <v>23</v>
      </c>
      <c r="F74" s="45" t="s">
        <v>1310</v>
      </c>
      <c r="G74" s="21" t="s">
        <v>1311</v>
      </c>
      <c r="H74" s="21">
        <v>2025429</v>
      </c>
      <c r="I74" s="21" t="s">
        <v>23</v>
      </c>
      <c r="J74" s="21">
        <v>100</v>
      </c>
      <c r="K74" s="21" t="s">
        <v>988</v>
      </c>
      <c r="L74" s="20" t="s">
        <v>1353</v>
      </c>
    </row>
    <row r="75" spans="1:12">
      <c r="A75" s="27" t="s">
        <v>1355</v>
      </c>
      <c r="B75" s="20" t="s">
        <v>39</v>
      </c>
      <c r="C75" s="21" t="s">
        <v>21</v>
      </c>
      <c r="D75" s="21" t="s">
        <v>1354</v>
      </c>
      <c r="E75" s="21" t="s">
        <v>23</v>
      </c>
      <c r="F75" s="45" t="s">
        <v>1310</v>
      </c>
      <c r="G75" s="21" t="s">
        <v>1311</v>
      </c>
      <c r="H75" s="21">
        <v>2025429</v>
      </c>
      <c r="I75" s="21" t="s">
        <v>23</v>
      </c>
      <c r="J75" s="21">
        <v>1</v>
      </c>
      <c r="K75" s="21" t="s">
        <v>988</v>
      </c>
      <c r="L75" s="20" t="s">
        <v>1356</v>
      </c>
    </row>
    <row r="76" spans="1:12" ht="15" thickBot="1">
      <c r="A76" s="46">
        <v>45930</v>
      </c>
      <c r="B76" s="20" t="s">
        <v>43</v>
      </c>
      <c r="C76" s="21" t="s">
        <v>21</v>
      </c>
      <c r="D76" s="21" t="s">
        <v>1359</v>
      </c>
      <c r="E76" s="21" t="s">
        <v>1342</v>
      </c>
      <c r="F76" s="21" t="s">
        <v>1360</v>
      </c>
      <c r="G76" s="21" t="s">
        <v>23</v>
      </c>
      <c r="H76" s="21" t="s">
        <v>23</v>
      </c>
      <c r="I76" s="21" t="s">
        <v>23</v>
      </c>
      <c r="J76" s="25">
        <v>104</v>
      </c>
      <c r="K76" s="25" t="s">
        <v>1357</v>
      </c>
      <c r="L76" s="24" t="s">
        <v>1358</v>
      </c>
    </row>
    <row r="77" spans="1:12">
      <c r="A77" s="22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0"/>
    </row>
    <row r="78" spans="1:12" ht="15" thickBot="1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4"/>
    </row>
    <row r="79" spans="1:12">
      <c r="A79" s="22" t="s">
        <v>1037</v>
      </c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0"/>
    </row>
    <row r="80" spans="1:12" ht="15" thickBot="1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5"/>
      <c r="L80" s="24"/>
    </row>
    <row r="81" spans="1:12">
      <c r="A81" s="22" t="s">
        <v>1037</v>
      </c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0"/>
    </row>
    <row r="82" spans="1:12" ht="15" thickBot="1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4"/>
    </row>
    <row r="83" spans="1:12">
      <c r="A83" s="22" t="s">
        <v>1037</v>
      </c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0"/>
    </row>
    <row r="84" spans="1:12" ht="15" thickBot="1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4"/>
    </row>
    <row r="85" spans="1:12">
      <c r="A85" s="27"/>
      <c r="B85" s="20"/>
      <c r="C85" s="21"/>
      <c r="D85" s="21"/>
      <c r="E85" s="21"/>
      <c r="F85" s="45"/>
      <c r="G85" s="21"/>
      <c r="H85" s="21"/>
      <c r="I85" s="21"/>
      <c r="J85" s="21"/>
      <c r="K85" s="21"/>
      <c r="L85" s="20"/>
    </row>
    <row r="86" spans="1:12">
      <c r="A86" s="27"/>
      <c r="B86" s="20"/>
      <c r="C86" s="21"/>
      <c r="D86" s="21"/>
      <c r="E86" s="21"/>
      <c r="F86" s="45"/>
      <c r="G86" s="21"/>
      <c r="H86" s="21"/>
      <c r="I86" s="21"/>
      <c r="J86" s="21"/>
      <c r="K86" s="21"/>
      <c r="L86" s="20"/>
    </row>
    <row r="87" spans="1:12">
      <c r="A87" s="27"/>
      <c r="B87" s="20"/>
      <c r="C87" s="21"/>
      <c r="D87" s="21"/>
      <c r="E87" s="21"/>
      <c r="F87" s="45"/>
      <c r="G87" s="21"/>
      <c r="H87" s="21"/>
      <c r="I87" s="21"/>
      <c r="J87" s="21"/>
      <c r="K87" s="21"/>
      <c r="L87" s="20"/>
    </row>
    <row r="88" spans="1:12">
      <c r="A88" s="27"/>
      <c r="B88" s="20"/>
      <c r="C88" s="21"/>
      <c r="D88" s="21"/>
      <c r="E88" s="21"/>
      <c r="F88" s="45"/>
      <c r="G88" s="21"/>
      <c r="H88" s="21"/>
      <c r="I88" s="21"/>
      <c r="J88" s="21"/>
      <c r="K88" s="21"/>
      <c r="L88" s="20"/>
    </row>
    <row r="89" spans="1:12">
      <c r="A89" s="27"/>
      <c r="B89" s="20"/>
      <c r="C89" s="21"/>
      <c r="D89" s="21"/>
      <c r="E89" s="21"/>
      <c r="F89" s="45"/>
      <c r="G89" s="21"/>
      <c r="H89" s="21"/>
      <c r="I89" s="21"/>
      <c r="J89" s="21"/>
      <c r="K89" s="21"/>
      <c r="L89" s="20"/>
    </row>
    <row r="90" spans="1:12">
      <c r="A90" s="27"/>
      <c r="B90" s="20"/>
      <c r="C90" s="21"/>
      <c r="D90" s="21"/>
      <c r="E90" s="21"/>
      <c r="F90" s="45"/>
      <c r="G90" s="21"/>
      <c r="H90" s="21"/>
      <c r="I90" s="21"/>
      <c r="J90" s="21"/>
      <c r="K90" s="21"/>
      <c r="L90" s="20"/>
    </row>
    <row r="91" spans="1:12">
      <c r="A91" s="27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0"/>
    </row>
    <row r="92" spans="1:12">
      <c r="A92" s="27"/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0"/>
    </row>
    <row r="93" spans="1:12">
      <c r="A93" s="22"/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0"/>
    </row>
    <row r="94" spans="1:12" ht="15" thickBot="1">
      <c r="A94" s="23"/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4"/>
    </row>
    <row r="95" spans="1:1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spans="1:12">
      <c r="A96" s="32" t="s">
        <v>291</v>
      </c>
      <c r="B96" s="15"/>
      <c r="C96" s="15"/>
      <c r="D96" s="14"/>
      <c r="E96" s="15"/>
      <c r="H96" s="14" t="s">
        <v>15</v>
      </c>
      <c r="I96" s="14"/>
      <c r="J96" s="14"/>
      <c r="K96" s="15"/>
      <c r="L96" s="16"/>
    </row>
    <row r="97" spans="9:9">
      <c r="I97" s="2" t="s">
        <v>16</v>
      </c>
    </row>
    <row r="98" spans="9:9">
      <c r="I98" s="2" t="s">
        <v>17</v>
      </c>
    </row>
    <row r="99" spans="9:9">
      <c r="I99" s="2" t="s">
        <v>18</v>
      </c>
    </row>
    <row r="100" spans="9:9">
      <c r="I100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N117"/>
  <sheetViews>
    <sheetView view="pageBreakPreview" topLeftCell="A40" zoomScaleNormal="100" zoomScaleSheetLayoutView="100" workbookViewId="0">
      <selection activeCell="K57" sqref="K57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1" width="10.710937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/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7">
        <v>45931</v>
      </c>
      <c r="B9" s="20" t="s">
        <v>116</v>
      </c>
      <c r="C9" s="21" t="s">
        <v>21</v>
      </c>
      <c r="D9" s="21" t="s">
        <v>1359</v>
      </c>
      <c r="E9" s="21" t="s">
        <v>1342</v>
      </c>
      <c r="F9" s="21" t="s">
        <v>1361</v>
      </c>
      <c r="G9" s="21" t="s">
        <v>23</v>
      </c>
      <c r="H9" s="21" t="s">
        <v>23</v>
      </c>
      <c r="I9" s="21" t="s">
        <v>23</v>
      </c>
      <c r="J9" s="21">
        <v>288</v>
      </c>
      <c r="K9" s="21" t="s">
        <v>1233</v>
      </c>
      <c r="L9" s="20" t="s">
        <v>1362</v>
      </c>
    </row>
    <row r="10" spans="1:12" ht="17.100000000000001" customHeight="1">
      <c r="A10" s="27">
        <v>45931</v>
      </c>
      <c r="B10" s="20" t="s">
        <v>55</v>
      </c>
      <c r="C10" s="21" t="s">
        <v>21</v>
      </c>
      <c r="D10" s="21" t="s">
        <v>1363</v>
      </c>
      <c r="E10" s="21" t="s">
        <v>1342</v>
      </c>
      <c r="F10" s="21" t="s">
        <v>1361</v>
      </c>
      <c r="G10" s="21" t="s">
        <v>23</v>
      </c>
      <c r="H10" s="21" t="s">
        <v>23</v>
      </c>
      <c r="I10" s="21" t="s">
        <v>23</v>
      </c>
      <c r="J10" s="21">
        <v>36</v>
      </c>
      <c r="K10" s="21" t="s">
        <v>1233</v>
      </c>
      <c r="L10" s="20" t="s">
        <v>1364</v>
      </c>
    </row>
    <row r="11" spans="1:12" ht="17.100000000000001" customHeight="1">
      <c r="A11" s="27">
        <v>45931</v>
      </c>
      <c r="B11" s="20" t="s">
        <v>43</v>
      </c>
      <c r="C11" s="21" t="s">
        <v>21</v>
      </c>
      <c r="D11" s="21" t="s">
        <v>1366</v>
      </c>
      <c r="E11" s="21" t="s">
        <v>1342</v>
      </c>
      <c r="F11" s="21" t="s">
        <v>1365</v>
      </c>
      <c r="G11" s="21" t="s">
        <v>23</v>
      </c>
      <c r="H11" s="21" t="s">
        <v>23</v>
      </c>
      <c r="I11" s="21" t="s">
        <v>23</v>
      </c>
      <c r="J11" s="21">
        <v>228</v>
      </c>
      <c r="K11" s="21" t="s">
        <v>1233</v>
      </c>
      <c r="L11" s="20" t="s">
        <v>1367</v>
      </c>
    </row>
    <row r="12" spans="1:12" ht="17.100000000000001" customHeight="1">
      <c r="A12" s="27">
        <v>45931</v>
      </c>
      <c r="B12" s="20" t="s">
        <v>43</v>
      </c>
      <c r="C12" s="21" t="s">
        <v>29</v>
      </c>
      <c r="D12" s="21" t="s">
        <v>1368</v>
      </c>
      <c r="E12" s="21" t="s">
        <v>1342</v>
      </c>
      <c r="F12" s="21" t="s">
        <v>1365</v>
      </c>
      <c r="G12" s="21" t="s">
        <v>23</v>
      </c>
      <c r="H12" s="21" t="s">
        <v>23</v>
      </c>
      <c r="I12" s="21" t="s">
        <v>23</v>
      </c>
      <c r="J12" s="21">
        <v>32</v>
      </c>
      <c r="K12" s="21" t="s">
        <v>1233</v>
      </c>
      <c r="L12" s="20" t="s">
        <v>1367</v>
      </c>
    </row>
    <row r="13" spans="1:12" ht="17.100000000000001" customHeight="1">
      <c r="A13" s="27">
        <v>45931</v>
      </c>
      <c r="B13" s="20" t="s">
        <v>43</v>
      </c>
      <c r="C13" s="21" t="s">
        <v>29</v>
      </c>
      <c r="D13" s="21" t="s">
        <v>1368</v>
      </c>
      <c r="E13" s="21" t="s">
        <v>1342</v>
      </c>
      <c r="F13" s="21" t="s">
        <v>1370</v>
      </c>
      <c r="G13" s="21" t="s">
        <v>23</v>
      </c>
      <c r="H13" s="21" t="s">
        <v>23</v>
      </c>
      <c r="I13" s="21" t="s">
        <v>23</v>
      </c>
      <c r="J13" s="21">
        <v>208</v>
      </c>
      <c r="K13" s="21" t="s">
        <v>1233</v>
      </c>
      <c r="L13" s="20" t="s">
        <v>1369</v>
      </c>
    </row>
    <row r="14" spans="1:12" ht="17.100000000000001" customHeight="1">
      <c r="A14" s="27">
        <v>45932</v>
      </c>
      <c r="B14" s="20" t="s">
        <v>20</v>
      </c>
      <c r="C14" s="21" t="s">
        <v>21</v>
      </c>
      <c r="D14" s="21" t="s">
        <v>1371</v>
      </c>
      <c r="E14" s="21" t="s">
        <v>23</v>
      </c>
      <c r="F14" s="21" t="s">
        <v>1310</v>
      </c>
      <c r="G14" s="21" t="s">
        <v>1372</v>
      </c>
      <c r="H14" s="21" t="s">
        <v>23</v>
      </c>
      <c r="I14" s="21" t="s">
        <v>23</v>
      </c>
      <c r="J14" s="21">
        <v>240</v>
      </c>
      <c r="K14" s="21" t="s">
        <v>988</v>
      </c>
      <c r="L14" s="20" t="s">
        <v>1373</v>
      </c>
    </row>
    <row r="15" spans="1:12" ht="17.100000000000001" customHeight="1">
      <c r="A15" s="27">
        <v>45932</v>
      </c>
      <c r="B15" s="20" t="s">
        <v>20</v>
      </c>
      <c r="C15" s="21" t="s">
        <v>29</v>
      </c>
      <c r="D15" s="21" t="s">
        <v>1374</v>
      </c>
      <c r="E15" s="21" t="s">
        <v>23</v>
      </c>
      <c r="F15" s="21" t="s">
        <v>1310</v>
      </c>
      <c r="G15" s="21" t="s">
        <v>1372</v>
      </c>
      <c r="H15" s="21" t="s">
        <v>23</v>
      </c>
      <c r="I15" s="21" t="s">
        <v>23</v>
      </c>
      <c r="J15" s="21">
        <v>64</v>
      </c>
      <c r="K15" s="21" t="s">
        <v>988</v>
      </c>
      <c r="L15" s="20" t="s">
        <v>1373</v>
      </c>
    </row>
    <row r="16" spans="1:12" ht="17.100000000000001" customHeight="1">
      <c r="A16" s="27">
        <v>45932</v>
      </c>
      <c r="B16" s="20" t="s">
        <v>43</v>
      </c>
      <c r="C16" s="21" t="s">
        <v>21</v>
      </c>
      <c r="D16" s="21" t="s">
        <v>1375</v>
      </c>
      <c r="E16" s="21" t="s">
        <v>1342</v>
      </c>
      <c r="F16" s="21" t="s">
        <v>1376</v>
      </c>
      <c r="G16" s="21" t="s">
        <v>23</v>
      </c>
      <c r="H16" s="21" t="s">
        <v>23</v>
      </c>
      <c r="I16" s="21" t="s">
        <v>23</v>
      </c>
      <c r="J16" s="21">
        <v>156</v>
      </c>
      <c r="K16" s="21" t="s">
        <v>988</v>
      </c>
      <c r="L16" s="20" t="s">
        <v>1377</v>
      </c>
    </row>
    <row r="17" spans="1:12" ht="17.100000000000001" customHeight="1">
      <c r="A17" s="27">
        <v>45932</v>
      </c>
      <c r="B17" s="20" t="s">
        <v>20</v>
      </c>
      <c r="C17" s="21" t="s">
        <v>29</v>
      </c>
      <c r="D17" s="21" t="s">
        <v>1374</v>
      </c>
      <c r="E17" s="21" t="s">
        <v>23</v>
      </c>
      <c r="F17" s="21" t="s">
        <v>1310</v>
      </c>
      <c r="G17" s="21" t="s">
        <v>1372</v>
      </c>
      <c r="H17" s="21" t="s">
        <v>23</v>
      </c>
      <c r="I17" s="21" t="s">
        <v>23</v>
      </c>
      <c r="J17" s="21">
        <v>50</v>
      </c>
      <c r="K17" s="21" t="s">
        <v>988</v>
      </c>
      <c r="L17" s="20" t="s">
        <v>1378</v>
      </c>
    </row>
    <row r="18" spans="1:12" ht="17.100000000000001" customHeight="1">
      <c r="A18" s="27">
        <v>45933</v>
      </c>
      <c r="B18" s="20" t="s">
        <v>20</v>
      </c>
      <c r="C18" s="21" t="s">
        <v>21</v>
      </c>
      <c r="D18" s="21" t="s">
        <v>1374</v>
      </c>
      <c r="E18" s="21" t="s">
        <v>23</v>
      </c>
      <c r="F18" s="21" t="s">
        <v>1310</v>
      </c>
      <c r="G18" s="21" t="s">
        <v>1372</v>
      </c>
      <c r="H18" s="21" t="s">
        <v>23</v>
      </c>
      <c r="I18" s="21" t="s">
        <v>23</v>
      </c>
      <c r="J18" s="21">
        <v>286</v>
      </c>
      <c r="K18" s="21" t="s">
        <v>988</v>
      </c>
      <c r="L18" s="20" t="s">
        <v>1378</v>
      </c>
    </row>
    <row r="19" spans="1:12" ht="17.100000000000001" customHeight="1">
      <c r="A19" s="27">
        <v>45936</v>
      </c>
      <c r="B19" s="20" t="s">
        <v>20</v>
      </c>
      <c r="C19" s="21" t="s">
        <v>21</v>
      </c>
      <c r="D19" s="21" t="s">
        <v>1374</v>
      </c>
      <c r="E19" s="21" t="s">
        <v>23</v>
      </c>
      <c r="F19" s="21" t="s">
        <v>1310</v>
      </c>
      <c r="G19" s="21" t="s">
        <v>1372</v>
      </c>
      <c r="H19" s="21" t="s">
        <v>23</v>
      </c>
      <c r="I19" s="21" t="s">
        <v>23</v>
      </c>
      <c r="J19" s="21">
        <v>150</v>
      </c>
      <c r="K19" s="21" t="s">
        <v>988</v>
      </c>
      <c r="L19" s="20" t="s">
        <v>1378</v>
      </c>
    </row>
    <row r="20" spans="1:12" ht="17.100000000000001" customHeight="1">
      <c r="A20" s="27">
        <v>45937</v>
      </c>
      <c r="B20" s="20" t="s">
        <v>20</v>
      </c>
      <c r="C20" s="21" t="s">
        <v>21</v>
      </c>
      <c r="D20" s="21" t="s">
        <v>1374</v>
      </c>
      <c r="E20" s="21" t="s">
        <v>23</v>
      </c>
      <c r="F20" s="21" t="s">
        <v>1310</v>
      </c>
      <c r="G20" s="21" t="s">
        <v>1372</v>
      </c>
      <c r="H20" s="21" t="s">
        <v>23</v>
      </c>
      <c r="I20" s="21" t="s">
        <v>23</v>
      </c>
      <c r="J20" s="21">
        <v>72</v>
      </c>
      <c r="K20" s="21" t="s">
        <v>1156</v>
      </c>
      <c r="L20" s="20" t="s">
        <v>1378</v>
      </c>
    </row>
    <row r="21" spans="1:12" ht="17.100000000000001" customHeight="1">
      <c r="A21" s="27">
        <v>45937</v>
      </c>
      <c r="B21" s="20" t="s">
        <v>20</v>
      </c>
      <c r="C21" s="21" t="s">
        <v>29</v>
      </c>
      <c r="D21" s="21" t="s">
        <v>1374</v>
      </c>
      <c r="E21" s="21" t="s">
        <v>23</v>
      </c>
      <c r="F21" s="21" t="s">
        <v>1310</v>
      </c>
      <c r="G21" s="21" t="s">
        <v>1372</v>
      </c>
      <c r="H21" s="21" t="s">
        <v>23</v>
      </c>
      <c r="I21" s="21" t="s">
        <v>23</v>
      </c>
      <c r="J21" s="21">
        <v>282</v>
      </c>
      <c r="K21" s="21" t="s">
        <v>1156</v>
      </c>
      <c r="L21" s="20" t="s">
        <v>1378</v>
      </c>
    </row>
    <row r="22" spans="1:12" ht="17.100000000000001" customHeight="1">
      <c r="A22" s="27">
        <v>45937</v>
      </c>
      <c r="B22" s="20" t="s">
        <v>43</v>
      </c>
      <c r="C22" s="21" t="s">
        <v>21</v>
      </c>
      <c r="D22" s="21" t="s">
        <v>1379</v>
      </c>
      <c r="E22" s="21" t="s">
        <v>1342</v>
      </c>
      <c r="F22" s="21" t="s">
        <v>1376</v>
      </c>
      <c r="G22" s="21" t="s">
        <v>23</v>
      </c>
      <c r="H22" s="21" t="s">
        <v>23</v>
      </c>
      <c r="I22" s="21" t="s">
        <v>23</v>
      </c>
      <c r="J22" s="21">
        <v>108</v>
      </c>
      <c r="K22" s="21" t="s">
        <v>1187</v>
      </c>
      <c r="L22" s="20" t="s">
        <v>1380</v>
      </c>
    </row>
    <row r="23" spans="1:12" ht="17.100000000000001" customHeight="1">
      <c r="A23" s="27">
        <v>45937</v>
      </c>
      <c r="B23" s="20" t="s">
        <v>43</v>
      </c>
      <c r="C23" s="21" t="s">
        <v>29</v>
      </c>
      <c r="D23" s="21" t="s">
        <v>1382</v>
      </c>
      <c r="E23" s="21" t="s">
        <v>1342</v>
      </c>
      <c r="F23" s="21" t="s">
        <v>1370</v>
      </c>
      <c r="G23" s="21" t="s">
        <v>23</v>
      </c>
      <c r="H23" s="21" t="s">
        <v>23</v>
      </c>
      <c r="I23" s="21" t="s">
        <v>23</v>
      </c>
      <c r="J23" s="21">
        <v>72</v>
      </c>
      <c r="K23" s="21" t="s">
        <v>1156</v>
      </c>
      <c r="L23" s="20" t="s">
        <v>1381</v>
      </c>
    </row>
    <row r="24" spans="1:12" ht="17.100000000000001" customHeight="1">
      <c r="A24" s="27">
        <v>45937</v>
      </c>
      <c r="B24" s="20" t="s">
        <v>43</v>
      </c>
      <c r="C24" s="21" t="s">
        <v>29</v>
      </c>
      <c r="D24" s="21" t="s">
        <v>1382</v>
      </c>
      <c r="E24" s="21" t="s">
        <v>1342</v>
      </c>
      <c r="F24" s="21" t="s">
        <v>1370</v>
      </c>
      <c r="G24" s="21" t="s">
        <v>23</v>
      </c>
      <c r="H24" s="21" t="s">
        <v>23</v>
      </c>
      <c r="I24" s="21" t="s">
        <v>23</v>
      </c>
      <c r="J24" s="21">
        <v>30</v>
      </c>
      <c r="K24" s="21" t="s">
        <v>1156</v>
      </c>
      <c r="L24" s="20" t="s">
        <v>1383</v>
      </c>
    </row>
    <row r="25" spans="1:12" ht="17.100000000000001" customHeight="1">
      <c r="A25" s="27">
        <v>45937</v>
      </c>
      <c r="B25" s="20" t="s">
        <v>116</v>
      </c>
      <c r="C25" s="21" t="s">
        <v>21</v>
      </c>
      <c r="D25" s="21" t="s">
        <v>1375</v>
      </c>
      <c r="E25" s="21" t="s">
        <v>1342</v>
      </c>
      <c r="F25" s="21" t="s">
        <v>1384</v>
      </c>
      <c r="G25" s="21" t="s">
        <v>23</v>
      </c>
      <c r="H25" s="21" t="s">
        <v>23</v>
      </c>
      <c r="I25" s="21" t="s">
        <v>23</v>
      </c>
      <c r="J25" s="21">
        <v>144</v>
      </c>
      <c r="K25" s="21" t="s">
        <v>1156</v>
      </c>
      <c r="L25" s="20" t="s">
        <v>1385</v>
      </c>
    </row>
    <row r="26" spans="1:12" ht="17.100000000000001" customHeight="1">
      <c r="A26" s="27">
        <v>45938</v>
      </c>
      <c r="B26" s="20" t="s">
        <v>20</v>
      </c>
      <c r="C26" s="21" t="s">
        <v>21</v>
      </c>
      <c r="D26" s="21" t="s">
        <v>1386</v>
      </c>
      <c r="E26" s="21" t="s">
        <v>23</v>
      </c>
      <c r="F26" s="21" t="s">
        <v>1310</v>
      </c>
      <c r="G26" s="21" t="s">
        <v>1372</v>
      </c>
      <c r="H26" s="21" t="s">
        <v>23</v>
      </c>
      <c r="I26" s="21" t="s">
        <v>23</v>
      </c>
      <c r="J26" s="21">
        <v>144</v>
      </c>
      <c r="K26" s="21" t="s">
        <v>988</v>
      </c>
      <c r="L26" s="20" t="s">
        <v>1387</v>
      </c>
    </row>
    <row r="27" spans="1:12" ht="17.100000000000001" customHeight="1">
      <c r="A27" s="27">
        <v>45938</v>
      </c>
      <c r="B27" s="20" t="s">
        <v>20</v>
      </c>
      <c r="C27" s="21" t="s">
        <v>29</v>
      </c>
      <c r="D27" s="21" t="s">
        <v>1388</v>
      </c>
      <c r="E27" s="21" t="s">
        <v>23</v>
      </c>
      <c r="F27" s="21" t="s">
        <v>1310</v>
      </c>
      <c r="G27" s="21" t="s">
        <v>1372</v>
      </c>
      <c r="H27" s="21" t="s">
        <v>23</v>
      </c>
      <c r="I27" s="21" t="s">
        <v>23</v>
      </c>
      <c r="J27" s="21">
        <v>208</v>
      </c>
      <c r="K27" s="21" t="s">
        <v>988</v>
      </c>
      <c r="L27" s="20" t="s">
        <v>1389</v>
      </c>
    </row>
    <row r="28" spans="1:12" ht="17.100000000000001" customHeight="1">
      <c r="A28" s="27">
        <v>45938</v>
      </c>
      <c r="B28" s="20" t="s">
        <v>116</v>
      </c>
      <c r="C28" s="21" t="s">
        <v>21</v>
      </c>
      <c r="D28" s="21" t="s">
        <v>1390</v>
      </c>
      <c r="E28" s="21" t="s">
        <v>1342</v>
      </c>
      <c r="F28" s="21" t="s">
        <v>1361</v>
      </c>
      <c r="G28" s="21" t="s">
        <v>23</v>
      </c>
      <c r="H28" s="21" t="s">
        <v>23</v>
      </c>
      <c r="I28" s="21" t="s">
        <v>23</v>
      </c>
      <c r="J28" s="21">
        <v>108</v>
      </c>
      <c r="K28" s="21" t="s">
        <v>1156</v>
      </c>
      <c r="L28" s="20" t="s">
        <v>1391</v>
      </c>
    </row>
    <row r="29" spans="1:12" ht="17.100000000000001" customHeight="1">
      <c r="A29" s="27">
        <v>45938</v>
      </c>
      <c r="B29" s="20" t="s">
        <v>116</v>
      </c>
      <c r="C29" s="21" t="s">
        <v>21</v>
      </c>
      <c r="D29" s="21" t="s">
        <v>1390</v>
      </c>
      <c r="E29" s="21" t="s">
        <v>1342</v>
      </c>
      <c r="F29" s="21" t="s">
        <v>1361</v>
      </c>
      <c r="G29" s="21" t="s">
        <v>23</v>
      </c>
      <c r="H29" s="21" t="s">
        <v>23</v>
      </c>
      <c r="I29" s="21" t="s">
        <v>23</v>
      </c>
      <c r="J29" s="21">
        <v>5</v>
      </c>
      <c r="K29" s="21" t="s">
        <v>1156</v>
      </c>
      <c r="L29" s="20" t="s">
        <v>1392</v>
      </c>
    </row>
    <row r="30" spans="1:12" ht="17.100000000000001" customHeight="1">
      <c r="A30" s="27">
        <v>45938</v>
      </c>
      <c r="B30" s="20" t="s">
        <v>116</v>
      </c>
      <c r="C30" s="21" t="s">
        <v>21</v>
      </c>
      <c r="D30" s="21" t="s">
        <v>1390</v>
      </c>
      <c r="E30" s="21" t="s">
        <v>1342</v>
      </c>
      <c r="F30" s="21" t="s">
        <v>1361</v>
      </c>
      <c r="G30" s="21" t="s">
        <v>23</v>
      </c>
      <c r="H30" s="21" t="s">
        <v>23</v>
      </c>
      <c r="I30" s="21" t="s">
        <v>23</v>
      </c>
      <c r="J30" s="21">
        <v>38</v>
      </c>
      <c r="K30" s="21" t="s">
        <v>1156</v>
      </c>
      <c r="L30" s="20" t="s">
        <v>1393</v>
      </c>
    </row>
    <row r="31" spans="1:12" ht="17.100000000000001" customHeight="1">
      <c r="A31" s="27">
        <v>45939</v>
      </c>
      <c r="B31" s="20" t="s">
        <v>20</v>
      </c>
      <c r="C31" s="21" t="s">
        <v>21</v>
      </c>
      <c r="D31" s="21" t="s">
        <v>1394</v>
      </c>
      <c r="E31" s="21" t="s">
        <v>23</v>
      </c>
      <c r="F31" s="21" t="s">
        <v>1310</v>
      </c>
      <c r="G31" s="21" t="s">
        <v>1372</v>
      </c>
      <c r="H31" s="21" t="s">
        <v>23</v>
      </c>
      <c r="I31" s="21" t="s">
        <v>23</v>
      </c>
      <c r="J31" s="21">
        <v>150</v>
      </c>
      <c r="K31" s="21" t="s">
        <v>988</v>
      </c>
      <c r="L31" s="20" t="s">
        <v>1396</v>
      </c>
    </row>
    <row r="32" spans="1:12" ht="17.100000000000001" customHeight="1">
      <c r="A32" s="27">
        <v>45939</v>
      </c>
      <c r="B32" s="20" t="s">
        <v>20</v>
      </c>
      <c r="C32" s="21" t="s">
        <v>29</v>
      </c>
      <c r="D32" s="21" t="s">
        <v>1395</v>
      </c>
      <c r="E32" s="21" t="s">
        <v>23</v>
      </c>
      <c r="F32" s="21" t="s">
        <v>1310</v>
      </c>
      <c r="G32" s="21" t="s">
        <v>1372</v>
      </c>
      <c r="H32" s="21" t="s">
        <v>23</v>
      </c>
      <c r="I32" s="21" t="s">
        <v>23</v>
      </c>
      <c r="J32" s="21">
        <v>283</v>
      </c>
      <c r="K32" s="21" t="s">
        <v>988</v>
      </c>
      <c r="L32" s="20" t="s">
        <v>1396</v>
      </c>
    </row>
    <row r="33" spans="1:12" ht="17.100000000000001" customHeight="1">
      <c r="A33" s="27">
        <v>45940</v>
      </c>
      <c r="B33" s="20" t="s">
        <v>20</v>
      </c>
      <c r="C33" s="21" t="s">
        <v>21</v>
      </c>
      <c r="D33" s="21" t="s">
        <v>1397</v>
      </c>
      <c r="E33" s="21" t="s">
        <v>23</v>
      </c>
      <c r="F33" s="21" t="s">
        <v>1310</v>
      </c>
      <c r="G33" s="21" t="s">
        <v>1372</v>
      </c>
      <c r="H33" s="21" t="s">
        <v>23</v>
      </c>
      <c r="I33" s="21" t="s">
        <v>23</v>
      </c>
      <c r="J33" s="21">
        <v>286</v>
      </c>
      <c r="K33" s="21" t="s">
        <v>988</v>
      </c>
      <c r="L33" s="20" t="s">
        <v>1396</v>
      </c>
    </row>
    <row r="34" spans="1:12" ht="17.100000000000001" customHeight="1">
      <c r="A34" s="27">
        <v>45940</v>
      </c>
      <c r="B34" s="20" t="s">
        <v>20</v>
      </c>
      <c r="C34" s="21" t="s">
        <v>29</v>
      </c>
      <c r="D34" s="21" t="s">
        <v>1399</v>
      </c>
      <c r="E34" s="21" t="s">
        <v>23</v>
      </c>
      <c r="F34" s="21" t="s">
        <v>1310</v>
      </c>
      <c r="G34" s="21" t="s">
        <v>1372</v>
      </c>
      <c r="H34" s="21" t="s">
        <v>23</v>
      </c>
      <c r="I34" s="21" t="s">
        <v>23</v>
      </c>
      <c r="J34" s="21">
        <v>150</v>
      </c>
      <c r="K34" s="21" t="s">
        <v>1398</v>
      </c>
      <c r="L34" s="20" t="s">
        <v>1396</v>
      </c>
    </row>
    <row r="35" spans="1:12" ht="17.100000000000001" customHeight="1">
      <c r="A35" s="27">
        <v>45943</v>
      </c>
      <c r="B35" s="20" t="s">
        <v>20</v>
      </c>
      <c r="C35" s="21" t="s">
        <v>21</v>
      </c>
      <c r="D35" s="21" t="s">
        <v>1399</v>
      </c>
      <c r="E35" s="21" t="s">
        <v>23</v>
      </c>
      <c r="F35" s="21" t="s">
        <v>1310</v>
      </c>
      <c r="G35" s="21" t="s">
        <v>1372</v>
      </c>
      <c r="H35" s="21" t="s">
        <v>23</v>
      </c>
      <c r="I35" s="21" t="s">
        <v>23</v>
      </c>
      <c r="J35" s="21">
        <v>119</v>
      </c>
      <c r="K35" s="21" t="s">
        <v>988</v>
      </c>
      <c r="L35" s="20" t="s">
        <v>1396</v>
      </c>
    </row>
    <row r="36" spans="1:12" ht="17.100000000000001" customHeight="1">
      <c r="A36" s="27">
        <v>45943</v>
      </c>
      <c r="B36" s="20" t="s">
        <v>20</v>
      </c>
      <c r="C36" s="21" t="s">
        <v>21</v>
      </c>
      <c r="D36" s="21" t="s">
        <v>1400</v>
      </c>
      <c r="E36" s="21" t="s">
        <v>23</v>
      </c>
      <c r="F36" s="21" t="s">
        <v>1310</v>
      </c>
      <c r="G36" s="21" t="s">
        <v>1372</v>
      </c>
      <c r="H36" s="21" t="s">
        <v>23</v>
      </c>
      <c r="I36" s="21" t="s">
        <v>23</v>
      </c>
      <c r="J36" s="21">
        <v>275</v>
      </c>
      <c r="K36" s="21" t="s">
        <v>988</v>
      </c>
      <c r="L36" s="20" t="s">
        <v>1401</v>
      </c>
    </row>
    <row r="37" spans="1:12" ht="17.100000000000001" customHeight="1">
      <c r="A37" s="27">
        <v>45943</v>
      </c>
      <c r="B37" s="20" t="s">
        <v>43</v>
      </c>
      <c r="C37" s="21" t="s">
        <v>21</v>
      </c>
      <c r="D37" s="21" t="s">
        <v>1402</v>
      </c>
      <c r="E37" s="21" t="s">
        <v>1403</v>
      </c>
      <c r="F37" s="21" t="s">
        <v>1404</v>
      </c>
      <c r="G37" s="21" t="s">
        <v>23</v>
      </c>
      <c r="H37" s="21" t="s">
        <v>23</v>
      </c>
      <c r="I37" s="21" t="s">
        <v>23</v>
      </c>
      <c r="J37" s="21">
        <v>52</v>
      </c>
      <c r="K37" s="21" t="s">
        <v>1398</v>
      </c>
      <c r="L37" s="20" t="s">
        <v>1405</v>
      </c>
    </row>
    <row r="38" spans="1:12" ht="17.100000000000001" customHeight="1">
      <c r="A38" s="27">
        <v>45943</v>
      </c>
      <c r="B38" s="20" t="s">
        <v>43</v>
      </c>
      <c r="C38" s="21" t="s">
        <v>21</v>
      </c>
      <c r="D38" s="21" t="s">
        <v>1402</v>
      </c>
      <c r="E38" s="21" t="s">
        <v>1403</v>
      </c>
      <c r="F38" s="21" t="s">
        <v>1404</v>
      </c>
      <c r="G38" s="21" t="s">
        <v>23</v>
      </c>
      <c r="H38" s="21" t="s">
        <v>23</v>
      </c>
      <c r="I38" s="21" t="s">
        <v>23</v>
      </c>
      <c r="J38" s="21">
        <v>6</v>
      </c>
      <c r="K38" s="21" t="s">
        <v>1398</v>
      </c>
      <c r="L38" s="20" t="s">
        <v>1406</v>
      </c>
    </row>
    <row r="39" spans="1:12" ht="17.100000000000001" customHeight="1">
      <c r="A39" s="27">
        <v>45944</v>
      </c>
      <c r="B39" s="20" t="s">
        <v>43</v>
      </c>
      <c r="C39" s="21" t="s">
        <v>21</v>
      </c>
      <c r="D39" s="21" t="s">
        <v>1402</v>
      </c>
      <c r="E39" s="21" t="s">
        <v>1403</v>
      </c>
      <c r="F39" s="21" t="s">
        <v>1404</v>
      </c>
      <c r="G39" s="21" t="s">
        <v>23</v>
      </c>
      <c r="H39" s="21" t="s">
        <v>23</v>
      </c>
      <c r="I39" s="21" t="s">
        <v>23</v>
      </c>
      <c r="J39" s="21">
        <v>88</v>
      </c>
      <c r="K39" s="21" t="s">
        <v>1398</v>
      </c>
      <c r="L39" s="20" t="s">
        <v>1407</v>
      </c>
    </row>
    <row r="40" spans="1:12" ht="17.100000000000001" customHeight="1">
      <c r="A40" s="27">
        <v>45944</v>
      </c>
      <c r="B40" s="20" t="s">
        <v>20</v>
      </c>
      <c r="C40" s="21" t="s">
        <v>21</v>
      </c>
      <c r="D40" s="21" t="s">
        <v>1408</v>
      </c>
      <c r="E40" s="21" t="s">
        <v>23</v>
      </c>
      <c r="F40" s="21" t="s">
        <v>1310</v>
      </c>
      <c r="G40" s="21" t="s">
        <v>1372</v>
      </c>
      <c r="H40" s="21" t="s">
        <v>23</v>
      </c>
      <c r="I40" s="21" t="s">
        <v>23</v>
      </c>
      <c r="J40" s="21">
        <v>286</v>
      </c>
      <c r="K40" s="21" t="s">
        <v>988</v>
      </c>
      <c r="L40" s="20" t="s">
        <v>1401</v>
      </c>
    </row>
    <row r="41" spans="1:12" ht="17.100000000000001" customHeight="1">
      <c r="A41" s="27">
        <v>45944</v>
      </c>
      <c r="B41" s="20" t="s">
        <v>20</v>
      </c>
      <c r="C41" s="21" t="s">
        <v>29</v>
      </c>
      <c r="D41" s="21" t="s">
        <v>1409</v>
      </c>
      <c r="E41" s="21" t="s">
        <v>23</v>
      </c>
      <c r="F41" s="21" t="s">
        <v>1310</v>
      </c>
      <c r="G41" s="21" t="s">
        <v>1372</v>
      </c>
      <c r="H41" s="21" t="s">
        <v>23</v>
      </c>
      <c r="I41" s="21" t="s">
        <v>23</v>
      </c>
      <c r="J41" s="21">
        <v>75</v>
      </c>
      <c r="K41" s="21" t="s">
        <v>988</v>
      </c>
      <c r="L41" s="20" t="s">
        <v>1401</v>
      </c>
    </row>
    <row r="42" spans="1:12" ht="17.100000000000001" customHeight="1">
      <c r="A42" s="27">
        <v>45945</v>
      </c>
      <c r="B42" s="20" t="s">
        <v>20</v>
      </c>
      <c r="C42" s="21" t="s">
        <v>21</v>
      </c>
      <c r="D42" s="21" t="s">
        <v>1409</v>
      </c>
      <c r="E42" s="21" t="s">
        <v>23</v>
      </c>
      <c r="F42" s="21" t="s">
        <v>1310</v>
      </c>
      <c r="G42" s="21" t="s">
        <v>1372</v>
      </c>
      <c r="H42" s="21" t="s">
        <v>23</v>
      </c>
      <c r="I42" s="21" t="s">
        <v>23</v>
      </c>
      <c r="J42" s="21">
        <v>196</v>
      </c>
      <c r="K42" s="21" t="s">
        <v>988</v>
      </c>
      <c r="L42" s="20" t="s">
        <v>1401</v>
      </c>
    </row>
    <row r="43" spans="1:12" ht="17.100000000000001" customHeight="1">
      <c r="A43" s="27">
        <v>45945</v>
      </c>
      <c r="B43" s="20" t="s">
        <v>116</v>
      </c>
      <c r="C43" s="21" t="s">
        <v>21</v>
      </c>
      <c r="D43" s="21" t="s">
        <v>1402</v>
      </c>
      <c r="E43" s="21" t="s">
        <v>1403</v>
      </c>
      <c r="F43" s="21" t="s">
        <v>1410</v>
      </c>
      <c r="G43" s="21" t="s">
        <v>23</v>
      </c>
      <c r="H43" s="21" t="s">
        <v>23</v>
      </c>
      <c r="I43" s="21" t="s">
        <v>23</v>
      </c>
      <c r="J43" s="21">
        <v>36</v>
      </c>
      <c r="K43" s="21" t="s">
        <v>1398</v>
      </c>
      <c r="L43" s="20" t="s">
        <v>1411</v>
      </c>
    </row>
    <row r="44" spans="1:12" ht="17.100000000000001" customHeight="1">
      <c r="A44" s="27">
        <v>45945</v>
      </c>
      <c r="B44" s="20" t="s">
        <v>116</v>
      </c>
      <c r="C44" s="21" t="s">
        <v>21</v>
      </c>
      <c r="D44" s="21" t="s">
        <v>1402</v>
      </c>
      <c r="E44" s="21" t="s">
        <v>1403</v>
      </c>
      <c r="F44" s="21" t="s">
        <v>1410</v>
      </c>
      <c r="G44" s="21" t="s">
        <v>23</v>
      </c>
      <c r="H44" s="21" t="s">
        <v>23</v>
      </c>
      <c r="I44" s="21" t="s">
        <v>23</v>
      </c>
      <c r="J44" s="21">
        <v>52</v>
      </c>
      <c r="K44" s="21" t="s">
        <v>1398</v>
      </c>
      <c r="L44" s="20" t="s">
        <v>1412</v>
      </c>
    </row>
    <row r="45" spans="1:12" ht="17.100000000000001" customHeight="1">
      <c r="A45" s="27">
        <v>45947</v>
      </c>
      <c r="B45" s="20" t="s">
        <v>20</v>
      </c>
      <c r="C45" s="21" t="s">
        <v>21</v>
      </c>
      <c r="D45" s="21" t="s">
        <v>1415</v>
      </c>
      <c r="E45" s="21" t="s">
        <v>23</v>
      </c>
      <c r="F45" s="21" t="s">
        <v>1310</v>
      </c>
      <c r="G45" s="21" t="s">
        <v>1372</v>
      </c>
      <c r="H45" s="21" t="s">
        <v>23</v>
      </c>
      <c r="I45" s="21" t="s">
        <v>23</v>
      </c>
      <c r="J45" s="21">
        <v>50</v>
      </c>
      <c r="K45" s="21" t="s">
        <v>988</v>
      </c>
      <c r="L45" s="20" t="s">
        <v>1413</v>
      </c>
    </row>
    <row r="46" spans="1:12" ht="17.100000000000001" customHeight="1">
      <c r="A46" s="27">
        <v>45947</v>
      </c>
      <c r="B46" s="20" t="s">
        <v>116</v>
      </c>
      <c r="C46" s="21" t="s">
        <v>21</v>
      </c>
      <c r="D46" s="21" t="s">
        <v>1402</v>
      </c>
      <c r="E46" s="21" t="s">
        <v>1403</v>
      </c>
      <c r="F46" s="21" t="s">
        <v>1410</v>
      </c>
      <c r="G46" s="21" t="s">
        <v>23</v>
      </c>
      <c r="H46" s="21" t="s">
        <v>23</v>
      </c>
      <c r="I46" s="21" t="s">
        <v>23</v>
      </c>
      <c r="J46" s="21">
        <v>254</v>
      </c>
      <c r="K46" s="21" t="s">
        <v>1213</v>
      </c>
      <c r="L46" s="20" t="s">
        <v>1412</v>
      </c>
    </row>
    <row r="47" spans="1:12" ht="17.100000000000001" customHeight="1">
      <c r="A47" s="27">
        <v>45947</v>
      </c>
      <c r="B47" s="20" t="s">
        <v>43</v>
      </c>
      <c r="C47" s="21" t="s">
        <v>21</v>
      </c>
      <c r="D47" s="21" t="s">
        <v>1418</v>
      </c>
      <c r="E47" s="21" t="s">
        <v>1403</v>
      </c>
      <c r="F47" s="21" t="s">
        <v>1419</v>
      </c>
      <c r="G47" s="21" t="s">
        <v>23</v>
      </c>
      <c r="H47" s="21" t="s">
        <v>23</v>
      </c>
      <c r="I47" s="21" t="s">
        <v>23</v>
      </c>
      <c r="J47" s="21">
        <v>50</v>
      </c>
      <c r="K47" s="21" t="s">
        <v>1213</v>
      </c>
      <c r="L47" s="20" t="s">
        <v>1414</v>
      </c>
    </row>
    <row r="48" spans="1:12" ht="17.100000000000001" customHeight="1">
      <c r="A48" s="27">
        <v>45947</v>
      </c>
      <c r="B48" s="20" t="s">
        <v>20</v>
      </c>
      <c r="C48" s="21" t="s">
        <v>21</v>
      </c>
      <c r="D48" s="21" t="s">
        <v>1415</v>
      </c>
      <c r="E48" s="21" t="s">
        <v>23</v>
      </c>
      <c r="F48" s="21" t="s">
        <v>1310</v>
      </c>
      <c r="G48" s="21" t="s">
        <v>1372</v>
      </c>
      <c r="H48" s="21" t="s">
        <v>23</v>
      </c>
      <c r="I48" s="21" t="s">
        <v>23</v>
      </c>
      <c r="J48" s="21">
        <v>182</v>
      </c>
      <c r="K48" s="21" t="s">
        <v>988</v>
      </c>
      <c r="L48" s="20" t="s">
        <v>1416</v>
      </c>
    </row>
    <row r="49" spans="1:14" ht="17.100000000000001" customHeight="1">
      <c r="A49" s="27">
        <v>45951</v>
      </c>
      <c r="B49" s="20" t="s">
        <v>20</v>
      </c>
      <c r="C49" s="21" t="s">
        <v>21</v>
      </c>
      <c r="D49" s="21" t="s">
        <v>1417</v>
      </c>
      <c r="E49" s="21" t="s">
        <v>23</v>
      </c>
      <c r="F49" s="21" t="s">
        <v>1310</v>
      </c>
      <c r="G49" s="21" t="s">
        <v>1372</v>
      </c>
      <c r="H49" s="21" t="s">
        <v>23</v>
      </c>
      <c r="I49" s="21" t="s">
        <v>23</v>
      </c>
      <c r="J49" s="21">
        <v>286</v>
      </c>
      <c r="K49" s="21" t="s">
        <v>988</v>
      </c>
      <c r="L49" s="20" t="s">
        <v>1416</v>
      </c>
    </row>
    <row r="50" spans="1:14" ht="17.100000000000001" customHeight="1">
      <c r="A50" s="27">
        <v>45951</v>
      </c>
      <c r="B50" s="20" t="s">
        <v>20</v>
      </c>
      <c r="C50" s="21" t="s">
        <v>29</v>
      </c>
      <c r="D50" s="21" t="s">
        <v>1428</v>
      </c>
      <c r="E50" s="21" t="s">
        <v>23</v>
      </c>
      <c r="F50" s="21" t="s">
        <v>1310</v>
      </c>
      <c r="G50" s="21" t="s">
        <v>1372</v>
      </c>
      <c r="H50" s="21" t="s">
        <v>23</v>
      </c>
      <c r="I50" s="21" t="s">
        <v>23</v>
      </c>
      <c r="J50" s="21">
        <v>286</v>
      </c>
      <c r="K50" s="21" t="s">
        <v>988</v>
      </c>
      <c r="L50" s="20" t="s">
        <v>1416</v>
      </c>
    </row>
    <row r="51" spans="1:14" ht="17.100000000000001" customHeight="1">
      <c r="A51" s="27">
        <v>45951</v>
      </c>
      <c r="B51" s="20" t="s">
        <v>43</v>
      </c>
      <c r="C51" s="21" t="s">
        <v>21</v>
      </c>
      <c r="D51" s="21" t="s">
        <v>1418</v>
      </c>
      <c r="E51" s="21" t="s">
        <v>1403</v>
      </c>
      <c r="F51" s="21" t="s">
        <v>1419</v>
      </c>
      <c r="G51" s="21" t="s">
        <v>23</v>
      </c>
      <c r="H51" s="21" t="s">
        <v>23</v>
      </c>
      <c r="I51" s="21" t="s">
        <v>23</v>
      </c>
      <c r="J51" s="21">
        <v>106</v>
      </c>
      <c r="K51" s="21" t="s">
        <v>1420</v>
      </c>
      <c r="L51" s="20" t="s">
        <v>1413</v>
      </c>
    </row>
    <row r="52" spans="1:14" ht="17.100000000000001" customHeight="1">
      <c r="A52" s="27">
        <v>45951</v>
      </c>
      <c r="B52" s="20" t="s">
        <v>55</v>
      </c>
      <c r="C52" s="21" t="s">
        <v>21</v>
      </c>
      <c r="D52" s="21" t="s">
        <v>1421</v>
      </c>
      <c r="E52" s="21" t="s">
        <v>1403</v>
      </c>
      <c r="F52" s="21" t="s">
        <v>1422</v>
      </c>
      <c r="G52" s="21" t="s">
        <v>23</v>
      </c>
      <c r="H52" s="21" t="s">
        <v>23</v>
      </c>
      <c r="I52" s="21" t="s">
        <v>23</v>
      </c>
      <c r="J52" s="21">
        <v>72</v>
      </c>
      <c r="K52" s="21" t="s">
        <v>1420</v>
      </c>
      <c r="L52" s="20" t="s">
        <v>1423</v>
      </c>
    </row>
    <row r="53" spans="1:14" ht="17.100000000000001" customHeight="1">
      <c r="A53" s="27">
        <v>45951</v>
      </c>
      <c r="B53" s="20" t="s">
        <v>1425</v>
      </c>
      <c r="C53" s="21" t="s">
        <v>21</v>
      </c>
      <c r="D53" s="21" t="s">
        <v>1421</v>
      </c>
      <c r="E53" s="21" t="s">
        <v>1403</v>
      </c>
      <c r="F53" s="21" t="s">
        <v>1422</v>
      </c>
      <c r="G53" s="21" t="s">
        <v>23</v>
      </c>
      <c r="H53" s="21" t="s">
        <v>23</v>
      </c>
      <c r="I53" s="21" t="s">
        <v>23</v>
      </c>
      <c r="J53" s="21">
        <v>36</v>
      </c>
      <c r="K53" s="21" t="s">
        <v>1420</v>
      </c>
      <c r="L53" s="20" t="s">
        <v>1424</v>
      </c>
    </row>
    <row r="54" spans="1:14" ht="17.100000000000001" customHeight="1">
      <c r="A54" s="22" t="s">
        <v>1426</v>
      </c>
      <c r="B54" s="20" t="s">
        <v>1425</v>
      </c>
      <c r="C54" s="21" t="s">
        <v>21</v>
      </c>
      <c r="D54" s="21" t="s">
        <v>1421</v>
      </c>
      <c r="E54" s="21" t="s">
        <v>1403</v>
      </c>
      <c r="F54" s="21" t="s">
        <v>1422</v>
      </c>
      <c r="G54" s="21" t="s">
        <v>23</v>
      </c>
      <c r="H54" s="21" t="s">
        <v>23</v>
      </c>
      <c r="I54" s="21" t="s">
        <v>23</v>
      </c>
      <c r="J54" s="21">
        <v>5</v>
      </c>
      <c r="K54" s="21" t="s">
        <v>1213</v>
      </c>
      <c r="L54" s="20" t="s">
        <v>1427</v>
      </c>
    </row>
    <row r="55" spans="1:14" ht="17.100000000000001" customHeight="1">
      <c r="A55" s="22" t="s">
        <v>1426</v>
      </c>
      <c r="B55" s="20" t="s">
        <v>20</v>
      </c>
      <c r="C55" s="21" t="s">
        <v>21</v>
      </c>
      <c r="D55" s="21" t="s">
        <v>1429</v>
      </c>
      <c r="E55" s="21" t="s">
        <v>23</v>
      </c>
      <c r="F55" s="21" t="s">
        <v>1310</v>
      </c>
      <c r="G55" s="21" t="s">
        <v>1372</v>
      </c>
      <c r="H55" s="21" t="s">
        <v>23</v>
      </c>
      <c r="I55" s="21" t="s">
        <v>23</v>
      </c>
      <c r="J55" s="21">
        <v>286</v>
      </c>
      <c r="K55" s="21" t="s">
        <v>988</v>
      </c>
      <c r="L55" s="20" t="s">
        <v>1416</v>
      </c>
    </row>
    <row r="56" spans="1:14" ht="17.100000000000001" customHeight="1">
      <c r="A56" s="22" t="s">
        <v>1426</v>
      </c>
      <c r="B56" s="20" t="s">
        <v>20</v>
      </c>
      <c r="C56" s="21" t="s">
        <v>29</v>
      </c>
      <c r="D56" s="21" t="s">
        <v>1430</v>
      </c>
      <c r="E56" s="21" t="s">
        <v>23</v>
      </c>
      <c r="F56" s="21" t="s">
        <v>1310</v>
      </c>
      <c r="G56" s="21" t="s">
        <v>1372</v>
      </c>
      <c r="H56" s="21" t="s">
        <v>23</v>
      </c>
      <c r="I56" s="21" t="s">
        <v>23</v>
      </c>
      <c r="J56" s="21">
        <v>144</v>
      </c>
      <c r="K56" s="21" t="s">
        <v>988</v>
      </c>
      <c r="L56" s="20" t="s">
        <v>1431</v>
      </c>
    </row>
    <row r="57" spans="1:14" ht="17.100000000000001" customHeight="1">
      <c r="A57" s="22" t="s">
        <v>1426</v>
      </c>
      <c r="B57" s="20" t="s">
        <v>43</v>
      </c>
      <c r="C57" s="21" t="s">
        <v>21</v>
      </c>
      <c r="D57" s="21" t="s">
        <v>1421</v>
      </c>
      <c r="E57" s="21" t="s">
        <v>1432</v>
      </c>
      <c r="F57" s="21" t="s">
        <v>1433</v>
      </c>
      <c r="G57" s="21" t="s">
        <v>23</v>
      </c>
      <c r="H57" s="21" t="s">
        <v>23</v>
      </c>
      <c r="I57" s="21" t="s">
        <v>23</v>
      </c>
      <c r="J57" s="21">
        <v>52</v>
      </c>
      <c r="K57" s="21" t="s">
        <v>1213</v>
      </c>
      <c r="L57" s="20" t="s">
        <v>1434</v>
      </c>
    </row>
    <row r="58" spans="1:14" ht="17.100000000000001" customHeight="1">
      <c r="A58" s="22" t="s">
        <v>1426</v>
      </c>
      <c r="B58" s="20" t="s">
        <v>43</v>
      </c>
      <c r="C58" s="21" t="s">
        <v>21</v>
      </c>
      <c r="D58" s="21" t="s">
        <v>1421</v>
      </c>
      <c r="E58" s="21" t="s">
        <v>1432</v>
      </c>
      <c r="F58" s="21" t="s">
        <v>1433</v>
      </c>
      <c r="G58" s="21" t="s">
        <v>23</v>
      </c>
      <c r="H58" s="21" t="s">
        <v>23</v>
      </c>
      <c r="I58" s="21" t="s">
        <v>23</v>
      </c>
      <c r="J58" s="21">
        <v>71</v>
      </c>
      <c r="K58" s="21" t="s">
        <v>1213</v>
      </c>
      <c r="L58" s="20" t="s">
        <v>1435</v>
      </c>
    </row>
    <row r="59" spans="1:14" ht="17.100000000000001" customHeight="1">
      <c r="A59" s="27">
        <v>45953</v>
      </c>
      <c r="B59" s="20" t="s">
        <v>20</v>
      </c>
      <c r="C59" s="21" t="s">
        <v>21</v>
      </c>
      <c r="D59" s="21" t="s">
        <v>1436</v>
      </c>
      <c r="E59" s="21" t="s">
        <v>23</v>
      </c>
      <c r="F59" s="21" t="s">
        <v>1310</v>
      </c>
      <c r="G59" s="21" t="s">
        <v>1372</v>
      </c>
      <c r="H59" s="21" t="s">
        <v>23</v>
      </c>
      <c r="I59" s="21" t="s">
        <v>23</v>
      </c>
      <c r="J59" s="21">
        <v>104</v>
      </c>
      <c r="K59" s="21" t="s">
        <v>988</v>
      </c>
      <c r="L59" s="20" t="s">
        <v>1437</v>
      </c>
    </row>
    <row r="60" spans="1:14" ht="17.100000000000001" customHeight="1" thickBot="1">
      <c r="A60" s="27">
        <v>45953</v>
      </c>
      <c r="B60" s="20" t="s">
        <v>20</v>
      </c>
      <c r="C60" s="21" t="s">
        <v>21</v>
      </c>
      <c r="D60" s="21" t="s">
        <v>1436</v>
      </c>
      <c r="E60" s="21" t="s">
        <v>23</v>
      </c>
      <c r="F60" s="21" t="s">
        <v>1310</v>
      </c>
      <c r="G60" s="21" t="s">
        <v>1372</v>
      </c>
      <c r="H60" s="21" t="s">
        <v>23</v>
      </c>
      <c r="I60" s="21" t="s">
        <v>23</v>
      </c>
      <c r="J60" s="21">
        <v>50</v>
      </c>
      <c r="K60" s="21" t="s">
        <v>988</v>
      </c>
      <c r="L60" s="24" t="s">
        <v>1438</v>
      </c>
    </row>
    <row r="61" spans="1:14">
      <c r="A61" s="27">
        <v>45953</v>
      </c>
      <c r="B61" s="20" t="s">
        <v>20</v>
      </c>
      <c r="C61" s="21" t="s">
        <v>21</v>
      </c>
      <c r="D61" s="21" t="s">
        <v>1436</v>
      </c>
      <c r="E61" s="21" t="s">
        <v>23</v>
      </c>
      <c r="F61" s="21" t="s">
        <v>1310</v>
      </c>
      <c r="G61" s="21" t="s">
        <v>1372</v>
      </c>
      <c r="H61" s="21" t="s">
        <v>23</v>
      </c>
      <c r="I61" s="21" t="s">
        <v>23</v>
      </c>
      <c r="J61" s="21">
        <v>108</v>
      </c>
      <c r="K61" s="21" t="s">
        <v>988</v>
      </c>
      <c r="L61" s="20" t="s">
        <v>1439</v>
      </c>
      <c r="M61" s="18"/>
      <c r="N61" s="17"/>
    </row>
    <row r="62" spans="1:14">
      <c r="A62" s="27">
        <v>45953</v>
      </c>
      <c r="B62" s="20" t="s">
        <v>20</v>
      </c>
      <c r="C62" s="21" t="s">
        <v>29</v>
      </c>
      <c r="D62" s="21" t="s">
        <v>1441</v>
      </c>
      <c r="E62" s="21" t="s">
        <v>23</v>
      </c>
      <c r="F62" s="21" t="s">
        <v>1310</v>
      </c>
      <c r="G62" s="21" t="s">
        <v>1372</v>
      </c>
      <c r="H62" s="21" t="s">
        <v>23</v>
      </c>
      <c r="I62" s="21" t="s">
        <v>23</v>
      </c>
      <c r="J62" s="21">
        <v>104</v>
      </c>
      <c r="K62" s="21" t="s">
        <v>988</v>
      </c>
      <c r="L62" s="20" t="s">
        <v>1440</v>
      </c>
    </row>
    <row r="63" spans="1:14">
      <c r="A63" s="27">
        <v>45953</v>
      </c>
      <c r="B63" s="20" t="s">
        <v>55</v>
      </c>
      <c r="C63" s="21" t="s">
        <v>21</v>
      </c>
      <c r="D63" s="21" t="s">
        <v>1442</v>
      </c>
      <c r="E63" s="21" t="s">
        <v>1432</v>
      </c>
      <c r="F63" s="21" t="s">
        <v>1422</v>
      </c>
      <c r="G63" s="21" t="s">
        <v>23</v>
      </c>
      <c r="H63" s="21" t="s">
        <v>23</v>
      </c>
      <c r="I63" s="21" t="s">
        <v>23</v>
      </c>
      <c r="J63" s="21">
        <v>36</v>
      </c>
      <c r="K63" s="21" t="s">
        <v>1201</v>
      </c>
      <c r="L63" s="20" t="s">
        <v>1443</v>
      </c>
    </row>
    <row r="64" spans="1:14">
      <c r="A64" s="27">
        <v>45953</v>
      </c>
      <c r="B64" s="20" t="s">
        <v>43</v>
      </c>
      <c r="C64" s="21" t="s">
        <v>21</v>
      </c>
      <c r="D64" s="21" t="s">
        <v>1421</v>
      </c>
      <c r="E64" s="21" t="s">
        <v>1432</v>
      </c>
      <c r="F64" s="21" t="s">
        <v>1433</v>
      </c>
      <c r="G64" s="21" t="s">
        <v>23</v>
      </c>
      <c r="H64" s="21" t="s">
        <v>23</v>
      </c>
      <c r="I64" s="21" t="s">
        <v>23</v>
      </c>
      <c r="J64" s="21">
        <v>189</v>
      </c>
      <c r="K64" s="21" t="s">
        <v>1201</v>
      </c>
      <c r="L64" s="20" t="s">
        <v>1435</v>
      </c>
    </row>
    <row r="65" spans="1:12">
      <c r="A65" s="27">
        <v>45953</v>
      </c>
      <c r="B65" s="20" t="s">
        <v>43</v>
      </c>
      <c r="C65" s="21" t="s">
        <v>29</v>
      </c>
      <c r="D65" s="21" t="s">
        <v>1421</v>
      </c>
      <c r="E65" s="21" t="s">
        <v>1432</v>
      </c>
      <c r="F65" s="21" t="s">
        <v>1433</v>
      </c>
      <c r="G65" s="21" t="s">
        <v>23</v>
      </c>
      <c r="H65" s="21" t="s">
        <v>23</v>
      </c>
      <c r="I65" s="21" t="s">
        <v>23</v>
      </c>
      <c r="J65" s="21">
        <v>35</v>
      </c>
      <c r="K65" s="21" t="s">
        <v>1201</v>
      </c>
      <c r="L65" s="20" t="s">
        <v>1444</v>
      </c>
    </row>
    <row r="66" spans="1:12">
      <c r="A66" s="27">
        <v>45954</v>
      </c>
      <c r="B66" s="20" t="s">
        <v>20</v>
      </c>
      <c r="C66" s="21" t="s">
        <v>21</v>
      </c>
      <c r="D66" s="21" t="s">
        <v>1445</v>
      </c>
      <c r="E66" s="21" t="s">
        <v>23</v>
      </c>
      <c r="F66" s="21" t="s">
        <v>1310</v>
      </c>
      <c r="G66" s="21" t="s">
        <v>1372</v>
      </c>
      <c r="H66" s="21" t="s">
        <v>23</v>
      </c>
      <c r="I66" s="21" t="s">
        <v>23</v>
      </c>
      <c r="J66" s="21">
        <v>144</v>
      </c>
      <c r="K66" s="21" t="s">
        <v>988</v>
      </c>
      <c r="L66" s="20" t="s">
        <v>1446</v>
      </c>
    </row>
    <row r="67" spans="1:12">
      <c r="A67" s="27">
        <v>45954</v>
      </c>
      <c r="B67" s="20" t="s">
        <v>20</v>
      </c>
      <c r="C67" s="21" t="s">
        <v>21</v>
      </c>
      <c r="D67" s="21" t="s">
        <v>1445</v>
      </c>
      <c r="E67" s="21" t="s">
        <v>23</v>
      </c>
      <c r="F67" s="21" t="s">
        <v>1310</v>
      </c>
      <c r="G67" s="21" t="s">
        <v>1372</v>
      </c>
      <c r="H67" s="21" t="s">
        <v>23</v>
      </c>
      <c r="I67" s="21" t="s">
        <v>23</v>
      </c>
      <c r="J67" s="21">
        <v>104</v>
      </c>
      <c r="K67" s="21" t="s">
        <v>988</v>
      </c>
      <c r="L67" s="20" t="s">
        <v>1447</v>
      </c>
    </row>
    <row r="68" spans="1:12">
      <c r="A68" s="27">
        <v>45957</v>
      </c>
      <c r="B68" s="20" t="s">
        <v>20</v>
      </c>
      <c r="C68" s="21" t="s">
        <v>21</v>
      </c>
      <c r="D68" s="21" t="s">
        <v>1286</v>
      </c>
      <c r="E68" s="21" t="s">
        <v>23</v>
      </c>
      <c r="F68" s="21" t="s">
        <v>1310</v>
      </c>
      <c r="G68" s="21" t="s">
        <v>1372</v>
      </c>
      <c r="H68" s="21" t="s">
        <v>23</v>
      </c>
      <c r="I68" s="21" t="s">
        <v>23</v>
      </c>
      <c r="J68" s="21">
        <v>208</v>
      </c>
      <c r="K68" s="21" t="s">
        <v>988</v>
      </c>
      <c r="L68" s="20" t="s">
        <v>1448</v>
      </c>
    </row>
    <row r="69" spans="1:12">
      <c r="A69" s="27">
        <v>45958</v>
      </c>
      <c r="B69" s="20" t="s">
        <v>43</v>
      </c>
      <c r="C69" s="21" t="s">
        <v>21</v>
      </c>
      <c r="D69" s="21" t="s">
        <v>1452</v>
      </c>
      <c r="E69" s="21" t="s">
        <v>1432</v>
      </c>
      <c r="F69" s="21" t="s">
        <v>1451</v>
      </c>
      <c r="G69" s="21" t="s">
        <v>23</v>
      </c>
      <c r="H69" s="21" t="s">
        <v>23</v>
      </c>
      <c r="I69" s="21" t="s">
        <v>23</v>
      </c>
      <c r="J69" s="21">
        <v>173</v>
      </c>
      <c r="K69" s="21" t="s">
        <v>1201</v>
      </c>
      <c r="L69" s="20" t="s">
        <v>1444</v>
      </c>
    </row>
    <row r="70" spans="1:12">
      <c r="A70" s="27">
        <v>45958</v>
      </c>
      <c r="B70" s="20" t="s">
        <v>43</v>
      </c>
      <c r="C70" s="21" t="s">
        <v>21</v>
      </c>
      <c r="D70" s="21" t="s">
        <v>1452</v>
      </c>
      <c r="E70" s="21" t="s">
        <v>1432</v>
      </c>
      <c r="F70" s="21" t="s">
        <v>1450</v>
      </c>
      <c r="G70" s="21" t="s">
        <v>23</v>
      </c>
      <c r="H70" s="21" t="s">
        <v>23</v>
      </c>
      <c r="I70" s="21" t="s">
        <v>23</v>
      </c>
      <c r="J70" s="21">
        <v>72</v>
      </c>
      <c r="K70" s="21" t="s">
        <v>1201</v>
      </c>
      <c r="L70" s="20" t="s">
        <v>1449</v>
      </c>
    </row>
    <row r="71" spans="1:12">
      <c r="A71" s="27">
        <v>45958</v>
      </c>
      <c r="B71" s="20" t="s">
        <v>43</v>
      </c>
      <c r="C71" s="21" t="s">
        <v>29</v>
      </c>
      <c r="D71" s="21" t="s">
        <v>1457</v>
      </c>
      <c r="E71" s="21" t="s">
        <v>1432</v>
      </c>
      <c r="F71" s="21" t="s">
        <v>1458</v>
      </c>
      <c r="G71" s="21" t="s">
        <v>23</v>
      </c>
      <c r="H71" s="21" t="s">
        <v>23</v>
      </c>
      <c r="I71" s="21" t="s">
        <v>23</v>
      </c>
      <c r="J71" s="21">
        <v>260</v>
      </c>
      <c r="K71" s="21" t="s">
        <v>1187</v>
      </c>
      <c r="L71" s="20" t="s">
        <v>1453</v>
      </c>
    </row>
    <row r="72" spans="1:12">
      <c r="A72" s="27">
        <v>45958</v>
      </c>
      <c r="B72" s="20" t="s">
        <v>43</v>
      </c>
      <c r="C72" s="21" t="s">
        <v>33</v>
      </c>
      <c r="D72" s="21" t="s">
        <v>1456</v>
      </c>
      <c r="E72" s="21" t="s">
        <v>1432</v>
      </c>
      <c r="F72" s="21" t="s">
        <v>1433</v>
      </c>
      <c r="G72" s="21" t="s">
        <v>23</v>
      </c>
      <c r="H72" s="21" t="s">
        <v>23</v>
      </c>
      <c r="I72" s="21" t="s">
        <v>23</v>
      </c>
      <c r="J72" s="21">
        <v>61</v>
      </c>
      <c r="K72" s="21" t="s">
        <v>1187</v>
      </c>
      <c r="L72" s="20" t="s">
        <v>1454</v>
      </c>
    </row>
    <row r="73" spans="1:12">
      <c r="A73" s="27">
        <v>45958</v>
      </c>
      <c r="B73" s="20" t="s">
        <v>43</v>
      </c>
      <c r="C73" s="21" t="s">
        <v>33</v>
      </c>
      <c r="D73" s="21" t="s">
        <v>1456</v>
      </c>
      <c r="E73" s="21" t="s">
        <v>1432</v>
      </c>
      <c r="F73" s="21" t="s">
        <v>1433</v>
      </c>
      <c r="G73" s="21" t="s">
        <v>23</v>
      </c>
      <c r="H73" s="21" t="s">
        <v>23</v>
      </c>
      <c r="I73" s="21" t="s">
        <v>23</v>
      </c>
      <c r="J73" s="21">
        <v>72</v>
      </c>
      <c r="K73" s="21" t="s">
        <v>1187</v>
      </c>
      <c r="L73" s="20" t="s">
        <v>1455</v>
      </c>
    </row>
    <row r="74" spans="1:12">
      <c r="A74" s="27">
        <v>45959</v>
      </c>
      <c r="B74" s="20" t="s">
        <v>43</v>
      </c>
      <c r="C74" s="21" t="s">
        <v>21</v>
      </c>
      <c r="D74" s="21" t="s">
        <v>1456</v>
      </c>
      <c r="E74" s="21" t="s">
        <v>1432</v>
      </c>
      <c r="F74" s="21" t="s">
        <v>1433</v>
      </c>
      <c r="G74" s="21" t="s">
        <v>23</v>
      </c>
      <c r="H74" s="21" t="s">
        <v>23</v>
      </c>
      <c r="I74" s="21" t="s">
        <v>23</v>
      </c>
      <c r="J74" s="21">
        <v>104</v>
      </c>
      <c r="K74" s="21" t="s">
        <v>1187</v>
      </c>
      <c r="L74" s="20" t="s">
        <v>1459</v>
      </c>
    </row>
    <row r="75" spans="1:12">
      <c r="A75" s="27">
        <v>45959</v>
      </c>
      <c r="B75" s="20" t="s">
        <v>43</v>
      </c>
      <c r="C75" s="21" t="s">
        <v>21</v>
      </c>
      <c r="D75" s="21" t="s">
        <v>1456</v>
      </c>
      <c r="E75" s="21" t="s">
        <v>1432</v>
      </c>
      <c r="F75" s="21" t="s">
        <v>1433</v>
      </c>
      <c r="G75" s="21" t="s">
        <v>23</v>
      </c>
      <c r="H75" s="21" t="s">
        <v>23</v>
      </c>
      <c r="I75" s="21" t="s">
        <v>23</v>
      </c>
      <c r="J75" s="21">
        <v>52</v>
      </c>
      <c r="K75" s="21" t="s">
        <v>1187</v>
      </c>
      <c r="L75" s="20" t="s">
        <v>1460</v>
      </c>
    </row>
    <row r="76" spans="1:12">
      <c r="A76" s="27">
        <v>45959</v>
      </c>
      <c r="B76" s="20" t="s">
        <v>43</v>
      </c>
      <c r="C76" s="21" t="s">
        <v>21</v>
      </c>
      <c r="D76" s="21" t="s">
        <v>1456</v>
      </c>
      <c r="E76" s="21" t="s">
        <v>1432</v>
      </c>
      <c r="F76" s="21" t="s">
        <v>1433</v>
      </c>
      <c r="G76" s="21" t="s">
        <v>23</v>
      </c>
      <c r="H76" s="21" t="s">
        <v>23</v>
      </c>
      <c r="I76" s="21" t="s">
        <v>23</v>
      </c>
      <c r="J76" s="21">
        <v>36</v>
      </c>
      <c r="K76" s="21" t="s">
        <v>1187</v>
      </c>
      <c r="L76" s="20" t="s">
        <v>1461</v>
      </c>
    </row>
    <row r="77" spans="1:12">
      <c r="A77" s="27">
        <v>45959</v>
      </c>
      <c r="B77" s="20" t="s">
        <v>43</v>
      </c>
      <c r="C77" s="21" t="s">
        <v>29</v>
      </c>
      <c r="D77" s="21" t="s">
        <v>1462</v>
      </c>
      <c r="E77" s="21" t="s">
        <v>1403</v>
      </c>
      <c r="F77" s="21" t="s">
        <v>1463</v>
      </c>
      <c r="G77" s="21" t="s">
        <v>23</v>
      </c>
      <c r="H77" s="21" t="s">
        <v>23</v>
      </c>
      <c r="I77" s="21" t="s">
        <v>23</v>
      </c>
      <c r="J77" s="21">
        <v>156</v>
      </c>
      <c r="K77" s="21" t="s">
        <v>1465</v>
      </c>
      <c r="L77" s="20" t="s">
        <v>1464</v>
      </c>
    </row>
    <row r="78" spans="1:12">
      <c r="A78" s="27">
        <v>45959</v>
      </c>
      <c r="B78" s="20" t="s">
        <v>110</v>
      </c>
      <c r="C78" s="21" t="s">
        <v>21</v>
      </c>
      <c r="D78" s="21" t="s">
        <v>1467</v>
      </c>
      <c r="E78" s="21" t="s">
        <v>1403</v>
      </c>
      <c r="F78" s="21" t="s">
        <v>1463</v>
      </c>
      <c r="G78" s="21" t="s">
        <v>23</v>
      </c>
      <c r="H78" s="21" t="s">
        <v>23</v>
      </c>
      <c r="I78" s="21" t="s">
        <v>23</v>
      </c>
      <c r="J78" s="21">
        <v>7</v>
      </c>
      <c r="K78" s="21" t="s">
        <v>1465</v>
      </c>
      <c r="L78" s="20" t="s">
        <v>1466</v>
      </c>
    </row>
    <row r="79" spans="1:12">
      <c r="A79" s="22"/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0"/>
    </row>
    <row r="80" spans="1:12">
      <c r="A80" s="22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0"/>
    </row>
    <row r="81" spans="1:12">
      <c r="A81" s="22"/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0"/>
    </row>
    <row r="82" spans="1:12">
      <c r="A82" s="22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0"/>
    </row>
    <row r="83" spans="1:12">
      <c r="A83" s="22"/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0"/>
    </row>
    <row r="84" spans="1:12">
      <c r="A84" s="22"/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0"/>
    </row>
    <row r="85" spans="1:12">
      <c r="A85" s="22"/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0"/>
    </row>
    <row r="86" spans="1:12">
      <c r="A86" s="19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0"/>
    </row>
    <row r="87" spans="1:12">
      <c r="A87" s="22"/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0"/>
    </row>
    <row r="88" spans="1:12">
      <c r="A88" s="22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0"/>
    </row>
    <row r="89" spans="1:12">
      <c r="A89" s="22"/>
      <c r="B89" s="20"/>
      <c r="C89" s="21"/>
      <c r="D89" s="21"/>
      <c r="E89" s="21"/>
      <c r="F89" s="21"/>
      <c r="G89" s="21"/>
      <c r="H89" s="21"/>
      <c r="I89" s="21"/>
      <c r="J89" s="21"/>
      <c r="K89" s="21"/>
      <c r="L89" s="20"/>
    </row>
    <row r="90" spans="1:12">
      <c r="A90" s="22"/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0"/>
    </row>
    <row r="91" spans="1:12">
      <c r="A91" s="22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0"/>
    </row>
    <row r="92" spans="1:12">
      <c r="A92" s="22"/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0"/>
    </row>
    <row r="93" spans="1:12">
      <c r="A93" s="22"/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0"/>
    </row>
    <row r="94" spans="1:12">
      <c r="A94" s="22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0"/>
    </row>
    <row r="95" spans="1:12">
      <c r="A95" s="22"/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0"/>
    </row>
    <row r="96" spans="1:12">
      <c r="A96" s="22"/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0"/>
    </row>
    <row r="97" spans="1:12">
      <c r="A97" s="22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0"/>
    </row>
    <row r="98" spans="1:12">
      <c r="A98" s="22"/>
      <c r="B98" s="20"/>
      <c r="C98" s="21"/>
      <c r="D98" s="21"/>
      <c r="E98" s="21"/>
      <c r="F98" s="21"/>
      <c r="G98" s="21"/>
      <c r="H98" s="21"/>
      <c r="I98" s="21"/>
      <c r="J98" s="21"/>
      <c r="K98" s="21"/>
      <c r="L98" s="20"/>
    </row>
    <row r="99" spans="1:12">
      <c r="A99" s="22"/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0"/>
    </row>
    <row r="100" spans="1:12">
      <c r="A100" s="22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0"/>
    </row>
    <row r="101" spans="1:12">
      <c r="A101" s="22"/>
      <c r="B101" s="20"/>
      <c r="C101" s="21"/>
      <c r="D101" s="21"/>
      <c r="E101" s="21"/>
      <c r="F101" s="21"/>
      <c r="G101" s="21"/>
      <c r="H101" s="21"/>
      <c r="I101" s="21"/>
      <c r="J101" s="21"/>
      <c r="K101" s="21"/>
      <c r="L101" s="20"/>
    </row>
    <row r="102" spans="1:12">
      <c r="A102" s="22"/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0"/>
    </row>
    <row r="103" spans="1:12">
      <c r="A103" s="22"/>
      <c r="B103" s="20"/>
      <c r="C103" s="21"/>
      <c r="D103" s="21"/>
      <c r="E103" s="21"/>
      <c r="F103" s="21"/>
      <c r="G103" s="21"/>
      <c r="H103" s="21"/>
      <c r="I103" s="21"/>
      <c r="J103" s="21"/>
      <c r="K103" s="21"/>
      <c r="L103" s="20"/>
    </row>
    <row r="104" spans="1:12">
      <c r="A104" s="22"/>
      <c r="B104" s="20"/>
      <c r="C104" s="21"/>
      <c r="D104" s="21"/>
      <c r="E104" s="21"/>
      <c r="F104" s="21"/>
      <c r="G104" s="21"/>
      <c r="H104" s="21"/>
      <c r="I104" s="21"/>
      <c r="J104" s="21"/>
      <c r="K104" s="21"/>
      <c r="L104" s="20"/>
    </row>
    <row r="105" spans="1:12">
      <c r="A105" s="22"/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0"/>
    </row>
    <row r="106" spans="1:12">
      <c r="A106" s="22"/>
      <c r="B106" s="20"/>
      <c r="C106" s="21"/>
      <c r="D106" s="21"/>
      <c r="E106" s="21"/>
      <c r="F106" s="21"/>
      <c r="G106" s="21"/>
      <c r="H106" s="21"/>
      <c r="I106" s="21"/>
      <c r="J106" s="21"/>
      <c r="K106" s="21"/>
      <c r="L106" s="20"/>
    </row>
    <row r="107" spans="1:12">
      <c r="A107" s="22"/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0"/>
    </row>
    <row r="108" spans="1:12">
      <c r="A108" s="22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0"/>
    </row>
    <row r="109" spans="1:12">
      <c r="A109" s="22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0"/>
    </row>
    <row r="110" spans="1:12">
      <c r="A110" s="22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0"/>
    </row>
    <row r="111" spans="1:12">
      <c r="A111" s="22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0"/>
    </row>
    <row r="112" spans="1:12" ht="15" thickBot="1">
      <c r="A112" s="23"/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4"/>
    </row>
    <row r="113" spans="1:12">
      <c r="A113" s="32" t="s">
        <v>291</v>
      </c>
      <c r="B113" s="15"/>
      <c r="C113" s="15"/>
      <c r="D113" s="14"/>
      <c r="E113" s="15"/>
      <c r="H113" s="14" t="s">
        <v>15</v>
      </c>
      <c r="I113" s="14"/>
      <c r="J113" s="14"/>
      <c r="K113" s="15"/>
      <c r="L113" s="16"/>
    </row>
    <row r="114" spans="1:12">
      <c r="I114" s="2" t="s">
        <v>16</v>
      </c>
    </row>
    <row r="115" spans="1:12">
      <c r="I115" s="2" t="s">
        <v>17</v>
      </c>
    </row>
    <row r="116" spans="1:12">
      <c r="I116" s="2" t="s">
        <v>18</v>
      </c>
    </row>
    <row r="117" spans="1:12">
      <c r="I117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6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topLeftCell="A13" workbookViewId="0">
      <selection activeCell="G43" sqref="G43:I43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6" width="20.28515625" style="2" customWidth="1"/>
    <col min="7" max="7" width="20" style="2" customWidth="1"/>
    <col min="8" max="8" width="12.7109375" style="2" customWidth="1"/>
    <col min="9" max="9" width="19.5703125" style="2" customWidth="1"/>
    <col min="10" max="10" width="10.7109375" style="2" customWidth="1"/>
    <col min="11" max="11" width="13.7109375" style="2" customWidth="1"/>
    <col min="12" max="12" width="16.5703125" style="2" customWidth="1"/>
    <col min="13" max="16384" width="10.28515625" style="2"/>
  </cols>
  <sheetData>
    <row r="1" spans="1:12" s="1" customFormat="1" ht="26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3" spans="1:12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>
      <c r="A4" s="30" t="s">
        <v>289</v>
      </c>
      <c r="B4" s="31"/>
      <c r="C4" s="7"/>
      <c r="D4" s="4"/>
      <c r="E4" s="5"/>
      <c r="F4" s="5"/>
      <c r="G4" s="5"/>
    </row>
    <row r="5" spans="1:12">
      <c r="A5" s="8"/>
      <c r="B5" s="8"/>
    </row>
    <row r="6" spans="1:12" ht="15" thickBot="1"/>
    <row r="7" spans="1:12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25.5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>
      <c r="A9" s="27">
        <v>45964</v>
      </c>
      <c r="B9" s="20" t="s">
        <v>20</v>
      </c>
      <c r="C9" s="21" t="s">
        <v>21</v>
      </c>
      <c r="D9" s="21" t="s">
        <v>1468</v>
      </c>
      <c r="E9" s="21" t="s">
        <v>23</v>
      </c>
      <c r="F9" s="21" t="s">
        <v>1472</v>
      </c>
      <c r="G9" s="21" t="s">
        <v>1469</v>
      </c>
      <c r="H9" s="21" t="s">
        <v>23</v>
      </c>
      <c r="I9" s="21" t="s">
        <v>23</v>
      </c>
      <c r="J9" s="21">
        <v>190</v>
      </c>
      <c r="K9" s="21" t="s">
        <v>988</v>
      </c>
      <c r="L9" s="20" t="s">
        <v>1470</v>
      </c>
    </row>
    <row r="10" spans="1:12">
      <c r="A10" s="27">
        <v>45964</v>
      </c>
      <c r="B10" s="20" t="s">
        <v>20</v>
      </c>
      <c r="C10" s="21" t="s">
        <v>29</v>
      </c>
      <c r="D10" s="21" t="s">
        <v>1471</v>
      </c>
      <c r="E10" s="21" t="s">
        <v>23</v>
      </c>
      <c r="F10" s="21" t="s">
        <v>1472</v>
      </c>
      <c r="G10" s="21" t="s">
        <v>1469</v>
      </c>
      <c r="H10" s="21" t="s">
        <v>23</v>
      </c>
      <c r="I10" s="21" t="s">
        <v>23</v>
      </c>
      <c r="J10" s="21">
        <v>142</v>
      </c>
      <c r="K10" s="21" t="s">
        <v>988</v>
      </c>
      <c r="L10" s="20" t="s">
        <v>1470</v>
      </c>
    </row>
    <row r="11" spans="1:12">
      <c r="A11" s="27">
        <v>45964</v>
      </c>
      <c r="B11" s="20" t="s">
        <v>20</v>
      </c>
      <c r="C11" s="21" t="s">
        <v>29</v>
      </c>
      <c r="D11" s="21" t="s">
        <v>1471</v>
      </c>
      <c r="E11" s="21" t="s">
        <v>23</v>
      </c>
      <c r="F11" s="21" t="s">
        <v>1472</v>
      </c>
      <c r="G11" s="21" t="s">
        <v>1469</v>
      </c>
      <c r="H11" s="21" t="s">
        <v>23</v>
      </c>
      <c r="I11" s="21" t="s">
        <v>23</v>
      </c>
      <c r="J11" s="21">
        <v>144</v>
      </c>
      <c r="K11" s="21" t="s">
        <v>988</v>
      </c>
      <c r="L11" s="20" t="s">
        <v>1473</v>
      </c>
    </row>
    <row r="12" spans="1:12">
      <c r="A12" s="27">
        <v>45965</v>
      </c>
      <c r="B12" s="20" t="s">
        <v>43</v>
      </c>
      <c r="C12" s="21" t="s">
        <v>21</v>
      </c>
      <c r="D12" s="21" t="s">
        <v>1474</v>
      </c>
      <c r="E12" s="21" t="s">
        <v>1403</v>
      </c>
      <c r="F12" s="21" t="s">
        <v>1475</v>
      </c>
      <c r="G12" s="21" t="s">
        <v>23</v>
      </c>
      <c r="H12" s="21" t="s">
        <v>23</v>
      </c>
      <c r="I12" s="21" t="s">
        <v>23</v>
      </c>
      <c r="J12" s="21">
        <v>175</v>
      </c>
      <c r="K12" s="21" t="s">
        <v>997</v>
      </c>
      <c r="L12" s="20" t="s">
        <v>1476</v>
      </c>
    </row>
    <row r="13" spans="1:12">
      <c r="A13" s="27">
        <v>45965</v>
      </c>
      <c r="B13" s="20" t="s">
        <v>43</v>
      </c>
      <c r="C13" s="21" t="s">
        <v>29</v>
      </c>
      <c r="D13" s="21" t="s">
        <v>1479</v>
      </c>
      <c r="E13" s="21" t="s">
        <v>1403</v>
      </c>
      <c r="F13" s="21" t="s">
        <v>1480</v>
      </c>
      <c r="G13" s="21" t="s">
        <v>23</v>
      </c>
      <c r="H13" s="21" t="s">
        <v>23</v>
      </c>
      <c r="I13" s="21" t="s">
        <v>23</v>
      </c>
      <c r="J13" s="21">
        <v>6</v>
      </c>
      <c r="K13" s="21" t="s">
        <v>997</v>
      </c>
      <c r="L13" s="20" t="s">
        <v>1478</v>
      </c>
    </row>
    <row r="14" spans="1:12">
      <c r="A14" s="27">
        <v>45965</v>
      </c>
      <c r="B14" s="20" t="s">
        <v>43</v>
      </c>
      <c r="C14" s="21" t="s">
        <v>29</v>
      </c>
      <c r="D14" s="21" t="s">
        <v>1479</v>
      </c>
      <c r="E14" s="21" t="s">
        <v>1403</v>
      </c>
      <c r="F14" s="21" t="s">
        <v>1480</v>
      </c>
      <c r="G14" s="21" t="s">
        <v>23</v>
      </c>
      <c r="H14" s="21" t="s">
        <v>23</v>
      </c>
      <c r="I14" s="21" t="s">
        <v>23</v>
      </c>
      <c r="J14" s="21">
        <v>138</v>
      </c>
      <c r="K14" s="21" t="s">
        <v>997</v>
      </c>
      <c r="L14" s="20" t="s">
        <v>1477</v>
      </c>
    </row>
    <row r="15" spans="1:12">
      <c r="A15" s="27">
        <v>45966</v>
      </c>
      <c r="B15" s="20" t="s">
        <v>43</v>
      </c>
      <c r="C15" s="21" t="s">
        <v>21</v>
      </c>
      <c r="D15" s="21" t="s">
        <v>1482</v>
      </c>
      <c r="E15" s="21" t="s">
        <v>1403</v>
      </c>
      <c r="F15" s="21" t="s">
        <v>1483</v>
      </c>
      <c r="G15" s="21" t="s">
        <v>1469</v>
      </c>
      <c r="H15" s="21" t="s">
        <v>23</v>
      </c>
      <c r="I15" s="21" t="s">
        <v>23</v>
      </c>
      <c r="J15" s="21">
        <v>130</v>
      </c>
      <c r="K15" s="21" t="s">
        <v>1486</v>
      </c>
      <c r="L15" s="20" t="s">
        <v>1485</v>
      </c>
    </row>
    <row r="16" spans="1:12">
      <c r="A16" s="27">
        <v>45967</v>
      </c>
      <c r="B16" s="20" t="s">
        <v>20</v>
      </c>
      <c r="C16" s="21" t="s">
        <v>21</v>
      </c>
      <c r="D16" s="21" t="s">
        <v>1471</v>
      </c>
      <c r="E16" s="21" t="s">
        <v>23</v>
      </c>
      <c r="F16" s="21" t="s">
        <v>1472</v>
      </c>
      <c r="G16" s="21" t="s">
        <v>1469</v>
      </c>
      <c r="H16" s="21" t="s">
        <v>23</v>
      </c>
      <c r="I16" s="21" t="s">
        <v>23</v>
      </c>
      <c r="J16" s="21">
        <v>252</v>
      </c>
      <c r="K16" s="21" t="s">
        <v>988</v>
      </c>
      <c r="L16" s="20" t="s">
        <v>1481</v>
      </c>
    </row>
    <row r="17" spans="1:12">
      <c r="A17" s="27">
        <v>45967</v>
      </c>
      <c r="B17" s="20" t="s">
        <v>43</v>
      </c>
      <c r="C17" s="21" t="s">
        <v>21</v>
      </c>
      <c r="D17" s="21" t="s">
        <v>1482</v>
      </c>
      <c r="E17" s="21" t="s">
        <v>1403</v>
      </c>
      <c r="F17" s="21" t="s">
        <v>1483</v>
      </c>
      <c r="G17" s="21" t="s">
        <v>1469</v>
      </c>
      <c r="H17" s="21" t="s">
        <v>23</v>
      </c>
      <c r="I17" s="21" t="s">
        <v>23</v>
      </c>
      <c r="J17" s="21">
        <v>130</v>
      </c>
      <c r="K17" s="21" t="s">
        <v>1484</v>
      </c>
      <c r="L17" s="20" t="s">
        <v>1485</v>
      </c>
    </row>
    <row r="18" spans="1:12">
      <c r="A18" s="47">
        <v>45968</v>
      </c>
      <c r="B18" s="20" t="s">
        <v>43</v>
      </c>
      <c r="C18" s="21" t="s">
        <v>21</v>
      </c>
      <c r="D18" s="21" t="s">
        <v>1487</v>
      </c>
      <c r="E18" s="21" t="s">
        <v>1403</v>
      </c>
      <c r="F18" s="21" t="s">
        <v>1488</v>
      </c>
      <c r="G18" s="21" t="s">
        <v>23</v>
      </c>
      <c r="H18" s="21" t="s">
        <v>23</v>
      </c>
      <c r="I18" s="21" t="s">
        <v>23</v>
      </c>
      <c r="J18" s="21">
        <v>72</v>
      </c>
      <c r="K18" s="21" t="s">
        <v>1489</v>
      </c>
      <c r="L18" s="20" t="s">
        <v>1490</v>
      </c>
    </row>
    <row r="19" spans="1:12">
      <c r="A19" s="47">
        <v>45968</v>
      </c>
      <c r="B19" s="20" t="s">
        <v>110</v>
      </c>
      <c r="C19" s="21" t="s">
        <v>21</v>
      </c>
      <c r="D19" s="21" t="s">
        <v>1487</v>
      </c>
      <c r="E19" s="21" t="s">
        <v>1403</v>
      </c>
      <c r="F19" s="21" t="s">
        <v>1488</v>
      </c>
      <c r="G19" s="21" t="s">
        <v>23</v>
      </c>
      <c r="H19" s="21" t="s">
        <v>23</v>
      </c>
      <c r="I19" s="21" t="s">
        <v>23</v>
      </c>
      <c r="J19" s="21">
        <v>36</v>
      </c>
      <c r="K19" s="21" t="s">
        <v>1489</v>
      </c>
      <c r="L19" s="20" t="s">
        <v>1491</v>
      </c>
    </row>
    <row r="20" spans="1:12">
      <c r="A20" s="47">
        <v>45968</v>
      </c>
      <c r="B20" s="20" t="s">
        <v>43</v>
      </c>
      <c r="C20" s="21" t="s">
        <v>21</v>
      </c>
      <c r="D20" s="21" t="s">
        <v>1487</v>
      </c>
      <c r="E20" s="21" t="s">
        <v>1403</v>
      </c>
      <c r="F20" s="21" t="s">
        <v>1488</v>
      </c>
      <c r="G20" s="21" t="s">
        <v>23</v>
      </c>
      <c r="H20" s="21" t="s">
        <v>23</v>
      </c>
      <c r="I20" s="21" t="s">
        <v>23</v>
      </c>
      <c r="J20" s="21">
        <v>87</v>
      </c>
      <c r="K20" s="21" t="s">
        <v>1492</v>
      </c>
      <c r="L20" s="20" t="s">
        <v>1493</v>
      </c>
    </row>
    <row r="21" spans="1:12">
      <c r="A21" s="47">
        <v>45971</v>
      </c>
      <c r="B21" s="20" t="s">
        <v>116</v>
      </c>
      <c r="C21" s="21" t="s">
        <v>21</v>
      </c>
      <c r="D21" s="21" t="s">
        <v>1495</v>
      </c>
      <c r="E21" s="21" t="s">
        <v>1403</v>
      </c>
      <c r="F21" s="21" t="s">
        <v>1488</v>
      </c>
      <c r="G21" s="21" t="s">
        <v>23</v>
      </c>
      <c r="H21" s="21" t="s">
        <v>23</v>
      </c>
      <c r="I21" s="21" t="s">
        <v>23</v>
      </c>
      <c r="J21" s="21">
        <v>55</v>
      </c>
      <c r="K21" s="21" t="s">
        <v>1489</v>
      </c>
      <c r="L21" s="20" t="s">
        <v>1494</v>
      </c>
    </row>
    <row r="22" spans="1:12">
      <c r="A22" s="47">
        <v>45972</v>
      </c>
      <c r="B22" s="20" t="s">
        <v>116</v>
      </c>
      <c r="C22" s="21" t="s">
        <v>21</v>
      </c>
      <c r="D22" s="21" t="s">
        <v>1495</v>
      </c>
      <c r="E22" s="21" t="s">
        <v>1403</v>
      </c>
      <c r="F22" s="21" t="s">
        <v>1488</v>
      </c>
      <c r="G22" s="21" t="s">
        <v>23</v>
      </c>
      <c r="H22" s="21" t="s">
        <v>23</v>
      </c>
      <c r="I22" s="21" t="s">
        <v>23</v>
      </c>
      <c r="J22" s="21">
        <v>197</v>
      </c>
      <c r="K22" s="21" t="s">
        <v>1489</v>
      </c>
      <c r="L22" s="20" t="s">
        <v>1494</v>
      </c>
    </row>
    <row r="23" spans="1:12">
      <c r="A23" s="47">
        <v>45972</v>
      </c>
      <c r="B23" s="20" t="s">
        <v>116</v>
      </c>
      <c r="C23" s="21" t="s">
        <v>21</v>
      </c>
      <c r="D23" s="21" t="s">
        <v>1496</v>
      </c>
      <c r="E23" s="21" t="s">
        <v>1403</v>
      </c>
      <c r="F23" s="21" t="s">
        <v>1497</v>
      </c>
      <c r="G23" s="21" t="s">
        <v>23</v>
      </c>
      <c r="H23" s="21" t="s">
        <v>23</v>
      </c>
      <c r="I23" s="21" t="s">
        <v>23</v>
      </c>
      <c r="J23" s="21">
        <v>36</v>
      </c>
      <c r="K23" s="21" t="s">
        <v>1489</v>
      </c>
      <c r="L23" s="20" t="s">
        <v>1498</v>
      </c>
    </row>
    <row r="24" spans="1:12">
      <c r="A24" s="27">
        <v>45973</v>
      </c>
      <c r="B24" s="20" t="s">
        <v>20</v>
      </c>
      <c r="C24" s="21" t="s">
        <v>21</v>
      </c>
      <c r="D24" s="21" t="s">
        <v>1499</v>
      </c>
      <c r="E24" s="21" t="s">
        <v>23</v>
      </c>
      <c r="F24" s="21" t="s">
        <v>1472</v>
      </c>
      <c r="G24" s="21" t="s">
        <v>1469</v>
      </c>
      <c r="H24" s="21" t="s">
        <v>23</v>
      </c>
      <c r="I24" s="21" t="s">
        <v>23</v>
      </c>
      <c r="J24" s="21">
        <v>286</v>
      </c>
      <c r="K24" s="21" t="s">
        <v>1501</v>
      </c>
      <c r="L24" s="20" t="s">
        <v>1502</v>
      </c>
    </row>
    <row r="25" spans="1:12">
      <c r="A25" s="27">
        <v>45973</v>
      </c>
      <c r="B25" s="20" t="s">
        <v>20</v>
      </c>
      <c r="C25" s="21" t="s">
        <v>29</v>
      </c>
      <c r="D25" s="21" t="s">
        <v>1500</v>
      </c>
      <c r="E25" s="21" t="s">
        <v>23</v>
      </c>
      <c r="F25" s="21" t="s">
        <v>1472</v>
      </c>
      <c r="G25" s="21" t="s">
        <v>1469</v>
      </c>
      <c r="H25" s="21" t="s">
        <v>23</v>
      </c>
      <c r="I25" s="21" t="s">
        <v>23</v>
      </c>
      <c r="J25" s="21">
        <v>78</v>
      </c>
      <c r="K25" s="21" t="s">
        <v>1501</v>
      </c>
      <c r="L25" s="20" t="s">
        <v>1502</v>
      </c>
    </row>
    <row r="26" spans="1:12">
      <c r="A26" s="27">
        <v>45973</v>
      </c>
      <c r="B26" s="20" t="s">
        <v>39</v>
      </c>
      <c r="C26" s="21" t="s">
        <v>21</v>
      </c>
      <c r="D26" s="21" t="s">
        <v>1500</v>
      </c>
      <c r="E26" s="21" t="s">
        <v>23</v>
      </c>
      <c r="F26" s="21" t="s">
        <v>1472</v>
      </c>
      <c r="G26" s="21" t="s">
        <v>1469</v>
      </c>
      <c r="H26" s="21" t="s">
        <v>23</v>
      </c>
      <c r="I26" s="21" t="s">
        <v>23</v>
      </c>
      <c r="J26" s="21">
        <v>108</v>
      </c>
      <c r="K26" s="21" t="s">
        <v>1501</v>
      </c>
      <c r="L26" s="20" t="s">
        <v>1503</v>
      </c>
    </row>
    <row r="27" spans="1:12">
      <c r="A27" s="27">
        <v>45973</v>
      </c>
      <c r="B27" s="20" t="s">
        <v>20</v>
      </c>
      <c r="C27" s="21" t="s">
        <v>33</v>
      </c>
      <c r="D27" s="21" t="s">
        <v>1504</v>
      </c>
      <c r="E27" s="21" t="s">
        <v>23</v>
      </c>
      <c r="F27" s="21" t="s">
        <v>1472</v>
      </c>
      <c r="G27" s="21" t="s">
        <v>1469</v>
      </c>
      <c r="H27" s="21" t="s">
        <v>23</v>
      </c>
      <c r="I27" s="21" t="s">
        <v>23</v>
      </c>
      <c r="J27" s="21">
        <v>248</v>
      </c>
      <c r="K27" s="21" t="s">
        <v>1501</v>
      </c>
      <c r="L27" s="20" t="s">
        <v>1505</v>
      </c>
    </row>
    <row r="28" spans="1:12">
      <c r="A28" s="27">
        <v>45973</v>
      </c>
      <c r="B28" s="20" t="s">
        <v>55</v>
      </c>
      <c r="C28" s="21" t="s">
        <v>21</v>
      </c>
      <c r="D28" s="21" t="s">
        <v>1506</v>
      </c>
      <c r="E28" s="21" t="s">
        <v>1403</v>
      </c>
      <c r="F28" s="21" t="s">
        <v>1507</v>
      </c>
      <c r="G28" s="21" t="s">
        <v>23</v>
      </c>
      <c r="H28" s="21" t="s">
        <v>23</v>
      </c>
      <c r="I28" s="21" t="s">
        <v>23</v>
      </c>
      <c r="J28" s="21">
        <v>50</v>
      </c>
      <c r="K28" s="21" t="s">
        <v>1398</v>
      </c>
      <c r="L28" s="20" t="s">
        <v>1508</v>
      </c>
    </row>
    <row r="29" spans="1:12">
      <c r="A29" s="27">
        <v>45975</v>
      </c>
      <c r="B29" s="20" t="s">
        <v>43</v>
      </c>
      <c r="C29" s="21" t="s">
        <v>21</v>
      </c>
      <c r="D29" s="21" t="s">
        <v>1506</v>
      </c>
      <c r="E29" s="21" t="s">
        <v>1403</v>
      </c>
      <c r="F29" s="21" t="s">
        <v>1507</v>
      </c>
      <c r="G29" s="21" t="s">
        <v>23</v>
      </c>
      <c r="H29" s="21" t="s">
        <v>23</v>
      </c>
      <c r="I29" s="21" t="s">
        <v>23</v>
      </c>
      <c r="J29" s="21">
        <v>72</v>
      </c>
      <c r="K29" s="21" t="s">
        <v>1509</v>
      </c>
      <c r="L29" s="20" t="s">
        <v>1510</v>
      </c>
    </row>
    <row r="30" spans="1:12">
      <c r="A30" s="27">
        <v>45978</v>
      </c>
      <c r="B30" s="20" t="s">
        <v>43</v>
      </c>
      <c r="C30" s="21" t="s">
        <v>21</v>
      </c>
      <c r="D30" s="21" t="s">
        <v>1511</v>
      </c>
      <c r="E30" s="21" t="s">
        <v>1403</v>
      </c>
      <c r="F30" s="21" t="s">
        <v>1512</v>
      </c>
      <c r="G30" s="21" t="s">
        <v>23</v>
      </c>
      <c r="H30" s="21" t="s">
        <v>23</v>
      </c>
      <c r="I30" s="21" t="s">
        <v>23</v>
      </c>
      <c r="J30" s="21">
        <v>72</v>
      </c>
      <c r="K30" s="21" t="s">
        <v>1509</v>
      </c>
      <c r="L30" s="20" t="s">
        <v>1513</v>
      </c>
    </row>
    <row r="31" spans="1:12">
      <c r="A31" s="27">
        <v>45978</v>
      </c>
      <c r="B31" s="20" t="s">
        <v>128</v>
      </c>
      <c r="C31" s="21" t="s">
        <v>21</v>
      </c>
      <c r="D31" s="21" t="s">
        <v>1500</v>
      </c>
      <c r="E31" s="21" t="s">
        <v>23</v>
      </c>
      <c r="F31" s="21">
        <v>21325</v>
      </c>
      <c r="G31" s="21" t="s">
        <v>23</v>
      </c>
      <c r="H31" s="21" t="s">
        <v>23</v>
      </c>
      <c r="I31" s="21" t="s">
        <v>23</v>
      </c>
      <c r="J31" s="21">
        <v>72</v>
      </c>
      <c r="K31" s="21" t="s">
        <v>988</v>
      </c>
      <c r="L31" s="20" t="s">
        <v>1514</v>
      </c>
    </row>
    <row r="32" spans="1:12">
      <c r="A32" s="27">
        <v>45978</v>
      </c>
      <c r="B32" s="20" t="s">
        <v>128</v>
      </c>
      <c r="C32" s="21" t="s">
        <v>29</v>
      </c>
      <c r="D32" s="21" t="s">
        <v>1515</v>
      </c>
      <c r="E32" s="21" t="s">
        <v>23</v>
      </c>
      <c r="F32" s="21">
        <v>21325</v>
      </c>
      <c r="G32" s="21" t="s">
        <v>23</v>
      </c>
      <c r="H32" s="21" t="s">
        <v>23</v>
      </c>
      <c r="I32" s="21" t="s">
        <v>23</v>
      </c>
      <c r="J32" s="21">
        <v>108</v>
      </c>
      <c r="K32" s="21" t="s">
        <v>988</v>
      </c>
      <c r="L32" s="20" t="s">
        <v>1516</v>
      </c>
    </row>
    <row r="33" spans="1:12">
      <c r="A33" s="27">
        <v>45978</v>
      </c>
      <c r="B33" s="20" t="s">
        <v>116</v>
      </c>
      <c r="C33" s="21" t="s">
        <v>21</v>
      </c>
      <c r="D33" s="21" t="s">
        <v>1517</v>
      </c>
      <c r="E33" s="21" t="s">
        <v>1403</v>
      </c>
      <c r="F33" s="21" t="s">
        <v>1518</v>
      </c>
      <c r="G33" s="21" t="s">
        <v>23</v>
      </c>
      <c r="H33" s="21" t="s">
        <v>23</v>
      </c>
      <c r="I33" s="21" t="s">
        <v>23</v>
      </c>
      <c r="J33" s="21">
        <v>144</v>
      </c>
      <c r="K33" s="21" t="s">
        <v>1213</v>
      </c>
      <c r="L33" s="20" t="s">
        <v>1519</v>
      </c>
    </row>
    <row r="34" spans="1:12">
      <c r="A34" s="27">
        <v>45978</v>
      </c>
      <c r="B34" s="20" t="s">
        <v>43</v>
      </c>
      <c r="C34" s="21" t="s">
        <v>29</v>
      </c>
      <c r="D34" s="21" t="s">
        <v>1520</v>
      </c>
      <c r="E34" s="21" t="s">
        <v>1403</v>
      </c>
      <c r="F34" s="21" t="s">
        <v>1523</v>
      </c>
      <c r="G34" s="21" t="s">
        <v>23</v>
      </c>
      <c r="H34" s="21" t="s">
        <v>23</v>
      </c>
      <c r="I34" s="21" t="s">
        <v>23</v>
      </c>
      <c r="J34" s="21">
        <v>110</v>
      </c>
      <c r="K34" s="21" t="s">
        <v>1398</v>
      </c>
      <c r="L34" s="20" t="s">
        <v>1521</v>
      </c>
    </row>
    <row r="35" spans="1:12">
      <c r="A35" s="27">
        <v>45978</v>
      </c>
      <c r="B35" s="20" t="s">
        <v>43</v>
      </c>
      <c r="C35" s="21" t="s">
        <v>33</v>
      </c>
      <c r="D35" s="21" t="s">
        <v>1522</v>
      </c>
      <c r="E35" s="21" t="s">
        <v>1403</v>
      </c>
      <c r="F35" s="21" t="s">
        <v>1523</v>
      </c>
      <c r="G35" s="21" t="s">
        <v>23</v>
      </c>
      <c r="H35" s="21" t="s">
        <v>23</v>
      </c>
      <c r="I35" s="21" t="s">
        <v>23</v>
      </c>
      <c r="J35" s="21">
        <v>80</v>
      </c>
      <c r="K35" s="21" t="s">
        <v>1398</v>
      </c>
      <c r="L35" s="20" t="s">
        <v>1521</v>
      </c>
    </row>
    <row r="36" spans="1:12">
      <c r="A36" s="27">
        <v>45980</v>
      </c>
      <c r="B36" s="20" t="s">
        <v>43</v>
      </c>
      <c r="C36" s="21" t="s">
        <v>21</v>
      </c>
      <c r="D36" s="21" t="s">
        <v>1525</v>
      </c>
      <c r="E36" s="21" t="s">
        <v>1403</v>
      </c>
      <c r="F36" s="21" t="s">
        <v>1527</v>
      </c>
      <c r="G36" s="21" t="s">
        <v>23</v>
      </c>
      <c r="H36" s="21" t="s">
        <v>23</v>
      </c>
      <c r="I36" s="21" t="s">
        <v>23</v>
      </c>
      <c r="J36" s="21">
        <v>240</v>
      </c>
      <c r="K36" s="21" t="s">
        <v>1524</v>
      </c>
      <c r="L36" s="20" t="s">
        <v>1521</v>
      </c>
    </row>
    <row r="37" spans="1:12">
      <c r="A37" s="27">
        <v>45980</v>
      </c>
      <c r="B37" s="20" t="s">
        <v>43</v>
      </c>
      <c r="C37" s="21" t="s">
        <v>29</v>
      </c>
      <c r="D37" s="21" t="s">
        <v>1526</v>
      </c>
      <c r="E37" s="21" t="s">
        <v>1403</v>
      </c>
      <c r="F37" s="21" t="s">
        <v>1527</v>
      </c>
      <c r="G37" s="21" t="s">
        <v>23</v>
      </c>
      <c r="H37" s="21" t="s">
        <v>23</v>
      </c>
      <c r="I37" s="21" t="s">
        <v>23</v>
      </c>
      <c r="J37" s="21">
        <v>60</v>
      </c>
      <c r="K37" s="21" t="s">
        <v>1524</v>
      </c>
      <c r="L37" s="20" t="s">
        <v>1521</v>
      </c>
    </row>
    <row r="38" spans="1:12">
      <c r="A38" s="27">
        <v>45981</v>
      </c>
      <c r="B38" s="20" t="s">
        <v>43</v>
      </c>
      <c r="C38" s="21" t="s">
        <v>21</v>
      </c>
      <c r="D38" s="21" t="s">
        <v>1526</v>
      </c>
      <c r="E38" s="21" t="s">
        <v>808</v>
      </c>
      <c r="F38" s="21" t="s">
        <v>1527</v>
      </c>
      <c r="G38" s="21" t="s">
        <v>23</v>
      </c>
      <c r="H38" s="21" t="s">
        <v>23</v>
      </c>
      <c r="I38" s="21" t="s">
        <v>23</v>
      </c>
      <c r="J38" s="21">
        <v>237</v>
      </c>
      <c r="K38" s="21" t="s">
        <v>1528</v>
      </c>
      <c r="L38" s="20" t="s">
        <v>1521</v>
      </c>
    </row>
    <row r="39" spans="1:12">
      <c r="A39" s="27">
        <v>45981</v>
      </c>
      <c r="B39" s="20" t="s">
        <v>43</v>
      </c>
      <c r="C39" s="21" t="s">
        <v>29</v>
      </c>
      <c r="D39" s="21" t="s">
        <v>1529</v>
      </c>
      <c r="E39" s="21" t="s">
        <v>808</v>
      </c>
      <c r="F39" s="21" t="s">
        <v>1527</v>
      </c>
      <c r="G39" s="21" t="s">
        <v>23</v>
      </c>
      <c r="H39" s="21" t="s">
        <v>23</v>
      </c>
      <c r="I39" s="21" t="s">
        <v>23</v>
      </c>
      <c r="J39" s="21">
        <v>53</v>
      </c>
      <c r="K39" s="21" t="s">
        <v>1528</v>
      </c>
      <c r="L39" s="20" t="s">
        <v>1521</v>
      </c>
    </row>
    <row r="40" spans="1:12">
      <c r="A40" s="27">
        <v>45981</v>
      </c>
      <c r="B40" s="20" t="s">
        <v>39</v>
      </c>
      <c r="C40" s="21" t="s">
        <v>21</v>
      </c>
      <c r="D40" s="21" t="s">
        <v>1530</v>
      </c>
      <c r="E40" s="21" t="s">
        <v>23</v>
      </c>
      <c r="F40" s="21" t="s">
        <v>1310</v>
      </c>
      <c r="G40" s="21" t="s">
        <v>1531</v>
      </c>
      <c r="H40" s="21" t="s">
        <v>23</v>
      </c>
      <c r="I40" s="21" t="s">
        <v>23</v>
      </c>
      <c r="J40" s="21">
        <v>52</v>
      </c>
      <c r="K40" s="21" t="s">
        <v>1532</v>
      </c>
      <c r="L40" s="20" t="s">
        <v>1533</v>
      </c>
    </row>
    <row r="41" spans="1:12">
      <c r="A41" s="27">
        <v>45981</v>
      </c>
      <c r="B41" s="20" t="s">
        <v>43</v>
      </c>
      <c r="C41" s="21" t="s">
        <v>29</v>
      </c>
      <c r="D41" s="21" t="s">
        <v>1529</v>
      </c>
      <c r="E41" s="21" t="s">
        <v>1534</v>
      </c>
      <c r="F41" s="21" t="s">
        <v>1535</v>
      </c>
      <c r="G41" s="21" t="s">
        <v>23</v>
      </c>
      <c r="H41" s="21" t="s">
        <v>23</v>
      </c>
      <c r="I41" s="21" t="s">
        <v>23</v>
      </c>
      <c r="J41" s="21">
        <v>120</v>
      </c>
      <c r="K41" s="21" t="s">
        <v>1537</v>
      </c>
      <c r="L41" s="20" t="s">
        <v>1536</v>
      </c>
    </row>
    <row r="42" spans="1:12">
      <c r="A42" s="27">
        <v>45982</v>
      </c>
      <c r="B42" s="20" t="s">
        <v>43</v>
      </c>
      <c r="C42" s="21" t="s">
        <v>21</v>
      </c>
      <c r="D42" s="21" t="s">
        <v>1529</v>
      </c>
      <c r="E42" s="21" t="s">
        <v>1534</v>
      </c>
      <c r="F42" s="21" t="s">
        <v>1535</v>
      </c>
      <c r="G42" s="21" t="s">
        <v>23</v>
      </c>
      <c r="H42" s="21" t="s">
        <v>23</v>
      </c>
      <c r="I42" s="21" t="s">
        <v>23</v>
      </c>
      <c r="J42" s="21">
        <v>36</v>
      </c>
      <c r="K42" s="21" t="s">
        <v>1537</v>
      </c>
      <c r="L42" s="20" t="s">
        <v>1536</v>
      </c>
    </row>
    <row r="43" spans="1:12">
      <c r="A43" s="27">
        <v>45982</v>
      </c>
      <c r="B43" s="20" t="s">
        <v>43</v>
      </c>
      <c r="C43" s="21" t="s">
        <v>21</v>
      </c>
      <c r="D43" s="21" t="s">
        <v>1538</v>
      </c>
      <c r="E43" s="21" t="s">
        <v>1534</v>
      </c>
      <c r="F43" s="21" t="s">
        <v>1535</v>
      </c>
      <c r="G43" s="21" t="s">
        <v>23</v>
      </c>
      <c r="H43" s="21" t="s">
        <v>23</v>
      </c>
      <c r="I43" s="21" t="s">
        <v>23</v>
      </c>
      <c r="J43" s="21">
        <v>42</v>
      </c>
      <c r="K43" s="21" t="s">
        <v>1541</v>
      </c>
      <c r="L43" s="20" t="s">
        <v>1540</v>
      </c>
    </row>
    <row r="44" spans="1:12">
      <c r="A44" s="27">
        <v>45982</v>
      </c>
      <c r="B44" s="20" t="s">
        <v>43</v>
      </c>
      <c r="C44" s="21" t="s">
        <v>29</v>
      </c>
      <c r="D44" s="21" t="s">
        <v>1538</v>
      </c>
      <c r="E44" s="21" t="s">
        <v>1534</v>
      </c>
      <c r="F44" s="21" t="s">
        <v>1539</v>
      </c>
      <c r="G44" s="21" t="s">
        <v>23</v>
      </c>
      <c r="H44" s="21" t="s">
        <v>23</v>
      </c>
      <c r="I44" s="21" t="s">
        <v>23</v>
      </c>
      <c r="J44" s="21">
        <v>219</v>
      </c>
      <c r="K44" s="21" t="s">
        <v>1541</v>
      </c>
      <c r="L44" s="20" t="s">
        <v>1540</v>
      </c>
    </row>
    <row r="45" spans="1:12">
      <c r="A45" s="27">
        <v>45982</v>
      </c>
      <c r="B45" s="20" t="s">
        <v>43</v>
      </c>
      <c r="C45" s="21" t="s">
        <v>33</v>
      </c>
      <c r="D45" s="21" t="s">
        <v>1542</v>
      </c>
      <c r="E45" s="21" t="s">
        <v>1534</v>
      </c>
      <c r="F45" s="21" t="s">
        <v>1539</v>
      </c>
      <c r="G45" s="21" t="s">
        <v>23</v>
      </c>
      <c r="H45" s="21" t="s">
        <v>23</v>
      </c>
      <c r="I45" s="21" t="s">
        <v>23</v>
      </c>
      <c r="J45" s="21">
        <v>240</v>
      </c>
      <c r="K45" s="21" t="s">
        <v>1541</v>
      </c>
      <c r="L45" s="20" t="s">
        <v>1540</v>
      </c>
    </row>
    <row r="46" spans="1:12">
      <c r="A46" s="27">
        <v>45982</v>
      </c>
      <c r="B46" s="20" t="s">
        <v>43</v>
      </c>
      <c r="C46" s="21" t="s">
        <v>34</v>
      </c>
      <c r="D46" s="21" t="s">
        <v>1543</v>
      </c>
      <c r="E46" s="21" t="s">
        <v>1544</v>
      </c>
      <c r="F46" s="21" t="s">
        <v>1545</v>
      </c>
      <c r="G46" s="21" t="s">
        <v>23</v>
      </c>
      <c r="H46" s="21" t="s">
        <v>23</v>
      </c>
      <c r="I46" s="21" t="s">
        <v>23</v>
      </c>
      <c r="J46" s="21">
        <v>135</v>
      </c>
      <c r="K46" s="21" t="s">
        <v>1546</v>
      </c>
      <c r="L46" s="20" t="s">
        <v>1540</v>
      </c>
    </row>
    <row r="47" spans="1:12">
      <c r="A47" s="27">
        <v>45985</v>
      </c>
      <c r="B47" s="20" t="s">
        <v>43</v>
      </c>
      <c r="C47" s="21" t="s">
        <v>21</v>
      </c>
      <c r="D47" s="21" t="s">
        <v>1543</v>
      </c>
      <c r="E47" s="21" t="s">
        <v>1544</v>
      </c>
      <c r="F47" s="21" t="s">
        <v>1545</v>
      </c>
      <c r="G47" s="21" t="s">
        <v>23</v>
      </c>
      <c r="H47" s="21" t="s">
        <v>23</v>
      </c>
      <c r="I47" s="21" t="s">
        <v>23</v>
      </c>
      <c r="J47" s="21">
        <v>92</v>
      </c>
      <c r="K47" s="21" t="s">
        <v>1541</v>
      </c>
      <c r="L47" s="20" t="s">
        <v>1540</v>
      </c>
    </row>
    <row r="48" spans="1:12">
      <c r="A48" s="27">
        <v>45985</v>
      </c>
      <c r="B48" s="20" t="s">
        <v>43</v>
      </c>
      <c r="C48" s="21" t="s">
        <v>29</v>
      </c>
      <c r="D48" s="21" t="s">
        <v>1547</v>
      </c>
      <c r="E48" s="21" t="s">
        <v>1544</v>
      </c>
      <c r="F48" s="21" t="s">
        <v>1518</v>
      </c>
      <c r="G48" s="21" t="s">
        <v>23</v>
      </c>
      <c r="H48" s="21" t="s">
        <v>23</v>
      </c>
      <c r="I48" s="21" t="s">
        <v>23</v>
      </c>
      <c r="J48" s="21">
        <v>156</v>
      </c>
      <c r="K48" s="21" t="s">
        <v>1541</v>
      </c>
      <c r="L48" s="20" t="s">
        <v>1548</v>
      </c>
    </row>
    <row r="49" spans="1:14" ht="17.100000000000001" customHeight="1">
      <c r="A49" s="27">
        <v>45985</v>
      </c>
      <c r="B49" s="20" t="s">
        <v>116</v>
      </c>
      <c r="C49" s="21" t="s">
        <v>21</v>
      </c>
      <c r="D49" s="21" t="s">
        <v>1549</v>
      </c>
      <c r="E49" s="21" t="s">
        <v>1544</v>
      </c>
      <c r="F49" s="21" t="s">
        <v>1518</v>
      </c>
      <c r="G49" s="21" t="s">
        <v>23</v>
      </c>
      <c r="H49" s="21" t="s">
        <v>23</v>
      </c>
      <c r="I49" s="21" t="s">
        <v>23</v>
      </c>
      <c r="J49" s="21">
        <v>86</v>
      </c>
      <c r="K49" s="21" t="s">
        <v>1541</v>
      </c>
      <c r="L49" s="20" t="s">
        <v>1550</v>
      </c>
    </row>
    <row r="50" spans="1:14" ht="17.100000000000001" customHeight="1">
      <c r="A50" s="27">
        <v>45986</v>
      </c>
      <c r="B50" s="20" t="s">
        <v>116</v>
      </c>
      <c r="C50" s="21" t="s">
        <v>21</v>
      </c>
      <c r="D50" s="21" t="s">
        <v>1549</v>
      </c>
      <c r="E50" s="21" t="s">
        <v>1544</v>
      </c>
      <c r="F50" s="21" t="s">
        <v>1518</v>
      </c>
      <c r="G50" s="21" t="s">
        <v>23</v>
      </c>
      <c r="H50" s="21" t="s">
        <v>23</v>
      </c>
      <c r="I50" s="21" t="s">
        <v>23</v>
      </c>
      <c r="J50" s="21">
        <v>22</v>
      </c>
      <c r="K50" s="21" t="s">
        <v>1541</v>
      </c>
      <c r="L50" s="20" t="s">
        <v>1550</v>
      </c>
    </row>
    <row r="51" spans="1:14" ht="17.100000000000001" customHeight="1">
      <c r="A51" s="27">
        <v>45988</v>
      </c>
      <c r="B51" s="20" t="s">
        <v>39</v>
      </c>
      <c r="C51" s="21" t="s">
        <v>21</v>
      </c>
      <c r="D51" s="21" t="s">
        <v>1530</v>
      </c>
      <c r="E51" s="21" t="s">
        <v>23</v>
      </c>
      <c r="F51" s="21" t="s">
        <v>1310</v>
      </c>
      <c r="G51" s="21" t="s">
        <v>1531</v>
      </c>
      <c r="H51" s="21" t="s">
        <v>23</v>
      </c>
      <c r="I51" s="21" t="s">
        <v>23</v>
      </c>
      <c r="J51" s="21">
        <v>72</v>
      </c>
      <c r="K51" s="21" t="s">
        <v>1551</v>
      </c>
      <c r="L51" s="20" t="s">
        <v>1552</v>
      </c>
    </row>
    <row r="52" spans="1:14" ht="17.100000000000001" customHeight="1">
      <c r="A52" s="22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0"/>
    </row>
    <row r="53" spans="1:14" ht="17.100000000000001" customHeight="1">
      <c r="A53" s="22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0"/>
    </row>
    <row r="54" spans="1:14" ht="17.100000000000001" customHeight="1">
      <c r="A54" s="22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0"/>
    </row>
    <row r="55" spans="1:14" ht="17.100000000000001" customHeight="1">
      <c r="A55" s="22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0"/>
    </row>
    <row r="56" spans="1:14" ht="17.100000000000001" customHeight="1">
      <c r="A56" s="22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0"/>
    </row>
    <row r="57" spans="1:14" ht="17.100000000000001" customHeight="1">
      <c r="A57" s="22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0"/>
    </row>
    <row r="58" spans="1:14" ht="17.100000000000001" customHeight="1">
      <c r="A58" s="22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0"/>
    </row>
    <row r="59" spans="1:14" ht="17.100000000000001" customHeight="1">
      <c r="A59" s="22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0"/>
    </row>
    <row r="60" spans="1:14" ht="17.100000000000001" customHeight="1" thickBot="1">
      <c r="A60" s="23"/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4"/>
    </row>
    <row r="61" spans="1:14">
      <c r="A61" s="32" t="s">
        <v>291</v>
      </c>
      <c r="B61" s="15"/>
      <c r="C61" s="15"/>
      <c r="D61" s="14"/>
      <c r="E61" s="15"/>
      <c r="H61" s="14" t="s">
        <v>15</v>
      </c>
      <c r="I61" s="14"/>
      <c r="J61" s="14"/>
      <c r="K61" s="15"/>
      <c r="L61" s="16"/>
      <c r="M61" s="18"/>
      <c r="N61" s="17"/>
    </row>
    <row r="62" spans="1:14">
      <c r="I62" s="2" t="s">
        <v>16</v>
      </c>
    </row>
    <row r="63" spans="1:14">
      <c r="I63" s="2" t="s">
        <v>17</v>
      </c>
    </row>
    <row r="64" spans="1:14">
      <c r="I64" s="2" t="s">
        <v>18</v>
      </c>
    </row>
    <row r="65" spans="9:9">
      <c r="I65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01"/>
  <sheetViews>
    <sheetView tabSelected="1" view="pageBreakPreview" topLeftCell="A76" zoomScaleNormal="100" zoomScaleSheetLayoutView="100" workbookViewId="0">
      <selection activeCell="D93" sqref="D93:D96"/>
    </sheetView>
  </sheetViews>
  <sheetFormatPr defaultColWidth="10.28515625" defaultRowHeight="14.25"/>
  <cols>
    <col min="1" max="1" width="16" style="2" customWidth="1"/>
    <col min="2" max="2" width="14.5703125" style="2" customWidth="1"/>
    <col min="3" max="3" width="10.28515625" style="2" customWidth="1"/>
    <col min="4" max="4" width="24.140625" style="2" customWidth="1"/>
    <col min="5" max="5" width="12.7109375" style="2" customWidth="1"/>
    <col min="6" max="7" width="16.85546875" style="2" customWidth="1"/>
    <col min="8" max="8" width="12.7109375" style="2" customWidth="1"/>
    <col min="9" max="9" width="19.5703125" style="2" customWidth="1"/>
    <col min="10" max="11" width="10.7109375" style="2" customWidth="1"/>
    <col min="12" max="12" width="16.5703125" style="2" customWidth="1"/>
    <col min="13" max="16384" width="10.28515625" style="2"/>
  </cols>
  <sheetData>
    <row r="1" spans="1:12" s="1" customFormat="1" ht="30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8.1" customHeight="1"/>
    <row r="3" spans="1:12" ht="17.100000000000001" customHeight="1">
      <c r="A3" s="29" t="s">
        <v>1</v>
      </c>
      <c r="B3" s="3" t="s">
        <v>2</v>
      </c>
      <c r="C3" s="3"/>
      <c r="D3" s="4"/>
      <c r="E3" s="5"/>
      <c r="F3" s="6"/>
      <c r="G3" s="6"/>
      <c r="H3" s="5"/>
      <c r="I3" s="5"/>
      <c r="J3" s="6"/>
    </row>
    <row r="4" spans="1:12" ht="17.100000000000001" customHeight="1">
      <c r="A4" s="30" t="s">
        <v>289</v>
      </c>
      <c r="B4" s="31"/>
      <c r="C4" s="7"/>
      <c r="D4" s="4"/>
      <c r="E4" s="5"/>
      <c r="F4" s="5"/>
      <c r="G4" s="5"/>
    </row>
    <row r="5" spans="1:12" ht="8.1" customHeight="1">
      <c r="A5" s="8"/>
      <c r="B5" s="8"/>
    </row>
    <row r="6" spans="1:12" ht="8.1" customHeight="1" thickBot="1"/>
    <row r="7" spans="1:12" ht="17.100000000000001" customHeight="1">
      <c r="A7" s="49" t="s">
        <v>3</v>
      </c>
      <c r="B7" s="51" t="s">
        <v>4</v>
      </c>
      <c r="C7" s="53" t="s">
        <v>5</v>
      </c>
      <c r="D7" s="55" t="s">
        <v>6</v>
      </c>
      <c r="E7" s="56"/>
      <c r="F7" s="56"/>
      <c r="G7" s="56"/>
      <c r="H7" s="57"/>
      <c r="I7" s="9"/>
      <c r="J7" s="58" t="s">
        <v>7</v>
      </c>
      <c r="K7" s="60" t="s">
        <v>8</v>
      </c>
      <c r="L7" s="58" t="s">
        <v>290</v>
      </c>
    </row>
    <row r="8" spans="1:12" ht="35.25" customHeight="1">
      <c r="A8" s="50"/>
      <c r="B8" s="52"/>
      <c r="C8" s="54"/>
      <c r="D8" s="10" t="s">
        <v>9</v>
      </c>
      <c r="E8" s="10" t="s">
        <v>10</v>
      </c>
      <c r="F8" s="11" t="s">
        <v>11</v>
      </c>
      <c r="G8" s="12" t="s">
        <v>12</v>
      </c>
      <c r="H8" s="12" t="s">
        <v>13</v>
      </c>
      <c r="I8" s="13" t="s">
        <v>14</v>
      </c>
      <c r="J8" s="59"/>
      <c r="K8" s="61"/>
      <c r="L8" s="59"/>
    </row>
    <row r="9" spans="1:12" ht="17.100000000000001" customHeight="1">
      <c r="A9" s="26" t="s">
        <v>1589</v>
      </c>
      <c r="B9" s="20" t="s">
        <v>116</v>
      </c>
      <c r="C9" s="21" t="s">
        <v>21</v>
      </c>
      <c r="D9" s="21" t="s">
        <v>1553</v>
      </c>
      <c r="E9" s="21" t="s">
        <v>1544</v>
      </c>
      <c r="F9" s="21" t="s">
        <v>1555</v>
      </c>
      <c r="G9" s="21" t="s">
        <v>23</v>
      </c>
      <c r="H9" s="21" t="s">
        <v>23</v>
      </c>
      <c r="I9" s="21" t="s">
        <v>23</v>
      </c>
      <c r="J9" s="21">
        <v>134</v>
      </c>
      <c r="K9" s="21" t="s">
        <v>1556</v>
      </c>
      <c r="L9" s="20" t="s">
        <v>1557</v>
      </c>
    </row>
    <row r="10" spans="1:12" ht="17.100000000000001" customHeight="1">
      <c r="A10" s="26" t="s">
        <v>1589</v>
      </c>
      <c r="B10" s="20" t="s">
        <v>116</v>
      </c>
      <c r="C10" s="21" t="s">
        <v>29</v>
      </c>
      <c r="D10" s="21" t="s">
        <v>1554</v>
      </c>
      <c r="E10" s="21" t="s">
        <v>1544</v>
      </c>
      <c r="F10" s="21" t="s">
        <v>1555</v>
      </c>
      <c r="G10" s="21" t="s">
        <v>23</v>
      </c>
      <c r="H10" s="21" t="s">
        <v>23</v>
      </c>
      <c r="I10" s="21" t="s">
        <v>23</v>
      </c>
      <c r="J10" s="21">
        <v>46</v>
      </c>
      <c r="K10" s="21" t="s">
        <v>1556</v>
      </c>
      <c r="L10" s="20" t="s">
        <v>1557</v>
      </c>
    </row>
    <row r="11" spans="1:12" ht="17.100000000000001" customHeight="1">
      <c r="A11" s="26" t="s">
        <v>1589</v>
      </c>
      <c r="B11" s="20" t="s">
        <v>43</v>
      </c>
      <c r="C11" s="21" t="s">
        <v>21</v>
      </c>
      <c r="D11" s="21" t="s">
        <v>1558</v>
      </c>
      <c r="E11" s="21" t="s">
        <v>1544</v>
      </c>
      <c r="F11" s="21" t="s">
        <v>1561</v>
      </c>
      <c r="G11" s="21" t="s">
        <v>23</v>
      </c>
      <c r="H11" s="21" t="s">
        <v>23</v>
      </c>
      <c r="I11" s="21" t="s">
        <v>23</v>
      </c>
      <c r="J11" s="21">
        <v>20</v>
      </c>
      <c r="K11" s="21" t="s">
        <v>1556</v>
      </c>
      <c r="L11" s="20" t="s">
        <v>1562</v>
      </c>
    </row>
    <row r="12" spans="1:12" ht="17.100000000000001" customHeight="1">
      <c r="A12" s="26" t="s">
        <v>1589</v>
      </c>
      <c r="B12" s="20" t="s">
        <v>43</v>
      </c>
      <c r="C12" s="21" t="s">
        <v>29</v>
      </c>
      <c r="D12" s="21" t="s">
        <v>1559</v>
      </c>
      <c r="E12" s="21" t="s">
        <v>1544</v>
      </c>
      <c r="F12" s="21" t="s">
        <v>1561</v>
      </c>
      <c r="G12" s="21" t="s">
        <v>23</v>
      </c>
      <c r="H12" s="21" t="s">
        <v>23</v>
      </c>
      <c r="I12" s="21" t="s">
        <v>23</v>
      </c>
      <c r="J12" s="21">
        <v>59</v>
      </c>
      <c r="K12" s="21" t="s">
        <v>1556</v>
      </c>
      <c r="L12" s="20" t="s">
        <v>1562</v>
      </c>
    </row>
    <row r="13" spans="1:12" ht="17.100000000000001" customHeight="1">
      <c r="A13" s="26" t="s">
        <v>1589</v>
      </c>
      <c r="B13" s="20" t="s">
        <v>43</v>
      </c>
      <c r="C13" s="21" t="s">
        <v>33</v>
      </c>
      <c r="D13" s="21" t="s">
        <v>1560</v>
      </c>
      <c r="E13" s="21" t="s">
        <v>1544</v>
      </c>
      <c r="F13" s="21" t="s">
        <v>1561</v>
      </c>
      <c r="G13" s="21" t="s">
        <v>23</v>
      </c>
      <c r="H13" s="21" t="s">
        <v>23</v>
      </c>
      <c r="I13" s="21" t="s">
        <v>23</v>
      </c>
      <c r="J13" s="21">
        <v>25</v>
      </c>
      <c r="K13" s="21" t="s">
        <v>1556</v>
      </c>
      <c r="L13" s="20" t="s">
        <v>1562</v>
      </c>
    </row>
    <row r="14" spans="1:12" ht="17.100000000000001" customHeight="1">
      <c r="A14" s="26" t="s">
        <v>1589</v>
      </c>
      <c r="B14" s="20" t="s">
        <v>43</v>
      </c>
      <c r="C14" s="21" t="s">
        <v>21</v>
      </c>
      <c r="D14" s="21" t="s">
        <v>1563</v>
      </c>
      <c r="E14" s="21" t="s">
        <v>1544</v>
      </c>
      <c r="F14" s="21" t="s">
        <v>1564</v>
      </c>
      <c r="G14" s="21" t="s">
        <v>23</v>
      </c>
      <c r="H14" s="21" t="s">
        <v>23</v>
      </c>
      <c r="I14" s="21" t="s">
        <v>23</v>
      </c>
      <c r="J14" s="21">
        <v>4</v>
      </c>
      <c r="K14" s="21" t="s">
        <v>1556</v>
      </c>
      <c r="L14" s="20" t="s">
        <v>1565</v>
      </c>
    </row>
    <row r="15" spans="1:12" ht="17.100000000000001" customHeight="1">
      <c r="A15" s="26" t="s">
        <v>1589</v>
      </c>
      <c r="B15" s="20" t="s">
        <v>43</v>
      </c>
      <c r="C15" s="21" t="s">
        <v>21</v>
      </c>
      <c r="D15" s="21" t="s">
        <v>1563</v>
      </c>
      <c r="E15" s="21" t="s">
        <v>1544</v>
      </c>
      <c r="F15" s="21" t="s">
        <v>1564</v>
      </c>
      <c r="G15" s="21" t="s">
        <v>23</v>
      </c>
      <c r="H15" s="21" t="s">
        <v>23</v>
      </c>
      <c r="I15" s="21" t="s">
        <v>23</v>
      </c>
      <c r="J15" s="21">
        <v>36</v>
      </c>
      <c r="K15" s="21" t="s">
        <v>1556</v>
      </c>
      <c r="L15" s="20" t="s">
        <v>1566</v>
      </c>
    </row>
    <row r="16" spans="1:12" ht="17.100000000000001" customHeight="1">
      <c r="A16" s="26" t="s">
        <v>1589</v>
      </c>
      <c r="B16" s="20" t="s">
        <v>43</v>
      </c>
      <c r="C16" s="21" t="s">
        <v>21</v>
      </c>
      <c r="D16" s="21" t="s">
        <v>1563</v>
      </c>
      <c r="E16" s="21" t="s">
        <v>1544</v>
      </c>
      <c r="F16" s="21" t="s">
        <v>1564</v>
      </c>
      <c r="G16" s="21" t="s">
        <v>23</v>
      </c>
      <c r="H16" s="21" t="s">
        <v>23</v>
      </c>
      <c r="I16" s="21" t="s">
        <v>23</v>
      </c>
      <c r="J16" s="21">
        <v>36</v>
      </c>
      <c r="K16" s="21" t="s">
        <v>1556</v>
      </c>
      <c r="L16" s="20" t="s">
        <v>1567</v>
      </c>
    </row>
    <row r="17" spans="1:12" ht="17.100000000000001" customHeight="1">
      <c r="A17" s="26" t="s">
        <v>1589</v>
      </c>
      <c r="B17" s="20" t="s">
        <v>43</v>
      </c>
      <c r="C17" s="21" t="s">
        <v>33</v>
      </c>
      <c r="D17" s="21" t="s">
        <v>1560</v>
      </c>
      <c r="E17" s="21" t="s">
        <v>1544</v>
      </c>
      <c r="F17" s="21" t="s">
        <v>1568</v>
      </c>
      <c r="G17" s="21" t="s">
        <v>23</v>
      </c>
      <c r="H17" s="21" t="s">
        <v>23</v>
      </c>
      <c r="I17" s="21" t="s">
        <v>23</v>
      </c>
      <c r="J17" s="21">
        <v>108</v>
      </c>
      <c r="K17" s="21" t="s">
        <v>1556</v>
      </c>
      <c r="L17" s="20" t="s">
        <v>1571</v>
      </c>
    </row>
    <row r="18" spans="1:12" ht="17.100000000000001" customHeight="1">
      <c r="A18" s="26" t="s">
        <v>1589</v>
      </c>
      <c r="B18" s="20" t="s">
        <v>43</v>
      </c>
      <c r="C18" s="21" t="s">
        <v>33</v>
      </c>
      <c r="D18" s="21" t="s">
        <v>1560</v>
      </c>
      <c r="E18" s="21" t="s">
        <v>1544</v>
      </c>
      <c r="F18" s="21" t="s">
        <v>1569</v>
      </c>
      <c r="G18" s="21" t="s">
        <v>23</v>
      </c>
      <c r="H18" s="21" t="s">
        <v>23</v>
      </c>
      <c r="I18" s="21" t="s">
        <v>23</v>
      </c>
      <c r="J18" s="21">
        <v>41</v>
      </c>
      <c r="K18" s="21" t="s">
        <v>1556</v>
      </c>
      <c r="L18" s="20" t="s">
        <v>1572</v>
      </c>
    </row>
    <row r="19" spans="1:12" ht="17.100000000000001" customHeight="1">
      <c r="A19" s="26" t="s">
        <v>1589</v>
      </c>
      <c r="B19" s="20" t="s">
        <v>43</v>
      </c>
      <c r="C19" s="21" t="s">
        <v>34</v>
      </c>
      <c r="D19" s="21" t="s">
        <v>1570</v>
      </c>
      <c r="E19" s="21" t="s">
        <v>1544</v>
      </c>
      <c r="F19" s="21" t="s">
        <v>1569</v>
      </c>
      <c r="G19" s="21" t="s">
        <v>23</v>
      </c>
      <c r="H19" s="21" t="s">
        <v>23</v>
      </c>
      <c r="I19" s="21" t="s">
        <v>23</v>
      </c>
      <c r="J19" s="21">
        <v>67</v>
      </c>
      <c r="K19" s="21" t="s">
        <v>1556</v>
      </c>
      <c r="L19" s="20" t="s">
        <v>1572</v>
      </c>
    </row>
    <row r="20" spans="1:12" ht="17.100000000000001" customHeight="1">
      <c r="A20" s="26" t="s">
        <v>1589</v>
      </c>
      <c r="B20" s="20" t="s">
        <v>55</v>
      </c>
      <c r="C20" s="21" t="s">
        <v>21</v>
      </c>
      <c r="D20" s="21" t="s">
        <v>1570</v>
      </c>
      <c r="E20" s="21" t="s">
        <v>1544</v>
      </c>
      <c r="F20" s="21" t="s">
        <v>1569</v>
      </c>
      <c r="G20" s="21" t="s">
        <v>23</v>
      </c>
      <c r="H20" s="21" t="s">
        <v>23</v>
      </c>
      <c r="I20" s="21" t="s">
        <v>23</v>
      </c>
      <c r="J20" s="21">
        <v>3</v>
      </c>
      <c r="K20" s="21" t="s">
        <v>1556</v>
      </c>
      <c r="L20" s="20" t="s">
        <v>1573</v>
      </c>
    </row>
    <row r="21" spans="1:12" ht="17.100000000000001" customHeight="1">
      <c r="A21" s="26" t="s">
        <v>1589</v>
      </c>
      <c r="B21" s="20" t="s">
        <v>55</v>
      </c>
      <c r="C21" s="21" t="s">
        <v>21</v>
      </c>
      <c r="D21" s="21" t="s">
        <v>1570</v>
      </c>
      <c r="E21" s="21" t="s">
        <v>1544</v>
      </c>
      <c r="F21" s="21" t="s">
        <v>1569</v>
      </c>
      <c r="G21" s="21" t="s">
        <v>23</v>
      </c>
      <c r="H21" s="21" t="s">
        <v>23</v>
      </c>
      <c r="I21" s="21" t="s">
        <v>23</v>
      </c>
      <c r="J21" s="21">
        <v>5</v>
      </c>
      <c r="K21" s="21" t="s">
        <v>1556</v>
      </c>
      <c r="L21" s="20" t="s">
        <v>1574</v>
      </c>
    </row>
    <row r="22" spans="1:12" ht="17.100000000000001" customHeight="1">
      <c r="A22" s="26" t="s">
        <v>1590</v>
      </c>
      <c r="B22" s="20" t="s">
        <v>43</v>
      </c>
      <c r="C22" s="21" t="s">
        <v>21</v>
      </c>
      <c r="D22" s="21" t="s">
        <v>1570</v>
      </c>
      <c r="E22" s="21" t="s">
        <v>1544</v>
      </c>
      <c r="F22" s="21" t="s">
        <v>1575</v>
      </c>
      <c r="G22" s="21" t="s">
        <v>23</v>
      </c>
      <c r="H22" s="21" t="s">
        <v>23</v>
      </c>
      <c r="I22" s="21" t="s">
        <v>23</v>
      </c>
      <c r="J22" s="21">
        <v>255</v>
      </c>
      <c r="K22" s="21" t="s">
        <v>1576</v>
      </c>
      <c r="L22" s="20" t="s">
        <v>1577</v>
      </c>
    </row>
    <row r="23" spans="1:12" ht="17.100000000000001" customHeight="1">
      <c r="A23" s="26" t="s">
        <v>1590</v>
      </c>
      <c r="B23" s="20" t="s">
        <v>43</v>
      </c>
      <c r="C23" s="21" t="s">
        <v>29</v>
      </c>
      <c r="D23" s="21" t="s">
        <v>1579</v>
      </c>
      <c r="E23" s="21" t="s">
        <v>1544</v>
      </c>
      <c r="F23" s="21" t="s">
        <v>1575</v>
      </c>
      <c r="G23" s="21" t="s">
        <v>23</v>
      </c>
      <c r="H23" s="21" t="s">
        <v>23</v>
      </c>
      <c r="I23" s="21" t="s">
        <v>23</v>
      </c>
      <c r="J23" s="21">
        <v>150</v>
      </c>
      <c r="K23" s="21" t="s">
        <v>1576</v>
      </c>
      <c r="L23" s="20" t="s">
        <v>1578</v>
      </c>
    </row>
    <row r="24" spans="1:12" ht="17.100000000000001" customHeight="1">
      <c r="A24" s="26" t="s">
        <v>1591</v>
      </c>
      <c r="B24" s="20" t="s">
        <v>43</v>
      </c>
      <c r="C24" s="21" t="s">
        <v>21</v>
      </c>
      <c r="D24" s="21" t="s">
        <v>1580</v>
      </c>
      <c r="E24" s="21" t="s">
        <v>1544</v>
      </c>
      <c r="F24" s="21" t="s">
        <v>1581</v>
      </c>
      <c r="G24" s="21" t="s">
        <v>23</v>
      </c>
      <c r="H24" s="21" t="s">
        <v>23</v>
      </c>
      <c r="I24" s="21" t="s">
        <v>23</v>
      </c>
      <c r="J24" s="21">
        <v>250</v>
      </c>
      <c r="K24" s="21" t="s">
        <v>1582</v>
      </c>
      <c r="L24" s="20" t="s">
        <v>1578</v>
      </c>
    </row>
    <row r="25" spans="1:12" ht="17.100000000000001" customHeight="1">
      <c r="A25" s="26" t="s">
        <v>1591</v>
      </c>
      <c r="B25" s="20" t="s">
        <v>43</v>
      </c>
      <c r="C25" s="21" t="s">
        <v>29</v>
      </c>
      <c r="D25" s="21" t="s">
        <v>1583</v>
      </c>
      <c r="E25" s="21" t="s">
        <v>1544</v>
      </c>
      <c r="F25" s="21" t="s">
        <v>1584</v>
      </c>
      <c r="G25" s="21" t="s">
        <v>23</v>
      </c>
      <c r="H25" s="21" t="s">
        <v>23</v>
      </c>
      <c r="I25" s="21" t="s">
        <v>23</v>
      </c>
      <c r="J25" s="21">
        <v>68</v>
      </c>
      <c r="K25" s="21" t="s">
        <v>1582</v>
      </c>
      <c r="L25" s="20" t="s">
        <v>1578</v>
      </c>
    </row>
    <row r="26" spans="1:12" ht="17.100000000000001" customHeight="1">
      <c r="A26" s="26" t="s">
        <v>1591</v>
      </c>
      <c r="B26" s="20" t="s">
        <v>43</v>
      </c>
      <c r="C26" s="21" t="s">
        <v>29</v>
      </c>
      <c r="D26" s="21" t="s">
        <v>1583</v>
      </c>
      <c r="E26" s="21" t="s">
        <v>1544</v>
      </c>
      <c r="F26" s="21" t="s">
        <v>1584</v>
      </c>
      <c r="G26" s="21" t="s">
        <v>23</v>
      </c>
      <c r="H26" s="21" t="s">
        <v>23</v>
      </c>
      <c r="I26" s="21" t="s">
        <v>23</v>
      </c>
      <c r="J26" s="21">
        <v>182</v>
      </c>
      <c r="K26" s="21" t="s">
        <v>1582</v>
      </c>
      <c r="L26" s="20" t="s">
        <v>1585</v>
      </c>
    </row>
    <row r="27" spans="1:12" ht="17.100000000000001" customHeight="1">
      <c r="A27" s="26" t="s">
        <v>1591</v>
      </c>
      <c r="B27" s="20" t="s">
        <v>43</v>
      </c>
      <c r="C27" s="21" t="s">
        <v>33</v>
      </c>
      <c r="D27" s="21" t="s">
        <v>1586</v>
      </c>
      <c r="E27" s="21" t="s">
        <v>1544</v>
      </c>
      <c r="F27" s="21" t="s">
        <v>1587</v>
      </c>
      <c r="G27" s="21" t="s">
        <v>23</v>
      </c>
      <c r="H27" s="21" t="s">
        <v>23</v>
      </c>
      <c r="I27" s="21" t="s">
        <v>23</v>
      </c>
      <c r="J27" s="21">
        <v>286</v>
      </c>
      <c r="K27" s="21" t="s">
        <v>1582</v>
      </c>
      <c r="L27" s="20" t="s">
        <v>1585</v>
      </c>
    </row>
    <row r="28" spans="1:12" ht="17.100000000000001" customHeight="1">
      <c r="A28" s="26" t="s">
        <v>1591</v>
      </c>
      <c r="B28" s="20" t="s">
        <v>43</v>
      </c>
      <c r="C28" s="21" t="s">
        <v>33</v>
      </c>
      <c r="D28" s="21" t="s">
        <v>1586</v>
      </c>
      <c r="E28" s="21" t="s">
        <v>1544</v>
      </c>
      <c r="F28" s="21" t="s">
        <v>1587</v>
      </c>
      <c r="G28" s="21" t="s">
        <v>23</v>
      </c>
      <c r="H28" s="21" t="s">
        <v>23</v>
      </c>
      <c r="I28" s="21" t="s">
        <v>23</v>
      </c>
      <c r="J28" s="21">
        <v>10</v>
      </c>
      <c r="K28" s="21" t="s">
        <v>1582</v>
      </c>
      <c r="L28" s="20" t="s">
        <v>1588</v>
      </c>
    </row>
    <row r="29" spans="1:12" ht="17.100000000000001" customHeight="1">
      <c r="A29" s="19" t="s">
        <v>1592</v>
      </c>
      <c r="B29" s="20" t="s">
        <v>110</v>
      </c>
      <c r="C29" s="21" t="s">
        <v>21</v>
      </c>
      <c r="D29" s="21" t="s">
        <v>1593</v>
      </c>
      <c r="E29" s="21" t="s">
        <v>1544</v>
      </c>
      <c r="F29" s="21" t="s">
        <v>1594</v>
      </c>
      <c r="G29" s="21" t="s">
        <v>23</v>
      </c>
      <c r="H29" s="21" t="s">
        <v>23</v>
      </c>
      <c r="I29" s="21" t="s">
        <v>23</v>
      </c>
      <c r="J29" s="21">
        <v>36</v>
      </c>
      <c r="K29" s="21" t="s">
        <v>1595</v>
      </c>
      <c r="L29" s="20" t="s">
        <v>1596</v>
      </c>
    </row>
    <row r="30" spans="1:12" ht="17.100000000000001" customHeight="1">
      <c r="A30" s="19" t="s">
        <v>1592</v>
      </c>
      <c r="B30" s="20" t="s">
        <v>110</v>
      </c>
      <c r="C30" s="21" t="s">
        <v>21</v>
      </c>
      <c r="D30" s="21" t="s">
        <v>1593</v>
      </c>
      <c r="E30" s="21" t="s">
        <v>1544</v>
      </c>
      <c r="F30" s="21" t="s">
        <v>1594</v>
      </c>
      <c r="G30" s="21" t="s">
        <v>23</v>
      </c>
      <c r="H30" s="21" t="s">
        <v>23</v>
      </c>
      <c r="I30" s="21" t="s">
        <v>23</v>
      </c>
      <c r="J30" s="21">
        <v>3</v>
      </c>
      <c r="K30" s="21" t="s">
        <v>1595</v>
      </c>
      <c r="L30" s="20" t="s">
        <v>1597</v>
      </c>
    </row>
    <row r="31" spans="1:12" ht="17.100000000000001" customHeight="1">
      <c r="A31" s="19" t="s">
        <v>1592</v>
      </c>
      <c r="B31" s="20" t="s">
        <v>110</v>
      </c>
      <c r="C31" s="21" t="s">
        <v>21</v>
      </c>
      <c r="D31" s="21" t="s">
        <v>1593</v>
      </c>
      <c r="E31" s="21" t="s">
        <v>1544</v>
      </c>
      <c r="F31" s="21" t="s">
        <v>1594</v>
      </c>
      <c r="G31" s="21" t="s">
        <v>23</v>
      </c>
      <c r="H31" s="21" t="s">
        <v>23</v>
      </c>
      <c r="I31" s="21" t="s">
        <v>23</v>
      </c>
      <c r="J31" s="21">
        <v>41</v>
      </c>
      <c r="K31" s="21" t="s">
        <v>1595</v>
      </c>
      <c r="L31" s="20" t="s">
        <v>1598</v>
      </c>
    </row>
    <row r="32" spans="1:12" ht="17.100000000000001" customHeight="1">
      <c r="A32" s="19" t="s">
        <v>1592</v>
      </c>
      <c r="B32" s="20" t="s">
        <v>43</v>
      </c>
      <c r="C32" s="21" t="s">
        <v>21</v>
      </c>
      <c r="D32" s="21" t="s">
        <v>1593</v>
      </c>
      <c r="E32" s="21" t="s">
        <v>1544</v>
      </c>
      <c r="F32" s="21" t="s">
        <v>1594</v>
      </c>
      <c r="G32" s="21" t="s">
        <v>23</v>
      </c>
      <c r="H32" s="21" t="s">
        <v>23</v>
      </c>
      <c r="I32" s="21" t="s">
        <v>23</v>
      </c>
      <c r="J32" s="21">
        <v>150</v>
      </c>
      <c r="K32" s="21" t="s">
        <v>1599</v>
      </c>
      <c r="L32" s="20" t="s">
        <v>1588</v>
      </c>
    </row>
    <row r="33" spans="1:12" ht="17.100000000000001" customHeight="1">
      <c r="A33" s="26" t="s">
        <v>1603</v>
      </c>
      <c r="B33" s="20" t="s">
        <v>43</v>
      </c>
      <c r="C33" s="21" t="s">
        <v>21</v>
      </c>
      <c r="D33" s="21" t="s">
        <v>1606</v>
      </c>
      <c r="E33" s="21" t="s">
        <v>808</v>
      </c>
      <c r="F33" s="21" t="s">
        <v>1605</v>
      </c>
      <c r="G33" s="21" t="s">
        <v>23</v>
      </c>
      <c r="H33" s="21" t="s">
        <v>23</v>
      </c>
      <c r="I33" s="21" t="s">
        <v>23</v>
      </c>
      <c r="J33" s="21">
        <v>150</v>
      </c>
      <c r="K33" s="21" t="s">
        <v>1600</v>
      </c>
      <c r="L33" s="20" t="s">
        <v>1588</v>
      </c>
    </row>
    <row r="34" spans="1:12" ht="17.100000000000001" customHeight="1">
      <c r="A34" s="26" t="s">
        <v>1603</v>
      </c>
      <c r="B34" s="20" t="s">
        <v>43</v>
      </c>
      <c r="C34" s="21" t="s">
        <v>29</v>
      </c>
      <c r="D34" s="21" t="s">
        <v>1601</v>
      </c>
      <c r="E34" s="21" t="s">
        <v>808</v>
      </c>
      <c r="F34" s="21" t="s">
        <v>1602</v>
      </c>
      <c r="G34" s="21" t="s">
        <v>23</v>
      </c>
      <c r="H34" s="21" t="s">
        <v>23</v>
      </c>
      <c r="I34" s="21" t="s">
        <v>23</v>
      </c>
      <c r="J34" s="21">
        <v>150</v>
      </c>
      <c r="K34" s="21" t="s">
        <v>1576</v>
      </c>
      <c r="L34" s="20" t="s">
        <v>1588</v>
      </c>
    </row>
    <row r="35" spans="1:12" ht="17.100000000000001" customHeight="1">
      <c r="A35" s="19" t="s">
        <v>1603</v>
      </c>
      <c r="B35" s="20" t="s">
        <v>116</v>
      </c>
      <c r="C35" s="21" t="s">
        <v>21</v>
      </c>
      <c r="D35" s="21" t="s">
        <v>1604</v>
      </c>
      <c r="E35" s="21" t="s">
        <v>808</v>
      </c>
      <c r="F35" s="21" t="s">
        <v>1605</v>
      </c>
      <c r="G35" s="21" t="s">
        <v>23</v>
      </c>
      <c r="H35" s="21" t="s">
        <v>23</v>
      </c>
      <c r="I35" s="21" t="s">
        <v>23</v>
      </c>
      <c r="J35" s="21">
        <v>2</v>
      </c>
      <c r="K35" s="21" t="s">
        <v>1607</v>
      </c>
      <c r="L35" s="20" t="s">
        <v>1608</v>
      </c>
    </row>
    <row r="36" spans="1:12" ht="17.100000000000001" customHeight="1">
      <c r="A36" s="26" t="s">
        <v>1622</v>
      </c>
      <c r="B36" s="20" t="s">
        <v>116</v>
      </c>
      <c r="C36" s="21" t="s">
        <v>21</v>
      </c>
      <c r="D36" s="21" t="s">
        <v>1604</v>
      </c>
      <c r="E36" s="21" t="s">
        <v>808</v>
      </c>
      <c r="F36" s="21" t="s">
        <v>1605</v>
      </c>
      <c r="G36" s="21" t="s">
        <v>23</v>
      </c>
      <c r="H36" s="21" t="s">
        <v>23</v>
      </c>
      <c r="I36" s="21" t="s">
        <v>23</v>
      </c>
      <c r="J36" s="21">
        <v>72</v>
      </c>
      <c r="K36" s="21" t="s">
        <v>1607</v>
      </c>
      <c r="L36" s="20" t="s">
        <v>1609</v>
      </c>
    </row>
    <row r="37" spans="1:12" ht="17.100000000000001" customHeight="1">
      <c r="A37" s="26" t="s">
        <v>1622</v>
      </c>
      <c r="B37" s="20" t="s">
        <v>116</v>
      </c>
      <c r="C37" s="21" t="s">
        <v>21</v>
      </c>
      <c r="D37" s="21" t="s">
        <v>1604</v>
      </c>
      <c r="E37" s="21" t="s">
        <v>808</v>
      </c>
      <c r="F37" s="21" t="s">
        <v>1605</v>
      </c>
      <c r="G37" s="21" t="s">
        <v>23</v>
      </c>
      <c r="H37" s="21" t="s">
        <v>23</v>
      </c>
      <c r="I37" s="21" t="s">
        <v>23</v>
      </c>
      <c r="J37" s="21">
        <v>30</v>
      </c>
      <c r="K37" s="21" t="s">
        <v>1607</v>
      </c>
      <c r="L37" s="20" t="s">
        <v>1610</v>
      </c>
    </row>
    <row r="38" spans="1:12" ht="17.100000000000001" customHeight="1">
      <c r="A38" s="26" t="s">
        <v>1622</v>
      </c>
      <c r="B38" s="20" t="s">
        <v>116</v>
      </c>
      <c r="C38" s="21" t="s">
        <v>29</v>
      </c>
      <c r="D38" s="21" t="s">
        <v>1606</v>
      </c>
      <c r="E38" s="21" t="s">
        <v>808</v>
      </c>
      <c r="F38" s="21" t="s">
        <v>1605</v>
      </c>
      <c r="G38" s="21" t="s">
        <v>23</v>
      </c>
      <c r="H38" s="21" t="s">
        <v>23</v>
      </c>
      <c r="I38" s="21" t="s">
        <v>23</v>
      </c>
      <c r="J38" s="21">
        <v>42</v>
      </c>
      <c r="K38" s="21" t="s">
        <v>1607</v>
      </c>
      <c r="L38" s="20" t="s">
        <v>1610</v>
      </c>
    </row>
    <row r="39" spans="1:12" ht="17.100000000000001" customHeight="1">
      <c r="A39" s="26" t="s">
        <v>1622</v>
      </c>
      <c r="B39" s="20" t="s">
        <v>116</v>
      </c>
      <c r="C39" s="21" t="s">
        <v>29</v>
      </c>
      <c r="D39" s="21" t="s">
        <v>1606</v>
      </c>
      <c r="E39" s="21" t="s">
        <v>808</v>
      </c>
      <c r="F39" s="21" t="s">
        <v>1605</v>
      </c>
      <c r="G39" s="21" t="s">
        <v>23</v>
      </c>
      <c r="H39" s="21" t="s">
        <v>23</v>
      </c>
      <c r="I39" s="21" t="s">
        <v>23</v>
      </c>
      <c r="J39" s="21">
        <v>72</v>
      </c>
      <c r="K39" s="21" t="s">
        <v>1607</v>
      </c>
      <c r="L39" s="20" t="s">
        <v>1611</v>
      </c>
    </row>
    <row r="40" spans="1:12" ht="17.100000000000001" customHeight="1">
      <c r="A40" s="26" t="s">
        <v>1622</v>
      </c>
      <c r="B40" s="20" t="s">
        <v>20</v>
      </c>
      <c r="C40" s="21" t="s">
        <v>21</v>
      </c>
      <c r="D40" s="21" t="s">
        <v>1612</v>
      </c>
      <c r="E40" s="21" t="s">
        <v>808</v>
      </c>
      <c r="F40" s="21"/>
      <c r="G40" s="21" t="s">
        <v>23</v>
      </c>
      <c r="H40" s="21" t="s">
        <v>23</v>
      </c>
      <c r="I40" s="21" t="s">
        <v>23</v>
      </c>
      <c r="J40" s="21">
        <v>20</v>
      </c>
      <c r="K40" s="21" t="s">
        <v>1613</v>
      </c>
      <c r="L40" s="20" t="s">
        <v>1614</v>
      </c>
    </row>
    <row r="41" spans="1:12" ht="17.100000000000001" customHeight="1">
      <c r="A41" s="26" t="s">
        <v>1623</v>
      </c>
      <c r="B41" s="20" t="s">
        <v>20</v>
      </c>
      <c r="C41" s="21" t="s">
        <v>21</v>
      </c>
      <c r="D41" s="21" t="s">
        <v>1615</v>
      </c>
      <c r="E41" s="21" t="s">
        <v>23</v>
      </c>
      <c r="F41" s="21" t="s">
        <v>1644</v>
      </c>
      <c r="G41" s="21" t="s">
        <v>1645</v>
      </c>
      <c r="H41" s="21"/>
      <c r="I41" s="21" t="s">
        <v>23</v>
      </c>
      <c r="J41" s="21">
        <v>266</v>
      </c>
      <c r="K41" s="21" t="s">
        <v>1618</v>
      </c>
      <c r="L41" s="20" t="s">
        <v>1614</v>
      </c>
    </row>
    <row r="42" spans="1:12" ht="17.100000000000001" customHeight="1">
      <c r="A42" s="26" t="s">
        <v>1623</v>
      </c>
      <c r="B42" s="20" t="s">
        <v>20</v>
      </c>
      <c r="C42" s="21" t="s">
        <v>29</v>
      </c>
      <c r="D42" s="21" t="s">
        <v>1616</v>
      </c>
      <c r="E42" s="21" t="s">
        <v>23</v>
      </c>
      <c r="F42" s="21" t="s">
        <v>1644</v>
      </c>
      <c r="G42" s="21" t="s">
        <v>1645</v>
      </c>
      <c r="H42" s="21"/>
      <c r="I42" s="21" t="s">
        <v>23</v>
      </c>
      <c r="J42" s="21">
        <v>242</v>
      </c>
      <c r="K42" s="21" t="s">
        <v>1618</v>
      </c>
      <c r="L42" s="20" t="s">
        <v>1614</v>
      </c>
    </row>
    <row r="43" spans="1:12" ht="17.100000000000001" customHeight="1">
      <c r="A43" s="26" t="s">
        <v>1623</v>
      </c>
      <c r="B43" s="20" t="s">
        <v>20</v>
      </c>
      <c r="C43" s="21" t="s">
        <v>33</v>
      </c>
      <c r="D43" s="21" t="s">
        <v>1617</v>
      </c>
      <c r="E43" s="21" t="s">
        <v>23</v>
      </c>
      <c r="F43" s="21" t="s">
        <v>1644</v>
      </c>
      <c r="G43" s="21" t="s">
        <v>1645</v>
      </c>
      <c r="H43" s="21"/>
      <c r="I43" s="21" t="s">
        <v>23</v>
      </c>
      <c r="J43" s="21">
        <v>18</v>
      </c>
      <c r="K43" s="21" t="s">
        <v>1618</v>
      </c>
      <c r="L43" s="20" t="s">
        <v>1614</v>
      </c>
    </row>
    <row r="44" spans="1:12" ht="17.100000000000001" customHeight="1">
      <c r="A44" s="26" t="s">
        <v>1623</v>
      </c>
      <c r="B44" s="20" t="s">
        <v>20</v>
      </c>
      <c r="C44" s="21" t="s">
        <v>33</v>
      </c>
      <c r="D44" s="21" t="s">
        <v>1617</v>
      </c>
      <c r="E44" s="21" t="s">
        <v>23</v>
      </c>
      <c r="F44" s="21" t="s">
        <v>1644</v>
      </c>
      <c r="G44" s="21" t="s">
        <v>1645</v>
      </c>
      <c r="H44" s="21"/>
      <c r="I44" s="21" t="s">
        <v>23</v>
      </c>
      <c r="J44" s="21">
        <v>92</v>
      </c>
      <c r="K44" s="21" t="s">
        <v>1618</v>
      </c>
      <c r="L44" s="20" t="s">
        <v>1619</v>
      </c>
    </row>
    <row r="45" spans="1:12" ht="17.100000000000001" customHeight="1">
      <c r="A45" s="26" t="s">
        <v>1623</v>
      </c>
      <c r="B45" s="20" t="s">
        <v>55</v>
      </c>
      <c r="C45" s="21" t="s">
        <v>33</v>
      </c>
      <c r="D45" s="21" t="s">
        <v>1617</v>
      </c>
      <c r="E45" s="21" t="s">
        <v>808</v>
      </c>
      <c r="F45" s="21" t="s">
        <v>1602</v>
      </c>
      <c r="G45" s="21" t="s">
        <v>23</v>
      </c>
      <c r="H45" s="21"/>
      <c r="I45" s="21" t="s">
        <v>23</v>
      </c>
      <c r="J45" s="21">
        <v>22</v>
      </c>
      <c r="K45" s="21" t="s">
        <v>1620</v>
      </c>
      <c r="L45" s="20" t="s">
        <v>1621</v>
      </c>
    </row>
    <row r="46" spans="1:12" ht="17.100000000000001" customHeight="1">
      <c r="A46" s="26" t="s">
        <v>1623</v>
      </c>
      <c r="B46" s="20" t="s">
        <v>43</v>
      </c>
      <c r="C46" s="21" t="s">
        <v>21</v>
      </c>
      <c r="D46" s="21" t="s">
        <v>1601</v>
      </c>
      <c r="E46" s="21" t="s">
        <v>1544</v>
      </c>
      <c r="F46" s="21" t="s">
        <v>1602</v>
      </c>
      <c r="G46" s="21" t="s">
        <v>23</v>
      </c>
      <c r="H46" s="21" t="s">
        <v>23</v>
      </c>
      <c r="I46" s="21" t="s">
        <v>23</v>
      </c>
      <c r="J46" s="21">
        <v>100</v>
      </c>
      <c r="K46" s="21" t="s">
        <v>1528</v>
      </c>
      <c r="L46" s="20" t="s">
        <v>1627</v>
      </c>
    </row>
    <row r="47" spans="1:12" ht="17.100000000000001" customHeight="1">
      <c r="A47" s="19" t="s">
        <v>1624</v>
      </c>
      <c r="B47" s="20" t="s">
        <v>43</v>
      </c>
      <c r="C47" s="21" t="s">
        <v>21</v>
      </c>
      <c r="D47" s="21" t="s">
        <v>1625</v>
      </c>
      <c r="E47" s="21" t="s">
        <v>1544</v>
      </c>
      <c r="F47" s="21" t="s">
        <v>1602</v>
      </c>
      <c r="G47" s="21" t="s">
        <v>23</v>
      </c>
      <c r="H47" s="21" t="s">
        <v>23</v>
      </c>
      <c r="I47" s="21" t="s">
        <v>23</v>
      </c>
      <c r="J47" s="21">
        <v>162</v>
      </c>
      <c r="K47" s="21" t="s">
        <v>1626</v>
      </c>
      <c r="L47" s="20" t="s">
        <v>1588</v>
      </c>
    </row>
    <row r="48" spans="1:12" ht="17.100000000000001" customHeight="1">
      <c r="A48" s="19" t="s">
        <v>1624</v>
      </c>
      <c r="B48" s="20" t="s">
        <v>43</v>
      </c>
      <c r="C48" s="21" t="s">
        <v>29</v>
      </c>
      <c r="D48" s="21" t="s">
        <v>1629</v>
      </c>
      <c r="E48" s="21" t="s">
        <v>1544</v>
      </c>
      <c r="F48" s="21" t="s">
        <v>1602</v>
      </c>
      <c r="G48" s="21" t="s">
        <v>23</v>
      </c>
      <c r="H48" s="21" t="s">
        <v>23</v>
      </c>
      <c r="I48" s="21" t="s">
        <v>23</v>
      </c>
      <c r="J48" s="21">
        <v>6</v>
      </c>
      <c r="K48" s="21" t="s">
        <v>1628</v>
      </c>
      <c r="L48" s="20" t="s">
        <v>1588</v>
      </c>
    </row>
    <row r="49" spans="1:12" ht="17.100000000000001" customHeight="1">
      <c r="A49" s="19" t="s">
        <v>1624</v>
      </c>
      <c r="B49" s="20" t="s">
        <v>43</v>
      </c>
      <c r="C49" s="21" t="s">
        <v>29</v>
      </c>
      <c r="D49" s="21" t="s">
        <v>1629</v>
      </c>
      <c r="E49" s="21" t="s">
        <v>1544</v>
      </c>
      <c r="F49" s="21" t="s">
        <v>1602</v>
      </c>
      <c r="G49" s="21" t="s">
        <v>23</v>
      </c>
      <c r="H49" s="21" t="s">
        <v>23</v>
      </c>
      <c r="I49" s="21" t="s">
        <v>23</v>
      </c>
      <c r="J49" s="21">
        <f>93-6</f>
        <v>87</v>
      </c>
      <c r="K49" s="21" t="s">
        <v>1628</v>
      </c>
      <c r="L49" s="20" t="s">
        <v>1627</v>
      </c>
    </row>
    <row r="50" spans="1:12" ht="17.100000000000001" customHeight="1">
      <c r="A50" s="19" t="s">
        <v>1624</v>
      </c>
      <c r="B50" s="20" t="s">
        <v>43</v>
      </c>
      <c r="C50" s="21" t="s">
        <v>33</v>
      </c>
      <c r="D50" s="21" t="s">
        <v>1630</v>
      </c>
      <c r="E50" s="21" t="s">
        <v>1544</v>
      </c>
      <c r="F50" s="21" t="s">
        <v>1631</v>
      </c>
      <c r="G50" s="21" t="s">
        <v>23</v>
      </c>
      <c r="H50" s="21" t="s">
        <v>23</v>
      </c>
      <c r="I50" s="21" t="s">
        <v>23</v>
      </c>
      <c r="J50" s="21">
        <f>156-87</f>
        <v>69</v>
      </c>
      <c r="K50" s="21" t="s">
        <v>1628</v>
      </c>
      <c r="L50" s="20" t="s">
        <v>1627</v>
      </c>
    </row>
    <row r="51" spans="1:12" ht="17.100000000000001" customHeight="1">
      <c r="A51" s="19" t="s">
        <v>1624</v>
      </c>
      <c r="B51" s="20" t="s">
        <v>43</v>
      </c>
      <c r="C51" s="21" t="s">
        <v>33</v>
      </c>
      <c r="D51" s="21" t="s">
        <v>1630</v>
      </c>
      <c r="E51" s="21" t="s">
        <v>1544</v>
      </c>
      <c r="F51" s="21" t="s">
        <v>1631</v>
      </c>
      <c r="G51" s="21" t="s">
        <v>23</v>
      </c>
      <c r="H51" s="21" t="s">
        <v>23</v>
      </c>
      <c r="I51" s="21" t="s">
        <v>23</v>
      </c>
      <c r="J51" s="21">
        <v>156</v>
      </c>
      <c r="K51" s="21" t="s">
        <v>1628</v>
      </c>
      <c r="L51" s="20" t="s">
        <v>1632</v>
      </c>
    </row>
    <row r="52" spans="1:12" ht="17.100000000000001" customHeight="1">
      <c r="A52" s="19" t="s">
        <v>1624</v>
      </c>
      <c r="B52" s="20" t="s">
        <v>43</v>
      </c>
      <c r="C52" s="21" t="s">
        <v>33</v>
      </c>
      <c r="D52" s="21" t="s">
        <v>1630</v>
      </c>
      <c r="E52" s="21" t="s">
        <v>1544</v>
      </c>
      <c r="F52" s="21" t="s">
        <v>1631</v>
      </c>
      <c r="G52" s="21" t="s">
        <v>23</v>
      </c>
      <c r="H52" s="21" t="s">
        <v>23</v>
      </c>
      <c r="I52" s="21" t="s">
        <v>23</v>
      </c>
      <c r="J52" s="21">
        <v>3</v>
      </c>
      <c r="K52" s="21" t="s">
        <v>1628</v>
      </c>
      <c r="L52" s="20" t="s">
        <v>1633</v>
      </c>
    </row>
    <row r="53" spans="1:12" ht="17.100000000000001" customHeight="1">
      <c r="A53" s="19" t="s">
        <v>1624</v>
      </c>
      <c r="B53" s="20" t="s">
        <v>43</v>
      </c>
      <c r="C53" s="21" t="s">
        <v>33</v>
      </c>
      <c r="D53" s="21" t="s">
        <v>1630</v>
      </c>
      <c r="E53" s="21" t="s">
        <v>1544</v>
      </c>
      <c r="F53" s="21" t="s">
        <v>1631</v>
      </c>
      <c r="G53" s="21" t="s">
        <v>23</v>
      </c>
      <c r="H53" s="21" t="s">
        <v>23</v>
      </c>
      <c r="I53" s="21" t="s">
        <v>23</v>
      </c>
      <c r="J53" s="21">
        <v>12</v>
      </c>
      <c r="K53" s="21" t="s">
        <v>1628</v>
      </c>
      <c r="L53" s="20" t="s">
        <v>1634</v>
      </c>
    </row>
    <row r="54" spans="1:12" ht="17.100000000000001" customHeight="1">
      <c r="A54" s="19" t="s">
        <v>1624</v>
      </c>
      <c r="B54" s="20" t="s">
        <v>43</v>
      </c>
      <c r="C54" s="21" t="s">
        <v>34</v>
      </c>
      <c r="D54" s="21" t="s">
        <v>1635</v>
      </c>
      <c r="E54" s="21" t="s">
        <v>1544</v>
      </c>
      <c r="F54" s="21" t="s">
        <v>1631</v>
      </c>
      <c r="G54" s="21" t="s">
        <v>23</v>
      </c>
      <c r="H54" s="21" t="s">
        <v>23</v>
      </c>
      <c r="I54" s="21" t="s">
        <v>23</v>
      </c>
      <c r="J54" s="21">
        <v>144</v>
      </c>
      <c r="K54" s="21" t="s">
        <v>1628</v>
      </c>
      <c r="L54" s="20" t="s">
        <v>1634</v>
      </c>
    </row>
    <row r="55" spans="1:12" ht="17.100000000000001" customHeight="1">
      <c r="A55" s="19" t="s">
        <v>1637</v>
      </c>
      <c r="B55" s="20" t="s">
        <v>55</v>
      </c>
      <c r="C55" s="21" t="s">
        <v>21</v>
      </c>
      <c r="D55" s="21" t="s">
        <v>1638</v>
      </c>
      <c r="E55" s="21" t="s">
        <v>1639</v>
      </c>
      <c r="F55" s="21" t="s">
        <v>1636</v>
      </c>
      <c r="G55" s="21" t="s">
        <v>23</v>
      </c>
      <c r="H55" s="21" t="s">
        <v>23</v>
      </c>
      <c r="I55" s="21" t="s">
        <v>23</v>
      </c>
      <c r="J55" s="21">
        <v>10</v>
      </c>
      <c r="K55" s="21" t="s">
        <v>1640</v>
      </c>
      <c r="L55" s="20" t="s">
        <v>1641</v>
      </c>
    </row>
    <row r="56" spans="1:12" ht="17.100000000000001" customHeight="1">
      <c r="A56" s="19" t="s">
        <v>1637</v>
      </c>
      <c r="B56" s="20" t="s">
        <v>55</v>
      </c>
      <c r="C56" s="21" t="s">
        <v>21</v>
      </c>
      <c r="D56" s="21" t="s">
        <v>1638</v>
      </c>
      <c r="E56" s="21" t="s">
        <v>1639</v>
      </c>
      <c r="F56" s="21" t="s">
        <v>1636</v>
      </c>
      <c r="G56" s="21" t="s">
        <v>23</v>
      </c>
      <c r="H56" s="21" t="s">
        <v>23</v>
      </c>
      <c r="I56" s="21" t="s">
        <v>23</v>
      </c>
      <c r="J56" s="21">
        <v>72</v>
      </c>
      <c r="K56" s="21" t="s">
        <v>1640</v>
      </c>
      <c r="L56" s="20" t="s">
        <v>1642</v>
      </c>
    </row>
    <row r="57" spans="1:12" ht="17.100000000000001" customHeight="1">
      <c r="A57" s="19" t="s">
        <v>1637</v>
      </c>
      <c r="B57" s="20" t="s">
        <v>20</v>
      </c>
      <c r="C57" s="21" t="s">
        <v>21</v>
      </c>
      <c r="D57" s="21" t="s">
        <v>1643</v>
      </c>
      <c r="E57" s="21" t="s">
        <v>23</v>
      </c>
      <c r="F57" s="21" t="s">
        <v>1644</v>
      </c>
      <c r="G57" s="21" t="s">
        <v>1645</v>
      </c>
      <c r="H57" s="21"/>
      <c r="I57" s="21" t="s">
        <v>23</v>
      </c>
      <c r="J57" s="21">
        <v>273</v>
      </c>
      <c r="K57" s="21" t="s">
        <v>517</v>
      </c>
      <c r="L57" s="20" t="s">
        <v>1619</v>
      </c>
    </row>
    <row r="58" spans="1:12" ht="17.100000000000001" customHeight="1">
      <c r="A58" s="22" t="s">
        <v>1646</v>
      </c>
      <c r="B58" s="20" t="s">
        <v>43</v>
      </c>
      <c r="C58" s="21" t="s">
        <v>21</v>
      </c>
      <c r="D58" s="21" t="s">
        <v>1647</v>
      </c>
      <c r="E58" s="21" t="s">
        <v>1639</v>
      </c>
      <c r="F58" s="21" t="s">
        <v>1638</v>
      </c>
      <c r="G58" s="21" t="s">
        <v>23</v>
      </c>
      <c r="H58" s="21" t="s">
        <v>23</v>
      </c>
      <c r="I58" s="21" t="s">
        <v>23</v>
      </c>
      <c r="J58" s="21">
        <v>22</v>
      </c>
      <c r="K58" s="21" t="s">
        <v>1640</v>
      </c>
      <c r="L58" s="20" t="s">
        <v>1634</v>
      </c>
    </row>
    <row r="59" spans="1:12" ht="17.100000000000001" customHeight="1">
      <c r="A59" s="22" t="s">
        <v>1646</v>
      </c>
      <c r="B59" s="20" t="s">
        <v>43</v>
      </c>
      <c r="C59" s="21" t="s">
        <v>29</v>
      </c>
      <c r="D59" s="21" t="s">
        <v>1648</v>
      </c>
      <c r="E59" s="21" t="s">
        <v>1639</v>
      </c>
      <c r="F59" s="21" t="s">
        <v>1638</v>
      </c>
      <c r="G59" s="21" t="s">
        <v>23</v>
      </c>
      <c r="H59" s="21" t="s">
        <v>23</v>
      </c>
      <c r="I59" s="21" t="s">
        <v>23</v>
      </c>
      <c r="J59" s="21">
        <v>109</v>
      </c>
      <c r="K59" s="21" t="s">
        <v>1640</v>
      </c>
      <c r="L59" s="20" t="s">
        <v>1634</v>
      </c>
    </row>
    <row r="60" spans="1:12" ht="17.100000000000001" customHeight="1">
      <c r="A60" s="22" t="s">
        <v>1646</v>
      </c>
      <c r="B60" s="20" t="s">
        <v>43</v>
      </c>
      <c r="C60" s="21" t="s">
        <v>33</v>
      </c>
      <c r="D60" s="21" t="s">
        <v>1648</v>
      </c>
      <c r="E60" s="21" t="s">
        <v>1639</v>
      </c>
      <c r="F60" s="21" t="s">
        <v>1649</v>
      </c>
      <c r="G60" s="21" t="s">
        <v>23</v>
      </c>
      <c r="H60" s="21" t="s">
        <v>23</v>
      </c>
      <c r="I60" s="21" t="s">
        <v>23</v>
      </c>
      <c r="J60" s="21">
        <v>69</v>
      </c>
      <c r="K60" s="21" t="s">
        <v>1640</v>
      </c>
      <c r="L60" s="20" t="s">
        <v>1651</v>
      </c>
    </row>
    <row r="61" spans="1:12" ht="17.100000000000001" customHeight="1">
      <c r="A61" s="22" t="s">
        <v>1646</v>
      </c>
      <c r="B61" s="20" t="s">
        <v>43</v>
      </c>
      <c r="C61" s="21" t="s">
        <v>34</v>
      </c>
      <c r="D61" s="21" t="s">
        <v>1648</v>
      </c>
      <c r="E61" s="21" t="s">
        <v>1639</v>
      </c>
      <c r="F61" s="21" t="s">
        <v>1650</v>
      </c>
      <c r="G61" s="21" t="s">
        <v>23</v>
      </c>
      <c r="H61" s="21" t="s">
        <v>23</v>
      </c>
      <c r="I61" s="21" t="s">
        <v>23</v>
      </c>
      <c r="J61" s="21">
        <v>53</v>
      </c>
      <c r="K61" s="21" t="s">
        <v>1640</v>
      </c>
      <c r="L61" s="20" t="s">
        <v>1651</v>
      </c>
    </row>
    <row r="62" spans="1:12" ht="17.100000000000001" customHeight="1">
      <c r="A62" s="22" t="s">
        <v>1646</v>
      </c>
      <c r="B62" s="20" t="s">
        <v>43</v>
      </c>
      <c r="C62" s="21" t="s">
        <v>139</v>
      </c>
      <c r="D62" s="21" t="s">
        <v>1652</v>
      </c>
      <c r="E62" s="21" t="s">
        <v>1639</v>
      </c>
      <c r="F62" s="21" t="s">
        <v>1581</v>
      </c>
      <c r="G62" s="21" t="s">
        <v>23</v>
      </c>
      <c r="H62" s="21" t="s">
        <v>23</v>
      </c>
      <c r="I62" s="21" t="s">
        <v>23</v>
      </c>
      <c r="J62" s="21">
        <v>48</v>
      </c>
      <c r="K62" s="21" t="s">
        <v>1640</v>
      </c>
      <c r="L62" s="20" t="s">
        <v>1651</v>
      </c>
    </row>
    <row r="63" spans="1:12" ht="17.100000000000001" customHeight="1">
      <c r="A63" s="22" t="s">
        <v>1646</v>
      </c>
      <c r="B63" s="20" t="s">
        <v>43</v>
      </c>
      <c r="C63" s="21" t="s">
        <v>142</v>
      </c>
      <c r="D63" s="21" t="s">
        <v>1654</v>
      </c>
      <c r="E63" s="21" t="s">
        <v>1639</v>
      </c>
      <c r="F63" s="21" t="s">
        <v>1653</v>
      </c>
      <c r="G63" s="21" t="s">
        <v>23</v>
      </c>
      <c r="H63" s="21" t="s">
        <v>23</v>
      </c>
      <c r="I63" s="21" t="s">
        <v>23</v>
      </c>
      <c r="J63" s="21">
        <v>72</v>
      </c>
      <c r="K63" s="21" t="s">
        <v>1640</v>
      </c>
      <c r="L63" s="20" t="s">
        <v>1651</v>
      </c>
    </row>
    <row r="64" spans="1:12" ht="17.100000000000001" customHeight="1">
      <c r="A64" s="22" t="s">
        <v>1646</v>
      </c>
      <c r="B64" s="20" t="s">
        <v>43</v>
      </c>
      <c r="C64" s="21" t="s">
        <v>143</v>
      </c>
      <c r="D64" s="21" t="s">
        <v>1655</v>
      </c>
      <c r="E64" s="21" t="s">
        <v>1639</v>
      </c>
      <c r="F64" s="21" t="s">
        <v>1653</v>
      </c>
      <c r="G64" s="21" t="s">
        <v>23</v>
      </c>
      <c r="H64" s="21" t="s">
        <v>23</v>
      </c>
      <c r="I64" s="21" t="s">
        <v>23</v>
      </c>
      <c r="J64" s="21">
        <v>103</v>
      </c>
      <c r="K64" s="21" t="s">
        <v>1640</v>
      </c>
      <c r="L64" s="20" t="s">
        <v>1651</v>
      </c>
    </row>
    <row r="65" spans="1:12" ht="17.100000000000001" customHeight="1">
      <c r="A65" s="22" t="s">
        <v>1646</v>
      </c>
      <c r="B65" s="20" t="s">
        <v>55</v>
      </c>
      <c r="C65" s="21" t="s">
        <v>21</v>
      </c>
      <c r="D65" s="21" t="s">
        <v>1655</v>
      </c>
      <c r="E65" s="21" t="s">
        <v>1639</v>
      </c>
      <c r="F65" s="21" t="s">
        <v>1656</v>
      </c>
      <c r="G65" s="21" t="s">
        <v>23</v>
      </c>
      <c r="H65" s="21" t="s">
        <v>23</v>
      </c>
      <c r="I65" s="21" t="s">
        <v>23</v>
      </c>
      <c r="J65" s="21">
        <v>40</v>
      </c>
      <c r="K65" s="21" t="s">
        <v>1657</v>
      </c>
      <c r="L65" s="20" t="s">
        <v>1658</v>
      </c>
    </row>
    <row r="66" spans="1:12" ht="17.100000000000001" customHeight="1">
      <c r="A66" s="22" t="s">
        <v>1646</v>
      </c>
      <c r="B66" s="20" t="s">
        <v>116</v>
      </c>
      <c r="C66" s="21" t="s">
        <v>21</v>
      </c>
      <c r="D66" s="21" t="s">
        <v>1655</v>
      </c>
      <c r="E66" s="21" t="s">
        <v>1639</v>
      </c>
      <c r="F66" s="21" t="s">
        <v>1656</v>
      </c>
      <c r="G66" s="21" t="s">
        <v>23</v>
      </c>
      <c r="H66" s="21" t="s">
        <v>23</v>
      </c>
      <c r="I66" s="21" t="s">
        <v>23</v>
      </c>
      <c r="J66" s="21">
        <v>72</v>
      </c>
      <c r="K66" s="21" t="s">
        <v>62</v>
      </c>
      <c r="L66" s="20" t="s">
        <v>1659</v>
      </c>
    </row>
    <row r="67" spans="1:12" ht="17.100000000000001" customHeight="1">
      <c r="A67" s="22" t="s">
        <v>1646</v>
      </c>
      <c r="B67" s="20" t="s">
        <v>116</v>
      </c>
      <c r="C67" s="21" t="s">
        <v>21</v>
      </c>
      <c r="D67" s="21" t="s">
        <v>1655</v>
      </c>
      <c r="E67" s="21" t="s">
        <v>1639</v>
      </c>
      <c r="F67" s="21" t="s">
        <v>1656</v>
      </c>
      <c r="G67" s="21" t="s">
        <v>23</v>
      </c>
      <c r="H67" s="21" t="s">
        <v>23</v>
      </c>
      <c r="I67" s="21" t="s">
        <v>23</v>
      </c>
      <c r="J67" s="21">
        <v>50</v>
      </c>
      <c r="K67" s="21" t="s">
        <v>62</v>
      </c>
      <c r="L67" s="20" t="s">
        <v>1660</v>
      </c>
    </row>
    <row r="68" spans="1:12" ht="17.100000000000001" customHeight="1">
      <c r="A68" s="22" t="s">
        <v>1661</v>
      </c>
      <c r="B68" s="20" t="s">
        <v>116</v>
      </c>
      <c r="C68" s="21" t="s">
        <v>21</v>
      </c>
      <c r="D68" s="21" t="s">
        <v>1662</v>
      </c>
      <c r="E68" s="21" t="s">
        <v>1639</v>
      </c>
      <c r="F68" s="21" t="s">
        <v>1656</v>
      </c>
      <c r="G68" s="21" t="s">
        <v>23</v>
      </c>
      <c r="H68" s="21" t="s">
        <v>23</v>
      </c>
      <c r="I68" s="21" t="s">
        <v>23</v>
      </c>
      <c r="J68" s="21">
        <v>14</v>
      </c>
      <c r="K68" s="21" t="s">
        <v>1664</v>
      </c>
      <c r="L68" s="20" t="s">
        <v>1665</v>
      </c>
    </row>
    <row r="69" spans="1:12" ht="17.100000000000001" customHeight="1">
      <c r="A69" s="22" t="s">
        <v>1661</v>
      </c>
      <c r="B69" s="20" t="s">
        <v>116</v>
      </c>
      <c r="C69" s="21" t="s">
        <v>29</v>
      </c>
      <c r="D69" s="21" t="s">
        <v>1663</v>
      </c>
      <c r="E69" s="21" t="s">
        <v>1639</v>
      </c>
      <c r="F69" s="21" t="s">
        <v>1656</v>
      </c>
      <c r="G69" s="21" t="s">
        <v>23</v>
      </c>
      <c r="H69" s="21" t="s">
        <v>23</v>
      </c>
      <c r="I69" s="21" t="s">
        <v>23</v>
      </c>
      <c r="J69" s="21">
        <v>130</v>
      </c>
      <c r="K69" s="21" t="s">
        <v>1664</v>
      </c>
      <c r="L69" s="20" t="s">
        <v>1665</v>
      </c>
    </row>
    <row r="70" spans="1:12" ht="17.100000000000001" customHeight="1" thickBot="1">
      <c r="A70" s="22" t="s">
        <v>1661</v>
      </c>
      <c r="B70" s="24" t="s">
        <v>20</v>
      </c>
      <c r="C70" s="25" t="s">
        <v>21</v>
      </c>
      <c r="D70" s="25" t="s">
        <v>1666</v>
      </c>
      <c r="E70" s="25" t="s">
        <v>23</v>
      </c>
      <c r="F70" s="21" t="s">
        <v>1644</v>
      </c>
      <c r="G70" s="25" t="s">
        <v>1645</v>
      </c>
      <c r="H70" s="21" t="s">
        <v>23</v>
      </c>
      <c r="I70" s="21" t="s">
        <v>23</v>
      </c>
      <c r="J70" s="25">
        <v>72</v>
      </c>
      <c r="K70" s="25" t="s">
        <v>1667</v>
      </c>
      <c r="L70" s="24" t="s">
        <v>1668</v>
      </c>
    </row>
    <row r="71" spans="1:12" ht="17.100000000000001" customHeight="1" thickBot="1">
      <c r="A71" s="22" t="s">
        <v>1661</v>
      </c>
      <c r="B71" s="24" t="s">
        <v>20</v>
      </c>
      <c r="C71" s="25" t="s">
        <v>21</v>
      </c>
      <c r="D71" s="25" t="s">
        <v>1666</v>
      </c>
      <c r="E71" s="25" t="s">
        <v>23</v>
      </c>
      <c r="F71" s="21" t="s">
        <v>1644</v>
      </c>
      <c r="G71" s="25" t="s">
        <v>1645</v>
      </c>
      <c r="H71" s="21" t="s">
        <v>23</v>
      </c>
      <c r="I71" s="21" t="s">
        <v>23</v>
      </c>
      <c r="J71" s="21">
        <v>104</v>
      </c>
      <c r="K71" s="25" t="s">
        <v>1667</v>
      </c>
      <c r="L71" s="20" t="s">
        <v>1669</v>
      </c>
    </row>
    <row r="72" spans="1:12" ht="17.100000000000001" customHeight="1" thickBot="1">
      <c r="A72" s="22" t="s">
        <v>1661</v>
      </c>
      <c r="B72" s="24" t="s">
        <v>20</v>
      </c>
      <c r="C72" s="25" t="s">
        <v>21</v>
      </c>
      <c r="D72" s="25" t="s">
        <v>1666</v>
      </c>
      <c r="E72" s="25" t="s">
        <v>23</v>
      </c>
      <c r="F72" s="21" t="s">
        <v>1644</v>
      </c>
      <c r="G72" s="25" t="s">
        <v>1645</v>
      </c>
      <c r="H72" s="21" t="s">
        <v>23</v>
      </c>
      <c r="I72" s="21" t="s">
        <v>23</v>
      </c>
      <c r="J72" s="21">
        <v>104</v>
      </c>
      <c r="K72" s="25" t="s">
        <v>1667</v>
      </c>
      <c r="L72" s="20" t="s">
        <v>1670</v>
      </c>
    </row>
    <row r="73" spans="1:12" ht="17.100000000000001" customHeight="1" thickBot="1">
      <c r="A73" s="22" t="s">
        <v>1661</v>
      </c>
      <c r="B73" s="24" t="s">
        <v>20</v>
      </c>
      <c r="C73" s="25" t="s">
        <v>21</v>
      </c>
      <c r="D73" s="25" t="s">
        <v>1666</v>
      </c>
      <c r="E73" s="25" t="s">
        <v>23</v>
      </c>
      <c r="F73" s="21" t="s">
        <v>1644</v>
      </c>
      <c r="G73" s="25" t="s">
        <v>1645</v>
      </c>
      <c r="H73" s="21" t="s">
        <v>23</v>
      </c>
      <c r="I73" s="21" t="s">
        <v>23</v>
      </c>
      <c r="J73" s="21">
        <v>45</v>
      </c>
      <c r="K73" s="25" t="s">
        <v>1667</v>
      </c>
      <c r="L73" s="20" t="s">
        <v>1671</v>
      </c>
    </row>
    <row r="74" spans="1:12" ht="17.100000000000001" customHeight="1" thickBot="1">
      <c r="A74" s="22" t="s">
        <v>1661</v>
      </c>
      <c r="B74" s="24" t="s">
        <v>20</v>
      </c>
      <c r="C74" s="25" t="s">
        <v>29</v>
      </c>
      <c r="D74" s="21" t="s">
        <v>1683</v>
      </c>
      <c r="E74" s="25" t="s">
        <v>23</v>
      </c>
      <c r="F74" s="21" t="s">
        <v>1644</v>
      </c>
      <c r="G74" s="25" t="s">
        <v>1645</v>
      </c>
      <c r="H74" s="21" t="s">
        <v>23</v>
      </c>
      <c r="I74" s="21" t="s">
        <v>23</v>
      </c>
      <c r="J74" s="21">
        <v>111</v>
      </c>
      <c r="K74" s="25" t="s">
        <v>1667</v>
      </c>
      <c r="L74" s="20" t="s">
        <v>1671</v>
      </c>
    </row>
    <row r="75" spans="1:12" ht="17.100000000000001" customHeight="1" thickBot="1">
      <c r="A75" s="22" t="s">
        <v>1661</v>
      </c>
      <c r="B75" s="24" t="s">
        <v>20</v>
      </c>
      <c r="C75" s="25" t="s">
        <v>29</v>
      </c>
      <c r="D75" s="21" t="s">
        <v>1683</v>
      </c>
      <c r="E75" s="25" t="s">
        <v>23</v>
      </c>
      <c r="F75" s="21" t="s">
        <v>1644</v>
      </c>
      <c r="G75" s="25" t="s">
        <v>1645</v>
      </c>
      <c r="H75" s="21" t="s">
        <v>23</v>
      </c>
      <c r="I75" s="21" t="s">
        <v>23</v>
      </c>
      <c r="J75" s="21">
        <v>175</v>
      </c>
      <c r="K75" s="25" t="s">
        <v>1667</v>
      </c>
      <c r="L75" s="20" t="s">
        <v>1672</v>
      </c>
    </row>
    <row r="76" spans="1:12" ht="17.100000000000001" customHeight="1" thickBot="1">
      <c r="A76" s="22" t="s">
        <v>1661</v>
      </c>
      <c r="B76" s="24" t="s">
        <v>20</v>
      </c>
      <c r="C76" s="25" t="s">
        <v>33</v>
      </c>
      <c r="D76" s="25" t="s">
        <v>1673</v>
      </c>
      <c r="E76" s="25" t="s">
        <v>23</v>
      </c>
      <c r="F76" s="21" t="s">
        <v>1644</v>
      </c>
      <c r="G76" s="25" t="s">
        <v>1645</v>
      </c>
      <c r="H76" s="21" t="s">
        <v>23</v>
      </c>
      <c r="I76" s="21" t="s">
        <v>23</v>
      </c>
      <c r="J76" s="25">
        <v>189</v>
      </c>
      <c r="K76" s="25" t="s">
        <v>1667</v>
      </c>
      <c r="L76" s="20" t="s">
        <v>1672</v>
      </c>
    </row>
    <row r="77" spans="1:12" ht="17.100000000000001" customHeight="1" thickBot="1">
      <c r="A77" s="22" t="s">
        <v>1661</v>
      </c>
      <c r="B77" s="24" t="s">
        <v>20</v>
      </c>
      <c r="C77" s="25" t="s">
        <v>33</v>
      </c>
      <c r="D77" s="25" t="s">
        <v>1673</v>
      </c>
      <c r="E77" s="25" t="s">
        <v>23</v>
      </c>
      <c r="F77" s="21" t="s">
        <v>1644</v>
      </c>
      <c r="G77" s="25" t="s">
        <v>1645</v>
      </c>
      <c r="H77" s="21" t="s">
        <v>23</v>
      </c>
      <c r="I77" s="21" t="s">
        <v>23</v>
      </c>
      <c r="J77" s="21">
        <f>286-189</f>
        <v>97</v>
      </c>
      <c r="K77" s="25" t="s">
        <v>1667</v>
      </c>
      <c r="L77" s="20" t="s">
        <v>1674</v>
      </c>
    </row>
    <row r="78" spans="1:12" ht="17.100000000000001" customHeight="1">
      <c r="A78" s="19" t="s">
        <v>1675</v>
      </c>
      <c r="B78" s="20" t="s">
        <v>43</v>
      </c>
      <c r="C78" s="21" t="s">
        <v>21</v>
      </c>
      <c r="D78" s="21" t="s">
        <v>1676</v>
      </c>
      <c r="E78" s="21" t="s">
        <v>1639</v>
      </c>
      <c r="F78" s="21" t="s">
        <v>1653</v>
      </c>
      <c r="G78" s="21" t="s">
        <v>23</v>
      </c>
      <c r="H78" s="21" t="s">
        <v>23</v>
      </c>
      <c r="I78" s="21" t="s">
        <v>23</v>
      </c>
      <c r="J78" s="21">
        <v>156</v>
      </c>
      <c r="K78" s="21" t="s">
        <v>1677</v>
      </c>
      <c r="L78" s="20"/>
    </row>
    <row r="79" spans="1:12" ht="17.100000000000001" customHeight="1">
      <c r="A79" s="19" t="s">
        <v>1678</v>
      </c>
      <c r="B79" s="20" t="s">
        <v>55</v>
      </c>
      <c r="C79" s="21" t="s">
        <v>21</v>
      </c>
      <c r="D79" s="21" t="s">
        <v>1676</v>
      </c>
      <c r="E79" s="21" t="s">
        <v>1639</v>
      </c>
      <c r="F79" s="21" t="s">
        <v>1679</v>
      </c>
      <c r="G79" s="21" t="s">
        <v>23</v>
      </c>
      <c r="H79" s="21" t="s">
        <v>23</v>
      </c>
      <c r="I79" s="21" t="s">
        <v>23</v>
      </c>
      <c r="J79" s="21">
        <v>50</v>
      </c>
      <c r="K79" s="21" t="s">
        <v>1677</v>
      </c>
      <c r="L79" s="20" t="s">
        <v>1680</v>
      </c>
    </row>
    <row r="80" spans="1:12" ht="17.100000000000001" customHeight="1">
      <c r="A80" s="19" t="s">
        <v>1678</v>
      </c>
      <c r="B80" s="20" t="s">
        <v>116</v>
      </c>
      <c r="C80" s="21" t="s">
        <v>21</v>
      </c>
      <c r="D80" s="21" t="s">
        <v>1676</v>
      </c>
      <c r="E80" s="21" t="s">
        <v>1639</v>
      </c>
      <c r="F80" s="21" t="s">
        <v>1679</v>
      </c>
      <c r="G80" s="21" t="s">
        <v>23</v>
      </c>
      <c r="H80" s="21" t="s">
        <v>23</v>
      </c>
      <c r="I80" s="21" t="s">
        <v>23</v>
      </c>
      <c r="J80" s="21">
        <v>50</v>
      </c>
      <c r="K80" s="21" t="s">
        <v>1677</v>
      </c>
      <c r="L80" s="20" t="s">
        <v>1680</v>
      </c>
    </row>
    <row r="81" spans="1:12" ht="17.100000000000001" customHeight="1" thickBot="1">
      <c r="A81" s="19" t="s">
        <v>1678</v>
      </c>
      <c r="B81" s="24" t="s">
        <v>20</v>
      </c>
      <c r="C81" s="25" t="s">
        <v>21</v>
      </c>
      <c r="D81" s="25" t="s">
        <v>1681</v>
      </c>
      <c r="E81" s="25" t="s">
        <v>23</v>
      </c>
      <c r="F81" s="21" t="s">
        <v>1644</v>
      </c>
      <c r="G81" s="25" t="s">
        <v>1645</v>
      </c>
      <c r="H81" s="21" t="s">
        <v>23</v>
      </c>
      <c r="I81" s="21" t="s">
        <v>23</v>
      </c>
      <c r="J81" s="25">
        <v>286</v>
      </c>
      <c r="K81" s="25" t="s">
        <v>1682</v>
      </c>
      <c r="L81" s="24" t="s">
        <v>1674</v>
      </c>
    </row>
    <row r="82" spans="1:12" ht="17.100000000000001" customHeight="1" thickBot="1">
      <c r="A82" s="19" t="s">
        <v>1678</v>
      </c>
      <c r="B82" s="24" t="s">
        <v>20</v>
      </c>
      <c r="C82" s="25" t="s">
        <v>29</v>
      </c>
      <c r="D82" s="21" t="s">
        <v>1394</v>
      </c>
      <c r="E82" s="25" t="s">
        <v>23</v>
      </c>
      <c r="F82" s="21" t="s">
        <v>1644</v>
      </c>
      <c r="G82" s="25" t="s">
        <v>1645</v>
      </c>
      <c r="H82" s="21" t="s">
        <v>23</v>
      </c>
      <c r="I82" s="21" t="s">
        <v>23</v>
      </c>
      <c r="J82" s="21">
        <v>42</v>
      </c>
      <c r="K82" s="21" t="s">
        <v>1600</v>
      </c>
      <c r="L82" s="24" t="s">
        <v>1674</v>
      </c>
    </row>
    <row r="83" spans="1:12" ht="17.100000000000001" customHeight="1" thickBot="1">
      <c r="A83" s="19" t="s">
        <v>1678</v>
      </c>
      <c r="B83" s="24" t="s">
        <v>20</v>
      </c>
      <c r="C83" s="21" t="s">
        <v>33</v>
      </c>
      <c r="D83" s="21" t="s">
        <v>1684</v>
      </c>
      <c r="E83" s="21" t="s">
        <v>23</v>
      </c>
      <c r="F83" s="21" t="s">
        <v>1644</v>
      </c>
      <c r="G83" s="25" t="s">
        <v>1645</v>
      </c>
      <c r="H83" s="21" t="s">
        <v>23</v>
      </c>
      <c r="I83" s="21" t="s">
        <v>23</v>
      </c>
      <c r="J83" s="21">
        <v>86</v>
      </c>
      <c r="K83" s="21" t="s">
        <v>1600</v>
      </c>
      <c r="L83" s="24" t="s">
        <v>1674</v>
      </c>
    </row>
    <row r="84" spans="1:12" ht="17.100000000000001" customHeight="1" thickBot="1">
      <c r="A84" s="19" t="s">
        <v>1678</v>
      </c>
      <c r="B84" s="24" t="s">
        <v>43</v>
      </c>
      <c r="C84" s="25" t="s">
        <v>21</v>
      </c>
      <c r="D84" s="21" t="s">
        <v>1676</v>
      </c>
      <c r="E84" s="21" t="s">
        <v>1639</v>
      </c>
      <c r="F84" s="21" t="s">
        <v>1653</v>
      </c>
      <c r="G84" s="25" t="s">
        <v>23</v>
      </c>
      <c r="H84" s="25"/>
      <c r="I84" s="25"/>
      <c r="J84" s="25">
        <v>156</v>
      </c>
      <c r="K84" s="25" t="s">
        <v>1677</v>
      </c>
      <c r="L84" s="24"/>
    </row>
    <row r="85" spans="1:12" ht="17.100000000000001" customHeight="1" thickBot="1">
      <c r="A85" s="27">
        <v>46009</v>
      </c>
      <c r="B85" s="24" t="s">
        <v>20</v>
      </c>
      <c r="C85" s="21" t="s">
        <v>21</v>
      </c>
      <c r="D85" s="21" t="s">
        <v>1685</v>
      </c>
      <c r="E85" s="21" t="s">
        <v>23</v>
      </c>
      <c r="F85" s="21" t="s">
        <v>1644</v>
      </c>
      <c r="G85" s="25" t="s">
        <v>1645</v>
      </c>
      <c r="H85" s="21" t="s">
        <v>23</v>
      </c>
      <c r="I85" s="21" t="s">
        <v>23</v>
      </c>
      <c r="J85" s="21">
        <v>165</v>
      </c>
      <c r="K85" s="21" t="s">
        <v>1686</v>
      </c>
      <c r="L85" s="24" t="s">
        <v>1674</v>
      </c>
    </row>
    <row r="86" spans="1:12" ht="17.100000000000001" customHeight="1" thickBot="1">
      <c r="A86" s="27">
        <v>46009</v>
      </c>
      <c r="B86" s="24" t="s">
        <v>20</v>
      </c>
      <c r="C86" s="21" t="s">
        <v>21</v>
      </c>
      <c r="D86" s="21" t="s">
        <v>1685</v>
      </c>
      <c r="E86" s="21" t="s">
        <v>23</v>
      </c>
      <c r="F86" s="21" t="s">
        <v>1644</v>
      </c>
      <c r="G86" s="25" t="s">
        <v>1645</v>
      </c>
      <c r="H86" s="21" t="s">
        <v>23</v>
      </c>
      <c r="I86" s="21" t="s">
        <v>23</v>
      </c>
      <c r="J86" s="21">
        <v>78</v>
      </c>
      <c r="K86" s="21" t="s">
        <v>1687</v>
      </c>
      <c r="L86" s="20" t="s">
        <v>1688</v>
      </c>
    </row>
    <row r="87" spans="1:12" ht="17.100000000000001" customHeight="1" thickBot="1">
      <c r="A87" s="27">
        <v>46009</v>
      </c>
      <c r="B87" s="24" t="s">
        <v>20</v>
      </c>
      <c r="C87" s="21" t="s">
        <v>21</v>
      </c>
      <c r="D87" s="21" t="s">
        <v>1685</v>
      </c>
      <c r="E87" s="21" t="s">
        <v>23</v>
      </c>
      <c r="F87" s="21" t="s">
        <v>1644</v>
      </c>
      <c r="G87" s="25" t="s">
        <v>1645</v>
      </c>
      <c r="H87" s="21" t="s">
        <v>23</v>
      </c>
      <c r="I87" s="21" t="s">
        <v>23</v>
      </c>
      <c r="J87" s="25">
        <f>286-165-78</f>
        <v>43</v>
      </c>
      <c r="K87" s="21" t="s">
        <v>1687</v>
      </c>
      <c r="L87" s="20" t="s">
        <v>1689</v>
      </c>
    </row>
    <row r="88" spans="1:12" ht="17.100000000000001" customHeight="1" thickBot="1">
      <c r="A88" s="27">
        <v>46009</v>
      </c>
      <c r="B88" s="24" t="s">
        <v>20</v>
      </c>
      <c r="C88" s="21" t="s">
        <v>29</v>
      </c>
      <c r="D88" s="21" t="s">
        <v>1690</v>
      </c>
      <c r="E88" s="21" t="s">
        <v>23</v>
      </c>
      <c r="F88" s="21" t="s">
        <v>1644</v>
      </c>
      <c r="G88" s="25" t="s">
        <v>1645</v>
      </c>
      <c r="H88" s="21" t="s">
        <v>23</v>
      </c>
      <c r="I88" s="21" t="s">
        <v>23</v>
      </c>
      <c r="J88" s="21">
        <f>104-43</f>
        <v>61</v>
      </c>
      <c r="K88" s="21" t="s">
        <v>1687</v>
      </c>
      <c r="L88" s="20" t="s">
        <v>1689</v>
      </c>
    </row>
    <row r="89" spans="1:12" ht="17.100000000000001" customHeight="1">
      <c r="A89" s="33">
        <v>46009</v>
      </c>
      <c r="B89" s="34" t="s">
        <v>20</v>
      </c>
      <c r="C89" s="35" t="s">
        <v>29</v>
      </c>
      <c r="D89" s="35" t="s">
        <v>1690</v>
      </c>
      <c r="E89" s="35" t="s">
        <v>23</v>
      </c>
      <c r="F89" s="35" t="s">
        <v>1644</v>
      </c>
      <c r="G89" s="35" t="s">
        <v>1645</v>
      </c>
      <c r="H89" s="35" t="s">
        <v>23</v>
      </c>
      <c r="I89" s="35" t="s">
        <v>23</v>
      </c>
      <c r="J89" s="35">
        <v>5</v>
      </c>
      <c r="K89" s="35" t="s">
        <v>1686</v>
      </c>
      <c r="L89" s="34" t="s">
        <v>1691</v>
      </c>
    </row>
    <row r="90" spans="1:12" ht="17.100000000000001" customHeight="1">
      <c r="A90" s="39">
        <v>46013</v>
      </c>
      <c r="B90" s="34" t="s">
        <v>43</v>
      </c>
      <c r="C90" s="21" t="s">
        <v>21</v>
      </c>
      <c r="D90" s="21" t="s">
        <v>1692</v>
      </c>
      <c r="E90" s="21" t="s">
        <v>808</v>
      </c>
      <c r="F90" s="21" t="s">
        <v>1693</v>
      </c>
      <c r="G90" s="35" t="s">
        <v>23</v>
      </c>
      <c r="H90" s="35" t="s">
        <v>23</v>
      </c>
      <c r="I90" s="35" t="s">
        <v>23</v>
      </c>
      <c r="J90" s="21">
        <v>75</v>
      </c>
      <c r="K90" s="21" t="s">
        <v>1694</v>
      </c>
      <c r="L90" s="21" t="s">
        <v>1695</v>
      </c>
    </row>
    <row r="91" spans="1:12" ht="17.100000000000001" customHeight="1">
      <c r="A91" s="39">
        <v>46013</v>
      </c>
      <c r="B91" s="34" t="s">
        <v>43</v>
      </c>
      <c r="C91" s="21" t="s">
        <v>29</v>
      </c>
      <c r="D91" s="21" t="s">
        <v>1676</v>
      </c>
      <c r="E91" s="21" t="s">
        <v>1639</v>
      </c>
      <c r="F91" s="21" t="s">
        <v>1653</v>
      </c>
      <c r="G91" s="35" t="s">
        <v>23</v>
      </c>
      <c r="H91" s="35" t="s">
        <v>23</v>
      </c>
      <c r="I91" s="35" t="s">
        <v>23</v>
      </c>
      <c r="J91" s="21">
        <f>160-75</f>
        <v>85</v>
      </c>
      <c r="K91" s="21" t="s">
        <v>1576</v>
      </c>
      <c r="L91" s="21" t="s">
        <v>1695</v>
      </c>
    </row>
    <row r="92" spans="1:12" ht="17.100000000000001" customHeight="1">
      <c r="A92" s="39">
        <v>46014</v>
      </c>
      <c r="B92" s="34" t="s">
        <v>43</v>
      </c>
      <c r="C92" s="21" t="s">
        <v>21</v>
      </c>
      <c r="D92" s="21" t="s">
        <v>1702</v>
      </c>
      <c r="E92" s="21" t="s">
        <v>1639</v>
      </c>
      <c r="F92" s="21" t="s">
        <v>1653</v>
      </c>
      <c r="G92" s="35" t="s">
        <v>23</v>
      </c>
      <c r="H92" s="35" t="s">
        <v>23</v>
      </c>
      <c r="I92" s="35" t="s">
        <v>23</v>
      </c>
      <c r="J92" s="21">
        <v>3</v>
      </c>
      <c r="K92" s="21" t="s">
        <v>1696</v>
      </c>
      <c r="L92" s="21" t="s">
        <v>1700</v>
      </c>
    </row>
    <row r="93" spans="1:12" ht="17.100000000000001" customHeight="1">
      <c r="A93" s="39">
        <v>46014</v>
      </c>
      <c r="B93" s="34" t="s">
        <v>43</v>
      </c>
      <c r="C93" s="21" t="s">
        <v>21</v>
      </c>
      <c r="D93" s="21" t="s">
        <v>1702</v>
      </c>
      <c r="E93" s="21" t="s">
        <v>1639</v>
      </c>
      <c r="F93" s="21" t="s">
        <v>1653</v>
      </c>
      <c r="G93" s="35" t="s">
        <v>23</v>
      </c>
      <c r="H93" s="35" t="s">
        <v>23</v>
      </c>
      <c r="I93" s="35" t="s">
        <v>23</v>
      </c>
      <c r="J93" s="21">
        <v>10</v>
      </c>
      <c r="K93" s="21" t="s">
        <v>1696</v>
      </c>
      <c r="L93" s="21" t="s">
        <v>1699</v>
      </c>
    </row>
    <row r="94" spans="1:12" ht="17.100000000000001" customHeight="1">
      <c r="A94" s="39">
        <v>46014</v>
      </c>
      <c r="B94" s="34" t="s">
        <v>43</v>
      </c>
      <c r="C94" s="21" t="s">
        <v>21</v>
      </c>
      <c r="D94" s="21" t="s">
        <v>1702</v>
      </c>
      <c r="E94" s="21" t="s">
        <v>1639</v>
      </c>
      <c r="F94" s="21" t="s">
        <v>1653</v>
      </c>
      <c r="G94" s="35" t="s">
        <v>23</v>
      </c>
      <c r="H94" s="35" t="s">
        <v>23</v>
      </c>
      <c r="I94" s="35" t="s">
        <v>23</v>
      </c>
      <c r="J94" s="21">
        <v>40</v>
      </c>
      <c r="K94" s="21" t="s">
        <v>1696</v>
      </c>
      <c r="L94" s="21" t="s">
        <v>1698</v>
      </c>
    </row>
    <row r="95" spans="1:12" ht="17.100000000000001" customHeight="1">
      <c r="A95" s="39">
        <v>46014</v>
      </c>
      <c r="B95" s="34" t="s">
        <v>43</v>
      </c>
      <c r="C95" s="21" t="s">
        <v>21</v>
      </c>
      <c r="D95" s="21" t="s">
        <v>1702</v>
      </c>
      <c r="E95" s="21" t="s">
        <v>1639</v>
      </c>
      <c r="F95" s="21" t="s">
        <v>1653</v>
      </c>
      <c r="G95" s="35" t="s">
        <v>23</v>
      </c>
      <c r="H95" s="35" t="s">
        <v>23</v>
      </c>
      <c r="I95" s="35" t="s">
        <v>23</v>
      </c>
      <c r="J95" s="21">
        <v>100</v>
      </c>
      <c r="K95" s="21" t="s">
        <v>1696</v>
      </c>
      <c r="L95" s="21" t="s">
        <v>1697</v>
      </c>
    </row>
    <row r="96" spans="1:12" ht="17.100000000000001" customHeight="1">
      <c r="A96" s="39">
        <v>46014</v>
      </c>
      <c r="B96" s="34" t="s">
        <v>43</v>
      </c>
      <c r="C96" s="21" t="s">
        <v>21</v>
      </c>
      <c r="D96" s="21" t="s">
        <v>1702</v>
      </c>
      <c r="E96" s="21" t="s">
        <v>1639</v>
      </c>
      <c r="F96" s="21" t="s">
        <v>1653</v>
      </c>
      <c r="G96" s="35" t="s">
        <v>23</v>
      </c>
      <c r="H96" s="35" t="s">
        <v>23</v>
      </c>
      <c r="I96" s="35" t="s">
        <v>23</v>
      </c>
      <c r="J96" s="21">
        <v>104</v>
      </c>
      <c r="K96" s="21" t="s">
        <v>1696</v>
      </c>
      <c r="L96" s="21" t="s">
        <v>1701</v>
      </c>
    </row>
    <row r="97" spans="1:14">
      <c r="A97" s="32" t="s">
        <v>291</v>
      </c>
      <c r="B97" s="15"/>
      <c r="C97" s="15"/>
      <c r="D97" s="14"/>
      <c r="E97" s="15"/>
      <c r="H97" s="14" t="s">
        <v>15</v>
      </c>
      <c r="I97" s="14"/>
      <c r="J97" s="14"/>
      <c r="K97" s="15"/>
      <c r="L97" s="16"/>
      <c r="M97" s="18"/>
      <c r="N97" s="17"/>
    </row>
    <row r="98" spans="1:14">
      <c r="I98" s="2" t="s">
        <v>16</v>
      </c>
    </row>
    <row r="99" spans="1:14">
      <c r="I99" s="2" t="s">
        <v>17</v>
      </c>
    </row>
    <row r="100" spans="1:14">
      <c r="I100" s="2" t="s">
        <v>18</v>
      </c>
    </row>
    <row r="101" spans="1:14">
      <c r="I101" s="2" t="s">
        <v>19</v>
      </c>
    </row>
  </sheetData>
  <mergeCells count="8">
    <mergeCell ref="A1:L1"/>
    <mergeCell ref="A7:A8"/>
    <mergeCell ref="B7:B8"/>
    <mergeCell ref="C7:C8"/>
    <mergeCell ref="D7:H7"/>
    <mergeCell ref="J7:J8"/>
    <mergeCell ref="K7:K8"/>
    <mergeCell ref="L7:L8"/>
  </mergeCells>
  <printOptions horizontalCentered="1" verticalCentered="1"/>
  <pageMargins left="0.01" right="0.01" top="0.25" bottom="0.25" header="0.25" footer="0.25"/>
  <pageSetup paperSize="9" scale="62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4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MASTERCOPY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Sheet1</vt:lpstr>
      <vt:lpstr>NOVEMBER 2025</vt:lpstr>
      <vt:lpstr>DECEMBER 2025</vt:lpstr>
      <vt:lpstr>'APRIL 2025'!Print_Area</vt:lpstr>
      <vt:lpstr>'AUGUST 2025'!Print_Area</vt:lpstr>
      <vt:lpstr>'FEBRUARY 2025'!Print_Area</vt:lpstr>
      <vt:lpstr>'JANUARY 2025'!Print_Area</vt:lpstr>
      <vt:lpstr>'JULY 2025'!Print_Area</vt:lpstr>
      <vt:lpstr>'JUNE 2025'!Print_Area</vt:lpstr>
      <vt:lpstr>'MARCH 2025'!Print_Area</vt:lpstr>
      <vt:lpstr>MASTERCOPY!Print_Area</vt:lpstr>
      <vt:lpstr>'MAY 2025'!Print_Area</vt:lpstr>
      <vt:lpstr>'OCTOBER 2025'!Print_Area</vt:lpstr>
      <vt:lpstr>'SEPTEMBER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prod.welding</cp:lastModifiedBy>
  <cp:lastPrinted>2021-06-10T02:03:18Z</cp:lastPrinted>
  <dcterms:created xsi:type="dcterms:W3CDTF">2018-11-30T05:31:07Z</dcterms:created>
  <dcterms:modified xsi:type="dcterms:W3CDTF">2025-12-23T05:45:26Z</dcterms:modified>
</cp:coreProperties>
</file>