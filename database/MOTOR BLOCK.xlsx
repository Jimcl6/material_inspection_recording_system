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firstSheet="2" activeTab="11"/>
  </bookViews>
  <sheets>
    <sheet name="MASTER" sheetId="6" r:id="rId1"/>
    <sheet name="JANAURY 2025" sheetId="7" r:id="rId2"/>
    <sheet name="FEBRUARY 2025" sheetId="8" r:id="rId3"/>
    <sheet name="MARCH 2025" sheetId="9" r:id="rId4"/>
    <sheet name="APRIL 2025" sheetId="10" r:id="rId5"/>
    <sheet name="MAY 2025" sheetId="11" r:id="rId6"/>
    <sheet name="JUNE 2025" sheetId="12" r:id="rId7"/>
    <sheet name="JULY 2025" sheetId="14" r:id="rId8"/>
    <sheet name="AUGUST 2025" sheetId="15" r:id="rId9"/>
    <sheet name="SEPTEMBER 2025" sheetId="16" r:id="rId10"/>
    <sheet name="OCTOBER 2025" sheetId="17" r:id="rId11"/>
    <sheet name="NOVEMBER" sheetId="18" r:id="rId12"/>
  </sheets>
  <definedNames>
    <definedName name="A" localSheetId="4">#REF!</definedName>
    <definedName name="A" localSheetId="8">#REF!</definedName>
    <definedName name="A" localSheetId="2">#REF!</definedName>
    <definedName name="A" localSheetId="1">#REF!</definedName>
    <definedName name="A" localSheetId="7">#REF!</definedName>
    <definedName name="A" localSheetId="6">#REF!</definedName>
    <definedName name="A" localSheetId="3">#REF!</definedName>
    <definedName name="A" localSheetId="0">#REF!</definedName>
    <definedName name="A" localSheetId="5">#REF!</definedName>
    <definedName name="A" localSheetId="11">#REF!</definedName>
    <definedName name="A" localSheetId="10">#REF!</definedName>
    <definedName name="A" localSheetId="9">#REF!</definedName>
    <definedName name="A">#REF!</definedName>
    <definedName name="blcs" localSheetId="4">#REF!</definedName>
    <definedName name="blcs" localSheetId="8">#REF!</definedName>
    <definedName name="blcs" localSheetId="2">#REF!</definedName>
    <definedName name="blcs" localSheetId="1">#REF!</definedName>
    <definedName name="blcs" localSheetId="7">#REF!</definedName>
    <definedName name="blcs" localSheetId="6">#REF!</definedName>
    <definedName name="blcs" localSheetId="3">#REF!</definedName>
    <definedName name="blcs" localSheetId="0">#REF!</definedName>
    <definedName name="blcs" localSheetId="5">#REF!</definedName>
    <definedName name="blcs" localSheetId="11">#REF!</definedName>
    <definedName name="blcs" localSheetId="10">#REF!</definedName>
    <definedName name="blcs" localSheetId="9">#REF!</definedName>
    <definedName name="blcs">#REF!</definedName>
    <definedName name="H" localSheetId="4">#REF!</definedName>
    <definedName name="H" localSheetId="8">#REF!</definedName>
    <definedName name="H" localSheetId="2">#REF!</definedName>
    <definedName name="H" localSheetId="1">#REF!</definedName>
    <definedName name="H" localSheetId="7">#REF!</definedName>
    <definedName name="H" localSheetId="6">#REF!</definedName>
    <definedName name="H" localSheetId="3">#REF!</definedName>
    <definedName name="H" localSheetId="0">#REF!</definedName>
    <definedName name="H" localSheetId="5">#REF!</definedName>
    <definedName name="H" localSheetId="11">#REF!</definedName>
    <definedName name="H" localSheetId="10">#REF!</definedName>
    <definedName name="H" localSheetId="9">#REF!</definedName>
    <definedName name="H">#REF!</definedName>
    <definedName name="K" localSheetId="4">#REF!</definedName>
    <definedName name="K" localSheetId="8">#REF!</definedName>
    <definedName name="K" localSheetId="2">#REF!</definedName>
    <definedName name="K" localSheetId="1">#REF!</definedName>
    <definedName name="K" localSheetId="7">#REF!</definedName>
    <definedName name="K" localSheetId="6">#REF!</definedName>
    <definedName name="K" localSheetId="3">#REF!</definedName>
    <definedName name="K" localSheetId="0">#REF!</definedName>
    <definedName name="K" localSheetId="5">#REF!</definedName>
    <definedName name="K" localSheetId="11">#REF!</definedName>
    <definedName name="K" localSheetId="10">#REF!</definedName>
    <definedName name="K" localSheetId="9">#REF!</definedName>
    <definedName name="K">#REF!</definedName>
    <definedName name="L" localSheetId="4">#REF!</definedName>
    <definedName name="L" localSheetId="8">#REF!</definedName>
    <definedName name="L" localSheetId="2">#REF!</definedName>
    <definedName name="L" localSheetId="1">#REF!</definedName>
    <definedName name="L" localSheetId="7">#REF!</definedName>
    <definedName name="L" localSheetId="6">#REF!</definedName>
    <definedName name="L" localSheetId="3">#REF!</definedName>
    <definedName name="L" localSheetId="0">#REF!</definedName>
    <definedName name="L" localSheetId="5">#REF!</definedName>
    <definedName name="L" localSheetId="11">#REF!</definedName>
    <definedName name="L" localSheetId="10">#REF!</definedName>
    <definedName name="L" localSheetId="9">#REF!</definedName>
    <definedName name="L">#REF!</definedName>
    <definedName name="MBLINE" localSheetId="4">#REF!</definedName>
    <definedName name="MBLINE" localSheetId="8">#REF!</definedName>
    <definedName name="MBLINE" localSheetId="2">#REF!</definedName>
    <definedName name="MBLINE" localSheetId="1">#REF!</definedName>
    <definedName name="MBLINE" localSheetId="7">#REF!</definedName>
    <definedName name="MBLINE" localSheetId="6">#REF!</definedName>
    <definedName name="MBLINE" localSheetId="3">#REF!</definedName>
    <definedName name="MBLINE" localSheetId="0">#REF!</definedName>
    <definedName name="MBLINE" localSheetId="5">#REF!</definedName>
    <definedName name="MBLINE" localSheetId="11">#REF!</definedName>
    <definedName name="MBLINE" localSheetId="10">#REF!</definedName>
    <definedName name="MBLINE" localSheetId="9">#REF!</definedName>
    <definedName name="MBLINE">#REF!</definedName>
    <definedName name="MODEL20" localSheetId="4">#REF!</definedName>
    <definedName name="MODEL20" localSheetId="8">#REF!</definedName>
    <definedName name="MODEL20" localSheetId="2">#REF!</definedName>
    <definedName name="MODEL20" localSheetId="1">#REF!</definedName>
    <definedName name="MODEL20" localSheetId="7">#REF!</definedName>
    <definedName name="MODEL20" localSheetId="6">#REF!</definedName>
    <definedName name="MODEL20" localSheetId="3">#REF!</definedName>
    <definedName name="MODEL20" localSheetId="0">#REF!</definedName>
    <definedName name="MODEL20" localSheetId="5">#REF!</definedName>
    <definedName name="MODEL20" localSheetId="11">#REF!</definedName>
    <definedName name="MODEL20" localSheetId="10">#REF!</definedName>
    <definedName name="MODEL20" localSheetId="9">#REF!</definedName>
    <definedName name="MODEL20">#REF!</definedName>
    <definedName name="MODEL30" localSheetId="4">#REF!</definedName>
    <definedName name="MODEL30" localSheetId="8">#REF!</definedName>
    <definedName name="MODEL30" localSheetId="2">#REF!</definedName>
    <definedName name="MODEL30" localSheetId="1">#REF!</definedName>
    <definedName name="MODEL30" localSheetId="7">#REF!</definedName>
    <definedName name="MODEL30" localSheetId="6">#REF!</definedName>
    <definedName name="MODEL30" localSheetId="3">#REF!</definedName>
    <definedName name="MODEL30" localSheetId="0">#REF!</definedName>
    <definedName name="MODEL30" localSheetId="5">#REF!</definedName>
    <definedName name="MODEL30" localSheetId="11">#REF!</definedName>
    <definedName name="MODEL30" localSheetId="10">#REF!</definedName>
    <definedName name="MODEL30" localSheetId="9">#REF!</definedName>
    <definedName name="MODEL30">#REF!</definedName>
    <definedName name="MODEL40" localSheetId="4">#REF!</definedName>
    <definedName name="MODEL40" localSheetId="8">#REF!</definedName>
    <definedName name="MODEL40" localSheetId="2">#REF!</definedName>
    <definedName name="MODEL40" localSheetId="1">#REF!</definedName>
    <definedName name="MODEL40" localSheetId="7">#REF!</definedName>
    <definedName name="MODEL40" localSheetId="6">#REF!</definedName>
    <definedName name="MODEL40" localSheetId="3">#REF!</definedName>
    <definedName name="MODEL40" localSheetId="0">#REF!</definedName>
    <definedName name="MODEL40" localSheetId="5">#REF!</definedName>
    <definedName name="MODEL40" localSheetId="11">#REF!</definedName>
    <definedName name="MODEL40" localSheetId="10">#REF!</definedName>
    <definedName name="MODEL40" localSheetId="9">#REF!</definedName>
    <definedName name="MODEL40">#REF!</definedName>
    <definedName name="MODEL80" localSheetId="4">#REF!</definedName>
    <definedName name="MODEL80" localSheetId="8">#REF!</definedName>
    <definedName name="MODEL80" localSheetId="2">#REF!</definedName>
    <definedName name="MODEL80" localSheetId="1">#REF!</definedName>
    <definedName name="MODEL80" localSheetId="7">#REF!</definedName>
    <definedName name="MODEL80" localSheetId="6">#REF!</definedName>
    <definedName name="MODEL80" localSheetId="3">#REF!</definedName>
    <definedName name="MODEL80" localSheetId="0">#REF!</definedName>
    <definedName name="MODEL80" localSheetId="5">#REF!</definedName>
    <definedName name="MODEL80" localSheetId="11">#REF!</definedName>
    <definedName name="MODEL80" localSheetId="10">#REF!</definedName>
    <definedName name="MODEL80" localSheetId="9">#REF!</definedName>
    <definedName name="MODEL80">#REF!</definedName>
    <definedName name="O" localSheetId="4">#REF!</definedName>
    <definedName name="O" localSheetId="8">#REF!</definedName>
    <definedName name="O" localSheetId="2">#REF!</definedName>
    <definedName name="O" localSheetId="1">#REF!</definedName>
    <definedName name="O" localSheetId="7">#REF!</definedName>
    <definedName name="O" localSheetId="6">#REF!</definedName>
    <definedName name="O" localSheetId="3">#REF!</definedName>
    <definedName name="O" localSheetId="0">#REF!</definedName>
    <definedName name="O" localSheetId="5">#REF!</definedName>
    <definedName name="O" localSheetId="11">#REF!</definedName>
    <definedName name="O" localSheetId="10">#REF!</definedName>
    <definedName name="O" localSheetId="9">#REF!</definedName>
    <definedName name="O">#REF!</definedName>
    <definedName name="P" localSheetId="4">#REF!</definedName>
    <definedName name="P" localSheetId="8">#REF!</definedName>
    <definedName name="P" localSheetId="2">#REF!</definedName>
    <definedName name="P" localSheetId="1">#REF!</definedName>
    <definedName name="P" localSheetId="7">#REF!</definedName>
    <definedName name="P" localSheetId="6">#REF!</definedName>
    <definedName name="P" localSheetId="3">#REF!</definedName>
    <definedName name="P" localSheetId="0">#REF!</definedName>
    <definedName name="P" localSheetId="5">#REF!</definedName>
    <definedName name="P" localSheetId="11">#REF!</definedName>
    <definedName name="P" localSheetId="10">#REF!</definedName>
    <definedName name="P" localSheetId="9">#REF!</definedName>
    <definedName name="P">#REF!</definedName>
    <definedName name="Q" localSheetId="4">#REF!</definedName>
    <definedName name="Q" localSheetId="8">#REF!</definedName>
    <definedName name="Q" localSheetId="2">#REF!</definedName>
    <definedName name="Q" localSheetId="1">#REF!</definedName>
    <definedName name="Q" localSheetId="7">#REF!</definedName>
    <definedName name="Q" localSheetId="6">#REF!</definedName>
    <definedName name="Q" localSheetId="3">#REF!</definedName>
    <definedName name="Q" localSheetId="0">#REF!</definedName>
    <definedName name="Q" localSheetId="5">#REF!</definedName>
    <definedName name="Q" localSheetId="11">#REF!</definedName>
    <definedName name="Q" localSheetId="10">#REF!</definedName>
    <definedName name="Q" localSheetId="9">#REF!</definedName>
    <definedName name="Q">#REF!</definedName>
    <definedName name="S" localSheetId="4">#REF!</definedName>
    <definedName name="S" localSheetId="8">#REF!</definedName>
    <definedName name="S" localSheetId="2">#REF!</definedName>
    <definedName name="S" localSheetId="1">#REF!</definedName>
    <definedName name="S" localSheetId="7">#REF!</definedName>
    <definedName name="S" localSheetId="6">#REF!</definedName>
    <definedName name="S" localSheetId="3">#REF!</definedName>
    <definedName name="S" localSheetId="0">#REF!</definedName>
    <definedName name="S" localSheetId="5">#REF!</definedName>
    <definedName name="S" localSheetId="11">#REF!</definedName>
    <definedName name="S" localSheetId="10">#REF!</definedName>
    <definedName name="S" localSheetId="9">#REF!</definedName>
    <definedName name="S">#REF!</definedName>
    <definedName name="U" localSheetId="4">#REF!</definedName>
    <definedName name="U" localSheetId="8">#REF!</definedName>
    <definedName name="U" localSheetId="2">#REF!</definedName>
    <definedName name="U" localSheetId="1">#REF!</definedName>
    <definedName name="U" localSheetId="7">#REF!</definedName>
    <definedName name="U" localSheetId="6">#REF!</definedName>
    <definedName name="U" localSheetId="3">#REF!</definedName>
    <definedName name="U" localSheetId="0">#REF!</definedName>
    <definedName name="U" localSheetId="5">#REF!</definedName>
    <definedName name="U" localSheetId="11">#REF!</definedName>
    <definedName name="U" localSheetId="10">#REF!</definedName>
    <definedName name="U" localSheetId="9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8"/>
  <c r="M10" i="11"/>
</calcChain>
</file>

<file path=xl/sharedStrings.xml><?xml version="1.0" encoding="utf-8"?>
<sst xmlns="http://schemas.openxmlformats.org/spreadsheetml/2006/main" count="627" uniqueCount="145">
  <si>
    <t>MATERIAL MONITORING CHECKSHEET</t>
  </si>
  <si>
    <t>PROCESS :</t>
  </si>
  <si>
    <t>MOTOR CASE PREPARTION</t>
  </si>
  <si>
    <t>DATE</t>
  </si>
  <si>
    <t>ITEM BLOCK CODE</t>
  </si>
  <si>
    <r>
      <rPr>
        <sz val="8"/>
        <rFont val="Arial"/>
        <family val="2"/>
      </rPr>
      <t xml:space="preserve">LETTER CODE / </t>
    </r>
    <r>
      <rPr>
        <b/>
        <sz val="8"/>
        <rFont val="Arial"/>
        <family val="2"/>
      </rPr>
      <t xml:space="preserve">
</t>
    </r>
    <r>
      <rPr>
        <b/>
        <sz val="8"/>
        <color indexed="12"/>
        <rFont val="Arial"/>
        <family val="2"/>
      </rPr>
      <t>BOX STAMP</t>
    </r>
  </si>
  <si>
    <t xml:space="preserve">LOT NUMBER </t>
  </si>
  <si>
    <t>PRODUCED QTY.</t>
  </si>
  <si>
    <t>OPERATOR</t>
  </si>
  <si>
    <t>MOTOR CASE</t>
  </si>
  <si>
    <t>SENSOR</t>
  </si>
  <si>
    <t>HARNESS</t>
  </si>
  <si>
    <t>MOTOR RAIL</t>
  </si>
  <si>
    <t>VALVE PIPE</t>
  </si>
  <si>
    <t>TANK TUBE</t>
  </si>
  <si>
    <t>NOZZLE TUBE</t>
  </si>
  <si>
    <t>SCREW (M3X8)</t>
  </si>
  <si>
    <t>SCREW (M4X12)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</si>
  <si>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</si>
  <si>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</si>
  <si>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</si>
  <si>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</si>
  <si>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</si>
  <si>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>MRB8003300</t>
  </si>
  <si>
    <t>A</t>
  </si>
  <si>
    <t>112024B-22</t>
  </si>
  <si>
    <t>24Z20</t>
  </si>
  <si>
    <t>24Y08</t>
  </si>
  <si>
    <t>ANGEL/NITZ/TIN/GRACE/RIZA/GIE</t>
  </si>
  <si>
    <t>3J73789290-0</t>
  </si>
  <si>
    <t>011325-22-B</t>
  </si>
  <si>
    <t>24Y23</t>
  </si>
  <si>
    <t>ANGEL/TIN/JENNY</t>
  </si>
  <si>
    <t>3J73789679-0</t>
  </si>
  <si>
    <t>HPI-PR01-01</t>
  </si>
  <si>
    <r>
      <rPr>
        <sz val="10"/>
        <rFont val="Arial"/>
        <family val="2"/>
      </rPr>
      <t>MONTH / YEAR</t>
    </r>
    <r>
      <rPr>
        <b/>
        <sz val="10"/>
        <rFont val="Arial"/>
        <family val="2"/>
      </rPr>
      <t>:</t>
    </r>
  </si>
  <si>
    <t>JOB NUMBER</t>
  </si>
  <si>
    <t>1120211B-22(B)</t>
  </si>
  <si>
    <t>24Y21</t>
  </si>
  <si>
    <t>B</t>
  </si>
  <si>
    <t>ANGEL/TIN</t>
  </si>
  <si>
    <t>3J73789948-1</t>
  </si>
  <si>
    <t>3J73789947-0</t>
  </si>
  <si>
    <t>011425A-22(A)</t>
  </si>
  <si>
    <t>24Y20</t>
  </si>
  <si>
    <t>ANGEL/NITZ</t>
  </si>
  <si>
    <t>3J73789948-0</t>
  </si>
  <si>
    <t>13/03/2025</t>
  </si>
  <si>
    <t>011425A-22</t>
  </si>
  <si>
    <t>LICA LYN</t>
  </si>
  <si>
    <t>3J73790636-0</t>
  </si>
  <si>
    <t>3J73790636-1</t>
  </si>
  <si>
    <t>20250112P</t>
  </si>
  <si>
    <t>20250310P</t>
  </si>
  <si>
    <t>20250123P</t>
  </si>
  <si>
    <t>20240125P</t>
  </si>
  <si>
    <t>20250107P</t>
  </si>
  <si>
    <t>ANGEL</t>
  </si>
  <si>
    <t>3J73790824-0</t>
  </si>
  <si>
    <t>30/04/2025</t>
  </si>
  <si>
    <t>MRB8003100</t>
  </si>
  <si>
    <t>C</t>
  </si>
  <si>
    <t>031725B-21</t>
  </si>
  <si>
    <t>24Y19</t>
  </si>
  <si>
    <t>ANGEL/RUSS/MAE/MAE</t>
  </si>
  <si>
    <t>ANGEL/JENNY/HONEY</t>
  </si>
  <si>
    <t>3J73792523-0</t>
  </si>
  <si>
    <t>N/A</t>
  </si>
  <si>
    <t>022825B-22</t>
  </si>
  <si>
    <t>031425A-21</t>
  </si>
  <si>
    <t>D</t>
  </si>
  <si>
    <t>E</t>
  </si>
  <si>
    <t>F</t>
  </si>
  <si>
    <t>G</t>
  </si>
  <si>
    <t>H</t>
  </si>
  <si>
    <t>030624B-26</t>
  </si>
  <si>
    <t>020625A-22</t>
  </si>
  <si>
    <t>011325B-22</t>
  </si>
  <si>
    <t>052224A-22</t>
  </si>
  <si>
    <t>031425B-21</t>
  </si>
  <si>
    <t>042925A-21</t>
  </si>
  <si>
    <t>ANGEL/JENNY/RIZA/KAREEN</t>
  </si>
  <si>
    <t>3J73792839-0</t>
  </si>
  <si>
    <t>24Y11</t>
  </si>
  <si>
    <t>0429825B-21/20250430P</t>
  </si>
  <si>
    <t>24Y22</t>
  </si>
  <si>
    <t>LICA DENDEN</t>
  </si>
  <si>
    <t>3J73793101-0</t>
  </si>
  <si>
    <t>TMB002401</t>
  </si>
  <si>
    <t>LICA</t>
  </si>
  <si>
    <t>3J73793543-0</t>
  </si>
  <si>
    <t>3J73793526-0</t>
  </si>
  <si>
    <t>3J73793987-0</t>
  </si>
  <si>
    <t>3J73793988-0</t>
  </si>
  <si>
    <t>MAWI DENDEN</t>
  </si>
  <si>
    <t>3J73793660-0</t>
  </si>
  <si>
    <t>042925-21 (A)</t>
  </si>
  <si>
    <t>25C13</t>
  </si>
  <si>
    <t>960-241-005</t>
  </si>
  <si>
    <t>960-242-005</t>
  </si>
  <si>
    <t>ANGEL/RIZA/AIDAH</t>
  </si>
  <si>
    <t>3J73793989-0</t>
  </si>
  <si>
    <t>042925-11</t>
  </si>
  <si>
    <t>3J73794977-0</t>
  </si>
  <si>
    <t>GERRY / KAREEN / ANGEL</t>
  </si>
  <si>
    <t>TMB0002401</t>
  </si>
  <si>
    <t>LUICA</t>
  </si>
  <si>
    <t>3J73795315-0</t>
  </si>
  <si>
    <t>081125A-21</t>
  </si>
  <si>
    <t>20241012P</t>
  </si>
  <si>
    <t>LICA KARREN</t>
  </si>
  <si>
    <t>3J73795114-0</t>
  </si>
  <si>
    <t>LICA KARREN MARIE</t>
  </si>
  <si>
    <t>3J73795309-0</t>
  </si>
  <si>
    <t>062525B-21</t>
  </si>
  <si>
    <t>3J73795528-0</t>
  </si>
  <si>
    <t>01/09/2025</t>
  </si>
  <si>
    <t>VVB140113P</t>
  </si>
  <si>
    <t>3J73795774-0</t>
  </si>
  <si>
    <t>3J73795919-0</t>
  </si>
  <si>
    <t>081225A-21</t>
  </si>
  <si>
    <t>06/16/25</t>
  </si>
  <si>
    <t>3J73796120-1</t>
  </si>
  <si>
    <t>3J73796115-0</t>
  </si>
  <si>
    <t>09/15/2025</t>
  </si>
  <si>
    <t>20230711P</t>
  </si>
  <si>
    <t>GRACE</t>
  </si>
  <si>
    <t>3J73797123-0</t>
  </si>
  <si>
    <t>KAREEN/AIDAH/ANGEL</t>
  </si>
  <si>
    <t>3J73797469-0</t>
  </si>
  <si>
    <t>081125A-25</t>
  </si>
  <si>
    <t>JULY 12,2020</t>
  </si>
  <si>
    <t>KAREEN/LEA</t>
  </si>
  <si>
    <t>3J73797851-0</t>
  </si>
  <si>
    <t>081125B-21</t>
  </si>
  <si>
    <t>ANGEL/AIDAH/YHELLE</t>
  </si>
  <si>
    <t>3J73797858-0</t>
  </si>
  <si>
    <t>ANGEL/ , YHELLE</t>
  </si>
  <si>
    <t>3J73798499-0</t>
  </si>
  <si>
    <t>AIDAH , ANGEL</t>
  </si>
  <si>
    <t>3J73798900-0</t>
  </si>
  <si>
    <t>3J73799053-0</t>
  </si>
  <si>
    <t>LICA ZEL</t>
  </si>
  <si>
    <t>3J737990587-0</t>
  </si>
  <si>
    <t xml:space="preserve">LICA  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</si>
</sst>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14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sz val="11"/>
      <name val="ＭＳ Ｐゴシック"/>
      <family val="3"/>
      <charset val="128"/>
    </font>
    <font>
      <b/>
      <i/>
      <sz val="16"/>
      <name val="Helv"/>
      <family val="2"/>
    </font>
    <font>
      <b/>
      <sz val="10"/>
      <name val="Meiryo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</borders>
  <cellStyleXfs count="12">
    <xf numFmtId="0" fontId="0" fillId="0" borderId="0"/>
    <xf numFmtId="0" fontId="1" fillId="0" borderId="0"/>
    <xf numFmtId="0" fontId="11" fillId="0" borderId="0"/>
    <xf numFmtId="0" fontId="1" fillId="0" borderId="0"/>
    <xf numFmtId="38" fontId="8" fillId="2" borderId="0" applyNumberFormat="0" applyBorder="0" applyAlignment="0" applyProtection="0"/>
    <xf numFmtId="10" fontId="8" fillId="3" borderId="12" applyNumberFormat="0" applyBorder="0" applyAlignment="0" applyProtection="0"/>
    <xf numFmtId="164" fontId="12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65" fontId="3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1" xfId="1" applyFont="1" applyBorder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2" xfId="1" applyFont="1" applyBorder="1"/>
    <xf numFmtId="0" fontId="4" fillId="0" borderId="0" xfId="1" applyFont="1"/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/>
    </xf>
    <xf numFmtId="0" fontId="5" fillId="0" borderId="0" xfId="2" applyFont="1"/>
    <xf numFmtId="0" fontId="4" fillId="0" borderId="0" xfId="2" applyFont="1"/>
    <xf numFmtId="0" fontId="10" fillId="0" borderId="0" xfId="3" applyFont="1" applyAlignment="1">
      <alignment vertical="center"/>
    </xf>
    <xf numFmtId="0" fontId="10" fillId="0" borderId="14" xfId="1" applyFont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10" fillId="0" borderId="12" xfId="1" applyFont="1" applyBorder="1" applyAlignment="1">
      <alignment horizontal="center"/>
    </xf>
    <xf numFmtId="0" fontId="10" fillId="0" borderId="15" xfId="1" applyFont="1" applyBorder="1" applyAlignment="1">
      <alignment horizontal="center"/>
    </xf>
    <xf numFmtId="0" fontId="10" fillId="0" borderId="16" xfId="1" applyFont="1" applyBorder="1" applyAlignment="1">
      <alignment horizontal="center"/>
    </xf>
    <xf numFmtId="0" fontId="10" fillId="0" borderId="17" xfId="1" applyFont="1" applyBorder="1" applyAlignment="1">
      <alignment horizontal="center"/>
    </xf>
    <xf numFmtId="14" fontId="10" fillId="0" borderId="14" xfId="1" applyNumberFormat="1" applyFont="1" applyBorder="1" applyAlignment="1">
      <alignment horizontal="center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14" fontId="10" fillId="0" borderId="14" xfId="1" quotePrefix="1" applyNumberFormat="1" applyFont="1" applyBorder="1" applyAlignment="1">
      <alignment horizontal="center"/>
    </xf>
    <xf numFmtId="0" fontId="13" fillId="0" borderId="0" xfId="2" applyFont="1"/>
    <xf numFmtId="0" fontId="5" fillId="0" borderId="2" xfId="1" applyFont="1" applyBorder="1" applyAlignment="1">
      <alignment vertical="center"/>
    </xf>
    <xf numFmtId="17" fontId="10" fillId="0" borderId="14" xfId="1" applyNumberFormat="1" applyFont="1" applyBorder="1" applyAlignment="1">
      <alignment horizontal="center"/>
    </xf>
    <xf numFmtId="14" fontId="10" fillId="0" borderId="12" xfId="1" applyNumberFormat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</cellXfs>
  <cellStyles count="12">
    <cellStyle name="Grey" xfId="4"/>
    <cellStyle name="Input [yellow]" xfId="5"/>
    <cellStyle name="Normal" xfId="0" builtinId="0"/>
    <cellStyle name="Normal - Style1" xfId="6"/>
    <cellStyle name="Normal_0913.0914beginning of lot check sheet" xfId="3"/>
    <cellStyle name="Normal_15material monitoring" xfId="1"/>
    <cellStyle name="Percent [2]" xfId="7"/>
    <cellStyle name="Style 1" xfId="8"/>
    <cellStyle name="桁区切り_①COST ESTEMATE LIST" xfId="9"/>
    <cellStyle name="標準_★60HP構成表(031001)" xfId="10"/>
    <cellStyle name="標準_MAGNETIZE_0931MagnetismCheck(HP)" xfId="2"/>
    <cellStyle name="通貨 [0.00]_MATERIAL ASSESMENT" xf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view="pageBreakPreview" zoomScaleNormal="100" zoomScaleSheetLayoutView="100" workbookViewId="0">
      <selection activeCell="A9" sqref="A9:O11"/>
    </sheetView>
  </sheetViews>
  <sheetFormatPr defaultColWidth="10.28515625" defaultRowHeight="14.25"/>
  <cols>
    <col min="1" max="1" width="14.7109375" style="2" customWidth="1"/>
    <col min="2" max="2" width="11.285156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15.5703125" style="2" customWidth="1"/>
    <col min="15" max="15" width="12.1406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/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6"/>
    </row>
    <row r="10" spans="1:15" ht="17.100000000000001" customHeight="1">
      <c r="A10" s="24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</row>
    <row r="11" spans="1:15" ht="17.100000000000001" customHeight="1">
      <c r="A11" s="24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</row>
    <row r="12" spans="1:15" ht="17.100000000000001" customHeight="1">
      <c r="A12" s="15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</row>
    <row r="13" spans="1:15" ht="17.100000000000001" customHeight="1">
      <c r="A13" s="2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6"/>
    </row>
    <row r="14" spans="1:15" ht="17.100000000000001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</row>
    <row r="15" spans="1:15" ht="17.100000000000001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</row>
    <row r="16" spans="1:15" ht="17.100000000000001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 t="s">
        <v>18</v>
      </c>
      <c r="K39" s="12"/>
      <c r="M39" s="13"/>
      <c r="N39" s="14"/>
    </row>
    <row r="40" spans="1:15">
      <c r="K40" s="2" t="s">
        <v>19</v>
      </c>
    </row>
    <row r="41" spans="1:15">
      <c r="K41" s="2" t="s">
        <v>20</v>
      </c>
    </row>
    <row r="42" spans="1:15">
      <c r="K42" s="2" t="s">
        <v>21</v>
      </c>
    </row>
    <row r="43" spans="1:15">
      <c r="K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14"/>
  <sheetViews>
    <sheetView view="pageBreakPreview" zoomScaleNormal="100" zoomScaleSheetLayoutView="100" workbookViewId="0">
      <selection activeCell="O7" sqref="O7:O8"/>
    </sheetView>
  </sheetViews>
  <sheetFormatPr defaultColWidth="10.28515625" defaultRowHeight="14.25"/>
  <cols>
    <col min="1" max="1" width="15" style="2" customWidth="1"/>
    <col min="2" max="2" width="15.7109375" style="2" customWidth="1"/>
    <col min="3" max="3" width="7.42578125" style="2" customWidth="1"/>
    <col min="4" max="12" width="12.7109375" style="2" customWidth="1"/>
    <col min="13" max="13" width="8.28515625" style="2" customWidth="1"/>
    <col min="14" max="14" width="22.5703125" style="2" customWidth="1"/>
    <col min="15" max="15" width="18.1406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/>
      <c r="C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>
        <v>45681</v>
      </c>
      <c r="B9" s="16" t="s">
        <v>23</v>
      </c>
      <c r="C9" s="17" t="s">
        <v>24</v>
      </c>
      <c r="D9" s="17" t="s">
        <v>25</v>
      </c>
      <c r="E9" s="17">
        <v>231217</v>
      </c>
      <c r="F9" s="17">
        <v>230628</v>
      </c>
      <c r="G9" s="17">
        <v>25121</v>
      </c>
      <c r="H9" s="17" t="s">
        <v>26</v>
      </c>
      <c r="I9" s="17" t="s">
        <v>27</v>
      </c>
      <c r="J9" s="17">
        <v>24917</v>
      </c>
      <c r="K9" s="17"/>
      <c r="L9" s="17"/>
      <c r="M9" s="17">
        <v>96</v>
      </c>
      <c r="N9" s="17" t="s">
        <v>28</v>
      </c>
      <c r="O9" s="16" t="s">
        <v>29</v>
      </c>
    </row>
    <row r="10" spans="1:15">
      <c r="A10" s="25" t="s">
        <v>34</v>
      </c>
      <c r="B10" s="13"/>
      <c r="C10" s="13"/>
      <c r="D10" s="12"/>
      <c r="E10" s="13"/>
      <c r="I10" s="13"/>
      <c r="J10" s="12"/>
      <c r="K10" s="12" t="s">
        <v>18</v>
      </c>
      <c r="L10" s="12"/>
      <c r="M10" s="13"/>
      <c r="N10" s="14"/>
    </row>
    <row r="11" spans="1:15">
      <c r="L11" s="2" t="s">
        <v>19</v>
      </c>
    </row>
    <row r="12" spans="1:15">
      <c r="L12" s="2" t="s">
        <v>20</v>
      </c>
    </row>
    <row r="13" spans="1:15">
      <c r="L13" s="2" t="s">
        <v>21</v>
      </c>
    </row>
    <row r="14" spans="1:15">
      <c r="L14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43"/>
  <sheetViews>
    <sheetView view="pageBreakPreview" topLeftCell="A16" zoomScaleNormal="100" zoomScaleSheetLayoutView="100" workbookViewId="0">
      <selection activeCell="H32" sqref="H32"/>
    </sheetView>
  </sheetViews>
  <sheetFormatPr defaultColWidth="10.28515625" defaultRowHeight="14.25"/>
  <cols>
    <col min="1" max="1" width="16.85546875" style="2" customWidth="1"/>
    <col min="2" max="2" width="11.28515625" style="2" customWidth="1"/>
    <col min="3" max="3" width="7.42578125" style="2" customWidth="1"/>
    <col min="4" max="12" width="12.7109375" style="2" customWidth="1"/>
    <col min="13" max="13" width="8.28515625" style="2" customWidth="1"/>
    <col min="14" max="14" width="15.7109375" style="2" customWidth="1"/>
    <col min="15" max="15" width="12.1406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/>
      <c r="C3" s="3"/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>
        <v>45700</v>
      </c>
      <c r="B9" s="16" t="s">
        <v>23</v>
      </c>
      <c r="C9" s="17" t="s">
        <v>24</v>
      </c>
      <c r="D9" s="17" t="s">
        <v>30</v>
      </c>
      <c r="E9" s="17">
        <v>231217</v>
      </c>
      <c r="F9" s="17">
        <v>230628</v>
      </c>
      <c r="G9" s="17">
        <v>25121</v>
      </c>
      <c r="H9" s="17">
        <v>24808</v>
      </c>
      <c r="I9" s="17">
        <v>24919</v>
      </c>
      <c r="J9" s="17" t="s">
        <v>31</v>
      </c>
      <c r="K9" s="17"/>
      <c r="L9" s="17"/>
      <c r="M9" s="17">
        <v>96</v>
      </c>
      <c r="N9" s="17" t="s">
        <v>32</v>
      </c>
      <c r="O9" s="16" t="s">
        <v>33</v>
      </c>
    </row>
    <row r="10" spans="1:15" ht="17.100000000000001" customHeight="1">
      <c r="A10" s="24">
        <v>45708</v>
      </c>
      <c r="B10" s="16" t="s">
        <v>23</v>
      </c>
      <c r="C10" s="17" t="s">
        <v>24</v>
      </c>
      <c r="D10" s="17" t="s">
        <v>37</v>
      </c>
      <c r="E10" s="17">
        <v>231207</v>
      </c>
      <c r="F10" s="17">
        <v>230628</v>
      </c>
      <c r="G10" s="17">
        <v>25121</v>
      </c>
      <c r="H10" s="17">
        <v>231208</v>
      </c>
      <c r="I10" s="17">
        <v>24920</v>
      </c>
      <c r="J10" s="17" t="s">
        <v>38</v>
      </c>
      <c r="K10" s="17"/>
      <c r="L10" s="17"/>
      <c r="M10" s="17">
        <v>48</v>
      </c>
      <c r="N10" s="17" t="s">
        <v>40</v>
      </c>
      <c r="O10" s="16" t="s">
        <v>42</v>
      </c>
    </row>
    <row r="11" spans="1:15" ht="17.100000000000001" customHeight="1">
      <c r="A11" s="24">
        <v>45708</v>
      </c>
      <c r="B11" s="16" t="s">
        <v>23</v>
      </c>
      <c r="C11" s="17" t="s">
        <v>39</v>
      </c>
      <c r="D11" s="17" t="s">
        <v>37</v>
      </c>
      <c r="E11" s="17">
        <v>231207</v>
      </c>
      <c r="F11" s="17">
        <v>230628</v>
      </c>
      <c r="G11" s="17">
        <v>25121</v>
      </c>
      <c r="H11" s="17">
        <v>231208</v>
      </c>
      <c r="I11" s="17">
        <v>24920</v>
      </c>
      <c r="J11" s="17" t="s">
        <v>38</v>
      </c>
      <c r="K11" s="17"/>
      <c r="L11" s="17"/>
      <c r="M11" s="17">
        <v>48</v>
      </c>
      <c r="N11" s="17" t="s">
        <v>40</v>
      </c>
      <c r="O11" s="16" t="s">
        <v>41</v>
      </c>
    </row>
    <row r="12" spans="1:15" ht="17.100000000000001" customHeight="1">
      <c r="A12" s="24">
        <v>45715</v>
      </c>
      <c r="B12" s="16" t="s">
        <v>23</v>
      </c>
      <c r="C12" s="17" t="s">
        <v>24</v>
      </c>
      <c r="D12" s="17" t="s">
        <v>43</v>
      </c>
      <c r="E12" s="17">
        <v>231207</v>
      </c>
      <c r="F12" s="17">
        <v>230628</v>
      </c>
      <c r="G12" s="17" t="s">
        <v>44</v>
      </c>
      <c r="H12" s="17">
        <v>24808</v>
      </c>
      <c r="I12" s="17">
        <v>24920</v>
      </c>
      <c r="J12" s="17" t="s">
        <v>38</v>
      </c>
      <c r="K12" s="17"/>
      <c r="L12" s="17"/>
      <c r="M12" s="17">
        <v>48</v>
      </c>
      <c r="N12" s="17" t="s">
        <v>45</v>
      </c>
      <c r="O12" s="16" t="s">
        <v>46</v>
      </c>
    </row>
    <row r="13" spans="1:15" ht="17.100000000000001" customHeight="1">
      <c r="A13" s="2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6"/>
    </row>
    <row r="14" spans="1:15" ht="17.100000000000001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</row>
    <row r="15" spans="1:15" ht="17.100000000000001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</row>
    <row r="16" spans="1:15" ht="17.100000000000001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/>
      <c r="K39" s="12" t="s">
        <v>18</v>
      </c>
      <c r="L39" s="12"/>
      <c r="M39" s="13"/>
      <c r="N39" s="14"/>
    </row>
    <row r="40" spans="1:15">
      <c r="L40" s="2" t="s">
        <v>19</v>
      </c>
    </row>
    <row r="41" spans="1:15">
      <c r="L41" s="2" t="s">
        <v>20</v>
      </c>
    </row>
    <row r="42" spans="1:15">
      <c r="L42" s="2" t="s">
        <v>21</v>
      </c>
    </row>
    <row r="43" spans="1:15">
      <c r="L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O43"/>
  <sheetViews>
    <sheetView view="pageBreakPreview" topLeftCell="A3" zoomScaleNormal="100" zoomScaleSheetLayoutView="100" workbookViewId="0">
      <selection activeCell="A9" sqref="A9"/>
    </sheetView>
  </sheetViews>
  <sheetFormatPr defaultColWidth="10.28515625" defaultRowHeight="14.25"/>
  <cols>
    <col min="1" max="1" width="14.7109375" style="2" customWidth="1"/>
    <col min="2" max="2" width="11.285156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15.5703125" style="2" customWidth="1"/>
    <col min="15" max="15" width="12.1406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 t="s">
        <v>47</v>
      </c>
      <c r="B9" s="16" t="s">
        <v>23</v>
      </c>
      <c r="C9" s="17" t="s">
        <v>24</v>
      </c>
      <c r="D9" s="17" t="s">
        <v>48</v>
      </c>
      <c r="E9" s="17">
        <v>231213</v>
      </c>
      <c r="F9" s="17">
        <v>250114</v>
      </c>
      <c r="G9" s="17">
        <v>25121</v>
      </c>
      <c r="H9" s="17">
        <v>25210</v>
      </c>
      <c r="I9" s="17">
        <v>24920</v>
      </c>
      <c r="J9" s="17" t="s">
        <v>38</v>
      </c>
      <c r="K9" s="17"/>
      <c r="L9" s="17"/>
      <c r="M9" s="17">
        <v>48</v>
      </c>
      <c r="N9" s="17" t="s">
        <v>49</v>
      </c>
      <c r="O9" s="16" t="s">
        <v>50</v>
      </c>
    </row>
    <row r="10" spans="1:15" ht="17.100000000000001" customHeight="1">
      <c r="A10" s="24" t="s">
        <v>47</v>
      </c>
      <c r="B10" s="16" t="s">
        <v>23</v>
      </c>
      <c r="C10" s="17" t="s">
        <v>24</v>
      </c>
      <c r="D10" s="17" t="s">
        <v>48</v>
      </c>
      <c r="E10" s="17">
        <v>231213</v>
      </c>
      <c r="F10" s="17">
        <v>250114</v>
      </c>
      <c r="G10" s="17">
        <v>25121</v>
      </c>
      <c r="H10" s="17">
        <v>25210</v>
      </c>
      <c r="I10" s="17">
        <v>24920</v>
      </c>
      <c r="J10" s="17" t="s">
        <v>38</v>
      </c>
      <c r="K10" s="17"/>
      <c r="L10" s="17"/>
      <c r="M10" s="17">
        <v>48</v>
      </c>
      <c r="N10" s="17" t="s">
        <v>49</v>
      </c>
      <c r="O10" s="16" t="s">
        <v>51</v>
      </c>
    </row>
    <row r="11" spans="1:15" ht="17.100000000000001" customHeight="1">
      <c r="A11" s="24">
        <v>45741</v>
      </c>
      <c r="B11" s="16" t="s">
        <v>23</v>
      </c>
      <c r="C11" s="17" t="s">
        <v>24</v>
      </c>
      <c r="D11" s="17" t="s">
        <v>48</v>
      </c>
      <c r="E11" s="17" t="s">
        <v>52</v>
      </c>
      <c r="F11" s="17" t="s">
        <v>53</v>
      </c>
      <c r="G11" s="17" t="s">
        <v>54</v>
      </c>
      <c r="H11" s="17">
        <v>25210</v>
      </c>
      <c r="I11" s="17" t="s">
        <v>55</v>
      </c>
      <c r="J11" s="17" t="s">
        <v>56</v>
      </c>
      <c r="K11" s="17"/>
      <c r="L11" s="17"/>
      <c r="M11" s="17">
        <v>4</v>
      </c>
      <c r="N11" s="17" t="s">
        <v>57</v>
      </c>
      <c r="O11" s="16" t="s">
        <v>58</v>
      </c>
    </row>
    <row r="12" spans="1:15" ht="17.100000000000001" customHeight="1">
      <c r="A12" s="15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</row>
    <row r="13" spans="1:15" ht="17.100000000000001" customHeight="1">
      <c r="A13" s="2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6"/>
    </row>
    <row r="14" spans="1:15" ht="17.100000000000001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</row>
    <row r="15" spans="1:15" ht="17.100000000000001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</row>
    <row r="16" spans="1:15" ht="17.100000000000001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 t="s">
        <v>18</v>
      </c>
      <c r="K39" s="12"/>
      <c r="M39" s="13"/>
      <c r="N39" s="14"/>
    </row>
    <row r="40" spans="1:15">
      <c r="K40" s="2" t="s">
        <v>19</v>
      </c>
    </row>
    <row r="41" spans="1:15">
      <c r="K41" s="2" t="s">
        <v>20</v>
      </c>
    </row>
    <row r="42" spans="1:15">
      <c r="K42" s="2" t="s">
        <v>21</v>
      </c>
    </row>
    <row r="43" spans="1:15">
      <c r="K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O43"/>
  <sheetViews>
    <sheetView view="pageBreakPreview" zoomScaleNormal="100" zoomScaleSheetLayoutView="100" workbookViewId="0">
      <selection activeCell="E13" sqref="E13"/>
    </sheetView>
  </sheetViews>
  <sheetFormatPr defaultColWidth="10.28515625" defaultRowHeight="14.25"/>
  <cols>
    <col min="1" max="1" width="14.7109375" style="2" customWidth="1"/>
    <col min="2" max="2" width="11.285156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20.7109375" style="2" customWidth="1"/>
    <col min="15" max="15" width="12.1406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 t="s">
        <v>59</v>
      </c>
      <c r="B9" s="16" t="s">
        <v>60</v>
      </c>
      <c r="C9" s="17" t="s">
        <v>24</v>
      </c>
      <c r="D9" s="17" t="s">
        <v>62</v>
      </c>
      <c r="E9" s="17">
        <v>231217</v>
      </c>
      <c r="F9" s="17">
        <v>241010</v>
      </c>
      <c r="G9" s="17" t="s">
        <v>63</v>
      </c>
      <c r="H9" s="17">
        <v>24808</v>
      </c>
      <c r="I9" s="17">
        <v>24920</v>
      </c>
      <c r="J9" s="17">
        <v>25111</v>
      </c>
      <c r="K9" s="17" t="s">
        <v>67</v>
      </c>
      <c r="L9" s="17" t="s">
        <v>67</v>
      </c>
      <c r="M9" s="17">
        <v>9</v>
      </c>
      <c r="N9" s="17" t="s">
        <v>64</v>
      </c>
      <c r="O9" s="16" t="s">
        <v>66</v>
      </c>
    </row>
    <row r="10" spans="1:15" ht="17.100000000000001" customHeight="1">
      <c r="A10" s="24" t="s">
        <v>59</v>
      </c>
      <c r="B10" s="16" t="s">
        <v>60</v>
      </c>
      <c r="C10" s="17" t="s">
        <v>39</v>
      </c>
      <c r="D10" s="17" t="s">
        <v>48</v>
      </c>
      <c r="E10" s="17">
        <v>231217</v>
      </c>
      <c r="F10" s="17">
        <v>241010</v>
      </c>
      <c r="G10" s="17" t="s">
        <v>63</v>
      </c>
      <c r="H10" s="17">
        <v>24808</v>
      </c>
      <c r="I10" s="17">
        <v>24920</v>
      </c>
      <c r="J10" s="17">
        <v>25111</v>
      </c>
      <c r="K10" s="17" t="s">
        <v>67</v>
      </c>
      <c r="L10" s="17" t="s">
        <v>67</v>
      </c>
      <c r="M10" s="17">
        <v>73</v>
      </c>
      <c r="N10" s="17" t="s">
        <v>64</v>
      </c>
      <c r="O10" s="16" t="s">
        <v>66</v>
      </c>
    </row>
    <row r="11" spans="1:15" ht="17.100000000000001" customHeight="1">
      <c r="A11" s="24" t="s">
        <v>59</v>
      </c>
      <c r="B11" s="16" t="s">
        <v>60</v>
      </c>
      <c r="C11" s="17" t="s">
        <v>61</v>
      </c>
      <c r="D11" s="17" t="s">
        <v>68</v>
      </c>
      <c r="E11" s="17">
        <v>231217</v>
      </c>
      <c r="F11" s="17">
        <v>241010</v>
      </c>
      <c r="G11" s="17" t="s">
        <v>63</v>
      </c>
      <c r="H11" s="17">
        <v>24808</v>
      </c>
      <c r="I11" s="17">
        <v>24920</v>
      </c>
      <c r="J11" s="17">
        <v>25111</v>
      </c>
      <c r="K11" s="17" t="s">
        <v>67</v>
      </c>
      <c r="L11" s="17" t="s">
        <v>67</v>
      </c>
      <c r="M11" s="17">
        <v>110</v>
      </c>
      <c r="N11" s="17" t="s">
        <v>65</v>
      </c>
      <c r="O11" s="16" t="s">
        <v>66</v>
      </c>
    </row>
    <row r="12" spans="1:15" ht="17.100000000000001" customHeight="1">
      <c r="A12" s="15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</row>
    <row r="13" spans="1:15" ht="17.100000000000001" customHeight="1">
      <c r="A13" s="2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6"/>
    </row>
    <row r="14" spans="1:15" ht="17.100000000000001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</row>
    <row r="15" spans="1:15" ht="17.100000000000001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</row>
    <row r="16" spans="1:15" ht="17.100000000000001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 t="s">
        <v>18</v>
      </c>
      <c r="K39" s="12"/>
      <c r="M39" s="13"/>
      <c r="N39" s="14"/>
    </row>
    <row r="40" spans="1:15">
      <c r="K40" s="2" t="s">
        <v>19</v>
      </c>
    </row>
    <row r="41" spans="1:15">
      <c r="K41" s="2" t="s">
        <v>20</v>
      </c>
    </row>
    <row r="42" spans="1:15">
      <c r="K42" s="2" t="s">
        <v>21</v>
      </c>
    </row>
    <row r="43" spans="1:15">
      <c r="K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O43"/>
  <sheetViews>
    <sheetView view="pageBreakPreview" zoomScaleNormal="100" zoomScaleSheetLayoutView="100" workbookViewId="0">
      <selection activeCell="N24" sqref="N24"/>
    </sheetView>
  </sheetViews>
  <sheetFormatPr defaultColWidth="10.28515625" defaultRowHeight="14.25"/>
  <cols>
    <col min="1" max="1" width="14.7109375" style="2" customWidth="1"/>
    <col min="2" max="2" width="11.285156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23.42578125" style="2" customWidth="1"/>
    <col min="15" max="15" width="16.710937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>
        <v>45787</v>
      </c>
      <c r="B9" s="16" t="s">
        <v>23</v>
      </c>
      <c r="C9" s="17" t="s">
        <v>24</v>
      </c>
      <c r="D9" s="17" t="s">
        <v>69</v>
      </c>
      <c r="E9" s="17">
        <v>231217</v>
      </c>
      <c r="F9" s="17">
        <v>250422</v>
      </c>
      <c r="G9" s="17">
        <v>25121</v>
      </c>
      <c r="H9" s="17">
        <v>25210</v>
      </c>
      <c r="I9" s="17" t="s">
        <v>83</v>
      </c>
      <c r="J9" s="17">
        <v>25109</v>
      </c>
      <c r="K9" s="17"/>
      <c r="L9" s="17"/>
      <c r="M9" s="17">
        <v>48</v>
      </c>
      <c r="N9" s="17" t="s">
        <v>81</v>
      </c>
      <c r="O9" s="16"/>
    </row>
    <row r="10" spans="1:15" ht="17.100000000000001" customHeight="1">
      <c r="A10" s="24">
        <v>45787</v>
      </c>
      <c r="B10" s="16" t="s">
        <v>23</v>
      </c>
      <c r="C10" s="17" t="s">
        <v>24</v>
      </c>
      <c r="D10" s="17" t="s">
        <v>69</v>
      </c>
      <c r="E10" s="17">
        <v>231217</v>
      </c>
      <c r="F10" s="17">
        <v>250422</v>
      </c>
      <c r="G10" s="17">
        <v>25121</v>
      </c>
      <c r="H10" s="17">
        <v>25210</v>
      </c>
      <c r="I10" s="17" t="s">
        <v>83</v>
      </c>
      <c r="J10" s="17">
        <v>25109</v>
      </c>
      <c r="K10" s="17"/>
      <c r="L10" s="17"/>
      <c r="M10" s="17">
        <f>134-48</f>
        <v>86</v>
      </c>
      <c r="N10" s="17" t="s">
        <v>81</v>
      </c>
      <c r="O10" s="16" t="s">
        <v>82</v>
      </c>
    </row>
    <row r="11" spans="1:15" ht="17.100000000000001" customHeight="1">
      <c r="A11" s="24">
        <v>45787</v>
      </c>
      <c r="B11" s="16" t="s">
        <v>23</v>
      </c>
      <c r="C11" s="17" t="s">
        <v>39</v>
      </c>
      <c r="D11" s="17" t="s">
        <v>75</v>
      </c>
      <c r="E11" s="17">
        <v>231217</v>
      </c>
      <c r="F11" s="17">
        <v>250422</v>
      </c>
      <c r="G11" s="17">
        <v>25121</v>
      </c>
      <c r="H11" s="17">
        <v>25210</v>
      </c>
      <c r="I11" s="17" t="s">
        <v>83</v>
      </c>
      <c r="J11" s="17">
        <v>25109</v>
      </c>
      <c r="K11" s="17"/>
      <c r="L11" s="17"/>
      <c r="M11" s="17">
        <v>7</v>
      </c>
      <c r="N11" s="17" t="s">
        <v>81</v>
      </c>
      <c r="O11" s="16" t="s">
        <v>82</v>
      </c>
    </row>
    <row r="12" spans="1:15" ht="17.100000000000001" customHeight="1">
      <c r="A12" s="24">
        <v>45787</v>
      </c>
      <c r="B12" s="16" t="s">
        <v>23</v>
      </c>
      <c r="C12" s="17" t="s">
        <v>61</v>
      </c>
      <c r="D12" s="17" t="s">
        <v>25</v>
      </c>
      <c r="E12" s="17">
        <v>231217</v>
      </c>
      <c r="F12" s="17">
        <v>250422</v>
      </c>
      <c r="G12" s="17">
        <v>25121</v>
      </c>
      <c r="H12" s="17">
        <v>25210</v>
      </c>
      <c r="I12" s="17" t="s">
        <v>83</v>
      </c>
      <c r="J12" s="17">
        <v>25109</v>
      </c>
      <c r="K12" s="17"/>
      <c r="L12" s="17"/>
      <c r="M12" s="17">
        <v>10</v>
      </c>
      <c r="N12" s="17" t="s">
        <v>81</v>
      </c>
      <c r="O12" s="16" t="s">
        <v>82</v>
      </c>
    </row>
    <row r="13" spans="1:15" ht="17.100000000000001" customHeight="1">
      <c r="A13" s="24">
        <v>45787</v>
      </c>
      <c r="B13" s="16" t="s">
        <v>23</v>
      </c>
      <c r="C13" s="17" t="s">
        <v>70</v>
      </c>
      <c r="D13" s="17" t="s">
        <v>76</v>
      </c>
      <c r="E13" s="17">
        <v>231217</v>
      </c>
      <c r="F13" s="17">
        <v>250422</v>
      </c>
      <c r="G13" s="17">
        <v>25121</v>
      </c>
      <c r="H13" s="17">
        <v>25210</v>
      </c>
      <c r="I13" s="17" t="s">
        <v>83</v>
      </c>
      <c r="J13" s="17">
        <v>25109</v>
      </c>
      <c r="K13" s="17"/>
      <c r="L13" s="17"/>
      <c r="M13" s="17">
        <v>24</v>
      </c>
      <c r="N13" s="17" t="s">
        <v>81</v>
      </c>
      <c r="O13" s="16" t="s">
        <v>82</v>
      </c>
    </row>
    <row r="14" spans="1:15" ht="17.100000000000001" customHeight="1">
      <c r="A14" s="24">
        <v>45787</v>
      </c>
      <c r="B14" s="16" t="s">
        <v>23</v>
      </c>
      <c r="C14" s="17" t="s">
        <v>71</v>
      </c>
      <c r="D14" s="17" t="s">
        <v>77</v>
      </c>
      <c r="E14" s="17">
        <v>231217</v>
      </c>
      <c r="F14" s="17">
        <v>250422</v>
      </c>
      <c r="G14" s="17">
        <v>25121</v>
      </c>
      <c r="H14" s="17">
        <v>25210</v>
      </c>
      <c r="I14" s="17" t="s">
        <v>83</v>
      </c>
      <c r="J14" s="17">
        <v>25109</v>
      </c>
      <c r="K14" s="17"/>
      <c r="L14" s="17"/>
      <c r="M14" s="17">
        <v>7</v>
      </c>
      <c r="N14" s="17" t="s">
        <v>81</v>
      </c>
      <c r="O14" s="16" t="s">
        <v>82</v>
      </c>
    </row>
    <row r="15" spans="1:15" ht="17.100000000000001" customHeight="1">
      <c r="A15" s="24">
        <v>45787</v>
      </c>
      <c r="B15" s="16" t="s">
        <v>23</v>
      </c>
      <c r="C15" s="17" t="s">
        <v>72</v>
      </c>
      <c r="D15" s="17" t="s">
        <v>79</v>
      </c>
      <c r="E15" s="17">
        <v>231217</v>
      </c>
      <c r="F15" s="17">
        <v>250422</v>
      </c>
      <c r="G15" s="17">
        <v>25121</v>
      </c>
      <c r="H15" s="17">
        <v>25210</v>
      </c>
      <c r="I15" s="17" t="s">
        <v>83</v>
      </c>
      <c r="J15" s="17">
        <v>25109</v>
      </c>
      <c r="K15" s="17"/>
      <c r="L15" s="17"/>
      <c r="M15" s="17">
        <v>5</v>
      </c>
      <c r="N15" s="17" t="s">
        <v>81</v>
      </c>
      <c r="O15" s="16" t="s">
        <v>82</v>
      </c>
    </row>
    <row r="16" spans="1:15" ht="17.100000000000001" customHeight="1">
      <c r="A16" s="24">
        <v>45787</v>
      </c>
      <c r="B16" s="16" t="s">
        <v>23</v>
      </c>
      <c r="C16" s="17" t="s">
        <v>73</v>
      </c>
      <c r="D16" s="17" t="s">
        <v>78</v>
      </c>
      <c r="E16" s="17">
        <v>231217</v>
      </c>
      <c r="F16" s="17">
        <v>250422</v>
      </c>
      <c r="G16" s="17">
        <v>25121</v>
      </c>
      <c r="H16" s="17">
        <v>25210</v>
      </c>
      <c r="I16" s="17" t="s">
        <v>83</v>
      </c>
      <c r="J16" s="17">
        <v>25109</v>
      </c>
      <c r="K16" s="17"/>
      <c r="L16" s="17"/>
      <c r="M16" s="17">
        <v>13</v>
      </c>
      <c r="N16" s="17" t="s">
        <v>81</v>
      </c>
      <c r="O16" s="16" t="s">
        <v>82</v>
      </c>
    </row>
    <row r="17" spans="1:15" ht="17.100000000000001" customHeight="1">
      <c r="A17" s="24">
        <v>45787</v>
      </c>
      <c r="B17" s="16" t="s">
        <v>23</v>
      </c>
      <c r="C17" s="17" t="s">
        <v>74</v>
      </c>
      <c r="D17" s="17" t="s">
        <v>80</v>
      </c>
      <c r="E17" s="17">
        <v>231217</v>
      </c>
      <c r="F17" s="17">
        <v>250422</v>
      </c>
      <c r="G17" s="17">
        <v>25121</v>
      </c>
      <c r="H17" s="17">
        <v>25210</v>
      </c>
      <c r="I17" s="17" t="s">
        <v>83</v>
      </c>
      <c r="J17" s="17">
        <v>25109</v>
      </c>
      <c r="K17" s="17"/>
      <c r="L17" s="17"/>
      <c r="M17" s="17">
        <v>40</v>
      </c>
      <c r="N17" s="17" t="s">
        <v>81</v>
      </c>
      <c r="O17" s="16" t="s">
        <v>82</v>
      </c>
    </row>
    <row r="18" spans="1:15" ht="17.100000000000001" customHeight="1">
      <c r="A18" s="21">
        <v>45800</v>
      </c>
      <c r="B18" s="16" t="s">
        <v>23</v>
      </c>
      <c r="C18" s="17" t="s">
        <v>24</v>
      </c>
      <c r="D18" s="17" t="s">
        <v>84</v>
      </c>
      <c r="E18" s="17">
        <v>231207</v>
      </c>
      <c r="F18" s="17">
        <v>250422</v>
      </c>
      <c r="G18" s="17">
        <v>25121</v>
      </c>
      <c r="H18" s="17" t="s">
        <v>26</v>
      </c>
      <c r="I18" s="17">
        <v>24919</v>
      </c>
      <c r="J18" s="17" t="s">
        <v>85</v>
      </c>
      <c r="K18" s="17"/>
      <c r="L18" s="17"/>
      <c r="M18" s="17">
        <v>144</v>
      </c>
      <c r="N18" s="17" t="s">
        <v>86</v>
      </c>
      <c r="O18" s="16" t="s">
        <v>87</v>
      </c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 t="s">
        <v>18</v>
      </c>
      <c r="K39" s="12"/>
      <c r="M39" s="13"/>
      <c r="N39" s="14"/>
    </row>
    <row r="40" spans="1:15">
      <c r="K40" s="2" t="s">
        <v>19</v>
      </c>
    </row>
    <row r="41" spans="1:15">
      <c r="K41" s="2" t="s">
        <v>20</v>
      </c>
    </row>
    <row r="42" spans="1:15">
      <c r="K42" s="2" t="s">
        <v>21</v>
      </c>
    </row>
    <row r="43" spans="1:15">
      <c r="K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O43"/>
  <sheetViews>
    <sheetView view="pageBreakPreview" zoomScaleNormal="100" zoomScaleSheetLayoutView="100" workbookViewId="0">
      <selection activeCell="A16" sqref="A16"/>
    </sheetView>
  </sheetViews>
  <sheetFormatPr defaultColWidth="10.28515625" defaultRowHeight="14.25"/>
  <cols>
    <col min="1" max="1" width="14.7109375" style="2" customWidth="1"/>
    <col min="2" max="2" width="11.285156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15.5703125" style="2" customWidth="1"/>
    <col min="15" max="15" width="12.1406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>
        <v>45827</v>
      </c>
      <c r="B9" s="16" t="s">
        <v>88</v>
      </c>
      <c r="C9" s="17" t="s">
        <v>24</v>
      </c>
      <c r="D9" s="17">
        <v>241025</v>
      </c>
      <c r="E9" s="17"/>
      <c r="F9" s="17"/>
      <c r="G9" s="17"/>
      <c r="H9" s="17"/>
      <c r="I9" s="17"/>
      <c r="J9" s="17"/>
      <c r="K9" s="17"/>
      <c r="L9" s="17"/>
      <c r="M9" s="17">
        <v>96</v>
      </c>
      <c r="N9" s="17" t="s">
        <v>89</v>
      </c>
      <c r="O9" s="16" t="s">
        <v>90</v>
      </c>
    </row>
    <row r="10" spans="1:15" ht="17.100000000000001" customHeight="1">
      <c r="A10" s="24">
        <v>45835</v>
      </c>
      <c r="B10" s="16" t="s">
        <v>23</v>
      </c>
      <c r="C10" s="17" t="s">
        <v>24</v>
      </c>
      <c r="D10" s="17">
        <v>43025</v>
      </c>
      <c r="E10" s="17">
        <v>231208</v>
      </c>
      <c r="F10" s="17">
        <v>250422</v>
      </c>
      <c r="G10" s="17" t="s">
        <v>54</v>
      </c>
      <c r="H10" s="17" t="s">
        <v>26</v>
      </c>
      <c r="I10" s="17" t="s">
        <v>83</v>
      </c>
      <c r="J10" s="17" t="s">
        <v>85</v>
      </c>
      <c r="K10" s="17"/>
      <c r="L10" s="17"/>
      <c r="M10" s="17">
        <v>144</v>
      </c>
      <c r="N10" s="17" t="s">
        <v>86</v>
      </c>
      <c r="O10" s="16" t="s">
        <v>91</v>
      </c>
    </row>
    <row r="11" spans="1:15" ht="17.100000000000001" customHeight="1">
      <c r="A11" s="24">
        <v>45835</v>
      </c>
      <c r="B11" s="16" t="s">
        <v>60</v>
      </c>
      <c r="C11" s="17" t="s">
        <v>24</v>
      </c>
      <c r="D11" s="17">
        <v>43025</v>
      </c>
      <c r="E11" s="17">
        <v>231208</v>
      </c>
      <c r="F11" s="17">
        <v>241010</v>
      </c>
      <c r="G11" s="17" t="s">
        <v>63</v>
      </c>
      <c r="H11" s="17" t="s">
        <v>26</v>
      </c>
      <c r="I11" s="17">
        <v>25113</v>
      </c>
      <c r="J11" s="17" t="s">
        <v>85</v>
      </c>
      <c r="K11" s="17"/>
      <c r="L11" s="17"/>
      <c r="M11" s="17">
        <v>192</v>
      </c>
      <c r="N11" s="17" t="s">
        <v>86</v>
      </c>
      <c r="O11" s="16" t="s">
        <v>92</v>
      </c>
    </row>
    <row r="12" spans="1:15" ht="17.100000000000001" customHeight="1">
      <c r="A12" s="24">
        <v>45835</v>
      </c>
      <c r="B12" s="16" t="s">
        <v>60</v>
      </c>
      <c r="C12" s="17" t="s">
        <v>24</v>
      </c>
      <c r="D12" s="17">
        <v>43025</v>
      </c>
      <c r="E12" s="17">
        <v>231208</v>
      </c>
      <c r="F12" s="17">
        <v>241010</v>
      </c>
      <c r="G12" s="17" t="s">
        <v>63</v>
      </c>
      <c r="H12" s="17" t="s">
        <v>26</v>
      </c>
      <c r="I12" s="17">
        <v>25113</v>
      </c>
      <c r="J12" s="17" t="s">
        <v>85</v>
      </c>
      <c r="K12" s="17"/>
      <c r="L12" s="17"/>
      <c r="M12" s="17">
        <v>43</v>
      </c>
      <c r="N12" s="17" t="s">
        <v>86</v>
      </c>
      <c r="O12" s="16" t="s">
        <v>93</v>
      </c>
    </row>
    <row r="13" spans="1:15" ht="17.100000000000001" customHeight="1">
      <c r="A13" s="21">
        <v>45838</v>
      </c>
      <c r="B13" s="16" t="s">
        <v>60</v>
      </c>
      <c r="C13" s="17" t="s">
        <v>24</v>
      </c>
      <c r="D13" s="17">
        <v>43025</v>
      </c>
      <c r="E13" s="17">
        <v>231208</v>
      </c>
      <c r="F13" s="17">
        <v>241010</v>
      </c>
      <c r="G13" s="17" t="s">
        <v>63</v>
      </c>
      <c r="H13" s="17" t="s">
        <v>26</v>
      </c>
      <c r="I13" s="17">
        <v>25113</v>
      </c>
      <c r="J13" s="17" t="s">
        <v>85</v>
      </c>
      <c r="K13" s="17"/>
      <c r="L13" s="17"/>
      <c r="M13" s="17">
        <v>49</v>
      </c>
      <c r="N13" s="17" t="s">
        <v>94</v>
      </c>
      <c r="O13" s="16" t="s">
        <v>93</v>
      </c>
    </row>
    <row r="14" spans="1:15" ht="17.100000000000001" customHeight="1">
      <c r="A14" s="21">
        <v>45838</v>
      </c>
      <c r="B14" s="16" t="s">
        <v>60</v>
      </c>
      <c r="C14" s="17" t="s">
        <v>39</v>
      </c>
      <c r="D14" s="17">
        <v>42925</v>
      </c>
      <c r="E14" s="17">
        <v>231208</v>
      </c>
      <c r="F14" s="17">
        <v>241010</v>
      </c>
      <c r="G14" s="17" t="s">
        <v>63</v>
      </c>
      <c r="H14" s="17" t="s">
        <v>26</v>
      </c>
      <c r="I14" s="17">
        <v>25113</v>
      </c>
      <c r="J14" s="17" t="s">
        <v>85</v>
      </c>
      <c r="K14" s="17"/>
      <c r="L14" s="17"/>
      <c r="M14" s="17">
        <v>52</v>
      </c>
      <c r="N14" s="17" t="s">
        <v>94</v>
      </c>
      <c r="O14" s="16" t="s">
        <v>93</v>
      </c>
    </row>
    <row r="15" spans="1:15" ht="17.100000000000001" customHeight="1">
      <c r="A15" s="21">
        <v>45838</v>
      </c>
      <c r="B15" s="16" t="s">
        <v>23</v>
      </c>
      <c r="C15" s="17" t="s">
        <v>24</v>
      </c>
      <c r="D15" s="17">
        <v>42925</v>
      </c>
      <c r="E15" s="17">
        <v>231208</v>
      </c>
      <c r="F15" s="17">
        <v>250422</v>
      </c>
      <c r="G15" s="17">
        <v>25213</v>
      </c>
      <c r="H15" s="17" t="s">
        <v>26</v>
      </c>
      <c r="I15" s="17" t="s">
        <v>83</v>
      </c>
      <c r="J15" s="17">
        <v>25111</v>
      </c>
      <c r="K15" s="17"/>
      <c r="L15" s="17"/>
      <c r="M15" s="17">
        <v>96</v>
      </c>
      <c r="N15" s="17" t="s">
        <v>94</v>
      </c>
      <c r="O15" s="16" t="s">
        <v>95</v>
      </c>
    </row>
    <row r="16" spans="1:15" ht="17.100000000000001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 t="s">
        <v>18</v>
      </c>
      <c r="K39" s="12"/>
      <c r="M39" s="13"/>
      <c r="N39" s="14"/>
    </row>
    <row r="40" spans="1:15">
      <c r="K40" s="2" t="s">
        <v>19</v>
      </c>
    </row>
    <row r="41" spans="1:15">
      <c r="K41" s="2" t="s">
        <v>20</v>
      </c>
    </row>
    <row r="42" spans="1:15">
      <c r="K42" s="2" t="s">
        <v>21</v>
      </c>
    </row>
    <row r="43" spans="1:15">
      <c r="K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O24"/>
  <sheetViews>
    <sheetView view="pageBreakPreview" zoomScaleNormal="100" zoomScaleSheetLayoutView="100" workbookViewId="0">
      <selection activeCell="D32" sqref="D32"/>
    </sheetView>
  </sheetViews>
  <sheetFormatPr defaultColWidth="10.28515625" defaultRowHeight="14.25"/>
  <cols>
    <col min="1" max="1" width="14.7109375" style="2" customWidth="1"/>
    <col min="2" max="2" width="20.57031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21.140625" style="2" customWidth="1"/>
    <col min="15" max="15" width="17.1406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>
        <v>45842</v>
      </c>
      <c r="B9" s="16" t="s">
        <v>23</v>
      </c>
      <c r="C9" s="17" t="s">
        <v>24</v>
      </c>
      <c r="D9" s="17" t="s">
        <v>96</v>
      </c>
      <c r="E9" s="17">
        <v>231207</v>
      </c>
      <c r="F9" s="17">
        <v>250602</v>
      </c>
      <c r="G9" s="17" t="s">
        <v>97</v>
      </c>
      <c r="H9" s="17">
        <v>25210</v>
      </c>
      <c r="I9" s="17" t="s">
        <v>98</v>
      </c>
      <c r="J9" s="17" t="s">
        <v>99</v>
      </c>
      <c r="K9" s="17"/>
      <c r="L9" s="17"/>
      <c r="M9" s="17">
        <v>48</v>
      </c>
      <c r="N9" s="17" t="s">
        <v>100</v>
      </c>
      <c r="O9" s="16" t="s">
        <v>101</v>
      </c>
    </row>
    <row r="10" spans="1:15" ht="17.100000000000001" customHeight="1">
      <c r="A10" s="24">
        <v>45869</v>
      </c>
      <c r="B10" s="16" t="s">
        <v>23</v>
      </c>
      <c r="C10" s="17" t="s">
        <v>24</v>
      </c>
      <c r="D10" s="17" t="s">
        <v>102</v>
      </c>
      <c r="E10" s="17">
        <v>230627</v>
      </c>
      <c r="F10" s="17">
        <v>250602</v>
      </c>
      <c r="G10" s="17">
        <v>25513</v>
      </c>
      <c r="H10" s="17">
        <v>24220</v>
      </c>
      <c r="I10" s="17">
        <v>25113</v>
      </c>
      <c r="J10" s="17">
        <v>25327</v>
      </c>
      <c r="K10" s="17"/>
      <c r="L10" s="17"/>
      <c r="M10" s="17">
        <v>53</v>
      </c>
      <c r="N10" s="17" t="s">
        <v>104</v>
      </c>
      <c r="O10" s="16" t="s">
        <v>103</v>
      </c>
    </row>
    <row r="11" spans="1:15" ht="17.100000000000001" customHeight="1">
      <c r="A11" s="24">
        <v>45869</v>
      </c>
      <c r="B11" s="16" t="s">
        <v>23</v>
      </c>
      <c r="C11" s="17" t="s">
        <v>39</v>
      </c>
      <c r="D11" s="17">
        <v>42925021</v>
      </c>
      <c r="E11" s="17">
        <v>230627</v>
      </c>
      <c r="F11" s="17">
        <v>250602</v>
      </c>
      <c r="G11" s="17">
        <v>25513</v>
      </c>
      <c r="H11" s="17">
        <v>24220</v>
      </c>
      <c r="I11" s="17">
        <v>25113</v>
      </c>
      <c r="J11" s="17">
        <v>25327</v>
      </c>
      <c r="K11" s="17"/>
      <c r="L11" s="17"/>
      <c r="M11" s="17">
        <v>43</v>
      </c>
      <c r="N11" s="17" t="s">
        <v>104</v>
      </c>
      <c r="O11" s="16" t="s">
        <v>103</v>
      </c>
    </row>
    <row r="12" spans="1:15" ht="17.100000000000001" customHeight="1">
      <c r="A12" s="15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</row>
    <row r="13" spans="1:15" ht="17.100000000000001" customHeight="1">
      <c r="A13" s="2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6"/>
    </row>
    <row r="14" spans="1:15" ht="17.100000000000001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</row>
    <row r="15" spans="1:15" ht="17.100000000000001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</row>
    <row r="16" spans="1:15" ht="17.100000000000001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 thickBot="1">
      <c r="A19" s="18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19"/>
    </row>
    <row r="20" spans="1:15">
      <c r="A20" s="25" t="s">
        <v>34</v>
      </c>
      <c r="B20" s="13"/>
      <c r="C20" s="13"/>
      <c r="D20" s="12"/>
      <c r="E20" s="13"/>
      <c r="I20" s="13"/>
      <c r="J20" s="12" t="s">
        <v>18</v>
      </c>
      <c r="K20" s="12"/>
      <c r="M20" s="13"/>
      <c r="N20" s="14"/>
    </row>
    <row r="21" spans="1:15">
      <c r="K21" s="2" t="s">
        <v>19</v>
      </c>
    </row>
    <row r="22" spans="1:15">
      <c r="K22" s="2" t="s">
        <v>20</v>
      </c>
    </row>
    <row r="23" spans="1:15">
      <c r="K23" s="2" t="s">
        <v>21</v>
      </c>
    </row>
    <row r="24" spans="1:15">
      <c r="K24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65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O43"/>
  <sheetViews>
    <sheetView view="pageBreakPreview" topLeftCell="A4" zoomScaleNormal="100" zoomScaleSheetLayoutView="100" workbookViewId="0">
      <selection activeCell="I19" sqref="I19"/>
    </sheetView>
  </sheetViews>
  <sheetFormatPr defaultColWidth="10.28515625" defaultRowHeight="14.25"/>
  <cols>
    <col min="1" max="1" width="14.7109375" style="2" customWidth="1"/>
    <col min="2" max="2" width="11.285156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15.5703125" style="2" customWidth="1"/>
    <col min="15" max="15" width="12.1406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>
        <v>45883</v>
      </c>
      <c r="B9" s="16" t="s">
        <v>105</v>
      </c>
      <c r="C9" s="17" t="s">
        <v>24</v>
      </c>
      <c r="D9" s="17"/>
      <c r="E9" s="17">
        <v>250516</v>
      </c>
      <c r="F9" s="17"/>
      <c r="G9" s="17"/>
      <c r="H9" s="17"/>
      <c r="I9" s="17"/>
      <c r="J9" s="17"/>
      <c r="K9" s="17"/>
      <c r="L9" s="17"/>
      <c r="M9" s="17">
        <v>96</v>
      </c>
      <c r="N9" s="17" t="s">
        <v>106</v>
      </c>
      <c r="O9" s="16" t="s">
        <v>107</v>
      </c>
    </row>
    <row r="10" spans="1:15" ht="17.100000000000001" customHeight="1">
      <c r="A10" s="24">
        <v>45883</v>
      </c>
      <c r="B10" s="16" t="s">
        <v>60</v>
      </c>
      <c r="C10" s="17" t="s">
        <v>24</v>
      </c>
      <c r="D10" s="17" t="s">
        <v>108</v>
      </c>
      <c r="E10" s="17">
        <v>230627</v>
      </c>
      <c r="F10" s="17" t="s">
        <v>109</v>
      </c>
      <c r="G10" s="17">
        <v>25306</v>
      </c>
      <c r="H10" s="17">
        <v>25609</v>
      </c>
      <c r="I10" s="17">
        <v>25113</v>
      </c>
      <c r="J10" s="17">
        <v>25409</v>
      </c>
      <c r="K10" s="17"/>
      <c r="L10" s="17"/>
      <c r="M10" s="17">
        <v>48</v>
      </c>
      <c r="N10" s="17" t="s">
        <v>110</v>
      </c>
      <c r="O10" s="16" t="s">
        <v>111</v>
      </c>
    </row>
    <row r="11" spans="1:15" ht="17.100000000000001" customHeight="1">
      <c r="A11" s="24">
        <v>45884</v>
      </c>
      <c r="B11" s="16" t="s">
        <v>23</v>
      </c>
      <c r="C11" s="17" t="s">
        <v>24</v>
      </c>
      <c r="D11" s="17" t="s">
        <v>108</v>
      </c>
      <c r="E11" s="17">
        <v>230627</v>
      </c>
      <c r="F11" s="17">
        <v>250602</v>
      </c>
      <c r="G11" s="17">
        <v>25705</v>
      </c>
      <c r="H11" s="17">
        <v>25609</v>
      </c>
      <c r="I11" s="17">
        <v>25113</v>
      </c>
      <c r="J11" s="17">
        <v>25503</v>
      </c>
      <c r="K11" s="17"/>
      <c r="L11" s="17"/>
      <c r="M11" s="17">
        <v>101</v>
      </c>
      <c r="N11" s="17" t="s">
        <v>112</v>
      </c>
      <c r="O11" s="16" t="s">
        <v>113</v>
      </c>
    </row>
    <row r="12" spans="1:15" ht="17.100000000000001" customHeight="1">
      <c r="A12" s="21">
        <v>45897</v>
      </c>
      <c r="B12" s="16" t="s">
        <v>23</v>
      </c>
      <c r="C12" s="17" t="s">
        <v>24</v>
      </c>
      <c r="D12" s="17" t="s">
        <v>114</v>
      </c>
      <c r="E12" s="17">
        <v>230616</v>
      </c>
      <c r="F12" s="17">
        <v>250602</v>
      </c>
      <c r="G12" s="17">
        <v>25705</v>
      </c>
      <c r="H12" s="17">
        <v>25620</v>
      </c>
      <c r="I12" s="17">
        <v>25113</v>
      </c>
      <c r="J12" s="17">
        <v>25503</v>
      </c>
      <c r="K12" s="17"/>
      <c r="L12" s="17"/>
      <c r="M12" s="17">
        <v>10</v>
      </c>
      <c r="N12" s="17" t="s">
        <v>89</v>
      </c>
      <c r="O12" s="16" t="s">
        <v>115</v>
      </c>
    </row>
    <row r="13" spans="1:15" ht="17.100000000000001" customHeight="1">
      <c r="A13" s="21">
        <v>45897</v>
      </c>
      <c r="B13" s="16" t="s">
        <v>23</v>
      </c>
      <c r="C13" s="17" t="s">
        <v>24</v>
      </c>
      <c r="D13" s="17" t="s">
        <v>108</v>
      </c>
      <c r="E13" s="17">
        <v>230616</v>
      </c>
      <c r="F13" s="17">
        <v>250602</v>
      </c>
      <c r="G13" s="17">
        <v>25705</v>
      </c>
      <c r="H13" s="17">
        <v>25620</v>
      </c>
      <c r="I13" s="17">
        <v>25113</v>
      </c>
      <c r="J13" s="17">
        <v>25503</v>
      </c>
      <c r="K13" s="17"/>
      <c r="L13" s="17"/>
      <c r="M13" s="17">
        <v>24</v>
      </c>
      <c r="N13" s="17" t="s">
        <v>89</v>
      </c>
      <c r="O13" s="16" t="s">
        <v>115</v>
      </c>
    </row>
    <row r="14" spans="1:15" ht="17.100000000000001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</row>
    <row r="15" spans="1:15" ht="17.100000000000001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</row>
    <row r="16" spans="1:15" ht="17.100000000000001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 t="s">
        <v>18</v>
      </c>
      <c r="K39" s="12"/>
      <c r="M39" s="13"/>
      <c r="N39" s="14"/>
    </row>
    <row r="40" spans="1:15">
      <c r="K40" s="2" t="s">
        <v>19</v>
      </c>
    </row>
    <row r="41" spans="1:15">
      <c r="K41" s="2" t="s">
        <v>20</v>
      </c>
    </row>
    <row r="42" spans="1:15">
      <c r="K42" s="2" t="s">
        <v>21</v>
      </c>
    </row>
    <row r="43" spans="1:15">
      <c r="K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O43"/>
  <sheetViews>
    <sheetView view="pageBreakPreview" topLeftCell="A7" zoomScaleNormal="100" zoomScaleSheetLayoutView="100" workbookViewId="0">
      <selection activeCell="A17" sqref="A17"/>
    </sheetView>
  </sheetViews>
  <sheetFormatPr defaultColWidth="10.28515625" defaultRowHeight="14.25"/>
  <cols>
    <col min="1" max="1" width="14.7109375" style="2" customWidth="1"/>
    <col min="2" max="2" width="11.285156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24.7109375" style="2" customWidth="1"/>
    <col min="15" max="15" width="17.710937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 t="s">
        <v>116</v>
      </c>
      <c r="B9" s="16" t="s">
        <v>117</v>
      </c>
      <c r="C9" s="17" t="s">
        <v>24</v>
      </c>
      <c r="D9" s="17"/>
      <c r="E9" s="17"/>
      <c r="F9" s="17"/>
      <c r="G9" s="17"/>
      <c r="H9" s="17">
        <v>25620</v>
      </c>
      <c r="I9" s="17"/>
      <c r="J9" s="17"/>
      <c r="K9" s="17"/>
      <c r="L9" s="17"/>
      <c r="M9" s="17">
        <v>80</v>
      </c>
      <c r="N9" s="17" t="s">
        <v>89</v>
      </c>
      <c r="O9" s="16" t="s">
        <v>118</v>
      </c>
    </row>
    <row r="10" spans="1:15" ht="17.100000000000001" customHeight="1">
      <c r="A10" s="24">
        <v>45908</v>
      </c>
      <c r="B10" s="16" t="s">
        <v>117</v>
      </c>
      <c r="C10" s="17" t="s">
        <v>24</v>
      </c>
      <c r="D10" s="17"/>
      <c r="E10" s="17"/>
      <c r="F10" s="17"/>
      <c r="G10" s="17"/>
      <c r="H10" s="17">
        <v>25620</v>
      </c>
      <c r="I10" s="17"/>
      <c r="J10" s="17"/>
      <c r="K10" s="17"/>
      <c r="L10" s="17"/>
      <c r="M10" s="17">
        <v>40</v>
      </c>
      <c r="N10" s="17" t="s">
        <v>89</v>
      </c>
      <c r="O10" s="16" t="s">
        <v>119</v>
      </c>
    </row>
    <row r="11" spans="1:15" ht="17.100000000000001" customHeight="1">
      <c r="A11" s="24">
        <v>45909</v>
      </c>
      <c r="B11" s="16" t="s">
        <v>23</v>
      </c>
      <c r="C11" s="17" t="s">
        <v>24</v>
      </c>
      <c r="D11" s="17" t="s">
        <v>120</v>
      </c>
      <c r="E11" s="17"/>
      <c r="F11" s="17" t="s">
        <v>121</v>
      </c>
      <c r="G11" s="17">
        <v>25705</v>
      </c>
      <c r="H11" s="17">
        <v>25609</v>
      </c>
      <c r="I11" s="17"/>
      <c r="J11" s="17">
        <v>25524</v>
      </c>
      <c r="K11" s="17"/>
      <c r="L11" s="17"/>
      <c r="M11" s="17">
        <v>47</v>
      </c>
      <c r="N11" s="17" t="s">
        <v>89</v>
      </c>
      <c r="O11" s="16" t="s">
        <v>122</v>
      </c>
    </row>
    <row r="12" spans="1:15" ht="17.100000000000001" customHeight="1">
      <c r="A12" s="24">
        <v>45909</v>
      </c>
      <c r="B12" s="16" t="s">
        <v>105</v>
      </c>
      <c r="C12" s="17" t="s">
        <v>24</v>
      </c>
      <c r="D12" s="17"/>
      <c r="E12" s="17">
        <v>250516</v>
      </c>
      <c r="F12" s="17"/>
      <c r="G12" s="17"/>
      <c r="H12" s="17"/>
      <c r="I12" s="17"/>
      <c r="J12" s="17"/>
      <c r="K12" s="17"/>
      <c r="L12" s="17"/>
      <c r="M12" s="17">
        <v>96</v>
      </c>
      <c r="N12" s="17" t="s">
        <v>89</v>
      </c>
      <c r="O12" s="16" t="s">
        <v>123</v>
      </c>
    </row>
    <row r="13" spans="1:15" ht="17.100000000000001" customHeight="1">
      <c r="A13" s="21" t="s">
        <v>124</v>
      </c>
      <c r="B13" s="16" t="s">
        <v>23</v>
      </c>
      <c r="C13" s="17" t="s">
        <v>24</v>
      </c>
      <c r="D13" s="17" t="s">
        <v>114</v>
      </c>
      <c r="E13" s="17" t="s">
        <v>125</v>
      </c>
      <c r="F13" s="17">
        <v>250114</v>
      </c>
      <c r="G13" s="17">
        <v>25705</v>
      </c>
      <c r="H13" s="17"/>
      <c r="I13" s="17"/>
      <c r="J13" s="17"/>
      <c r="K13" s="17"/>
      <c r="L13" s="17"/>
      <c r="M13" s="17">
        <v>48</v>
      </c>
      <c r="N13" s="17" t="s">
        <v>126</v>
      </c>
      <c r="O13" s="16" t="s">
        <v>127</v>
      </c>
    </row>
    <row r="14" spans="1:15" ht="17.100000000000001" customHeight="1">
      <c r="A14" s="27">
        <v>47362</v>
      </c>
      <c r="B14" s="16" t="s">
        <v>23</v>
      </c>
      <c r="C14" s="17" t="s">
        <v>24</v>
      </c>
      <c r="D14" s="17" t="s">
        <v>114</v>
      </c>
      <c r="E14" s="17">
        <v>240418</v>
      </c>
      <c r="F14" s="17">
        <v>250617</v>
      </c>
      <c r="G14" s="17">
        <v>25705</v>
      </c>
      <c r="H14" s="17">
        <v>25127</v>
      </c>
      <c r="I14" s="17">
        <v>25404</v>
      </c>
      <c r="J14" s="17">
        <v>25524</v>
      </c>
      <c r="K14" s="17"/>
      <c r="L14" s="17"/>
      <c r="M14" s="17">
        <v>117</v>
      </c>
      <c r="N14" s="17" t="s">
        <v>128</v>
      </c>
      <c r="O14" s="16" t="s">
        <v>129</v>
      </c>
    </row>
    <row r="15" spans="1:15" ht="17.100000000000001" customHeight="1">
      <c r="A15" s="27">
        <v>47362</v>
      </c>
      <c r="B15" s="16" t="s">
        <v>23</v>
      </c>
      <c r="C15" s="17" t="s">
        <v>24</v>
      </c>
      <c r="D15" s="17" t="s">
        <v>130</v>
      </c>
      <c r="E15" s="17">
        <v>240418</v>
      </c>
      <c r="F15" s="17">
        <v>250617</v>
      </c>
      <c r="G15" s="17">
        <v>25705</v>
      </c>
      <c r="H15" s="17">
        <v>25127</v>
      </c>
      <c r="I15" s="17">
        <v>25404</v>
      </c>
      <c r="J15" s="17">
        <v>25524</v>
      </c>
      <c r="K15" s="17"/>
      <c r="L15" s="17"/>
      <c r="M15" s="17">
        <v>5</v>
      </c>
      <c r="N15" s="17" t="s">
        <v>128</v>
      </c>
      <c r="O15" s="16" t="s">
        <v>129</v>
      </c>
    </row>
    <row r="16" spans="1:15" ht="17.100000000000001" customHeight="1">
      <c r="A16" s="27">
        <v>47362</v>
      </c>
      <c r="B16" s="16" t="s">
        <v>23</v>
      </c>
      <c r="C16" s="17" t="s">
        <v>24</v>
      </c>
      <c r="D16" s="17" t="s">
        <v>120</v>
      </c>
      <c r="E16" s="17">
        <v>240418</v>
      </c>
      <c r="F16" s="17">
        <v>250617</v>
      </c>
      <c r="G16" s="17">
        <v>25705</v>
      </c>
      <c r="H16" s="17">
        <v>25127</v>
      </c>
      <c r="I16" s="17">
        <v>25404</v>
      </c>
      <c r="J16" s="17">
        <v>25524</v>
      </c>
      <c r="K16" s="17"/>
      <c r="L16" s="17"/>
      <c r="M16" s="17">
        <v>22</v>
      </c>
      <c r="N16" s="17" t="s">
        <v>128</v>
      </c>
      <c r="O16" s="16" t="s">
        <v>129</v>
      </c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 t="s">
        <v>18</v>
      </c>
      <c r="K39" s="12"/>
      <c r="M39" s="13"/>
      <c r="N39" s="14"/>
    </row>
    <row r="40" spans="1:15">
      <c r="K40" s="2" t="s">
        <v>19</v>
      </c>
    </row>
    <row r="41" spans="1:15">
      <c r="K41" s="2" t="s">
        <v>20</v>
      </c>
    </row>
    <row r="42" spans="1:15">
      <c r="K42" s="2" t="s">
        <v>21</v>
      </c>
    </row>
    <row r="43" spans="1:15">
      <c r="K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O43"/>
  <sheetViews>
    <sheetView view="pageBreakPreview" zoomScaleNormal="100" zoomScaleSheetLayoutView="100" workbookViewId="0">
      <selection activeCell="H11" sqref="H11:L11"/>
    </sheetView>
  </sheetViews>
  <sheetFormatPr defaultColWidth="10.28515625" defaultRowHeight="14.25"/>
  <cols>
    <col min="1" max="1" width="14.7109375" style="2" customWidth="1"/>
    <col min="2" max="2" width="11.285156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27.7109375" style="2" customWidth="1"/>
    <col min="15" max="15" width="18.425781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>
        <v>45940</v>
      </c>
      <c r="B9" s="16" t="s">
        <v>60</v>
      </c>
      <c r="C9" s="17" t="s">
        <v>24</v>
      </c>
      <c r="D9" s="17" t="s">
        <v>108</v>
      </c>
      <c r="E9" s="17">
        <v>230616</v>
      </c>
      <c r="F9" s="17">
        <v>230215</v>
      </c>
      <c r="G9" s="17"/>
      <c r="H9" s="17"/>
      <c r="I9" s="17">
        <v>25404</v>
      </c>
      <c r="J9" s="17">
        <v>25502</v>
      </c>
      <c r="K9" s="17" t="s">
        <v>131</v>
      </c>
      <c r="L9" s="28">
        <v>45749</v>
      </c>
      <c r="M9" s="17"/>
      <c r="N9" s="17" t="s">
        <v>132</v>
      </c>
      <c r="O9" s="16" t="s">
        <v>133</v>
      </c>
    </row>
    <row r="10" spans="1:15" ht="17.100000000000001" customHeight="1">
      <c r="A10" s="24">
        <v>45940</v>
      </c>
      <c r="B10" s="16" t="s">
        <v>23</v>
      </c>
      <c r="C10" s="17" t="s">
        <v>24</v>
      </c>
      <c r="D10" s="17" t="s">
        <v>134</v>
      </c>
      <c r="E10" s="17">
        <v>230616</v>
      </c>
      <c r="F10" s="17">
        <v>230215</v>
      </c>
      <c r="G10" s="17">
        <v>25707</v>
      </c>
      <c r="H10" s="17"/>
      <c r="I10" s="17">
        <v>25404</v>
      </c>
      <c r="J10" s="17">
        <v>25502</v>
      </c>
      <c r="K10" s="17" t="s">
        <v>131</v>
      </c>
      <c r="L10" s="28">
        <v>45749</v>
      </c>
      <c r="M10" s="17"/>
      <c r="N10" s="17" t="s">
        <v>135</v>
      </c>
      <c r="O10" s="16" t="s">
        <v>136</v>
      </c>
    </row>
    <row r="11" spans="1:15" ht="17.100000000000001" customHeight="1">
      <c r="A11" s="24">
        <v>45940</v>
      </c>
      <c r="B11" s="16" t="s">
        <v>23</v>
      </c>
      <c r="C11" s="17" t="s">
        <v>24</v>
      </c>
      <c r="D11" s="17" t="s">
        <v>120</v>
      </c>
      <c r="E11" s="17">
        <v>230616</v>
      </c>
      <c r="F11" s="17">
        <v>250114</v>
      </c>
      <c r="G11" s="17">
        <v>25707</v>
      </c>
      <c r="H11" s="17">
        <v>25321</v>
      </c>
      <c r="I11" s="17">
        <v>25404</v>
      </c>
      <c r="J11" s="17">
        <v>25502</v>
      </c>
      <c r="K11" s="17" t="s">
        <v>131</v>
      </c>
      <c r="L11" s="28">
        <v>45772</v>
      </c>
      <c r="M11" s="17"/>
      <c r="N11" s="17" t="s">
        <v>137</v>
      </c>
      <c r="O11" s="16" t="s">
        <v>138</v>
      </c>
    </row>
    <row r="12" spans="1:15" ht="17.100000000000001" customHeight="1">
      <c r="A12" s="15"/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</row>
    <row r="13" spans="1:15" ht="17.100000000000001" customHeight="1">
      <c r="A13" s="21"/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6"/>
    </row>
    <row r="14" spans="1:15" ht="17.100000000000001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</row>
    <row r="15" spans="1:15" ht="17.100000000000001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</row>
    <row r="16" spans="1:15" ht="17.100000000000001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 t="s">
        <v>18</v>
      </c>
      <c r="K39" s="12"/>
      <c r="M39" s="13"/>
      <c r="N39" s="14"/>
    </row>
    <row r="40" spans="1:15">
      <c r="K40" s="2" t="s">
        <v>19</v>
      </c>
    </row>
    <row r="41" spans="1:15">
      <c r="K41" s="2" t="s">
        <v>20</v>
      </c>
    </row>
    <row r="42" spans="1:15">
      <c r="K42" s="2" t="s">
        <v>21</v>
      </c>
    </row>
    <row r="43" spans="1:15">
      <c r="K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O43"/>
  <sheetViews>
    <sheetView tabSelected="1" view="pageBreakPreview" zoomScaleNormal="100" zoomScaleSheetLayoutView="100" workbookViewId="0">
      <selection activeCell="N14" sqref="N14"/>
    </sheetView>
  </sheetViews>
  <sheetFormatPr defaultColWidth="10.28515625" defaultRowHeight="14.25"/>
  <cols>
    <col min="1" max="1" width="14.7109375" style="2" customWidth="1"/>
    <col min="2" max="2" width="23.140625" style="2" customWidth="1"/>
    <col min="3" max="3" width="7.42578125" style="2" customWidth="1"/>
    <col min="4" max="4" width="21.7109375" style="2" customWidth="1"/>
    <col min="5" max="5" width="20" style="2" customWidth="1"/>
    <col min="6" max="12" width="12.7109375" style="2" customWidth="1"/>
    <col min="13" max="13" width="8.28515625" style="2" customWidth="1"/>
    <col min="14" max="14" width="24.42578125" style="2" customWidth="1"/>
    <col min="15" max="15" width="23.28515625" style="2" customWidth="1"/>
    <col min="16" max="16384" width="10.28515625" style="2"/>
  </cols>
  <sheetData>
    <row r="1" spans="1:15" s="1" customFormat="1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8.1" customHeight="1"/>
    <row r="3" spans="1:15" ht="17.100000000000001" customHeight="1">
      <c r="A3" s="22" t="s">
        <v>1</v>
      </c>
      <c r="B3" s="3" t="s">
        <v>2</v>
      </c>
      <c r="D3" s="4"/>
      <c r="E3" s="5"/>
      <c r="F3" s="6"/>
      <c r="G3" s="6"/>
      <c r="H3" s="6"/>
      <c r="I3" s="5"/>
      <c r="J3" s="5"/>
      <c r="K3" s="5"/>
      <c r="L3" s="5"/>
      <c r="M3" s="6"/>
    </row>
    <row r="4" spans="1:15" ht="17.100000000000001" customHeight="1">
      <c r="A4" s="23" t="s">
        <v>35</v>
      </c>
      <c r="B4" s="26"/>
      <c r="C4" s="7"/>
      <c r="D4" s="4"/>
      <c r="E4" s="5"/>
      <c r="F4" s="5"/>
      <c r="G4" s="5"/>
      <c r="H4" s="5"/>
    </row>
    <row r="5" spans="1:15" ht="8.1" customHeight="1">
      <c r="A5" s="8"/>
      <c r="B5" s="8"/>
    </row>
    <row r="6" spans="1:15" ht="8.1" customHeight="1" thickBot="1"/>
    <row r="7" spans="1:15" ht="17.100000000000001" customHeight="1">
      <c r="A7" s="30" t="s">
        <v>3</v>
      </c>
      <c r="B7" s="32" t="s">
        <v>4</v>
      </c>
      <c r="C7" s="34" t="s">
        <v>5</v>
      </c>
      <c r="D7" s="36" t="s">
        <v>6</v>
      </c>
      <c r="E7" s="37"/>
      <c r="F7" s="37"/>
      <c r="G7" s="37"/>
      <c r="H7" s="37"/>
      <c r="I7" s="37"/>
      <c r="J7" s="37"/>
      <c r="K7" s="37"/>
      <c r="L7" s="38"/>
      <c r="M7" s="39" t="s">
        <v>7</v>
      </c>
      <c r="N7" s="41" t="s">
        <v>8</v>
      </c>
      <c r="O7" s="43" t="s">
        <v>36</v>
      </c>
    </row>
    <row r="8" spans="1:15" ht="29.25" customHeight="1">
      <c r="A8" s="31"/>
      <c r="B8" s="33"/>
      <c r="C8" s="35"/>
      <c r="D8" s="9" t="s">
        <v>9</v>
      </c>
      <c r="E8" s="9" t="s">
        <v>10</v>
      </c>
      <c r="F8" s="9" t="s">
        <v>11</v>
      </c>
      <c r="G8" s="10" t="s">
        <v>12</v>
      </c>
      <c r="H8" s="10" t="s">
        <v>13</v>
      </c>
      <c r="I8" s="10" t="s">
        <v>14</v>
      </c>
      <c r="J8" s="11" t="s">
        <v>15</v>
      </c>
      <c r="K8" s="9" t="s">
        <v>16</v>
      </c>
      <c r="L8" s="9" t="s">
        <v>17</v>
      </c>
      <c r="M8" s="40"/>
      <c r="N8" s="42"/>
      <c r="O8" s="44"/>
    </row>
    <row r="9" spans="1:15" ht="17.100000000000001" customHeight="1">
      <c r="A9" s="24">
        <v>45975</v>
      </c>
      <c r="B9" s="16" t="s">
        <v>23</v>
      </c>
      <c r="C9" s="17" t="s">
        <v>24</v>
      </c>
      <c r="D9" s="17" t="s">
        <v>134</v>
      </c>
      <c r="E9" s="17">
        <v>250516</v>
      </c>
      <c r="F9" s="17">
        <v>250114</v>
      </c>
      <c r="G9" s="17">
        <v>25610</v>
      </c>
      <c r="H9" s="17">
        <v>25321</v>
      </c>
      <c r="I9" s="17">
        <v>25404</v>
      </c>
      <c r="J9" s="17">
        <v>25502</v>
      </c>
      <c r="K9" s="17" t="s">
        <v>131</v>
      </c>
      <c r="L9" s="28">
        <v>45772</v>
      </c>
      <c r="M9" s="17">
        <v>3</v>
      </c>
      <c r="N9" s="17" t="s">
        <v>139</v>
      </c>
      <c r="O9" s="16" t="s">
        <v>140</v>
      </c>
    </row>
    <row r="10" spans="1:15" ht="17.100000000000001" customHeight="1">
      <c r="A10" s="24">
        <v>45975</v>
      </c>
      <c r="B10" s="16" t="s">
        <v>23</v>
      </c>
      <c r="C10" s="17" t="s">
        <v>39</v>
      </c>
      <c r="D10" s="17" t="s">
        <v>120</v>
      </c>
      <c r="E10" s="17">
        <v>250516</v>
      </c>
      <c r="F10" s="17">
        <v>250114</v>
      </c>
      <c r="G10" s="17">
        <v>25610</v>
      </c>
      <c r="H10" s="17">
        <v>25321</v>
      </c>
      <c r="I10" s="17">
        <v>25404</v>
      </c>
      <c r="J10" s="17">
        <v>25502</v>
      </c>
      <c r="K10" s="17" t="s">
        <v>131</v>
      </c>
      <c r="L10" s="28">
        <v>45772</v>
      </c>
      <c r="M10" s="17">
        <v>38</v>
      </c>
      <c r="N10" s="17" t="s">
        <v>139</v>
      </c>
      <c r="O10" s="16" t="s">
        <v>141</v>
      </c>
    </row>
    <row r="11" spans="1:15" ht="17.100000000000001" customHeight="1">
      <c r="A11" s="24">
        <v>45975</v>
      </c>
      <c r="B11" s="16" t="s">
        <v>23</v>
      </c>
      <c r="C11" s="17" t="s">
        <v>39</v>
      </c>
      <c r="D11" s="17" t="s">
        <v>120</v>
      </c>
      <c r="E11" s="17">
        <v>250516</v>
      </c>
      <c r="F11" s="17">
        <v>250114</v>
      </c>
      <c r="G11" s="17">
        <v>25610</v>
      </c>
      <c r="H11" s="17">
        <v>25321</v>
      </c>
      <c r="I11" s="17">
        <v>25404</v>
      </c>
      <c r="J11" s="17">
        <v>25502</v>
      </c>
      <c r="K11" s="17" t="s">
        <v>131</v>
      </c>
      <c r="L11" s="28">
        <v>45772</v>
      </c>
      <c r="M11" s="17">
        <v>55</v>
      </c>
      <c r="N11" s="17" t="s">
        <v>139</v>
      </c>
      <c r="O11" s="16" t="s">
        <v>141</v>
      </c>
    </row>
    <row r="12" spans="1:15" ht="17.100000000000001" customHeight="1">
      <c r="A12" s="24">
        <v>45975</v>
      </c>
      <c r="B12" s="16" t="s">
        <v>105</v>
      </c>
      <c r="C12" s="17" t="s">
        <v>24</v>
      </c>
      <c r="D12" s="17">
        <v>250516</v>
      </c>
      <c r="E12" s="17"/>
      <c r="F12" s="17"/>
      <c r="G12" s="17"/>
      <c r="H12" s="17"/>
      <c r="I12" s="17"/>
      <c r="J12" s="17"/>
      <c r="K12" s="17"/>
      <c r="L12" s="17"/>
      <c r="M12" s="17">
        <v>25</v>
      </c>
      <c r="N12" s="17" t="s">
        <v>142</v>
      </c>
      <c r="O12" s="16" t="s">
        <v>143</v>
      </c>
    </row>
    <row r="13" spans="1:15" ht="17.100000000000001" customHeight="1">
      <c r="A13" s="21">
        <v>45978</v>
      </c>
      <c r="B13" s="16" t="s">
        <v>105</v>
      </c>
      <c r="C13" s="17" t="s">
        <v>24</v>
      </c>
      <c r="D13" s="17">
        <v>250516</v>
      </c>
      <c r="E13" s="17"/>
      <c r="F13" s="17"/>
      <c r="G13" s="17"/>
      <c r="H13" s="17"/>
      <c r="I13" s="17"/>
      <c r="J13" s="17"/>
      <c r="K13" s="17"/>
      <c r="L13" s="17"/>
      <c r="M13" s="17">
        <f>96-25</f>
        <v>71</v>
      </c>
      <c r="N13" s="17" t="s">
        <v>144</v>
      </c>
      <c r="O13" s="16" t="s">
        <v>143</v>
      </c>
    </row>
    <row r="14" spans="1:15" ht="17.100000000000001" customHeight="1">
      <c r="A14" s="15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</row>
    <row r="15" spans="1:15" ht="17.100000000000001" customHeight="1">
      <c r="A15" s="15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</row>
    <row r="16" spans="1:15" ht="17.100000000000001" customHeight="1">
      <c r="A16" s="15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</row>
    <row r="17" spans="1:15" ht="17.100000000000001" customHeight="1">
      <c r="A17" s="15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</row>
    <row r="18" spans="1:15" ht="17.100000000000001" customHeight="1">
      <c r="A18" s="15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6"/>
    </row>
    <row r="19" spans="1:15" ht="17.100000000000001" customHeight="1">
      <c r="A19" s="15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</row>
    <row r="20" spans="1:15" ht="17.100000000000001" customHeight="1">
      <c r="A20" s="15"/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6"/>
    </row>
    <row r="21" spans="1:15" ht="17.100000000000001" customHeight="1">
      <c r="A21" s="15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</row>
    <row r="22" spans="1:15" ht="17.100000000000001" customHeight="1">
      <c r="A22" s="15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</row>
    <row r="23" spans="1:15" ht="17.100000000000001" customHeight="1">
      <c r="A23" s="15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</row>
    <row r="24" spans="1:15" ht="17.100000000000001" customHeight="1">
      <c r="A24" s="15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</row>
    <row r="25" spans="1:15" ht="17.100000000000001" customHeight="1">
      <c r="A25" s="1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</row>
    <row r="26" spans="1:15" ht="17.100000000000001" customHeight="1">
      <c r="A26" s="15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6"/>
    </row>
    <row r="27" spans="1:15" ht="17.100000000000001" customHeight="1">
      <c r="A27" s="15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6"/>
    </row>
    <row r="28" spans="1:15" ht="17.100000000000001" customHeight="1">
      <c r="A28" s="15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</row>
    <row r="29" spans="1:15" ht="17.100000000000001" customHeight="1">
      <c r="A29" s="15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</row>
    <row r="30" spans="1:15" ht="17.100000000000001" customHeight="1">
      <c r="A30" s="15"/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</row>
    <row r="31" spans="1:15" ht="17.100000000000001" customHeight="1">
      <c r="A31" s="15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</row>
    <row r="32" spans="1:15" ht="17.100000000000001" customHeight="1">
      <c r="A32" s="15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</row>
    <row r="33" spans="1:15" ht="17.100000000000001" customHeight="1">
      <c r="A33" s="15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6"/>
    </row>
    <row r="34" spans="1:15" ht="17.100000000000001" customHeight="1">
      <c r="A34" s="15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6"/>
    </row>
    <row r="35" spans="1:15" ht="17.100000000000001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</row>
    <row r="36" spans="1:15" ht="17.100000000000001" customHeight="1">
      <c r="A36" s="15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</row>
    <row r="37" spans="1:15" ht="17.100000000000001" customHeight="1">
      <c r="A37" s="15"/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</row>
    <row r="38" spans="1:15" ht="17.100000000000001" customHeight="1" thickBot="1">
      <c r="A38" s="18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9"/>
    </row>
    <row r="39" spans="1:15">
      <c r="A39" s="25" t="s">
        <v>34</v>
      </c>
      <c r="B39" s="13"/>
      <c r="C39" s="13"/>
      <c r="D39" s="12"/>
      <c r="E39" s="13"/>
      <c r="I39" s="13"/>
      <c r="J39" s="12" t="s">
        <v>18</v>
      </c>
      <c r="K39" s="12"/>
      <c r="M39" s="13"/>
      <c r="N39" s="14"/>
    </row>
    <row r="40" spans="1:15">
      <c r="K40" s="2" t="s">
        <v>19</v>
      </c>
    </row>
    <row r="41" spans="1:15">
      <c r="K41" s="2" t="s">
        <v>20</v>
      </c>
    </row>
    <row r="42" spans="1:15">
      <c r="K42" s="2" t="s">
        <v>21</v>
      </c>
    </row>
    <row r="43" spans="1:15">
      <c r="K43" s="2" t="s">
        <v>22</v>
      </c>
    </row>
  </sheetData>
  <mergeCells count="8">
    <mergeCell ref="A1:O1"/>
    <mergeCell ref="A7:A8"/>
    <mergeCell ref="B7:B8"/>
    <mergeCell ref="C7:C8"/>
    <mergeCell ref="D7:L7"/>
    <mergeCell ref="M7:M8"/>
    <mergeCell ref="N7:N8"/>
    <mergeCell ref="O7:O8"/>
  </mergeCells>
  <printOptions horizontalCentered="1" verticalCentered="1"/>
  <pageMargins left="8.9999999999999993E-3" right="0.01" top="0.2" bottom="0.1" header="0" footer="0"/>
  <pageSetup paperSize="9" scale="7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</vt:lpstr>
      <vt:lpstr>JANAURY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prod.welding</cp:lastModifiedBy>
  <cp:lastPrinted>2019-03-11T11:28:02Z</cp:lastPrinted>
  <dcterms:created xsi:type="dcterms:W3CDTF">2018-11-30T05:33:02Z</dcterms:created>
  <dcterms:modified xsi:type="dcterms:W3CDTF">2025-11-17T05:58:50Z</dcterms:modified>
</cp:coreProperties>
</file>